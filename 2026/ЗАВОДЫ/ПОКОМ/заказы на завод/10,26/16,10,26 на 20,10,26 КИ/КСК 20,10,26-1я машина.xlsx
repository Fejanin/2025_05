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D725D0-EE51-419B-8B01-AADA794FF40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P457" i="2"/>
  <c r="BO457" i="2"/>
  <c r="BM457" i="2"/>
  <c r="Z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N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N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N363" i="2"/>
  <c r="BM363" i="2"/>
  <c r="Y363" i="2"/>
  <c r="P363" i="2"/>
  <c r="BO362" i="2"/>
  <c r="BM362" i="2"/>
  <c r="Y362" i="2"/>
  <c r="BN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N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N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N228" i="2"/>
  <c r="BM228" i="2"/>
  <c r="Y228" i="2"/>
  <c r="BP228" i="2" s="1"/>
  <c r="P228" i="2"/>
  <c r="BO227" i="2"/>
  <c r="BM227" i="2"/>
  <c r="Y227" i="2"/>
  <c r="BP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N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N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Z126" i="2"/>
  <c r="Y126" i="2"/>
  <c r="BN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Z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N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259" i="2" l="1"/>
  <c r="Z442" i="2"/>
  <c r="Z467" i="2"/>
  <c r="Y173" i="2"/>
  <c r="Y469" i="2"/>
  <c r="Z402" i="2"/>
  <c r="BP126" i="2"/>
  <c r="BN313" i="2"/>
  <c r="Z176" i="2"/>
  <c r="BN296" i="2"/>
  <c r="Z92" i="2"/>
  <c r="BN374" i="2"/>
  <c r="Z323" i="2"/>
  <c r="Y459" i="2"/>
  <c r="BN124" i="2"/>
  <c r="Y138" i="2"/>
  <c r="BN171" i="2"/>
  <c r="Z183" i="2"/>
  <c r="Z278" i="2"/>
  <c r="BP362" i="2"/>
  <c r="Z362" i="2"/>
  <c r="Z271" i="2"/>
  <c r="BN265" i="2"/>
  <c r="BN289" i="2"/>
  <c r="BP220" i="2"/>
  <c r="Z333" i="2"/>
  <c r="BN383" i="2"/>
  <c r="Z51" i="2"/>
  <c r="BN515" i="2"/>
  <c r="BN511" i="2"/>
  <c r="BN503" i="2"/>
  <c r="Z488" i="2"/>
  <c r="Z478" i="2"/>
  <c r="BP478" i="2"/>
  <c r="Y480" i="2"/>
  <c r="Z468" i="2"/>
  <c r="Z469" i="2" s="1"/>
  <c r="BP468" i="2"/>
  <c r="BN468" i="2"/>
  <c r="BP467" i="2"/>
  <c r="BP455" i="2"/>
  <c r="Z455" i="2"/>
  <c r="Y458" i="2"/>
  <c r="Z451" i="2"/>
  <c r="BN443" i="2"/>
  <c r="BP442" i="2"/>
  <c r="Z439" i="2"/>
  <c r="BP432" i="2"/>
  <c r="Z432" i="2"/>
  <c r="BP424" i="2"/>
  <c r="BN416" i="2"/>
  <c r="Z415" i="2"/>
  <c r="BN404" i="2"/>
  <c r="Z398" i="2"/>
  <c r="BP392" i="2"/>
  <c r="Z392" i="2"/>
  <c r="Z390" i="2"/>
  <c r="BN384" i="2"/>
  <c r="Z383" i="2"/>
  <c r="BP382" i="2"/>
  <c r="Z380" i="2"/>
  <c r="BP373" i="2"/>
  <c r="Z373" i="2"/>
  <c r="BP372" i="2"/>
  <c r="Z370" i="2"/>
  <c r="Y359" i="2"/>
  <c r="Y349" i="2"/>
  <c r="BN347" i="2"/>
  <c r="Z346" i="2"/>
  <c r="BP346" i="2"/>
  <c r="BN346" i="2"/>
  <c r="BN327" i="2"/>
  <c r="Z325" i="2"/>
  <c r="BN323" i="2"/>
  <c r="Z315" i="2"/>
  <c r="Z300" i="2"/>
  <c r="BN300" i="2"/>
  <c r="Z285" i="2"/>
  <c r="Z282" i="2"/>
  <c r="BN280" i="2"/>
  <c r="BP276" i="2"/>
  <c r="BP271" i="2"/>
  <c r="Z269" i="2"/>
  <c r="Z268" i="2"/>
  <c r="BP266" i="2"/>
  <c r="Y262" i="2"/>
  <c r="Z255" i="2"/>
  <c r="BN254" i="2"/>
  <c r="Y250" i="2"/>
  <c r="BN249" i="2"/>
  <c r="Y251" i="2"/>
  <c r="Z245" i="2"/>
  <c r="Y246" i="2"/>
  <c r="BP243" i="2"/>
  <c r="BN238" i="2"/>
  <c r="BN236" i="2"/>
  <c r="Y241" i="2"/>
  <c r="BN222" i="2"/>
  <c r="Z204" i="2"/>
  <c r="Y199" i="2"/>
  <c r="Z193" i="2"/>
  <c r="Z194" i="2" s="1"/>
  <c r="BP183" i="2"/>
  <c r="Z180" i="2"/>
  <c r="BP178" i="2"/>
  <c r="I574" i="2"/>
  <c r="Y156" i="2"/>
  <c r="Y148" i="2"/>
  <c r="Y147" i="2"/>
  <c r="Y143" i="2"/>
  <c r="Z124" i="2"/>
  <c r="Y121" i="2"/>
  <c r="BP110" i="2"/>
  <c r="BP106" i="2"/>
  <c r="Z106" i="2"/>
  <c r="Z94" i="2"/>
  <c r="Y86" i="2"/>
  <c r="Y85" i="2"/>
  <c r="BP82" i="2"/>
  <c r="Z82" i="2"/>
  <c r="BP70" i="2"/>
  <c r="Z70" i="2"/>
  <c r="Z62" i="2"/>
  <c r="BP62" i="2"/>
  <c r="BN52" i="2"/>
  <c r="BP51" i="2"/>
  <c r="Z35" i="2"/>
  <c r="BP35" i="2"/>
  <c r="Y37" i="2"/>
  <c r="BP34" i="2"/>
  <c r="Z34" i="2"/>
  <c r="Y36" i="2"/>
  <c r="X568" i="2"/>
  <c r="Y24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Z291" i="2" s="1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Z365" i="2" s="1"/>
  <c r="BP363" i="2"/>
  <c r="BP370" i="2"/>
  <c r="Z374" i="2"/>
  <c r="BP380" i="2"/>
  <c r="Z384" i="2"/>
  <c r="BP390" i="2"/>
  <c r="BN402" i="2"/>
  <c r="Z404" i="2"/>
  <c r="Y407" i="2"/>
  <c r="Z430" i="2"/>
  <c r="Z433" i="2" s="1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Z418" i="2" s="1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Z317" i="2" s="1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6" i="2" s="1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223" i="2"/>
  <c r="Z243" i="2"/>
  <c r="Z246" i="2" s="1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02" i="2" l="1"/>
  <c r="Z190" i="2"/>
  <c r="Z328" i="2"/>
  <c r="Z386" i="2"/>
  <c r="Z479" i="2"/>
  <c r="Z406" i="2"/>
  <c r="Z452" i="2"/>
  <c r="Z85" i="2"/>
  <c r="Z272" i="2"/>
  <c r="Z518" i="2"/>
  <c r="Z505" i="2"/>
  <c r="Z458" i="2"/>
  <c r="Z446" i="2"/>
  <c r="Z399" i="2"/>
  <c r="Z335" i="2"/>
  <c r="Z240" i="2"/>
  <c r="Z172" i="2"/>
  <c r="Z137" i="2"/>
  <c r="Z74" i="2"/>
  <c r="X567" i="2"/>
  <c r="Z67" i="2"/>
  <c r="Z55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<sst xmlns="http://schemas.openxmlformats.org/spreadsheetml/2006/main" count="4241" uniqueCount="894">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</sst>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7" t="s">
        <v>26</v>
      </c>
      <c r="E1" s="637"/>
      <c r="F1" s="637"/>
      <c r="G1" s="14" t="s">
        <v>67</v>
      </c>
      <c r="H1" s="637" t="s">
        <v>47</v>
      </c>
      <c r="I1" s="637"/>
      <c r="J1" s="637"/>
      <c r="K1" s="637"/>
      <c r="L1" s="637"/>
      <c r="M1" s="637"/>
      <c r="N1" s="637"/>
      <c r="O1" s="637"/>
      <c r="P1" s="637"/>
      <c r="Q1" s="637"/>
      <c r="R1" s="638" t="s">
        <v>68</v>
      </c>
      <c r="S1" s="639"/>
      <c r="T1" s="63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0"/>
      <c r="Q3" s="640"/>
      <c r="R3" s="640"/>
      <c r="S3" s="640"/>
      <c r="T3" s="640"/>
      <c r="U3" s="640"/>
      <c r="V3" s="640"/>
      <c r="W3" s="64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1" t="s">
        <v>8</v>
      </c>
      <c r="B5" s="641"/>
      <c r="C5" s="641"/>
      <c r="D5" s="642"/>
      <c r="E5" s="642"/>
      <c r="F5" s="643" t="s">
        <v>14</v>
      </c>
      <c r="G5" s="643"/>
      <c r="H5" s="642" t="s">
        <v>893</v>
      </c>
      <c r="I5" s="642"/>
      <c r="J5" s="642"/>
      <c r="K5" s="642"/>
      <c r="L5" s="642"/>
      <c r="M5" s="642"/>
      <c r="N5" s="69"/>
      <c r="P5" s="26" t="s">
        <v>4</v>
      </c>
      <c r="Q5" s="644">
        <v>46315</v>
      </c>
      <c r="R5" s="644"/>
      <c r="T5" s="645" t="s">
        <v>3</v>
      </c>
      <c r="U5" s="646"/>
      <c r="V5" s="647" t="s">
        <v>874</v>
      </c>
      <c r="W5" s="648"/>
      <c r="AB5" s="57"/>
      <c r="AC5" s="57"/>
      <c r="AD5" s="57"/>
      <c r="AE5" s="57"/>
    </row>
    <row r="6" spans="1:32" s="17" customFormat="1" ht="24" customHeight="1" x14ac:dyDescent="0.2">
      <c r="A6" s="641" t="s">
        <v>1</v>
      </c>
      <c r="B6" s="641"/>
      <c r="C6" s="641"/>
      <c r="D6" s="649" t="s">
        <v>875</v>
      </c>
      <c r="E6" s="649"/>
      <c r="F6" s="649"/>
      <c r="G6" s="649"/>
      <c r="H6" s="649"/>
      <c r="I6" s="649"/>
      <c r="J6" s="649"/>
      <c r="K6" s="649"/>
      <c r="L6" s="649"/>
      <c r="M6" s="649"/>
      <c r="N6" s="70"/>
      <c r="P6" s="26" t="s">
        <v>27</v>
      </c>
      <c r="Q6" s="650" t="str">
        <f>IF(Q5=0," ",CHOOSE(WEEKDAY(Q5,2),"Понедельник","Вторник","Среда","Четверг","Пятница","Суббота","Воскресенье"))</f>
        <v>Вторник</v>
      </c>
      <c r="R6" s="650"/>
      <c r="T6" s="651" t="s">
        <v>5</v>
      </c>
      <c r="U6" s="652"/>
      <c r="V6" s="653" t="s">
        <v>70</v>
      </c>
      <c r="W6" s="65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9" t="str">
        <f>IFERROR(VLOOKUP(DeliveryAddress,Table,3,0),1)</f>
        <v>1</v>
      </c>
      <c r="E7" s="660"/>
      <c r="F7" s="660"/>
      <c r="G7" s="660"/>
      <c r="H7" s="660"/>
      <c r="I7" s="660"/>
      <c r="J7" s="660"/>
      <c r="K7" s="660"/>
      <c r="L7" s="660"/>
      <c r="M7" s="661"/>
      <c r="N7" s="71"/>
      <c r="P7" s="26"/>
      <c r="Q7" s="46"/>
      <c r="R7" s="46"/>
      <c r="T7" s="651"/>
      <c r="U7" s="652"/>
      <c r="V7" s="655"/>
      <c r="W7" s="656"/>
      <c r="AB7" s="57"/>
      <c r="AC7" s="57"/>
      <c r="AD7" s="57"/>
      <c r="AE7" s="57"/>
    </row>
    <row r="8" spans="1:32" s="17" customFormat="1" ht="25.5" customHeight="1" x14ac:dyDescent="0.2">
      <c r="A8" s="662" t="s">
        <v>58</v>
      </c>
      <c r="B8" s="662"/>
      <c r="C8" s="662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72"/>
      <c r="P8" s="26" t="s">
        <v>11</v>
      </c>
      <c r="Q8" s="664">
        <v>4.1666666666666664E-2</v>
      </c>
      <c r="R8" s="664"/>
      <c r="T8" s="651"/>
      <c r="U8" s="652"/>
      <c r="V8" s="655"/>
      <c r="W8" s="656"/>
      <c r="AB8" s="57"/>
      <c r="AC8" s="57"/>
      <c r="AD8" s="57"/>
      <c r="AE8" s="57"/>
    </row>
    <row r="9" spans="1:32" s="17" customFormat="1" ht="39.950000000000003" customHeight="1" x14ac:dyDescent="0.2">
      <c r="A9" s="6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666" t="s">
        <v>46</v>
      </c>
      <c r="E9" s="667"/>
      <c r="F9" s="6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7"/>
      <c r="P9" s="29" t="s">
        <v>15</v>
      </c>
      <c r="Q9" s="669"/>
      <c r="R9" s="669"/>
      <c r="T9" s="651"/>
      <c r="U9" s="652"/>
      <c r="V9" s="657"/>
      <c r="W9" s="65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666"/>
      <c r="E10" s="667"/>
      <c r="F10" s="6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670" t="str">
        <f>IFERROR(VLOOKUP($D$10,Proxy,2,FALSE),"")</f>
        <v/>
      </c>
      <c r="I10" s="670"/>
      <c r="J10" s="670"/>
      <c r="K10" s="670"/>
      <c r="L10" s="670"/>
      <c r="M10" s="670"/>
      <c r="N10" s="68"/>
      <c r="P10" s="29" t="s">
        <v>32</v>
      </c>
      <c r="Q10" s="671"/>
      <c r="R10" s="671"/>
      <c r="U10" s="26" t="s">
        <v>12</v>
      </c>
      <c r="V10" s="672" t="s">
        <v>71</v>
      </c>
      <c r="W10" s="67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4"/>
      <c r="R11" s="674"/>
      <c r="U11" s="26" t="s">
        <v>28</v>
      </c>
      <c r="V11" s="675" t="s">
        <v>55</v>
      </c>
      <c r="W11" s="67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6" t="s">
        <v>72</v>
      </c>
      <c r="B12" s="676"/>
      <c r="C12" s="676"/>
      <c r="D12" s="676"/>
      <c r="E12" s="676"/>
      <c r="F12" s="676"/>
      <c r="G12" s="676"/>
      <c r="H12" s="676"/>
      <c r="I12" s="676"/>
      <c r="J12" s="676"/>
      <c r="K12" s="676"/>
      <c r="L12" s="676"/>
      <c r="M12" s="676"/>
      <c r="N12" s="73"/>
      <c r="P12" s="26" t="s">
        <v>30</v>
      </c>
      <c r="Q12" s="664"/>
      <c r="R12" s="664"/>
      <c r="S12" s="27"/>
      <c r="T12"/>
      <c r="U12" s="26" t="s">
        <v>46</v>
      </c>
      <c r="V12" s="677"/>
      <c r="W12" s="677"/>
      <c r="X12"/>
      <c r="AB12" s="57"/>
      <c r="AC12" s="57"/>
      <c r="AD12" s="57"/>
      <c r="AE12" s="57"/>
    </row>
    <row r="13" spans="1:32" s="17" customFormat="1" ht="23.25" customHeight="1" x14ac:dyDescent="0.2">
      <c r="A13" s="676" t="s">
        <v>73</v>
      </c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73"/>
      <c r="O13" s="29"/>
      <c r="P13" s="29" t="s">
        <v>31</v>
      </c>
      <c r="Q13" s="675"/>
      <c r="R13" s="67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6" t="s">
        <v>74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8" t="s">
        <v>75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8"/>
      <c r="N15" s="74"/>
      <c r="O15"/>
      <c r="P15" s="679" t="s">
        <v>61</v>
      </c>
      <c r="Q15" s="679"/>
      <c r="R15" s="679"/>
      <c r="S15" s="679"/>
      <c r="T15" s="6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0"/>
      <c r="Q16" s="680"/>
      <c r="R16" s="680"/>
      <c r="S16" s="680"/>
      <c r="T16" s="6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3" t="s">
        <v>59</v>
      </c>
      <c r="B17" s="683" t="s">
        <v>49</v>
      </c>
      <c r="C17" s="685" t="s">
        <v>48</v>
      </c>
      <c r="D17" s="687" t="s">
        <v>50</v>
      </c>
      <c r="E17" s="688"/>
      <c r="F17" s="683" t="s">
        <v>21</v>
      </c>
      <c r="G17" s="683" t="s">
        <v>24</v>
      </c>
      <c r="H17" s="683" t="s">
        <v>22</v>
      </c>
      <c r="I17" s="683" t="s">
        <v>23</v>
      </c>
      <c r="J17" s="683" t="s">
        <v>16</v>
      </c>
      <c r="K17" s="683" t="s">
        <v>66</v>
      </c>
      <c r="L17" s="683" t="s">
        <v>64</v>
      </c>
      <c r="M17" s="683" t="s">
        <v>2</v>
      </c>
      <c r="N17" s="683" t="s">
        <v>63</v>
      </c>
      <c r="O17" s="683" t="s">
        <v>25</v>
      </c>
      <c r="P17" s="687" t="s">
        <v>17</v>
      </c>
      <c r="Q17" s="691"/>
      <c r="R17" s="691"/>
      <c r="S17" s="691"/>
      <c r="T17" s="688"/>
      <c r="U17" s="681" t="s">
        <v>56</v>
      </c>
      <c r="V17" s="682"/>
      <c r="W17" s="683" t="s">
        <v>6</v>
      </c>
      <c r="X17" s="683" t="s">
        <v>41</v>
      </c>
      <c r="Y17" s="693" t="s">
        <v>54</v>
      </c>
      <c r="Z17" s="695" t="s">
        <v>18</v>
      </c>
      <c r="AA17" s="697" t="s">
        <v>60</v>
      </c>
      <c r="AB17" s="697" t="s">
        <v>19</v>
      </c>
      <c r="AC17" s="697" t="s">
        <v>65</v>
      </c>
      <c r="AD17" s="699" t="s">
        <v>57</v>
      </c>
      <c r="AE17" s="700"/>
      <c r="AF17" s="701"/>
      <c r="AG17" s="77"/>
      <c r="BD17" s="76" t="s">
        <v>62</v>
      </c>
    </row>
    <row r="18" spans="1:68" ht="14.25" customHeight="1" x14ac:dyDescent="0.2">
      <c r="A18" s="684"/>
      <c r="B18" s="684"/>
      <c r="C18" s="686"/>
      <c r="D18" s="689"/>
      <c r="E18" s="690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89"/>
      <c r="Q18" s="692"/>
      <c r="R18" s="692"/>
      <c r="S18" s="692"/>
      <c r="T18" s="690"/>
      <c r="U18" s="78" t="s">
        <v>44</v>
      </c>
      <c r="V18" s="78" t="s">
        <v>43</v>
      </c>
      <c r="W18" s="684"/>
      <c r="X18" s="684"/>
      <c r="Y18" s="694"/>
      <c r="Z18" s="696"/>
      <c r="AA18" s="698"/>
      <c r="AB18" s="698"/>
      <c r="AC18" s="698"/>
      <c r="AD18" s="702"/>
      <c r="AE18" s="703"/>
      <c r="AF18" s="704"/>
      <c r="AG18" s="77"/>
      <c r="BD18" s="76"/>
    </row>
    <row r="19" spans="1:68" ht="27.75" hidden="1" customHeight="1" x14ac:dyDescent="0.2">
      <c r="A19" s="705" t="s">
        <v>76</v>
      </c>
      <c r="B19" s="705"/>
      <c r="C19" s="705"/>
      <c r="D19" s="705"/>
      <c r="E19" s="705"/>
      <c r="F19" s="705"/>
      <c r="G19" s="705"/>
      <c r="H19" s="705"/>
      <c r="I19" s="705"/>
      <c r="J19" s="705"/>
      <c r="K19" s="705"/>
      <c r="L19" s="705"/>
      <c r="M19" s="705"/>
      <c r="N19" s="705"/>
      <c r="O19" s="705"/>
      <c r="P19" s="705"/>
      <c r="Q19" s="705"/>
      <c r="R19" s="705"/>
      <c r="S19" s="705"/>
      <c r="T19" s="705"/>
      <c r="U19" s="705"/>
      <c r="V19" s="705"/>
      <c r="W19" s="705"/>
      <c r="X19" s="705"/>
      <c r="Y19" s="705"/>
      <c r="Z19" s="705"/>
      <c r="AA19" s="52"/>
      <c r="AB19" s="52"/>
      <c r="AC19" s="52"/>
    </row>
    <row r="20" spans="1:68" ht="16.5" hidden="1" customHeight="1" x14ac:dyDescent="0.25">
      <c r="A20" s="706" t="s">
        <v>76</v>
      </c>
      <c r="B20" s="706"/>
      <c r="C20" s="706"/>
      <c r="D20" s="706"/>
      <c r="E20" s="706"/>
      <c r="F20" s="706"/>
      <c r="G20" s="706"/>
      <c r="H20" s="706"/>
      <c r="I20" s="706"/>
      <c r="J20" s="706"/>
      <c r="K20" s="706"/>
      <c r="L20" s="706"/>
      <c r="M20" s="706"/>
      <c r="N20" s="706"/>
      <c r="O20" s="706"/>
      <c r="P20" s="706"/>
      <c r="Q20" s="706"/>
      <c r="R20" s="706"/>
      <c r="S20" s="706"/>
      <c r="T20" s="706"/>
      <c r="U20" s="706"/>
      <c r="V20" s="706"/>
      <c r="W20" s="706"/>
      <c r="X20" s="706"/>
      <c r="Y20" s="706"/>
      <c r="Z20" s="706"/>
      <c r="AA20" s="62"/>
      <c r="AB20" s="62"/>
      <c r="AC20" s="62"/>
    </row>
    <row r="21" spans="1:68" ht="14.25" hidden="1" customHeight="1" x14ac:dyDescent="0.25">
      <c r="A21" s="707" t="s">
        <v>77</v>
      </c>
      <c r="B21" s="707"/>
      <c r="C21" s="707"/>
      <c r="D21" s="707"/>
      <c r="E21" s="707"/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07"/>
      <c r="V21" s="707"/>
      <c r="W21" s="707"/>
      <c r="X21" s="707"/>
      <c r="Y21" s="707"/>
      <c r="Z21" s="70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708">
        <v>4680115889071</v>
      </c>
      <c r="E22" s="708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0"/>
      <c r="R22" s="710"/>
      <c r="S22" s="710"/>
      <c r="T22" s="71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715"/>
      <c r="B23" s="715"/>
      <c r="C23" s="715"/>
      <c r="D23" s="715"/>
      <c r="E23" s="715"/>
      <c r="F23" s="715"/>
      <c r="G23" s="715"/>
      <c r="H23" s="715"/>
      <c r="I23" s="715"/>
      <c r="J23" s="715"/>
      <c r="K23" s="715"/>
      <c r="L23" s="715"/>
      <c r="M23" s="715"/>
      <c r="N23" s="715"/>
      <c r="O23" s="716"/>
      <c r="P23" s="712" t="s">
        <v>40</v>
      </c>
      <c r="Q23" s="713"/>
      <c r="R23" s="713"/>
      <c r="S23" s="713"/>
      <c r="T23" s="713"/>
      <c r="U23" s="713"/>
      <c r="V23" s="714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707" t="s">
        <v>83</v>
      </c>
      <c r="B25" s="707"/>
      <c r="C25" s="707"/>
      <c r="D25" s="707"/>
      <c r="E25" s="707"/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07"/>
      <c r="V25" s="707"/>
      <c r="W25" s="707"/>
      <c r="X25" s="707"/>
      <c r="Y25" s="707"/>
      <c r="Z25" s="707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708">
        <v>4680115885912</v>
      </c>
      <c r="E26" s="70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0"/>
      <c r="R26" s="710"/>
      <c r="S26" s="710"/>
      <c r="T26" s="711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708">
        <v>4607091388237</v>
      </c>
      <c r="E27" s="70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0"/>
      <c r="R27" s="710"/>
      <c r="S27" s="710"/>
      <c r="T27" s="71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708">
        <v>4680115887350</v>
      </c>
      <c r="E28" s="708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0"/>
      <c r="R28" s="710"/>
      <c r="S28" s="710"/>
      <c r="T28" s="71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708">
        <v>4680115885905</v>
      </c>
      <c r="E29" s="70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0"/>
      <c r="R29" s="710"/>
      <c r="S29" s="710"/>
      <c r="T29" s="71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708">
        <v>4680115887619</v>
      </c>
      <c r="E30" s="708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0"/>
      <c r="R30" s="710"/>
      <c r="S30" s="710"/>
      <c r="T30" s="71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715"/>
      <c r="B31" s="715"/>
      <c r="C31" s="715"/>
      <c r="D31" s="715"/>
      <c r="E31" s="715"/>
      <c r="F31" s="715"/>
      <c r="G31" s="715"/>
      <c r="H31" s="715"/>
      <c r="I31" s="715"/>
      <c r="J31" s="715"/>
      <c r="K31" s="715"/>
      <c r="L31" s="715"/>
      <c r="M31" s="715"/>
      <c r="N31" s="715"/>
      <c r="O31" s="716"/>
      <c r="P31" s="712" t="s">
        <v>40</v>
      </c>
      <c r="Q31" s="713"/>
      <c r="R31" s="713"/>
      <c r="S31" s="713"/>
      <c r="T31" s="713"/>
      <c r="U31" s="713"/>
      <c r="V31" s="714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hidden="1" customHeight="1" x14ac:dyDescent="0.25">
      <c r="A33" s="707" t="s">
        <v>101</v>
      </c>
      <c r="B33" s="707"/>
      <c r="C33" s="707"/>
      <c r="D33" s="707"/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707"/>
      <c r="W33" s="707"/>
      <c r="X33" s="707"/>
      <c r="Y33" s="707"/>
      <c r="Z33" s="707"/>
      <c r="AA33" s="63"/>
      <c r="AB33" s="63"/>
      <c r="AC33" s="63"/>
    </row>
    <row r="34" spans="1:68" ht="27" hidden="1" customHeight="1" x14ac:dyDescent="0.25">
      <c r="A34" s="60" t="s">
        <v>102</v>
      </c>
      <c r="B34" s="60" t="s">
        <v>103</v>
      </c>
      <c r="C34" s="34">
        <v>4301032059</v>
      </c>
      <c r="D34" s="708">
        <v>4680115889262</v>
      </c>
      <c r="E34" s="708"/>
      <c r="F34" s="59">
        <v>0.05</v>
      </c>
      <c r="G34" s="35">
        <v>8</v>
      </c>
      <c r="H34" s="59">
        <v>0.4</v>
      </c>
      <c r="I34" s="59">
        <v>0.57999999999999996</v>
      </c>
      <c r="J34" s="35">
        <v>330</v>
      </c>
      <c r="K34" s="35" t="s">
        <v>108</v>
      </c>
      <c r="L34" s="35" t="s">
        <v>46</v>
      </c>
      <c r="M34" s="36" t="s">
        <v>107</v>
      </c>
      <c r="N34" s="36"/>
      <c r="O34" s="35">
        <v>180</v>
      </c>
      <c r="P34" s="72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0"/>
      <c r="R34" s="710"/>
      <c r="S34" s="710"/>
      <c r="T34" s="711"/>
      <c r="U34" s="37" t="s">
        <v>46</v>
      </c>
      <c r="V34" s="37" t="s">
        <v>46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IFERROR(IF(Y34=0,"",ROUNDUP(Y34/H34,0)*0.00337),"")</f>
        <v/>
      </c>
      <c r="AA34" s="65" t="s">
        <v>46</v>
      </c>
      <c r="AB34" s="66" t="s">
        <v>106</v>
      </c>
      <c r="AC34" s="93" t="s">
        <v>104</v>
      </c>
      <c r="AG34" s="75"/>
      <c r="AJ34" s="79" t="s">
        <v>46</v>
      </c>
      <c r="AK34" s="79">
        <v>0</v>
      </c>
      <c r="BB34" s="94" t="s">
        <v>105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t="27" hidden="1" customHeight="1" x14ac:dyDescent="0.25">
      <c r="A35" s="60" t="s">
        <v>109</v>
      </c>
      <c r="B35" s="60" t="s">
        <v>110</v>
      </c>
      <c r="C35" s="34">
        <v>4301032063</v>
      </c>
      <c r="D35" s="708">
        <v>4680115889040</v>
      </c>
      <c r="E35" s="708"/>
      <c r="F35" s="59">
        <v>0.04</v>
      </c>
      <c r="G35" s="35">
        <v>8</v>
      </c>
      <c r="H35" s="59">
        <v>0.32</v>
      </c>
      <c r="I35" s="59">
        <v>0.5</v>
      </c>
      <c r="J35" s="35">
        <v>330</v>
      </c>
      <c r="K35" s="35" t="s">
        <v>108</v>
      </c>
      <c r="L35" s="35" t="s">
        <v>46</v>
      </c>
      <c r="M35" s="36" t="s">
        <v>107</v>
      </c>
      <c r="N35" s="36"/>
      <c r="O35" s="35">
        <v>120</v>
      </c>
      <c r="P35" s="72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0"/>
      <c r="R35" s="710"/>
      <c r="S35" s="710"/>
      <c r="T35" s="711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IFERROR(IF(Y35=0,"",ROUNDUP(Y35/H35,0)*0.00337),"")</f>
        <v/>
      </c>
      <c r="AA35" s="65" t="s">
        <v>46</v>
      </c>
      <c r="AB35" s="66" t="s">
        <v>106</v>
      </c>
      <c r="AC35" s="95" t="s">
        <v>111</v>
      </c>
      <c r="AG35" s="75"/>
      <c r="AJ35" s="79" t="s">
        <v>46</v>
      </c>
      <c r="AK35" s="79">
        <v>0</v>
      </c>
      <c r="BB35" s="96" t="s">
        <v>105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0" t="s">
        <v>39</v>
      </c>
      <c r="X36" s="41">
        <f>IFERROR(X34/H34,"0")+IFERROR(X35/H35,"0")</f>
        <v>0</v>
      </c>
      <c r="Y36" s="41">
        <f>IFERROR(Y34/H34,"0")+IFERROR(Y35/H35,"0")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0" t="s">
        <v>0</v>
      </c>
      <c r="X37" s="41">
        <f>IFERROR(SUM(X34:X35),"0")</f>
        <v>0</v>
      </c>
      <c r="Y37" s="41">
        <f>IFERROR(SUM(Y34:Y35),"0")</f>
        <v>0</v>
      </c>
      <c r="Z37" s="40"/>
      <c r="AA37" s="64"/>
      <c r="AB37" s="64"/>
      <c r="AC37" s="64"/>
    </row>
    <row r="38" spans="1:68" ht="27.75" hidden="1" customHeight="1" x14ac:dyDescent="0.2">
      <c r="A38" s="705" t="s">
        <v>45</v>
      </c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5"/>
      <c r="N38" s="705"/>
      <c r="O38" s="705"/>
      <c r="P38" s="705"/>
      <c r="Q38" s="705"/>
      <c r="R38" s="705"/>
      <c r="S38" s="705"/>
      <c r="T38" s="705"/>
      <c r="U38" s="705"/>
      <c r="V38" s="705"/>
      <c r="W38" s="705"/>
      <c r="X38" s="705"/>
      <c r="Y38" s="705"/>
      <c r="Z38" s="705"/>
      <c r="AA38" s="52"/>
      <c r="AB38" s="52"/>
      <c r="AC38" s="52"/>
    </row>
    <row r="39" spans="1:68" ht="16.5" hidden="1" customHeight="1" x14ac:dyDescent="0.25">
      <c r="A39" s="706" t="s">
        <v>112</v>
      </c>
      <c r="B39" s="706"/>
      <c r="C39" s="706"/>
      <c r="D39" s="706"/>
      <c r="E39" s="706"/>
      <c r="F39" s="706"/>
      <c r="G39" s="706"/>
      <c r="H39" s="706"/>
      <c r="I39" s="706"/>
      <c r="J39" s="706"/>
      <c r="K39" s="706"/>
      <c r="L39" s="706"/>
      <c r="M39" s="706"/>
      <c r="N39" s="706"/>
      <c r="O39" s="706"/>
      <c r="P39" s="706"/>
      <c r="Q39" s="706"/>
      <c r="R39" s="706"/>
      <c r="S39" s="706"/>
      <c r="T39" s="706"/>
      <c r="U39" s="706"/>
      <c r="V39" s="706"/>
      <c r="W39" s="706"/>
      <c r="X39" s="706"/>
      <c r="Y39" s="706"/>
      <c r="Z39" s="706"/>
      <c r="AA39" s="62"/>
      <c r="AB39" s="62"/>
      <c r="AC39" s="62"/>
    </row>
    <row r="40" spans="1:68" ht="14.25" hidden="1" customHeight="1" x14ac:dyDescent="0.25">
      <c r="A40" s="707" t="s">
        <v>83</v>
      </c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07"/>
      <c r="W40" s="707"/>
      <c r="X40" s="707"/>
      <c r="Y40" s="707"/>
      <c r="Z40" s="707"/>
      <c r="AA40" s="63"/>
      <c r="AB40" s="63"/>
      <c r="AC40" s="63"/>
    </row>
    <row r="41" spans="1:68" ht="27" hidden="1" customHeight="1" x14ac:dyDescent="0.25">
      <c r="A41" s="60" t="s">
        <v>113</v>
      </c>
      <c r="B41" s="60" t="s">
        <v>114</v>
      </c>
      <c r="C41" s="34">
        <v>4301052187</v>
      </c>
      <c r="D41" s="708">
        <v>4680115889354</v>
      </c>
      <c r="E41" s="70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88</v>
      </c>
      <c r="L41" s="35" t="s">
        <v>46</v>
      </c>
      <c r="M41" s="36" t="s">
        <v>94</v>
      </c>
      <c r="N41" s="36"/>
      <c r="O41" s="35">
        <v>40</v>
      </c>
      <c r="P41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0"/>
      <c r="R41" s="710"/>
      <c r="S41" s="710"/>
      <c r="T41" s="71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115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116</v>
      </c>
      <c r="B42" s="60" t="s">
        <v>117</v>
      </c>
      <c r="C42" s="34">
        <v>4301052198</v>
      </c>
      <c r="D42" s="708">
        <v>4680115888463</v>
      </c>
      <c r="E42" s="70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88</v>
      </c>
      <c r="L42" s="35" t="s">
        <v>46</v>
      </c>
      <c r="M42" s="36" t="s">
        <v>87</v>
      </c>
      <c r="N42" s="36"/>
      <c r="O42" s="35">
        <v>40</v>
      </c>
      <c r="P42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0"/>
      <c r="R42" s="710"/>
      <c r="S42" s="710"/>
      <c r="T42" s="71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118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119</v>
      </c>
      <c r="B43" s="60" t="s">
        <v>120</v>
      </c>
      <c r="C43" s="34">
        <v>4301052259</v>
      </c>
      <c r="D43" s="708">
        <v>4680115889590</v>
      </c>
      <c r="E43" s="708"/>
      <c r="F43" s="59">
        <v>0.3</v>
      </c>
      <c r="G43" s="35">
        <v>4</v>
      </c>
      <c r="H43" s="59">
        <v>1.2</v>
      </c>
      <c r="I43" s="59">
        <v>6.18</v>
      </c>
      <c r="J43" s="35">
        <v>182</v>
      </c>
      <c r="K43" s="35" t="s">
        <v>88</v>
      </c>
      <c r="L43" s="35" t="s">
        <v>46</v>
      </c>
      <c r="M43" s="36" t="s">
        <v>87</v>
      </c>
      <c r="N43" s="36"/>
      <c r="O43" s="35">
        <v>40</v>
      </c>
      <c r="P43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0"/>
      <c r="R43" s="710"/>
      <c r="S43" s="710"/>
      <c r="T43" s="71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121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122</v>
      </c>
      <c r="B44" s="60" t="s">
        <v>123</v>
      </c>
      <c r="C44" s="34">
        <v>4301052184</v>
      </c>
      <c r="D44" s="708">
        <v>4680115888272</v>
      </c>
      <c r="E44" s="70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88</v>
      </c>
      <c r="L44" s="35" t="s">
        <v>46</v>
      </c>
      <c r="M44" s="36" t="s">
        <v>87</v>
      </c>
      <c r="N44" s="36"/>
      <c r="O44" s="35">
        <v>40</v>
      </c>
      <c r="P44" s="7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0"/>
      <c r="R44" s="710"/>
      <c r="S44" s="710"/>
      <c r="T44" s="71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124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125</v>
      </c>
      <c r="B45" s="60" t="s">
        <v>126</v>
      </c>
      <c r="C45" s="34">
        <v>4301052188</v>
      </c>
      <c r="D45" s="708">
        <v>4680115888364</v>
      </c>
      <c r="E45" s="70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88</v>
      </c>
      <c r="L45" s="35" t="s">
        <v>46</v>
      </c>
      <c r="M45" s="36" t="s">
        <v>87</v>
      </c>
      <c r="N45" s="36"/>
      <c r="O45" s="35">
        <v>40</v>
      </c>
      <c r="P45" s="7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0"/>
      <c r="R45" s="710"/>
      <c r="S45" s="710"/>
      <c r="T45" s="71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127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5" t="s">
        <v>128</v>
      </c>
      <c r="B48" s="705"/>
      <c r="C48" s="705"/>
      <c r="D48" s="705"/>
      <c r="E48" s="705"/>
      <c r="F48" s="705"/>
      <c r="G48" s="705"/>
      <c r="H48" s="705"/>
      <c r="I48" s="705"/>
      <c r="J48" s="705"/>
      <c r="K48" s="705"/>
      <c r="L48" s="705"/>
      <c r="M48" s="705"/>
      <c r="N48" s="705"/>
      <c r="O48" s="705"/>
      <c r="P48" s="705"/>
      <c r="Q48" s="705"/>
      <c r="R48" s="705"/>
      <c r="S48" s="705"/>
      <c r="T48" s="705"/>
      <c r="U48" s="705"/>
      <c r="V48" s="705"/>
      <c r="W48" s="705"/>
      <c r="X48" s="705"/>
      <c r="Y48" s="705"/>
      <c r="Z48" s="705"/>
      <c r="AA48" s="52"/>
      <c r="AB48" s="52"/>
      <c r="AC48" s="52"/>
    </row>
    <row r="49" spans="1:68" ht="16.5" hidden="1" customHeight="1" x14ac:dyDescent="0.25">
      <c r="A49" s="706" t="s">
        <v>129</v>
      </c>
      <c r="B49" s="706"/>
      <c r="C49" s="706"/>
      <c r="D49" s="706"/>
      <c r="E49" s="706"/>
      <c r="F49" s="706"/>
      <c r="G49" s="706"/>
      <c r="H49" s="706"/>
      <c r="I49" s="706"/>
      <c r="J49" s="706"/>
      <c r="K49" s="706"/>
      <c r="L49" s="706"/>
      <c r="M49" s="706"/>
      <c r="N49" s="706"/>
      <c r="O49" s="706"/>
      <c r="P49" s="706"/>
      <c r="Q49" s="706"/>
      <c r="R49" s="706"/>
      <c r="S49" s="706"/>
      <c r="T49" s="706"/>
      <c r="U49" s="706"/>
      <c r="V49" s="706"/>
      <c r="W49" s="706"/>
      <c r="X49" s="706"/>
      <c r="Y49" s="706"/>
      <c r="Z49" s="706"/>
      <c r="AA49" s="62"/>
      <c r="AB49" s="62"/>
      <c r="AC49" s="62"/>
    </row>
    <row r="50" spans="1:68" ht="14.25" hidden="1" customHeight="1" x14ac:dyDescent="0.25">
      <c r="A50" s="707" t="s">
        <v>130</v>
      </c>
      <c r="B50" s="707"/>
      <c r="C50" s="707"/>
      <c r="D50" s="707"/>
      <c r="E50" s="707"/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7"/>
      <c r="V50" s="707"/>
      <c r="W50" s="707"/>
      <c r="X50" s="707"/>
      <c r="Y50" s="707"/>
      <c r="Z50" s="707"/>
      <c r="AA50" s="63"/>
      <c r="AB50" s="63"/>
      <c r="AC50" s="63"/>
    </row>
    <row r="51" spans="1:68" ht="16.5" customHeight="1" x14ac:dyDescent="0.25">
      <c r="A51" s="60" t="s">
        <v>131</v>
      </c>
      <c r="B51" s="60" t="s">
        <v>132</v>
      </c>
      <c r="C51" s="34">
        <v>4301011380</v>
      </c>
      <c r="D51" s="708">
        <v>4607091385670</v>
      </c>
      <c r="E51" s="70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135</v>
      </c>
      <c r="L51" s="35" t="s">
        <v>46</v>
      </c>
      <c r="M51" s="36" t="s">
        <v>134</v>
      </c>
      <c r="N51" s="36"/>
      <c r="O51" s="35">
        <v>50</v>
      </c>
      <c r="P51" s="72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0"/>
      <c r="R51" s="710"/>
      <c r="S51" s="710"/>
      <c r="T51" s="711"/>
      <c r="U51" s="37" t="s">
        <v>46</v>
      </c>
      <c r="V51" s="37" t="s">
        <v>46</v>
      </c>
      <c r="W51" s="38" t="s">
        <v>0</v>
      </c>
      <c r="X51" s="56">
        <v>150</v>
      </c>
      <c r="Y51" s="53">
        <f>IFERROR(IF(X51="",0,CEILING((X51/$H51),1)*$H51),"")</f>
        <v>151.20000000000002</v>
      </c>
      <c r="Z51" s="39">
        <f>IFERROR(IF(Y51=0,"",ROUNDUP(Y51/H51,0)*0.01898),"")</f>
        <v>0.26572000000000001</v>
      </c>
      <c r="AA51" s="65" t="s">
        <v>46</v>
      </c>
      <c r="AB51" s="66" t="s">
        <v>46</v>
      </c>
      <c r="AC51" s="107" t="s">
        <v>133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155.69444444444446</v>
      </c>
      <c r="BN51" s="75">
        <f>IFERROR(Y51*I51/H51,"0")</f>
        <v>156.94</v>
      </c>
      <c r="BO51" s="75">
        <f>IFERROR(1/J51*(X51/H51),"0")</f>
        <v>0.21701388888888887</v>
      </c>
      <c r="BP51" s="75">
        <f>IFERROR(1/J51*(Y51/H51),"0")</f>
        <v>0.21875</v>
      </c>
    </row>
    <row r="52" spans="1:68" ht="27" hidden="1" customHeight="1" x14ac:dyDescent="0.25">
      <c r="A52" s="60" t="s">
        <v>136</v>
      </c>
      <c r="B52" s="60" t="s">
        <v>137</v>
      </c>
      <c r="C52" s="34">
        <v>4301012053</v>
      </c>
      <c r="D52" s="708">
        <v>4680115887725</v>
      </c>
      <c r="E52" s="70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139</v>
      </c>
      <c r="L52" s="35" t="s">
        <v>46</v>
      </c>
      <c r="M52" s="36" t="s">
        <v>81</v>
      </c>
      <c r="N52" s="36"/>
      <c r="O52" s="35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0"/>
      <c r="R52" s="710"/>
      <c r="S52" s="710"/>
      <c r="T52" s="71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138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140</v>
      </c>
      <c r="B53" s="60" t="s">
        <v>141</v>
      </c>
      <c r="C53" s="34">
        <v>4301011382</v>
      </c>
      <c r="D53" s="708">
        <v>4607091385687</v>
      </c>
      <c r="E53" s="70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142</v>
      </c>
      <c r="L53" s="35" t="s">
        <v>46</v>
      </c>
      <c r="M53" s="36" t="s">
        <v>87</v>
      </c>
      <c r="N53" s="36"/>
      <c r="O53" s="35">
        <v>50</v>
      </c>
      <c r="P53" s="7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0"/>
      <c r="R53" s="710"/>
      <c r="S53" s="710"/>
      <c r="T53" s="711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133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143</v>
      </c>
      <c r="B54" s="60" t="s">
        <v>144</v>
      </c>
      <c r="C54" s="34">
        <v>4301011565</v>
      </c>
      <c r="D54" s="708">
        <v>4680115882539</v>
      </c>
      <c r="E54" s="70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142</v>
      </c>
      <c r="L54" s="35" t="s">
        <v>46</v>
      </c>
      <c r="M54" s="36" t="s">
        <v>87</v>
      </c>
      <c r="N54" s="36"/>
      <c r="O54" s="35">
        <v>50</v>
      </c>
      <c r="P54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0"/>
      <c r="R54" s="710"/>
      <c r="S54" s="710"/>
      <c r="T54" s="71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133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0" t="s">
        <v>39</v>
      </c>
      <c r="X55" s="41">
        <f>IFERROR(X51/H51,"0")+IFERROR(X52/H52,"0")+IFERROR(X53/H53,"0")+IFERROR(X54/H54,"0")</f>
        <v>63.888888888888886</v>
      </c>
      <c r="Y55" s="41">
        <f>IFERROR(Y51/H51,"0")+IFERROR(Y52/H52,"0")+IFERROR(Y53/H53,"0")+IFERROR(Y54/H54,"0")</f>
        <v>64</v>
      </c>
      <c r="Z55" s="41">
        <f>IFERROR(IF(Z51="",0,Z51),"0")+IFERROR(IF(Z52="",0,Z52),"0")+IFERROR(IF(Z53="",0,Z53),"0")+IFERROR(IF(Z54="",0,Z54),"0")</f>
        <v>0.71672000000000002</v>
      </c>
      <c r="AA55" s="64"/>
      <c r="AB55" s="64"/>
      <c r="AC55" s="64"/>
    </row>
    <row r="56" spans="1:68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0" t="s">
        <v>0</v>
      </c>
      <c r="X56" s="41">
        <f>IFERROR(SUM(X51:X54),"0")</f>
        <v>350</v>
      </c>
      <c r="Y56" s="41">
        <f>IFERROR(SUM(Y51:Y54),"0")</f>
        <v>351.20000000000005</v>
      </c>
      <c r="Z56" s="40"/>
      <c r="AA56" s="64"/>
      <c r="AB56" s="64"/>
      <c r="AC56" s="64"/>
    </row>
    <row r="57" spans="1:68" ht="16.5" hidden="1" customHeight="1" x14ac:dyDescent="0.25">
      <c r="A57" s="706" t="s">
        <v>145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6"/>
      <c r="Q57" s="706"/>
      <c r="R57" s="706"/>
      <c r="S57" s="706"/>
      <c r="T57" s="706"/>
      <c r="U57" s="706"/>
      <c r="V57" s="706"/>
      <c r="W57" s="706"/>
      <c r="X57" s="706"/>
      <c r="Y57" s="706"/>
      <c r="Z57" s="706"/>
      <c r="AA57" s="62"/>
      <c r="AB57" s="62"/>
      <c r="AC57" s="62"/>
    </row>
    <row r="58" spans="1:68" ht="14.25" hidden="1" customHeight="1" x14ac:dyDescent="0.25">
      <c r="A58" s="707" t="s">
        <v>130</v>
      </c>
      <c r="B58" s="707"/>
      <c r="C58" s="707"/>
      <c r="D58" s="707"/>
      <c r="E58" s="707"/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07"/>
      <c r="W58" s="707"/>
      <c r="X58" s="707"/>
      <c r="Y58" s="707"/>
      <c r="Z58" s="707"/>
      <c r="AA58" s="63"/>
      <c r="AB58" s="63"/>
      <c r="AC58" s="63"/>
    </row>
    <row r="59" spans="1:68" ht="27" hidden="1" customHeight="1" x14ac:dyDescent="0.25">
      <c r="A59" s="60" t="s">
        <v>146</v>
      </c>
      <c r="B59" s="60" t="s">
        <v>147</v>
      </c>
      <c r="C59" s="34">
        <v>4301012161</v>
      </c>
      <c r="D59" s="708">
        <v>4680115885882</v>
      </c>
      <c r="E59" s="70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135</v>
      </c>
      <c r="L59" s="35" t="s">
        <v>46</v>
      </c>
      <c r="M59" s="36" t="s">
        <v>134</v>
      </c>
      <c r="N59" s="36"/>
      <c r="O59" s="35">
        <v>50</v>
      </c>
      <c r="P59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0"/>
      <c r="R59" s="710"/>
      <c r="S59" s="710"/>
      <c r="T59" s="71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148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149</v>
      </c>
      <c r="B60" s="60" t="s">
        <v>150</v>
      </c>
      <c r="C60" s="34">
        <v>4301011816</v>
      </c>
      <c r="D60" s="708">
        <v>4680115881426</v>
      </c>
      <c r="E60" s="708"/>
      <c r="F60" s="59">
        <v>1.35</v>
      </c>
      <c r="G60" s="35">
        <v>8</v>
      </c>
      <c r="H60" s="59">
        <v>10.8</v>
      </c>
      <c r="I60" s="59">
        <v>11.21</v>
      </c>
      <c r="J60" s="35">
        <v>64</v>
      </c>
      <c r="K60" s="35" t="s">
        <v>135</v>
      </c>
      <c r="L60" s="35" t="s">
        <v>46</v>
      </c>
      <c r="M60" s="36" t="s">
        <v>134</v>
      </c>
      <c r="N60" s="36"/>
      <c r="O60" s="35">
        <v>50</v>
      </c>
      <c r="P60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0"/>
      <c r="R60" s="710"/>
      <c r="S60" s="710"/>
      <c r="T60" s="711"/>
      <c r="U60" s="37" t="s">
        <v>46</v>
      </c>
      <c r="V60" s="37" t="s">
        <v>46</v>
      </c>
      <c r="W60" s="38" t="s">
        <v>0</v>
      </c>
      <c r="X60" s="56">
        <v>60</v>
      </c>
      <c r="Y60" s="53">
        <f t="shared" si="0"/>
        <v>64.800000000000011</v>
      </c>
      <c r="Z60" s="39">
        <f>IFERROR(IF(Y60=0,"",ROUNDUP(Y60/H60,0)*0.01898),"")</f>
        <v>0.11388000000000001</v>
      </c>
      <c r="AA60" s="65" t="s">
        <v>46</v>
      </c>
      <c r="AB60" s="66" t="s">
        <v>46</v>
      </c>
      <c r="AC60" s="117" t="s">
        <v>151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62.277777777777779</v>
      </c>
      <c r="BN60" s="75">
        <f t="shared" si="2"/>
        <v>67.260000000000005</v>
      </c>
      <c r="BO60" s="75">
        <f t="shared" si="3"/>
        <v>8.6805555555555552E-2</v>
      </c>
      <c r="BP60" s="75">
        <f t="shared" si="4"/>
        <v>9.3750000000000014E-2</v>
      </c>
    </row>
    <row r="61" spans="1:68" ht="27" hidden="1" customHeight="1" x14ac:dyDescent="0.25">
      <c r="A61" s="60" t="s">
        <v>149</v>
      </c>
      <c r="B61" s="60" t="s">
        <v>152</v>
      </c>
      <c r="C61" s="34">
        <v>4301012162</v>
      </c>
      <c r="D61" s="708">
        <v>4680115881426</v>
      </c>
      <c r="E61" s="70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135</v>
      </c>
      <c r="L61" s="35" t="s">
        <v>46</v>
      </c>
      <c r="M61" s="36" t="s">
        <v>134</v>
      </c>
      <c r="N61" s="36"/>
      <c r="O61" s="35">
        <v>50</v>
      </c>
      <c r="P61" s="7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0"/>
      <c r="R61" s="710"/>
      <c r="S61" s="710"/>
      <c r="T61" s="71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153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154</v>
      </c>
      <c r="B62" s="60" t="s">
        <v>155</v>
      </c>
      <c r="C62" s="34">
        <v>4301012259</v>
      </c>
      <c r="D62" s="708">
        <v>4680115880283</v>
      </c>
      <c r="E62" s="70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142</v>
      </c>
      <c r="L62" s="35" t="s">
        <v>46</v>
      </c>
      <c r="M62" s="36" t="s">
        <v>134</v>
      </c>
      <c r="N62" s="36"/>
      <c r="O62" s="35">
        <v>45</v>
      </c>
      <c r="P62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0"/>
      <c r="R62" s="710"/>
      <c r="S62" s="710"/>
      <c r="T62" s="71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156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157</v>
      </c>
      <c r="B63" s="60" t="s">
        <v>158</v>
      </c>
      <c r="C63" s="34">
        <v>4301011806</v>
      </c>
      <c r="D63" s="708">
        <v>4680115881525</v>
      </c>
      <c r="E63" s="70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142</v>
      </c>
      <c r="L63" s="35" t="s">
        <v>46</v>
      </c>
      <c r="M63" s="36" t="s">
        <v>134</v>
      </c>
      <c r="N63" s="36"/>
      <c r="O63" s="35">
        <v>50</v>
      </c>
      <c r="P63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0"/>
      <c r="R63" s="710"/>
      <c r="S63" s="710"/>
      <c r="T63" s="71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159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157</v>
      </c>
      <c r="B64" s="60" t="s">
        <v>160</v>
      </c>
      <c r="C64" s="34">
        <v>4301012159</v>
      </c>
      <c r="D64" s="708">
        <v>4680115881525</v>
      </c>
      <c r="E64" s="708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142</v>
      </c>
      <c r="L64" s="35" t="s">
        <v>46</v>
      </c>
      <c r="M64" s="36" t="s">
        <v>134</v>
      </c>
      <c r="N64" s="36"/>
      <c r="O64" s="35">
        <v>50</v>
      </c>
      <c r="P64" s="73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0"/>
      <c r="R64" s="710"/>
      <c r="S64" s="710"/>
      <c r="T64" s="71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153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708">
        <v>4680115885899</v>
      </c>
      <c r="E65" s="708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88</v>
      </c>
      <c r="L65" s="35" t="s">
        <v>46</v>
      </c>
      <c r="M65" s="36" t="s">
        <v>134</v>
      </c>
      <c r="N65" s="36"/>
      <c r="O65" s="35">
        <v>50</v>
      </c>
      <c r="P65" s="73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0"/>
      <c r="R65" s="710"/>
      <c r="S65" s="710"/>
      <c r="T65" s="71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4301012158</v>
      </c>
      <c r="D66" s="708">
        <v>4680115881419</v>
      </c>
      <c r="E66" s="708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142</v>
      </c>
      <c r="L66" s="35" t="s">
        <v>46</v>
      </c>
      <c r="M66" s="36" t="s">
        <v>134</v>
      </c>
      <c r="N66" s="36"/>
      <c r="O66" s="35">
        <v>50</v>
      </c>
      <c r="P66" s="74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0"/>
      <c r="R66" s="710"/>
      <c r="S66" s="710"/>
      <c r="T66" s="711"/>
      <c r="U66" s="37" t="s">
        <v>46</v>
      </c>
      <c r="V66" s="37" t="s">
        <v>46</v>
      </c>
      <c r="W66" s="38" t="s">
        <v>0</v>
      </c>
      <c r="X66" s="56">
        <v>315</v>
      </c>
      <c r="Y66" s="53">
        <f t="shared" si="0"/>
        <v>315</v>
      </c>
      <c r="Z66" s="39">
        <f>IFERROR(IF(Y66=0,"",ROUNDUP(Y66/H66,0)*0.00902),"")</f>
        <v>0.63139999999999996</v>
      </c>
      <c r="AA66" s="65" t="s">
        <v>46</v>
      </c>
      <c r="AB66" s="66" t="s">
        <v>46</v>
      </c>
      <c r="AC66" s="129" t="s">
        <v>153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328.3</v>
      </c>
      <c r="BN66" s="75">
        <f t="shared" si="2"/>
        <v>328.3</v>
      </c>
      <c r="BO66" s="75">
        <f t="shared" si="3"/>
        <v>0.53030303030303028</v>
      </c>
      <c r="BP66" s="75">
        <f t="shared" si="4"/>
        <v>0.53030303030303028</v>
      </c>
    </row>
    <row r="67" spans="1:68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75.555555555555557</v>
      </c>
      <c r="Y67" s="41">
        <f>IFERROR(Y59/H59,"0")+IFERROR(Y60/H60,"0")+IFERROR(Y61/H61,"0")+IFERROR(Y62/H62,"0")+IFERROR(Y63/H63,"0")+IFERROR(Y64/H64,"0")+IFERROR(Y65/H65,"0")+IFERROR(Y66/H66,"0")</f>
        <v>76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0.74527999999999994</v>
      </c>
      <c r="AA67" s="64"/>
      <c r="AB67" s="64"/>
      <c r="AC67" s="64"/>
    </row>
    <row r="68" spans="1:68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0" t="s">
        <v>0</v>
      </c>
      <c r="X68" s="41">
        <f>IFERROR(SUM(X59:X66),"0")</f>
        <v>375</v>
      </c>
      <c r="Y68" s="41">
        <f>IFERROR(SUM(Y59:Y66),"0")</f>
        <v>379.8</v>
      </c>
      <c r="Z68" s="40"/>
      <c r="AA68" s="64"/>
      <c r="AB68" s="64"/>
      <c r="AC68" s="64"/>
    </row>
    <row r="69" spans="1:68" ht="14.25" hidden="1" customHeight="1" x14ac:dyDescent="0.25">
      <c r="A69" s="707" t="s">
        <v>165</v>
      </c>
      <c r="B69" s="707"/>
      <c r="C69" s="707"/>
      <c r="D69" s="707"/>
      <c r="E69" s="707"/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07"/>
      <c r="T69" s="707"/>
      <c r="U69" s="707"/>
      <c r="V69" s="707"/>
      <c r="W69" s="707"/>
      <c r="X69" s="707"/>
      <c r="Y69" s="707"/>
      <c r="Z69" s="707"/>
      <c r="AA69" s="63"/>
      <c r="AB69" s="63"/>
      <c r="AC69" s="63"/>
    </row>
    <row r="70" spans="1:68" ht="27" customHeight="1" x14ac:dyDescent="0.25">
      <c r="A70" s="60" t="s">
        <v>166</v>
      </c>
      <c r="B70" s="60" t="s">
        <v>167</v>
      </c>
      <c r="C70" s="34">
        <v>4301020390</v>
      </c>
      <c r="D70" s="708">
        <v>4680115881440</v>
      </c>
      <c r="E70" s="708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135</v>
      </c>
      <c r="L70" s="35" t="s">
        <v>46</v>
      </c>
      <c r="M70" s="36" t="s">
        <v>134</v>
      </c>
      <c r="N70" s="36"/>
      <c r="O70" s="35">
        <v>50</v>
      </c>
      <c r="P70" s="74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0"/>
      <c r="R70" s="710"/>
      <c r="S70" s="710"/>
      <c r="T70" s="711"/>
      <c r="U70" s="37" t="s">
        <v>46</v>
      </c>
      <c r="V70" s="37" t="s">
        <v>46</v>
      </c>
      <c r="W70" s="38" t="s">
        <v>0</v>
      </c>
      <c r="X70" s="56">
        <v>60</v>
      </c>
      <c r="Y70" s="53">
        <f>IFERROR(IF(X70="",0,CEILING((X70/$H70),1)*$H70),"")</f>
        <v>64.800000000000011</v>
      </c>
      <c r="Z70" s="39">
        <f>IFERROR(IF(Y70=0,"",ROUNDUP(Y70/H70,0)*0.01898),"")</f>
        <v>0.11388000000000001</v>
      </c>
      <c r="AA70" s="65" t="s">
        <v>46</v>
      </c>
      <c r="AB70" s="66" t="s">
        <v>46</v>
      </c>
      <c r="AC70" s="131" t="s">
        <v>168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62.277777777777779</v>
      </c>
      <c r="BN70" s="75">
        <f>IFERROR(Y70*I70/H70,"0")</f>
        <v>67.260000000000005</v>
      </c>
      <c r="BO70" s="75">
        <f>IFERROR(1/J70*(X70/H70),"0")</f>
        <v>8.6805555555555552E-2</v>
      </c>
      <c r="BP70" s="75">
        <f>IFERROR(1/J70*(Y70/H70),"0")</f>
        <v>9.3750000000000014E-2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4301020358</v>
      </c>
      <c r="D71" s="708">
        <v>4680115885950</v>
      </c>
      <c r="E71" s="708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88</v>
      </c>
      <c r="L71" s="35" t="s">
        <v>46</v>
      </c>
      <c r="M71" s="36" t="s">
        <v>87</v>
      </c>
      <c r="N71" s="36"/>
      <c r="O71" s="35">
        <v>50</v>
      </c>
      <c r="P71" s="7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0"/>
      <c r="R71" s="710"/>
      <c r="S71" s="710"/>
      <c r="T71" s="71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708">
        <v>4680115887688</v>
      </c>
      <c r="E72" s="708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139</v>
      </c>
      <c r="L72" s="35" t="s">
        <v>46</v>
      </c>
      <c r="M72" s="36" t="s">
        <v>81</v>
      </c>
      <c r="N72" s="36"/>
      <c r="O72" s="35">
        <v>30</v>
      </c>
      <c r="P72" s="7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0"/>
      <c r="R72" s="710"/>
      <c r="S72" s="710"/>
      <c r="T72" s="71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4301020389</v>
      </c>
      <c r="D73" s="708">
        <v>4680115881433</v>
      </c>
      <c r="E73" s="708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88</v>
      </c>
      <c r="L73" s="35" t="s">
        <v>46</v>
      </c>
      <c r="M73" s="36" t="s">
        <v>134</v>
      </c>
      <c r="N73" s="36"/>
      <c r="O73" s="35">
        <v>50</v>
      </c>
      <c r="P73" s="74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0"/>
      <c r="R73" s="710"/>
      <c r="S73" s="710"/>
      <c r="T73" s="711"/>
      <c r="U73" s="37" t="s">
        <v>46</v>
      </c>
      <c r="V73" s="37" t="s">
        <v>46</v>
      </c>
      <c r="W73" s="38" t="s">
        <v>0</v>
      </c>
      <c r="X73" s="56">
        <v>90</v>
      </c>
      <c r="Y73" s="53">
        <f>IFERROR(IF(X73="",0,CEILING((X73/$H73),1)*$H73),"")</f>
        <v>91.800000000000011</v>
      </c>
      <c r="Z73" s="39">
        <f>IFERROR(IF(Y73=0,"",ROUNDUP(Y73/H73,0)*0.00651),"")</f>
        <v>0.22134000000000001</v>
      </c>
      <c r="AA73" s="65" t="s">
        <v>46</v>
      </c>
      <c r="AB73" s="66" t="s">
        <v>46</v>
      </c>
      <c r="AC73" s="137" t="s">
        <v>168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95.999999999999986</v>
      </c>
      <c r="BN73" s="75">
        <f>IFERROR(Y73*I73/H73,"0")</f>
        <v>97.92</v>
      </c>
      <c r="BO73" s="75">
        <f>IFERROR(1/J73*(X73/H73),"0")</f>
        <v>0.18315018315018314</v>
      </c>
      <c r="BP73" s="75">
        <f>IFERROR(1/J73*(Y73/H73),"0")</f>
        <v>0.18681318681318682</v>
      </c>
    </row>
    <row r="74" spans="1:68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0" t="s">
        <v>39</v>
      </c>
      <c r="X74" s="41">
        <f>IFERROR(X70/H70,"0")+IFERROR(X71/H71,"0")+IFERROR(X72/H72,"0")+IFERROR(X73/H73,"0")</f>
        <v>38.888888888888886</v>
      </c>
      <c r="Y74" s="41">
        <f>IFERROR(Y70/H70,"0")+IFERROR(Y71/H71,"0")+IFERROR(Y72/H72,"0")+IFERROR(Y73/H73,"0")</f>
        <v>40</v>
      </c>
      <c r="Z74" s="41">
        <f>IFERROR(IF(Z70="",0,Z70),"0")+IFERROR(IF(Z71="",0,Z71),"0")+IFERROR(IF(Z72="",0,Z72),"0")+IFERROR(IF(Z73="",0,Z73),"0")</f>
        <v>0.33522000000000002</v>
      </c>
      <c r="AA74" s="64"/>
      <c r="AB74" s="64"/>
      <c r="AC74" s="64"/>
    </row>
    <row r="75" spans="1:68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0" t="s">
        <v>0</v>
      </c>
      <c r="X75" s="41">
        <f>IFERROR(SUM(X70:X73),"0")</f>
        <v>150</v>
      </c>
      <c r="Y75" s="41">
        <f>IFERROR(SUM(Y70:Y73),"0")</f>
        <v>156.60000000000002</v>
      </c>
      <c r="Z75" s="40"/>
      <c r="AA75" s="64"/>
      <c r="AB75" s="64"/>
      <c r="AC75" s="64"/>
    </row>
    <row r="76" spans="1:68" ht="14.25" hidden="1" customHeight="1" x14ac:dyDescent="0.25">
      <c r="A76" s="707" t="s">
        <v>83</v>
      </c>
      <c r="B76" s="707"/>
      <c r="C76" s="707"/>
      <c r="D76" s="707"/>
      <c r="E76" s="707"/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07"/>
      <c r="R76" s="707"/>
      <c r="S76" s="707"/>
      <c r="T76" s="707"/>
      <c r="U76" s="707"/>
      <c r="V76" s="707"/>
      <c r="W76" s="707"/>
      <c r="X76" s="707"/>
      <c r="Y76" s="707"/>
      <c r="Z76" s="707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708">
        <v>4680115884311</v>
      </c>
      <c r="E77" s="708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88</v>
      </c>
      <c r="L77" s="35" t="s">
        <v>46</v>
      </c>
      <c r="M77" s="36" t="s">
        <v>87</v>
      </c>
      <c r="N77" s="36"/>
      <c r="O77" s="35">
        <v>40</v>
      </c>
      <c r="P77" s="7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0"/>
      <c r="R77" s="710"/>
      <c r="S77" s="710"/>
      <c r="T77" s="71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4301052083</v>
      </c>
      <c r="D78" s="708">
        <v>4680115884403</v>
      </c>
      <c r="E78" s="708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88</v>
      </c>
      <c r="L78" s="35" t="s">
        <v>46</v>
      </c>
      <c r="M78" s="36" t="s">
        <v>87</v>
      </c>
      <c r="N78" s="36"/>
      <c r="O78" s="35">
        <v>40</v>
      </c>
      <c r="P78" s="74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0"/>
      <c r="R78" s="710"/>
      <c r="S78" s="710"/>
      <c r="T78" s="71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7" t="s">
        <v>183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708">
        <v>4680115881532</v>
      </c>
      <c r="E82" s="708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135</v>
      </c>
      <c r="L82" s="35" t="s">
        <v>46</v>
      </c>
      <c r="M82" s="36" t="s">
        <v>94</v>
      </c>
      <c r="N82" s="36"/>
      <c r="O82" s="35">
        <v>30</v>
      </c>
      <c r="P82" s="7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0"/>
      <c r="R82" s="710"/>
      <c r="S82" s="710"/>
      <c r="T82" s="71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187</v>
      </c>
      <c r="C83" s="34">
        <v>4301060526</v>
      </c>
      <c r="D83" s="708">
        <v>4680115881532</v>
      </c>
      <c r="E83" s="708"/>
      <c r="F83" s="59">
        <v>1.3</v>
      </c>
      <c r="G83" s="35">
        <v>6</v>
      </c>
      <c r="H83" s="59">
        <v>7.8</v>
      </c>
      <c r="I83" s="59">
        <v>8.2100000000000009</v>
      </c>
      <c r="J83" s="35">
        <v>64</v>
      </c>
      <c r="K83" s="35" t="s">
        <v>135</v>
      </c>
      <c r="L83" s="35" t="s">
        <v>46</v>
      </c>
      <c r="M83" s="36" t="s">
        <v>94</v>
      </c>
      <c r="N83" s="36"/>
      <c r="O83" s="35">
        <v>30</v>
      </c>
      <c r="P83" s="74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0"/>
      <c r="R83" s="710"/>
      <c r="S83" s="710"/>
      <c r="T83" s="711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188</v>
      </c>
      <c r="B84" s="60" t="s">
        <v>189</v>
      </c>
      <c r="C84" s="34">
        <v>4301060527</v>
      </c>
      <c r="D84" s="708">
        <v>4680115881464</v>
      </c>
      <c r="E84" s="708"/>
      <c r="F84" s="59">
        <v>0.4</v>
      </c>
      <c r="G84" s="35">
        <v>6</v>
      </c>
      <c r="H84" s="59">
        <v>2.4</v>
      </c>
      <c r="I84" s="59">
        <v>2.59</v>
      </c>
      <c r="J84" s="35">
        <v>132</v>
      </c>
      <c r="K84" s="35" t="s">
        <v>142</v>
      </c>
      <c r="L84" s="35" t="s">
        <v>46</v>
      </c>
      <c r="M84" s="36" t="s">
        <v>87</v>
      </c>
      <c r="N84" s="36"/>
      <c r="O84" s="35">
        <v>30</v>
      </c>
      <c r="P84" s="74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0"/>
      <c r="R84" s="710"/>
      <c r="S84" s="710"/>
      <c r="T84" s="711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IFERROR(IF(Y84=0,"",ROUNDUP(Y84/H84,0)*0.00902),"")</f>
        <v/>
      </c>
      <c r="AA84" s="65" t="s">
        <v>46</v>
      </c>
      <c r="AB84" s="66" t="s">
        <v>46</v>
      </c>
      <c r="AC84" s="147" t="s">
        <v>190</v>
      </c>
      <c r="AG84" s="75"/>
      <c r="AJ84" s="79" t="s">
        <v>46</v>
      </c>
      <c r="AK84" s="79">
        <v>0</v>
      </c>
      <c r="BB84" s="148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0" t="s">
        <v>39</v>
      </c>
      <c r="X85" s="41">
        <f>IFERROR(X82/H82,"0")+IFERROR(X83/H83,"0")+IFERROR(X84/H84,"0")</f>
        <v>0</v>
      </c>
      <c r="Y85" s="41">
        <f>IFERROR(Y82/H82,"0")+IFERROR(Y83/H83,"0")+IFERROR(Y84/H84,"0")</f>
        <v>0</v>
      </c>
      <c r="Z85" s="41">
        <f>IFERROR(IF(Z82="",0,Z82),"0")+IFERROR(IF(Z83="",0,Z83),"0")+IFERROR(IF(Z84="",0,Z84),"0")</f>
        <v>0</v>
      </c>
      <c r="AA85" s="64"/>
      <c r="AB85" s="64"/>
      <c r="AC85" s="64"/>
    </row>
    <row r="86" spans="1:68" hidden="1" x14ac:dyDescent="0.2">
      <c r="A86" s="715"/>
      <c r="B86" s="715"/>
      <c r="C86" s="715"/>
      <c r="D86" s="715"/>
      <c r="E86" s="715"/>
      <c r="F86" s="715"/>
      <c r="G86" s="715"/>
      <c r="H86" s="715"/>
      <c r="I86" s="715"/>
      <c r="J86" s="715"/>
      <c r="K86" s="715"/>
      <c r="L86" s="715"/>
      <c r="M86" s="715"/>
      <c r="N86" s="715"/>
      <c r="O86" s="716"/>
      <c r="P86" s="712" t="s">
        <v>40</v>
      </c>
      <c r="Q86" s="713"/>
      <c r="R86" s="713"/>
      <c r="S86" s="713"/>
      <c r="T86" s="713"/>
      <c r="U86" s="713"/>
      <c r="V86" s="714"/>
      <c r="W86" s="40" t="s">
        <v>0</v>
      </c>
      <c r="X86" s="41">
        <f>IFERROR(SUM(X82:X84),"0")</f>
        <v>0</v>
      </c>
      <c r="Y86" s="41">
        <f>IFERROR(SUM(Y82:Y84),"0")</f>
        <v>0</v>
      </c>
      <c r="Z86" s="40"/>
      <c r="AA86" s="64"/>
      <c r="AB86" s="64"/>
      <c r="AC86" s="64"/>
    </row>
    <row r="87" spans="1:68" ht="16.5" hidden="1" customHeight="1" x14ac:dyDescent="0.25">
      <c r="A87" s="706" t="s">
        <v>191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2"/>
      <c r="AB87" s="62"/>
      <c r="AC87" s="62"/>
    </row>
    <row r="88" spans="1:68" ht="14.25" hidden="1" customHeight="1" x14ac:dyDescent="0.25">
      <c r="A88" s="707" t="s">
        <v>130</v>
      </c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707"/>
      <c r="Y88" s="707"/>
      <c r="Z88" s="707"/>
      <c r="AA88" s="63"/>
      <c r="AB88" s="63"/>
      <c r="AC88" s="63"/>
    </row>
    <row r="89" spans="1:68" ht="27" customHeight="1" x14ac:dyDescent="0.25">
      <c r="A89" s="60" t="s">
        <v>192</v>
      </c>
      <c r="B89" s="60" t="s">
        <v>193</v>
      </c>
      <c r="C89" s="34">
        <v>4301011468</v>
      </c>
      <c r="D89" s="708">
        <v>4680115881327</v>
      </c>
      <c r="E89" s="708"/>
      <c r="F89" s="59">
        <v>1.35</v>
      </c>
      <c r="G89" s="35">
        <v>8</v>
      </c>
      <c r="H89" s="59">
        <v>10.8</v>
      </c>
      <c r="I89" s="59">
        <v>11.21</v>
      </c>
      <c r="J89" s="35">
        <v>64</v>
      </c>
      <c r="K89" s="35" t="s">
        <v>135</v>
      </c>
      <c r="L89" s="35" t="s">
        <v>46</v>
      </c>
      <c r="M89" s="36" t="s">
        <v>94</v>
      </c>
      <c r="N89" s="36"/>
      <c r="O89" s="35">
        <v>50</v>
      </c>
      <c r="P89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0"/>
      <c r="R89" s="710"/>
      <c r="S89" s="710"/>
      <c r="T89" s="711"/>
      <c r="U89" s="37" t="s">
        <v>46</v>
      </c>
      <c r="V89" s="37" t="s">
        <v>46</v>
      </c>
      <c r="W89" s="38" t="s">
        <v>0</v>
      </c>
      <c r="X89" s="56">
        <v>80</v>
      </c>
      <c r="Y89" s="53">
        <f t="shared" ref="Y89:Y94" si="5">IFERROR(IF(X89="",0,CEILING((X89/$H89),1)*$H89),"")</f>
        <v>86.4</v>
      </c>
      <c r="Z89" s="39">
        <f>IFERROR(IF(Y89=0,"",ROUNDUP(Y89/H89,0)*0.01898),"")</f>
        <v>0.15184</v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 t="shared" ref="BM89:BM94" si="6">IFERROR(X89*I89/H89,"0")</f>
        <v>83.037037037037038</v>
      </c>
      <c r="BN89" s="75">
        <f t="shared" ref="BN89:BN94" si="7">IFERROR(Y89*I89/H89,"0")</f>
        <v>89.68</v>
      </c>
      <c r="BO89" s="75">
        <f t="shared" ref="BO89:BO94" si="8">IFERROR(1/J89*(X89/H89),"0")</f>
        <v>0.11574074074074073</v>
      </c>
      <c r="BP89" s="75">
        <f t="shared" ref="BP89:BP94" si="9">IFERROR(1/J89*(Y89/H89),"0")</f>
        <v>0.125</v>
      </c>
    </row>
    <row r="90" spans="1:68" ht="27" hidden="1" customHeight="1" x14ac:dyDescent="0.25">
      <c r="A90" s="60" t="s">
        <v>192</v>
      </c>
      <c r="B90" s="60" t="s">
        <v>195</v>
      </c>
      <c r="C90" s="34">
        <v>4301012251</v>
      </c>
      <c r="D90" s="708">
        <v>4680115881327</v>
      </c>
      <c r="E90" s="708"/>
      <c r="F90" s="59">
        <v>1.35</v>
      </c>
      <c r="G90" s="35">
        <v>8</v>
      </c>
      <c r="H90" s="59">
        <v>10.8</v>
      </c>
      <c r="I90" s="59">
        <v>11.21</v>
      </c>
      <c r="J90" s="35">
        <v>64</v>
      </c>
      <c r="K90" s="35" t="s">
        <v>135</v>
      </c>
      <c r="L90" s="35" t="s">
        <v>46</v>
      </c>
      <c r="M90" s="36" t="s">
        <v>134</v>
      </c>
      <c r="N90" s="36"/>
      <c r="O90" s="35">
        <v>50</v>
      </c>
      <c r="P90" s="75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0"/>
      <c r="R90" s="710"/>
      <c r="S90" s="710"/>
      <c r="T90" s="71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194</v>
      </c>
      <c r="AG90" s="75"/>
      <c r="AJ90" s="79" t="s">
        <v>46</v>
      </c>
      <c r="AK90" s="79">
        <v>0</v>
      </c>
      <c r="BB90" s="152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4301012392</v>
      </c>
      <c r="D91" s="708">
        <v>4680115887732</v>
      </c>
      <c r="E91" s="708"/>
      <c r="F91" s="59">
        <v>0.17</v>
      </c>
      <c r="G91" s="35">
        <v>8</v>
      </c>
      <c r="H91" s="59">
        <v>1.36</v>
      </c>
      <c r="I91" s="59">
        <v>1.54</v>
      </c>
      <c r="J91" s="35">
        <v>192</v>
      </c>
      <c r="K91" s="35" t="s">
        <v>139</v>
      </c>
      <c r="L91" s="35" t="s">
        <v>46</v>
      </c>
      <c r="M91" s="36" t="s">
        <v>81</v>
      </c>
      <c r="N91" s="36"/>
      <c r="O91" s="35">
        <v>30</v>
      </c>
      <c r="P91" s="75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0"/>
      <c r="R91" s="710"/>
      <c r="S91" s="710"/>
      <c r="T91" s="711"/>
      <c r="U91" s="37" t="s">
        <v>46</v>
      </c>
      <c r="V91" s="37" t="s">
        <v>46</v>
      </c>
      <c r="W91" s="38" t="s">
        <v>0</v>
      </c>
      <c r="X91" s="56">
        <v>0</v>
      </c>
      <c r="Y91" s="53">
        <f t="shared" si="5"/>
        <v>0</v>
      </c>
      <c r="Z91" s="39" t="str">
        <f>IFERROR(IF(Y91=0,"",ROUNDUP(Y91/H91,0)*0.00726),"")</f>
        <v/>
      </c>
      <c r="AA91" s="65" t="s">
        <v>46</v>
      </c>
      <c r="AB91" s="66" t="s">
        <v>46</v>
      </c>
      <c r="AC91" s="153" t="s">
        <v>198</v>
      </c>
      <c r="AG91" s="75"/>
      <c r="AJ91" s="79" t="s">
        <v>46</v>
      </c>
      <c r="AK91" s="79">
        <v>0</v>
      </c>
      <c r="BB91" s="154" t="s">
        <v>67</v>
      </c>
      <c r="BM91" s="75">
        <f t="shared" si="6"/>
        <v>0</v>
      </c>
      <c r="BN91" s="75">
        <f t="shared" si="7"/>
        <v>0</v>
      </c>
      <c r="BO91" s="75">
        <f t="shared" si="8"/>
        <v>0</v>
      </c>
      <c r="BP91" s="75">
        <f t="shared" si="9"/>
        <v>0</v>
      </c>
    </row>
    <row r="92" spans="1:68" ht="27" hidden="1" customHeight="1" x14ac:dyDescent="0.25">
      <c r="A92" s="60" t="s">
        <v>199</v>
      </c>
      <c r="B92" s="60" t="s">
        <v>200</v>
      </c>
      <c r="C92" s="34">
        <v>4301011476</v>
      </c>
      <c r="D92" s="708">
        <v>4680115881518</v>
      </c>
      <c r="E92" s="708"/>
      <c r="F92" s="59">
        <v>0.4</v>
      </c>
      <c r="G92" s="35">
        <v>10</v>
      </c>
      <c r="H92" s="59">
        <v>4</v>
      </c>
      <c r="I92" s="59">
        <v>4.1900000000000004</v>
      </c>
      <c r="J92" s="35">
        <v>132</v>
      </c>
      <c r="K92" s="35" t="s">
        <v>142</v>
      </c>
      <c r="L92" s="35" t="s">
        <v>46</v>
      </c>
      <c r="M92" s="36" t="s">
        <v>87</v>
      </c>
      <c r="N92" s="36"/>
      <c r="O92" s="35">
        <v>50</v>
      </c>
      <c r="P92" s="7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0"/>
      <c r="R92" s="710"/>
      <c r="S92" s="710"/>
      <c r="T92" s="711"/>
      <c r="U92" s="37" t="s">
        <v>46</v>
      </c>
      <c r="V92" s="37" t="s">
        <v>46</v>
      </c>
      <c r="W92" s="38" t="s">
        <v>0</v>
      </c>
      <c r="X92" s="56">
        <v>0</v>
      </c>
      <c r="Y92" s="53">
        <f t="shared" si="5"/>
        <v>0</v>
      </c>
      <c r="Z92" s="39" t="str">
        <f>IFERROR(IF(Y92=0,"",ROUNDUP(Y92/H92,0)*0.00902),"")</f>
        <v/>
      </c>
      <c r="AA92" s="65" t="s">
        <v>46</v>
      </c>
      <c r="AB92" s="66" t="s">
        <v>46</v>
      </c>
      <c r="AC92" s="155" t="s">
        <v>194</v>
      </c>
      <c r="AG92" s="75"/>
      <c r="AJ92" s="79" t="s">
        <v>46</v>
      </c>
      <c r="AK92" s="79">
        <v>0</v>
      </c>
      <c r="BB92" s="156" t="s">
        <v>67</v>
      </c>
      <c r="BM92" s="75">
        <f t="shared" si="6"/>
        <v>0</v>
      </c>
      <c r="BN92" s="75">
        <f t="shared" si="7"/>
        <v>0</v>
      </c>
      <c r="BO92" s="75">
        <f t="shared" si="8"/>
        <v>0</v>
      </c>
      <c r="BP92" s="75">
        <f t="shared" si="9"/>
        <v>0</v>
      </c>
    </row>
    <row r="93" spans="1:68" ht="27" hidden="1" customHeight="1" x14ac:dyDescent="0.25">
      <c r="A93" s="60" t="s">
        <v>199</v>
      </c>
      <c r="B93" s="60" t="s">
        <v>201</v>
      </c>
      <c r="C93" s="34">
        <v>4301012252</v>
      </c>
      <c r="D93" s="708">
        <v>4680115881518</v>
      </c>
      <c r="E93" s="708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142</v>
      </c>
      <c r="L93" s="35" t="s">
        <v>46</v>
      </c>
      <c r="M93" s="36" t="s">
        <v>134</v>
      </c>
      <c r="N93" s="36"/>
      <c r="O93" s="35">
        <v>50</v>
      </c>
      <c r="P93" s="75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0"/>
      <c r="R93" s="710"/>
      <c r="S93" s="710"/>
      <c r="T93" s="71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si="5"/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194</v>
      </c>
      <c r="AG93" s="75"/>
      <c r="AJ93" s="79" t="s">
        <v>46</v>
      </c>
      <c r="AK93" s="79">
        <v>0</v>
      </c>
      <c r="BB93" s="158" t="s">
        <v>67</v>
      </c>
      <c r="BM93" s="75">
        <f t="shared" si="6"/>
        <v>0</v>
      </c>
      <c r="BN93" s="75">
        <f t="shared" si="7"/>
        <v>0</v>
      </c>
      <c r="BO93" s="75">
        <f t="shared" si="8"/>
        <v>0</v>
      </c>
      <c r="BP93" s="75">
        <f t="shared" si="9"/>
        <v>0</v>
      </c>
    </row>
    <row r="94" spans="1:68" ht="27" customHeight="1" x14ac:dyDescent="0.25">
      <c r="A94" s="60" t="s">
        <v>202</v>
      </c>
      <c r="B94" s="60" t="s">
        <v>203</v>
      </c>
      <c r="C94" s="34">
        <v>4301012250</v>
      </c>
      <c r="D94" s="708">
        <v>4680115881303</v>
      </c>
      <c r="E94" s="708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142</v>
      </c>
      <c r="L94" s="35" t="s">
        <v>46</v>
      </c>
      <c r="M94" s="36" t="s">
        <v>134</v>
      </c>
      <c r="N94" s="36"/>
      <c r="O94" s="35">
        <v>50</v>
      </c>
      <c r="P94" s="75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0"/>
      <c r="R94" s="710"/>
      <c r="S94" s="710"/>
      <c r="T94" s="711"/>
      <c r="U94" s="37" t="s">
        <v>46</v>
      </c>
      <c r="V94" s="37" t="s">
        <v>46</v>
      </c>
      <c r="W94" s="38" t="s">
        <v>0</v>
      </c>
      <c r="X94" s="56">
        <v>360</v>
      </c>
      <c r="Y94" s="53">
        <f t="shared" si="5"/>
        <v>360</v>
      </c>
      <c r="Z94" s="39">
        <f>IFERROR(IF(Y94=0,"",ROUNDUP(Y94/H94,0)*0.00902),"")</f>
        <v>0.72160000000000002</v>
      </c>
      <c r="AA94" s="65" t="s">
        <v>46</v>
      </c>
      <c r="AB94" s="66" t="s">
        <v>46</v>
      </c>
      <c r="AC94" s="159" t="s">
        <v>194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375.20000000000005</v>
      </c>
      <c r="BN94" s="75">
        <f t="shared" si="7"/>
        <v>375.20000000000005</v>
      </c>
      <c r="BO94" s="75">
        <f t="shared" si="8"/>
        <v>0.60606060606060608</v>
      </c>
      <c r="BP94" s="75">
        <f t="shared" si="9"/>
        <v>0.60606060606060608</v>
      </c>
    </row>
    <row r="95" spans="1:68" x14ac:dyDescent="0.2">
      <c r="A95" s="715"/>
      <c r="B95" s="715"/>
      <c r="C95" s="715"/>
      <c r="D95" s="715"/>
      <c r="E95" s="715"/>
      <c r="F95" s="715"/>
      <c r="G95" s="715"/>
      <c r="H95" s="715"/>
      <c r="I95" s="715"/>
      <c r="J95" s="715"/>
      <c r="K95" s="715"/>
      <c r="L95" s="715"/>
      <c r="M95" s="715"/>
      <c r="N95" s="715"/>
      <c r="O95" s="716"/>
      <c r="P95" s="712" t="s">
        <v>40</v>
      </c>
      <c r="Q95" s="713"/>
      <c r="R95" s="713"/>
      <c r="S95" s="713"/>
      <c r="T95" s="713"/>
      <c r="U95" s="713"/>
      <c r="V95" s="714"/>
      <c r="W95" s="40" t="s">
        <v>39</v>
      </c>
      <c r="X95" s="41">
        <f>IFERROR(X89/H89,"0")+IFERROR(X90/H90,"0")+IFERROR(X91/H91,"0")+IFERROR(X92/H92,"0")+IFERROR(X93/H93,"0")+IFERROR(X94/H94,"0")</f>
        <v>87.407407407407405</v>
      </c>
      <c r="Y95" s="41">
        <f>IFERROR(Y89/H89,"0")+IFERROR(Y90/H90,"0")+IFERROR(Y91/H91,"0")+IFERROR(Y92/H92,"0")+IFERROR(Y93/H93,"0")+IFERROR(Y94/H94,"0")</f>
        <v>88</v>
      </c>
      <c r="Z95" s="41">
        <f>IFERROR(IF(Z89="",0,Z89),"0")+IFERROR(IF(Z90="",0,Z90),"0")+IFERROR(IF(Z91="",0,Z91),"0")+IFERROR(IF(Z92="",0,Z92),"0")+IFERROR(IF(Z93="",0,Z93),"0")+IFERROR(IF(Z94="",0,Z94),"0")</f>
        <v>0.87343999999999999</v>
      </c>
      <c r="AA95" s="64"/>
      <c r="AB95" s="64"/>
      <c r="AC95" s="64"/>
    </row>
    <row r="96" spans="1:68" x14ac:dyDescent="0.2">
      <c r="A96" s="715"/>
      <c r="B96" s="715"/>
      <c r="C96" s="715"/>
      <c r="D96" s="715"/>
      <c r="E96" s="715"/>
      <c r="F96" s="715"/>
      <c r="G96" s="715"/>
      <c r="H96" s="715"/>
      <c r="I96" s="715"/>
      <c r="J96" s="715"/>
      <c r="K96" s="715"/>
      <c r="L96" s="715"/>
      <c r="M96" s="715"/>
      <c r="N96" s="715"/>
      <c r="O96" s="716"/>
      <c r="P96" s="712" t="s">
        <v>40</v>
      </c>
      <c r="Q96" s="713"/>
      <c r="R96" s="713"/>
      <c r="S96" s="713"/>
      <c r="T96" s="713"/>
      <c r="U96" s="713"/>
      <c r="V96" s="714"/>
      <c r="W96" s="40" t="s">
        <v>0</v>
      </c>
      <c r="X96" s="41">
        <f>IFERROR(SUM(X89:X94),"0")</f>
        <v>440</v>
      </c>
      <c r="Y96" s="41">
        <f>IFERROR(SUM(Y89:Y94),"0")</f>
        <v>446.4</v>
      </c>
      <c r="Z96" s="40"/>
      <c r="AA96" s="64"/>
      <c r="AB96" s="64"/>
      <c r="AC96" s="64"/>
    </row>
    <row r="97" spans="1:68" ht="14.25" hidden="1" customHeight="1" x14ac:dyDescent="0.25">
      <c r="A97" s="707" t="s">
        <v>83</v>
      </c>
      <c r="B97" s="707"/>
      <c r="C97" s="707"/>
      <c r="D97" s="707"/>
      <c r="E97" s="707"/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7"/>
      <c r="S97" s="707"/>
      <c r="T97" s="707"/>
      <c r="U97" s="707"/>
      <c r="V97" s="707"/>
      <c r="W97" s="707"/>
      <c r="X97" s="707"/>
      <c r="Y97" s="707"/>
      <c r="Z97" s="707"/>
      <c r="AA97" s="63"/>
      <c r="AB97" s="63"/>
      <c r="AC97" s="63"/>
    </row>
    <row r="98" spans="1:68" ht="27" customHeight="1" x14ac:dyDescent="0.25">
      <c r="A98" s="60" t="s">
        <v>204</v>
      </c>
      <c r="B98" s="60" t="s">
        <v>205</v>
      </c>
      <c r="C98" s="34">
        <v>4301052101</v>
      </c>
      <c r="D98" s="708">
        <v>4607091386967</v>
      </c>
      <c r="E98" s="708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135</v>
      </c>
      <c r="L98" s="35" t="s">
        <v>46</v>
      </c>
      <c r="M98" s="36" t="s">
        <v>94</v>
      </c>
      <c r="N98" s="36"/>
      <c r="O98" s="35">
        <v>45</v>
      </c>
      <c r="P98" s="7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0"/>
      <c r="R98" s="710"/>
      <c r="S98" s="710"/>
      <c r="T98" s="711"/>
      <c r="U98" s="37" t="s">
        <v>46</v>
      </c>
      <c r="V98" s="37" t="s">
        <v>46</v>
      </c>
      <c r="W98" s="38" t="s">
        <v>0</v>
      </c>
      <c r="X98" s="56">
        <v>220</v>
      </c>
      <c r="Y98" s="53">
        <f>IFERROR(IF(X98="",0,CEILING((X98/$H98),1)*$H98),"")</f>
        <v>226.79999999999998</v>
      </c>
      <c r="Z98" s="39">
        <f>IFERROR(IF(Y98=0,"",ROUNDUP(Y98/H98,0)*0.01898),"")</f>
        <v>0.53144000000000002</v>
      </c>
      <c r="AA98" s="65" t="s">
        <v>46</v>
      </c>
      <c r="AB98" s="66" t="s">
        <v>46</v>
      </c>
      <c r="AC98" s="161" t="s">
        <v>206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233.41728395061727</v>
      </c>
      <c r="BN98" s="75">
        <f>IFERROR(Y98*I98/H98,"0")</f>
        <v>240.63199999999998</v>
      </c>
      <c r="BO98" s="75">
        <f>IFERROR(1/J98*(X98/H98),"0")</f>
        <v>0.42438271604938271</v>
      </c>
      <c r="BP98" s="75">
        <f>IFERROR(1/J98*(Y98/H98),"0")</f>
        <v>0.4375</v>
      </c>
    </row>
    <row r="99" spans="1:68" ht="27" hidden="1" customHeight="1" x14ac:dyDescent="0.25">
      <c r="A99" s="60" t="s">
        <v>207</v>
      </c>
      <c r="B99" s="60" t="s">
        <v>208</v>
      </c>
      <c r="C99" s="34">
        <v>4301052090</v>
      </c>
      <c r="D99" s="708">
        <v>4680115884953</v>
      </c>
      <c r="E99" s="708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87</v>
      </c>
      <c r="N99" s="36"/>
      <c r="O99" s="35">
        <v>45</v>
      </c>
      <c r="P99" s="75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0"/>
      <c r="R99" s="710"/>
      <c r="S99" s="710"/>
      <c r="T99" s="711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209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210</v>
      </c>
      <c r="B100" s="60" t="s">
        <v>211</v>
      </c>
      <c r="C100" s="34">
        <v>4301052094</v>
      </c>
      <c r="D100" s="708">
        <v>4607091385731</v>
      </c>
      <c r="E100" s="708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94</v>
      </c>
      <c r="N100" s="36"/>
      <c r="O100" s="35">
        <v>45</v>
      </c>
      <c r="P100" s="75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0"/>
      <c r="R100" s="710"/>
      <c r="S100" s="710"/>
      <c r="T100" s="711"/>
      <c r="U100" s="37" t="s">
        <v>46</v>
      </c>
      <c r="V100" s="37" t="s">
        <v>46</v>
      </c>
      <c r="W100" s="38" t="s">
        <v>0</v>
      </c>
      <c r="X100" s="56">
        <v>405</v>
      </c>
      <c r="Y100" s="53">
        <f>IFERROR(IF(X100="",0,CEILING((X100/$H100),1)*$H100),"")</f>
        <v>405</v>
      </c>
      <c r="Z100" s="39">
        <f>IFERROR(IF(Y100=0,"",ROUNDUP(Y100/H100,0)*0.00651),"")</f>
        <v>0.97650000000000003</v>
      </c>
      <c r="AA100" s="65" t="s">
        <v>46</v>
      </c>
      <c r="AB100" s="66" t="s">
        <v>46</v>
      </c>
      <c r="AC100" s="165" t="s">
        <v>206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442.79999999999995</v>
      </c>
      <c r="BN100" s="75">
        <f>IFERROR(Y100*I100/H100,"0")</f>
        <v>442.79999999999995</v>
      </c>
      <c r="BO100" s="75">
        <f>IFERROR(1/J100*(X100/H100),"0")</f>
        <v>0.82417582417582425</v>
      </c>
      <c r="BP100" s="75">
        <f>IFERROR(1/J100*(Y100/H100),"0")</f>
        <v>0.82417582417582425</v>
      </c>
    </row>
    <row r="101" spans="1:68" ht="16.5" hidden="1" customHeight="1" x14ac:dyDescent="0.25">
      <c r="A101" s="60" t="s">
        <v>212</v>
      </c>
      <c r="B101" s="60" t="s">
        <v>213</v>
      </c>
      <c r="C101" s="34">
        <v>4301052092</v>
      </c>
      <c r="D101" s="708">
        <v>4680115880894</v>
      </c>
      <c r="E101" s="708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87</v>
      </c>
      <c r="N101" s="36"/>
      <c r="O101" s="35">
        <v>45</v>
      </c>
      <c r="P101" s="75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0"/>
      <c r="R101" s="710"/>
      <c r="S101" s="710"/>
      <c r="T101" s="711"/>
      <c r="U101" s="37" t="s">
        <v>46</v>
      </c>
      <c r="V101" s="37" t="s">
        <v>46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214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715"/>
      <c r="B102" s="715"/>
      <c r="C102" s="715"/>
      <c r="D102" s="715"/>
      <c r="E102" s="715"/>
      <c r="F102" s="715"/>
      <c r="G102" s="715"/>
      <c r="H102" s="715"/>
      <c r="I102" s="715"/>
      <c r="J102" s="715"/>
      <c r="K102" s="715"/>
      <c r="L102" s="715"/>
      <c r="M102" s="715"/>
      <c r="N102" s="715"/>
      <c r="O102" s="716"/>
      <c r="P102" s="712" t="s">
        <v>40</v>
      </c>
      <c r="Q102" s="713"/>
      <c r="R102" s="713"/>
      <c r="S102" s="713"/>
      <c r="T102" s="713"/>
      <c r="U102" s="713"/>
      <c r="V102" s="714"/>
      <c r="W102" s="40" t="s">
        <v>39</v>
      </c>
      <c r="X102" s="41">
        <f>IFERROR(X98/H98,"0")+IFERROR(X99/H99,"0")+IFERROR(X100/H100,"0")+IFERROR(X101/H101,"0")</f>
        <v>177.16049382716051</v>
      </c>
      <c r="Y102" s="41">
        <f>IFERROR(Y98/H98,"0")+IFERROR(Y99/H99,"0")+IFERROR(Y100/H100,"0")+IFERROR(Y101/H101,"0")</f>
        <v>178</v>
      </c>
      <c r="Z102" s="41">
        <f>IFERROR(IF(Z98="",0,Z98),"0")+IFERROR(IF(Z99="",0,Z99),"0")+IFERROR(IF(Z100="",0,Z100),"0")+IFERROR(IF(Z101="",0,Z101),"0")</f>
        <v>1.5079400000000001</v>
      </c>
      <c r="AA102" s="64"/>
      <c r="AB102" s="64"/>
      <c r="AC102" s="64"/>
    </row>
    <row r="103" spans="1:68" x14ac:dyDescent="0.2">
      <c r="A103" s="715"/>
      <c r="B103" s="715"/>
      <c r="C103" s="715"/>
      <c r="D103" s="715"/>
      <c r="E103" s="715"/>
      <c r="F103" s="715"/>
      <c r="G103" s="715"/>
      <c r="H103" s="715"/>
      <c r="I103" s="715"/>
      <c r="J103" s="715"/>
      <c r="K103" s="715"/>
      <c r="L103" s="715"/>
      <c r="M103" s="715"/>
      <c r="N103" s="715"/>
      <c r="O103" s="716"/>
      <c r="P103" s="712" t="s">
        <v>40</v>
      </c>
      <c r="Q103" s="713"/>
      <c r="R103" s="713"/>
      <c r="S103" s="713"/>
      <c r="T103" s="713"/>
      <c r="U103" s="713"/>
      <c r="V103" s="714"/>
      <c r="W103" s="40" t="s">
        <v>0</v>
      </c>
      <c r="X103" s="41">
        <f>IFERROR(SUM(X98:X101),"0")</f>
        <v>625</v>
      </c>
      <c r="Y103" s="41">
        <f>IFERROR(SUM(Y98:Y101),"0")</f>
        <v>631.79999999999995</v>
      </c>
      <c r="Z103" s="40"/>
      <c r="AA103" s="64"/>
      <c r="AB103" s="64"/>
      <c r="AC103" s="64"/>
    </row>
    <row r="104" spans="1:68" ht="16.5" hidden="1" customHeight="1" x14ac:dyDescent="0.25">
      <c r="A104" s="706" t="s">
        <v>215</v>
      </c>
      <c r="B104" s="706"/>
      <c r="C104" s="706"/>
      <c r="D104" s="706"/>
      <c r="E104" s="706"/>
      <c r="F104" s="706"/>
      <c r="G104" s="706"/>
      <c r="H104" s="706"/>
      <c r="I104" s="706"/>
      <c r="J104" s="706"/>
      <c r="K104" s="706"/>
      <c r="L104" s="706"/>
      <c r="M104" s="706"/>
      <c r="N104" s="706"/>
      <c r="O104" s="706"/>
      <c r="P104" s="706"/>
      <c r="Q104" s="706"/>
      <c r="R104" s="706"/>
      <c r="S104" s="706"/>
      <c r="T104" s="706"/>
      <c r="U104" s="706"/>
      <c r="V104" s="706"/>
      <c r="W104" s="706"/>
      <c r="X104" s="706"/>
      <c r="Y104" s="706"/>
      <c r="Z104" s="706"/>
      <c r="AA104" s="62"/>
      <c r="AB104" s="62"/>
      <c r="AC104" s="62"/>
    </row>
    <row r="105" spans="1:68" ht="14.25" hidden="1" customHeight="1" x14ac:dyDescent="0.25">
      <c r="A105" s="707" t="s">
        <v>130</v>
      </c>
      <c r="B105" s="707"/>
      <c r="C105" s="707"/>
      <c r="D105" s="707"/>
      <c r="E105" s="707"/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07"/>
      <c r="W105" s="707"/>
      <c r="X105" s="707"/>
      <c r="Y105" s="707"/>
      <c r="Z105" s="707"/>
      <c r="AA105" s="63"/>
      <c r="AB105" s="63"/>
      <c r="AC105" s="63"/>
    </row>
    <row r="106" spans="1:68" ht="37.5" hidden="1" customHeight="1" x14ac:dyDescent="0.25">
      <c r="A106" s="60" t="s">
        <v>216</v>
      </c>
      <c r="B106" s="60" t="s">
        <v>217</v>
      </c>
      <c r="C106" s="34">
        <v>4301011514</v>
      </c>
      <c r="D106" s="708">
        <v>4680115882133</v>
      </c>
      <c r="E106" s="708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135</v>
      </c>
      <c r="L106" s="35" t="s">
        <v>46</v>
      </c>
      <c r="M106" s="36" t="s">
        <v>134</v>
      </c>
      <c r="N106" s="36"/>
      <c r="O106" s="35">
        <v>50</v>
      </c>
      <c r="P106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0"/>
      <c r="R106" s="710"/>
      <c r="S106" s="710"/>
      <c r="T106" s="71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ref="Y106:Y112" si="10">IFERROR(IF(X106="",0,CEILING((X106/$H106),1)*$H106),"")</f>
        <v>0</v>
      </c>
      <c r="Z106" s="39" t="str">
        <f>IFERROR(IF(Y106=0,"",ROUNDUP(Y106/H106,0)*0.01898),"")</f>
        <v/>
      </c>
      <c r="AA106" s="65" t="s">
        <v>46</v>
      </c>
      <c r="AB106" s="66" t="s">
        <v>46</v>
      </c>
      <c r="AC106" s="169" t="s">
        <v>218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1">IFERROR(X106*I106/H106,"0")</f>
        <v>0</v>
      </c>
      <c r="BN106" s="75">
        <f t="shared" ref="BN106:BN112" si="12">IFERROR(Y106*I106/H106,"0")</f>
        <v>0</v>
      </c>
      <c r="BO106" s="75">
        <f t="shared" ref="BO106:BO112" si="13">IFERROR(1/J106*(X106/H106),"0")</f>
        <v>0</v>
      </c>
      <c r="BP106" s="75">
        <f t="shared" ref="BP106:BP112" si="14">IFERROR(1/J106*(Y106/H106),"0")</f>
        <v>0</v>
      </c>
    </row>
    <row r="107" spans="1:68" ht="27" hidden="1" customHeight="1" x14ac:dyDescent="0.25">
      <c r="A107" s="60" t="s">
        <v>216</v>
      </c>
      <c r="B107" s="60" t="s">
        <v>219</v>
      </c>
      <c r="C107" s="34">
        <v>4301012256</v>
      </c>
      <c r="D107" s="708">
        <v>4680115882133</v>
      </c>
      <c r="E107" s="708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135</v>
      </c>
      <c r="L107" s="35" t="s">
        <v>46</v>
      </c>
      <c r="M107" s="36" t="s">
        <v>134</v>
      </c>
      <c r="N107" s="36"/>
      <c r="O107" s="35">
        <v>50</v>
      </c>
      <c r="P107" s="76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0"/>
      <c r="R107" s="710"/>
      <c r="S107" s="710"/>
      <c r="T107" s="71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IFERROR(IF(Y107=0,"",ROUNDUP(Y107/H107,0)*0.01898),"")</f>
        <v/>
      </c>
      <c r="AA107" s="65" t="s">
        <v>46</v>
      </c>
      <c r="AB107" s="66" t="s">
        <v>46</v>
      </c>
      <c r="AC107" s="171" t="s">
        <v>220</v>
      </c>
      <c r="AG107" s="75"/>
      <c r="AJ107" s="79" t="s">
        <v>46</v>
      </c>
      <c r="AK107" s="79">
        <v>0</v>
      </c>
      <c r="BB107" s="172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4301012379</v>
      </c>
      <c r="D108" s="708">
        <v>4680115887718</v>
      </c>
      <c r="E108" s="708"/>
      <c r="F108" s="59">
        <v>0.11</v>
      </c>
      <c r="G108" s="35">
        <v>6</v>
      </c>
      <c r="H108" s="59">
        <v>0.66</v>
      </c>
      <c r="I108" s="59">
        <v>0.82599999999999996</v>
      </c>
      <c r="J108" s="35">
        <v>192</v>
      </c>
      <c r="K108" s="35" t="s">
        <v>139</v>
      </c>
      <c r="L108" s="35" t="s">
        <v>46</v>
      </c>
      <c r="M108" s="36" t="s">
        <v>81</v>
      </c>
      <c r="N108" s="36"/>
      <c r="O108" s="35">
        <v>30</v>
      </c>
      <c r="P108" s="76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0"/>
      <c r="R108" s="710"/>
      <c r="S108" s="710"/>
      <c r="T108" s="71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223</v>
      </c>
      <c r="AG108" s="75"/>
      <c r="AJ108" s="79" t="s">
        <v>46</v>
      </c>
      <c r="AK108" s="79">
        <v>0</v>
      </c>
      <c r="BB108" s="174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224</v>
      </c>
      <c r="B109" s="60" t="s">
        <v>225</v>
      </c>
      <c r="C109" s="34">
        <v>4301012253</v>
      </c>
      <c r="D109" s="708">
        <v>4680115880269</v>
      </c>
      <c r="E109" s="708"/>
      <c r="F109" s="59">
        <v>0.375</v>
      </c>
      <c r="G109" s="35">
        <v>10</v>
      </c>
      <c r="H109" s="59">
        <v>3.75</v>
      </c>
      <c r="I109" s="59">
        <v>3.94</v>
      </c>
      <c r="J109" s="35">
        <v>132</v>
      </c>
      <c r="K109" s="35" t="s">
        <v>142</v>
      </c>
      <c r="L109" s="35" t="s">
        <v>46</v>
      </c>
      <c r="M109" s="36" t="s">
        <v>134</v>
      </c>
      <c r="N109" s="36"/>
      <c r="O109" s="35">
        <v>50</v>
      </c>
      <c r="P109" s="76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0"/>
      <c r="R109" s="710"/>
      <c r="S109" s="710"/>
      <c r="T109" s="71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customHeight="1" x14ac:dyDescent="0.25">
      <c r="A110" s="60" t="s">
        <v>226</v>
      </c>
      <c r="B110" s="60" t="s">
        <v>227</v>
      </c>
      <c r="C110" s="34">
        <v>4301012254</v>
      </c>
      <c r="D110" s="708">
        <v>4680115880429</v>
      </c>
      <c r="E110" s="70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142</v>
      </c>
      <c r="L110" s="35" t="s">
        <v>46</v>
      </c>
      <c r="M110" s="36" t="s">
        <v>134</v>
      </c>
      <c r="N110" s="36"/>
      <c r="O110" s="35">
        <v>50</v>
      </c>
      <c r="P110" s="76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0"/>
      <c r="R110" s="710"/>
      <c r="S110" s="710"/>
      <c r="T110" s="711"/>
      <c r="U110" s="37" t="s">
        <v>46</v>
      </c>
      <c r="V110" s="37" t="s">
        <v>46</v>
      </c>
      <c r="W110" s="38" t="s">
        <v>0</v>
      </c>
      <c r="X110" s="56">
        <v>360</v>
      </c>
      <c r="Y110" s="53">
        <f t="shared" si="10"/>
        <v>360</v>
      </c>
      <c r="Z110" s="39">
        <f>IFERROR(IF(Y110=0,"",ROUNDUP(Y110/H110,0)*0.00902),"")</f>
        <v>0.72160000000000002</v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67</v>
      </c>
      <c r="BM110" s="75">
        <f t="shared" si="11"/>
        <v>375.20000000000005</v>
      </c>
      <c r="BN110" s="75">
        <f t="shared" si="12"/>
        <v>375.20000000000005</v>
      </c>
      <c r="BO110" s="75">
        <f t="shared" si="13"/>
        <v>0.60606060606060608</v>
      </c>
      <c r="BP110" s="75">
        <f t="shared" si="14"/>
        <v>0.60606060606060608</v>
      </c>
    </row>
    <row r="111" spans="1:68" ht="27" hidden="1" customHeight="1" x14ac:dyDescent="0.25">
      <c r="A111" s="60" t="s">
        <v>228</v>
      </c>
      <c r="B111" s="60" t="s">
        <v>229</v>
      </c>
      <c r="C111" s="34">
        <v>4301012255</v>
      </c>
      <c r="D111" s="708">
        <v>4680115881457</v>
      </c>
      <c r="E111" s="70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142</v>
      </c>
      <c r="L111" s="35" t="s">
        <v>46</v>
      </c>
      <c r="M111" s="36" t="s">
        <v>134</v>
      </c>
      <c r="N111" s="36"/>
      <c r="O111" s="35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0"/>
      <c r="R111" s="710"/>
      <c r="S111" s="710"/>
      <c r="T111" s="71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220</v>
      </c>
      <c r="AG111" s="75"/>
      <c r="AJ111" s="79" t="s">
        <v>46</v>
      </c>
      <c r="AK111" s="79">
        <v>0</v>
      </c>
      <c r="BB111" s="180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230</v>
      </c>
      <c r="B112" s="60" t="s">
        <v>231</v>
      </c>
      <c r="C112" s="34">
        <v>4301012366</v>
      </c>
      <c r="D112" s="708">
        <v>4680115889477</v>
      </c>
      <c r="E112" s="708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88</v>
      </c>
      <c r="L112" s="35" t="s">
        <v>46</v>
      </c>
      <c r="M112" s="36" t="s">
        <v>134</v>
      </c>
      <c r="N112" s="36"/>
      <c r="O112" s="35">
        <v>55</v>
      </c>
      <c r="P112" s="76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0"/>
      <c r="R112" s="710"/>
      <c r="S112" s="710"/>
      <c r="T112" s="71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232</v>
      </c>
      <c r="AG112" s="75"/>
      <c r="AJ112" s="79" t="s">
        <v>46</v>
      </c>
      <c r="AK112" s="79">
        <v>0</v>
      </c>
      <c r="BB112" s="182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715"/>
      <c r="B113" s="715"/>
      <c r="C113" s="715"/>
      <c r="D113" s="715"/>
      <c r="E113" s="715"/>
      <c r="F113" s="715"/>
      <c r="G113" s="715"/>
      <c r="H113" s="715"/>
      <c r="I113" s="715"/>
      <c r="J113" s="715"/>
      <c r="K113" s="715"/>
      <c r="L113" s="715"/>
      <c r="M113" s="715"/>
      <c r="N113" s="715"/>
      <c r="O113" s="716"/>
      <c r="P113" s="712" t="s">
        <v>40</v>
      </c>
      <c r="Q113" s="713"/>
      <c r="R113" s="713"/>
      <c r="S113" s="713"/>
      <c r="T113" s="713"/>
      <c r="U113" s="713"/>
      <c r="V113" s="714"/>
      <c r="W113" s="40" t="s">
        <v>39</v>
      </c>
      <c r="X113" s="41">
        <f>IFERROR(X106/H106,"0")+IFERROR(X107/H107,"0")+IFERROR(X108/H108,"0")+IFERROR(X109/H109,"0")+IFERROR(X110/H110,"0")+IFERROR(X111/H111,"0")+IFERROR(X112/H112,"0")</f>
        <v>80</v>
      </c>
      <c r="Y113" s="41">
        <f>IFERROR(Y106/H106,"0")+IFERROR(Y107/H107,"0")+IFERROR(Y108/H108,"0")+IFERROR(Y109/H109,"0")+IFERROR(Y110/H110,"0")+IFERROR(Y111/H111,"0")+IFERROR(Y112/H112,"0")</f>
        <v>80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0.72160000000000002</v>
      </c>
      <c r="AA113" s="64"/>
      <c r="AB113" s="64"/>
      <c r="AC113" s="64"/>
    </row>
    <row r="114" spans="1:68" x14ac:dyDescent="0.2">
      <c r="A114" s="715"/>
      <c r="B114" s="715"/>
      <c r="C114" s="715"/>
      <c r="D114" s="715"/>
      <c r="E114" s="715"/>
      <c r="F114" s="715"/>
      <c r="G114" s="715"/>
      <c r="H114" s="715"/>
      <c r="I114" s="715"/>
      <c r="J114" s="715"/>
      <c r="K114" s="715"/>
      <c r="L114" s="715"/>
      <c r="M114" s="715"/>
      <c r="N114" s="715"/>
      <c r="O114" s="716"/>
      <c r="P114" s="712" t="s">
        <v>40</v>
      </c>
      <c r="Q114" s="713"/>
      <c r="R114" s="713"/>
      <c r="S114" s="713"/>
      <c r="T114" s="713"/>
      <c r="U114" s="713"/>
      <c r="V114" s="714"/>
      <c r="W114" s="40" t="s">
        <v>0</v>
      </c>
      <c r="X114" s="41">
        <f>IFERROR(SUM(X106:X112),"0")</f>
        <v>360</v>
      </c>
      <c r="Y114" s="41">
        <f>IFERROR(SUM(Y106:Y112),"0")</f>
        <v>360</v>
      </c>
      <c r="Z114" s="40"/>
      <c r="AA114" s="64"/>
      <c r="AB114" s="64"/>
      <c r="AC114" s="64"/>
    </row>
    <row r="115" spans="1:68" ht="14.25" hidden="1" customHeight="1" x14ac:dyDescent="0.25">
      <c r="A115" s="707" t="s">
        <v>165</v>
      </c>
      <c r="B115" s="707"/>
      <c r="C115" s="707"/>
      <c r="D115" s="707"/>
      <c r="E115" s="707"/>
      <c r="F115" s="707"/>
      <c r="G115" s="707"/>
      <c r="H115" s="707"/>
      <c r="I115" s="707"/>
      <c r="J115" s="707"/>
      <c r="K115" s="707"/>
      <c r="L115" s="707"/>
      <c r="M115" s="707"/>
      <c r="N115" s="707"/>
      <c r="O115" s="707"/>
      <c r="P115" s="707"/>
      <c r="Q115" s="707"/>
      <c r="R115" s="707"/>
      <c r="S115" s="707"/>
      <c r="T115" s="707"/>
      <c r="U115" s="707"/>
      <c r="V115" s="707"/>
      <c r="W115" s="707"/>
      <c r="X115" s="707"/>
      <c r="Y115" s="707"/>
      <c r="Z115" s="707"/>
      <c r="AA115" s="63"/>
      <c r="AB115" s="63"/>
      <c r="AC115" s="63"/>
    </row>
    <row r="116" spans="1:68" ht="27" hidden="1" customHeight="1" x14ac:dyDescent="0.25">
      <c r="A116" s="60" t="s">
        <v>233</v>
      </c>
      <c r="B116" s="60" t="s">
        <v>234</v>
      </c>
      <c r="C116" s="34">
        <v>4301020391</v>
      </c>
      <c r="D116" s="708">
        <v>4680115881488</v>
      </c>
      <c r="E116" s="708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135</v>
      </c>
      <c r="L116" s="35" t="s">
        <v>46</v>
      </c>
      <c r="M116" s="36" t="s">
        <v>134</v>
      </c>
      <c r="N116" s="36"/>
      <c r="O116" s="35">
        <v>55</v>
      </c>
      <c r="P116" s="76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0"/>
      <c r="R116" s="710"/>
      <c r="S116" s="710"/>
      <c r="T116" s="71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236</v>
      </c>
      <c r="B117" s="60" t="s">
        <v>237</v>
      </c>
      <c r="C117" s="34">
        <v>4301020430</v>
      </c>
      <c r="D117" s="708">
        <v>4680115887664</v>
      </c>
      <c r="E117" s="70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364</v>
      </c>
      <c r="K117" s="35" t="s">
        <v>239</v>
      </c>
      <c r="L117" s="35" t="s">
        <v>46</v>
      </c>
      <c r="M117" s="36" t="s">
        <v>81</v>
      </c>
      <c r="N117" s="36"/>
      <c r="O117" s="35">
        <v>30</v>
      </c>
      <c r="P117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0"/>
      <c r="R117" s="710"/>
      <c r="S117" s="710"/>
      <c r="T117" s="71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238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240</v>
      </c>
      <c r="B118" s="60" t="s">
        <v>241</v>
      </c>
      <c r="C118" s="34">
        <v>4301020393</v>
      </c>
      <c r="D118" s="708">
        <v>4680115882775</v>
      </c>
      <c r="E118" s="70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134</v>
      </c>
      <c r="N118" s="36"/>
      <c r="O118" s="35">
        <v>55</v>
      </c>
      <c r="P118" s="76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0"/>
      <c r="R118" s="710"/>
      <c r="S118" s="710"/>
      <c r="T118" s="71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87" t="s">
        <v>235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242</v>
      </c>
      <c r="B119" s="60" t="s">
        <v>243</v>
      </c>
      <c r="C119" s="34">
        <v>4301020392</v>
      </c>
      <c r="D119" s="708">
        <v>4680115880658</v>
      </c>
      <c r="E119" s="70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88</v>
      </c>
      <c r="L119" s="35" t="s">
        <v>46</v>
      </c>
      <c r="M119" s="36" t="s">
        <v>134</v>
      </c>
      <c r="N119" s="36"/>
      <c r="O119" s="35">
        <v>55</v>
      </c>
      <c r="P119" s="77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0"/>
      <c r="R119" s="710"/>
      <c r="S119" s="710"/>
      <c r="T119" s="71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15"/>
      <c r="B120" s="715"/>
      <c r="C120" s="715"/>
      <c r="D120" s="715"/>
      <c r="E120" s="715"/>
      <c r="F120" s="715"/>
      <c r="G120" s="715"/>
      <c r="H120" s="715"/>
      <c r="I120" s="715"/>
      <c r="J120" s="715"/>
      <c r="K120" s="715"/>
      <c r="L120" s="715"/>
      <c r="M120" s="715"/>
      <c r="N120" s="715"/>
      <c r="O120" s="716"/>
      <c r="P120" s="712" t="s">
        <v>40</v>
      </c>
      <c r="Q120" s="713"/>
      <c r="R120" s="713"/>
      <c r="S120" s="713"/>
      <c r="T120" s="713"/>
      <c r="U120" s="713"/>
      <c r="V120" s="714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15"/>
      <c r="B121" s="715"/>
      <c r="C121" s="715"/>
      <c r="D121" s="715"/>
      <c r="E121" s="715"/>
      <c r="F121" s="715"/>
      <c r="G121" s="715"/>
      <c r="H121" s="715"/>
      <c r="I121" s="715"/>
      <c r="J121" s="715"/>
      <c r="K121" s="715"/>
      <c r="L121" s="715"/>
      <c r="M121" s="715"/>
      <c r="N121" s="715"/>
      <c r="O121" s="716"/>
      <c r="P121" s="712" t="s">
        <v>40</v>
      </c>
      <c r="Q121" s="713"/>
      <c r="R121" s="713"/>
      <c r="S121" s="713"/>
      <c r="T121" s="713"/>
      <c r="U121" s="713"/>
      <c r="V121" s="714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07" t="s">
        <v>83</v>
      </c>
      <c r="B122" s="707"/>
      <c r="C122" s="707"/>
      <c r="D122" s="707"/>
      <c r="E122" s="707"/>
      <c r="F122" s="707"/>
      <c r="G122" s="707"/>
      <c r="H122" s="707"/>
      <c r="I122" s="707"/>
      <c r="J122" s="707"/>
      <c r="K122" s="707"/>
      <c r="L122" s="707"/>
      <c r="M122" s="707"/>
      <c r="N122" s="707"/>
      <c r="O122" s="707"/>
      <c r="P122" s="707"/>
      <c r="Q122" s="707"/>
      <c r="R122" s="707"/>
      <c r="S122" s="707"/>
      <c r="T122" s="707"/>
      <c r="U122" s="707"/>
      <c r="V122" s="707"/>
      <c r="W122" s="707"/>
      <c r="X122" s="707"/>
      <c r="Y122" s="707"/>
      <c r="Z122" s="707"/>
      <c r="AA122" s="63"/>
      <c r="AB122" s="63"/>
      <c r="AC122" s="63"/>
    </row>
    <row r="123" spans="1:68" ht="27" customHeight="1" x14ac:dyDescent="0.25">
      <c r="A123" s="60" t="s">
        <v>244</v>
      </c>
      <c r="B123" s="60" t="s">
        <v>245</v>
      </c>
      <c r="C123" s="34">
        <v>4301052088</v>
      </c>
      <c r="D123" s="708">
        <v>4607091385168</v>
      </c>
      <c r="E123" s="70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135</v>
      </c>
      <c r="L123" s="35" t="s">
        <v>46</v>
      </c>
      <c r="M123" s="36" t="s">
        <v>87</v>
      </c>
      <c r="N123" s="36"/>
      <c r="O123" s="35">
        <v>45</v>
      </c>
      <c r="P123" s="7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0"/>
      <c r="R123" s="710"/>
      <c r="S123" s="710"/>
      <c r="T123" s="711"/>
      <c r="U123" s="37" t="s">
        <v>46</v>
      </c>
      <c r="V123" s="37" t="s">
        <v>46</v>
      </c>
      <c r="W123" s="38" t="s">
        <v>0</v>
      </c>
      <c r="X123" s="56">
        <v>400</v>
      </c>
      <c r="Y123" s="53">
        <f>IFERROR(IF(X123="",0,CEILING((X123/$H123),1)*$H123),"")</f>
        <v>405</v>
      </c>
      <c r="Z123" s="39">
        <f>IFERROR(IF(Y123=0,"",ROUNDUP(Y123/H123,0)*0.01898),"")</f>
        <v>0.94900000000000007</v>
      </c>
      <c r="AA123" s="65" t="s">
        <v>46</v>
      </c>
      <c r="AB123" s="66" t="s">
        <v>46</v>
      </c>
      <c r="AC123" s="191" t="s">
        <v>246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424.09876543209879</v>
      </c>
      <c r="BN123" s="75">
        <f>IFERROR(Y123*I123/H123,"0")</f>
        <v>429.4</v>
      </c>
      <c r="BO123" s="75">
        <f>IFERROR(1/J123*(X123/H123),"0")</f>
        <v>0.77160493827160492</v>
      </c>
      <c r="BP123" s="75">
        <f>IFERROR(1/J123*(Y123/H123),"0")</f>
        <v>0.78125</v>
      </c>
    </row>
    <row r="124" spans="1:68" ht="27" hidden="1" customHeight="1" x14ac:dyDescent="0.25">
      <c r="A124" s="60" t="s">
        <v>247</v>
      </c>
      <c r="B124" s="60" t="s">
        <v>248</v>
      </c>
      <c r="C124" s="34">
        <v>4301052087</v>
      </c>
      <c r="D124" s="708">
        <v>4607091383256</v>
      </c>
      <c r="E124" s="70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88</v>
      </c>
      <c r="L124" s="35" t="s">
        <v>46</v>
      </c>
      <c r="M124" s="36" t="s">
        <v>87</v>
      </c>
      <c r="N124" s="36"/>
      <c r="O124" s="35">
        <v>45</v>
      </c>
      <c r="P124" s="77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0"/>
      <c r="R124" s="710"/>
      <c r="S124" s="710"/>
      <c r="T124" s="71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246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27" customHeight="1" x14ac:dyDescent="0.25">
      <c r="A125" s="60" t="s">
        <v>249</v>
      </c>
      <c r="B125" s="60" t="s">
        <v>250</v>
      </c>
      <c r="C125" s="34">
        <v>4301052086</v>
      </c>
      <c r="D125" s="708">
        <v>4607091385748</v>
      </c>
      <c r="E125" s="70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88</v>
      </c>
      <c r="L125" s="35" t="s">
        <v>46</v>
      </c>
      <c r="M125" s="36" t="s">
        <v>87</v>
      </c>
      <c r="N125" s="36"/>
      <c r="O125" s="35">
        <v>45</v>
      </c>
      <c r="P125" s="77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0"/>
      <c r="R125" s="710"/>
      <c r="S125" s="710"/>
      <c r="T125" s="711"/>
      <c r="U125" s="37" t="s">
        <v>46</v>
      </c>
      <c r="V125" s="37" t="s">
        <v>46</v>
      </c>
      <c r="W125" s="38" t="s">
        <v>0</v>
      </c>
      <c r="X125" s="56">
        <v>495</v>
      </c>
      <c r="Y125" s="53">
        <f>IFERROR(IF(X125="",0,CEILING((X125/$H125),1)*$H125),"")</f>
        <v>496.8</v>
      </c>
      <c r="Z125" s="39">
        <f>IFERROR(IF(Y125=0,"",ROUNDUP(Y125/H125,0)*0.00651),"")</f>
        <v>1.19784</v>
      </c>
      <c r="AA125" s="65" t="s">
        <v>46</v>
      </c>
      <c r="AB125" s="66" t="s">
        <v>46</v>
      </c>
      <c r="AC125" s="195" t="s">
        <v>246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541.19999999999993</v>
      </c>
      <c r="BN125" s="75">
        <f>IFERROR(Y125*I125/H125,"0")</f>
        <v>543.16800000000001</v>
      </c>
      <c r="BO125" s="75">
        <f>IFERROR(1/J125*(X125/H125),"0")</f>
        <v>1.0073260073260073</v>
      </c>
      <c r="BP125" s="75">
        <f>IFERROR(1/J125*(Y125/H125),"0")</f>
        <v>1.0109890109890112</v>
      </c>
    </row>
    <row r="126" spans="1:68" ht="16.5" customHeight="1" x14ac:dyDescent="0.25">
      <c r="A126" s="60" t="s">
        <v>251</v>
      </c>
      <c r="B126" s="60" t="s">
        <v>252</v>
      </c>
      <c r="C126" s="34">
        <v>4301052085</v>
      </c>
      <c r="D126" s="708">
        <v>4680115884533</v>
      </c>
      <c r="E126" s="70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45</v>
      </c>
      <c r="P126" s="77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0"/>
      <c r="R126" s="710"/>
      <c r="S126" s="710"/>
      <c r="T126" s="711"/>
      <c r="U126" s="37" t="s">
        <v>46</v>
      </c>
      <c r="V126" s="37" t="s">
        <v>46</v>
      </c>
      <c r="W126" s="38" t="s">
        <v>0</v>
      </c>
      <c r="X126" s="56">
        <v>18</v>
      </c>
      <c r="Y126" s="53">
        <f>IFERROR(IF(X126="",0,CEILING((X126/$H126),1)*$H126),"")</f>
        <v>18</v>
      </c>
      <c r="Z126" s="39">
        <f>IFERROR(IF(Y126=0,"",ROUNDUP(Y126/H126,0)*0.00651),"")</f>
        <v>6.5100000000000005E-2</v>
      </c>
      <c r="AA126" s="65" t="s">
        <v>46</v>
      </c>
      <c r="AB126" s="66" t="s">
        <v>46</v>
      </c>
      <c r="AC126" s="197" t="s">
        <v>253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19.8</v>
      </c>
      <c r="BN126" s="75">
        <f>IFERROR(Y126*I126/H126,"0")</f>
        <v>19.8</v>
      </c>
      <c r="BO126" s="75">
        <f>IFERROR(1/J126*(X126/H126),"0")</f>
        <v>5.4945054945054951E-2</v>
      </c>
      <c r="BP126" s="75">
        <f>IFERROR(1/J126*(Y126/H126),"0")</f>
        <v>5.4945054945054951E-2</v>
      </c>
    </row>
    <row r="127" spans="1:68" x14ac:dyDescent="0.2">
      <c r="A127" s="715"/>
      <c r="B127" s="715"/>
      <c r="C127" s="715"/>
      <c r="D127" s="715"/>
      <c r="E127" s="715"/>
      <c r="F127" s="715"/>
      <c r="G127" s="715"/>
      <c r="H127" s="715"/>
      <c r="I127" s="715"/>
      <c r="J127" s="715"/>
      <c r="K127" s="715"/>
      <c r="L127" s="715"/>
      <c r="M127" s="715"/>
      <c r="N127" s="715"/>
      <c r="O127" s="716"/>
      <c r="P127" s="712" t="s">
        <v>40</v>
      </c>
      <c r="Q127" s="713"/>
      <c r="R127" s="713"/>
      <c r="S127" s="713"/>
      <c r="T127" s="713"/>
      <c r="U127" s="713"/>
      <c r="V127" s="714"/>
      <c r="W127" s="40" t="s">
        <v>39</v>
      </c>
      <c r="X127" s="41">
        <f>IFERROR(X123/H123,"0")+IFERROR(X124/H124,"0")+IFERROR(X125/H125,"0")+IFERROR(X126/H126,"0")</f>
        <v>242.71604938271602</v>
      </c>
      <c r="Y127" s="41">
        <f>IFERROR(Y123/H123,"0")+IFERROR(Y124/H124,"0")+IFERROR(Y125/H125,"0")+IFERROR(Y126/H126,"0")</f>
        <v>244</v>
      </c>
      <c r="Z127" s="41">
        <f>IFERROR(IF(Z123="",0,Z123),"0")+IFERROR(IF(Z124="",0,Z124),"0")+IFERROR(IF(Z125="",0,Z125),"0")+IFERROR(IF(Z126="",0,Z126),"0")</f>
        <v>2.2119400000000002</v>
      </c>
      <c r="AA127" s="64"/>
      <c r="AB127" s="64"/>
      <c r="AC127" s="64"/>
    </row>
    <row r="128" spans="1:68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0" t="s">
        <v>0</v>
      </c>
      <c r="X128" s="41">
        <f>IFERROR(SUM(X123:X126),"0")</f>
        <v>913</v>
      </c>
      <c r="Y128" s="41">
        <f>IFERROR(SUM(Y123:Y126),"0")</f>
        <v>919.8</v>
      </c>
      <c r="Z128" s="40"/>
      <c r="AA128" s="64"/>
      <c r="AB128" s="64"/>
      <c r="AC128" s="64"/>
    </row>
    <row r="129" spans="1:68" ht="14.25" hidden="1" customHeight="1" x14ac:dyDescent="0.25">
      <c r="A129" s="707" t="s">
        <v>183</v>
      </c>
      <c r="B129" s="707"/>
      <c r="C129" s="707"/>
      <c r="D129" s="707"/>
      <c r="E129" s="707"/>
      <c r="F129" s="707"/>
      <c r="G129" s="707"/>
      <c r="H129" s="707"/>
      <c r="I129" s="707"/>
      <c r="J129" s="707"/>
      <c r="K129" s="707"/>
      <c r="L129" s="707"/>
      <c r="M129" s="707"/>
      <c r="N129" s="707"/>
      <c r="O129" s="707"/>
      <c r="P129" s="707"/>
      <c r="Q129" s="707"/>
      <c r="R129" s="707"/>
      <c r="S129" s="707"/>
      <c r="T129" s="707"/>
      <c r="U129" s="707"/>
      <c r="V129" s="707"/>
      <c r="W129" s="707"/>
      <c r="X129" s="707"/>
      <c r="Y129" s="707"/>
      <c r="Z129" s="707"/>
      <c r="AA129" s="63"/>
      <c r="AB129" s="63"/>
      <c r="AC129" s="63"/>
    </row>
    <row r="130" spans="1:68" ht="16.5" customHeight="1" x14ac:dyDescent="0.25">
      <c r="A130" s="60" t="s">
        <v>254</v>
      </c>
      <c r="B130" s="60" t="s">
        <v>255</v>
      </c>
      <c r="C130" s="34">
        <v>4301060525</v>
      </c>
      <c r="D130" s="708">
        <v>4680115880238</v>
      </c>
      <c r="E130" s="708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88</v>
      </c>
      <c r="L130" s="35" t="s">
        <v>46</v>
      </c>
      <c r="M130" s="36" t="s">
        <v>87</v>
      </c>
      <c r="N130" s="36"/>
      <c r="O130" s="35">
        <v>40</v>
      </c>
      <c r="P130" s="7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0"/>
      <c r="R130" s="710"/>
      <c r="S130" s="710"/>
      <c r="T130" s="711"/>
      <c r="U130" s="37" t="s">
        <v>46</v>
      </c>
      <c r="V130" s="37" t="s">
        <v>46</v>
      </c>
      <c r="W130" s="38" t="s">
        <v>0</v>
      </c>
      <c r="X130" s="56">
        <v>30</v>
      </c>
      <c r="Y130" s="53">
        <f>IFERROR(IF(X130="",0,CEILING((X130/$H130),1)*$H130),"")</f>
        <v>31.68</v>
      </c>
      <c r="Z130" s="39">
        <f>IFERROR(IF(Y130=0,"",ROUNDUP(Y130/H130,0)*0.00651),"")</f>
        <v>0.10416</v>
      </c>
      <c r="AA130" s="65" t="s">
        <v>46</v>
      </c>
      <c r="AB130" s="66" t="s">
        <v>46</v>
      </c>
      <c r="AC130" s="199" t="s">
        <v>256</v>
      </c>
      <c r="AG130" s="75"/>
      <c r="AJ130" s="79" t="s">
        <v>46</v>
      </c>
      <c r="AK130" s="79">
        <v>0</v>
      </c>
      <c r="BB130" s="200" t="s">
        <v>67</v>
      </c>
      <c r="BM130" s="75">
        <f>IFERROR(X130*I130/H130,"0")</f>
        <v>33.909090909090907</v>
      </c>
      <c r="BN130" s="75">
        <f>IFERROR(Y130*I130/H130,"0")</f>
        <v>35.808</v>
      </c>
      <c r="BO130" s="75">
        <f>IFERROR(1/J130*(X130/H130),"0")</f>
        <v>8.3250083250083262E-2</v>
      </c>
      <c r="BP130" s="75">
        <f>IFERROR(1/J130*(Y130/H130),"0")</f>
        <v>8.7912087912087919E-2</v>
      </c>
    </row>
    <row r="131" spans="1:68" x14ac:dyDescent="0.2">
      <c r="A131" s="715"/>
      <c r="B131" s="715"/>
      <c r="C131" s="715"/>
      <c r="D131" s="715"/>
      <c r="E131" s="715"/>
      <c r="F131" s="715"/>
      <c r="G131" s="715"/>
      <c r="H131" s="715"/>
      <c r="I131" s="715"/>
      <c r="J131" s="715"/>
      <c r="K131" s="715"/>
      <c r="L131" s="715"/>
      <c r="M131" s="715"/>
      <c r="N131" s="715"/>
      <c r="O131" s="716"/>
      <c r="P131" s="712" t="s">
        <v>40</v>
      </c>
      <c r="Q131" s="713"/>
      <c r="R131" s="713"/>
      <c r="S131" s="713"/>
      <c r="T131" s="713"/>
      <c r="U131" s="713"/>
      <c r="V131" s="714"/>
      <c r="W131" s="40" t="s">
        <v>39</v>
      </c>
      <c r="X131" s="41">
        <f>IFERROR(X130/H130,"0")</f>
        <v>15.151515151515152</v>
      </c>
      <c r="Y131" s="41">
        <f>IFERROR(Y130/H130,"0")</f>
        <v>16</v>
      </c>
      <c r="Z131" s="41">
        <f>IFERROR(IF(Z130="",0,Z130),"0")</f>
        <v>0.10416</v>
      </c>
      <c r="AA131" s="64"/>
      <c r="AB131" s="64"/>
      <c r="AC131" s="64"/>
    </row>
    <row r="132" spans="1:68" x14ac:dyDescent="0.2">
      <c r="A132" s="715"/>
      <c r="B132" s="715"/>
      <c r="C132" s="715"/>
      <c r="D132" s="715"/>
      <c r="E132" s="715"/>
      <c r="F132" s="715"/>
      <c r="G132" s="715"/>
      <c r="H132" s="715"/>
      <c r="I132" s="715"/>
      <c r="J132" s="715"/>
      <c r="K132" s="715"/>
      <c r="L132" s="715"/>
      <c r="M132" s="715"/>
      <c r="N132" s="715"/>
      <c r="O132" s="716"/>
      <c r="P132" s="712" t="s">
        <v>40</v>
      </c>
      <c r="Q132" s="713"/>
      <c r="R132" s="713"/>
      <c r="S132" s="713"/>
      <c r="T132" s="713"/>
      <c r="U132" s="713"/>
      <c r="V132" s="714"/>
      <c r="W132" s="40" t="s">
        <v>0</v>
      </c>
      <c r="X132" s="41">
        <f>IFERROR(SUM(X130:X130),"0")</f>
        <v>30</v>
      </c>
      <c r="Y132" s="41">
        <f>IFERROR(SUM(Y130:Y130),"0")</f>
        <v>31.68</v>
      </c>
      <c r="Z132" s="40"/>
      <c r="AA132" s="64"/>
      <c r="AB132" s="64"/>
      <c r="AC132" s="64"/>
    </row>
    <row r="133" spans="1:68" ht="16.5" hidden="1" customHeight="1" x14ac:dyDescent="0.25">
      <c r="A133" s="706" t="s">
        <v>257</v>
      </c>
      <c r="B133" s="706"/>
      <c r="C133" s="706"/>
      <c r="D133" s="706"/>
      <c r="E133" s="706"/>
      <c r="F133" s="706"/>
      <c r="G133" s="706"/>
      <c r="H133" s="706"/>
      <c r="I133" s="706"/>
      <c r="J133" s="706"/>
      <c r="K133" s="706"/>
      <c r="L133" s="706"/>
      <c r="M133" s="706"/>
      <c r="N133" s="706"/>
      <c r="O133" s="706"/>
      <c r="P133" s="706"/>
      <c r="Q133" s="706"/>
      <c r="R133" s="706"/>
      <c r="S133" s="706"/>
      <c r="T133" s="706"/>
      <c r="U133" s="706"/>
      <c r="V133" s="706"/>
      <c r="W133" s="706"/>
      <c r="X133" s="706"/>
      <c r="Y133" s="706"/>
      <c r="Z133" s="706"/>
      <c r="AA133" s="62"/>
      <c r="AB133" s="62"/>
      <c r="AC133" s="62"/>
    </row>
    <row r="134" spans="1:68" ht="14.25" hidden="1" customHeight="1" x14ac:dyDescent="0.25">
      <c r="A134" s="707" t="s">
        <v>130</v>
      </c>
      <c r="B134" s="707"/>
      <c r="C134" s="707"/>
      <c r="D134" s="707"/>
      <c r="E134" s="707"/>
      <c r="F134" s="707"/>
      <c r="G134" s="707"/>
      <c r="H134" s="707"/>
      <c r="I134" s="707"/>
      <c r="J134" s="707"/>
      <c r="K134" s="707"/>
      <c r="L134" s="707"/>
      <c r="M134" s="707"/>
      <c r="N134" s="707"/>
      <c r="O134" s="707"/>
      <c r="P134" s="707"/>
      <c r="Q134" s="707"/>
      <c r="R134" s="707"/>
      <c r="S134" s="707"/>
      <c r="T134" s="707"/>
      <c r="U134" s="707"/>
      <c r="V134" s="707"/>
      <c r="W134" s="707"/>
      <c r="X134" s="707"/>
      <c r="Y134" s="707"/>
      <c r="Z134" s="707"/>
      <c r="AA134" s="63"/>
      <c r="AB134" s="63"/>
      <c r="AC134" s="63"/>
    </row>
    <row r="135" spans="1:68" ht="27" hidden="1" customHeight="1" x14ac:dyDescent="0.25">
      <c r="A135" s="60" t="s">
        <v>258</v>
      </c>
      <c r="B135" s="60" t="s">
        <v>259</v>
      </c>
      <c r="C135" s="34">
        <v>4301011562</v>
      </c>
      <c r="D135" s="708">
        <v>4680115882577</v>
      </c>
      <c r="E135" s="70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88</v>
      </c>
      <c r="L135" s="35" t="s">
        <v>46</v>
      </c>
      <c r="M135" s="36" t="s">
        <v>261</v>
      </c>
      <c r="N135" s="36"/>
      <c r="O135" s="35">
        <v>90</v>
      </c>
      <c r="P135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0"/>
      <c r="R135" s="710"/>
      <c r="S135" s="710"/>
      <c r="T135" s="71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258</v>
      </c>
      <c r="B136" s="60" t="s">
        <v>262</v>
      </c>
      <c r="C136" s="34">
        <v>4301011564</v>
      </c>
      <c r="D136" s="708">
        <v>4680115882577</v>
      </c>
      <c r="E136" s="708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261</v>
      </c>
      <c r="N136" s="36"/>
      <c r="O136" s="35">
        <v>90</v>
      </c>
      <c r="P136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0"/>
      <c r="R136" s="710"/>
      <c r="S136" s="710"/>
      <c r="T136" s="711"/>
      <c r="U136" s="37" t="s">
        <v>46</v>
      </c>
      <c r="V136" s="37" t="s">
        <v>46</v>
      </c>
      <c r="W136" s="38" t="s">
        <v>0</v>
      </c>
      <c r="X136" s="56">
        <v>40</v>
      </c>
      <c r="Y136" s="53">
        <f>IFERROR(IF(X136="",0,CEILING((X136/$H136),1)*$H136),"")</f>
        <v>41.6</v>
      </c>
      <c r="Z136" s="39">
        <f>IFERROR(IF(Y136=0,"",ROUNDUP(Y136/H136,0)*0.00651),"")</f>
        <v>8.4629999999999997E-2</v>
      </c>
      <c r="AA136" s="65" t="s">
        <v>46</v>
      </c>
      <c r="AB136" s="66" t="s">
        <v>46</v>
      </c>
      <c r="AC136" s="203" t="s">
        <v>260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42.249999999999993</v>
      </c>
      <c r="BN136" s="75">
        <f>IFERROR(Y136*I136/H136,"0")</f>
        <v>43.94</v>
      </c>
      <c r="BO136" s="75">
        <f>IFERROR(1/J136*(X136/H136),"0")</f>
        <v>6.8681318681318687E-2</v>
      </c>
      <c r="BP136" s="75">
        <f>IFERROR(1/J136*(Y136/H136),"0")</f>
        <v>7.1428571428571438E-2</v>
      </c>
    </row>
    <row r="137" spans="1:68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0" t="s">
        <v>39</v>
      </c>
      <c r="X137" s="41">
        <f>IFERROR(X135/H135,"0")+IFERROR(X136/H136,"0")</f>
        <v>12.5</v>
      </c>
      <c r="Y137" s="41">
        <f>IFERROR(Y135/H135,"0")+IFERROR(Y136/H136,"0")</f>
        <v>13</v>
      </c>
      <c r="Z137" s="41">
        <f>IFERROR(IF(Z135="",0,Z135),"0")+IFERROR(IF(Z136="",0,Z136),"0")</f>
        <v>8.4629999999999997E-2</v>
      </c>
      <c r="AA137" s="64"/>
      <c r="AB137" s="64"/>
      <c r="AC137" s="64"/>
    </row>
    <row r="138" spans="1:68" x14ac:dyDescent="0.2">
      <c r="A138" s="715"/>
      <c r="B138" s="715"/>
      <c r="C138" s="715"/>
      <c r="D138" s="715"/>
      <c r="E138" s="715"/>
      <c r="F138" s="715"/>
      <c r="G138" s="715"/>
      <c r="H138" s="715"/>
      <c r="I138" s="715"/>
      <c r="J138" s="715"/>
      <c r="K138" s="715"/>
      <c r="L138" s="715"/>
      <c r="M138" s="715"/>
      <c r="N138" s="715"/>
      <c r="O138" s="716"/>
      <c r="P138" s="712" t="s">
        <v>40</v>
      </c>
      <c r="Q138" s="713"/>
      <c r="R138" s="713"/>
      <c r="S138" s="713"/>
      <c r="T138" s="713"/>
      <c r="U138" s="713"/>
      <c r="V138" s="714"/>
      <c r="W138" s="40" t="s">
        <v>0</v>
      </c>
      <c r="X138" s="41">
        <f>IFERROR(SUM(X135:X136),"0")</f>
        <v>40</v>
      </c>
      <c r="Y138" s="41">
        <f>IFERROR(SUM(Y135:Y136),"0")</f>
        <v>41.6</v>
      </c>
      <c r="Z138" s="40"/>
      <c r="AA138" s="64"/>
      <c r="AB138" s="64"/>
      <c r="AC138" s="64"/>
    </row>
    <row r="139" spans="1:68" ht="14.25" hidden="1" customHeight="1" x14ac:dyDescent="0.25">
      <c r="A139" s="707" t="s">
        <v>77</v>
      </c>
      <c r="B139" s="707"/>
      <c r="C139" s="707"/>
      <c r="D139" s="707"/>
      <c r="E139" s="707"/>
      <c r="F139" s="707"/>
      <c r="G139" s="707"/>
      <c r="H139" s="707"/>
      <c r="I139" s="707"/>
      <c r="J139" s="707"/>
      <c r="K139" s="707"/>
      <c r="L139" s="707"/>
      <c r="M139" s="707"/>
      <c r="N139" s="707"/>
      <c r="O139" s="707"/>
      <c r="P139" s="707"/>
      <c r="Q139" s="707"/>
      <c r="R139" s="707"/>
      <c r="S139" s="707"/>
      <c r="T139" s="707"/>
      <c r="U139" s="707"/>
      <c r="V139" s="707"/>
      <c r="W139" s="707"/>
      <c r="X139" s="707"/>
      <c r="Y139" s="707"/>
      <c r="Z139" s="707"/>
      <c r="AA139" s="63"/>
      <c r="AB139" s="63"/>
      <c r="AC139" s="63"/>
    </row>
    <row r="140" spans="1:68" ht="27" customHeight="1" x14ac:dyDescent="0.25">
      <c r="A140" s="60" t="s">
        <v>263</v>
      </c>
      <c r="B140" s="60" t="s">
        <v>264</v>
      </c>
      <c r="C140" s="34">
        <v>4301031234</v>
      </c>
      <c r="D140" s="708">
        <v>4680115883444</v>
      </c>
      <c r="E140" s="70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88</v>
      </c>
      <c r="L140" s="35" t="s">
        <v>46</v>
      </c>
      <c r="M140" s="36" t="s">
        <v>261</v>
      </c>
      <c r="N140" s="36"/>
      <c r="O140" s="35">
        <v>90</v>
      </c>
      <c r="P14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0"/>
      <c r="R140" s="710"/>
      <c r="S140" s="710"/>
      <c r="T140" s="711"/>
      <c r="U140" s="37" t="s">
        <v>46</v>
      </c>
      <c r="V140" s="37" t="s">
        <v>46</v>
      </c>
      <c r="W140" s="38" t="s">
        <v>0</v>
      </c>
      <c r="X140" s="56">
        <v>70</v>
      </c>
      <c r="Y140" s="53">
        <f>IFERROR(IF(X140="",0,CEILING((X140/$H140),1)*$H140),"")</f>
        <v>70</v>
      </c>
      <c r="Z140" s="39">
        <f>IFERROR(IF(Y140=0,"",ROUNDUP(Y140/H140,0)*0.00651),"")</f>
        <v>0.16275000000000001</v>
      </c>
      <c r="AA140" s="65" t="s">
        <v>46</v>
      </c>
      <c r="AB140" s="66" t="s">
        <v>46</v>
      </c>
      <c r="AC140" s="205" t="s">
        <v>265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76.7</v>
      </c>
      <c r="BN140" s="75">
        <f>IFERROR(Y140*I140/H140,"0")</f>
        <v>76.7</v>
      </c>
      <c r="BO140" s="75">
        <f>IFERROR(1/J140*(X140/H140),"0")</f>
        <v>0.13736263736263737</v>
      </c>
      <c r="BP140" s="75">
        <f>IFERROR(1/J140*(Y140/H140),"0")</f>
        <v>0.13736263736263737</v>
      </c>
    </row>
    <row r="141" spans="1:68" ht="27" hidden="1" customHeight="1" x14ac:dyDescent="0.25">
      <c r="A141" s="60" t="s">
        <v>263</v>
      </c>
      <c r="B141" s="60" t="s">
        <v>266</v>
      </c>
      <c r="C141" s="34">
        <v>4301031235</v>
      </c>
      <c r="D141" s="708">
        <v>4680115883444</v>
      </c>
      <c r="E141" s="708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261</v>
      </c>
      <c r="N141" s="36"/>
      <c r="O141" s="35">
        <v>90</v>
      </c>
      <c r="P141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0"/>
      <c r="R141" s="710"/>
      <c r="S141" s="710"/>
      <c r="T141" s="71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265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15"/>
      <c r="B142" s="715"/>
      <c r="C142" s="715"/>
      <c r="D142" s="715"/>
      <c r="E142" s="715"/>
      <c r="F142" s="715"/>
      <c r="G142" s="715"/>
      <c r="H142" s="715"/>
      <c r="I142" s="715"/>
      <c r="J142" s="715"/>
      <c r="K142" s="715"/>
      <c r="L142" s="715"/>
      <c r="M142" s="715"/>
      <c r="N142" s="715"/>
      <c r="O142" s="716"/>
      <c r="P142" s="712" t="s">
        <v>40</v>
      </c>
      <c r="Q142" s="713"/>
      <c r="R142" s="713"/>
      <c r="S142" s="713"/>
      <c r="T142" s="713"/>
      <c r="U142" s="713"/>
      <c r="V142" s="714"/>
      <c r="W142" s="40" t="s">
        <v>39</v>
      </c>
      <c r="X142" s="41">
        <f>IFERROR(X140/H140,"0")+IFERROR(X141/H141,"0")</f>
        <v>25</v>
      </c>
      <c r="Y142" s="41">
        <f>IFERROR(Y140/H140,"0")+IFERROR(Y141/H141,"0")</f>
        <v>25</v>
      </c>
      <c r="Z142" s="41">
        <f>IFERROR(IF(Z140="",0,Z140),"0")+IFERROR(IF(Z141="",0,Z141),"0")</f>
        <v>0.16275000000000001</v>
      </c>
      <c r="AA142" s="64"/>
      <c r="AB142" s="64"/>
      <c r="AC142" s="64"/>
    </row>
    <row r="143" spans="1:68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0" t="s">
        <v>0</v>
      </c>
      <c r="X143" s="41">
        <f>IFERROR(SUM(X140:X141),"0")</f>
        <v>70</v>
      </c>
      <c r="Y143" s="41">
        <f>IFERROR(SUM(Y140:Y141),"0")</f>
        <v>70</v>
      </c>
      <c r="Z143" s="40"/>
      <c r="AA143" s="64"/>
      <c r="AB143" s="64"/>
      <c r="AC143" s="64"/>
    </row>
    <row r="144" spans="1:68" ht="14.25" hidden="1" customHeight="1" x14ac:dyDescent="0.25">
      <c r="A144" s="707" t="s">
        <v>83</v>
      </c>
      <c r="B144" s="707"/>
      <c r="C144" s="707"/>
      <c r="D144" s="707"/>
      <c r="E144" s="707"/>
      <c r="F144" s="707"/>
      <c r="G144" s="707"/>
      <c r="H144" s="707"/>
      <c r="I144" s="707"/>
      <c r="J144" s="707"/>
      <c r="K144" s="707"/>
      <c r="L144" s="707"/>
      <c r="M144" s="707"/>
      <c r="N144" s="707"/>
      <c r="O144" s="707"/>
      <c r="P144" s="707"/>
      <c r="Q144" s="707"/>
      <c r="R144" s="707"/>
      <c r="S144" s="707"/>
      <c r="T144" s="707"/>
      <c r="U144" s="707"/>
      <c r="V144" s="707"/>
      <c r="W144" s="707"/>
      <c r="X144" s="707"/>
      <c r="Y144" s="707"/>
      <c r="Z144" s="707"/>
      <c r="AA144" s="63"/>
      <c r="AB144" s="63"/>
      <c r="AC144" s="63"/>
    </row>
    <row r="145" spans="1:68" ht="16.5" customHeight="1" x14ac:dyDescent="0.25">
      <c r="A145" s="60" t="s">
        <v>267</v>
      </c>
      <c r="B145" s="60" t="s">
        <v>268</v>
      </c>
      <c r="C145" s="34">
        <v>4301051476</v>
      </c>
      <c r="D145" s="708">
        <v>4680115882584</v>
      </c>
      <c r="E145" s="70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88</v>
      </c>
      <c r="L145" s="35" t="s">
        <v>46</v>
      </c>
      <c r="M145" s="36" t="s">
        <v>261</v>
      </c>
      <c r="N145" s="36"/>
      <c r="O145" s="35">
        <v>60</v>
      </c>
      <c r="P145" s="7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0"/>
      <c r="R145" s="710"/>
      <c r="S145" s="710"/>
      <c r="T145" s="711"/>
      <c r="U145" s="37" t="s">
        <v>46</v>
      </c>
      <c r="V145" s="37" t="s">
        <v>46</v>
      </c>
      <c r="W145" s="38" t="s">
        <v>0</v>
      </c>
      <c r="X145" s="56">
        <v>50</v>
      </c>
      <c r="Y145" s="53">
        <f>IFERROR(IF(X145="",0,CEILING((X145/$H145),1)*$H145),"")</f>
        <v>50.160000000000004</v>
      </c>
      <c r="Z145" s="39">
        <f>IFERROR(IF(Y145=0,"",ROUNDUP(Y145/H145,0)*0.00651),"")</f>
        <v>0.12369000000000001</v>
      </c>
      <c r="AA145" s="65" t="s">
        <v>46</v>
      </c>
      <c r="AB145" s="66" t="s">
        <v>46</v>
      </c>
      <c r="AC145" s="209" t="s">
        <v>260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55.075757575757578</v>
      </c>
      <c r="BN145" s="75">
        <f>IFERROR(Y145*I145/H145,"0")</f>
        <v>55.252000000000002</v>
      </c>
      <c r="BO145" s="75">
        <f>IFERROR(1/J145*(X145/H145),"0")</f>
        <v>0.10406260406260406</v>
      </c>
      <c r="BP145" s="75">
        <f>IFERROR(1/J145*(Y145/H145),"0")</f>
        <v>0.1043956043956044</v>
      </c>
    </row>
    <row r="146" spans="1:68" ht="16.5" hidden="1" customHeight="1" x14ac:dyDescent="0.25">
      <c r="A146" s="60" t="s">
        <v>267</v>
      </c>
      <c r="B146" s="60" t="s">
        <v>269</v>
      </c>
      <c r="C146" s="34">
        <v>4301051477</v>
      </c>
      <c r="D146" s="708">
        <v>4680115882584</v>
      </c>
      <c r="E146" s="708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261</v>
      </c>
      <c r="N146" s="36"/>
      <c r="O146" s="35">
        <v>60</v>
      </c>
      <c r="P146" s="7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0"/>
      <c r="R146" s="710"/>
      <c r="S146" s="710"/>
      <c r="T146" s="71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260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15"/>
      <c r="B147" s="715"/>
      <c r="C147" s="715"/>
      <c r="D147" s="715"/>
      <c r="E147" s="715"/>
      <c r="F147" s="715"/>
      <c r="G147" s="715"/>
      <c r="H147" s="715"/>
      <c r="I147" s="715"/>
      <c r="J147" s="715"/>
      <c r="K147" s="715"/>
      <c r="L147" s="715"/>
      <c r="M147" s="715"/>
      <c r="N147" s="715"/>
      <c r="O147" s="716"/>
      <c r="P147" s="712" t="s">
        <v>40</v>
      </c>
      <c r="Q147" s="713"/>
      <c r="R147" s="713"/>
      <c r="S147" s="713"/>
      <c r="T147" s="713"/>
      <c r="U147" s="713"/>
      <c r="V147" s="714"/>
      <c r="W147" s="40" t="s">
        <v>39</v>
      </c>
      <c r="X147" s="41">
        <f>IFERROR(X145/H145,"0")+IFERROR(X146/H146,"0")</f>
        <v>18.939393939393938</v>
      </c>
      <c r="Y147" s="41">
        <f>IFERROR(Y145/H145,"0")+IFERROR(Y146/H146,"0")</f>
        <v>19</v>
      </c>
      <c r="Z147" s="41">
        <f>IFERROR(IF(Z145="",0,Z145),"0")+IFERROR(IF(Z146="",0,Z146),"0")</f>
        <v>0.12369000000000001</v>
      </c>
      <c r="AA147" s="64"/>
      <c r="AB147" s="64"/>
      <c r="AC147" s="64"/>
    </row>
    <row r="148" spans="1:68" x14ac:dyDescent="0.2">
      <c r="A148" s="715"/>
      <c r="B148" s="715"/>
      <c r="C148" s="715"/>
      <c r="D148" s="715"/>
      <c r="E148" s="715"/>
      <c r="F148" s="715"/>
      <c r="G148" s="715"/>
      <c r="H148" s="715"/>
      <c r="I148" s="715"/>
      <c r="J148" s="715"/>
      <c r="K148" s="715"/>
      <c r="L148" s="715"/>
      <c r="M148" s="715"/>
      <c r="N148" s="715"/>
      <c r="O148" s="716"/>
      <c r="P148" s="712" t="s">
        <v>40</v>
      </c>
      <c r="Q148" s="713"/>
      <c r="R148" s="713"/>
      <c r="S148" s="713"/>
      <c r="T148" s="713"/>
      <c r="U148" s="713"/>
      <c r="V148" s="714"/>
      <c r="W148" s="40" t="s">
        <v>0</v>
      </c>
      <c r="X148" s="41">
        <f>IFERROR(SUM(X145:X146),"0")</f>
        <v>50</v>
      </c>
      <c r="Y148" s="41">
        <f>IFERROR(SUM(Y145:Y146),"0")</f>
        <v>50.160000000000004</v>
      </c>
      <c r="Z148" s="40"/>
      <c r="AA148" s="64"/>
      <c r="AB148" s="64"/>
      <c r="AC148" s="64"/>
    </row>
    <row r="149" spans="1:68" ht="16.5" hidden="1" customHeight="1" x14ac:dyDescent="0.25">
      <c r="A149" s="706" t="s">
        <v>270</v>
      </c>
      <c r="B149" s="706"/>
      <c r="C149" s="706"/>
      <c r="D149" s="706"/>
      <c r="E149" s="706"/>
      <c r="F149" s="706"/>
      <c r="G149" s="706"/>
      <c r="H149" s="706"/>
      <c r="I149" s="706"/>
      <c r="J149" s="706"/>
      <c r="K149" s="706"/>
      <c r="L149" s="706"/>
      <c r="M149" s="706"/>
      <c r="N149" s="706"/>
      <c r="O149" s="706"/>
      <c r="P149" s="706"/>
      <c r="Q149" s="706"/>
      <c r="R149" s="706"/>
      <c r="S149" s="706"/>
      <c r="T149" s="706"/>
      <c r="U149" s="706"/>
      <c r="V149" s="706"/>
      <c r="W149" s="706"/>
      <c r="X149" s="706"/>
      <c r="Y149" s="706"/>
      <c r="Z149" s="706"/>
      <c r="AA149" s="62"/>
      <c r="AB149" s="62"/>
      <c r="AC149" s="62"/>
    </row>
    <row r="150" spans="1:68" ht="14.25" hidden="1" customHeight="1" x14ac:dyDescent="0.25">
      <c r="A150" s="707" t="s">
        <v>83</v>
      </c>
      <c r="B150" s="707"/>
      <c r="C150" s="707"/>
      <c r="D150" s="707"/>
      <c r="E150" s="707"/>
      <c r="F150" s="707"/>
      <c r="G150" s="707"/>
      <c r="H150" s="707"/>
      <c r="I150" s="707"/>
      <c r="J150" s="707"/>
      <c r="K150" s="707"/>
      <c r="L150" s="707"/>
      <c r="M150" s="707"/>
      <c r="N150" s="707"/>
      <c r="O150" s="707"/>
      <c r="P150" s="707"/>
      <c r="Q150" s="707"/>
      <c r="R150" s="707"/>
      <c r="S150" s="707"/>
      <c r="T150" s="707"/>
      <c r="U150" s="707"/>
      <c r="V150" s="707"/>
      <c r="W150" s="707"/>
      <c r="X150" s="707"/>
      <c r="Y150" s="707"/>
      <c r="Z150" s="707"/>
      <c r="AA150" s="63"/>
      <c r="AB150" s="63"/>
      <c r="AC150" s="63"/>
    </row>
    <row r="151" spans="1:68" ht="27" hidden="1" customHeight="1" x14ac:dyDescent="0.25">
      <c r="A151" s="60" t="s">
        <v>271</v>
      </c>
      <c r="B151" s="60" t="s">
        <v>272</v>
      </c>
      <c r="C151" s="34">
        <v>4301052254</v>
      </c>
      <c r="D151" s="708">
        <v>4680115888203</v>
      </c>
      <c r="E151" s="70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88</v>
      </c>
      <c r="L151" s="35" t="s">
        <v>46</v>
      </c>
      <c r="M151" s="36" t="s">
        <v>94</v>
      </c>
      <c r="N151" s="36"/>
      <c r="O151" s="35">
        <v>40</v>
      </c>
      <c r="P151" s="7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0"/>
      <c r="R151" s="710"/>
      <c r="S151" s="710"/>
      <c r="T151" s="71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273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4301052252</v>
      </c>
      <c r="D152" s="708">
        <v>4680115888180</v>
      </c>
      <c r="E152" s="70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88</v>
      </c>
      <c r="L152" s="35" t="s">
        <v>46</v>
      </c>
      <c r="M152" s="36" t="s">
        <v>94</v>
      </c>
      <c r="N152" s="36"/>
      <c r="O152" s="35">
        <v>40</v>
      </c>
      <c r="P152" s="7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0"/>
      <c r="R152" s="710"/>
      <c r="S152" s="710"/>
      <c r="T152" s="71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276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277</v>
      </c>
      <c r="B153" s="60" t="s">
        <v>278</v>
      </c>
      <c r="C153" s="34">
        <v>4301052253</v>
      </c>
      <c r="D153" s="708">
        <v>4680115888197</v>
      </c>
      <c r="E153" s="70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88</v>
      </c>
      <c r="L153" s="35" t="s">
        <v>46</v>
      </c>
      <c r="M153" s="36" t="s">
        <v>94</v>
      </c>
      <c r="N153" s="36"/>
      <c r="O153" s="35">
        <v>40</v>
      </c>
      <c r="P153" s="7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0"/>
      <c r="R153" s="710"/>
      <c r="S153" s="710"/>
      <c r="T153" s="711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279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280</v>
      </c>
      <c r="B154" s="60" t="s">
        <v>281</v>
      </c>
      <c r="C154" s="34">
        <v>4301052255</v>
      </c>
      <c r="D154" s="708">
        <v>4680115888210</v>
      </c>
      <c r="E154" s="70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88</v>
      </c>
      <c r="L154" s="35" t="s">
        <v>46</v>
      </c>
      <c r="M154" s="36" t="s">
        <v>94</v>
      </c>
      <c r="N154" s="36"/>
      <c r="O154" s="35">
        <v>40</v>
      </c>
      <c r="P154" s="7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0"/>
      <c r="R154" s="710"/>
      <c r="S154" s="710"/>
      <c r="T154" s="711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282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715"/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6"/>
      <c r="P155" s="712" t="s">
        <v>40</v>
      </c>
      <c r="Q155" s="713"/>
      <c r="R155" s="713"/>
      <c r="S155" s="713"/>
      <c r="T155" s="713"/>
      <c r="U155" s="713"/>
      <c r="V155" s="714"/>
      <c r="W155" s="40" t="s">
        <v>39</v>
      </c>
      <c r="X155" s="41">
        <f>IFERROR(X151/H151,"0")+IFERROR(X152/H152,"0")+IFERROR(X153/H153,"0")+IFERROR(X154/H154,"0")</f>
        <v>0</v>
      </c>
      <c r="Y155" s="41">
        <f>IFERROR(Y151/H151,"0")+IFERROR(Y152/H152,"0")+IFERROR(Y153/H153,"0")+IFERROR(Y154/H154,"0")</f>
        <v>0</v>
      </c>
      <c r="Z155" s="41">
        <f>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15"/>
      <c r="B156" s="715"/>
      <c r="C156" s="715"/>
      <c r="D156" s="715"/>
      <c r="E156" s="715"/>
      <c r="F156" s="715"/>
      <c r="G156" s="715"/>
      <c r="H156" s="715"/>
      <c r="I156" s="715"/>
      <c r="J156" s="715"/>
      <c r="K156" s="715"/>
      <c r="L156" s="715"/>
      <c r="M156" s="715"/>
      <c r="N156" s="715"/>
      <c r="O156" s="716"/>
      <c r="P156" s="712" t="s">
        <v>40</v>
      </c>
      <c r="Q156" s="713"/>
      <c r="R156" s="713"/>
      <c r="S156" s="713"/>
      <c r="T156" s="713"/>
      <c r="U156" s="713"/>
      <c r="V156" s="714"/>
      <c r="W156" s="40" t="s">
        <v>0</v>
      </c>
      <c r="X156" s="41">
        <f>IFERROR(SUM(X151:X154),"0")</f>
        <v>0</v>
      </c>
      <c r="Y156" s="41">
        <f>IFERROR(SUM(Y151:Y154),"0")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07" t="s">
        <v>101</v>
      </c>
      <c r="B157" s="707"/>
      <c r="C157" s="707"/>
      <c r="D157" s="707"/>
      <c r="E157" s="707"/>
      <c r="F157" s="707"/>
      <c r="G157" s="707"/>
      <c r="H157" s="707"/>
      <c r="I157" s="707"/>
      <c r="J157" s="707"/>
      <c r="K157" s="707"/>
      <c r="L157" s="707"/>
      <c r="M157" s="707"/>
      <c r="N157" s="707"/>
      <c r="O157" s="707"/>
      <c r="P157" s="707"/>
      <c r="Q157" s="707"/>
      <c r="R157" s="707"/>
      <c r="S157" s="707"/>
      <c r="T157" s="707"/>
      <c r="U157" s="707"/>
      <c r="V157" s="707"/>
      <c r="W157" s="707"/>
      <c r="X157" s="707"/>
      <c r="Y157" s="707"/>
      <c r="Z157" s="707"/>
      <c r="AA157" s="63"/>
      <c r="AB157" s="63"/>
      <c r="AC157" s="63"/>
    </row>
    <row r="158" spans="1:68" ht="27" hidden="1" customHeight="1" x14ac:dyDescent="0.25">
      <c r="A158" s="60" t="s">
        <v>283</v>
      </c>
      <c r="B158" s="60" t="s">
        <v>284</v>
      </c>
      <c r="C158" s="34">
        <v>4301032067</v>
      </c>
      <c r="D158" s="708">
        <v>4680115889132</v>
      </c>
      <c r="E158" s="70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108</v>
      </c>
      <c r="L158" s="35" t="s">
        <v>46</v>
      </c>
      <c r="M158" s="36" t="s">
        <v>107</v>
      </c>
      <c r="N158" s="36"/>
      <c r="O158" s="35">
        <v>120</v>
      </c>
      <c r="P158" s="7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0"/>
      <c r="R158" s="710"/>
      <c r="S158" s="710"/>
      <c r="T158" s="71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1" t="s">
        <v>285</v>
      </c>
      <c r="AG158" s="75"/>
      <c r="AJ158" s="79" t="s">
        <v>46</v>
      </c>
      <c r="AK158" s="79">
        <v>0</v>
      </c>
      <c r="BB158" s="222" t="s">
        <v>105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15"/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6"/>
      <c r="P160" s="712" t="s">
        <v>40</v>
      </c>
      <c r="Q160" s="713"/>
      <c r="R160" s="713"/>
      <c r="S160" s="713"/>
      <c r="T160" s="713"/>
      <c r="U160" s="713"/>
      <c r="V160" s="714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06" t="s">
        <v>128</v>
      </c>
      <c r="B161" s="706"/>
      <c r="C161" s="706"/>
      <c r="D161" s="706"/>
      <c r="E161" s="706"/>
      <c r="F161" s="706"/>
      <c r="G161" s="706"/>
      <c r="H161" s="706"/>
      <c r="I161" s="706"/>
      <c r="J161" s="706"/>
      <c r="K161" s="706"/>
      <c r="L161" s="706"/>
      <c r="M161" s="706"/>
      <c r="N161" s="706"/>
      <c r="O161" s="706"/>
      <c r="P161" s="706"/>
      <c r="Q161" s="706"/>
      <c r="R161" s="706"/>
      <c r="S161" s="706"/>
      <c r="T161" s="706"/>
      <c r="U161" s="706"/>
      <c r="V161" s="706"/>
      <c r="W161" s="706"/>
      <c r="X161" s="706"/>
      <c r="Y161" s="706"/>
      <c r="Z161" s="706"/>
      <c r="AA161" s="62"/>
      <c r="AB161" s="62"/>
      <c r="AC161" s="62"/>
    </row>
    <row r="162" spans="1:68" ht="14.25" hidden="1" customHeight="1" x14ac:dyDescent="0.25">
      <c r="A162" s="707" t="s">
        <v>130</v>
      </c>
      <c r="B162" s="707"/>
      <c r="C162" s="707"/>
      <c r="D162" s="707"/>
      <c r="E162" s="707"/>
      <c r="F162" s="707"/>
      <c r="G162" s="707"/>
      <c r="H162" s="707"/>
      <c r="I162" s="707"/>
      <c r="J162" s="707"/>
      <c r="K162" s="707"/>
      <c r="L162" s="707"/>
      <c r="M162" s="707"/>
      <c r="N162" s="707"/>
      <c r="O162" s="707"/>
      <c r="P162" s="707"/>
      <c r="Q162" s="707"/>
      <c r="R162" s="707"/>
      <c r="S162" s="707"/>
      <c r="T162" s="707"/>
      <c r="U162" s="707"/>
      <c r="V162" s="707"/>
      <c r="W162" s="707"/>
      <c r="X162" s="707"/>
      <c r="Y162" s="707"/>
      <c r="Z162" s="707"/>
      <c r="AA162" s="63"/>
      <c r="AB162" s="63"/>
      <c r="AC162" s="63"/>
    </row>
    <row r="163" spans="1:68" ht="27" hidden="1" customHeight="1" x14ac:dyDescent="0.25">
      <c r="A163" s="60" t="s">
        <v>286</v>
      </c>
      <c r="B163" s="60" t="s">
        <v>287</v>
      </c>
      <c r="C163" s="34">
        <v>4301012338</v>
      </c>
      <c r="D163" s="708">
        <v>4680115887374</v>
      </c>
      <c r="E163" s="70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135</v>
      </c>
      <c r="L163" s="35" t="s">
        <v>46</v>
      </c>
      <c r="M163" s="36" t="s">
        <v>134</v>
      </c>
      <c r="N163" s="36"/>
      <c r="O163" s="35">
        <v>55</v>
      </c>
      <c r="P163" s="7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0"/>
      <c r="R163" s="710"/>
      <c r="S163" s="710"/>
      <c r="T163" s="71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3" t="s">
        <v>288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289</v>
      </c>
      <c r="B164" s="60" t="s">
        <v>290</v>
      </c>
      <c r="C164" s="34">
        <v>4301011705</v>
      </c>
      <c r="D164" s="708">
        <v>4607091384604</v>
      </c>
      <c r="E164" s="70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142</v>
      </c>
      <c r="L164" s="35" t="s">
        <v>46</v>
      </c>
      <c r="M164" s="36" t="s">
        <v>134</v>
      </c>
      <c r="N164" s="36"/>
      <c r="O164" s="35">
        <v>50</v>
      </c>
      <c r="P164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0"/>
      <c r="R164" s="710"/>
      <c r="S164" s="710"/>
      <c r="T164" s="71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25" t="s">
        <v>291</v>
      </c>
      <c r="AG164" s="75"/>
      <c r="AJ164" s="79" t="s">
        <v>46</v>
      </c>
      <c r="AK164" s="79">
        <v>0</v>
      </c>
      <c r="BB164" s="226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289</v>
      </c>
      <c r="B165" s="60" t="s">
        <v>292</v>
      </c>
      <c r="C165" s="34">
        <v>4301012258</v>
      </c>
      <c r="D165" s="708">
        <v>4607091384604</v>
      </c>
      <c r="E165" s="70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142</v>
      </c>
      <c r="L165" s="35" t="s">
        <v>46</v>
      </c>
      <c r="M165" s="36" t="s">
        <v>134</v>
      </c>
      <c r="N165" s="36"/>
      <c r="O165" s="35">
        <v>50</v>
      </c>
      <c r="P165" s="78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0"/>
      <c r="R165" s="710"/>
      <c r="S165" s="710"/>
      <c r="T165" s="71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27" t="s">
        <v>291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8">
        <v>4680115888876</v>
      </c>
      <c r="E166" s="70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88</v>
      </c>
      <c r="L166" s="35" t="s">
        <v>46</v>
      </c>
      <c r="M166" s="36" t="s">
        <v>87</v>
      </c>
      <c r="N166" s="36"/>
      <c r="O166" s="35">
        <v>55</v>
      </c>
      <c r="P166" s="79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0"/>
      <c r="R166" s="710"/>
      <c r="S166" s="710"/>
      <c r="T166" s="71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29" t="s">
        <v>295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5"/>
      <c r="B167" s="715"/>
      <c r="C167" s="715"/>
      <c r="D167" s="715"/>
      <c r="E167" s="715"/>
      <c r="F167" s="715"/>
      <c r="G167" s="715"/>
      <c r="H167" s="715"/>
      <c r="I167" s="715"/>
      <c r="J167" s="715"/>
      <c r="K167" s="715"/>
      <c r="L167" s="715"/>
      <c r="M167" s="715"/>
      <c r="N167" s="715"/>
      <c r="O167" s="716"/>
      <c r="P167" s="712" t="s">
        <v>40</v>
      </c>
      <c r="Q167" s="713"/>
      <c r="R167" s="713"/>
      <c r="S167" s="713"/>
      <c r="T167" s="713"/>
      <c r="U167" s="713"/>
      <c r="V167" s="714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5"/>
      <c r="B168" s="715"/>
      <c r="C168" s="715"/>
      <c r="D168" s="715"/>
      <c r="E168" s="715"/>
      <c r="F168" s="715"/>
      <c r="G168" s="715"/>
      <c r="H168" s="715"/>
      <c r="I168" s="715"/>
      <c r="J168" s="715"/>
      <c r="K168" s="715"/>
      <c r="L168" s="715"/>
      <c r="M168" s="715"/>
      <c r="N168" s="715"/>
      <c r="O168" s="716"/>
      <c r="P168" s="712" t="s">
        <v>40</v>
      </c>
      <c r="Q168" s="713"/>
      <c r="R168" s="713"/>
      <c r="S168" s="713"/>
      <c r="T168" s="713"/>
      <c r="U168" s="713"/>
      <c r="V168" s="714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7" t="s">
        <v>165</v>
      </c>
      <c r="B169" s="707"/>
      <c r="C169" s="707"/>
      <c r="D169" s="707"/>
      <c r="E169" s="707"/>
      <c r="F169" s="707"/>
      <c r="G169" s="707"/>
      <c r="H169" s="707"/>
      <c r="I169" s="707"/>
      <c r="J169" s="707"/>
      <c r="K169" s="707"/>
      <c r="L169" s="707"/>
      <c r="M169" s="707"/>
      <c r="N169" s="707"/>
      <c r="O169" s="707"/>
      <c r="P169" s="707"/>
      <c r="Q169" s="707"/>
      <c r="R169" s="707"/>
      <c r="S169" s="707"/>
      <c r="T169" s="707"/>
      <c r="U169" s="707"/>
      <c r="V169" s="707"/>
      <c r="W169" s="707"/>
      <c r="X169" s="707"/>
      <c r="Y169" s="707"/>
      <c r="Z169" s="707"/>
      <c r="AA169" s="63"/>
      <c r="AB169" s="63"/>
      <c r="AC169" s="63"/>
    </row>
    <row r="170" spans="1:68" ht="16.5" hidden="1" customHeight="1" x14ac:dyDescent="0.25">
      <c r="A170" s="60" t="s">
        <v>296</v>
      </c>
      <c r="B170" s="60" t="s">
        <v>297</v>
      </c>
      <c r="C170" s="34">
        <v>4301020410</v>
      </c>
      <c r="D170" s="708">
        <v>4680115887695</v>
      </c>
      <c r="E170" s="708"/>
      <c r="F170" s="59">
        <v>0.12</v>
      </c>
      <c r="G170" s="35">
        <v>6</v>
      </c>
      <c r="H170" s="59">
        <v>0.72</v>
      </c>
      <c r="I170" s="59">
        <v>0.85</v>
      </c>
      <c r="J170" s="35">
        <v>234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0"/>
      <c r="R170" s="710"/>
      <c r="S170" s="710"/>
      <c r="T170" s="71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4301020439</v>
      </c>
      <c r="D171" s="708">
        <v>4680115889491</v>
      </c>
      <c r="E171" s="70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134</v>
      </c>
      <c r="N171" s="36"/>
      <c r="O171" s="35">
        <v>55</v>
      </c>
      <c r="P171" s="79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0"/>
      <c r="R171" s="710"/>
      <c r="S171" s="710"/>
      <c r="T171" s="71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15"/>
      <c r="B172" s="715"/>
      <c r="C172" s="715"/>
      <c r="D172" s="715"/>
      <c r="E172" s="715"/>
      <c r="F172" s="715"/>
      <c r="G172" s="715"/>
      <c r="H172" s="715"/>
      <c r="I172" s="715"/>
      <c r="J172" s="715"/>
      <c r="K172" s="715"/>
      <c r="L172" s="715"/>
      <c r="M172" s="715"/>
      <c r="N172" s="715"/>
      <c r="O172" s="716"/>
      <c r="P172" s="712" t="s">
        <v>40</v>
      </c>
      <c r="Q172" s="713"/>
      <c r="R172" s="713"/>
      <c r="S172" s="713"/>
      <c r="T172" s="713"/>
      <c r="U172" s="713"/>
      <c r="V172" s="714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15"/>
      <c r="B173" s="715"/>
      <c r="C173" s="715"/>
      <c r="D173" s="715"/>
      <c r="E173" s="715"/>
      <c r="F173" s="715"/>
      <c r="G173" s="715"/>
      <c r="H173" s="715"/>
      <c r="I173" s="715"/>
      <c r="J173" s="715"/>
      <c r="K173" s="715"/>
      <c r="L173" s="715"/>
      <c r="M173" s="715"/>
      <c r="N173" s="715"/>
      <c r="O173" s="716"/>
      <c r="P173" s="712" t="s">
        <v>40</v>
      </c>
      <c r="Q173" s="713"/>
      <c r="R173" s="713"/>
      <c r="S173" s="713"/>
      <c r="T173" s="713"/>
      <c r="U173" s="713"/>
      <c r="V173" s="714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07" t="s">
        <v>77</v>
      </c>
      <c r="B174" s="707"/>
      <c r="C174" s="707"/>
      <c r="D174" s="707"/>
      <c r="E174" s="707"/>
      <c r="F174" s="707"/>
      <c r="G174" s="707"/>
      <c r="H174" s="707"/>
      <c r="I174" s="707"/>
      <c r="J174" s="707"/>
      <c r="K174" s="707"/>
      <c r="L174" s="707"/>
      <c r="M174" s="707"/>
      <c r="N174" s="707"/>
      <c r="O174" s="707"/>
      <c r="P174" s="707"/>
      <c r="Q174" s="707"/>
      <c r="R174" s="707"/>
      <c r="S174" s="707"/>
      <c r="T174" s="707"/>
      <c r="U174" s="707"/>
      <c r="V174" s="707"/>
      <c r="W174" s="707"/>
      <c r="X174" s="707"/>
      <c r="Y174" s="707"/>
      <c r="Z174" s="707"/>
      <c r="AA174" s="63"/>
      <c r="AB174" s="63"/>
      <c r="AC174" s="63"/>
    </row>
    <row r="175" spans="1:68" ht="27" customHeight="1" x14ac:dyDescent="0.25">
      <c r="A175" s="60" t="s">
        <v>302</v>
      </c>
      <c r="B175" s="60" t="s">
        <v>303</v>
      </c>
      <c r="C175" s="34">
        <v>4301031496</v>
      </c>
      <c r="D175" s="708">
        <v>4680115887428</v>
      </c>
      <c r="E175" s="70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142</v>
      </c>
      <c r="L175" s="35" t="s">
        <v>46</v>
      </c>
      <c r="M175" s="36" t="s">
        <v>81</v>
      </c>
      <c r="N175" s="36"/>
      <c r="O175" s="35">
        <v>40</v>
      </c>
      <c r="P175" s="79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0"/>
      <c r="R175" s="710"/>
      <c r="S175" s="710"/>
      <c r="T175" s="711"/>
      <c r="U175" s="37" t="s">
        <v>46</v>
      </c>
      <c r="V175" s="37" t="s">
        <v>46</v>
      </c>
      <c r="W175" s="38" t="s">
        <v>0</v>
      </c>
      <c r="X175" s="56">
        <v>200</v>
      </c>
      <c r="Y175" s="53">
        <f t="shared" ref="Y175:Y184" si="15">IFERROR(IF(X175="",0,CEILING((X175/$H175),1)*$H175),"")</f>
        <v>203</v>
      </c>
      <c r="Z175" s="39">
        <f>IFERROR(IF(Y175=0,"",ROUNDUP(Y175/H175,0)*0.00902),"")</f>
        <v>0.52316000000000007</v>
      </c>
      <c r="AA175" s="65" t="s">
        <v>46</v>
      </c>
      <c r="AB175" s="66" t="s">
        <v>46</v>
      </c>
      <c r="AC175" s="235" t="s">
        <v>304</v>
      </c>
      <c r="AG175" s="75"/>
      <c r="AJ175" s="79" t="s">
        <v>46</v>
      </c>
      <c r="AK175" s="79">
        <v>0</v>
      </c>
      <c r="BB175" s="236" t="s">
        <v>67</v>
      </c>
      <c r="BM175" s="75">
        <f t="shared" ref="BM175:BM184" si="16">IFERROR(X175*I175/H175,"0")</f>
        <v>210.85714285714286</v>
      </c>
      <c r="BN175" s="75">
        <f t="shared" ref="BN175:BN184" si="17">IFERROR(Y175*I175/H175,"0")</f>
        <v>214.01999999999998</v>
      </c>
      <c r="BO175" s="75">
        <f t="shared" ref="BO175:BO184" si="18">IFERROR(1/J175*(X175/H175),"0")</f>
        <v>0.43290043290043295</v>
      </c>
      <c r="BP175" s="75">
        <f t="shared" ref="BP175:BP184" si="19">IFERROR(1/J175*(Y175/H175),"0")</f>
        <v>0.43939393939393939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4301031509</v>
      </c>
      <c r="D176" s="708">
        <v>4680115889170</v>
      </c>
      <c r="E176" s="70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142</v>
      </c>
      <c r="L176" s="35" t="s">
        <v>46</v>
      </c>
      <c r="M176" s="36" t="s">
        <v>81</v>
      </c>
      <c r="N176" s="36"/>
      <c r="O176" s="35">
        <v>45</v>
      </c>
      <c r="P176" s="79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0"/>
      <c r="R176" s="710"/>
      <c r="S176" s="710"/>
      <c r="T176" s="71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37" t="s">
        <v>307</v>
      </c>
      <c r="AG176" s="75"/>
      <c r="AJ176" s="79" t="s">
        <v>46</v>
      </c>
      <c r="AK176" s="79">
        <v>0</v>
      </c>
      <c r="BB176" s="238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customHeight="1" x14ac:dyDescent="0.25">
      <c r="A177" s="60" t="s">
        <v>308</v>
      </c>
      <c r="B177" s="60" t="s">
        <v>309</v>
      </c>
      <c r="C177" s="34">
        <v>4301031522</v>
      </c>
      <c r="D177" s="708">
        <v>4680115887398</v>
      </c>
      <c r="E177" s="70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142</v>
      </c>
      <c r="L177" s="35" t="s">
        <v>46</v>
      </c>
      <c r="M177" s="36" t="s">
        <v>81</v>
      </c>
      <c r="N177" s="36"/>
      <c r="O177" s="35">
        <v>45</v>
      </c>
      <c r="P177" s="79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0"/>
      <c r="R177" s="710"/>
      <c r="S177" s="710"/>
      <c r="T177" s="711"/>
      <c r="U177" s="37" t="s">
        <v>46</v>
      </c>
      <c r="V177" s="37" t="s">
        <v>46</v>
      </c>
      <c r="W177" s="38" t="s">
        <v>0</v>
      </c>
      <c r="X177" s="56">
        <v>250</v>
      </c>
      <c r="Y177" s="53">
        <f t="shared" si="15"/>
        <v>252</v>
      </c>
      <c r="Z177" s="39">
        <f>IFERROR(IF(Y177=0,"",ROUNDUP(Y177/H177,0)*0.00902),"")</f>
        <v>0.64944000000000002</v>
      </c>
      <c r="AA177" s="65" t="s">
        <v>46</v>
      </c>
      <c r="AB177" s="66" t="s">
        <v>46</v>
      </c>
      <c r="AC177" s="239" t="s">
        <v>310</v>
      </c>
      <c r="AG177" s="75"/>
      <c r="AJ177" s="79" t="s">
        <v>46</v>
      </c>
      <c r="AK177" s="79">
        <v>0</v>
      </c>
      <c r="BB177" s="240" t="s">
        <v>67</v>
      </c>
      <c r="BM177" s="75">
        <f t="shared" si="16"/>
        <v>263.57142857142856</v>
      </c>
      <c r="BN177" s="75">
        <f t="shared" si="17"/>
        <v>265.68</v>
      </c>
      <c r="BO177" s="75">
        <f t="shared" si="18"/>
        <v>0.54112554112554112</v>
      </c>
      <c r="BP177" s="75">
        <f t="shared" si="19"/>
        <v>0.54545454545454541</v>
      </c>
    </row>
    <row r="178" spans="1:68" ht="27" customHeight="1" x14ac:dyDescent="0.25">
      <c r="A178" s="60" t="s">
        <v>311</v>
      </c>
      <c r="B178" s="60" t="s">
        <v>312</v>
      </c>
      <c r="C178" s="34">
        <v>4301031520</v>
      </c>
      <c r="D178" s="708">
        <v>4680115887336</v>
      </c>
      <c r="E178" s="70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142</v>
      </c>
      <c r="L178" s="35" t="s">
        <v>46</v>
      </c>
      <c r="M178" s="36" t="s">
        <v>81</v>
      </c>
      <c r="N178" s="36"/>
      <c r="O178" s="35">
        <v>45</v>
      </c>
      <c r="P178" s="79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0"/>
      <c r="R178" s="710"/>
      <c r="S178" s="710"/>
      <c r="T178" s="711"/>
      <c r="U178" s="37" t="s">
        <v>46</v>
      </c>
      <c r="V178" s="37" t="s">
        <v>46</v>
      </c>
      <c r="W178" s="38" t="s">
        <v>0</v>
      </c>
      <c r="X178" s="56">
        <v>200</v>
      </c>
      <c r="Y178" s="53">
        <f t="shared" si="15"/>
        <v>203</v>
      </c>
      <c r="Z178" s="39">
        <f>IFERROR(IF(Y178=0,"",ROUNDUP(Y178/H178,0)*0.00902),"")</f>
        <v>0.52316000000000007</v>
      </c>
      <c r="AA178" s="65" t="s">
        <v>46</v>
      </c>
      <c r="AB178" s="66" t="s">
        <v>46</v>
      </c>
      <c r="AC178" s="241" t="s">
        <v>313</v>
      </c>
      <c r="AG178" s="75"/>
      <c r="AJ178" s="79" t="s">
        <v>46</v>
      </c>
      <c r="AK178" s="79">
        <v>0</v>
      </c>
      <c r="BB178" s="242" t="s">
        <v>67</v>
      </c>
      <c r="BM178" s="75">
        <f t="shared" si="16"/>
        <v>210.85714285714286</v>
      </c>
      <c r="BN178" s="75">
        <f t="shared" si="17"/>
        <v>214.01999999999998</v>
      </c>
      <c r="BO178" s="75">
        <f t="shared" si="18"/>
        <v>0.43290043290043295</v>
      </c>
      <c r="BP178" s="75">
        <f t="shared" si="19"/>
        <v>0.43939393939393939</v>
      </c>
    </row>
    <row r="179" spans="1:68" ht="16.5" hidden="1" customHeight="1" x14ac:dyDescent="0.25">
      <c r="A179" s="60" t="s">
        <v>314</v>
      </c>
      <c r="B179" s="60" t="s">
        <v>315</v>
      </c>
      <c r="C179" s="34">
        <v>4301031528</v>
      </c>
      <c r="D179" s="708">
        <v>4680115887787</v>
      </c>
      <c r="E179" s="70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139</v>
      </c>
      <c r="L179" s="35" t="s">
        <v>46</v>
      </c>
      <c r="M179" s="36" t="s">
        <v>81</v>
      </c>
      <c r="N179" s="36"/>
      <c r="O179" s="35">
        <v>45</v>
      </c>
      <c r="P179" s="79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0"/>
      <c r="R179" s="710"/>
      <c r="S179" s="710"/>
      <c r="T179" s="71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3" t="s">
        <v>316</v>
      </c>
      <c r="AG179" s="75"/>
      <c r="AJ179" s="79" t="s">
        <v>46</v>
      </c>
      <c r="AK179" s="79">
        <v>0</v>
      </c>
      <c r="BB179" s="244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customHeight="1" x14ac:dyDescent="0.25">
      <c r="A180" s="60" t="s">
        <v>317</v>
      </c>
      <c r="B180" s="60" t="s">
        <v>318</v>
      </c>
      <c r="C180" s="34">
        <v>4301031448</v>
      </c>
      <c r="D180" s="708">
        <v>4680115887503</v>
      </c>
      <c r="E180" s="708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0"/>
      <c r="R180" s="710"/>
      <c r="S180" s="710"/>
      <c r="T180" s="711"/>
      <c r="U180" s="37" t="s">
        <v>46</v>
      </c>
      <c r="V180" s="37" t="s">
        <v>46</v>
      </c>
      <c r="W180" s="38" t="s">
        <v>0</v>
      </c>
      <c r="X180" s="56">
        <v>84</v>
      </c>
      <c r="Y180" s="53">
        <f t="shared" si="15"/>
        <v>84</v>
      </c>
      <c r="Z180" s="39">
        <f>IFERROR(IF(Y180=0,"",ROUNDUP(Y180/H180,0)*0.00502),"")</f>
        <v>0.251</v>
      </c>
      <c r="AA180" s="65" t="s">
        <v>46</v>
      </c>
      <c r="AB180" s="66" t="s">
        <v>46</v>
      </c>
      <c r="AC180" s="245" t="s">
        <v>304</v>
      </c>
      <c r="AG180" s="75"/>
      <c r="AJ180" s="79" t="s">
        <v>46</v>
      </c>
      <c r="AK180" s="79">
        <v>0</v>
      </c>
      <c r="BB180" s="246" t="s">
        <v>67</v>
      </c>
      <c r="BM180" s="75">
        <f t="shared" si="16"/>
        <v>89.000000000000014</v>
      </c>
      <c r="BN180" s="75">
        <f t="shared" si="17"/>
        <v>89.000000000000014</v>
      </c>
      <c r="BO180" s="75">
        <f t="shared" si="18"/>
        <v>0.21367521367521369</v>
      </c>
      <c r="BP180" s="75">
        <f t="shared" si="19"/>
        <v>0.21367521367521369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08">
        <v>4680115887763</v>
      </c>
      <c r="E181" s="70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312</v>
      </c>
      <c r="K181" s="35" t="s">
        <v>139</v>
      </c>
      <c r="L181" s="35" t="s">
        <v>46</v>
      </c>
      <c r="M181" s="36" t="s">
        <v>81</v>
      </c>
      <c r="N181" s="36"/>
      <c r="O181" s="35">
        <v>45</v>
      </c>
      <c r="P181" s="79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0"/>
      <c r="R181" s="710"/>
      <c r="S181" s="710"/>
      <c r="T181" s="71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5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321</v>
      </c>
      <c r="AG181" s="75"/>
      <c r="AJ181" s="79" t="s">
        <v>46</v>
      </c>
      <c r="AK181" s="79">
        <v>0</v>
      </c>
      <c r="BB181" s="248" t="s">
        <v>67</v>
      </c>
      <c r="BM181" s="75">
        <f t="shared" si="16"/>
        <v>0</v>
      </c>
      <c r="BN181" s="75">
        <f t="shared" si="17"/>
        <v>0</v>
      </c>
      <c r="BO181" s="75">
        <f t="shared" si="18"/>
        <v>0</v>
      </c>
      <c r="BP181" s="75">
        <f t="shared" si="19"/>
        <v>0</v>
      </c>
    </row>
    <row r="182" spans="1:68" ht="27" customHeight="1" x14ac:dyDescent="0.25">
      <c r="A182" s="60" t="s">
        <v>322</v>
      </c>
      <c r="B182" s="60" t="s">
        <v>323</v>
      </c>
      <c r="C182" s="34">
        <v>4301031521</v>
      </c>
      <c r="D182" s="708">
        <v>4680115887480</v>
      </c>
      <c r="E182" s="70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0"/>
      <c r="R182" s="710"/>
      <c r="S182" s="710"/>
      <c r="T182" s="711"/>
      <c r="U182" s="37" t="s">
        <v>46</v>
      </c>
      <c r="V182" s="37" t="s">
        <v>46</v>
      </c>
      <c r="W182" s="38" t="s">
        <v>0</v>
      </c>
      <c r="X182" s="56">
        <v>112</v>
      </c>
      <c r="Y182" s="53">
        <f t="shared" si="15"/>
        <v>112.56</v>
      </c>
      <c r="Z182" s="39">
        <f>IFERROR(IF(Y182=0,"",ROUNDUP(Y182/H182,0)*0.00502),"")</f>
        <v>0.33634000000000003</v>
      </c>
      <c r="AA182" s="65" t="s">
        <v>46</v>
      </c>
      <c r="AB182" s="66" t="s">
        <v>46</v>
      </c>
      <c r="AC182" s="249" t="s">
        <v>310</v>
      </c>
      <c r="AG182" s="75"/>
      <c r="AJ182" s="79" t="s">
        <v>46</v>
      </c>
      <c r="AK182" s="79">
        <v>0</v>
      </c>
      <c r="BB182" s="250" t="s">
        <v>67</v>
      </c>
      <c r="BM182" s="75">
        <f t="shared" si="16"/>
        <v>118.66666666666669</v>
      </c>
      <c r="BN182" s="75">
        <f t="shared" si="17"/>
        <v>119.26000000000002</v>
      </c>
      <c r="BO182" s="75">
        <f t="shared" si="18"/>
        <v>0.28490028490028496</v>
      </c>
      <c r="BP182" s="75">
        <f t="shared" si="19"/>
        <v>0.28632478632478636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08">
        <v>4680115888067</v>
      </c>
      <c r="E183" s="708"/>
      <c r="F183" s="59">
        <v>0.09</v>
      </c>
      <c r="G183" s="35">
        <v>10</v>
      </c>
      <c r="H183" s="59">
        <v>0.9</v>
      </c>
      <c r="I183" s="59">
        <v>1</v>
      </c>
      <c r="J183" s="35">
        <v>312</v>
      </c>
      <c r="K183" s="35" t="s">
        <v>139</v>
      </c>
      <c r="L183" s="35" t="s">
        <v>46</v>
      </c>
      <c r="M183" s="36" t="s">
        <v>81</v>
      </c>
      <c r="N183" s="36"/>
      <c r="O183" s="35">
        <v>45</v>
      </c>
      <c r="P183" s="80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0"/>
      <c r="R183" s="710"/>
      <c r="S183" s="710"/>
      <c r="T183" s="71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5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326</v>
      </c>
      <c r="AG183" s="75"/>
      <c r="AJ183" s="79" t="s">
        <v>46</v>
      </c>
      <c r="AK183" s="79">
        <v>0</v>
      </c>
      <c r="BB183" s="252" t="s">
        <v>67</v>
      </c>
      <c r="BM183" s="75">
        <f t="shared" si="16"/>
        <v>0</v>
      </c>
      <c r="BN183" s="75">
        <f t="shared" si="17"/>
        <v>0</v>
      </c>
      <c r="BO183" s="75">
        <f t="shared" si="18"/>
        <v>0</v>
      </c>
      <c r="BP183" s="75">
        <f t="shared" si="19"/>
        <v>0</v>
      </c>
    </row>
    <row r="184" spans="1:68" ht="27" customHeight="1" x14ac:dyDescent="0.25">
      <c r="A184" s="60" t="s">
        <v>327</v>
      </c>
      <c r="B184" s="60" t="s">
        <v>328</v>
      </c>
      <c r="C184" s="34">
        <v>4301031519</v>
      </c>
      <c r="D184" s="708">
        <v>4680115887435</v>
      </c>
      <c r="E184" s="708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0"/>
      <c r="R184" s="710"/>
      <c r="S184" s="710"/>
      <c r="T184" s="711"/>
      <c r="U184" s="37" t="s">
        <v>46</v>
      </c>
      <c r="V184" s="37" t="s">
        <v>46</v>
      </c>
      <c r="W184" s="38" t="s">
        <v>0</v>
      </c>
      <c r="X184" s="56">
        <v>112</v>
      </c>
      <c r="Y184" s="53">
        <f t="shared" si="15"/>
        <v>112.56</v>
      </c>
      <c r="Z184" s="39">
        <f>IFERROR(IF(Y184=0,"",ROUNDUP(Y184/H184,0)*0.00502),"")</f>
        <v>0.33634000000000003</v>
      </c>
      <c r="AA184" s="65" t="s">
        <v>46</v>
      </c>
      <c r="AB184" s="66" t="s">
        <v>46</v>
      </c>
      <c r="AC184" s="253" t="s">
        <v>313</v>
      </c>
      <c r="AG184" s="75"/>
      <c r="AJ184" s="79" t="s">
        <v>46</v>
      </c>
      <c r="AK184" s="79">
        <v>0</v>
      </c>
      <c r="BB184" s="254" t="s">
        <v>67</v>
      </c>
      <c r="BM184" s="75">
        <f t="shared" si="16"/>
        <v>118.66666666666669</v>
      </c>
      <c r="BN184" s="75">
        <f t="shared" si="17"/>
        <v>119.26000000000002</v>
      </c>
      <c r="BO184" s="75">
        <f t="shared" si="18"/>
        <v>0.28490028490028496</v>
      </c>
      <c r="BP184" s="75">
        <f t="shared" si="19"/>
        <v>0.28632478632478636</v>
      </c>
    </row>
    <row r="185" spans="1:68" x14ac:dyDescent="0.2">
      <c r="A185" s="715"/>
      <c r="B185" s="715"/>
      <c r="C185" s="715"/>
      <c r="D185" s="715"/>
      <c r="E185" s="715"/>
      <c r="F185" s="715"/>
      <c r="G185" s="715"/>
      <c r="H185" s="715"/>
      <c r="I185" s="715"/>
      <c r="J185" s="715"/>
      <c r="K185" s="715"/>
      <c r="L185" s="715"/>
      <c r="M185" s="715"/>
      <c r="N185" s="715"/>
      <c r="O185" s="716"/>
      <c r="P185" s="712" t="s">
        <v>40</v>
      </c>
      <c r="Q185" s="713"/>
      <c r="R185" s="713"/>
      <c r="S185" s="713"/>
      <c r="T185" s="713"/>
      <c r="U185" s="713"/>
      <c r="V185" s="714"/>
      <c r="W185" s="40" t="s">
        <v>39</v>
      </c>
      <c r="X185" s="41">
        <f>IFERROR(X175/H175,"0")+IFERROR(X176/H176,"0")+IFERROR(X177/H177,"0")+IFERROR(X178/H178,"0")+IFERROR(X179/H179,"0")+IFERROR(X180/H180,"0")+IFERROR(X181/H181,"0")+IFERROR(X182/H182,"0")+IFERROR(X183/H183,"0")+IFERROR(X184/H184,"0")</f>
        <v>369.04761904761909</v>
      </c>
      <c r="Y185" s="41">
        <f>IFERROR(Y175/H175,"0")+IFERROR(Y176/H176,"0")+IFERROR(Y177/H177,"0")+IFERROR(Y178/H178,"0")+IFERROR(Y179/H179,"0")+IFERROR(Y180/H180,"0")+IFERROR(Y181/H181,"0")+IFERROR(Y182/H182,"0")+IFERROR(Y183/H183,"0")+IFERROR(Y184/H184,"0")</f>
        <v>372</v>
      </c>
      <c r="Z185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2.61944</v>
      </c>
      <c r="AA185" s="64"/>
      <c r="AB185" s="64"/>
      <c r="AC185" s="64"/>
    </row>
    <row r="186" spans="1:68" x14ac:dyDescent="0.2">
      <c r="A186" s="715"/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6"/>
      <c r="P186" s="712" t="s">
        <v>40</v>
      </c>
      <c r="Q186" s="713"/>
      <c r="R186" s="713"/>
      <c r="S186" s="713"/>
      <c r="T186" s="713"/>
      <c r="U186" s="713"/>
      <c r="V186" s="714"/>
      <c r="W186" s="40" t="s">
        <v>0</v>
      </c>
      <c r="X186" s="41">
        <f>IFERROR(SUM(X175:X184),"0")</f>
        <v>958</v>
      </c>
      <c r="Y186" s="41">
        <f>IFERROR(SUM(Y175:Y184),"0")</f>
        <v>967.11999999999989</v>
      </c>
      <c r="Z186" s="40"/>
      <c r="AA186" s="64"/>
      <c r="AB186" s="64"/>
      <c r="AC186" s="64"/>
    </row>
    <row r="187" spans="1:68" ht="14.25" hidden="1" customHeight="1" x14ac:dyDescent="0.25">
      <c r="A187" s="707" t="s">
        <v>83</v>
      </c>
      <c r="B187" s="707"/>
      <c r="C187" s="707"/>
      <c r="D187" s="707"/>
      <c r="E187" s="707"/>
      <c r="F187" s="707"/>
      <c r="G187" s="707"/>
      <c r="H187" s="707"/>
      <c r="I187" s="707"/>
      <c r="J187" s="707"/>
      <c r="K187" s="707"/>
      <c r="L187" s="707"/>
      <c r="M187" s="707"/>
      <c r="N187" s="707"/>
      <c r="O187" s="707"/>
      <c r="P187" s="707"/>
      <c r="Q187" s="707"/>
      <c r="R187" s="707"/>
      <c r="S187" s="707"/>
      <c r="T187" s="707"/>
      <c r="U187" s="707"/>
      <c r="V187" s="707"/>
      <c r="W187" s="707"/>
      <c r="X187" s="707"/>
      <c r="Y187" s="707"/>
      <c r="Z187" s="707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08">
        <v>4680115888395</v>
      </c>
      <c r="E188" s="70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88</v>
      </c>
      <c r="L188" s="35" t="s">
        <v>46</v>
      </c>
      <c r="M188" s="36" t="s">
        <v>94</v>
      </c>
      <c r="N188" s="36"/>
      <c r="O188" s="35">
        <v>40</v>
      </c>
      <c r="P188" s="80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0"/>
      <c r="R188" s="710"/>
      <c r="S188" s="710"/>
      <c r="T188" s="71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08">
        <v>4680115888371</v>
      </c>
      <c r="E189" s="70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88</v>
      </c>
      <c r="L189" s="35" t="s">
        <v>46</v>
      </c>
      <c r="M189" s="36" t="s">
        <v>94</v>
      </c>
      <c r="N189" s="36"/>
      <c r="O189" s="35">
        <v>40</v>
      </c>
      <c r="P189" s="80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0"/>
      <c r="R189" s="710"/>
      <c r="S189" s="710"/>
      <c r="T189" s="71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57" t="s">
        <v>334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15"/>
      <c r="B190" s="715"/>
      <c r="C190" s="715"/>
      <c r="D190" s="715"/>
      <c r="E190" s="715"/>
      <c r="F190" s="715"/>
      <c r="G190" s="715"/>
      <c r="H190" s="715"/>
      <c r="I190" s="715"/>
      <c r="J190" s="715"/>
      <c r="K190" s="715"/>
      <c r="L190" s="715"/>
      <c r="M190" s="715"/>
      <c r="N190" s="715"/>
      <c r="O190" s="716"/>
      <c r="P190" s="712" t="s">
        <v>40</v>
      </c>
      <c r="Q190" s="713"/>
      <c r="R190" s="713"/>
      <c r="S190" s="713"/>
      <c r="T190" s="713"/>
      <c r="U190" s="713"/>
      <c r="V190" s="714"/>
      <c r="W190" s="40" t="s">
        <v>39</v>
      </c>
      <c r="X190" s="41">
        <f>IFERROR(X188/H188,"0")+IFERROR(X189/H189,"0")</f>
        <v>0</v>
      </c>
      <c r="Y190" s="41">
        <f>IFERROR(Y188/H188,"0")+IFERROR(Y189/H189,"0")</f>
        <v>0</v>
      </c>
      <c r="Z190" s="41">
        <f>IFERROR(IF(Z188="",0,Z188),"0")+IFERROR(IF(Z189="",0,Z189),"0")</f>
        <v>0</v>
      </c>
      <c r="AA190" s="64"/>
      <c r="AB190" s="64"/>
      <c r="AC190" s="64"/>
    </row>
    <row r="191" spans="1:68" hidden="1" x14ac:dyDescent="0.2">
      <c r="A191" s="715"/>
      <c r="B191" s="715"/>
      <c r="C191" s="715"/>
      <c r="D191" s="715"/>
      <c r="E191" s="715"/>
      <c r="F191" s="715"/>
      <c r="G191" s="715"/>
      <c r="H191" s="715"/>
      <c r="I191" s="715"/>
      <c r="J191" s="715"/>
      <c r="K191" s="715"/>
      <c r="L191" s="715"/>
      <c r="M191" s="715"/>
      <c r="N191" s="715"/>
      <c r="O191" s="716"/>
      <c r="P191" s="712" t="s">
        <v>40</v>
      </c>
      <c r="Q191" s="713"/>
      <c r="R191" s="713"/>
      <c r="S191" s="713"/>
      <c r="T191" s="713"/>
      <c r="U191" s="713"/>
      <c r="V191" s="714"/>
      <c r="W191" s="40" t="s">
        <v>0</v>
      </c>
      <c r="X191" s="41">
        <f>IFERROR(SUM(X188:X189),"0")</f>
        <v>0</v>
      </c>
      <c r="Y191" s="41">
        <f>IFERROR(SUM(Y188:Y189),"0")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07" t="s">
        <v>101</v>
      </c>
      <c r="B192" s="707"/>
      <c r="C192" s="707"/>
      <c r="D192" s="707"/>
      <c r="E192" s="707"/>
      <c r="F192" s="707"/>
      <c r="G192" s="707"/>
      <c r="H192" s="707"/>
      <c r="I192" s="707"/>
      <c r="J192" s="707"/>
      <c r="K192" s="707"/>
      <c r="L192" s="707"/>
      <c r="M192" s="707"/>
      <c r="N192" s="707"/>
      <c r="O192" s="707"/>
      <c r="P192" s="707"/>
      <c r="Q192" s="707"/>
      <c r="R192" s="707"/>
      <c r="S192" s="707"/>
      <c r="T192" s="707"/>
      <c r="U192" s="707"/>
      <c r="V192" s="707"/>
      <c r="W192" s="707"/>
      <c r="X192" s="707"/>
      <c r="Y192" s="707"/>
      <c r="Z192" s="707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08">
        <v>4680115889026</v>
      </c>
      <c r="E193" s="70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107</v>
      </c>
      <c r="N193" s="36"/>
      <c r="O193" s="35">
        <v>60</v>
      </c>
      <c r="P193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0"/>
      <c r="R193" s="710"/>
      <c r="S193" s="710"/>
      <c r="T193" s="71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7" t="s">
        <v>339</v>
      </c>
      <c r="B196" s="707"/>
      <c r="C196" s="707"/>
      <c r="D196" s="707"/>
      <c r="E196" s="707"/>
      <c r="F196" s="707"/>
      <c r="G196" s="707"/>
      <c r="H196" s="707"/>
      <c r="I196" s="707"/>
      <c r="J196" s="707"/>
      <c r="K196" s="707"/>
      <c r="L196" s="707"/>
      <c r="M196" s="707"/>
      <c r="N196" s="707"/>
      <c r="O196" s="707"/>
      <c r="P196" s="707"/>
      <c r="Q196" s="707"/>
      <c r="R196" s="707"/>
      <c r="S196" s="707"/>
      <c r="T196" s="707"/>
      <c r="U196" s="707"/>
      <c r="V196" s="707"/>
      <c r="W196" s="707"/>
      <c r="X196" s="707"/>
      <c r="Y196" s="707"/>
      <c r="Z196" s="707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08">
        <v>4680115889033</v>
      </c>
      <c r="E197" s="70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107</v>
      </c>
      <c r="N197" s="36"/>
      <c r="O197" s="35">
        <v>60</v>
      </c>
      <c r="P197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0"/>
      <c r="R197" s="710"/>
      <c r="S197" s="710"/>
      <c r="T197" s="71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1" t="s">
        <v>342</v>
      </c>
      <c r="AG197" s="75"/>
      <c r="AJ197" s="79" t="s">
        <v>46</v>
      </c>
      <c r="AK197" s="79">
        <v>0</v>
      </c>
      <c r="BB197" s="262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15"/>
      <c r="B198" s="715"/>
      <c r="C198" s="715"/>
      <c r="D198" s="715"/>
      <c r="E198" s="715"/>
      <c r="F198" s="715"/>
      <c r="G198" s="715"/>
      <c r="H198" s="715"/>
      <c r="I198" s="715"/>
      <c r="J198" s="715"/>
      <c r="K198" s="715"/>
      <c r="L198" s="715"/>
      <c r="M198" s="715"/>
      <c r="N198" s="715"/>
      <c r="O198" s="716"/>
      <c r="P198" s="712" t="s">
        <v>40</v>
      </c>
      <c r="Q198" s="713"/>
      <c r="R198" s="713"/>
      <c r="S198" s="713"/>
      <c r="T198" s="713"/>
      <c r="U198" s="713"/>
      <c r="V198" s="71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05" t="s">
        <v>343</v>
      </c>
      <c r="B200" s="705"/>
      <c r="C200" s="705"/>
      <c r="D200" s="705"/>
      <c r="E200" s="705"/>
      <c r="F200" s="705"/>
      <c r="G200" s="705"/>
      <c r="H200" s="705"/>
      <c r="I200" s="705"/>
      <c r="J200" s="705"/>
      <c r="K200" s="705"/>
      <c r="L200" s="705"/>
      <c r="M200" s="705"/>
      <c r="N200" s="705"/>
      <c r="O200" s="705"/>
      <c r="P200" s="705"/>
      <c r="Q200" s="705"/>
      <c r="R200" s="705"/>
      <c r="S200" s="705"/>
      <c r="T200" s="705"/>
      <c r="U200" s="705"/>
      <c r="V200" s="705"/>
      <c r="W200" s="705"/>
      <c r="X200" s="705"/>
      <c r="Y200" s="705"/>
      <c r="Z200" s="705"/>
      <c r="AA200" s="52"/>
      <c r="AB200" s="52"/>
      <c r="AC200" s="52"/>
    </row>
    <row r="201" spans="1:68" ht="16.5" hidden="1" customHeight="1" x14ac:dyDescent="0.25">
      <c r="A201" s="706" t="s">
        <v>344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2"/>
      <c r="AB201" s="62"/>
      <c r="AC201" s="62"/>
    </row>
    <row r="202" spans="1:68" ht="14.25" hidden="1" customHeight="1" x14ac:dyDescent="0.25">
      <c r="A202" s="707" t="s">
        <v>130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08">
        <v>4607091383423</v>
      </c>
      <c r="E203" s="70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135</v>
      </c>
      <c r="L203" s="35" t="s">
        <v>46</v>
      </c>
      <c r="M203" s="36" t="s">
        <v>87</v>
      </c>
      <c r="N203" s="36"/>
      <c r="O203" s="35">
        <v>35</v>
      </c>
      <c r="P203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0"/>
      <c r="R203" s="710"/>
      <c r="S203" s="710"/>
      <c r="T203" s="71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0">IFERROR(IF(X203="",0,CEILING((X203/$H203),1)*$H203),"")</f>
        <v>0</v>
      </c>
      <c r="Z203" s="39" t="str">
        <f t="shared" ref="Z203:Z209" si="21">IFERROR(IF(Y203=0,"",ROUNDUP(Y203/H203,0)*0.01898),"")</f>
        <v/>
      </c>
      <c r="AA203" s="65" t="s">
        <v>46</v>
      </c>
      <c r="AB203" s="66" t="s">
        <v>46</v>
      </c>
      <c r="AC203" s="263" t="s">
        <v>133</v>
      </c>
      <c r="AG203" s="75"/>
      <c r="AJ203" s="79" t="s">
        <v>46</v>
      </c>
      <c r="AK203" s="79">
        <v>0</v>
      </c>
      <c r="BB203" s="264" t="s">
        <v>67</v>
      </c>
      <c r="BM203" s="75">
        <f t="shared" ref="BM203:BM209" si="22">IFERROR(X203*I203/H203,"0")</f>
        <v>0</v>
      </c>
      <c r="BN203" s="75">
        <f t="shared" ref="BN203:BN209" si="23">IFERROR(Y203*I203/H203,"0")</f>
        <v>0</v>
      </c>
      <c r="BO203" s="75">
        <f t="shared" ref="BO203:BO209" si="24">IFERROR(1/J203*(X203/H203),"0")</f>
        <v>0</v>
      </c>
      <c r="BP203" s="75">
        <f t="shared" ref="BP203:BP209" si="25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08">
        <v>4680115888760</v>
      </c>
      <c r="E204" s="70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135</v>
      </c>
      <c r="L204" s="35" t="s">
        <v>46</v>
      </c>
      <c r="M204" s="36" t="s">
        <v>87</v>
      </c>
      <c r="N204" s="36"/>
      <c r="O204" s="35">
        <v>35</v>
      </c>
      <c r="P204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0"/>
      <c r="R204" s="710"/>
      <c r="S204" s="710"/>
      <c r="T204" s="71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65" t="s">
        <v>349</v>
      </c>
      <c r="AG204" s="75"/>
      <c r="AJ204" s="79" t="s">
        <v>46</v>
      </c>
      <c r="AK204" s="79">
        <v>0</v>
      </c>
      <c r="BB204" s="266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08">
        <v>4680115888807</v>
      </c>
      <c r="E205" s="70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135</v>
      </c>
      <c r="L205" s="35" t="s">
        <v>46</v>
      </c>
      <c r="M205" s="36" t="s">
        <v>87</v>
      </c>
      <c r="N205" s="36"/>
      <c r="O205" s="35">
        <v>35</v>
      </c>
      <c r="P205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0"/>
      <c r="R205" s="710"/>
      <c r="S205" s="710"/>
      <c r="T205" s="71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67" t="s">
        <v>352</v>
      </c>
      <c r="AG205" s="75"/>
      <c r="AJ205" s="79" t="s">
        <v>46</v>
      </c>
      <c r="AK205" s="79">
        <v>0</v>
      </c>
      <c r="BB205" s="268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08">
        <v>4680115888852</v>
      </c>
      <c r="E206" s="70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135</v>
      </c>
      <c r="L206" s="35" t="s">
        <v>46</v>
      </c>
      <c r="M206" s="36" t="s">
        <v>87</v>
      </c>
      <c r="N206" s="36"/>
      <c r="O206" s="35">
        <v>35</v>
      </c>
      <c r="P206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0"/>
      <c r="R206" s="710"/>
      <c r="S206" s="710"/>
      <c r="T206" s="71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0"/>
        <v>0</v>
      </c>
      <c r="Z206" s="39" t="str">
        <f t="shared" si="21"/>
        <v/>
      </c>
      <c r="AA206" s="65" t="s">
        <v>46</v>
      </c>
      <c r="AB206" s="66" t="s">
        <v>46</v>
      </c>
      <c r="AC206" s="269" t="s">
        <v>355</v>
      </c>
      <c r="AG206" s="75"/>
      <c r="AJ206" s="79" t="s">
        <v>46</v>
      </c>
      <c r="AK206" s="79">
        <v>0</v>
      </c>
      <c r="BB206" s="270" t="s">
        <v>67</v>
      </c>
      <c r="BM206" s="75">
        <f t="shared" si="22"/>
        <v>0</v>
      </c>
      <c r="BN206" s="75">
        <f t="shared" si="23"/>
        <v>0</v>
      </c>
      <c r="BO206" s="75">
        <f t="shared" si="24"/>
        <v>0</v>
      </c>
      <c r="BP206" s="75">
        <f t="shared" si="25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08">
        <v>4680115886957</v>
      </c>
      <c r="E207" s="70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135</v>
      </c>
      <c r="L207" s="35" t="s">
        <v>46</v>
      </c>
      <c r="M207" s="36" t="s">
        <v>87</v>
      </c>
      <c r="N207" s="36"/>
      <c r="O207" s="35">
        <v>35</v>
      </c>
      <c r="P207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0"/>
      <c r="R207" s="710"/>
      <c r="S207" s="710"/>
      <c r="T207" s="71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0"/>
        <v>0</v>
      </c>
      <c r="Z207" s="39" t="str">
        <f t="shared" si="21"/>
        <v/>
      </c>
      <c r="AA207" s="65" t="s">
        <v>46</v>
      </c>
      <c r="AB207" s="66" t="s">
        <v>46</v>
      </c>
      <c r="AC207" s="271" t="s">
        <v>358</v>
      </c>
      <c r="AG207" s="75"/>
      <c r="AJ207" s="79" t="s">
        <v>46</v>
      </c>
      <c r="AK207" s="79">
        <v>0</v>
      </c>
      <c r="BB207" s="272" t="s">
        <v>67</v>
      </c>
      <c r="BM207" s="75">
        <f t="shared" si="22"/>
        <v>0</v>
      </c>
      <c r="BN207" s="75">
        <f t="shared" si="23"/>
        <v>0</v>
      </c>
      <c r="BO207" s="75">
        <f t="shared" si="24"/>
        <v>0</v>
      </c>
      <c r="BP207" s="75">
        <f t="shared" si="25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08">
        <v>4680115885660</v>
      </c>
      <c r="E208" s="70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135</v>
      </c>
      <c r="L208" s="35" t="s">
        <v>46</v>
      </c>
      <c r="M208" s="36" t="s">
        <v>87</v>
      </c>
      <c r="N208" s="36"/>
      <c r="O208" s="35">
        <v>35</v>
      </c>
      <c r="P208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0"/>
      <c r="R208" s="710"/>
      <c r="S208" s="710"/>
      <c r="T208" s="71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0"/>
        <v>0</v>
      </c>
      <c r="Z208" s="39" t="str">
        <f t="shared" si="21"/>
        <v/>
      </c>
      <c r="AA208" s="65" t="s">
        <v>46</v>
      </c>
      <c r="AB208" s="66" t="s">
        <v>46</v>
      </c>
      <c r="AC208" s="273" t="s">
        <v>361</v>
      </c>
      <c r="AG208" s="75"/>
      <c r="AJ208" s="79" t="s">
        <v>46</v>
      </c>
      <c r="AK208" s="79">
        <v>0</v>
      </c>
      <c r="BB208" s="274" t="s">
        <v>67</v>
      </c>
      <c r="BM208" s="75">
        <f t="shared" si="22"/>
        <v>0</v>
      </c>
      <c r="BN208" s="75">
        <f t="shared" si="23"/>
        <v>0</v>
      </c>
      <c r="BO208" s="75">
        <f t="shared" si="24"/>
        <v>0</v>
      </c>
      <c r="BP208" s="75">
        <f t="shared" si="25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08">
        <v>4680115886773</v>
      </c>
      <c r="E209" s="70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135</v>
      </c>
      <c r="L209" s="35" t="s">
        <v>46</v>
      </c>
      <c r="M209" s="36" t="s">
        <v>87</v>
      </c>
      <c r="N209" s="36"/>
      <c r="O209" s="35">
        <v>35</v>
      </c>
      <c r="P209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0"/>
      <c r="R209" s="710"/>
      <c r="S209" s="710"/>
      <c r="T209" s="71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0"/>
        <v>0</v>
      </c>
      <c r="Z209" s="39" t="str">
        <f t="shared" si="21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22"/>
        <v>0</v>
      </c>
      <c r="BN209" s="75">
        <f t="shared" si="23"/>
        <v>0</v>
      </c>
      <c r="BO209" s="75">
        <f t="shared" si="24"/>
        <v>0</v>
      </c>
      <c r="BP209" s="75">
        <f t="shared" si="25"/>
        <v>0</v>
      </c>
    </row>
    <row r="210" spans="1:68" hidden="1" x14ac:dyDescent="0.2">
      <c r="A210" s="715"/>
      <c r="B210" s="715"/>
      <c r="C210" s="715"/>
      <c r="D210" s="715"/>
      <c r="E210" s="715"/>
      <c r="F210" s="715"/>
      <c r="G210" s="715"/>
      <c r="H210" s="715"/>
      <c r="I210" s="715"/>
      <c r="J210" s="715"/>
      <c r="K210" s="715"/>
      <c r="L210" s="715"/>
      <c r="M210" s="715"/>
      <c r="N210" s="715"/>
      <c r="O210" s="716"/>
      <c r="P210" s="712" t="s">
        <v>40</v>
      </c>
      <c r="Q210" s="713"/>
      <c r="R210" s="713"/>
      <c r="S210" s="713"/>
      <c r="T210" s="713"/>
      <c r="U210" s="713"/>
      <c r="V210" s="71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15"/>
      <c r="B211" s="715"/>
      <c r="C211" s="715"/>
      <c r="D211" s="715"/>
      <c r="E211" s="715"/>
      <c r="F211" s="715"/>
      <c r="G211" s="715"/>
      <c r="H211" s="715"/>
      <c r="I211" s="715"/>
      <c r="J211" s="715"/>
      <c r="K211" s="715"/>
      <c r="L211" s="715"/>
      <c r="M211" s="715"/>
      <c r="N211" s="715"/>
      <c r="O211" s="716"/>
      <c r="P211" s="712" t="s">
        <v>40</v>
      </c>
      <c r="Q211" s="713"/>
      <c r="R211" s="713"/>
      <c r="S211" s="713"/>
      <c r="T211" s="713"/>
      <c r="U211" s="713"/>
      <c r="V211" s="71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06" t="s">
        <v>365</v>
      </c>
      <c r="B212" s="706"/>
      <c r="C212" s="706"/>
      <c r="D212" s="706"/>
      <c r="E212" s="706"/>
      <c r="F212" s="706"/>
      <c r="G212" s="706"/>
      <c r="H212" s="706"/>
      <c r="I212" s="706"/>
      <c r="J212" s="706"/>
      <c r="K212" s="706"/>
      <c r="L212" s="706"/>
      <c r="M212" s="706"/>
      <c r="N212" s="706"/>
      <c r="O212" s="706"/>
      <c r="P212" s="706"/>
      <c r="Q212" s="706"/>
      <c r="R212" s="706"/>
      <c r="S212" s="706"/>
      <c r="T212" s="706"/>
      <c r="U212" s="706"/>
      <c r="V212" s="706"/>
      <c r="W212" s="706"/>
      <c r="X212" s="706"/>
      <c r="Y212" s="706"/>
      <c r="Z212" s="706"/>
      <c r="AA212" s="62"/>
      <c r="AB212" s="62"/>
      <c r="AC212" s="62"/>
    </row>
    <row r="213" spans="1:68" ht="14.25" hidden="1" customHeight="1" x14ac:dyDescent="0.25">
      <c r="A213" s="707" t="s">
        <v>165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08">
        <v>4680115886223</v>
      </c>
      <c r="E214" s="70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0"/>
      <c r="R214" s="710"/>
      <c r="S214" s="710"/>
      <c r="T214" s="71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07" t="s">
        <v>77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3"/>
      <c r="AB217" s="63"/>
      <c r="AC217" s="63"/>
    </row>
    <row r="218" spans="1:68" ht="27" customHeight="1" x14ac:dyDescent="0.25">
      <c r="A218" s="60" t="s">
        <v>369</v>
      </c>
      <c r="B218" s="60" t="s">
        <v>370</v>
      </c>
      <c r="C218" s="34">
        <v>4301031191</v>
      </c>
      <c r="D218" s="708">
        <v>4680115880993</v>
      </c>
      <c r="E218" s="70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142</v>
      </c>
      <c r="L218" s="35" t="s">
        <v>46</v>
      </c>
      <c r="M218" s="36" t="s">
        <v>81</v>
      </c>
      <c r="N218" s="36"/>
      <c r="O218" s="35">
        <v>40</v>
      </c>
      <c r="P218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0"/>
      <c r="R218" s="710"/>
      <c r="S218" s="710"/>
      <c r="T218" s="711"/>
      <c r="U218" s="37" t="s">
        <v>46</v>
      </c>
      <c r="V218" s="37" t="s">
        <v>46</v>
      </c>
      <c r="W218" s="38" t="s">
        <v>0</v>
      </c>
      <c r="X218" s="56">
        <v>30</v>
      </c>
      <c r="Y218" s="53">
        <f t="shared" ref="Y218:Y231" si="26">IFERROR(IF(X218="",0,CEILING((X218/$H218),1)*$H218),"")</f>
        <v>33.6</v>
      </c>
      <c r="Z218" s="39">
        <f>IFERROR(IF(Y218=0,"",ROUNDUP(Y218/H218,0)*0.00902),"")</f>
        <v>7.2160000000000002E-2</v>
      </c>
      <c r="AA218" s="65" t="s">
        <v>46</v>
      </c>
      <c r="AB218" s="66" t="s">
        <v>46</v>
      </c>
      <c r="AC218" s="279" t="s">
        <v>371</v>
      </c>
      <c r="AG218" s="75"/>
      <c r="AJ218" s="79" t="s">
        <v>46</v>
      </c>
      <c r="AK218" s="79">
        <v>0</v>
      </c>
      <c r="BB218" s="280" t="s">
        <v>67</v>
      </c>
      <c r="BM218" s="75">
        <f t="shared" ref="BM218:BM231" si="27">IFERROR(X218*I218/H218,"0")</f>
        <v>31.785714285714285</v>
      </c>
      <c r="BN218" s="75">
        <f t="shared" ref="BN218:BN231" si="28">IFERROR(Y218*I218/H218,"0")</f>
        <v>35.6</v>
      </c>
      <c r="BO218" s="75">
        <f t="shared" ref="BO218:BO231" si="29">IFERROR(1/J218*(X218/H218),"0")</f>
        <v>5.4112554112554112E-2</v>
      </c>
      <c r="BP218" s="75">
        <f t="shared" ref="BP218:BP231" si="30">IFERROR(1/J218*(Y218/H218),"0")</f>
        <v>6.0606060606060608E-2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08">
        <v>4680115881761</v>
      </c>
      <c r="E219" s="70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142</v>
      </c>
      <c r="L219" s="35" t="s">
        <v>46</v>
      </c>
      <c r="M219" s="36" t="s">
        <v>81</v>
      </c>
      <c r="N219" s="36"/>
      <c r="O219" s="35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0"/>
      <c r="R219" s="710"/>
      <c r="S219" s="710"/>
      <c r="T219" s="71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1" t="s">
        <v>374</v>
      </c>
      <c r="AG219" s="75"/>
      <c r="AJ219" s="79" t="s">
        <v>46</v>
      </c>
      <c r="AK219" s="79">
        <v>0</v>
      </c>
      <c r="BB219" s="282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375</v>
      </c>
      <c r="B220" s="60" t="s">
        <v>376</v>
      </c>
      <c r="C220" s="34">
        <v>4301031201</v>
      </c>
      <c r="D220" s="708">
        <v>4680115881563</v>
      </c>
      <c r="E220" s="70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142</v>
      </c>
      <c r="L220" s="35" t="s">
        <v>46</v>
      </c>
      <c r="M220" s="36" t="s">
        <v>81</v>
      </c>
      <c r="N220" s="36"/>
      <c r="O220" s="35">
        <v>40</v>
      </c>
      <c r="P220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0"/>
      <c r="R220" s="710"/>
      <c r="S220" s="710"/>
      <c r="T220" s="711"/>
      <c r="U220" s="37" t="s">
        <v>46</v>
      </c>
      <c r="V220" s="37" t="s">
        <v>46</v>
      </c>
      <c r="W220" s="38" t="s">
        <v>0</v>
      </c>
      <c r="X220" s="56">
        <v>100</v>
      </c>
      <c r="Y220" s="53">
        <f t="shared" si="26"/>
        <v>100.80000000000001</v>
      </c>
      <c r="Z220" s="39">
        <f>IFERROR(IF(Y220=0,"",ROUNDUP(Y220/H220,0)*0.00902),"")</f>
        <v>0.21648000000000001</v>
      </c>
      <c r="AA220" s="65" t="s">
        <v>46</v>
      </c>
      <c r="AB220" s="66" t="s">
        <v>46</v>
      </c>
      <c r="AC220" s="283" t="s">
        <v>377</v>
      </c>
      <c r="AG220" s="75"/>
      <c r="AJ220" s="79" t="s">
        <v>46</v>
      </c>
      <c r="AK220" s="79">
        <v>0</v>
      </c>
      <c r="BB220" s="284" t="s">
        <v>67</v>
      </c>
      <c r="BM220" s="75">
        <f t="shared" si="27"/>
        <v>104.5238095238095</v>
      </c>
      <c r="BN220" s="75">
        <f t="shared" si="28"/>
        <v>105.36</v>
      </c>
      <c r="BO220" s="75">
        <f t="shared" si="29"/>
        <v>0.18037518037518038</v>
      </c>
      <c r="BP220" s="75">
        <f t="shared" si="30"/>
        <v>0.18181818181818182</v>
      </c>
    </row>
    <row r="221" spans="1:68" ht="27" hidden="1" customHeight="1" x14ac:dyDescent="0.25">
      <c r="A221" s="60" t="s">
        <v>375</v>
      </c>
      <c r="B221" s="60" t="s">
        <v>378</v>
      </c>
      <c r="C221" s="34">
        <v>4301031532</v>
      </c>
      <c r="D221" s="708">
        <v>4680115881563</v>
      </c>
      <c r="E221" s="708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142</v>
      </c>
      <c r="L221" s="35" t="s">
        <v>46</v>
      </c>
      <c r="M221" s="36" t="s">
        <v>81</v>
      </c>
      <c r="N221" s="36"/>
      <c r="O221" s="35">
        <v>45</v>
      </c>
      <c r="P221" s="81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0"/>
      <c r="R221" s="710"/>
      <c r="S221" s="710"/>
      <c r="T221" s="71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85" t="s">
        <v>377</v>
      </c>
      <c r="AG221" s="75"/>
      <c r="AJ221" s="79" t="s">
        <v>46</v>
      </c>
      <c r="AK221" s="79">
        <v>0</v>
      </c>
      <c r="BB221" s="286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37.5" hidden="1" customHeight="1" x14ac:dyDescent="0.25">
      <c r="A222" s="60" t="s">
        <v>379</v>
      </c>
      <c r="B222" s="60" t="s">
        <v>380</v>
      </c>
      <c r="C222" s="34">
        <v>4301031447</v>
      </c>
      <c r="D222" s="708">
        <v>4680115887565</v>
      </c>
      <c r="E222" s="708"/>
      <c r="F222" s="59">
        <v>0.08</v>
      </c>
      <c r="G222" s="35">
        <v>10</v>
      </c>
      <c r="H222" s="59">
        <v>0.8</v>
      </c>
      <c r="I222" s="59">
        <v>0.93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0"/>
      <c r="R222" s="710"/>
      <c r="S222" s="710"/>
      <c r="T222" s="71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87" t="s">
        <v>381</v>
      </c>
      <c r="AG222" s="75"/>
      <c r="AJ222" s="79" t="s">
        <v>46</v>
      </c>
      <c r="AK222" s="79">
        <v>0</v>
      </c>
      <c r="BB222" s="288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customHeight="1" x14ac:dyDescent="0.25">
      <c r="A223" s="60" t="s">
        <v>382</v>
      </c>
      <c r="B223" s="60" t="s">
        <v>383</v>
      </c>
      <c r="C223" s="34">
        <v>4301031199</v>
      </c>
      <c r="D223" s="708">
        <v>4680115880986</v>
      </c>
      <c r="E223" s="708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0"/>
      <c r="R223" s="710"/>
      <c r="S223" s="710"/>
      <c r="T223" s="711"/>
      <c r="U223" s="37" t="s">
        <v>46</v>
      </c>
      <c r="V223" s="37" t="s">
        <v>46</v>
      </c>
      <c r="W223" s="38" t="s">
        <v>0</v>
      </c>
      <c r="X223" s="56">
        <v>77</v>
      </c>
      <c r="Y223" s="53">
        <f t="shared" si="26"/>
        <v>77.7</v>
      </c>
      <c r="Z223" s="39">
        <f>IFERROR(IF(Y223=0,"",ROUNDUP(Y223/H223,0)*0.00502),"")</f>
        <v>0.18574000000000002</v>
      </c>
      <c r="AA223" s="65" t="s">
        <v>46</v>
      </c>
      <c r="AB223" s="66" t="s">
        <v>46</v>
      </c>
      <c r="AC223" s="289" t="s">
        <v>371</v>
      </c>
      <c r="AG223" s="75"/>
      <c r="AJ223" s="79" t="s">
        <v>46</v>
      </c>
      <c r="AK223" s="79">
        <v>0</v>
      </c>
      <c r="BB223" s="290" t="s">
        <v>67</v>
      </c>
      <c r="BM223" s="75">
        <f t="shared" si="27"/>
        <v>81.766666666666666</v>
      </c>
      <c r="BN223" s="75">
        <f t="shared" si="28"/>
        <v>82.51</v>
      </c>
      <c r="BO223" s="75">
        <f t="shared" si="29"/>
        <v>0.15669515669515671</v>
      </c>
      <c r="BP223" s="75">
        <f t="shared" si="30"/>
        <v>0.15811965811965814</v>
      </c>
    </row>
    <row r="224" spans="1:68" ht="27" hidden="1" customHeight="1" x14ac:dyDescent="0.25">
      <c r="A224" s="60" t="s">
        <v>384</v>
      </c>
      <c r="B224" s="60" t="s">
        <v>385</v>
      </c>
      <c r="C224" s="34">
        <v>4301031443</v>
      </c>
      <c r="D224" s="708">
        <v>4680115887213</v>
      </c>
      <c r="E224" s="708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0"/>
      <c r="R224" s="710"/>
      <c r="S224" s="710"/>
      <c r="T224" s="71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1" t="s">
        <v>386</v>
      </c>
      <c r="AG224" s="75"/>
      <c r="AJ224" s="79" t="s">
        <v>46</v>
      </c>
      <c r="AK224" s="79">
        <v>0</v>
      </c>
      <c r="BB224" s="292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customHeight="1" x14ac:dyDescent="0.25">
      <c r="A225" s="60" t="s">
        <v>387</v>
      </c>
      <c r="B225" s="60" t="s">
        <v>388</v>
      </c>
      <c r="C225" s="34">
        <v>4301031205</v>
      </c>
      <c r="D225" s="708">
        <v>4680115881785</v>
      </c>
      <c r="E225" s="70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0"/>
      <c r="R225" s="710"/>
      <c r="S225" s="710"/>
      <c r="T225" s="711"/>
      <c r="U225" s="37" t="s">
        <v>46</v>
      </c>
      <c r="V225" s="37" t="s">
        <v>46</v>
      </c>
      <c r="W225" s="38" t="s">
        <v>0</v>
      </c>
      <c r="X225" s="56">
        <v>105</v>
      </c>
      <c r="Y225" s="53">
        <f t="shared" si="26"/>
        <v>105</v>
      </c>
      <c r="Z225" s="39">
        <f>IFERROR(IF(Y225=0,"",ROUNDUP(Y225/H225,0)*0.00502),"")</f>
        <v>0.251</v>
      </c>
      <c r="AA225" s="65" t="s">
        <v>46</v>
      </c>
      <c r="AB225" s="66" t="s">
        <v>46</v>
      </c>
      <c r="AC225" s="293" t="s">
        <v>374</v>
      </c>
      <c r="AG225" s="75"/>
      <c r="AJ225" s="79" t="s">
        <v>46</v>
      </c>
      <c r="AK225" s="79">
        <v>0</v>
      </c>
      <c r="BB225" s="294" t="s">
        <v>67</v>
      </c>
      <c r="BM225" s="75">
        <f t="shared" si="27"/>
        <v>111.5</v>
      </c>
      <c r="BN225" s="75">
        <f t="shared" si="28"/>
        <v>111.5</v>
      </c>
      <c r="BO225" s="75">
        <f t="shared" si="29"/>
        <v>0.21367521367521369</v>
      </c>
      <c r="BP225" s="75">
        <f t="shared" si="30"/>
        <v>0.21367521367521369</v>
      </c>
    </row>
    <row r="226" spans="1:68" ht="27" hidden="1" customHeight="1" x14ac:dyDescent="0.25">
      <c r="A226" s="60" t="s">
        <v>389</v>
      </c>
      <c r="B226" s="60" t="s">
        <v>390</v>
      </c>
      <c r="C226" s="34">
        <v>4301031499</v>
      </c>
      <c r="D226" s="708">
        <v>4680115888432</v>
      </c>
      <c r="E226" s="708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0"/>
      <c r="R226" s="710"/>
      <c r="S226" s="710"/>
      <c r="T226" s="71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295" t="s">
        <v>391</v>
      </c>
      <c r="AG226" s="75"/>
      <c r="AJ226" s="79" t="s">
        <v>46</v>
      </c>
      <c r="AK226" s="79">
        <v>0</v>
      </c>
      <c r="BB226" s="296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t="27" hidden="1" customHeight="1" x14ac:dyDescent="0.25">
      <c r="A227" s="60" t="s">
        <v>392</v>
      </c>
      <c r="B227" s="60" t="s">
        <v>393</v>
      </c>
      <c r="C227" s="34">
        <v>4301031503</v>
      </c>
      <c r="D227" s="708">
        <v>4680115886537</v>
      </c>
      <c r="E227" s="70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2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0"/>
      <c r="R227" s="710"/>
      <c r="S227" s="710"/>
      <c r="T227" s="71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6"/>
        <v>0</v>
      </c>
      <c r="Z227" s="39" t="str">
        <f>IFERROR(IF(Y227=0,"",ROUNDUP(Y227/H227,0)*0.00502),"")</f>
        <v/>
      </c>
      <c r="AA227" s="65" t="s">
        <v>46</v>
      </c>
      <c r="AB227" s="66" t="s">
        <v>46</v>
      </c>
      <c r="AC227" s="297" t="s">
        <v>394</v>
      </c>
      <c r="AG227" s="75"/>
      <c r="AJ227" s="79" t="s">
        <v>46</v>
      </c>
      <c r="AK227" s="79">
        <v>0</v>
      </c>
      <c r="BB227" s="298" t="s">
        <v>67</v>
      </c>
      <c r="BM227" s="75">
        <f t="shared" si="27"/>
        <v>0</v>
      </c>
      <c r="BN227" s="75">
        <f t="shared" si="28"/>
        <v>0</v>
      </c>
      <c r="BO227" s="75">
        <f t="shared" si="29"/>
        <v>0</v>
      </c>
      <c r="BP227" s="75">
        <f t="shared" si="30"/>
        <v>0</v>
      </c>
    </row>
    <row r="228" spans="1:68" ht="27" hidden="1" customHeight="1" x14ac:dyDescent="0.25">
      <c r="A228" s="60" t="s">
        <v>395</v>
      </c>
      <c r="B228" s="60" t="s">
        <v>396</v>
      </c>
      <c r="C228" s="34">
        <v>4301031279</v>
      </c>
      <c r="D228" s="708">
        <v>4680115887596</v>
      </c>
      <c r="E228" s="708"/>
      <c r="F228" s="59">
        <v>0.08</v>
      </c>
      <c r="G228" s="35">
        <v>10</v>
      </c>
      <c r="H228" s="59">
        <v>0.8</v>
      </c>
      <c r="I228" s="59">
        <v>1.01</v>
      </c>
      <c r="J228" s="35">
        <v>312</v>
      </c>
      <c r="K228" s="35" t="s">
        <v>139</v>
      </c>
      <c r="L228" s="35" t="s">
        <v>46</v>
      </c>
      <c r="M228" s="36" t="s">
        <v>81</v>
      </c>
      <c r="N228" s="36"/>
      <c r="O228" s="35">
        <v>45</v>
      </c>
      <c r="P228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0"/>
      <c r="R228" s="710"/>
      <c r="S228" s="710"/>
      <c r="T228" s="71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6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299" t="s">
        <v>397</v>
      </c>
      <c r="AG228" s="75"/>
      <c r="AJ228" s="79" t="s">
        <v>46</v>
      </c>
      <c r="AK228" s="79">
        <v>0</v>
      </c>
      <c r="BB228" s="300" t="s">
        <v>67</v>
      </c>
      <c r="BM228" s="75">
        <f t="shared" si="27"/>
        <v>0</v>
      </c>
      <c r="BN228" s="75">
        <f t="shared" si="28"/>
        <v>0</v>
      </c>
      <c r="BO228" s="75">
        <f t="shared" si="29"/>
        <v>0</v>
      </c>
      <c r="BP228" s="75">
        <f t="shared" si="30"/>
        <v>0</v>
      </c>
    </row>
    <row r="229" spans="1:68" ht="37.5" customHeight="1" x14ac:dyDescent="0.25">
      <c r="A229" s="60" t="s">
        <v>398</v>
      </c>
      <c r="B229" s="60" t="s">
        <v>399</v>
      </c>
      <c r="C229" s="34">
        <v>4301031530</v>
      </c>
      <c r="D229" s="708">
        <v>4680115881679</v>
      </c>
      <c r="E229" s="70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2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0"/>
      <c r="R229" s="710"/>
      <c r="S229" s="710"/>
      <c r="T229" s="711"/>
      <c r="U229" s="37" t="s">
        <v>46</v>
      </c>
      <c r="V229" s="37" t="s">
        <v>46</v>
      </c>
      <c r="W229" s="38" t="s">
        <v>0</v>
      </c>
      <c r="X229" s="56">
        <v>175</v>
      </c>
      <c r="Y229" s="53">
        <f t="shared" si="26"/>
        <v>176.4</v>
      </c>
      <c r="Z229" s="39">
        <f>IFERROR(IF(Y229=0,"",ROUNDUP(Y229/H229,0)*0.00502),"")</f>
        <v>0.42168</v>
      </c>
      <c r="AA229" s="65" t="s">
        <v>46</v>
      </c>
      <c r="AB229" s="66" t="s">
        <v>46</v>
      </c>
      <c r="AC229" s="301" t="s">
        <v>377</v>
      </c>
      <c r="AG229" s="75"/>
      <c r="AJ229" s="79" t="s">
        <v>46</v>
      </c>
      <c r="AK229" s="79">
        <v>0</v>
      </c>
      <c r="BB229" s="302" t="s">
        <v>67</v>
      </c>
      <c r="BM229" s="75">
        <f t="shared" si="27"/>
        <v>183.33333333333334</v>
      </c>
      <c r="BN229" s="75">
        <f t="shared" si="28"/>
        <v>184.8</v>
      </c>
      <c r="BO229" s="75">
        <f t="shared" si="29"/>
        <v>0.35612535612535612</v>
      </c>
      <c r="BP229" s="75">
        <f t="shared" si="30"/>
        <v>0.35897435897435903</v>
      </c>
    </row>
    <row r="230" spans="1:68" ht="27" hidden="1" customHeight="1" x14ac:dyDescent="0.25">
      <c r="A230" s="60" t="s">
        <v>400</v>
      </c>
      <c r="B230" s="60" t="s">
        <v>401</v>
      </c>
      <c r="C230" s="34">
        <v>4301031531</v>
      </c>
      <c r="D230" s="708">
        <v>4680115880191</v>
      </c>
      <c r="E230" s="70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88</v>
      </c>
      <c r="L230" s="35" t="s">
        <v>46</v>
      </c>
      <c r="M230" s="36" t="s">
        <v>81</v>
      </c>
      <c r="N230" s="36"/>
      <c r="O230" s="35">
        <v>45</v>
      </c>
      <c r="P230" s="82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0"/>
      <c r="R230" s="710"/>
      <c r="S230" s="710"/>
      <c r="T230" s="71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6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377</v>
      </c>
      <c r="AG230" s="75"/>
      <c r="AJ230" s="79" t="s">
        <v>46</v>
      </c>
      <c r="AK230" s="79">
        <v>0</v>
      </c>
      <c r="BB230" s="304" t="s">
        <v>67</v>
      </c>
      <c r="BM230" s="75">
        <f t="shared" si="27"/>
        <v>0</v>
      </c>
      <c r="BN230" s="75">
        <f t="shared" si="28"/>
        <v>0</v>
      </c>
      <c r="BO230" s="75">
        <f t="shared" si="29"/>
        <v>0</v>
      </c>
      <c r="BP230" s="75">
        <f t="shared" si="30"/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4301031245</v>
      </c>
      <c r="D231" s="708">
        <v>4680115883963</v>
      </c>
      <c r="E231" s="708"/>
      <c r="F231" s="59">
        <v>0.28000000000000003</v>
      </c>
      <c r="G231" s="35">
        <v>6</v>
      </c>
      <c r="H231" s="59">
        <v>1.68</v>
      </c>
      <c r="I231" s="59">
        <v>1.78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40</v>
      </c>
      <c r="P231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0"/>
      <c r="R231" s="710"/>
      <c r="S231" s="710"/>
      <c r="T231" s="71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6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 t="shared" si="27"/>
        <v>0</v>
      </c>
      <c r="BN231" s="75">
        <f t="shared" si="28"/>
        <v>0</v>
      </c>
      <c r="BO231" s="75">
        <f t="shared" si="29"/>
        <v>0</v>
      </c>
      <c r="BP231" s="75">
        <f t="shared" si="30"/>
        <v>0</v>
      </c>
    </row>
    <row r="232" spans="1:68" x14ac:dyDescent="0.2">
      <c r="A232" s="715"/>
      <c r="B232" s="715"/>
      <c r="C232" s="715"/>
      <c r="D232" s="715"/>
      <c r="E232" s="715"/>
      <c r="F232" s="715"/>
      <c r="G232" s="715"/>
      <c r="H232" s="715"/>
      <c r="I232" s="715"/>
      <c r="J232" s="715"/>
      <c r="K232" s="715"/>
      <c r="L232" s="715"/>
      <c r="M232" s="715"/>
      <c r="N232" s="715"/>
      <c r="O232" s="716"/>
      <c r="P232" s="712" t="s">
        <v>40</v>
      </c>
      <c r="Q232" s="713"/>
      <c r="R232" s="713"/>
      <c r="S232" s="713"/>
      <c r="T232" s="713"/>
      <c r="U232" s="713"/>
      <c r="V232" s="714"/>
      <c r="W232" s="40" t="s">
        <v>39</v>
      </c>
      <c r="X232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200.95238095238096</v>
      </c>
      <c r="Y232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203</v>
      </c>
      <c r="Z232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1.14706</v>
      </c>
      <c r="AA232" s="64"/>
      <c r="AB232" s="64"/>
      <c r="AC232" s="64"/>
    </row>
    <row r="233" spans="1:68" x14ac:dyDescent="0.2">
      <c r="A233" s="715"/>
      <c r="B233" s="715"/>
      <c r="C233" s="715"/>
      <c r="D233" s="715"/>
      <c r="E233" s="715"/>
      <c r="F233" s="715"/>
      <c r="G233" s="715"/>
      <c r="H233" s="715"/>
      <c r="I233" s="715"/>
      <c r="J233" s="715"/>
      <c r="K233" s="715"/>
      <c r="L233" s="715"/>
      <c r="M233" s="715"/>
      <c r="N233" s="715"/>
      <c r="O233" s="716"/>
      <c r="P233" s="712" t="s">
        <v>40</v>
      </c>
      <c r="Q233" s="713"/>
      <c r="R233" s="713"/>
      <c r="S233" s="713"/>
      <c r="T233" s="713"/>
      <c r="U233" s="713"/>
      <c r="V233" s="714"/>
      <c r="W233" s="40" t="s">
        <v>0</v>
      </c>
      <c r="X233" s="41">
        <f>IFERROR(SUM(X218:X231),"0")</f>
        <v>487</v>
      </c>
      <c r="Y233" s="41">
        <f>IFERROR(SUM(Y218:Y231),"0")</f>
        <v>493.5</v>
      </c>
      <c r="Z233" s="40"/>
      <c r="AA233" s="64"/>
      <c r="AB233" s="64"/>
      <c r="AC233" s="64"/>
    </row>
    <row r="234" spans="1:68" ht="14.25" hidden="1" customHeight="1" x14ac:dyDescent="0.25">
      <c r="A234" s="707" t="s">
        <v>83</v>
      </c>
      <c r="B234" s="707"/>
      <c r="C234" s="707"/>
      <c r="D234" s="707"/>
      <c r="E234" s="707"/>
      <c r="F234" s="707"/>
      <c r="G234" s="707"/>
      <c r="H234" s="707"/>
      <c r="I234" s="707"/>
      <c r="J234" s="707"/>
      <c r="K234" s="707"/>
      <c r="L234" s="707"/>
      <c r="M234" s="707"/>
      <c r="N234" s="707"/>
      <c r="O234" s="707"/>
      <c r="P234" s="707"/>
      <c r="Q234" s="707"/>
      <c r="R234" s="707"/>
      <c r="S234" s="707"/>
      <c r="T234" s="707"/>
      <c r="U234" s="707"/>
      <c r="V234" s="707"/>
      <c r="W234" s="707"/>
      <c r="X234" s="707"/>
      <c r="Y234" s="707"/>
      <c r="Z234" s="707"/>
      <c r="AA234" s="63"/>
      <c r="AB234" s="63"/>
      <c r="AC234" s="63"/>
    </row>
    <row r="235" spans="1:68" ht="16.5" hidden="1" customHeight="1" x14ac:dyDescent="0.25">
      <c r="A235" s="60" t="s">
        <v>405</v>
      </c>
      <c r="B235" s="60" t="s">
        <v>406</v>
      </c>
      <c r="C235" s="34">
        <v>4301052279</v>
      </c>
      <c r="D235" s="708">
        <v>4680115888692</v>
      </c>
      <c r="E235" s="708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135</v>
      </c>
      <c r="L235" s="35" t="s">
        <v>46</v>
      </c>
      <c r="M235" s="36" t="s">
        <v>94</v>
      </c>
      <c r="N235" s="36"/>
      <c r="O235" s="35">
        <v>40</v>
      </c>
      <c r="P235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0"/>
      <c r="R235" s="710"/>
      <c r="S235" s="710"/>
      <c r="T235" s="711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07" t="s">
        <v>407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hidden="1" customHeight="1" x14ac:dyDescent="0.25">
      <c r="A236" s="60" t="s">
        <v>408</v>
      </c>
      <c r="B236" s="60" t="s">
        <v>409</v>
      </c>
      <c r="C236" s="34">
        <v>4301052280</v>
      </c>
      <c r="D236" s="708">
        <v>4680115888722</v>
      </c>
      <c r="E236" s="70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135</v>
      </c>
      <c r="L236" s="35" t="s">
        <v>46</v>
      </c>
      <c r="M236" s="36" t="s">
        <v>94</v>
      </c>
      <c r="N236" s="36"/>
      <c r="O236" s="35">
        <v>40</v>
      </c>
      <c r="P236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0"/>
      <c r="R236" s="710"/>
      <c r="S236" s="710"/>
      <c r="T236" s="71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09" t="s">
        <v>410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411</v>
      </c>
      <c r="B237" s="60" t="s">
        <v>412</v>
      </c>
      <c r="C237" s="34">
        <v>4301052276</v>
      </c>
      <c r="D237" s="708">
        <v>4680115888951</v>
      </c>
      <c r="E237" s="708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142</v>
      </c>
      <c r="L237" s="35" t="s">
        <v>46</v>
      </c>
      <c r="M237" s="36" t="s">
        <v>94</v>
      </c>
      <c r="N237" s="36"/>
      <c r="O237" s="35">
        <v>40</v>
      </c>
      <c r="P237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0"/>
      <c r="R237" s="710"/>
      <c r="S237" s="710"/>
      <c r="T237" s="711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11" t="s">
        <v>407</v>
      </c>
      <c r="AG237" s="75"/>
      <c r="AJ237" s="79" t="s">
        <v>46</v>
      </c>
      <c r="AK237" s="79">
        <v>0</v>
      </c>
      <c r="BB237" s="312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4301052278</v>
      </c>
      <c r="D238" s="708">
        <v>4680115888975</v>
      </c>
      <c r="E238" s="708"/>
      <c r="F238" s="59">
        <v>0.32</v>
      </c>
      <c r="G238" s="35">
        <v>6</v>
      </c>
      <c r="H238" s="59">
        <v>1.92</v>
      </c>
      <c r="I238" s="59">
        <v>2.1819999999999999</v>
      </c>
      <c r="J238" s="35">
        <v>132</v>
      </c>
      <c r="K238" s="35" t="s">
        <v>142</v>
      </c>
      <c r="L238" s="35" t="s">
        <v>46</v>
      </c>
      <c r="M238" s="36" t="s">
        <v>94</v>
      </c>
      <c r="N238" s="36"/>
      <c r="O238" s="35">
        <v>40</v>
      </c>
      <c r="P238" s="83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0"/>
      <c r="R238" s="710"/>
      <c r="S238" s="710"/>
      <c r="T238" s="711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3" t="s">
        <v>415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416</v>
      </c>
      <c r="B239" s="60" t="s">
        <v>417</v>
      </c>
      <c r="C239" s="34">
        <v>4301052277</v>
      </c>
      <c r="D239" s="708">
        <v>4680115888982</v>
      </c>
      <c r="E239" s="708"/>
      <c r="F239" s="59">
        <v>0.36</v>
      </c>
      <c r="G239" s="35">
        <v>6</v>
      </c>
      <c r="H239" s="59">
        <v>2.16</v>
      </c>
      <c r="I239" s="59">
        <v>2.4220000000000002</v>
      </c>
      <c r="J239" s="35">
        <v>132</v>
      </c>
      <c r="K239" s="35" t="s">
        <v>142</v>
      </c>
      <c r="L239" s="35" t="s">
        <v>46</v>
      </c>
      <c r="M239" s="36" t="s">
        <v>94</v>
      </c>
      <c r="N239" s="36"/>
      <c r="O239" s="35">
        <v>40</v>
      </c>
      <c r="P239" s="83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0"/>
      <c r="R239" s="710"/>
      <c r="S239" s="710"/>
      <c r="T239" s="711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15" t="s">
        <v>410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715"/>
      <c r="B240" s="715"/>
      <c r="C240" s="715"/>
      <c r="D240" s="715"/>
      <c r="E240" s="715"/>
      <c r="F240" s="715"/>
      <c r="G240" s="715"/>
      <c r="H240" s="715"/>
      <c r="I240" s="715"/>
      <c r="J240" s="715"/>
      <c r="K240" s="715"/>
      <c r="L240" s="715"/>
      <c r="M240" s="715"/>
      <c r="N240" s="715"/>
      <c r="O240" s="716"/>
      <c r="P240" s="712" t="s">
        <v>40</v>
      </c>
      <c r="Q240" s="713"/>
      <c r="R240" s="713"/>
      <c r="S240" s="713"/>
      <c r="T240" s="713"/>
      <c r="U240" s="713"/>
      <c r="V240" s="714"/>
      <c r="W240" s="40" t="s">
        <v>39</v>
      </c>
      <c r="X240" s="41">
        <f>IFERROR(X235/H235,"0")+IFERROR(X236/H236,"0")+IFERROR(X237/H237,"0")+IFERROR(X238/H238,"0")+IFERROR(X239/H239,"0")</f>
        <v>0</v>
      </c>
      <c r="Y240" s="41">
        <f>IFERROR(Y235/H235,"0")+IFERROR(Y236/H236,"0")+IFERROR(Y237/H237,"0")+IFERROR(Y238/H238,"0")+IFERROR(Y239/H239,"0")</f>
        <v>0</v>
      </c>
      <c r="Z240" s="41">
        <f>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15"/>
      <c r="B241" s="715"/>
      <c r="C241" s="715"/>
      <c r="D241" s="715"/>
      <c r="E241" s="715"/>
      <c r="F241" s="715"/>
      <c r="G241" s="715"/>
      <c r="H241" s="715"/>
      <c r="I241" s="715"/>
      <c r="J241" s="715"/>
      <c r="K241" s="715"/>
      <c r="L241" s="715"/>
      <c r="M241" s="715"/>
      <c r="N241" s="715"/>
      <c r="O241" s="716"/>
      <c r="P241" s="712" t="s">
        <v>40</v>
      </c>
      <c r="Q241" s="713"/>
      <c r="R241" s="713"/>
      <c r="S241" s="713"/>
      <c r="T241" s="713"/>
      <c r="U241" s="713"/>
      <c r="V241" s="714"/>
      <c r="W241" s="40" t="s">
        <v>0</v>
      </c>
      <c r="X241" s="41">
        <f>IFERROR(SUM(X235:X239),"0")</f>
        <v>0</v>
      </c>
      <c r="Y241" s="41">
        <f>IFERROR(SUM(Y235:Y239),"0")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07" t="s">
        <v>101</v>
      </c>
      <c r="B242" s="707"/>
      <c r="C242" s="707"/>
      <c r="D242" s="707"/>
      <c r="E242" s="707"/>
      <c r="F242" s="707"/>
      <c r="G242" s="707"/>
      <c r="H242" s="707"/>
      <c r="I242" s="707"/>
      <c r="J242" s="707"/>
      <c r="K242" s="707"/>
      <c r="L242" s="707"/>
      <c r="M242" s="707"/>
      <c r="N242" s="707"/>
      <c r="O242" s="707"/>
      <c r="P242" s="707"/>
      <c r="Q242" s="707"/>
      <c r="R242" s="707"/>
      <c r="S242" s="707"/>
      <c r="T242" s="707"/>
      <c r="U242" s="707"/>
      <c r="V242" s="707"/>
      <c r="W242" s="707"/>
      <c r="X242" s="707"/>
      <c r="Y242" s="707"/>
      <c r="Z242" s="707"/>
      <c r="AA242" s="63"/>
      <c r="AB242" s="63"/>
      <c r="AC242" s="63"/>
    </row>
    <row r="243" spans="1:68" ht="27" hidden="1" customHeight="1" x14ac:dyDescent="0.25">
      <c r="A243" s="60" t="s">
        <v>418</v>
      </c>
      <c r="B243" s="60" t="s">
        <v>419</v>
      </c>
      <c r="C243" s="34">
        <v>4301032053</v>
      </c>
      <c r="D243" s="708">
        <v>4680115886780</v>
      </c>
      <c r="E243" s="708"/>
      <c r="F243" s="59">
        <v>7.0000000000000007E-2</v>
      </c>
      <c r="G243" s="35">
        <v>18</v>
      </c>
      <c r="H243" s="59">
        <v>1.26</v>
      </c>
      <c r="I243" s="59">
        <v>1.45</v>
      </c>
      <c r="J243" s="35">
        <v>216</v>
      </c>
      <c r="K243" s="35" t="s">
        <v>338</v>
      </c>
      <c r="L243" s="35" t="s">
        <v>46</v>
      </c>
      <c r="M243" s="36" t="s">
        <v>107</v>
      </c>
      <c r="N243" s="36"/>
      <c r="O243" s="35">
        <v>60</v>
      </c>
      <c r="P243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0"/>
      <c r="R243" s="710"/>
      <c r="S243" s="710"/>
      <c r="T243" s="71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IFERROR(IF(Y243=0,"",ROUNDUP(Y243/H243,0)*0.0059),"")</f>
        <v/>
      </c>
      <c r="AA243" s="65" t="s">
        <v>46</v>
      </c>
      <c r="AB243" s="66" t="s">
        <v>46</v>
      </c>
      <c r="AC243" s="317" t="s">
        <v>420</v>
      </c>
      <c r="AG243" s="75"/>
      <c r="AJ243" s="79" t="s">
        <v>46</v>
      </c>
      <c r="AK243" s="79">
        <v>0</v>
      </c>
      <c r="BB243" s="318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421</v>
      </c>
      <c r="B244" s="60" t="s">
        <v>422</v>
      </c>
      <c r="C244" s="34">
        <v>4301032051</v>
      </c>
      <c r="D244" s="708">
        <v>4680115886742</v>
      </c>
      <c r="E244" s="708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338</v>
      </c>
      <c r="L244" s="35" t="s">
        <v>46</v>
      </c>
      <c r="M244" s="36" t="s">
        <v>107</v>
      </c>
      <c r="N244" s="36"/>
      <c r="O244" s="35">
        <v>90</v>
      </c>
      <c r="P244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0"/>
      <c r="R244" s="710"/>
      <c r="S244" s="710"/>
      <c r="T244" s="71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423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424</v>
      </c>
      <c r="B245" s="60" t="s">
        <v>425</v>
      </c>
      <c r="C245" s="34">
        <v>4301032052</v>
      </c>
      <c r="D245" s="708">
        <v>4680115886766</v>
      </c>
      <c r="E245" s="708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338</v>
      </c>
      <c r="L245" s="35" t="s">
        <v>46</v>
      </c>
      <c r="M245" s="36" t="s">
        <v>107</v>
      </c>
      <c r="N245" s="36"/>
      <c r="O245" s="35">
        <v>90</v>
      </c>
      <c r="P245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0"/>
      <c r="R245" s="710"/>
      <c r="S245" s="710"/>
      <c r="T245" s="71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1" t="s">
        <v>423</v>
      </c>
      <c r="AG245" s="75"/>
      <c r="AJ245" s="79" t="s">
        <v>46</v>
      </c>
      <c r="AK245" s="79">
        <v>0</v>
      </c>
      <c r="BB245" s="322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0" t="s">
        <v>39</v>
      </c>
      <c r="X246" s="41">
        <f>IFERROR(X243/H243,"0")+IFERROR(X244/H244,"0")+IFERROR(X245/H245,"0")</f>
        <v>0</v>
      </c>
      <c r="Y246" s="41">
        <f>IFERROR(Y243/H243,"0")+IFERROR(Y244/H244,"0")+IFERROR(Y245/H245,"0")</f>
        <v>0</v>
      </c>
      <c r="Z246" s="41">
        <f>IFERROR(IF(Z243="",0,Z243),"0")+IFERROR(IF(Z244="",0,Z244),"0")+IFERROR(IF(Z245="",0,Z245),"0")</f>
        <v>0</v>
      </c>
      <c r="AA246" s="64"/>
      <c r="AB246" s="64"/>
      <c r="AC246" s="64"/>
    </row>
    <row r="247" spans="1:68" hidden="1" x14ac:dyDescent="0.2">
      <c r="A247" s="715"/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6"/>
      <c r="P247" s="712" t="s">
        <v>40</v>
      </c>
      <c r="Q247" s="713"/>
      <c r="R247" s="713"/>
      <c r="S247" s="713"/>
      <c r="T247" s="713"/>
      <c r="U247" s="713"/>
      <c r="V247" s="714"/>
      <c r="W247" s="40" t="s">
        <v>0</v>
      </c>
      <c r="X247" s="41">
        <f>IFERROR(SUM(X243:X245),"0")</f>
        <v>0</v>
      </c>
      <c r="Y247" s="41">
        <f>IFERROR(SUM(Y243:Y245),"0")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707" t="s">
        <v>426</v>
      </c>
      <c r="B248" s="707"/>
      <c r="C248" s="707"/>
      <c r="D248" s="707"/>
      <c r="E248" s="707"/>
      <c r="F248" s="707"/>
      <c r="G248" s="707"/>
      <c r="H248" s="707"/>
      <c r="I248" s="707"/>
      <c r="J248" s="707"/>
      <c r="K248" s="707"/>
      <c r="L248" s="707"/>
      <c r="M248" s="707"/>
      <c r="N248" s="707"/>
      <c r="O248" s="707"/>
      <c r="P248" s="707"/>
      <c r="Q248" s="707"/>
      <c r="R248" s="707"/>
      <c r="S248" s="707"/>
      <c r="T248" s="707"/>
      <c r="U248" s="707"/>
      <c r="V248" s="707"/>
      <c r="W248" s="707"/>
      <c r="X248" s="707"/>
      <c r="Y248" s="707"/>
      <c r="Z248" s="707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4301170013</v>
      </c>
      <c r="D249" s="708">
        <v>4680115886797</v>
      </c>
      <c r="E249" s="70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107</v>
      </c>
      <c r="N249" s="36"/>
      <c r="O249" s="35">
        <v>90</v>
      </c>
      <c r="P249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0"/>
      <c r="R249" s="710"/>
      <c r="S249" s="710"/>
      <c r="T249" s="71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3" t="s">
        <v>423</v>
      </c>
      <c r="AG249" s="75"/>
      <c r="AJ249" s="79" t="s">
        <v>46</v>
      </c>
      <c r="AK249" s="79">
        <v>0</v>
      </c>
      <c r="BB249" s="324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715"/>
      <c r="B250" s="715"/>
      <c r="C250" s="715"/>
      <c r="D250" s="715"/>
      <c r="E250" s="715"/>
      <c r="F250" s="715"/>
      <c r="G250" s="715"/>
      <c r="H250" s="715"/>
      <c r="I250" s="715"/>
      <c r="J250" s="715"/>
      <c r="K250" s="715"/>
      <c r="L250" s="715"/>
      <c r="M250" s="715"/>
      <c r="N250" s="715"/>
      <c r="O250" s="716"/>
      <c r="P250" s="712" t="s">
        <v>40</v>
      </c>
      <c r="Q250" s="713"/>
      <c r="R250" s="713"/>
      <c r="S250" s="713"/>
      <c r="T250" s="713"/>
      <c r="U250" s="713"/>
      <c r="V250" s="714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6.5" hidden="1" customHeight="1" x14ac:dyDescent="0.25">
      <c r="A252" s="706" t="s">
        <v>429</v>
      </c>
      <c r="B252" s="706"/>
      <c r="C252" s="706"/>
      <c r="D252" s="706"/>
      <c r="E252" s="706"/>
      <c r="F252" s="706"/>
      <c r="G252" s="706"/>
      <c r="H252" s="706"/>
      <c r="I252" s="706"/>
      <c r="J252" s="706"/>
      <c r="K252" s="706"/>
      <c r="L252" s="706"/>
      <c r="M252" s="706"/>
      <c r="N252" s="706"/>
      <c r="O252" s="706"/>
      <c r="P252" s="706"/>
      <c r="Q252" s="706"/>
      <c r="R252" s="706"/>
      <c r="S252" s="706"/>
      <c r="T252" s="706"/>
      <c r="U252" s="706"/>
      <c r="V252" s="706"/>
      <c r="W252" s="706"/>
      <c r="X252" s="706"/>
      <c r="Y252" s="706"/>
      <c r="Z252" s="706"/>
      <c r="AA252" s="62"/>
      <c r="AB252" s="62"/>
      <c r="AC252" s="62"/>
    </row>
    <row r="253" spans="1:68" ht="14.25" hidden="1" customHeight="1" x14ac:dyDescent="0.25">
      <c r="A253" s="707" t="s">
        <v>130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3"/>
      <c r="AB253" s="63"/>
      <c r="AC253" s="63"/>
    </row>
    <row r="254" spans="1:68" ht="27" hidden="1" customHeight="1" x14ac:dyDescent="0.25">
      <c r="A254" s="60" t="s">
        <v>430</v>
      </c>
      <c r="B254" s="60" t="s">
        <v>431</v>
      </c>
      <c r="C254" s="34">
        <v>4301011450</v>
      </c>
      <c r="D254" s="708">
        <v>4680115881402</v>
      </c>
      <c r="E254" s="708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135</v>
      </c>
      <c r="L254" s="35" t="s">
        <v>46</v>
      </c>
      <c r="M254" s="36" t="s">
        <v>134</v>
      </c>
      <c r="N254" s="36"/>
      <c r="O254" s="35">
        <v>55</v>
      </c>
      <c r="P254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0"/>
      <c r="R254" s="710"/>
      <c r="S254" s="710"/>
      <c r="T254" s="71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432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433</v>
      </c>
      <c r="B255" s="60" t="s">
        <v>434</v>
      </c>
      <c r="C255" s="34">
        <v>4301011768</v>
      </c>
      <c r="D255" s="708">
        <v>4680115881396</v>
      </c>
      <c r="E255" s="708"/>
      <c r="F255" s="59">
        <v>0.45</v>
      </c>
      <c r="G255" s="35">
        <v>6</v>
      </c>
      <c r="H255" s="59">
        <v>2.7</v>
      </c>
      <c r="I255" s="59">
        <v>2.88</v>
      </c>
      <c r="J255" s="35">
        <v>182</v>
      </c>
      <c r="K255" s="35" t="s">
        <v>88</v>
      </c>
      <c r="L255" s="35" t="s">
        <v>46</v>
      </c>
      <c r="M255" s="36" t="s">
        <v>134</v>
      </c>
      <c r="N255" s="36"/>
      <c r="O255" s="35">
        <v>55</v>
      </c>
      <c r="P255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0"/>
      <c r="R255" s="710"/>
      <c r="S255" s="710"/>
      <c r="T255" s="71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432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15"/>
      <c r="B257" s="715"/>
      <c r="C257" s="715"/>
      <c r="D257" s="715"/>
      <c r="E257" s="715"/>
      <c r="F257" s="715"/>
      <c r="G257" s="715"/>
      <c r="H257" s="715"/>
      <c r="I257" s="715"/>
      <c r="J257" s="715"/>
      <c r="K257" s="715"/>
      <c r="L257" s="715"/>
      <c r="M257" s="715"/>
      <c r="N257" s="715"/>
      <c r="O257" s="716"/>
      <c r="P257" s="712" t="s">
        <v>40</v>
      </c>
      <c r="Q257" s="713"/>
      <c r="R257" s="713"/>
      <c r="S257" s="713"/>
      <c r="T257" s="713"/>
      <c r="U257" s="713"/>
      <c r="V257" s="714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707" t="s">
        <v>165</v>
      </c>
      <c r="B258" s="707"/>
      <c r="C258" s="707"/>
      <c r="D258" s="707"/>
      <c r="E258" s="707"/>
      <c r="F258" s="707"/>
      <c r="G258" s="707"/>
      <c r="H258" s="707"/>
      <c r="I258" s="707"/>
      <c r="J258" s="707"/>
      <c r="K258" s="707"/>
      <c r="L258" s="707"/>
      <c r="M258" s="707"/>
      <c r="N258" s="707"/>
      <c r="O258" s="707"/>
      <c r="P258" s="707"/>
      <c r="Q258" s="707"/>
      <c r="R258" s="707"/>
      <c r="S258" s="707"/>
      <c r="T258" s="707"/>
      <c r="U258" s="707"/>
      <c r="V258" s="707"/>
      <c r="W258" s="707"/>
      <c r="X258" s="707"/>
      <c r="Y258" s="707"/>
      <c r="Z258" s="707"/>
      <c r="AA258" s="63"/>
      <c r="AB258" s="63"/>
      <c r="AC258" s="63"/>
    </row>
    <row r="259" spans="1:68" ht="16.5" hidden="1" customHeight="1" x14ac:dyDescent="0.25">
      <c r="A259" s="60" t="s">
        <v>435</v>
      </c>
      <c r="B259" s="60" t="s">
        <v>436</v>
      </c>
      <c r="C259" s="34">
        <v>4301020261</v>
      </c>
      <c r="D259" s="708">
        <v>4680115882935</v>
      </c>
      <c r="E259" s="70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135</v>
      </c>
      <c r="L259" s="35" t="s">
        <v>46</v>
      </c>
      <c r="M259" s="36" t="s">
        <v>134</v>
      </c>
      <c r="N259" s="36"/>
      <c r="O259" s="35">
        <v>50</v>
      </c>
      <c r="P25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0"/>
      <c r="R259" s="710"/>
      <c r="S259" s="710"/>
      <c r="T259" s="71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29" t="s">
        <v>437</v>
      </c>
      <c r="AG259" s="75"/>
      <c r="AJ259" s="79" t="s">
        <v>46</v>
      </c>
      <c r="AK259" s="79">
        <v>0</v>
      </c>
      <c r="BB259" s="330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16.5" hidden="1" customHeight="1" x14ac:dyDescent="0.25">
      <c r="A260" s="60" t="s">
        <v>438</v>
      </c>
      <c r="B260" s="60" t="s">
        <v>439</v>
      </c>
      <c r="C260" s="34">
        <v>4301020220</v>
      </c>
      <c r="D260" s="708">
        <v>4680115880764</v>
      </c>
      <c r="E260" s="708"/>
      <c r="F260" s="59">
        <v>0.35</v>
      </c>
      <c r="G260" s="35">
        <v>6</v>
      </c>
      <c r="H260" s="59">
        <v>2.1</v>
      </c>
      <c r="I260" s="59">
        <v>2.2799999999999998</v>
      </c>
      <c r="J260" s="35">
        <v>182</v>
      </c>
      <c r="K260" s="35" t="s">
        <v>88</v>
      </c>
      <c r="L260" s="35" t="s">
        <v>46</v>
      </c>
      <c r="M260" s="36" t="s">
        <v>134</v>
      </c>
      <c r="N260" s="36"/>
      <c r="O260" s="35">
        <v>50</v>
      </c>
      <c r="P260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0"/>
      <c r="R260" s="710"/>
      <c r="S260" s="710"/>
      <c r="T260" s="71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1" t="s">
        <v>437</v>
      </c>
      <c r="AG260" s="75"/>
      <c r="AJ260" s="79" t="s">
        <v>46</v>
      </c>
      <c r="AK260" s="79">
        <v>0</v>
      </c>
      <c r="BB260" s="332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7" t="s">
        <v>77</v>
      </c>
      <c r="B263" s="707"/>
      <c r="C263" s="707"/>
      <c r="D263" s="707"/>
      <c r="E263" s="707"/>
      <c r="F263" s="707"/>
      <c r="G263" s="707"/>
      <c r="H263" s="707"/>
      <c r="I263" s="707"/>
      <c r="J263" s="707"/>
      <c r="K263" s="707"/>
      <c r="L263" s="707"/>
      <c r="M263" s="707"/>
      <c r="N263" s="707"/>
      <c r="O263" s="707"/>
      <c r="P263" s="707"/>
      <c r="Q263" s="707"/>
      <c r="R263" s="707"/>
      <c r="S263" s="707"/>
      <c r="T263" s="707"/>
      <c r="U263" s="707"/>
      <c r="V263" s="707"/>
      <c r="W263" s="707"/>
      <c r="X263" s="707"/>
      <c r="Y263" s="707"/>
      <c r="Z263" s="707"/>
      <c r="AA263" s="63"/>
      <c r="AB263" s="63"/>
      <c r="AC263" s="63"/>
    </row>
    <row r="264" spans="1:68" ht="27" customHeight="1" x14ac:dyDescent="0.25">
      <c r="A264" s="60" t="s">
        <v>440</v>
      </c>
      <c r="B264" s="60" t="s">
        <v>441</v>
      </c>
      <c r="C264" s="34">
        <v>4301031224</v>
      </c>
      <c r="D264" s="708">
        <v>4680115882683</v>
      </c>
      <c r="E264" s="708"/>
      <c r="F264" s="59">
        <v>0.9</v>
      </c>
      <c r="G264" s="35">
        <v>6</v>
      </c>
      <c r="H264" s="59">
        <v>5.4</v>
      </c>
      <c r="I264" s="59">
        <v>5.59</v>
      </c>
      <c r="J264" s="35">
        <v>132</v>
      </c>
      <c r="K264" s="35" t="s">
        <v>142</v>
      </c>
      <c r="L264" s="35" t="s">
        <v>46</v>
      </c>
      <c r="M264" s="36" t="s">
        <v>81</v>
      </c>
      <c r="N264" s="36"/>
      <c r="O264" s="35">
        <v>40</v>
      </c>
      <c r="P264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0"/>
      <c r="R264" s="710"/>
      <c r="S264" s="710"/>
      <c r="T264" s="711"/>
      <c r="U264" s="37" t="s">
        <v>46</v>
      </c>
      <c r="V264" s="37" t="s">
        <v>46</v>
      </c>
      <c r="W264" s="38" t="s">
        <v>0</v>
      </c>
      <c r="X264" s="56">
        <v>250</v>
      </c>
      <c r="Y264" s="53">
        <f t="shared" ref="Y264:Y271" si="31">IFERROR(IF(X264="",0,CEILING((X264/$H264),1)*$H264),"")</f>
        <v>253.8</v>
      </c>
      <c r="Z264" s="39">
        <f>IFERROR(IF(Y264=0,"",ROUNDUP(Y264/H264,0)*0.00902),"")</f>
        <v>0.42393999999999998</v>
      </c>
      <c r="AA264" s="65" t="s">
        <v>46</v>
      </c>
      <c r="AB264" s="66" t="s">
        <v>46</v>
      </c>
      <c r="AC264" s="333" t="s">
        <v>442</v>
      </c>
      <c r="AG264" s="75"/>
      <c r="AJ264" s="79" t="s">
        <v>46</v>
      </c>
      <c r="AK264" s="79">
        <v>0</v>
      </c>
      <c r="BB264" s="334" t="s">
        <v>67</v>
      </c>
      <c r="BM264" s="75">
        <f t="shared" ref="BM264:BM271" si="32">IFERROR(X264*I264/H264,"0")</f>
        <v>258.7962962962963</v>
      </c>
      <c r="BN264" s="75">
        <f t="shared" ref="BN264:BN271" si="33">IFERROR(Y264*I264/H264,"0")</f>
        <v>262.72999999999996</v>
      </c>
      <c r="BO264" s="75">
        <f t="shared" ref="BO264:BO271" si="34">IFERROR(1/J264*(X264/H264),"0")</f>
        <v>0.35072951739618402</v>
      </c>
      <c r="BP264" s="75">
        <f t="shared" ref="BP264:BP271" si="35">IFERROR(1/J264*(Y264/H264),"0")</f>
        <v>0.35606060606060608</v>
      </c>
    </row>
    <row r="265" spans="1:68" ht="27" customHeight="1" x14ac:dyDescent="0.25">
      <c r="A265" s="60" t="s">
        <v>443</v>
      </c>
      <c r="B265" s="60" t="s">
        <v>444</v>
      </c>
      <c r="C265" s="34">
        <v>4301031230</v>
      </c>
      <c r="D265" s="708">
        <v>4680115882690</v>
      </c>
      <c r="E265" s="708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142</v>
      </c>
      <c r="L265" s="35" t="s">
        <v>46</v>
      </c>
      <c r="M265" s="36" t="s">
        <v>81</v>
      </c>
      <c r="N265" s="36"/>
      <c r="O265" s="35">
        <v>40</v>
      </c>
      <c r="P265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0"/>
      <c r="R265" s="710"/>
      <c r="S265" s="710"/>
      <c r="T265" s="711"/>
      <c r="U265" s="37" t="s">
        <v>46</v>
      </c>
      <c r="V265" s="37" t="s">
        <v>46</v>
      </c>
      <c r="W265" s="38" t="s">
        <v>0</v>
      </c>
      <c r="X265" s="56">
        <v>30</v>
      </c>
      <c r="Y265" s="53">
        <f t="shared" si="31"/>
        <v>32.400000000000006</v>
      </c>
      <c r="Z265" s="39">
        <f>IFERROR(IF(Y265=0,"",ROUNDUP(Y265/H265,0)*0.00902),"")</f>
        <v>5.4120000000000001E-2</v>
      </c>
      <c r="AA265" s="65" t="s">
        <v>46</v>
      </c>
      <c r="AB265" s="66" t="s">
        <v>46</v>
      </c>
      <c r="AC265" s="335" t="s">
        <v>445</v>
      </c>
      <c r="AG265" s="75"/>
      <c r="AJ265" s="79" t="s">
        <v>46</v>
      </c>
      <c r="AK265" s="79">
        <v>0</v>
      </c>
      <c r="BB265" s="336" t="s">
        <v>67</v>
      </c>
      <c r="BM265" s="75">
        <f t="shared" si="32"/>
        <v>31.05555555555555</v>
      </c>
      <c r="BN265" s="75">
        <f t="shared" si="33"/>
        <v>33.54</v>
      </c>
      <c r="BO265" s="75">
        <f t="shared" si="34"/>
        <v>4.208754208754209E-2</v>
      </c>
      <c r="BP265" s="75">
        <f t="shared" si="35"/>
        <v>4.5454545454545463E-2</v>
      </c>
    </row>
    <row r="266" spans="1:68" ht="27" customHeight="1" x14ac:dyDescent="0.25">
      <c r="A266" s="60" t="s">
        <v>446</v>
      </c>
      <c r="B266" s="60" t="s">
        <v>447</v>
      </c>
      <c r="C266" s="34">
        <v>4301031220</v>
      </c>
      <c r="D266" s="708">
        <v>4680115882669</v>
      </c>
      <c r="E266" s="708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142</v>
      </c>
      <c r="L266" s="35" t="s">
        <v>46</v>
      </c>
      <c r="M266" s="36" t="s">
        <v>81</v>
      </c>
      <c r="N266" s="36"/>
      <c r="O266" s="35">
        <v>40</v>
      </c>
      <c r="P266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0"/>
      <c r="R266" s="710"/>
      <c r="S266" s="710"/>
      <c r="T266" s="711"/>
      <c r="U266" s="37" t="s">
        <v>46</v>
      </c>
      <c r="V266" s="37" t="s">
        <v>46</v>
      </c>
      <c r="W266" s="38" t="s">
        <v>0</v>
      </c>
      <c r="X266" s="56">
        <v>100</v>
      </c>
      <c r="Y266" s="53">
        <f t="shared" si="31"/>
        <v>102.60000000000001</v>
      </c>
      <c r="Z266" s="39">
        <f>IFERROR(IF(Y266=0,"",ROUNDUP(Y266/H266,0)*0.00902),"")</f>
        <v>0.17138</v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si="32"/>
        <v>103.5185185185185</v>
      </c>
      <c r="BN266" s="75">
        <f t="shared" si="33"/>
        <v>106.21</v>
      </c>
      <c r="BO266" s="75">
        <f t="shared" si="34"/>
        <v>0.14029180695847362</v>
      </c>
      <c r="BP266" s="75">
        <f t="shared" si="35"/>
        <v>0.14393939393939395</v>
      </c>
    </row>
    <row r="267" spans="1:68" ht="27" customHeight="1" x14ac:dyDescent="0.25">
      <c r="A267" s="60" t="s">
        <v>449</v>
      </c>
      <c r="B267" s="60" t="s">
        <v>450</v>
      </c>
      <c r="C267" s="34">
        <v>4301031221</v>
      </c>
      <c r="D267" s="708">
        <v>4680115882676</v>
      </c>
      <c r="E267" s="708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142</v>
      </c>
      <c r="L267" s="35" t="s">
        <v>46</v>
      </c>
      <c r="M267" s="36" t="s">
        <v>81</v>
      </c>
      <c r="N267" s="36"/>
      <c r="O267" s="35">
        <v>40</v>
      </c>
      <c r="P267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0"/>
      <c r="R267" s="710"/>
      <c r="S267" s="710"/>
      <c r="T267" s="711"/>
      <c r="U267" s="37" t="s">
        <v>46</v>
      </c>
      <c r="V267" s="37" t="s">
        <v>46</v>
      </c>
      <c r="W267" s="38" t="s">
        <v>0</v>
      </c>
      <c r="X267" s="56">
        <v>50</v>
      </c>
      <c r="Y267" s="53">
        <f t="shared" si="31"/>
        <v>54</v>
      </c>
      <c r="Z267" s="39">
        <f>IFERROR(IF(Y267=0,"",ROUNDUP(Y267/H267,0)*0.00902),"")</f>
        <v>9.0200000000000002E-2</v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2"/>
        <v>51.759259259259252</v>
      </c>
      <c r="BN267" s="75">
        <f t="shared" si="33"/>
        <v>55.9</v>
      </c>
      <c r="BO267" s="75">
        <f t="shared" si="34"/>
        <v>7.0145903479236812E-2</v>
      </c>
      <c r="BP267" s="75">
        <f t="shared" si="35"/>
        <v>7.575757575757576E-2</v>
      </c>
    </row>
    <row r="268" spans="1:68" ht="27" customHeight="1" x14ac:dyDescent="0.25">
      <c r="A268" s="60" t="s">
        <v>452</v>
      </c>
      <c r="B268" s="60" t="s">
        <v>453</v>
      </c>
      <c r="C268" s="34">
        <v>4301031223</v>
      </c>
      <c r="D268" s="708">
        <v>4680115884014</v>
      </c>
      <c r="E268" s="708"/>
      <c r="F268" s="59">
        <v>0.3</v>
      </c>
      <c r="G268" s="35">
        <v>6</v>
      </c>
      <c r="H268" s="59">
        <v>1.8</v>
      </c>
      <c r="I268" s="59">
        <v>1.93</v>
      </c>
      <c r="J268" s="35">
        <v>234</v>
      </c>
      <c r="K268" s="35" t="s">
        <v>82</v>
      </c>
      <c r="L268" s="35" t="s">
        <v>46</v>
      </c>
      <c r="M268" s="36" t="s">
        <v>81</v>
      </c>
      <c r="N268" s="36"/>
      <c r="O268" s="35">
        <v>40</v>
      </c>
      <c r="P268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0"/>
      <c r="R268" s="710"/>
      <c r="S268" s="710"/>
      <c r="T268" s="711"/>
      <c r="U268" s="37" t="s">
        <v>46</v>
      </c>
      <c r="V268" s="37" t="s">
        <v>46</v>
      </c>
      <c r="W268" s="38" t="s">
        <v>0</v>
      </c>
      <c r="X268" s="56">
        <v>90</v>
      </c>
      <c r="Y268" s="53">
        <f t="shared" si="31"/>
        <v>90</v>
      </c>
      <c r="Z268" s="39">
        <f>IFERROR(IF(Y268=0,"",ROUNDUP(Y268/H268,0)*0.00502),"")</f>
        <v>0.251</v>
      </c>
      <c r="AA268" s="65" t="s">
        <v>46</v>
      </c>
      <c r="AB268" s="66" t="s">
        <v>46</v>
      </c>
      <c r="AC268" s="341" t="s">
        <v>442</v>
      </c>
      <c r="AG268" s="75"/>
      <c r="AJ268" s="79" t="s">
        <v>46</v>
      </c>
      <c r="AK268" s="79">
        <v>0</v>
      </c>
      <c r="BB268" s="342" t="s">
        <v>67</v>
      </c>
      <c r="BM268" s="75">
        <f t="shared" si="32"/>
        <v>96.499999999999986</v>
      </c>
      <c r="BN268" s="75">
        <f t="shared" si="33"/>
        <v>96.499999999999986</v>
      </c>
      <c r="BO268" s="75">
        <f t="shared" si="34"/>
        <v>0.21367521367521369</v>
      </c>
      <c r="BP268" s="75">
        <f t="shared" si="35"/>
        <v>0.21367521367521369</v>
      </c>
    </row>
    <row r="269" spans="1:68" ht="27" customHeight="1" x14ac:dyDescent="0.25">
      <c r="A269" s="60" t="s">
        <v>454</v>
      </c>
      <c r="B269" s="60" t="s">
        <v>455</v>
      </c>
      <c r="C269" s="34">
        <v>4301031222</v>
      </c>
      <c r="D269" s="708">
        <v>4680115884007</v>
      </c>
      <c r="E269" s="708"/>
      <c r="F269" s="59">
        <v>0.3</v>
      </c>
      <c r="G269" s="35">
        <v>6</v>
      </c>
      <c r="H269" s="59">
        <v>1.8</v>
      </c>
      <c r="I269" s="59">
        <v>1.9</v>
      </c>
      <c r="J269" s="35">
        <v>234</v>
      </c>
      <c r="K269" s="35" t="s">
        <v>82</v>
      </c>
      <c r="L269" s="35" t="s">
        <v>46</v>
      </c>
      <c r="M269" s="36" t="s">
        <v>81</v>
      </c>
      <c r="N269" s="36"/>
      <c r="O269" s="35">
        <v>40</v>
      </c>
      <c r="P269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0"/>
      <c r="R269" s="710"/>
      <c r="S269" s="710"/>
      <c r="T269" s="711"/>
      <c r="U269" s="37" t="s">
        <v>46</v>
      </c>
      <c r="V269" s="37" t="s">
        <v>46</v>
      </c>
      <c r="W269" s="38" t="s">
        <v>0</v>
      </c>
      <c r="X269" s="56">
        <v>30</v>
      </c>
      <c r="Y269" s="53">
        <f t="shared" si="31"/>
        <v>30.6</v>
      </c>
      <c r="Z269" s="39">
        <f>IFERROR(IF(Y269=0,"",ROUNDUP(Y269/H269,0)*0.00502),"")</f>
        <v>8.5339999999999999E-2</v>
      </c>
      <c r="AA269" s="65" t="s">
        <v>46</v>
      </c>
      <c r="AB269" s="66" t="s">
        <v>46</v>
      </c>
      <c r="AC269" s="343" t="s">
        <v>445</v>
      </c>
      <c r="AG269" s="75"/>
      <c r="AJ269" s="79" t="s">
        <v>46</v>
      </c>
      <c r="AK269" s="79">
        <v>0</v>
      </c>
      <c r="BB269" s="344" t="s">
        <v>67</v>
      </c>
      <c r="BM269" s="75">
        <f t="shared" si="32"/>
        <v>31.666666666666664</v>
      </c>
      <c r="BN269" s="75">
        <f t="shared" si="33"/>
        <v>32.299999999999997</v>
      </c>
      <c r="BO269" s="75">
        <f t="shared" si="34"/>
        <v>7.122507122507124E-2</v>
      </c>
      <c r="BP269" s="75">
        <f t="shared" si="35"/>
        <v>7.2649572649572655E-2</v>
      </c>
    </row>
    <row r="270" spans="1:68" ht="27" customHeight="1" x14ac:dyDescent="0.25">
      <c r="A270" s="60" t="s">
        <v>456</v>
      </c>
      <c r="B270" s="60" t="s">
        <v>457</v>
      </c>
      <c r="C270" s="34">
        <v>4301031229</v>
      </c>
      <c r="D270" s="708">
        <v>4680115884038</v>
      </c>
      <c r="E270" s="708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0"/>
      <c r="R270" s="710"/>
      <c r="S270" s="710"/>
      <c r="T270" s="711"/>
      <c r="U270" s="37" t="s">
        <v>46</v>
      </c>
      <c r="V270" s="37" t="s">
        <v>46</v>
      </c>
      <c r="W270" s="38" t="s">
        <v>0</v>
      </c>
      <c r="X270" s="56">
        <v>36</v>
      </c>
      <c r="Y270" s="53">
        <f t="shared" si="31"/>
        <v>36</v>
      </c>
      <c r="Z270" s="39">
        <f>IFERROR(IF(Y270=0,"",ROUNDUP(Y270/H270,0)*0.00502),"")</f>
        <v>0.1004</v>
      </c>
      <c r="AA270" s="65" t="s">
        <v>46</v>
      </c>
      <c r="AB270" s="66" t="s">
        <v>46</v>
      </c>
      <c r="AC270" s="345" t="s">
        <v>448</v>
      </c>
      <c r="AG270" s="75"/>
      <c r="AJ270" s="79" t="s">
        <v>46</v>
      </c>
      <c r="AK270" s="79">
        <v>0</v>
      </c>
      <c r="BB270" s="346" t="s">
        <v>67</v>
      </c>
      <c r="BM270" s="75">
        <f t="shared" si="32"/>
        <v>37.999999999999993</v>
      </c>
      <c r="BN270" s="75">
        <f t="shared" si="33"/>
        <v>37.999999999999993</v>
      </c>
      <c r="BO270" s="75">
        <f t="shared" si="34"/>
        <v>8.5470085470085472E-2</v>
      </c>
      <c r="BP270" s="75">
        <f t="shared" si="35"/>
        <v>8.5470085470085472E-2</v>
      </c>
    </row>
    <row r="271" spans="1:68" ht="27" customHeight="1" x14ac:dyDescent="0.25">
      <c r="A271" s="60" t="s">
        <v>458</v>
      </c>
      <c r="B271" s="60" t="s">
        <v>459</v>
      </c>
      <c r="C271" s="34">
        <v>4301031225</v>
      </c>
      <c r="D271" s="708">
        <v>4680115884021</v>
      </c>
      <c r="E271" s="708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0"/>
      <c r="R271" s="710"/>
      <c r="S271" s="710"/>
      <c r="T271" s="711"/>
      <c r="U271" s="37" t="s">
        <v>46</v>
      </c>
      <c r="V271" s="37" t="s">
        <v>46</v>
      </c>
      <c r="W271" s="38" t="s">
        <v>0</v>
      </c>
      <c r="X271" s="56">
        <v>36</v>
      </c>
      <c r="Y271" s="53">
        <f t="shared" si="31"/>
        <v>36</v>
      </c>
      <c r="Z271" s="39">
        <f>IFERROR(IF(Y271=0,"",ROUNDUP(Y271/H271,0)*0.00502),"")</f>
        <v>0.1004</v>
      </c>
      <c r="AA271" s="65" t="s">
        <v>46</v>
      </c>
      <c r="AB271" s="66" t="s">
        <v>46</v>
      </c>
      <c r="AC271" s="347" t="s">
        <v>451</v>
      </c>
      <c r="AG271" s="75"/>
      <c r="AJ271" s="79" t="s">
        <v>46</v>
      </c>
      <c r="AK271" s="79">
        <v>0</v>
      </c>
      <c r="BB271" s="348" t="s">
        <v>67</v>
      </c>
      <c r="BM271" s="75">
        <f t="shared" si="32"/>
        <v>37.999999999999993</v>
      </c>
      <c r="BN271" s="75">
        <f t="shared" si="33"/>
        <v>37.999999999999993</v>
      </c>
      <c r="BO271" s="75">
        <f t="shared" si="34"/>
        <v>8.5470085470085472E-2</v>
      </c>
      <c r="BP271" s="75">
        <f t="shared" si="35"/>
        <v>8.5470085470085472E-2</v>
      </c>
    </row>
    <row r="272" spans="1:68" x14ac:dyDescent="0.2">
      <c r="A272" s="715"/>
      <c r="B272" s="715"/>
      <c r="C272" s="715"/>
      <c r="D272" s="715"/>
      <c r="E272" s="715"/>
      <c r="F272" s="715"/>
      <c r="G272" s="715"/>
      <c r="H272" s="715"/>
      <c r="I272" s="715"/>
      <c r="J272" s="715"/>
      <c r="K272" s="715"/>
      <c r="L272" s="715"/>
      <c r="M272" s="715"/>
      <c r="N272" s="715"/>
      <c r="O272" s="716"/>
      <c r="P272" s="712" t="s">
        <v>40</v>
      </c>
      <c r="Q272" s="713"/>
      <c r="R272" s="713"/>
      <c r="S272" s="713"/>
      <c r="T272" s="713"/>
      <c r="U272" s="713"/>
      <c r="V272" s="714"/>
      <c r="W272" s="40" t="s">
        <v>39</v>
      </c>
      <c r="X272" s="41">
        <f>IFERROR(X264/H264,"0")+IFERROR(X265/H265,"0")+IFERROR(X266/H266,"0")+IFERROR(X267/H267,"0")+IFERROR(X268/H268,"0")+IFERROR(X269/H269,"0")+IFERROR(X270/H270,"0")+IFERROR(X271/H271,"0")</f>
        <v>186.29629629629628</v>
      </c>
      <c r="Y272" s="41">
        <f>IFERROR(Y264/H264,"0")+IFERROR(Y265/H265,"0")+IFERROR(Y266/H266,"0")+IFERROR(Y267/H267,"0")+IFERROR(Y268/H268,"0")+IFERROR(Y269/H269,"0")+IFERROR(Y270/H270,"0")+IFERROR(Y271/H271,"0")</f>
        <v>189</v>
      </c>
      <c r="Z272" s="41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1.2767800000000002</v>
      </c>
      <c r="AA272" s="64"/>
      <c r="AB272" s="64"/>
      <c r="AC272" s="64"/>
    </row>
    <row r="273" spans="1:68" x14ac:dyDescent="0.2">
      <c r="A273" s="715"/>
      <c r="B273" s="715"/>
      <c r="C273" s="715"/>
      <c r="D273" s="715"/>
      <c r="E273" s="715"/>
      <c r="F273" s="715"/>
      <c r="G273" s="715"/>
      <c r="H273" s="715"/>
      <c r="I273" s="715"/>
      <c r="J273" s="715"/>
      <c r="K273" s="715"/>
      <c r="L273" s="715"/>
      <c r="M273" s="715"/>
      <c r="N273" s="715"/>
      <c r="O273" s="716"/>
      <c r="P273" s="712" t="s">
        <v>40</v>
      </c>
      <c r="Q273" s="713"/>
      <c r="R273" s="713"/>
      <c r="S273" s="713"/>
      <c r="T273" s="713"/>
      <c r="U273" s="713"/>
      <c r="V273" s="714"/>
      <c r="W273" s="40" t="s">
        <v>0</v>
      </c>
      <c r="X273" s="41">
        <f>IFERROR(SUM(X264:X271),"0")</f>
        <v>622</v>
      </c>
      <c r="Y273" s="41">
        <f>IFERROR(SUM(Y264:Y271),"0")</f>
        <v>635.40000000000009</v>
      </c>
      <c r="Z273" s="40"/>
      <c r="AA273" s="64"/>
      <c r="AB273" s="64"/>
      <c r="AC273" s="64"/>
    </row>
    <row r="274" spans="1:68" ht="14.25" hidden="1" customHeight="1" x14ac:dyDescent="0.25">
      <c r="A274" s="707" t="s">
        <v>83</v>
      </c>
      <c r="B274" s="707"/>
      <c r="C274" s="707"/>
      <c r="D274" s="707"/>
      <c r="E274" s="707"/>
      <c r="F274" s="707"/>
      <c r="G274" s="707"/>
      <c r="H274" s="707"/>
      <c r="I274" s="707"/>
      <c r="J274" s="707"/>
      <c r="K274" s="707"/>
      <c r="L274" s="707"/>
      <c r="M274" s="707"/>
      <c r="N274" s="707"/>
      <c r="O274" s="707"/>
      <c r="P274" s="707"/>
      <c r="Q274" s="707"/>
      <c r="R274" s="707"/>
      <c r="S274" s="707"/>
      <c r="T274" s="707"/>
      <c r="U274" s="707"/>
      <c r="V274" s="707"/>
      <c r="W274" s="707"/>
      <c r="X274" s="707"/>
      <c r="Y274" s="707"/>
      <c r="Z274" s="707"/>
      <c r="AA274" s="63"/>
      <c r="AB274" s="63"/>
      <c r="AC274" s="63"/>
    </row>
    <row r="275" spans="1:68" ht="27" customHeight="1" x14ac:dyDescent="0.25">
      <c r="A275" s="60" t="s">
        <v>460</v>
      </c>
      <c r="B275" s="60" t="s">
        <v>461</v>
      </c>
      <c r="C275" s="34">
        <v>4301051408</v>
      </c>
      <c r="D275" s="708">
        <v>4680115881594</v>
      </c>
      <c r="E275" s="708"/>
      <c r="F275" s="59">
        <v>1.35</v>
      </c>
      <c r="G275" s="35">
        <v>6</v>
      </c>
      <c r="H275" s="59">
        <v>8.1</v>
      </c>
      <c r="I275" s="59">
        <v>8.5939999999999994</v>
      </c>
      <c r="J275" s="35">
        <v>64</v>
      </c>
      <c r="K275" s="35" t="s">
        <v>135</v>
      </c>
      <c r="L275" s="35" t="s">
        <v>46</v>
      </c>
      <c r="M275" s="36" t="s">
        <v>87</v>
      </c>
      <c r="N275" s="36"/>
      <c r="O275" s="35">
        <v>40</v>
      </c>
      <c r="P275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0"/>
      <c r="R275" s="710"/>
      <c r="S275" s="710"/>
      <c r="T275" s="711"/>
      <c r="U275" s="37" t="s">
        <v>46</v>
      </c>
      <c r="V275" s="37" t="s">
        <v>46</v>
      </c>
      <c r="W275" s="38" t="s">
        <v>0</v>
      </c>
      <c r="X275" s="56">
        <v>200</v>
      </c>
      <c r="Y275" s="53">
        <f t="shared" ref="Y275:Y285" si="36">IFERROR(IF(X275="",0,CEILING((X275/$H275),1)*$H275),"")</f>
        <v>202.5</v>
      </c>
      <c r="Z275" s="39">
        <f>IFERROR(IF(Y275=0,"",ROUNDUP(Y275/H275,0)*0.01898),"")</f>
        <v>0.47450000000000003</v>
      </c>
      <c r="AA275" s="65" t="s">
        <v>46</v>
      </c>
      <c r="AB275" s="66" t="s">
        <v>46</v>
      </c>
      <c r="AC275" s="349" t="s">
        <v>462</v>
      </c>
      <c r="AG275" s="75"/>
      <c r="AJ275" s="79" t="s">
        <v>46</v>
      </c>
      <c r="AK275" s="79">
        <v>0</v>
      </c>
      <c r="BB275" s="350" t="s">
        <v>67</v>
      </c>
      <c r="BM275" s="75">
        <f t="shared" ref="BM275:BM285" si="37">IFERROR(X275*I275/H275,"0")</f>
        <v>212.19753086419755</v>
      </c>
      <c r="BN275" s="75">
        <f t="shared" ref="BN275:BN285" si="38">IFERROR(Y275*I275/H275,"0")</f>
        <v>214.85</v>
      </c>
      <c r="BO275" s="75">
        <f t="shared" ref="BO275:BO285" si="39">IFERROR(1/J275*(X275/H275),"0")</f>
        <v>0.38580246913580246</v>
      </c>
      <c r="BP275" s="75">
        <f t="shared" ref="BP275:BP285" si="40">IFERROR(1/J275*(Y275/H275),"0")</f>
        <v>0.390625</v>
      </c>
    </row>
    <row r="276" spans="1:68" ht="27" customHeight="1" x14ac:dyDescent="0.25">
      <c r="A276" s="60" t="s">
        <v>463</v>
      </c>
      <c r="B276" s="60" t="s">
        <v>464</v>
      </c>
      <c r="C276" s="34">
        <v>4301051411</v>
      </c>
      <c r="D276" s="708">
        <v>4680115881617</v>
      </c>
      <c r="E276" s="708"/>
      <c r="F276" s="59">
        <v>1.35</v>
      </c>
      <c r="G276" s="35">
        <v>6</v>
      </c>
      <c r="H276" s="59">
        <v>8.1</v>
      </c>
      <c r="I276" s="59">
        <v>8.5760000000000005</v>
      </c>
      <c r="J276" s="35">
        <v>64</v>
      </c>
      <c r="K276" s="35" t="s">
        <v>135</v>
      </c>
      <c r="L276" s="35" t="s">
        <v>46</v>
      </c>
      <c r="M276" s="36" t="s">
        <v>87</v>
      </c>
      <c r="N276" s="36"/>
      <c r="O276" s="35">
        <v>40</v>
      </c>
      <c r="P276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0"/>
      <c r="R276" s="710"/>
      <c r="S276" s="710"/>
      <c r="T276" s="711"/>
      <c r="U276" s="37" t="s">
        <v>46</v>
      </c>
      <c r="V276" s="37" t="s">
        <v>46</v>
      </c>
      <c r="W276" s="38" t="s">
        <v>0</v>
      </c>
      <c r="X276" s="56">
        <v>100</v>
      </c>
      <c r="Y276" s="53">
        <f t="shared" si="36"/>
        <v>105.3</v>
      </c>
      <c r="Z276" s="39">
        <f>IFERROR(IF(Y276=0,"",ROUNDUP(Y276/H276,0)*0.01898),"")</f>
        <v>0.24674000000000001</v>
      </c>
      <c r="AA276" s="65" t="s">
        <v>46</v>
      </c>
      <c r="AB276" s="66" t="s">
        <v>46</v>
      </c>
      <c r="AC276" s="351" t="s">
        <v>465</v>
      </c>
      <c r="AG276" s="75"/>
      <c r="AJ276" s="79" t="s">
        <v>46</v>
      </c>
      <c r="AK276" s="79">
        <v>0</v>
      </c>
      <c r="BB276" s="352" t="s">
        <v>67</v>
      </c>
      <c r="BM276" s="75">
        <f t="shared" si="37"/>
        <v>105.87654320987654</v>
      </c>
      <c r="BN276" s="75">
        <f t="shared" si="38"/>
        <v>111.48800000000001</v>
      </c>
      <c r="BO276" s="75">
        <f t="shared" si="39"/>
        <v>0.19290123456790123</v>
      </c>
      <c r="BP276" s="75">
        <f t="shared" si="40"/>
        <v>0.203125</v>
      </c>
    </row>
    <row r="277" spans="1:68" ht="27" hidden="1" customHeight="1" x14ac:dyDescent="0.25">
      <c r="A277" s="60" t="s">
        <v>466</v>
      </c>
      <c r="B277" s="60" t="s">
        <v>467</v>
      </c>
      <c r="C277" s="34">
        <v>4301051656</v>
      </c>
      <c r="D277" s="708">
        <v>4680115880573</v>
      </c>
      <c r="E277" s="708"/>
      <c r="F277" s="59">
        <v>1.45</v>
      </c>
      <c r="G277" s="35">
        <v>6</v>
      </c>
      <c r="H277" s="59">
        <v>8.6999999999999993</v>
      </c>
      <c r="I277" s="59">
        <v>9.1940000000000008</v>
      </c>
      <c r="J277" s="35">
        <v>64</v>
      </c>
      <c r="K277" s="35" t="s">
        <v>135</v>
      </c>
      <c r="L277" s="35" t="s">
        <v>46</v>
      </c>
      <c r="M277" s="36" t="s">
        <v>87</v>
      </c>
      <c r="N277" s="36"/>
      <c r="O277" s="35">
        <v>45</v>
      </c>
      <c r="P277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0"/>
      <c r="R277" s="710"/>
      <c r="S277" s="710"/>
      <c r="T277" s="71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3" t="s">
        <v>468</v>
      </c>
      <c r="AG277" s="75"/>
      <c r="AJ277" s="79" t="s">
        <v>46</v>
      </c>
      <c r="AK277" s="79">
        <v>0</v>
      </c>
      <c r="BB277" s="354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469</v>
      </c>
      <c r="B278" s="60" t="s">
        <v>470</v>
      </c>
      <c r="C278" s="34">
        <v>4301051407</v>
      </c>
      <c r="D278" s="708">
        <v>4680115882195</v>
      </c>
      <c r="E278" s="708"/>
      <c r="F278" s="59">
        <v>0.4</v>
      </c>
      <c r="G278" s="35">
        <v>6</v>
      </c>
      <c r="H278" s="59">
        <v>2.4</v>
      </c>
      <c r="I278" s="59">
        <v>2.67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40</v>
      </c>
      <c r="P278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0"/>
      <c r="R278" s="710"/>
      <c r="S278" s="710"/>
      <c r="T278" s="711"/>
      <c r="U278" s="37" t="s">
        <v>46</v>
      </c>
      <c r="V278" s="37" t="s">
        <v>46</v>
      </c>
      <c r="W278" s="38" t="s">
        <v>0</v>
      </c>
      <c r="X278" s="56">
        <v>320</v>
      </c>
      <c r="Y278" s="53">
        <f t="shared" si="36"/>
        <v>321.59999999999997</v>
      </c>
      <c r="Z278" s="39">
        <f>IFERROR(IF(Y278=0,"",ROUNDUP(Y278/H278,0)*0.00651),"")</f>
        <v>0.87234</v>
      </c>
      <c r="AA278" s="65" t="s">
        <v>46</v>
      </c>
      <c r="AB278" s="66" t="s">
        <v>46</v>
      </c>
      <c r="AC278" s="355" t="s">
        <v>462</v>
      </c>
      <c r="AG278" s="75"/>
      <c r="AJ278" s="79" t="s">
        <v>46</v>
      </c>
      <c r="AK278" s="79">
        <v>0</v>
      </c>
      <c r="BB278" s="356" t="s">
        <v>67</v>
      </c>
      <c r="BM278" s="75">
        <f t="shared" si="37"/>
        <v>356</v>
      </c>
      <c r="BN278" s="75">
        <f t="shared" si="38"/>
        <v>357.78</v>
      </c>
      <c r="BO278" s="75">
        <f t="shared" si="39"/>
        <v>0.73260073260073266</v>
      </c>
      <c r="BP278" s="75">
        <f t="shared" si="40"/>
        <v>0.73626373626373631</v>
      </c>
    </row>
    <row r="279" spans="1:68" ht="27" hidden="1" customHeight="1" x14ac:dyDescent="0.25">
      <c r="A279" s="60" t="s">
        <v>471</v>
      </c>
      <c r="B279" s="60" t="s">
        <v>472</v>
      </c>
      <c r="C279" s="34">
        <v>4301051752</v>
      </c>
      <c r="D279" s="708">
        <v>4680115882607</v>
      </c>
      <c r="E279" s="708"/>
      <c r="F279" s="59">
        <v>0.3</v>
      </c>
      <c r="G279" s="35">
        <v>6</v>
      </c>
      <c r="H279" s="59">
        <v>1.8</v>
      </c>
      <c r="I279" s="59">
        <v>2.052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45</v>
      </c>
      <c r="P279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0"/>
      <c r="R279" s="710"/>
      <c r="S279" s="710"/>
      <c r="T279" s="71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57" t="s">
        <v>468</v>
      </c>
      <c r="AG279" s="75"/>
      <c r="AJ279" s="79" t="s">
        <v>46</v>
      </c>
      <c r="AK279" s="79">
        <v>0</v>
      </c>
      <c r="BB279" s="358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customHeight="1" x14ac:dyDescent="0.25">
      <c r="A280" s="60" t="s">
        <v>473</v>
      </c>
      <c r="B280" s="60" t="s">
        <v>474</v>
      </c>
      <c r="C280" s="34">
        <v>4301051666</v>
      </c>
      <c r="D280" s="708">
        <v>4680115880092</v>
      </c>
      <c r="E280" s="708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45</v>
      </c>
      <c r="P280" s="8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0"/>
      <c r="R280" s="710"/>
      <c r="S280" s="710"/>
      <c r="T280" s="711"/>
      <c r="U280" s="37" t="s">
        <v>46</v>
      </c>
      <c r="V280" s="37" t="s">
        <v>46</v>
      </c>
      <c r="W280" s="38" t="s">
        <v>0</v>
      </c>
      <c r="X280" s="56">
        <v>240</v>
      </c>
      <c r="Y280" s="53">
        <f t="shared" si="36"/>
        <v>240</v>
      </c>
      <c r="Z280" s="39">
        <f>IFERROR(IF(Y280=0,"",ROUNDUP(Y280/H280,0)*0.00651),"")</f>
        <v>0.65100000000000002</v>
      </c>
      <c r="AA280" s="65" t="s">
        <v>46</v>
      </c>
      <c r="AB280" s="66" t="s">
        <v>46</v>
      </c>
      <c r="AC280" s="359" t="s">
        <v>468</v>
      </c>
      <c r="AG280" s="75"/>
      <c r="AJ280" s="79" t="s">
        <v>46</v>
      </c>
      <c r="AK280" s="79">
        <v>0</v>
      </c>
      <c r="BB280" s="360" t="s">
        <v>67</v>
      </c>
      <c r="BM280" s="75">
        <f t="shared" si="37"/>
        <v>265.20000000000005</v>
      </c>
      <c r="BN280" s="75">
        <f t="shared" si="38"/>
        <v>265.20000000000005</v>
      </c>
      <c r="BO280" s="75">
        <f t="shared" si="39"/>
        <v>0.5494505494505495</v>
      </c>
      <c r="BP280" s="75">
        <f t="shared" si="40"/>
        <v>0.5494505494505495</v>
      </c>
    </row>
    <row r="281" spans="1:68" ht="27" hidden="1" customHeight="1" x14ac:dyDescent="0.25">
      <c r="A281" s="60" t="s">
        <v>475</v>
      </c>
      <c r="B281" s="60" t="s">
        <v>476</v>
      </c>
      <c r="C281" s="34">
        <v>4301052214</v>
      </c>
      <c r="D281" s="708">
        <v>4680115889064</v>
      </c>
      <c r="E281" s="708"/>
      <c r="F281" s="59">
        <v>0.7</v>
      </c>
      <c r="G281" s="35">
        <v>6</v>
      </c>
      <c r="H281" s="59">
        <v>4.2</v>
      </c>
      <c r="I281" s="59">
        <v>4.6159999999999997</v>
      </c>
      <c r="J281" s="35">
        <v>104</v>
      </c>
      <c r="K281" s="35" t="s">
        <v>135</v>
      </c>
      <c r="L281" s="35" t="s">
        <v>46</v>
      </c>
      <c r="M281" s="36" t="s">
        <v>87</v>
      </c>
      <c r="N281" s="36"/>
      <c r="O281" s="35">
        <v>45</v>
      </c>
      <c r="P281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0"/>
      <c r="R281" s="710"/>
      <c r="S281" s="710"/>
      <c r="T281" s="71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IFERROR(IF(Y281=0,"",ROUNDUP(Y281/H281,0)*0.01196),"")</f>
        <v/>
      </c>
      <c r="AA281" s="65" t="s">
        <v>46</v>
      </c>
      <c r="AB281" s="66" t="s">
        <v>46</v>
      </c>
      <c r="AC281" s="361" t="s">
        <v>477</v>
      </c>
      <c r="AG281" s="75"/>
      <c r="AJ281" s="79" t="s">
        <v>46</v>
      </c>
      <c r="AK281" s="79">
        <v>0</v>
      </c>
      <c r="BB281" s="362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4301051668</v>
      </c>
      <c r="D282" s="708">
        <v>4680115880221</v>
      </c>
      <c r="E282" s="708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88</v>
      </c>
      <c r="L282" s="35" t="s">
        <v>46</v>
      </c>
      <c r="M282" s="36" t="s">
        <v>87</v>
      </c>
      <c r="N282" s="36"/>
      <c r="O282" s="35">
        <v>45</v>
      </c>
      <c r="P282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0"/>
      <c r="R282" s="710"/>
      <c r="S282" s="710"/>
      <c r="T282" s="71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6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3" t="s">
        <v>468</v>
      </c>
      <c r="AG282" s="75"/>
      <c r="AJ282" s="79" t="s">
        <v>46</v>
      </c>
      <c r="AK282" s="79">
        <v>0</v>
      </c>
      <c r="BB282" s="364" t="s">
        <v>67</v>
      </c>
      <c r="BM282" s="75">
        <f t="shared" si="37"/>
        <v>0</v>
      </c>
      <c r="BN282" s="75">
        <f t="shared" si="38"/>
        <v>0</v>
      </c>
      <c r="BO282" s="75">
        <f t="shared" si="39"/>
        <v>0</v>
      </c>
      <c r="BP282" s="75">
        <f t="shared" si="40"/>
        <v>0</v>
      </c>
    </row>
    <row r="283" spans="1:68" ht="27" customHeight="1" x14ac:dyDescent="0.25">
      <c r="A283" s="60" t="s">
        <v>480</v>
      </c>
      <c r="B283" s="60" t="s">
        <v>481</v>
      </c>
      <c r="C283" s="34">
        <v>4301051945</v>
      </c>
      <c r="D283" s="708">
        <v>4680115880504</v>
      </c>
      <c r="E283" s="708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88</v>
      </c>
      <c r="L283" s="35" t="s">
        <v>46</v>
      </c>
      <c r="M283" s="36" t="s">
        <v>94</v>
      </c>
      <c r="N283" s="36"/>
      <c r="O283" s="35">
        <v>40</v>
      </c>
      <c r="P283" s="8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0"/>
      <c r="R283" s="710"/>
      <c r="S283" s="710"/>
      <c r="T283" s="711"/>
      <c r="U283" s="37" t="s">
        <v>46</v>
      </c>
      <c r="V283" s="37" t="s">
        <v>46</v>
      </c>
      <c r="W283" s="38" t="s">
        <v>0</v>
      </c>
      <c r="X283" s="56">
        <v>80</v>
      </c>
      <c r="Y283" s="53">
        <f t="shared" si="36"/>
        <v>81.599999999999994</v>
      </c>
      <c r="Z283" s="39">
        <f>IFERROR(IF(Y283=0,"",ROUNDUP(Y283/H283,0)*0.00651),"")</f>
        <v>0.22134000000000001</v>
      </c>
      <c r="AA283" s="65" t="s">
        <v>46</v>
      </c>
      <c r="AB283" s="66" t="s">
        <v>46</v>
      </c>
      <c r="AC283" s="365" t="s">
        <v>482</v>
      </c>
      <c r="AG283" s="75"/>
      <c r="AJ283" s="79" t="s">
        <v>46</v>
      </c>
      <c r="AK283" s="79">
        <v>0</v>
      </c>
      <c r="BB283" s="366" t="s">
        <v>67</v>
      </c>
      <c r="BM283" s="75">
        <f t="shared" si="37"/>
        <v>88.40000000000002</v>
      </c>
      <c r="BN283" s="75">
        <f t="shared" si="38"/>
        <v>90.168000000000006</v>
      </c>
      <c r="BO283" s="75">
        <f t="shared" si="39"/>
        <v>0.18315018315018317</v>
      </c>
      <c r="BP283" s="75">
        <f t="shared" si="40"/>
        <v>0.18681318681318682</v>
      </c>
    </row>
    <row r="284" spans="1:68" ht="27" customHeight="1" x14ac:dyDescent="0.25">
      <c r="A284" s="60" t="s">
        <v>483</v>
      </c>
      <c r="B284" s="60" t="s">
        <v>484</v>
      </c>
      <c r="C284" s="34">
        <v>4301051410</v>
      </c>
      <c r="D284" s="708">
        <v>4680115882164</v>
      </c>
      <c r="E284" s="708"/>
      <c r="F284" s="59">
        <v>0.4</v>
      </c>
      <c r="G284" s="35">
        <v>6</v>
      </c>
      <c r="H284" s="59">
        <v>2.4</v>
      </c>
      <c r="I284" s="59">
        <v>2.6579999999999999</v>
      </c>
      <c r="J284" s="35">
        <v>182</v>
      </c>
      <c r="K284" s="35" t="s">
        <v>88</v>
      </c>
      <c r="L284" s="35" t="s">
        <v>46</v>
      </c>
      <c r="M284" s="36" t="s">
        <v>87</v>
      </c>
      <c r="N284" s="36"/>
      <c r="O284" s="35">
        <v>40</v>
      </c>
      <c r="P284" s="8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0"/>
      <c r="R284" s="710"/>
      <c r="S284" s="710"/>
      <c r="T284" s="711"/>
      <c r="U284" s="37" t="s">
        <v>46</v>
      </c>
      <c r="V284" s="37" t="s">
        <v>46</v>
      </c>
      <c r="W284" s="38" t="s">
        <v>0</v>
      </c>
      <c r="X284" s="56">
        <v>240</v>
      </c>
      <c r="Y284" s="53">
        <f t="shared" si="36"/>
        <v>240</v>
      </c>
      <c r="Z284" s="39">
        <f>IFERROR(IF(Y284=0,"",ROUNDUP(Y284/H284,0)*0.00651),"")</f>
        <v>0.65100000000000002</v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67</v>
      </c>
      <c r="BM284" s="75">
        <f t="shared" si="37"/>
        <v>265.8</v>
      </c>
      <c r="BN284" s="75">
        <f t="shared" si="38"/>
        <v>265.8</v>
      </c>
      <c r="BO284" s="75">
        <f t="shared" si="39"/>
        <v>0.5494505494505495</v>
      </c>
      <c r="BP284" s="75">
        <f t="shared" si="40"/>
        <v>0.5494505494505495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4301052180</v>
      </c>
      <c r="D285" s="708">
        <v>4680115888340</v>
      </c>
      <c r="E285" s="708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87</v>
      </c>
      <c r="N285" s="36"/>
      <c r="O285" s="35">
        <v>45</v>
      </c>
      <c r="P285" s="86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0"/>
      <c r="R285" s="710"/>
      <c r="S285" s="710"/>
      <c r="T285" s="71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6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488</v>
      </c>
      <c r="AG285" s="75"/>
      <c r="AJ285" s="79" t="s">
        <v>46</v>
      </c>
      <c r="AK285" s="79">
        <v>0</v>
      </c>
      <c r="BB285" s="370" t="s">
        <v>67</v>
      </c>
      <c r="BM285" s="75">
        <f t="shared" si="37"/>
        <v>0</v>
      </c>
      <c r="BN285" s="75">
        <f t="shared" si="38"/>
        <v>0</v>
      </c>
      <c r="BO285" s="75">
        <f t="shared" si="39"/>
        <v>0</v>
      </c>
      <c r="BP285" s="75">
        <f t="shared" si="40"/>
        <v>0</v>
      </c>
    </row>
    <row r="286" spans="1:68" x14ac:dyDescent="0.2">
      <c r="A286" s="715"/>
      <c r="B286" s="715"/>
      <c r="C286" s="715"/>
      <c r="D286" s="715"/>
      <c r="E286" s="715"/>
      <c r="F286" s="715"/>
      <c r="G286" s="715"/>
      <c r="H286" s="715"/>
      <c r="I286" s="715"/>
      <c r="J286" s="715"/>
      <c r="K286" s="715"/>
      <c r="L286" s="715"/>
      <c r="M286" s="715"/>
      <c r="N286" s="715"/>
      <c r="O286" s="716"/>
      <c r="P286" s="712" t="s">
        <v>40</v>
      </c>
      <c r="Q286" s="713"/>
      <c r="R286" s="713"/>
      <c r="S286" s="713"/>
      <c r="T286" s="713"/>
      <c r="U286" s="713"/>
      <c r="V286" s="714"/>
      <c r="W286" s="40" t="s">
        <v>39</v>
      </c>
      <c r="X286" s="41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403.7037037037037</v>
      </c>
      <c r="Y286" s="41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406</v>
      </c>
      <c r="Z286" s="41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3.1169200000000004</v>
      </c>
      <c r="AA286" s="64"/>
      <c r="AB286" s="64"/>
      <c r="AC286" s="64"/>
    </row>
    <row r="287" spans="1:68" x14ac:dyDescent="0.2">
      <c r="A287" s="715"/>
      <c r="B287" s="715"/>
      <c r="C287" s="715"/>
      <c r="D287" s="715"/>
      <c r="E287" s="715"/>
      <c r="F287" s="715"/>
      <c r="G287" s="715"/>
      <c r="H287" s="715"/>
      <c r="I287" s="715"/>
      <c r="J287" s="715"/>
      <c r="K287" s="715"/>
      <c r="L287" s="715"/>
      <c r="M287" s="715"/>
      <c r="N287" s="715"/>
      <c r="O287" s="716"/>
      <c r="P287" s="712" t="s">
        <v>40</v>
      </c>
      <c r="Q287" s="713"/>
      <c r="R287" s="713"/>
      <c r="S287" s="713"/>
      <c r="T287" s="713"/>
      <c r="U287" s="713"/>
      <c r="V287" s="714"/>
      <c r="W287" s="40" t="s">
        <v>0</v>
      </c>
      <c r="X287" s="41">
        <f>IFERROR(SUM(X275:X285),"0")</f>
        <v>1180</v>
      </c>
      <c r="Y287" s="41">
        <f>IFERROR(SUM(Y275:Y285),"0")</f>
        <v>1191</v>
      </c>
      <c r="Z287" s="40"/>
      <c r="AA287" s="64"/>
      <c r="AB287" s="64"/>
      <c r="AC287" s="64"/>
    </row>
    <row r="288" spans="1:68" ht="14.25" hidden="1" customHeight="1" x14ac:dyDescent="0.25">
      <c r="A288" s="707" t="s">
        <v>183</v>
      </c>
      <c r="B288" s="707"/>
      <c r="C288" s="707"/>
      <c r="D288" s="707"/>
      <c r="E288" s="707"/>
      <c r="F288" s="707"/>
      <c r="G288" s="707"/>
      <c r="H288" s="707"/>
      <c r="I288" s="707"/>
      <c r="J288" s="707"/>
      <c r="K288" s="707"/>
      <c r="L288" s="707"/>
      <c r="M288" s="707"/>
      <c r="N288" s="707"/>
      <c r="O288" s="707"/>
      <c r="P288" s="707"/>
      <c r="Q288" s="707"/>
      <c r="R288" s="707"/>
      <c r="S288" s="707"/>
      <c r="T288" s="707"/>
      <c r="U288" s="707"/>
      <c r="V288" s="707"/>
      <c r="W288" s="707"/>
      <c r="X288" s="707"/>
      <c r="Y288" s="707"/>
      <c r="Z288" s="707"/>
      <c r="AA288" s="63"/>
      <c r="AB288" s="63"/>
      <c r="AC288" s="63"/>
    </row>
    <row r="289" spans="1:68" ht="27" customHeight="1" x14ac:dyDescent="0.25">
      <c r="A289" s="60" t="s">
        <v>489</v>
      </c>
      <c r="B289" s="60" t="s">
        <v>490</v>
      </c>
      <c r="C289" s="34">
        <v>4301060463</v>
      </c>
      <c r="D289" s="708">
        <v>4680115880818</v>
      </c>
      <c r="E289" s="70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88</v>
      </c>
      <c r="L289" s="35" t="s">
        <v>46</v>
      </c>
      <c r="M289" s="36" t="s">
        <v>94</v>
      </c>
      <c r="N289" s="36"/>
      <c r="O289" s="35">
        <v>40</v>
      </c>
      <c r="P289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0"/>
      <c r="R289" s="710"/>
      <c r="S289" s="710"/>
      <c r="T289" s="711"/>
      <c r="U289" s="37" t="s">
        <v>46</v>
      </c>
      <c r="V289" s="37" t="s">
        <v>46</v>
      </c>
      <c r="W289" s="38" t="s">
        <v>0</v>
      </c>
      <c r="X289" s="56">
        <v>20</v>
      </c>
      <c r="Y289" s="53">
        <f>IFERROR(IF(X289="",0,CEILING((X289/$H289),1)*$H289),"")</f>
        <v>21.599999999999998</v>
      </c>
      <c r="Z289" s="39">
        <f>IFERROR(IF(Y289=0,"",ROUNDUP(Y289/H289,0)*0.00651),"")</f>
        <v>5.8590000000000003E-2</v>
      </c>
      <c r="AA289" s="65" t="s">
        <v>46</v>
      </c>
      <c r="AB289" s="66" t="s">
        <v>46</v>
      </c>
      <c r="AC289" s="371" t="s">
        <v>491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22.100000000000005</v>
      </c>
      <c r="BN289" s="75">
        <f>IFERROR(Y289*I289/H289,"0")</f>
        <v>23.868000000000002</v>
      </c>
      <c r="BO289" s="75">
        <f>IFERROR(1/J289*(X289/H289),"0")</f>
        <v>4.5787545787545791E-2</v>
      </c>
      <c r="BP289" s="75">
        <f>IFERROR(1/J289*(Y289/H289),"0")</f>
        <v>4.9450549450549455E-2</v>
      </c>
    </row>
    <row r="290" spans="1:68" ht="27" customHeight="1" x14ac:dyDescent="0.25">
      <c r="A290" s="60" t="s">
        <v>492</v>
      </c>
      <c r="B290" s="60" t="s">
        <v>493</v>
      </c>
      <c r="C290" s="34">
        <v>4301060389</v>
      </c>
      <c r="D290" s="708">
        <v>4680115880801</v>
      </c>
      <c r="E290" s="70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88</v>
      </c>
      <c r="L290" s="35" t="s">
        <v>46</v>
      </c>
      <c r="M290" s="36" t="s">
        <v>87</v>
      </c>
      <c r="N290" s="36"/>
      <c r="O290" s="35">
        <v>40</v>
      </c>
      <c r="P290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0"/>
      <c r="R290" s="710"/>
      <c r="S290" s="710"/>
      <c r="T290" s="711"/>
      <c r="U290" s="37" t="s">
        <v>46</v>
      </c>
      <c r="V290" s="37" t="s">
        <v>46</v>
      </c>
      <c r="W290" s="38" t="s">
        <v>0</v>
      </c>
      <c r="X290" s="56">
        <v>40</v>
      </c>
      <c r="Y290" s="53">
        <f>IFERROR(IF(X290="",0,CEILING((X290/$H290),1)*$H290),"")</f>
        <v>40.799999999999997</v>
      </c>
      <c r="Z290" s="39">
        <f>IFERROR(IF(Y290=0,"",ROUNDUP(Y290/H290,0)*0.00651),"")</f>
        <v>0.11067</v>
      </c>
      <c r="AA290" s="65" t="s">
        <v>46</v>
      </c>
      <c r="AB290" s="66" t="s">
        <v>46</v>
      </c>
      <c r="AC290" s="373" t="s">
        <v>494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44.20000000000001</v>
      </c>
      <c r="BN290" s="75">
        <f>IFERROR(Y290*I290/H290,"0")</f>
        <v>45.084000000000003</v>
      </c>
      <c r="BO290" s="75">
        <f>IFERROR(1/J290*(X290/H290),"0")</f>
        <v>9.1575091575091583E-2</v>
      </c>
      <c r="BP290" s="75">
        <f>IFERROR(1/J290*(Y290/H290),"0")</f>
        <v>9.3406593406593408E-2</v>
      </c>
    </row>
    <row r="291" spans="1:68" x14ac:dyDescent="0.2">
      <c r="A291" s="715"/>
      <c r="B291" s="715"/>
      <c r="C291" s="715"/>
      <c r="D291" s="715"/>
      <c r="E291" s="715"/>
      <c r="F291" s="715"/>
      <c r="G291" s="715"/>
      <c r="H291" s="715"/>
      <c r="I291" s="715"/>
      <c r="J291" s="715"/>
      <c r="K291" s="715"/>
      <c r="L291" s="715"/>
      <c r="M291" s="715"/>
      <c r="N291" s="715"/>
      <c r="O291" s="716"/>
      <c r="P291" s="712" t="s">
        <v>40</v>
      </c>
      <c r="Q291" s="713"/>
      <c r="R291" s="713"/>
      <c r="S291" s="713"/>
      <c r="T291" s="713"/>
      <c r="U291" s="713"/>
      <c r="V291" s="714"/>
      <c r="W291" s="40" t="s">
        <v>39</v>
      </c>
      <c r="X291" s="41">
        <f>IFERROR(X289/H289,"0")+IFERROR(X290/H290,"0")</f>
        <v>25</v>
      </c>
      <c r="Y291" s="41">
        <f>IFERROR(Y289/H289,"0")+IFERROR(Y290/H290,"0")</f>
        <v>26</v>
      </c>
      <c r="Z291" s="41">
        <f>IFERROR(IF(Z289="",0,Z289),"0")+IFERROR(IF(Z290="",0,Z290),"0")</f>
        <v>0.16926000000000002</v>
      </c>
      <c r="AA291" s="64"/>
      <c r="AB291" s="64"/>
      <c r="AC291" s="64"/>
    </row>
    <row r="292" spans="1:68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0" t="s">
        <v>0</v>
      </c>
      <c r="X292" s="41">
        <f>IFERROR(SUM(X289:X290),"0")</f>
        <v>60</v>
      </c>
      <c r="Y292" s="41">
        <f>IFERROR(SUM(Y289:Y290),"0")</f>
        <v>62.399999999999991</v>
      </c>
      <c r="Z292" s="40"/>
      <c r="AA292" s="64"/>
      <c r="AB292" s="64"/>
      <c r="AC292" s="64"/>
    </row>
    <row r="293" spans="1:68" ht="16.5" hidden="1" customHeight="1" x14ac:dyDescent="0.25">
      <c r="A293" s="706" t="s">
        <v>495</v>
      </c>
      <c r="B293" s="706"/>
      <c r="C293" s="706"/>
      <c r="D293" s="706"/>
      <c r="E293" s="706"/>
      <c r="F293" s="706"/>
      <c r="G293" s="706"/>
      <c r="H293" s="706"/>
      <c r="I293" s="706"/>
      <c r="J293" s="706"/>
      <c r="K293" s="706"/>
      <c r="L293" s="706"/>
      <c r="M293" s="706"/>
      <c r="N293" s="706"/>
      <c r="O293" s="706"/>
      <c r="P293" s="706"/>
      <c r="Q293" s="706"/>
      <c r="R293" s="706"/>
      <c r="S293" s="706"/>
      <c r="T293" s="706"/>
      <c r="U293" s="706"/>
      <c r="V293" s="706"/>
      <c r="W293" s="706"/>
      <c r="X293" s="706"/>
      <c r="Y293" s="706"/>
      <c r="Z293" s="706"/>
      <c r="AA293" s="62"/>
      <c r="AB293" s="62"/>
      <c r="AC293" s="62"/>
    </row>
    <row r="294" spans="1:68" ht="14.25" hidden="1" customHeight="1" x14ac:dyDescent="0.25">
      <c r="A294" s="707" t="s">
        <v>130</v>
      </c>
      <c r="B294" s="707"/>
      <c r="C294" s="707"/>
      <c r="D294" s="707"/>
      <c r="E294" s="707"/>
      <c r="F294" s="707"/>
      <c r="G294" s="707"/>
      <c r="H294" s="707"/>
      <c r="I294" s="707"/>
      <c r="J294" s="707"/>
      <c r="K294" s="707"/>
      <c r="L294" s="707"/>
      <c r="M294" s="707"/>
      <c r="N294" s="707"/>
      <c r="O294" s="707"/>
      <c r="P294" s="707"/>
      <c r="Q294" s="707"/>
      <c r="R294" s="707"/>
      <c r="S294" s="707"/>
      <c r="T294" s="707"/>
      <c r="U294" s="707"/>
      <c r="V294" s="707"/>
      <c r="W294" s="707"/>
      <c r="X294" s="707"/>
      <c r="Y294" s="707"/>
      <c r="Z294" s="707"/>
      <c r="AA294" s="63"/>
      <c r="AB294" s="63"/>
      <c r="AC294" s="63"/>
    </row>
    <row r="295" spans="1:68" ht="27" hidden="1" customHeight="1" x14ac:dyDescent="0.25">
      <c r="A295" s="60" t="s">
        <v>496</v>
      </c>
      <c r="B295" s="60" t="s">
        <v>497</v>
      </c>
      <c r="C295" s="34">
        <v>4301011826</v>
      </c>
      <c r="D295" s="708">
        <v>4680115884137</v>
      </c>
      <c r="E295" s="708"/>
      <c r="F295" s="59">
        <v>1.45</v>
      </c>
      <c r="G295" s="35">
        <v>8</v>
      </c>
      <c r="H295" s="59">
        <v>11.6</v>
      </c>
      <c r="I295" s="59">
        <v>12.01</v>
      </c>
      <c r="J295" s="35">
        <v>64</v>
      </c>
      <c r="K295" s="35" t="s">
        <v>135</v>
      </c>
      <c r="L295" s="35" t="s">
        <v>46</v>
      </c>
      <c r="M295" s="36" t="s">
        <v>134</v>
      </c>
      <c r="N295" s="36"/>
      <c r="O295" s="35">
        <v>55</v>
      </c>
      <c r="P295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0"/>
      <c r="R295" s="710"/>
      <c r="S295" s="710"/>
      <c r="T295" s="71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ref="Y295:Y301" si="41"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498</v>
      </c>
      <c r="AG295" s="75"/>
      <c r="AJ295" s="79" t="s">
        <v>46</v>
      </c>
      <c r="AK295" s="79">
        <v>0</v>
      </c>
      <c r="BB295" s="376" t="s">
        <v>67</v>
      </c>
      <c r="BM295" s="75">
        <f t="shared" ref="BM295:BM301" si="42">IFERROR(X295*I295/H295,"0")</f>
        <v>0</v>
      </c>
      <c r="BN295" s="75">
        <f t="shared" ref="BN295:BN301" si="43">IFERROR(Y295*I295/H295,"0")</f>
        <v>0</v>
      </c>
      <c r="BO295" s="75">
        <f t="shared" ref="BO295:BO301" si="44">IFERROR(1/J295*(X295/H295),"0")</f>
        <v>0</v>
      </c>
      <c r="BP295" s="75">
        <f t="shared" ref="BP295:BP301" si="45">IFERROR(1/J295*(Y295/H295),"0")</f>
        <v>0</v>
      </c>
    </row>
    <row r="296" spans="1:68" ht="27" hidden="1" customHeight="1" x14ac:dyDescent="0.25">
      <c r="A296" s="60" t="s">
        <v>499</v>
      </c>
      <c r="B296" s="60" t="s">
        <v>500</v>
      </c>
      <c r="C296" s="34">
        <v>4301011724</v>
      </c>
      <c r="D296" s="708">
        <v>4680115884236</v>
      </c>
      <c r="E296" s="708"/>
      <c r="F296" s="59">
        <v>1.45</v>
      </c>
      <c r="G296" s="35">
        <v>8</v>
      </c>
      <c r="H296" s="59">
        <v>11.6</v>
      </c>
      <c r="I296" s="59">
        <v>12.01</v>
      </c>
      <c r="J296" s="35">
        <v>64</v>
      </c>
      <c r="K296" s="35" t="s">
        <v>135</v>
      </c>
      <c r="L296" s="35" t="s">
        <v>46</v>
      </c>
      <c r="M296" s="36" t="s">
        <v>134</v>
      </c>
      <c r="N296" s="36"/>
      <c r="O296" s="35">
        <v>55</v>
      </c>
      <c r="P296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0"/>
      <c r="R296" s="710"/>
      <c r="S296" s="710"/>
      <c r="T296" s="711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501</v>
      </c>
      <c r="AG296" s="75"/>
      <c r="AJ296" s="79" t="s">
        <v>46</v>
      </c>
      <c r="AK296" s="79">
        <v>0</v>
      </c>
      <c r="BB296" s="378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502</v>
      </c>
      <c r="B297" s="60" t="s">
        <v>503</v>
      </c>
      <c r="C297" s="34">
        <v>4301011721</v>
      </c>
      <c r="D297" s="708">
        <v>4680115884175</v>
      </c>
      <c r="E297" s="708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135</v>
      </c>
      <c r="L297" s="35" t="s">
        <v>46</v>
      </c>
      <c r="M297" s="36" t="s">
        <v>134</v>
      </c>
      <c r="N297" s="36"/>
      <c r="O297" s="35">
        <v>55</v>
      </c>
      <c r="P297" s="8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0"/>
      <c r="R297" s="710"/>
      <c r="S297" s="710"/>
      <c r="T297" s="711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79" t="s">
        <v>361</v>
      </c>
      <c r="AG297" s="75"/>
      <c r="AJ297" s="79" t="s">
        <v>46</v>
      </c>
      <c r="AK297" s="79">
        <v>0</v>
      </c>
      <c r="BB297" s="380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t="27" hidden="1" customHeight="1" x14ac:dyDescent="0.25">
      <c r="A298" s="60" t="s">
        <v>504</v>
      </c>
      <c r="B298" s="60" t="s">
        <v>505</v>
      </c>
      <c r="C298" s="34">
        <v>4301011824</v>
      </c>
      <c r="D298" s="708">
        <v>4680115884144</v>
      </c>
      <c r="E298" s="708"/>
      <c r="F298" s="59">
        <v>0.4</v>
      </c>
      <c r="G298" s="35">
        <v>10</v>
      </c>
      <c r="H298" s="59">
        <v>4</v>
      </c>
      <c r="I298" s="59">
        <v>4.1900000000000004</v>
      </c>
      <c r="J298" s="35">
        <v>132</v>
      </c>
      <c r="K298" s="35" t="s">
        <v>142</v>
      </c>
      <c r="L298" s="35" t="s">
        <v>46</v>
      </c>
      <c r="M298" s="36" t="s">
        <v>134</v>
      </c>
      <c r="N298" s="36"/>
      <c r="O298" s="35">
        <v>55</v>
      </c>
      <c r="P298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0"/>
      <c r="R298" s="710"/>
      <c r="S298" s="710"/>
      <c r="T298" s="71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1"/>
        <v>0</v>
      </c>
      <c r="Z298" s="39" t="str">
        <f>IFERROR(IF(Y298=0,"",ROUNDUP(Y298/H298,0)*0.00902),"")</f>
        <v/>
      </c>
      <c r="AA298" s="65" t="s">
        <v>46</v>
      </c>
      <c r="AB298" s="66" t="s">
        <v>46</v>
      </c>
      <c r="AC298" s="381" t="s">
        <v>498</v>
      </c>
      <c r="AG298" s="75"/>
      <c r="AJ298" s="79" t="s">
        <v>46</v>
      </c>
      <c r="AK298" s="79">
        <v>0</v>
      </c>
      <c r="BB298" s="382" t="s">
        <v>67</v>
      </c>
      <c r="BM298" s="75">
        <f t="shared" si="42"/>
        <v>0</v>
      </c>
      <c r="BN298" s="75">
        <f t="shared" si="43"/>
        <v>0</v>
      </c>
      <c r="BO298" s="75">
        <f t="shared" si="44"/>
        <v>0</v>
      </c>
      <c r="BP298" s="75">
        <f t="shared" si="45"/>
        <v>0</v>
      </c>
    </row>
    <row r="299" spans="1:68" ht="27" hidden="1" customHeight="1" x14ac:dyDescent="0.25">
      <c r="A299" s="60" t="s">
        <v>506</v>
      </c>
      <c r="B299" s="60" t="s">
        <v>507</v>
      </c>
      <c r="C299" s="34">
        <v>4301012149</v>
      </c>
      <c r="D299" s="708">
        <v>4680115886551</v>
      </c>
      <c r="E299" s="708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142</v>
      </c>
      <c r="L299" s="35" t="s">
        <v>46</v>
      </c>
      <c r="M299" s="36" t="s">
        <v>134</v>
      </c>
      <c r="N299" s="36"/>
      <c r="O299" s="35">
        <v>55</v>
      </c>
      <c r="P299" s="8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0"/>
      <c r="R299" s="710"/>
      <c r="S299" s="710"/>
      <c r="T299" s="711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1"/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508</v>
      </c>
      <c r="AG299" s="75"/>
      <c r="AJ299" s="79" t="s">
        <v>46</v>
      </c>
      <c r="AK299" s="79">
        <v>0</v>
      </c>
      <c r="BB299" s="384" t="s">
        <v>67</v>
      </c>
      <c r="BM299" s="75">
        <f t="shared" si="42"/>
        <v>0</v>
      </c>
      <c r="BN299" s="75">
        <f t="shared" si="43"/>
        <v>0</v>
      </c>
      <c r="BO299" s="75">
        <f t="shared" si="44"/>
        <v>0</v>
      </c>
      <c r="BP299" s="75">
        <f t="shared" si="45"/>
        <v>0</v>
      </c>
    </row>
    <row r="300" spans="1:68" ht="27" hidden="1" customHeight="1" x14ac:dyDescent="0.25">
      <c r="A300" s="60" t="s">
        <v>509</v>
      </c>
      <c r="B300" s="60" t="s">
        <v>510</v>
      </c>
      <c r="C300" s="34">
        <v>4301012228</v>
      </c>
      <c r="D300" s="708">
        <v>4680115887282</v>
      </c>
      <c r="E300" s="708"/>
      <c r="F300" s="59">
        <v>0.4</v>
      </c>
      <c r="G300" s="35">
        <v>6</v>
      </c>
      <c r="H300" s="59">
        <v>2.4</v>
      </c>
      <c r="I300" s="59">
        <v>2.58</v>
      </c>
      <c r="J300" s="35">
        <v>182</v>
      </c>
      <c r="K300" s="35" t="s">
        <v>88</v>
      </c>
      <c r="L300" s="35" t="s">
        <v>46</v>
      </c>
      <c r="M300" s="36" t="s">
        <v>134</v>
      </c>
      <c r="N300" s="36"/>
      <c r="O300" s="35">
        <v>55</v>
      </c>
      <c r="P300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0"/>
      <c r="R300" s="710"/>
      <c r="S300" s="710"/>
      <c r="T300" s="711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1"/>
        <v>0</v>
      </c>
      <c r="Z300" s="39" t="str">
        <f>IFERROR(IF(Y300=0,"",ROUNDUP(Y300/H300,0)*0.00651),"")</f>
        <v/>
      </c>
      <c r="AA300" s="65" t="s">
        <v>46</v>
      </c>
      <c r="AB300" s="66" t="s">
        <v>46</v>
      </c>
      <c r="AC300" s="385" t="s">
        <v>511</v>
      </c>
      <c r="AG300" s="75"/>
      <c r="AJ300" s="79" t="s">
        <v>46</v>
      </c>
      <c r="AK300" s="79">
        <v>0</v>
      </c>
      <c r="BB300" s="386" t="s">
        <v>67</v>
      </c>
      <c r="BM300" s="75">
        <f t="shared" si="42"/>
        <v>0</v>
      </c>
      <c r="BN300" s="75">
        <f t="shared" si="43"/>
        <v>0</v>
      </c>
      <c r="BO300" s="75">
        <f t="shared" si="44"/>
        <v>0</v>
      </c>
      <c r="BP300" s="75">
        <f t="shared" si="45"/>
        <v>0</v>
      </c>
    </row>
    <row r="301" spans="1:68" ht="27" customHeight="1" x14ac:dyDescent="0.25">
      <c r="A301" s="60" t="s">
        <v>512</v>
      </c>
      <c r="B301" s="60" t="s">
        <v>513</v>
      </c>
      <c r="C301" s="34">
        <v>4301011722</v>
      </c>
      <c r="D301" s="708">
        <v>4680115884205</v>
      </c>
      <c r="E301" s="708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142</v>
      </c>
      <c r="L301" s="35" t="s">
        <v>46</v>
      </c>
      <c r="M301" s="36" t="s">
        <v>134</v>
      </c>
      <c r="N301" s="36"/>
      <c r="O301" s="35">
        <v>55</v>
      </c>
      <c r="P301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0"/>
      <c r="R301" s="710"/>
      <c r="S301" s="710"/>
      <c r="T301" s="711"/>
      <c r="U301" s="37" t="s">
        <v>46</v>
      </c>
      <c r="V301" s="37" t="s">
        <v>46</v>
      </c>
      <c r="W301" s="38" t="s">
        <v>0</v>
      </c>
      <c r="X301" s="56">
        <v>28</v>
      </c>
      <c r="Y301" s="53">
        <f t="shared" si="41"/>
        <v>28</v>
      </c>
      <c r="Z301" s="39">
        <f>IFERROR(IF(Y301=0,"",ROUNDUP(Y301/H301,0)*0.00902),"")</f>
        <v>6.3140000000000002E-2</v>
      </c>
      <c r="AA301" s="65" t="s">
        <v>46</v>
      </c>
      <c r="AB301" s="66" t="s">
        <v>46</v>
      </c>
      <c r="AC301" s="387" t="s">
        <v>361</v>
      </c>
      <c r="AG301" s="75"/>
      <c r="AJ301" s="79" t="s">
        <v>46</v>
      </c>
      <c r="AK301" s="79">
        <v>0</v>
      </c>
      <c r="BB301" s="388" t="s">
        <v>67</v>
      </c>
      <c r="BM301" s="75">
        <f t="shared" si="42"/>
        <v>29.330000000000002</v>
      </c>
      <c r="BN301" s="75">
        <f t="shared" si="43"/>
        <v>29.330000000000002</v>
      </c>
      <c r="BO301" s="75">
        <f t="shared" si="44"/>
        <v>5.3030303030303032E-2</v>
      </c>
      <c r="BP301" s="75">
        <f t="shared" si="45"/>
        <v>5.3030303030303032E-2</v>
      </c>
    </row>
    <row r="302" spans="1:68" x14ac:dyDescent="0.2">
      <c r="A302" s="715"/>
      <c r="B302" s="715"/>
      <c r="C302" s="715"/>
      <c r="D302" s="715"/>
      <c r="E302" s="715"/>
      <c r="F302" s="715"/>
      <c r="G302" s="715"/>
      <c r="H302" s="715"/>
      <c r="I302" s="715"/>
      <c r="J302" s="715"/>
      <c r="K302" s="715"/>
      <c r="L302" s="715"/>
      <c r="M302" s="715"/>
      <c r="N302" s="715"/>
      <c r="O302" s="716"/>
      <c r="P302" s="712" t="s">
        <v>40</v>
      </c>
      <c r="Q302" s="713"/>
      <c r="R302" s="713"/>
      <c r="S302" s="713"/>
      <c r="T302" s="713"/>
      <c r="U302" s="713"/>
      <c r="V302" s="714"/>
      <c r="W302" s="40" t="s">
        <v>39</v>
      </c>
      <c r="X302" s="41">
        <f>IFERROR(X295/H295,"0")+IFERROR(X296/H296,"0")+IFERROR(X297/H297,"0")+IFERROR(X298/H298,"0")+IFERROR(X299/H299,"0")+IFERROR(X300/H300,"0")+IFERROR(X301/H301,"0")</f>
        <v>7</v>
      </c>
      <c r="Y302" s="41">
        <f>IFERROR(Y295/H295,"0")+IFERROR(Y296/H296,"0")+IFERROR(Y297/H297,"0")+IFERROR(Y298/H298,"0")+IFERROR(Y299/H299,"0")+IFERROR(Y300/H300,"0")+IFERROR(Y301/H301,"0")</f>
        <v>7</v>
      </c>
      <c r="Z302" s="41">
        <f>IFERROR(IF(Z295="",0,Z295),"0")+IFERROR(IF(Z296="",0,Z296),"0")+IFERROR(IF(Z297="",0,Z297),"0")+IFERROR(IF(Z298="",0,Z298),"0")+IFERROR(IF(Z299="",0,Z299),"0")+IFERROR(IF(Z300="",0,Z300),"0")+IFERROR(IF(Z301="",0,Z301),"0")</f>
        <v>6.3140000000000002E-2</v>
      </c>
      <c r="AA302" s="64"/>
      <c r="AB302" s="64"/>
      <c r="AC302" s="64"/>
    </row>
    <row r="303" spans="1:68" x14ac:dyDescent="0.2">
      <c r="A303" s="715"/>
      <c r="B303" s="715"/>
      <c r="C303" s="715"/>
      <c r="D303" s="715"/>
      <c r="E303" s="715"/>
      <c r="F303" s="715"/>
      <c r="G303" s="715"/>
      <c r="H303" s="715"/>
      <c r="I303" s="715"/>
      <c r="J303" s="715"/>
      <c r="K303" s="715"/>
      <c r="L303" s="715"/>
      <c r="M303" s="715"/>
      <c r="N303" s="715"/>
      <c r="O303" s="716"/>
      <c r="P303" s="712" t="s">
        <v>40</v>
      </c>
      <c r="Q303" s="713"/>
      <c r="R303" s="713"/>
      <c r="S303" s="713"/>
      <c r="T303" s="713"/>
      <c r="U303" s="713"/>
      <c r="V303" s="714"/>
      <c r="W303" s="40" t="s">
        <v>0</v>
      </c>
      <c r="X303" s="41">
        <f>IFERROR(SUM(X295:X301),"0")</f>
        <v>28</v>
      </c>
      <c r="Y303" s="41">
        <f>IFERROR(SUM(Y295:Y301),"0")</f>
        <v>28</v>
      </c>
      <c r="Z303" s="40"/>
      <c r="AA303" s="64"/>
      <c r="AB303" s="64"/>
      <c r="AC303" s="64"/>
    </row>
    <row r="304" spans="1:68" ht="14.25" hidden="1" customHeight="1" x14ac:dyDescent="0.25">
      <c r="A304" s="707" t="s">
        <v>165</v>
      </c>
      <c r="B304" s="707"/>
      <c r="C304" s="707"/>
      <c r="D304" s="707"/>
      <c r="E304" s="707"/>
      <c r="F304" s="707"/>
      <c r="G304" s="707"/>
      <c r="H304" s="707"/>
      <c r="I304" s="707"/>
      <c r="J304" s="707"/>
      <c r="K304" s="707"/>
      <c r="L304" s="707"/>
      <c r="M304" s="707"/>
      <c r="N304" s="707"/>
      <c r="O304" s="707"/>
      <c r="P304" s="707"/>
      <c r="Q304" s="707"/>
      <c r="R304" s="707"/>
      <c r="S304" s="707"/>
      <c r="T304" s="707"/>
      <c r="U304" s="707"/>
      <c r="V304" s="707"/>
      <c r="W304" s="707"/>
      <c r="X304" s="707"/>
      <c r="Y304" s="707"/>
      <c r="Z304" s="707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4301020377</v>
      </c>
      <c r="D305" s="708">
        <v>4680115885981</v>
      </c>
      <c r="E305" s="708"/>
      <c r="F305" s="59">
        <v>0.33</v>
      </c>
      <c r="G305" s="35">
        <v>6</v>
      </c>
      <c r="H305" s="59">
        <v>1.98</v>
      </c>
      <c r="I305" s="59">
        <v>2.08</v>
      </c>
      <c r="J305" s="35">
        <v>234</v>
      </c>
      <c r="K305" s="35" t="s">
        <v>82</v>
      </c>
      <c r="L305" s="35" t="s">
        <v>46</v>
      </c>
      <c r="M305" s="36" t="s">
        <v>87</v>
      </c>
      <c r="N305" s="36"/>
      <c r="O305" s="35">
        <v>50</v>
      </c>
      <c r="P305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0"/>
      <c r="R305" s="710"/>
      <c r="S305" s="710"/>
      <c r="T305" s="711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IFERROR(IF(Y305=0,"",ROUNDUP(Y305/H305,0)*0.00502),"")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15"/>
      <c r="B306" s="715"/>
      <c r="C306" s="715"/>
      <c r="D306" s="715"/>
      <c r="E306" s="715"/>
      <c r="F306" s="715"/>
      <c r="G306" s="715"/>
      <c r="H306" s="715"/>
      <c r="I306" s="715"/>
      <c r="J306" s="715"/>
      <c r="K306" s="715"/>
      <c r="L306" s="715"/>
      <c r="M306" s="715"/>
      <c r="N306" s="715"/>
      <c r="O306" s="716"/>
      <c r="P306" s="712" t="s">
        <v>40</v>
      </c>
      <c r="Q306" s="713"/>
      <c r="R306" s="713"/>
      <c r="S306" s="713"/>
      <c r="T306" s="713"/>
      <c r="U306" s="713"/>
      <c r="V306" s="714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15"/>
      <c r="B307" s="715"/>
      <c r="C307" s="715"/>
      <c r="D307" s="715"/>
      <c r="E307" s="715"/>
      <c r="F307" s="715"/>
      <c r="G307" s="715"/>
      <c r="H307" s="715"/>
      <c r="I307" s="715"/>
      <c r="J307" s="715"/>
      <c r="K307" s="715"/>
      <c r="L307" s="715"/>
      <c r="M307" s="715"/>
      <c r="N307" s="715"/>
      <c r="O307" s="716"/>
      <c r="P307" s="712" t="s">
        <v>40</v>
      </c>
      <c r="Q307" s="713"/>
      <c r="R307" s="713"/>
      <c r="S307" s="713"/>
      <c r="T307" s="713"/>
      <c r="U307" s="713"/>
      <c r="V307" s="714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707" t="s">
        <v>517</v>
      </c>
      <c r="B308" s="707"/>
      <c r="C308" s="707"/>
      <c r="D308" s="707"/>
      <c r="E308" s="707"/>
      <c r="F308" s="707"/>
      <c r="G308" s="707"/>
      <c r="H308" s="707"/>
      <c r="I308" s="707"/>
      <c r="J308" s="707"/>
      <c r="K308" s="707"/>
      <c r="L308" s="707"/>
      <c r="M308" s="707"/>
      <c r="N308" s="707"/>
      <c r="O308" s="707"/>
      <c r="P308" s="707"/>
      <c r="Q308" s="707"/>
      <c r="R308" s="707"/>
      <c r="S308" s="707"/>
      <c r="T308" s="707"/>
      <c r="U308" s="707"/>
      <c r="V308" s="707"/>
      <c r="W308" s="707"/>
      <c r="X308" s="707"/>
      <c r="Y308" s="707"/>
      <c r="Z308" s="707"/>
      <c r="AA308" s="63"/>
      <c r="AB308" s="63"/>
      <c r="AC308" s="63"/>
    </row>
    <row r="309" spans="1:68" ht="27" hidden="1" customHeight="1" x14ac:dyDescent="0.25">
      <c r="A309" s="60" t="s">
        <v>518</v>
      </c>
      <c r="B309" s="60" t="s">
        <v>519</v>
      </c>
      <c r="C309" s="34">
        <v>4301040362</v>
      </c>
      <c r="D309" s="708">
        <v>4680115886803</v>
      </c>
      <c r="E309" s="708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338</v>
      </c>
      <c r="L309" s="35" t="s">
        <v>46</v>
      </c>
      <c r="M309" s="36" t="s">
        <v>107</v>
      </c>
      <c r="N309" s="36"/>
      <c r="O309" s="35">
        <v>45</v>
      </c>
      <c r="P309" s="8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0"/>
      <c r="R309" s="710"/>
      <c r="S309" s="710"/>
      <c r="T309" s="71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520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5"/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6"/>
      <c r="P310" s="712" t="s">
        <v>40</v>
      </c>
      <c r="Q310" s="713"/>
      <c r="R310" s="713"/>
      <c r="S310" s="713"/>
      <c r="T310" s="713"/>
      <c r="U310" s="713"/>
      <c r="V310" s="714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5"/>
      <c r="B311" s="715"/>
      <c r="C311" s="715"/>
      <c r="D311" s="715"/>
      <c r="E311" s="715"/>
      <c r="F311" s="715"/>
      <c r="G311" s="715"/>
      <c r="H311" s="715"/>
      <c r="I311" s="715"/>
      <c r="J311" s="715"/>
      <c r="K311" s="715"/>
      <c r="L311" s="715"/>
      <c r="M311" s="715"/>
      <c r="N311" s="715"/>
      <c r="O311" s="716"/>
      <c r="P311" s="712" t="s">
        <v>40</v>
      </c>
      <c r="Q311" s="713"/>
      <c r="R311" s="713"/>
      <c r="S311" s="713"/>
      <c r="T311" s="713"/>
      <c r="U311" s="713"/>
      <c r="V311" s="714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7" t="s">
        <v>339</v>
      </c>
      <c r="B312" s="707"/>
      <c r="C312" s="707"/>
      <c r="D312" s="707"/>
      <c r="E312" s="707"/>
      <c r="F312" s="707"/>
      <c r="G312" s="707"/>
      <c r="H312" s="707"/>
      <c r="I312" s="707"/>
      <c r="J312" s="707"/>
      <c r="K312" s="707"/>
      <c r="L312" s="707"/>
      <c r="M312" s="707"/>
      <c r="N312" s="707"/>
      <c r="O312" s="707"/>
      <c r="P312" s="707"/>
      <c r="Q312" s="707"/>
      <c r="R312" s="707"/>
      <c r="S312" s="707"/>
      <c r="T312" s="707"/>
      <c r="U312" s="707"/>
      <c r="V312" s="707"/>
      <c r="W312" s="707"/>
      <c r="X312" s="707"/>
      <c r="Y312" s="707"/>
      <c r="Z312" s="707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4301041008</v>
      </c>
      <c r="D313" s="708">
        <v>4680115886681</v>
      </c>
      <c r="E313" s="708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338</v>
      </c>
      <c r="L313" s="35" t="s">
        <v>46</v>
      </c>
      <c r="M313" s="36" t="s">
        <v>107</v>
      </c>
      <c r="N313" s="36"/>
      <c r="O313" s="35">
        <v>90</v>
      </c>
      <c r="P313" s="8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0"/>
      <c r="R313" s="710"/>
      <c r="S313" s="710"/>
      <c r="T313" s="71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393" t="s">
        <v>523</v>
      </c>
      <c r="AG313" s="75"/>
      <c r="AJ313" s="79" t="s">
        <v>46</v>
      </c>
      <c r="AK313" s="79">
        <v>0</v>
      </c>
      <c r="BB313" s="394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524</v>
      </c>
      <c r="B314" s="60" t="s">
        <v>525</v>
      </c>
      <c r="C314" s="34">
        <v>4301041007</v>
      </c>
      <c r="D314" s="708">
        <v>4680115886735</v>
      </c>
      <c r="E314" s="708"/>
      <c r="F314" s="59">
        <v>0.05</v>
      </c>
      <c r="G314" s="35">
        <v>18</v>
      </c>
      <c r="H314" s="59">
        <v>0.9</v>
      </c>
      <c r="I314" s="59">
        <v>1.0900000000000001</v>
      </c>
      <c r="J314" s="35">
        <v>216</v>
      </c>
      <c r="K314" s="35" t="s">
        <v>338</v>
      </c>
      <c r="L314" s="35" t="s">
        <v>46</v>
      </c>
      <c r="M314" s="36" t="s">
        <v>107</v>
      </c>
      <c r="N314" s="36"/>
      <c r="O314" s="35">
        <v>90</v>
      </c>
      <c r="P314" s="8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0"/>
      <c r="R314" s="710"/>
      <c r="S314" s="710"/>
      <c r="T314" s="71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IFERROR(IF(Y314=0,"",ROUNDUP(Y314/H314,0)*0.0059),"")</f>
        <v/>
      </c>
      <c r="AA314" s="65" t="s">
        <v>46</v>
      </c>
      <c r="AB314" s="66" t="s">
        <v>46</v>
      </c>
      <c r="AC314" s="395" t="s">
        <v>523</v>
      </c>
      <c r="AG314" s="75"/>
      <c r="AJ314" s="79" t="s">
        <v>46</v>
      </c>
      <c r="AK314" s="79">
        <v>0</v>
      </c>
      <c r="BB314" s="396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4301041006</v>
      </c>
      <c r="D315" s="708">
        <v>4680115886728</v>
      </c>
      <c r="E315" s="708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338</v>
      </c>
      <c r="L315" s="35" t="s">
        <v>46</v>
      </c>
      <c r="M315" s="36" t="s">
        <v>107</v>
      </c>
      <c r="N315" s="36"/>
      <c r="O315" s="35">
        <v>90</v>
      </c>
      <c r="P315" s="8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0"/>
      <c r="R315" s="710"/>
      <c r="S315" s="710"/>
      <c r="T315" s="71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397" t="s">
        <v>523</v>
      </c>
      <c r="AG315" s="75"/>
      <c r="AJ315" s="79" t="s">
        <v>46</v>
      </c>
      <c r="AK315" s="79">
        <v>0</v>
      </c>
      <c r="BB315" s="398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528</v>
      </c>
      <c r="B316" s="60" t="s">
        <v>529</v>
      </c>
      <c r="C316" s="34">
        <v>4301041005</v>
      </c>
      <c r="D316" s="708">
        <v>4680115886711</v>
      </c>
      <c r="E316" s="708"/>
      <c r="F316" s="59">
        <v>5.5E-2</v>
      </c>
      <c r="G316" s="35">
        <v>18</v>
      </c>
      <c r="H316" s="59">
        <v>0.99</v>
      </c>
      <c r="I316" s="59">
        <v>1.18</v>
      </c>
      <c r="J316" s="35">
        <v>216</v>
      </c>
      <c r="K316" s="35" t="s">
        <v>338</v>
      </c>
      <c r="L316" s="35" t="s">
        <v>46</v>
      </c>
      <c r="M316" s="36" t="s">
        <v>107</v>
      </c>
      <c r="N316" s="36"/>
      <c r="O316" s="35">
        <v>90</v>
      </c>
      <c r="P316" s="8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0"/>
      <c r="R316" s="710"/>
      <c r="S316" s="710"/>
      <c r="T316" s="711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399" t="s">
        <v>523</v>
      </c>
      <c r="AG316" s="75"/>
      <c r="AJ316" s="79" t="s">
        <v>46</v>
      </c>
      <c r="AK316" s="79">
        <v>0</v>
      </c>
      <c r="BB316" s="400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0" t="s">
        <v>39</v>
      </c>
      <c r="X317" s="41">
        <f>IFERROR(X313/H313,"0")+IFERROR(X314/H314,"0")+IFERROR(X315/H315,"0")+IFERROR(X316/H316,"0")</f>
        <v>0</v>
      </c>
      <c r="Y317" s="41">
        <f>IFERROR(Y313/H313,"0")+IFERROR(Y314/H314,"0")+IFERROR(Y315/H315,"0")+IFERROR(Y316/H316,"0")</f>
        <v>0</v>
      </c>
      <c r="Z317" s="41">
        <f>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715"/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6"/>
      <c r="P318" s="712" t="s">
        <v>40</v>
      </c>
      <c r="Q318" s="713"/>
      <c r="R318" s="713"/>
      <c r="S318" s="713"/>
      <c r="T318" s="713"/>
      <c r="U318" s="713"/>
      <c r="V318" s="714"/>
      <c r="W318" s="40" t="s">
        <v>0</v>
      </c>
      <c r="X318" s="41">
        <f>IFERROR(SUM(X313:X316),"0")</f>
        <v>0</v>
      </c>
      <c r="Y318" s="41">
        <f>IFERROR(SUM(Y313:Y316),"0")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06" t="s">
        <v>530</v>
      </c>
      <c r="B319" s="706"/>
      <c r="C319" s="706"/>
      <c r="D319" s="706"/>
      <c r="E319" s="706"/>
      <c r="F319" s="706"/>
      <c r="G319" s="706"/>
      <c r="H319" s="706"/>
      <c r="I319" s="706"/>
      <c r="J319" s="706"/>
      <c r="K319" s="706"/>
      <c r="L319" s="706"/>
      <c r="M319" s="706"/>
      <c r="N319" s="706"/>
      <c r="O319" s="706"/>
      <c r="P319" s="706"/>
      <c r="Q319" s="706"/>
      <c r="R319" s="706"/>
      <c r="S319" s="706"/>
      <c r="T319" s="706"/>
      <c r="U319" s="706"/>
      <c r="V319" s="706"/>
      <c r="W319" s="706"/>
      <c r="X319" s="706"/>
      <c r="Y319" s="706"/>
      <c r="Z319" s="706"/>
      <c r="AA319" s="62"/>
      <c r="AB319" s="62"/>
      <c r="AC319" s="62"/>
    </row>
    <row r="320" spans="1:68" ht="14.25" hidden="1" customHeight="1" x14ac:dyDescent="0.25">
      <c r="A320" s="707" t="s">
        <v>130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3"/>
      <c r="AB320" s="63"/>
      <c r="AC320" s="63"/>
    </row>
    <row r="321" spans="1:68" ht="27" hidden="1" customHeight="1" x14ac:dyDescent="0.25">
      <c r="A321" s="60" t="s">
        <v>531</v>
      </c>
      <c r="B321" s="60" t="s">
        <v>532</v>
      </c>
      <c r="C321" s="34">
        <v>4301011855</v>
      </c>
      <c r="D321" s="708">
        <v>4680115885837</v>
      </c>
      <c r="E321" s="708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135</v>
      </c>
      <c r="L321" s="35" t="s">
        <v>46</v>
      </c>
      <c r="M321" s="36" t="s">
        <v>134</v>
      </c>
      <c r="N321" s="36"/>
      <c r="O321" s="35">
        <v>55</v>
      </c>
      <c r="P321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0"/>
      <c r="R321" s="710"/>
      <c r="S321" s="710"/>
      <c r="T321" s="711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7" si="46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46</v>
      </c>
      <c r="AC321" s="401" t="s">
        <v>533</v>
      </c>
      <c r="AG321" s="75"/>
      <c r="AJ321" s="79" t="s">
        <v>46</v>
      </c>
      <c r="AK321" s="79">
        <v>0</v>
      </c>
      <c r="BB321" s="402" t="s">
        <v>67</v>
      </c>
      <c r="BM321" s="75">
        <f t="shared" ref="BM321:BM327" si="47">IFERROR(X321*I321/H321,"0")</f>
        <v>0</v>
      </c>
      <c r="BN321" s="75">
        <f t="shared" ref="BN321:BN327" si="48">IFERROR(Y321*I321/H321,"0")</f>
        <v>0</v>
      </c>
      <c r="BO321" s="75">
        <f t="shared" ref="BO321:BO327" si="49">IFERROR(1/J321*(X321/H321),"0")</f>
        <v>0</v>
      </c>
      <c r="BP321" s="75">
        <f t="shared" ref="BP321:BP327" si="50">IFERROR(1/J321*(Y321/H321),"0")</f>
        <v>0</v>
      </c>
    </row>
    <row r="322" spans="1:68" ht="27" hidden="1" customHeight="1" x14ac:dyDescent="0.25">
      <c r="A322" s="60" t="s">
        <v>534</v>
      </c>
      <c r="B322" s="60" t="s">
        <v>535</v>
      </c>
      <c r="C322" s="34">
        <v>4301012212</v>
      </c>
      <c r="D322" s="708">
        <v>4680115887077</v>
      </c>
      <c r="E322" s="708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135</v>
      </c>
      <c r="L322" s="35" t="s">
        <v>46</v>
      </c>
      <c r="M322" s="36" t="s">
        <v>134</v>
      </c>
      <c r="N322" s="36"/>
      <c r="O322" s="35">
        <v>55</v>
      </c>
      <c r="P322" s="877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0"/>
      <c r="R322" s="710"/>
      <c r="S322" s="710"/>
      <c r="T322" s="711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46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3" t="s">
        <v>536</v>
      </c>
      <c r="AG322" s="75"/>
      <c r="AJ322" s="79" t="s">
        <v>46</v>
      </c>
      <c r="AK322" s="79">
        <v>0</v>
      </c>
      <c r="BB322" s="404" t="s">
        <v>67</v>
      </c>
      <c r="BM322" s="75">
        <f t="shared" si="47"/>
        <v>0</v>
      </c>
      <c r="BN322" s="75">
        <f t="shared" si="48"/>
        <v>0</v>
      </c>
      <c r="BO322" s="75">
        <f t="shared" si="49"/>
        <v>0</v>
      </c>
      <c r="BP322" s="75">
        <f t="shared" si="50"/>
        <v>0</v>
      </c>
    </row>
    <row r="323" spans="1:68" ht="27" hidden="1" customHeight="1" x14ac:dyDescent="0.25">
      <c r="A323" s="60" t="s">
        <v>537</v>
      </c>
      <c r="B323" s="60" t="s">
        <v>538</v>
      </c>
      <c r="C323" s="34">
        <v>4301012390</v>
      </c>
      <c r="D323" s="708">
        <v>4680115889637</v>
      </c>
      <c r="E323" s="708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135</v>
      </c>
      <c r="L323" s="35" t="s">
        <v>46</v>
      </c>
      <c r="M323" s="36" t="s">
        <v>134</v>
      </c>
      <c r="N323" s="36"/>
      <c r="O323" s="35">
        <v>55</v>
      </c>
      <c r="P323" s="8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0"/>
      <c r="R323" s="710"/>
      <c r="S323" s="710"/>
      <c r="T323" s="711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46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5" t="s">
        <v>539</v>
      </c>
      <c r="AG323" s="75"/>
      <c r="AJ323" s="79" t="s">
        <v>46</v>
      </c>
      <c r="AK323" s="79">
        <v>0</v>
      </c>
      <c r="BB323" s="406" t="s">
        <v>67</v>
      </c>
      <c r="BM323" s="75">
        <f t="shared" si="47"/>
        <v>0</v>
      </c>
      <c r="BN323" s="75">
        <f t="shared" si="48"/>
        <v>0</v>
      </c>
      <c r="BO323" s="75">
        <f t="shared" si="49"/>
        <v>0</v>
      </c>
      <c r="BP323" s="75">
        <f t="shared" si="50"/>
        <v>0</v>
      </c>
    </row>
    <row r="324" spans="1:68" ht="37.5" hidden="1" customHeight="1" x14ac:dyDescent="0.25">
      <c r="A324" s="60" t="s">
        <v>540</v>
      </c>
      <c r="B324" s="60" t="s">
        <v>541</v>
      </c>
      <c r="C324" s="34">
        <v>4301012234</v>
      </c>
      <c r="D324" s="708">
        <v>4680115887237</v>
      </c>
      <c r="E324" s="708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135</v>
      </c>
      <c r="L324" s="35" t="s">
        <v>46</v>
      </c>
      <c r="M324" s="36" t="s">
        <v>134</v>
      </c>
      <c r="N324" s="36"/>
      <c r="O324" s="35">
        <v>55</v>
      </c>
      <c r="P324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0"/>
      <c r="R324" s="710"/>
      <c r="S324" s="710"/>
      <c r="T324" s="711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46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7" t="s">
        <v>542</v>
      </c>
      <c r="AG324" s="75"/>
      <c r="AJ324" s="79" t="s">
        <v>46</v>
      </c>
      <c r="AK324" s="79">
        <v>0</v>
      </c>
      <c r="BB324" s="408" t="s">
        <v>67</v>
      </c>
      <c r="BM324" s="75">
        <f t="shared" si="47"/>
        <v>0</v>
      </c>
      <c r="BN324" s="75">
        <f t="shared" si="48"/>
        <v>0</v>
      </c>
      <c r="BO324" s="75">
        <f t="shared" si="49"/>
        <v>0</v>
      </c>
      <c r="BP324" s="75">
        <f t="shared" si="50"/>
        <v>0</v>
      </c>
    </row>
    <row r="325" spans="1:68" ht="27" hidden="1" customHeight="1" x14ac:dyDescent="0.25">
      <c r="A325" s="60" t="s">
        <v>543</v>
      </c>
      <c r="B325" s="60" t="s">
        <v>544</v>
      </c>
      <c r="C325" s="34">
        <v>4301011850</v>
      </c>
      <c r="D325" s="708">
        <v>4680115885806</v>
      </c>
      <c r="E325" s="708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135</v>
      </c>
      <c r="L325" s="35" t="s">
        <v>46</v>
      </c>
      <c r="M325" s="36" t="s">
        <v>134</v>
      </c>
      <c r="N325" s="36"/>
      <c r="O325" s="35">
        <v>55</v>
      </c>
      <c r="P325" s="8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0"/>
      <c r="R325" s="710"/>
      <c r="S325" s="710"/>
      <c r="T325" s="711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46"/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9" t="s">
        <v>545</v>
      </c>
      <c r="AG325" s="75"/>
      <c r="AJ325" s="79" t="s">
        <v>46</v>
      </c>
      <c r="AK325" s="79">
        <v>0</v>
      </c>
      <c r="BB325" s="410" t="s">
        <v>67</v>
      </c>
      <c r="BM325" s="75">
        <f t="shared" si="47"/>
        <v>0</v>
      </c>
      <c r="BN325" s="75">
        <f t="shared" si="48"/>
        <v>0</v>
      </c>
      <c r="BO325" s="75">
        <f t="shared" si="49"/>
        <v>0</v>
      </c>
      <c r="BP325" s="75">
        <f t="shared" si="50"/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4301011852</v>
      </c>
      <c r="D326" s="708">
        <v>4680115885844</v>
      </c>
      <c r="E326" s="708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142</v>
      </c>
      <c r="L326" s="35" t="s">
        <v>46</v>
      </c>
      <c r="M326" s="36" t="s">
        <v>134</v>
      </c>
      <c r="N326" s="36"/>
      <c r="O326" s="35">
        <v>55</v>
      </c>
      <c r="P326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0"/>
      <c r="R326" s="710"/>
      <c r="S326" s="710"/>
      <c r="T326" s="71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46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1" t="s">
        <v>548</v>
      </c>
      <c r="AG326" s="75"/>
      <c r="AJ326" s="79" t="s">
        <v>46</v>
      </c>
      <c r="AK326" s="79">
        <v>0</v>
      </c>
      <c r="BB326" s="412" t="s">
        <v>67</v>
      </c>
      <c r="BM326" s="75">
        <f t="shared" si="47"/>
        <v>0</v>
      </c>
      <c r="BN326" s="75">
        <f t="shared" si="48"/>
        <v>0</v>
      </c>
      <c r="BO326" s="75">
        <f t="shared" si="49"/>
        <v>0</v>
      </c>
      <c r="BP326" s="75">
        <f t="shared" si="50"/>
        <v>0</v>
      </c>
    </row>
    <row r="327" spans="1:68" ht="37.5" hidden="1" customHeight="1" x14ac:dyDescent="0.25">
      <c r="A327" s="60" t="s">
        <v>549</v>
      </c>
      <c r="B327" s="60" t="s">
        <v>550</v>
      </c>
      <c r="C327" s="34">
        <v>4301011851</v>
      </c>
      <c r="D327" s="708">
        <v>4680115885820</v>
      </c>
      <c r="E327" s="708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142</v>
      </c>
      <c r="L327" s="35" t="s">
        <v>46</v>
      </c>
      <c r="M327" s="36" t="s">
        <v>134</v>
      </c>
      <c r="N327" s="36"/>
      <c r="O327" s="35">
        <v>55</v>
      </c>
      <c r="P327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0"/>
      <c r="R327" s="710"/>
      <c r="S327" s="710"/>
      <c r="T327" s="71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46"/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3" t="s">
        <v>551</v>
      </c>
      <c r="AG327" s="75"/>
      <c r="AJ327" s="79" t="s">
        <v>46</v>
      </c>
      <c r="AK327" s="79">
        <v>0</v>
      </c>
      <c r="BB327" s="414" t="s">
        <v>67</v>
      </c>
      <c r="BM327" s="75">
        <f t="shared" si="47"/>
        <v>0</v>
      </c>
      <c r="BN327" s="75">
        <f t="shared" si="48"/>
        <v>0</v>
      </c>
      <c r="BO327" s="75">
        <f t="shared" si="49"/>
        <v>0</v>
      </c>
      <c r="BP327" s="75">
        <f t="shared" si="50"/>
        <v>0</v>
      </c>
    </row>
    <row r="328" spans="1:68" hidden="1" x14ac:dyDescent="0.2">
      <c r="A328" s="715"/>
      <c r="B328" s="715"/>
      <c r="C328" s="715"/>
      <c r="D328" s="715"/>
      <c r="E328" s="715"/>
      <c r="F328" s="715"/>
      <c r="G328" s="715"/>
      <c r="H328" s="715"/>
      <c r="I328" s="715"/>
      <c r="J328" s="715"/>
      <c r="K328" s="715"/>
      <c r="L328" s="715"/>
      <c r="M328" s="715"/>
      <c r="N328" s="715"/>
      <c r="O328" s="716"/>
      <c r="P328" s="712" t="s">
        <v>40</v>
      </c>
      <c r="Q328" s="713"/>
      <c r="R328" s="713"/>
      <c r="S328" s="713"/>
      <c r="T328" s="713"/>
      <c r="U328" s="713"/>
      <c r="V328" s="714"/>
      <c r="W328" s="40" t="s">
        <v>39</v>
      </c>
      <c r="X328" s="41">
        <f>IFERROR(X321/H321,"0")+IFERROR(X322/H322,"0")+IFERROR(X323/H323,"0")+IFERROR(X324/H324,"0")+IFERROR(X325/H325,"0")+IFERROR(X326/H326,"0")+IFERROR(X327/H327,"0")</f>
        <v>0</v>
      </c>
      <c r="Y328" s="41">
        <f>IFERROR(Y321/H321,"0")+IFERROR(Y322/H322,"0")+IFERROR(Y323/H323,"0")+IFERROR(Y324/H324,"0")+IFERROR(Y325/H325,"0")+IFERROR(Y326/H326,"0")+IFERROR(Y327/H327,"0")</f>
        <v>0</v>
      </c>
      <c r="Z328" s="41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15"/>
      <c r="B329" s="715"/>
      <c r="C329" s="715"/>
      <c r="D329" s="715"/>
      <c r="E329" s="715"/>
      <c r="F329" s="715"/>
      <c r="G329" s="715"/>
      <c r="H329" s="715"/>
      <c r="I329" s="715"/>
      <c r="J329" s="715"/>
      <c r="K329" s="715"/>
      <c r="L329" s="715"/>
      <c r="M329" s="715"/>
      <c r="N329" s="715"/>
      <c r="O329" s="716"/>
      <c r="P329" s="712" t="s">
        <v>40</v>
      </c>
      <c r="Q329" s="713"/>
      <c r="R329" s="713"/>
      <c r="S329" s="713"/>
      <c r="T329" s="713"/>
      <c r="U329" s="713"/>
      <c r="V329" s="714"/>
      <c r="W329" s="40" t="s">
        <v>0</v>
      </c>
      <c r="X329" s="41">
        <f>IFERROR(SUM(X321:X327),"0")</f>
        <v>0</v>
      </c>
      <c r="Y329" s="41">
        <f>IFERROR(SUM(Y321:Y327),"0")</f>
        <v>0</v>
      </c>
      <c r="Z329" s="40"/>
      <c r="AA329" s="64"/>
      <c r="AB329" s="64"/>
      <c r="AC329" s="64"/>
    </row>
    <row r="330" spans="1:68" ht="16.5" hidden="1" customHeight="1" x14ac:dyDescent="0.25">
      <c r="A330" s="706" t="s">
        <v>552</v>
      </c>
      <c r="B330" s="706"/>
      <c r="C330" s="706"/>
      <c r="D330" s="706"/>
      <c r="E330" s="706"/>
      <c r="F330" s="706"/>
      <c r="G330" s="706"/>
      <c r="H330" s="706"/>
      <c r="I330" s="706"/>
      <c r="J330" s="706"/>
      <c r="K330" s="706"/>
      <c r="L330" s="706"/>
      <c r="M330" s="706"/>
      <c r="N330" s="706"/>
      <c r="O330" s="706"/>
      <c r="P330" s="706"/>
      <c r="Q330" s="706"/>
      <c r="R330" s="706"/>
      <c r="S330" s="706"/>
      <c r="T330" s="706"/>
      <c r="U330" s="706"/>
      <c r="V330" s="706"/>
      <c r="W330" s="706"/>
      <c r="X330" s="706"/>
      <c r="Y330" s="706"/>
      <c r="Z330" s="706"/>
      <c r="AA330" s="62"/>
      <c r="AB330" s="62"/>
      <c r="AC330" s="62"/>
    </row>
    <row r="331" spans="1:68" ht="14.25" hidden="1" customHeight="1" x14ac:dyDescent="0.25">
      <c r="A331" s="707" t="s">
        <v>83</v>
      </c>
      <c r="B331" s="707"/>
      <c r="C331" s="707"/>
      <c r="D331" s="707"/>
      <c r="E331" s="707"/>
      <c r="F331" s="707"/>
      <c r="G331" s="707"/>
      <c r="H331" s="707"/>
      <c r="I331" s="707"/>
      <c r="J331" s="707"/>
      <c r="K331" s="707"/>
      <c r="L331" s="707"/>
      <c r="M331" s="707"/>
      <c r="N331" s="707"/>
      <c r="O331" s="707"/>
      <c r="P331" s="707"/>
      <c r="Q331" s="707"/>
      <c r="R331" s="707"/>
      <c r="S331" s="707"/>
      <c r="T331" s="707"/>
      <c r="U331" s="707"/>
      <c r="V331" s="707"/>
      <c r="W331" s="707"/>
      <c r="X331" s="707"/>
      <c r="Y331" s="707"/>
      <c r="Z331" s="707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4301051893</v>
      </c>
      <c r="D332" s="708">
        <v>4680115886186</v>
      </c>
      <c r="E332" s="708"/>
      <c r="F332" s="59">
        <v>0.3</v>
      </c>
      <c r="G332" s="35">
        <v>6</v>
      </c>
      <c r="H332" s="59">
        <v>1.8</v>
      </c>
      <c r="I332" s="59">
        <v>1.98</v>
      </c>
      <c r="J332" s="35">
        <v>182</v>
      </c>
      <c r="K332" s="35" t="s">
        <v>88</v>
      </c>
      <c r="L332" s="35" t="s">
        <v>46</v>
      </c>
      <c r="M332" s="36" t="s">
        <v>87</v>
      </c>
      <c r="N332" s="36"/>
      <c r="O332" s="35">
        <v>45</v>
      </c>
      <c r="P332" s="8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0"/>
      <c r="R332" s="710"/>
      <c r="S332" s="710"/>
      <c r="T332" s="71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15" t="s">
        <v>555</v>
      </c>
      <c r="AG332" s="75"/>
      <c r="AJ332" s="79" t="s">
        <v>46</v>
      </c>
      <c r="AK332" s="79">
        <v>0</v>
      </c>
      <c r="BB332" s="416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556</v>
      </c>
      <c r="B333" s="60" t="s">
        <v>557</v>
      </c>
      <c r="C333" s="34">
        <v>4301051795</v>
      </c>
      <c r="D333" s="708">
        <v>4680115881228</v>
      </c>
      <c r="E333" s="708"/>
      <c r="F333" s="59">
        <v>0.4</v>
      </c>
      <c r="G333" s="35">
        <v>6</v>
      </c>
      <c r="H333" s="59">
        <v>2.4</v>
      </c>
      <c r="I333" s="59">
        <v>2.6520000000000001</v>
      </c>
      <c r="J333" s="35">
        <v>182</v>
      </c>
      <c r="K333" s="35" t="s">
        <v>88</v>
      </c>
      <c r="L333" s="35" t="s">
        <v>46</v>
      </c>
      <c r="M333" s="36" t="s">
        <v>94</v>
      </c>
      <c r="N333" s="36"/>
      <c r="O333" s="35">
        <v>40</v>
      </c>
      <c r="P333" s="8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0"/>
      <c r="R333" s="710"/>
      <c r="S333" s="710"/>
      <c r="T333" s="711"/>
      <c r="U333" s="37" t="s">
        <v>46</v>
      </c>
      <c r="V333" s="37" t="s">
        <v>46</v>
      </c>
      <c r="W333" s="38" t="s">
        <v>0</v>
      </c>
      <c r="X333" s="56">
        <v>80</v>
      </c>
      <c r="Y333" s="53">
        <f>IFERROR(IF(X333="",0,CEILING((X333/$H333),1)*$H333),"")</f>
        <v>81.599999999999994</v>
      </c>
      <c r="Z333" s="39">
        <f>IFERROR(IF(Y333=0,"",ROUNDUP(Y333/H333,0)*0.00651),"")</f>
        <v>0.22134000000000001</v>
      </c>
      <c r="AA333" s="65" t="s">
        <v>46</v>
      </c>
      <c r="AB333" s="66" t="s">
        <v>46</v>
      </c>
      <c r="AC333" s="417" t="s">
        <v>558</v>
      </c>
      <c r="AG333" s="75"/>
      <c r="AJ333" s="79" t="s">
        <v>46</v>
      </c>
      <c r="AK333" s="79">
        <v>0</v>
      </c>
      <c r="BB333" s="418" t="s">
        <v>67</v>
      </c>
      <c r="BM333" s="75">
        <f>IFERROR(X333*I333/H333,"0")</f>
        <v>88.40000000000002</v>
      </c>
      <c r="BN333" s="75">
        <f>IFERROR(Y333*I333/H333,"0")</f>
        <v>90.168000000000006</v>
      </c>
      <c r="BO333" s="75">
        <f>IFERROR(1/J333*(X333/H333),"0")</f>
        <v>0.18315018315018317</v>
      </c>
      <c r="BP333" s="75">
        <f>IFERROR(1/J333*(Y333/H333),"0")</f>
        <v>0.18681318681318682</v>
      </c>
    </row>
    <row r="334" spans="1:68" ht="27" customHeight="1" x14ac:dyDescent="0.25">
      <c r="A334" s="60" t="s">
        <v>559</v>
      </c>
      <c r="B334" s="60" t="s">
        <v>560</v>
      </c>
      <c r="C334" s="34">
        <v>4301051388</v>
      </c>
      <c r="D334" s="708">
        <v>4680115881211</v>
      </c>
      <c r="E334" s="708"/>
      <c r="F334" s="59">
        <v>0.4</v>
      </c>
      <c r="G334" s="35">
        <v>6</v>
      </c>
      <c r="H334" s="59">
        <v>2.4</v>
      </c>
      <c r="I334" s="59">
        <v>2.58</v>
      </c>
      <c r="J334" s="35">
        <v>182</v>
      </c>
      <c r="K334" s="35" t="s">
        <v>88</v>
      </c>
      <c r="L334" s="35" t="s">
        <v>46</v>
      </c>
      <c r="M334" s="36" t="s">
        <v>87</v>
      </c>
      <c r="N334" s="36"/>
      <c r="O334" s="35">
        <v>45</v>
      </c>
      <c r="P334" s="8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0"/>
      <c r="R334" s="710"/>
      <c r="S334" s="710"/>
      <c r="T334" s="711"/>
      <c r="U334" s="37" t="s">
        <v>46</v>
      </c>
      <c r="V334" s="37" t="s">
        <v>46</v>
      </c>
      <c r="W334" s="38" t="s">
        <v>0</v>
      </c>
      <c r="X334" s="56">
        <v>200</v>
      </c>
      <c r="Y334" s="53">
        <f>IFERROR(IF(X334="",0,CEILING((X334/$H334),1)*$H334),"")</f>
        <v>201.6</v>
      </c>
      <c r="Z334" s="39">
        <f>IFERROR(IF(Y334=0,"",ROUNDUP(Y334/H334,0)*0.00651),"")</f>
        <v>0.54683999999999999</v>
      </c>
      <c r="AA334" s="65" t="s">
        <v>46</v>
      </c>
      <c r="AB334" s="66" t="s">
        <v>46</v>
      </c>
      <c r="AC334" s="419" t="s">
        <v>555</v>
      </c>
      <c r="AG334" s="75"/>
      <c r="AJ334" s="79" t="s">
        <v>46</v>
      </c>
      <c r="AK334" s="79">
        <v>0</v>
      </c>
      <c r="BB334" s="420" t="s">
        <v>67</v>
      </c>
      <c r="BM334" s="75">
        <f>IFERROR(X334*I334/H334,"0")</f>
        <v>215</v>
      </c>
      <c r="BN334" s="75">
        <f>IFERROR(Y334*I334/H334,"0")</f>
        <v>216.72000000000003</v>
      </c>
      <c r="BO334" s="75">
        <f>IFERROR(1/J334*(X334/H334),"0")</f>
        <v>0.45787545787545797</v>
      </c>
      <c r="BP334" s="75">
        <f>IFERROR(1/J334*(Y334/H334),"0")</f>
        <v>0.46153846153846156</v>
      </c>
    </row>
    <row r="335" spans="1:68" x14ac:dyDescent="0.2">
      <c r="A335" s="715"/>
      <c r="B335" s="715"/>
      <c r="C335" s="715"/>
      <c r="D335" s="715"/>
      <c r="E335" s="715"/>
      <c r="F335" s="715"/>
      <c r="G335" s="715"/>
      <c r="H335" s="715"/>
      <c r="I335" s="715"/>
      <c r="J335" s="715"/>
      <c r="K335" s="715"/>
      <c r="L335" s="715"/>
      <c r="M335" s="715"/>
      <c r="N335" s="715"/>
      <c r="O335" s="716"/>
      <c r="P335" s="712" t="s">
        <v>40</v>
      </c>
      <c r="Q335" s="713"/>
      <c r="R335" s="713"/>
      <c r="S335" s="713"/>
      <c r="T335" s="713"/>
      <c r="U335" s="713"/>
      <c r="V335" s="714"/>
      <c r="W335" s="40" t="s">
        <v>39</v>
      </c>
      <c r="X335" s="41">
        <f>IFERROR(X332/H332,"0")+IFERROR(X333/H333,"0")+IFERROR(X334/H334,"0")</f>
        <v>116.66666666666669</v>
      </c>
      <c r="Y335" s="41">
        <f>IFERROR(Y332/H332,"0")+IFERROR(Y333/H333,"0")+IFERROR(Y334/H334,"0")</f>
        <v>118</v>
      </c>
      <c r="Z335" s="41">
        <f>IFERROR(IF(Z332="",0,Z332),"0")+IFERROR(IF(Z333="",0,Z333),"0")+IFERROR(IF(Z334="",0,Z334),"0")</f>
        <v>0.76817999999999997</v>
      </c>
      <c r="AA335" s="64"/>
      <c r="AB335" s="64"/>
      <c r="AC335" s="64"/>
    </row>
    <row r="336" spans="1:68" x14ac:dyDescent="0.2">
      <c r="A336" s="715"/>
      <c r="B336" s="715"/>
      <c r="C336" s="715"/>
      <c r="D336" s="715"/>
      <c r="E336" s="715"/>
      <c r="F336" s="715"/>
      <c r="G336" s="715"/>
      <c r="H336" s="715"/>
      <c r="I336" s="715"/>
      <c r="J336" s="715"/>
      <c r="K336" s="715"/>
      <c r="L336" s="715"/>
      <c r="M336" s="715"/>
      <c r="N336" s="715"/>
      <c r="O336" s="716"/>
      <c r="P336" s="712" t="s">
        <v>40</v>
      </c>
      <c r="Q336" s="713"/>
      <c r="R336" s="713"/>
      <c r="S336" s="713"/>
      <c r="T336" s="713"/>
      <c r="U336" s="713"/>
      <c r="V336" s="714"/>
      <c r="W336" s="40" t="s">
        <v>0</v>
      </c>
      <c r="X336" s="41">
        <f>IFERROR(SUM(X332:X334),"0")</f>
        <v>280</v>
      </c>
      <c r="Y336" s="41">
        <f>IFERROR(SUM(Y332:Y334),"0")</f>
        <v>283.2</v>
      </c>
      <c r="Z336" s="40"/>
      <c r="AA336" s="64"/>
      <c r="AB336" s="64"/>
      <c r="AC336" s="64"/>
    </row>
    <row r="337" spans="1:68" ht="16.5" hidden="1" customHeight="1" x14ac:dyDescent="0.25">
      <c r="A337" s="706" t="s">
        <v>561</v>
      </c>
      <c r="B337" s="706"/>
      <c r="C337" s="706"/>
      <c r="D337" s="706"/>
      <c r="E337" s="706"/>
      <c r="F337" s="706"/>
      <c r="G337" s="706"/>
      <c r="H337" s="706"/>
      <c r="I337" s="706"/>
      <c r="J337" s="706"/>
      <c r="K337" s="706"/>
      <c r="L337" s="706"/>
      <c r="M337" s="706"/>
      <c r="N337" s="706"/>
      <c r="O337" s="706"/>
      <c r="P337" s="706"/>
      <c r="Q337" s="706"/>
      <c r="R337" s="706"/>
      <c r="S337" s="706"/>
      <c r="T337" s="706"/>
      <c r="U337" s="706"/>
      <c r="V337" s="706"/>
      <c r="W337" s="706"/>
      <c r="X337" s="706"/>
      <c r="Y337" s="706"/>
      <c r="Z337" s="706"/>
      <c r="AA337" s="62"/>
      <c r="AB337" s="62"/>
      <c r="AC337" s="62"/>
    </row>
    <row r="338" spans="1:68" ht="14.25" hidden="1" customHeight="1" x14ac:dyDescent="0.25">
      <c r="A338" s="707" t="s">
        <v>77</v>
      </c>
      <c r="B338" s="707"/>
      <c r="C338" s="707"/>
      <c r="D338" s="707"/>
      <c r="E338" s="707"/>
      <c r="F338" s="707"/>
      <c r="G338" s="707"/>
      <c r="H338" s="707"/>
      <c r="I338" s="707"/>
      <c r="J338" s="707"/>
      <c r="K338" s="707"/>
      <c r="L338" s="707"/>
      <c r="M338" s="707"/>
      <c r="N338" s="707"/>
      <c r="O338" s="707"/>
      <c r="P338" s="707"/>
      <c r="Q338" s="707"/>
      <c r="R338" s="707"/>
      <c r="S338" s="707"/>
      <c r="T338" s="707"/>
      <c r="U338" s="707"/>
      <c r="V338" s="707"/>
      <c r="W338" s="707"/>
      <c r="X338" s="707"/>
      <c r="Y338" s="707"/>
      <c r="Z338" s="707"/>
      <c r="AA338" s="63"/>
      <c r="AB338" s="63"/>
      <c r="AC338" s="63"/>
    </row>
    <row r="339" spans="1:68" ht="27" hidden="1" customHeight="1" x14ac:dyDescent="0.25">
      <c r="A339" s="60" t="s">
        <v>562</v>
      </c>
      <c r="B339" s="60" t="s">
        <v>563</v>
      </c>
      <c r="C339" s="34">
        <v>4301031445</v>
      </c>
      <c r="D339" s="708">
        <v>4680115888319</v>
      </c>
      <c r="E339" s="708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45</v>
      </c>
      <c r="P339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0"/>
      <c r="R339" s="710"/>
      <c r="S339" s="710"/>
      <c r="T339" s="71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1" t="s">
        <v>564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565</v>
      </c>
      <c r="B340" s="60" t="s">
        <v>566</v>
      </c>
      <c r="C340" s="34">
        <v>4301031502</v>
      </c>
      <c r="D340" s="708">
        <v>4680115884700</v>
      </c>
      <c r="E340" s="708"/>
      <c r="F340" s="59">
        <v>0.57999999999999996</v>
      </c>
      <c r="G340" s="35">
        <v>4</v>
      </c>
      <c r="H340" s="59">
        <v>2.3199999999999998</v>
      </c>
      <c r="I340" s="59">
        <v>2.42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8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0"/>
      <c r="R340" s="710"/>
      <c r="S340" s="710"/>
      <c r="T340" s="71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3" t="s">
        <v>567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568</v>
      </c>
      <c r="B341" s="60" t="s">
        <v>569</v>
      </c>
      <c r="C341" s="34">
        <v>4301031307</v>
      </c>
      <c r="D341" s="708">
        <v>4680115880344</v>
      </c>
      <c r="E341" s="708"/>
      <c r="F341" s="59">
        <v>0.28000000000000003</v>
      </c>
      <c r="G341" s="35">
        <v>6</v>
      </c>
      <c r="H341" s="59">
        <v>1.68</v>
      </c>
      <c r="I341" s="59">
        <v>1.78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0"/>
      <c r="R341" s="710"/>
      <c r="S341" s="710"/>
      <c r="T341" s="71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25" t="s">
        <v>570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571</v>
      </c>
      <c r="B342" s="60" t="s">
        <v>572</v>
      </c>
      <c r="C342" s="34">
        <v>4301031501</v>
      </c>
      <c r="D342" s="708">
        <v>4680115886919</v>
      </c>
      <c r="E342" s="708"/>
      <c r="F342" s="59">
        <v>0.4</v>
      </c>
      <c r="G342" s="35">
        <v>6</v>
      </c>
      <c r="H342" s="59">
        <v>2.4</v>
      </c>
      <c r="I342" s="59">
        <v>2.58</v>
      </c>
      <c r="J342" s="35">
        <v>182</v>
      </c>
      <c r="K342" s="35" t="s">
        <v>88</v>
      </c>
      <c r="L342" s="35" t="s">
        <v>46</v>
      </c>
      <c r="M342" s="36" t="s">
        <v>81</v>
      </c>
      <c r="N342" s="36"/>
      <c r="O342" s="35">
        <v>40</v>
      </c>
      <c r="P342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0"/>
      <c r="R342" s="710"/>
      <c r="S342" s="710"/>
      <c r="T342" s="71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27" t="s">
        <v>573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15"/>
      <c r="B343" s="715"/>
      <c r="C343" s="715"/>
      <c r="D343" s="715"/>
      <c r="E343" s="715"/>
      <c r="F343" s="715"/>
      <c r="G343" s="715"/>
      <c r="H343" s="715"/>
      <c r="I343" s="715"/>
      <c r="J343" s="715"/>
      <c r="K343" s="715"/>
      <c r="L343" s="715"/>
      <c r="M343" s="715"/>
      <c r="N343" s="715"/>
      <c r="O343" s="716"/>
      <c r="P343" s="712" t="s">
        <v>40</v>
      </c>
      <c r="Q343" s="713"/>
      <c r="R343" s="713"/>
      <c r="S343" s="713"/>
      <c r="T343" s="713"/>
      <c r="U343" s="713"/>
      <c r="V343" s="714"/>
      <c r="W343" s="40" t="s">
        <v>39</v>
      </c>
      <c r="X343" s="41">
        <f>IFERROR(X339/H339,"0")+IFERROR(X340/H340,"0")+IFERROR(X341/H341,"0")+IFERROR(X342/H342,"0")</f>
        <v>0</v>
      </c>
      <c r="Y343" s="41">
        <f>IFERROR(Y339/H339,"0")+IFERROR(Y340/H340,"0")+IFERROR(Y341/H341,"0")+IFERROR(Y342/H342,"0")</f>
        <v>0</v>
      </c>
      <c r="Z343" s="41">
        <f>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15"/>
      <c r="B344" s="715"/>
      <c r="C344" s="715"/>
      <c r="D344" s="715"/>
      <c r="E344" s="715"/>
      <c r="F344" s="715"/>
      <c r="G344" s="715"/>
      <c r="H344" s="715"/>
      <c r="I344" s="715"/>
      <c r="J344" s="715"/>
      <c r="K344" s="715"/>
      <c r="L344" s="715"/>
      <c r="M344" s="715"/>
      <c r="N344" s="715"/>
      <c r="O344" s="716"/>
      <c r="P344" s="712" t="s">
        <v>40</v>
      </c>
      <c r="Q344" s="713"/>
      <c r="R344" s="713"/>
      <c r="S344" s="713"/>
      <c r="T344" s="713"/>
      <c r="U344" s="713"/>
      <c r="V344" s="714"/>
      <c r="W344" s="40" t="s">
        <v>0</v>
      </c>
      <c r="X344" s="41">
        <f>IFERROR(SUM(X339:X342),"0")</f>
        <v>0</v>
      </c>
      <c r="Y344" s="41">
        <f>IFERROR(SUM(Y339:Y342),"0")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07" t="s">
        <v>83</v>
      </c>
      <c r="B345" s="707"/>
      <c r="C345" s="707"/>
      <c r="D345" s="707"/>
      <c r="E345" s="707"/>
      <c r="F345" s="707"/>
      <c r="G345" s="707"/>
      <c r="H345" s="707"/>
      <c r="I345" s="707"/>
      <c r="J345" s="707"/>
      <c r="K345" s="707"/>
      <c r="L345" s="707"/>
      <c r="M345" s="707"/>
      <c r="N345" s="707"/>
      <c r="O345" s="707"/>
      <c r="P345" s="707"/>
      <c r="Q345" s="707"/>
      <c r="R345" s="707"/>
      <c r="S345" s="707"/>
      <c r="T345" s="707"/>
      <c r="U345" s="707"/>
      <c r="V345" s="707"/>
      <c r="W345" s="707"/>
      <c r="X345" s="707"/>
      <c r="Y345" s="707"/>
      <c r="Z345" s="707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4301051782</v>
      </c>
      <c r="D346" s="708">
        <v>4680115884618</v>
      </c>
      <c r="E346" s="708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142</v>
      </c>
      <c r="L346" s="35" t="s">
        <v>46</v>
      </c>
      <c r="M346" s="36" t="s">
        <v>87</v>
      </c>
      <c r="N346" s="36"/>
      <c r="O346" s="35">
        <v>45</v>
      </c>
      <c r="P346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0"/>
      <c r="R346" s="710"/>
      <c r="S346" s="710"/>
      <c r="T346" s="71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29" t="s">
        <v>576</v>
      </c>
      <c r="AG346" s="75"/>
      <c r="AJ346" s="79" t="s">
        <v>46</v>
      </c>
      <c r="AK346" s="79">
        <v>0</v>
      </c>
      <c r="BB346" s="43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4301052057</v>
      </c>
      <c r="D347" s="708">
        <v>4680115887114</v>
      </c>
      <c r="E347" s="708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142</v>
      </c>
      <c r="L347" s="35" t="s">
        <v>46</v>
      </c>
      <c r="M347" s="36" t="s">
        <v>87</v>
      </c>
      <c r="N347" s="36"/>
      <c r="O347" s="35">
        <v>45</v>
      </c>
      <c r="P347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0"/>
      <c r="R347" s="710"/>
      <c r="S347" s="710"/>
      <c r="T347" s="71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1" t="s">
        <v>579</v>
      </c>
      <c r="AG347" s="75"/>
      <c r="AJ347" s="79" t="s">
        <v>46</v>
      </c>
      <c r="AK347" s="79">
        <v>0</v>
      </c>
      <c r="BB347" s="43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4301052066</v>
      </c>
      <c r="D348" s="708">
        <v>4680115887466</v>
      </c>
      <c r="E348" s="708"/>
      <c r="F348" s="59">
        <v>0.7</v>
      </c>
      <c r="G348" s="35">
        <v>6</v>
      </c>
      <c r="H348" s="59">
        <v>4.2</v>
      </c>
      <c r="I348" s="59">
        <v>4.6159999999999997</v>
      </c>
      <c r="J348" s="35">
        <v>104</v>
      </c>
      <c r="K348" s="35" t="s">
        <v>135</v>
      </c>
      <c r="L348" s="35" t="s">
        <v>46</v>
      </c>
      <c r="M348" s="36" t="s">
        <v>87</v>
      </c>
      <c r="N348" s="36"/>
      <c r="O348" s="35">
        <v>45</v>
      </c>
      <c r="P348" s="89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0"/>
      <c r="R348" s="710"/>
      <c r="S348" s="710"/>
      <c r="T348" s="71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IFERROR(IF(Y348=0,"",ROUNDUP(Y348/H348,0)*0.01196),"")</f>
        <v/>
      </c>
      <c r="AA348" s="65" t="s">
        <v>46</v>
      </c>
      <c r="AB348" s="66" t="s">
        <v>46</v>
      </c>
      <c r="AC348" s="433" t="s">
        <v>582</v>
      </c>
      <c r="AG348" s="75"/>
      <c r="AJ348" s="79" t="s">
        <v>46</v>
      </c>
      <c r="AK348" s="79">
        <v>0</v>
      </c>
      <c r="BB348" s="43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15"/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6"/>
      <c r="P349" s="712" t="s">
        <v>40</v>
      </c>
      <c r="Q349" s="713"/>
      <c r="R349" s="713"/>
      <c r="S349" s="713"/>
      <c r="T349" s="713"/>
      <c r="U349" s="713"/>
      <c r="V349" s="714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15"/>
      <c r="B350" s="715"/>
      <c r="C350" s="715"/>
      <c r="D350" s="715"/>
      <c r="E350" s="715"/>
      <c r="F350" s="715"/>
      <c r="G350" s="715"/>
      <c r="H350" s="715"/>
      <c r="I350" s="715"/>
      <c r="J350" s="715"/>
      <c r="K350" s="715"/>
      <c r="L350" s="715"/>
      <c r="M350" s="715"/>
      <c r="N350" s="715"/>
      <c r="O350" s="716"/>
      <c r="P350" s="712" t="s">
        <v>40</v>
      </c>
      <c r="Q350" s="713"/>
      <c r="R350" s="713"/>
      <c r="S350" s="713"/>
      <c r="T350" s="713"/>
      <c r="U350" s="713"/>
      <c r="V350" s="714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706" t="s">
        <v>583</v>
      </c>
      <c r="B351" s="706"/>
      <c r="C351" s="706"/>
      <c r="D351" s="706"/>
      <c r="E351" s="706"/>
      <c r="F351" s="706"/>
      <c r="G351" s="706"/>
      <c r="H351" s="706"/>
      <c r="I351" s="706"/>
      <c r="J351" s="706"/>
      <c r="K351" s="706"/>
      <c r="L351" s="706"/>
      <c r="M351" s="706"/>
      <c r="N351" s="706"/>
      <c r="O351" s="706"/>
      <c r="P351" s="706"/>
      <c r="Q351" s="706"/>
      <c r="R351" s="706"/>
      <c r="S351" s="706"/>
      <c r="T351" s="706"/>
      <c r="U351" s="706"/>
      <c r="V351" s="706"/>
      <c r="W351" s="706"/>
      <c r="X351" s="706"/>
      <c r="Y351" s="706"/>
      <c r="Z351" s="706"/>
      <c r="AA351" s="62"/>
      <c r="AB351" s="62"/>
      <c r="AC351" s="62"/>
    </row>
    <row r="352" spans="1:68" ht="14.25" hidden="1" customHeight="1" x14ac:dyDescent="0.25">
      <c r="A352" s="707" t="s">
        <v>77</v>
      </c>
      <c r="B352" s="707"/>
      <c r="C352" s="707"/>
      <c r="D352" s="707"/>
      <c r="E352" s="707"/>
      <c r="F352" s="707"/>
      <c r="G352" s="707"/>
      <c r="H352" s="707"/>
      <c r="I352" s="707"/>
      <c r="J352" s="707"/>
      <c r="K352" s="707"/>
      <c r="L352" s="707"/>
      <c r="M352" s="707"/>
      <c r="N352" s="707"/>
      <c r="O352" s="707"/>
      <c r="P352" s="707"/>
      <c r="Q352" s="707"/>
      <c r="R352" s="707"/>
      <c r="S352" s="707"/>
      <c r="T352" s="707"/>
      <c r="U352" s="707"/>
      <c r="V352" s="707"/>
      <c r="W352" s="707"/>
      <c r="X352" s="707"/>
      <c r="Y352" s="707"/>
      <c r="Z352" s="707"/>
      <c r="AA352" s="63"/>
      <c r="AB352" s="63"/>
      <c r="AC352" s="63"/>
    </row>
    <row r="353" spans="1:68" ht="37.5" hidden="1" customHeight="1" x14ac:dyDescent="0.25">
      <c r="A353" s="60" t="s">
        <v>584</v>
      </c>
      <c r="B353" s="60" t="s">
        <v>585</v>
      </c>
      <c r="C353" s="34">
        <v>4301031283</v>
      </c>
      <c r="D353" s="708">
        <v>4680115886001</v>
      </c>
      <c r="E353" s="708"/>
      <c r="F353" s="59">
        <v>0.73</v>
      </c>
      <c r="G353" s="35">
        <v>6</v>
      </c>
      <c r="H353" s="59">
        <v>4.38</v>
      </c>
      <c r="I353" s="59">
        <v>4.57</v>
      </c>
      <c r="J353" s="35">
        <v>132</v>
      </c>
      <c r="K353" s="35" t="s">
        <v>142</v>
      </c>
      <c r="L353" s="35" t="s">
        <v>46</v>
      </c>
      <c r="M353" s="36" t="s">
        <v>81</v>
      </c>
      <c r="N353" s="36"/>
      <c r="O353" s="35">
        <v>45</v>
      </c>
      <c r="P353" s="893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0"/>
      <c r="R353" s="710"/>
      <c r="S353" s="710"/>
      <c r="T353" s="71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5" t="s">
        <v>586</v>
      </c>
      <c r="AG353" s="75"/>
      <c r="AJ353" s="79" t="s">
        <v>46</v>
      </c>
      <c r="AK353" s="79">
        <v>0</v>
      </c>
      <c r="BB353" s="43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15"/>
      <c r="B354" s="715"/>
      <c r="C354" s="715"/>
      <c r="D354" s="715"/>
      <c r="E354" s="715"/>
      <c r="F354" s="715"/>
      <c r="G354" s="715"/>
      <c r="H354" s="715"/>
      <c r="I354" s="715"/>
      <c r="J354" s="715"/>
      <c r="K354" s="715"/>
      <c r="L354" s="715"/>
      <c r="M354" s="715"/>
      <c r="N354" s="715"/>
      <c r="O354" s="716"/>
      <c r="P354" s="712" t="s">
        <v>40</v>
      </c>
      <c r="Q354" s="713"/>
      <c r="R354" s="713"/>
      <c r="S354" s="713"/>
      <c r="T354" s="713"/>
      <c r="U354" s="713"/>
      <c r="V354" s="714"/>
      <c r="W354" s="40" t="s">
        <v>39</v>
      </c>
      <c r="X354" s="41">
        <f>IFERROR(X353/H353,"0")</f>
        <v>0</v>
      </c>
      <c r="Y354" s="41">
        <f>IFERROR(Y353/H353,"0")</f>
        <v>0</v>
      </c>
      <c r="Z354" s="41">
        <f>IFERROR(IF(Z353="",0,Z353),"0")</f>
        <v>0</v>
      </c>
      <c r="AA354" s="64"/>
      <c r="AB354" s="64"/>
      <c r="AC354" s="64"/>
    </row>
    <row r="355" spans="1:68" hidden="1" x14ac:dyDescent="0.2">
      <c r="A355" s="715"/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6"/>
      <c r="P355" s="712" t="s">
        <v>40</v>
      </c>
      <c r="Q355" s="713"/>
      <c r="R355" s="713"/>
      <c r="S355" s="713"/>
      <c r="T355" s="713"/>
      <c r="U355" s="713"/>
      <c r="V355" s="714"/>
      <c r="W355" s="40" t="s">
        <v>0</v>
      </c>
      <c r="X355" s="41">
        <f>IFERROR(SUM(X353:X353),"0")</f>
        <v>0</v>
      </c>
      <c r="Y355" s="41">
        <f>IFERROR(SUM(Y353:Y353),"0")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707" t="s">
        <v>83</v>
      </c>
      <c r="B356" s="707"/>
      <c r="C356" s="707"/>
      <c r="D356" s="707"/>
      <c r="E356" s="707"/>
      <c r="F356" s="707"/>
      <c r="G356" s="707"/>
      <c r="H356" s="707"/>
      <c r="I356" s="707"/>
      <c r="J356" s="707"/>
      <c r="K356" s="707"/>
      <c r="L356" s="707"/>
      <c r="M356" s="707"/>
      <c r="N356" s="707"/>
      <c r="O356" s="707"/>
      <c r="P356" s="707"/>
      <c r="Q356" s="707"/>
      <c r="R356" s="707"/>
      <c r="S356" s="707"/>
      <c r="T356" s="707"/>
      <c r="U356" s="707"/>
      <c r="V356" s="707"/>
      <c r="W356" s="707"/>
      <c r="X356" s="707"/>
      <c r="Y356" s="707"/>
      <c r="Z356" s="707"/>
      <c r="AA356" s="63"/>
      <c r="AB356" s="63"/>
      <c r="AC356" s="63"/>
    </row>
    <row r="357" spans="1:68" ht="27" hidden="1" customHeight="1" x14ac:dyDescent="0.25">
      <c r="A357" s="60" t="s">
        <v>587</v>
      </c>
      <c r="B357" s="60" t="s">
        <v>588</v>
      </c>
      <c r="C357" s="34">
        <v>4301051597</v>
      </c>
      <c r="D357" s="708">
        <v>4680115886087</v>
      </c>
      <c r="E357" s="708"/>
      <c r="F357" s="59">
        <v>1</v>
      </c>
      <c r="G357" s="35">
        <v>8</v>
      </c>
      <c r="H357" s="59">
        <v>8</v>
      </c>
      <c r="I357" s="59">
        <v>8.41</v>
      </c>
      <c r="J357" s="35">
        <v>64</v>
      </c>
      <c r="K357" s="35" t="s">
        <v>135</v>
      </c>
      <c r="L357" s="35" t="s">
        <v>46</v>
      </c>
      <c r="M357" s="36" t="s">
        <v>87</v>
      </c>
      <c r="N357" s="36"/>
      <c r="O357" s="35">
        <v>45</v>
      </c>
      <c r="P357" s="894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0"/>
      <c r="R357" s="710"/>
      <c r="S357" s="710"/>
      <c r="T357" s="71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37" t="s">
        <v>589</v>
      </c>
      <c r="AG357" s="75"/>
      <c r="AJ357" s="79" t="s">
        <v>46</v>
      </c>
      <c r="AK357" s="79">
        <v>0</v>
      </c>
      <c r="BB357" s="43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idden="1" x14ac:dyDescent="0.2">
      <c r="A358" s="715"/>
      <c r="B358" s="715"/>
      <c r="C358" s="715"/>
      <c r="D358" s="715"/>
      <c r="E358" s="715"/>
      <c r="F358" s="715"/>
      <c r="G358" s="715"/>
      <c r="H358" s="715"/>
      <c r="I358" s="715"/>
      <c r="J358" s="715"/>
      <c r="K358" s="715"/>
      <c r="L358" s="715"/>
      <c r="M358" s="715"/>
      <c r="N358" s="715"/>
      <c r="O358" s="716"/>
      <c r="P358" s="712" t="s">
        <v>40</v>
      </c>
      <c r="Q358" s="713"/>
      <c r="R358" s="713"/>
      <c r="S358" s="713"/>
      <c r="T358" s="713"/>
      <c r="U358" s="713"/>
      <c r="V358" s="714"/>
      <c r="W358" s="40" t="s">
        <v>39</v>
      </c>
      <c r="X358" s="41">
        <f>IFERROR(X357/H357,"0")</f>
        <v>0</v>
      </c>
      <c r="Y358" s="41">
        <f>IFERROR(Y357/H357,"0")</f>
        <v>0</v>
      </c>
      <c r="Z358" s="41">
        <f>IFERROR(IF(Z357="",0,Z357),"0")</f>
        <v>0</v>
      </c>
      <c r="AA358" s="64"/>
      <c r="AB358" s="64"/>
      <c r="AC358" s="64"/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0" t="s">
        <v>0</v>
      </c>
      <c r="X359" s="41">
        <f>IFERROR(SUM(X357:X357),"0")</f>
        <v>0</v>
      </c>
      <c r="Y359" s="41">
        <f>IFERROR(SUM(Y357:Y357),"0")</f>
        <v>0</v>
      </c>
      <c r="Z359" s="40"/>
      <c r="AA359" s="64"/>
      <c r="AB359" s="64"/>
      <c r="AC359" s="64"/>
    </row>
    <row r="360" spans="1:68" ht="16.5" hidden="1" customHeight="1" x14ac:dyDescent="0.25">
      <c r="A360" s="706" t="s">
        <v>590</v>
      </c>
      <c r="B360" s="706"/>
      <c r="C360" s="706"/>
      <c r="D360" s="706"/>
      <c r="E360" s="706"/>
      <c r="F360" s="706"/>
      <c r="G360" s="706"/>
      <c r="H360" s="706"/>
      <c r="I360" s="706"/>
      <c r="J360" s="706"/>
      <c r="K360" s="706"/>
      <c r="L360" s="706"/>
      <c r="M360" s="706"/>
      <c r="N360" s="706"/>
      <c r="O360" s="706"/>
      <c r="P360" s="706"/>
      <c r="Q360" s="706"/>
      <c r="R360" s="706"/>
      <c r="S360" s="706"/>
      <c r="T360" s="706"/>
      <c r="U360" s="706"/>
      <c r="V360" s="706"/>
      <c r="W360" s="706"/>
      <c r="X360" s="706"/>
      <c r="Y360" s="706"/>
      <c r="Z360" s="706"/>
      <c r="AA360" s="62"/>
      <c r="AB360" s="62"/>
      <c r="AC360" s="62"/>
    </row>
    <row r="361" spans="1:68" ht="14.25" hidden="1" customHeight="1" x14ac:dyDescent="0.25">
      <c r="A361" s="707" t="s">
        <v>130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3"/>
      <c r="AB361" s="63"/>
      <c r="AC361" s="63"/>
    </row>
    <row r="362" spans="1:68" ht="27" customHeight="1" x14ac:dyDescent="0.25">
      <c r="A362" s="60" t="s">
        <v>591</v>
      </c>
      <c r="B362" s="60" t="s">
        <v>592</v>
      </c>
      <c r="C362" s="34">
        <v>4301012324</v>
      </c>
      <c r="D362" s="708">
        <v>4680115887947</v>
      </c>
      <c r="E362" s="708"/>
      <c r="F362" s="59">
        <v>1.3</v>
      </c>
      <c r="G362" s="35">
        <v>6</v>
      </c>
      <c r="H362" s="59">
        <v>7.8</v>
      </c>
      <c r="I362" s="59">
        <v>8.2100000000000009</v>
      </c>
      <c r="J362" s="35">
        <v>64</v>
      </c>
      <c r="K362" s="35" t="s">
        <v>135</v>
      </c>
      <c r="L362" s="35" t="s">
        <v>46</v>
      </c>
      <c r="M362" s="36" t="s">
        <v>87</v>
      </c>
      <c r="N362" s="36"/>
      <c r="O362" s="35">
        <v>60</v>
      </c>
      <c r="P362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0"/>
      <c r="R362" s="710"/>
      <c r="S362" s="710"/>
      <c r="T362" s="711"/>
      <c r="U362" s="37" t="s">
        <v>46</v>
      </c>
      <c r="V362" s="37" t="s">
        <v>46</v>
      </c>
      <c r="W362" s="38" t="s">
        <v>0</v>
      </c>
      <c r="X362" s="56">
        <v>250</v>
      </c>
      <c r="Y362" s="53">
        <f>IFERROR(IF(X362="",0,CEILING((X362/$H362),1)*$H362),"")</f>
        <v>257.39999999999998</v>
      </c>
      <c r="Z362" s="39">
        <f>IFERROR(IF(Y362=0,"",ROUNDUP(Y362/H362,0)*0.01898),"")</f>
        <v>0.62634000000000001</v>
      </c>
      <c r="AA362" s="65" t="s">
        <v>46</v>
      </c>
      <c r="AB362" s="66" t="s">
        <v>46</v>
      </c>
      <c r="AC362" s="439" t="s">
        <v>352</v>
      </c>
      <c r="AG362" s="75"/>
      <c r="AJ362" s="79" t="s">
        <v>46</v>
      </c>
      <c r="AK362" s="79">
        <v>0</v>
      </c>
      <c r="BB362" s="440" t="s">
        <v>67</v>
      </c>
      <c r="BM362" s="75">
        <f>IFERROR(X362*I362/H362,"0")</f>
        <v>263.14102564102564</v>
      </c>
      <c r="BN362" s="75">
        <f>IFERROR(Y362*I362/H362,"0")</f>
        <v>270.93</v>
      </c>
      <c r="BO362" s="75">
        <f>IFERROR(1/J362*(X362/H362),"0")</f>
        <v>0.50080128205128205</v>
      </c>
      <c r="BP362" s="75">
        <f>IFERROR(1/J362*(Y362/H362),"0")</f>
        <v>0.515625</v>
      </c>
    </row>
    <row r="363" spans="1:68" ht="27" customHeight="1" x14ac:dyDescent="0.25">
      <c r="A363" s="60" t="s">
        <v>593</v>
      </c>
      <c r="B363" s="60" t="s">
        <v>594</v>
      </c>
      <c r="C363" s="34">
        <v>4301012325</v>
      </c>
      <c r="D363" s="708">
        <v>4680115887978</v>
      </c>
      <c r="E363" s="70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135</v>
      </c>
      <c r="L363" s="35" t="s">
        <v>46</v>
      </c>
      <c r="M363" s="36" t="s">
        <v>87</v>
      </c>
      <c r="N363" s="36"/>
      <c r="O363" s="35">
        <v>60</v>
      </c>
      <c r="P363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0"/>
      <c r="R363" s="710"/>
      <c r="S363" s="710"/>
      <c r="T363" s="711"/>
      <c r="U363" s="37" t="s">
        <v>46</v>
      </c>
      <c r="V363" s="37" t="s">
        <v>46</v>
      </c>
      <c r="W363" s="38" t="s">
        <v>0</v>
      </c>
      <c r="X363" s="56">
        <v>220</v>
      </c>
      <c r="Y363" s="53">
        <f>IFERROR(IF(X363="",0,CEILING((X363/$H363),1)*$H363),"")</f>
        <v>226.2</v>
      </c>
      <c r="Z363" s="39">
        <f>IFERROR(IF(Y363=0,"",ROUNDUP(Y363/H363,0)*0.01898),"")</f>
        <v>0.55042000000000002</v>
      </c>
      <c r="AA363" s="65" t="s">
        <v>46</v>
      </c>
      <c r="AB363" s="66" t="s">
        <v>46</v>
      </c>
      <c r="AC363" s="441" t="s">
        <v>595</v>
      </c>
      <c r="AG363" s="75"/>
      <c r="AJ363" s="79" t="s">
        <v>46</v>
      </c>
      <c r="AK363" s="79">
        <v>0</v>
      </c>
      <c r="BB363" s="442" t="s">
        <v>67</v>
      </c>
      <c r="BM363" s="75">
        <f>IFERROR(X363*I363/H363,"0")</f>
        <v>231.5641025641026</v>
      </c>
      <c r="BN363" s="75">
        <f>IFERROR(Y363*I363/H363,"0")</f>
        <v>238.09</v>
      </c>
      <c r="BO363" s="75">
        <f>IFERROR(1/J363*(X363/H363),"0")</f>
        <v>0.44070512820512819</v>
      </c>
      <c r="BP363" s="75">
        <f>IFERROR(1/J363*(Y363/H363),"0")</f>
        <v>0.453125</v>
      </c>
    </row>
    <row r="364" spans="1:68" ht="27" customHeight="1" x14ac:dyDescent="0.25">
      <c r="A364" s="60" t="s">
        <v>596</v>
      </c>
      <c r="B364" s="60" t="s">
        <v>597</v>
      </c>
      <c r="C364" s="34">
        <v>4301012327</v>
      </c>
      <c r="D364" s="708">
        <v>4680115887992</v>
      </c>
      <c r="E364" s="70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135</v>
      </c>
      <c r="L364" s="35" t="s">
        <v>46</v>
      </c>
      <c r="M364" s="36" t="s">
        <v>87</v>
      </c>
      <c r="N364" s="36"/>
      <c r="O364" s="35">
        <v>60</v>
      </c>
      <c r="P364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0"/>
      <c r="R364" s="710"/>
      <c r="S364" s="710"/>
      <c r="T364" s="711"/>
      <c r="U364" s="37" t="s">
        <v>46</v>
      </c>
      <c r="V364" s="37" t="s">
        <v>46</v>
      </c>
      <c r="W364" s="38" t="s">
        <v>0</v>
      </c>
      <c r="X364" s="56">
        <v>50</v>
      </c>
      <c r="Y364" s="53">
        <f>IFERROR(IF(X364="",0,CEILING((X364/$H364),1)*$H364),"")</f>
        <v>54.6</v>
      </c>
      <c r="Z364" s="39">
        <f>IFERROR(IF(Y364=0,"",ROUNDUP(Y364/H364,0)*0.01898),"")</f>
        <v>0.13286000000000001</v>
      </c>
      <c r="AA364" s="65" t="s">
        <v>46</v>
      </c>
      <c r="AB364" s="66" t="s">
        <v>46</v>
      </c>
      <c r="AC364" s="443" t="s">
        <v>598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52.628205128205138</v>
      </c>
      <c r="BN364" s="75">
        <f>IFERROR(Y364*I364/H364,"0")</f>
        <v>57.470000000000013</v>
      </c>
      <c r="BO364" s="75">
        <f>IFERROR(1/J364*(X364/H364),"0")</f>
        <v>0.10016025641025642</v>
      </c>
      <c r="BP364" s="75">
        <f>IFERROR(1/J364*(Y364/H364),"0")</f>
        <v>0.109375</v>
      </c>
    </row>
    <row r="365" spans="1:68" x14ac:dyDescent="0.2">
      <c r="A365" s="715"/>
      <c r="B365" s="715"/>
      <c r="C365" s="715"/>
      <c r="D365" s="715"/>
      <c r="E365" s="715"/>
      <c r="F365" s="715"/>
      <c r="G365" s="715"/>
      <c r="H365" s="715"/>
      <c r="I365" s="715"/>
      <c r="J365" s="715"/>
      <c r="K365" s="715"/>
      <c r="L365" s="715"/>
      <c r="M365" s="715"/>
      <c r="N365" s="715"/>
      <c r="O365" s="716"/>
      <c r="P365" s="712" t="s">
        <v>40</v>
      </c>
      <c r="Q365" s="713"/>
      <c r="R365" s="713"/>
      <c r="S365" s="713"/>
      <c r="T365" s="713"/>
      <c r="U365" s="713"/>
      <c r="V365" s="714"/>
      <c r="W365" s="40" t="s">
        <v>39</v>
      </c>
      <c r="X365" s="41">
        <f>IFERROR(X362/H362,"0")+IFERROR(X363/H363,"0")+IFERROR(X364/H364,"0")</f>
        <v>66.666666666666671</v>
      </c>
      <c r="Y365" s="41">
        <f>IFERROR(Y362/H362,"0")+IFERROR(Y363/H363,"0")+IFERROR(Y364/H364,"0")</f>
        <v>69</v>
      </c>
      <c r="Z365" s="41">
        <f>IFERROR(IF(Z362="",0,Z362),"0")+IFERROR(IF(Z363="",0,Z363),"0")+IFERROR(IF(Z364="",0,Z364),"0")</f>
        <v>1.30962</v>
      </c>
      <c r="AA365" s="64"/>
      <c r="AB365" s="64"/>
      <c r="AC365" s="64"/>
    </row>
    <row r="366" spans="1:68" x14ac:dyDescent="0.2">
      <c r="A366" s="715"/>
      <c r="B366" s="715"/>
      <c r="C366" s="715"/>
      <c r="D366" s="715"/>
      <c r="E366" s="715"/>
      <c r="F366" s="715"/>
      <c r="G366" s="715"/>
      <c r="H366" s="715"/>
      <c r="I366" s="715"/>
      <c r="J366" s="715"/>
      <c r="K366" s="715"/>
      <c r="L366" s="715"/>
      <c r="M366" s="715"/>
      <c r="N366" s="715"/>
      <c r="O366" s="716"/>
      <c r="P366" s="712" t="s">
        <v>40</v>
      </c>
      <c r="Q366" s="713"/>
      <c r="R366" s="713"/>
      <c r="S366" s="713"/>
      <c r="T366" s="713"/>
      <c r="U366" s="713"/>
      <c r="V366" s="714"/>
      <c r="W366" s="40" t="s">
        <v>0</v>
      </c>
      <c r="X366" s="41">
        <f>IFERROR(SUM(X362:X364),"0")</f>
        <v>520</v>
      </c>
      <c r="Y366" s="41">
        <f>IFERROR(SUM(Y362:Y364),"0")</f>
        <v>538.19999999999993</v>
      </c>
      <c r="Z366" s="40"/>
      <c r="AA366" s="64"/>
      <c r="AB366" s="64"/>
      <c r="AC366" s="64"/>
    </row>
    <row r="367" spans="1:68" ht="16.5" hidden="1" customHeight="1" x14ac:dyDescent="0.25">
      <c r="A367" s="706" t="s">
        <v>599</v>
      </c>
      <c r="B367" s="706"/>
      <c r="C367" s="706"/>
      <c r="D367" s="706"/>
      <c r="E367" s="706"/>
      <c r="F367" s="706"/>
      <c r="G367" s="706"/>
      <c r="H367" s="706"/>
      <c r="I367" s="706"/>
      <c r="J367" s="706"/>
      <c r="K367" s="706"/>
      <c r="L367" s="706"/>
      <c r="M367" s="706"/>
      <c r="N367" s="706"/>
      <c r="O367" s="706"/>
      <c r="P367" s="706"/>
      <c r="Q367" s="706"/>
      <c r="R367" s="706"/>
      <c r="S367" s="706"/>
      <c r="T367" s="706"/>
      <c r="U367" s="706"/>
      <c r="V367" s="706"/>
      <c r="W367" s="706"/>
      <c r="X367" s="706"/>
      <c r="Y367" s="706"/>
      <c r="Z367" s="706"/>
      <c r="AA367" s="62"/>
      <c r="AB367" s="62"/>
      <c r="AC367" s="62"/>
    </row>
    <row r="368" spans="1:68" ht="14.25" hidden="1" customHeight="1" x14ac:dyDescent="0.25">
      <c r="A368" s="707" t="s">
        <v>130</v>
      </c>
      <c r="B368" s="707"/>
      <c r="C368" s="707"/>
      <c r="D368" s="707"/>
      <c r="E368" s="707"/>
      <c r="F368" s="707"/>
      <c r="G368" s="707"/>
      <c r="H368" s="707"/>
      <c r="I368" s="707"/>
      <c r="J368" s="707"/>
      <c r="K368" s="707"/>
      <c r="L368" s="707"/>
      <c r="M368" s="707"/>
      <c r="N368" s="707"/>
      <c r="O368" s="707"/>
      <c r="P368" s="707"/>
      <c r="Q368" s="707"/>
      <c r="R368" s="707"/>
      <c r="S368" s="707"/>
      <c r="T368" s="707"/>
      <c r="U368" s="707"/>
      <c r="V368" s="707"/>
      <c r="W368" s="707"/>
      <c r="X368" s="707"/>
      <c r="Y368" s="707"/>
      <c r="Z368" s="707"/>
      <c r="AA368" s="63"/>
      <c r="AB368" s="63"/>
      <c r="AC368" s="63"/>
    </row>
    <row r="369" spans="1:68" ht="27" hidden="1" customHeight="1" x14ac:dyDescent="0.25">
      <c r="A369" s="60" t="s">
        <v>600</v>
      </c>
      <c r="B369" s="60" t="s">
        <v>601</v>
      </c>
      <c r="C369" s="34">
        <v>4301012360</v>
      </c>
      <c r="D369" s="708">
        <v>4680115889293</v>
      </c>
      <c r="E369" s="708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135</v>
      </c>
      <c r="L369" s="35" t="s">
        <v>46</v>
      </c>
      <c r="M369" s="36" t="s">
        <v>134</v>
      </c>
      <c r="N369" s="36"/>
      <c r="O369" s="35">
        <v>55</v>
      </c>
      <c r="P369" s="8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0"/>
      <c r="R369" s="710"/>
      <c r="S369" s="710"/>
      <c r="T369" s="71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51"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45" t="s">
        <v>602</v>
      </c>
      <c r="AG369" s="75"/>
      <c r="AJ369" s="79" t="s">
        <v>46</v>
      </c>
      <c r="AK369" s="79">
        <v>0</v>
      </c>
      <c r="BB369" s="446" t="s">
        <v>67</v>
      </c>
      <c r="BM369" s="75">
        <f t="shared" ref="BM369:BM375" si="52">IFERROR(X369*I369/H369,"0")</f>
        <v>0</v>
      </c>
      <c r="BN369" s="75">
        <f t="shared" ref="BN369:BN375" si="53">IFERROR(Y369*I369/H369,"0")</f>
        <v>0</v>
      </c>
      <c r="BO369" s="75">
        <f t="shared" ref="BO369:BO375" si="54">IFERROR(1/J369*(X369/H369),"0")</f>
        <v>0</v>
      </c>
      <c r="BP369" s="75">
        <f t="shared" ref="BP369:BP375" si="55">IFERROR(1/J369*(Y369/H369),"0")</f>
        <v>0</v>
      </c>
    </row>
    <row r="370" spans="1:68" ht="27" hidden="1" customHeight="1" x14ac:dyDescent="0.25">
      <c r="A370" s="60" t="s">
        <v>603</v>
      </c>
      <c r="B370" s="60" t="s">
        <v>604</v>
      </c>
      <c r="C370" s="34">
        <v>4301012235</v>
      </c>
      <c r="D370" s="708">
        <v>4680115887190</v>
      </c>
      <c r="E370" s="70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135</v>
      </c>
      <c r="L370" s="35" t="s">
        <v>46</v>
      </c>
      <c r="M370" s="36" t="s">
        <v>134</v>
      </c>
      <c r="N370" s="36"/>
      <c r="O370" s="35">
        <v>55</v>
      </c>
      <c r="P370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0"/>
      <c r="R370" s="710"/>
      <c r="S370" s="710"/>
      <c r="T370" s="71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1"/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47" t="s">
        <v>605</v>
      </c>
      <c r="AG370" s="75"/>
      <c r="AJ370" s="79" t="s">
        <v>46</v>
      </c>
      <c r="AK370" s="79">
        <v>0</v>
      </c>
      <c r="BB370" s="448" t="s">
        <v>67</v>
      </c>
      <c r="BM370" s="75">
        <f t="shared" si="52"/>
        <v>0</v>
      </c>
      <c r="BN370" s="75">
        <f t="shared" si="53"/>
        <v>0</v>
      </c>
      <c r="BO370" s="75">
        <f t="shared" si="54"/>
        <v>0</v>
      </c>
      <c r="BP370" s="75">
        <f t="shared" si="55"/>
        <v>0</v>
      </c>
    </row>
    <row r="371" spans="1:68" ht="27" hidden="1" customHeight="1" x14ac:dyDescent="0.25">
      <c r="A371" s="60" t="s">
        <v>606</v>
      </c>
      <c r="B371" s="60" t="s">
        <v>607</v>
      </c>
      <c r="C371" s="34">
        <v>4301012400</v>
      </c>
      <c r="D371" s="708">
        <v>4680115889880</v>
      </c>
      <c r="E371" s="70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135</v>
      </c>
      <c r="L371" s="35" t="s">
        <v>46</v>
      </c>
      <c r="M371" s="36" t="s">
        <v>134</v>
      </c>
      <c r="N371" s="36"/>
      <c r="O371" s="35">
        <v>55</v>
      </c>
      <c r="P371" s="9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0"/>
      <c r="R371" s="710"/>
      <c r="S371" s="710"/>
      <c r="T371" s="71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1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49" t="s">
        <v>508</v>
      </c>
      <c r="AG371" s="75"/>
      <c r="AJ371" s="79" t="s">
        <v>46</v>
      </c>
      <c r="AK371" s="79">
        <v>0</v>
      </c>
      <c r="BB371" s="450" t="s">
        <v>67</v>
      </c>
      <c r="BM371" s="75">
        <f t="shared" si="52"/>
        <v>0</v>
      </c>
      <c r="BN371" s="75">
        <f t="shared" si="53"/>
        <v>0</v>
      </c>
      <c r="BO371" s="75">
        <f t="shared" si="54"/>
        <v>0</v>
      </c>
      <c r="BP371" s="75">
        <f t="shared" si="55"/>
        <v>0</v>
      </c>
    </row>
    <row r="372" spans="1:68" ht="37.5" hidden="1" customHeight="1" x14ac:dyDescent="0.25">
      <c r="A372" s="60" t="s">
        <v>608</v>
      </c>
      <c r="B372" s="60" t="s">
        <v>609</v>
      </c>
      <c r="C372" s="34">
        <v>4301012233</v>
      </c>
      <c r="D372" s="708">
        <v>4680115887138</v>
      </c>
      <c r="E372" s="70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135</v>
      </c>
      <c r="L372" s="35" t="s">
        <v>46</v>
      </c>
      <c r="M372" s="36" t="s">
        <v>134</v>
      </c>
      <c r="N372" s="36"/>
      <c r="O372" s="35">
        <v>55</v>
      </c>
      <c r="P372" s="9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0"/>
      <c r="R372" s="710"/>
      <c r="S372" s="710"/>
      <c r="T372" s="71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1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1" t="s">
        <v>610</v>
      </c>
      <c r="AG372" s="75"/>
      <c r="AJ372" s="79" t="s">
        <v>46</v>
      </c>
      <c r="AK372" s="79">
        <v>0</v>
      </c>
      <c r="BB372" s="452" t="s">
        <v>67</v>
      </c>
      <c r="BM372" s="75">
        <f t="shared" si="52"/>
        <v>0</v>
      </c>
      <c r="BN372" s="75">
        <f t="shared" si="53"/>
        <v>0</v>
      </c>
      <c r="BO372" s="75">
        <f t="shared" si="54"/>
        <v>0</v>
      </c>
      <c r="BP372" s="75">
        <f t="shared" si="55"/>
        <v>0</v>
      </c>
    </row>
    <row r="373" spans="1:68" ht="27" hidden="1" customHeight="1" x14ac:dyDescent="0.25">
      <c r="A373" s="60" t="s">
        <v>611</v>
      </c>
      <c r="B373" s="60" t="s">
        <v>612</v>
      </c>
      <c r="C373" s="34">
        <v>4301012016</v>
      </c>
      <c r="D373" s="708">
        <v>4680115885554</v>
      </c>
      <c r="E373" s="70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135</v>
      </c>
      <c r="L373" s="35" t="s">
        <v>46</v>
      </c>
      <c r="M373" s="36" t="s">
        <v>87</v>
      </c>
      <c r="N373" s="36"/>
      <c r="O373" s="35">
        <v>55</v>
      </c>
      <c r="P373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0"/>
      <c r="R373" s="710"/>
      <c r="S373" s="710"/>
      <c r="T373" s="71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1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3" t="s">
        <v>613</v>
      </c>
      <c r="AG373" s="75"/>
      <c r="AJ373" s="79" t="s">
        <v>46</v>
      </c>
      <c r="AK373" s="79">
        <v>0</v>
      </c>
      <c r="BB373" s="454" t="s">
        <v>67</v>
      </c>
      <c r="BM373" s="75">
        <f t="shared" si="52"/>
        <v>0</v>
      </c>
      <c r="BN373" s="75">
        <f t="shared" si="53"/>
        <v>0</v>
      </c>
      <c r="BO373" s="75">
        <f t="shared" si="54"/>
        <v>0</v>
      </c>
      <c r="BP373" s="75">
        <f t="shared" si="55"/>
        <v>0</v>
      </c>
    </row>
    <row r="374" spans="1:68" ht="27" hidden="1" customHeight="1" x14ac:dyDescent="0.25">
      <c r="A374" s="60" t="s">
        <v>614</v>
      </c>
      <c r="B374" s="60" t="s">
        <v>615</v>
      </c>
      <c r="C374" s="34">
        <v>4301012236</v>
      </c>
      <c r="D374" s="708">
        <v>4680115887220</v>
      </c>
      <c r="E374" s="70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142</v>
      </c>
      <c r="L374" s="35" t="s">
        <v>46</v>
      </c>
      <c r="M374" s="36" t="s">
        <v>134</v>
      </c>
      <c r="N374" s="36"/>
      <c r="O374" s="35">
        <v>55</v>
      </c>
      <c r="P374" s="90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0"/>
      <c r="R374" s="710"/>
      <c r="S374" s="710"/>
      <c r="T374" s="71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51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55" t="s">
        <v>605</v>
      </c>
      <c r="AG374" s="75"/>
      <c r="AJ374" s="79" t="s">
        <v>46</v>
      </c>
      <c r="AK374" s="79">
        <v>0</v>
      </c>
      <c r="BB374" s="456" t="s">
        <v>67</v>
      </c>
      <c r="BM374" s="75">
        <f t="shared" si="52"/>
        <v>0</v>
      </c>
      <c r="BN374" s="75">
        <f t="shared" si="53"/>
        <v>0</v>
      </c>
      <c r="BO374" s="75">
        <f t="shared" si="54"/>
        <v>0</v>
      </c>
      <c r="BP374" s="75">
        <f t="shared" si="55"/>
        <v>0</v>
      </c>
    </row>
    <row r="375" spans="1:68" ht="27" hidden="1" customHeight="1" x14ac:dyDescent="0.25">
      <c r="A375" s="60" t="s">
        <v>616</v>
      </c>
      <c r="B375" s="60" t="s">
        <v>617</v>
      </c>
      <c r="C375" s="34">
        <v>4301011859</v>
      </c>
      <c r="D375" s="708">
        <v>4680115885608</v>
      </c>
      <c r="E375" s="70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142</v>
      </c>
      <c r="L375" s="35" t="s">
        <v>46</v>
      </c>
      <c r="M375" s="36" t="s">
        <v>134</v>
      </c>
      <c r="N375" s="36"/>
      <c r="O375" s="35">
        <v>55</v>
      </c>
      <c r="P375" s="9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0"/>
      <c r="R375" s="710"/>
      <c r="S375" s="710"/>
      <c r="T375" s="71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1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57" t="s">
        <v>618</v>
      </c>
      <c r="AG375" s="75"/>
      <c r="AJ375" s="79" t="s">
        <v>46</v>
      </c>
      <c r="AK375" s="79">
        <v>0</v>
      </c>
      <c r="BB375" s="458" t="s">
        <v>67</v>
      </c>
      <c r="BM375" s="75">
        <f t="shared" si="52"/>
        <v>0</v>
      </c>
      <c r="BN375" s="75">
        <f t="shared" si="53"/>
        <v>0</v>
      </c>
      <c r="BO375" s="75">
        <f t="shared" si="54"/>
        <v>0</v>
      </c>
      <c r="BP375" s="75">
        <f t="shared" si="55"/>
        <v>0</v>
      </c>
    </row>
    <row r="376" spans="1:68" hidden="1" x14ac:dyDescent="0.2">
      <c r="A376" s="715"/>
      <c r="B376" s="715"/>
      <c r="C376" s="715"/>
      <c r="D376" s="715"/>
      <c r="E376" s="715"/>
      <c r="F376" s="715"/>
      <c r="G376" s="715"/>
      <c r="H376" s="715"/>
      <c r="I376" s="715"/>
      <c r="J376" s="715"/>
      <c r="K376" s="715"/>
      <c r="L376" s="715"/>
      <c r="M376" s="715"/>
      <c r="N376" s="715"/>
      <c r="O376" s="716"/>
      <c r="P376" s="712" t="s">
        <v>40</v>
      </c>
      <c r="Q376" s="713"/>
      <c r="R376" s="713"/>
      <c r="S376" s="713"/>
      <c r="T376" s="713"/>
      <c r="U376" s="713"/>
      <c r="V376" s="714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15"/>
      <c r="B377" s="715"/>
      <c r="C377" s="715"/>
      <c r="D377" s="715"/>
      <c r="E377" s="715"/>
      <c r="F377" s="715"/>
      <c r="G377" s="715"/>
      <c r="H377" s="715"/>
      <c r="I377" s="715"/>
      <c r="J377" s="715"/>
      <c r="K377" s="715"/>
      <c r="L377" s="715"/>
      <c r="M377" s="715"/>
      <c r="N377" s="715"/>
      <c r="O377" s="716"/>
      <c r="P377" s="712" t="s">
        <v>40</v>
      </c>
      <c r="Q377" s="713"/>
      <c r="R377" s="713"/>
      <c r="S377" s="713"/>
      <c r="T377" s="713"/>
      <c r="U377" s="713"/>
      <c r="V377" s="714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07" t="s">
        <v>77</v>
      </c>
      <c r="B378" s="707"/>
      <c r="C378" s="707"/>
      <c r="D378" s="707"/>
      <c r="E378" s="707"/>
      <c r="F378" s="707"/>
      <c r="G378" s="707"/>
      <c r="H378" s="707"/>
      <c r="I378" s="707"/>
      <c r="J378" s="707"/>
      <c r="K378" s="707"/>
      <c r="L378" s="707"/>
      <c r="M378" s="707"/>
      <c r="N378" s="707"/>
      <c r="O378" s="707"/>
      <c r="P378" s="707"/>
      <c r="Q378" s="707"/>
      <c r="R378" s="707"/>
      <c r="S378" s="707"/>
      <c r="T378" s="707"/>
      <c r="U378" s="707"/>
      <c r="V378" s="707"/>
      <c r="W378" s="707"/>
      <c r="X378" s="707"/>
      <c r="Y378" s="707"/>
      <c r="Z378" s="707"/>
      <c r="AA378" s="63"/>
      <c r="AB378" s="63"/>
      <c r="AC378" s="63"/>
    </row>
    <row r="379" spans="1:68" ht="27" hidden="1" customHeight="1" x14ac:dyDescent="0.25">
      <c r="A379" s="60" t="s">
        <v>619</v>
      </c>
      <c r="B379" s="60" t="s">
        <v>620</v>
      </c>
      <c r="C379" s="34">
        <v>4301030878</v>
      </c>
      <c r="D379" s="708">
        <v>4607091387193</v>
      </c>
      <c r="E379" s="70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142</v>
      </c>
      <c r="L379" s="35" t="s">
        <v>46</v>
      </c>
      <c r="M379" s="36" t="s">
        <v>81</v>
      </c>
      <c r="N379" s="36"/>
      <c r="O379" s="35">
        <v>35</v>
      </c>
      <c r="P379" s="90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0"/>
      <c r="R379" s="710"/>
      <c r="S379" s="710"/>
      <c r="T379" s="71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56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59" t="s">
        <v>621</v>
      </c>
      <c r="AG379" s="75"/>
      <c r="AJ379" s="79" t="s">
        <v>46</v>
      </c>
      <c r="AK379" s="79">
        <v>0</v>
      </c>
      <c r="BB379" s="460" t="s">
        <v>67</v>
      </c>
      <c r="BM379" s="75">
        <f t="shared" ref="BM379:BM385" si="57">IFERROR(X379*I379/H379,"0")</f>
        <v>0</v>
      </c>
      <c r="BN379" s="75">
        <f t="shared" ref="BN379:BN385" si="58">IFERROR(Y379*I379/H379,"0")</f>
        <v>0</v>
      </c>
      <c r="BO379" s="75">
        <f t="shared" ref="BO379:BO385" si="59">IFERROR(1/J379*(X379/H379),"0")</f>
        <v>0</v>
      </c>
      <c r="BP379" s="75">
        <f t="shared" ref="BP379:BP385" si="60">IFERROR(1/J379*(Y379/H379),"0")</f>
        <v>0</v>
      </c>
    </row>
    <row r="380" spans="1:68" ht="27" hidden="1" customHeight="1" x14ac:dyDescent="0.25">
      <c r="A380" s="60" t="s">
        <v>622</v>
      </c>
      <c r="B380" s="60" t="s">
        <v>623</v>
      </c>
      <c r="C380" s="34">
        <v>4301031153</v>
      </c>
      <c r="D380" s="708">
        <v>4607091387230</v>
      </c>
      <c r="E380" s="70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142</v>
      </c>
      <c r="L380" s="35" t="s">
        <v>46</v>
      </c>
      <c r="M380" s="36" t="s">
        <v>81</v>
      </c>
      <c r="N380" s="36"/>
      <c r="O380" s="35">
        <v>40</v>
      </c>
      <c r="P380" s="90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0"/>
      <c r="R380" s="710"/>
      <c r="S380" s="710"/>
      <c r="T380" s="71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6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61" t="s">
        <v>624</v>
      </c>
      <c r="AG380" s="75"/>
      <c r="AJ380" s="79" t="s">
        <v>46</v>
      </c>
      <c r="AK380" s="79">
        <v>0</v>
      </c>
      <c r="BB380" s="462" t="s">
        <v>67</v>
      </c>
      <c r="BM380" s="75">
        <f t="shared" si="57"/>
        <v>0</v>
      </c>
      <c r="BN380" s="75">
        <f t="shared" si="58"/>
        <v>0</v>
      </c>
      <c r="BO380" s="75">
        <f t="shared" si="59"/>
        <v>0</v>
      </c>
      <c r="BP380" s="75">
        <f t="shared" si="60"/>
        <v>0</v>
      </c>
    </row>
    <row r="381" spans="1:68" ht="27" hidden="1" customHeight="1" x14ac:dyDescent="0.25">
      <c r="A381" s="60" t="s">
        <v>625</v>
      </c>
      <c r="B381" s="60" t="s">
        <v>626</v>
      </c>
      <c r="C381" s="34">
        <v>4301031154</v>
      </c>
      <c r="D381" s="708">
        <v>4607091387292</v>
      </c>
      <c r="E381" s="70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142</v>
      </c>
      <c r="L381" s="35" t="s">
        <v>46</v>
      </c>
      <c r="M381" s="36" t="s">
        <v>81</v>
      </c>
      <c r="N381" s="36"/>
      <c r="O381" s="35">
        <v>45</v>
      </c>
      <c r="P381" s="9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0"/>
      <c r="R381" s="710"/>
      <c r="S381" s="710"/>
      <c r="T381" s="71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56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3" t="s">
        <v>627</v>
      </c>
      <c r="AG381" s="75"/>
      <c r="AJ381" s="79" t="s">
        <v>46</v>
      </c>
      <c r="AK381" s="79">
        <v>0</v>
      </c>
      <c r="BB381" s="464" t="s">
        <v>67</v>
      </c>
      <c r="BM381" s="75">
        <f t="shared" si="57"/>
        <v>0</v>
      </c>
      <c r="BN381" s="75">
        <f t="shared" si="58"/>
        <v>0</v>
      </c>
      <c r="BO381" s="75">
        <f t="shared" si="59"/>
        <v>0</v>
      </c>
      <c r="BP381" s="75">
        <f t="shared" si="60"/>
        <v>0</v>
      </c>
    </row>
    <row r="382" spans="1:68" ht="27" hidden="1" customHeight="1" x14ac:dyDescent="0.25">
      <c r="A382" s="60" t="s">
        <v>628</v>
      </c>
      <c r="B382" s="60" t="s">
        <v>629</v>
      </c>
      <c r="C382" s="34">
        <v>4301031152</v>
      </c>
      <c r="D382" s="708">
        <v>4607091387285</v>
      </c>
      <c r="E382" s="70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0"/>
      <c r="R382" s="710"/>
      <c r="S382" s="710"/>
      <c r="T382" s="71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56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65" t="s">
        <v>624</v>
      </c>
      <c r="AG382" s="75"/>
      <c r="AJ382" s="79" t="s">
        <v>46</v>
      </c>
      <c r="AK382" s="79">
        <v>0</v>
      </c>
      <c r="BB382" s="466" t="s">
        <v>67</v>
      </c>
      <c r="BM382" s="75">
        <f t="shared" si="57"/>
        <v>0</v>
      </c>
      <c r="BN382" s="75">
        <f t="shared" si="58"/>
        <v>0</v>
      </c>
      <c r="BO382" s="75">
        <f t="shared" si="59"/>
        <v>0</v>
      </c>
      <c r="BP382" s="75">
        <f t="shared" si="60"/>
        <v>0</v>
      </c>
    </row>
    <row r="383" spans="1:68" ht="27" customHeight="1" x14ac:dyDescent="0.25">
      <c r="A383" s="60" t="s">
        <v>630</v>
      </c>
      <c r="B383" s="60" t="s">
        <v>631</v>
      </c>
      <c r="C383" s="34">
        <v>4301031305</v>
      </c>
      <c r="D383" s="708">
        <v>4607091389845</v>
      </c>
      <c r="E383" s="70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0"/>
      <c r="R383" s="710"/>
      <c r="S383" s="710"/>
      <c r="T383" s="711"/>
      <c r="U383" s="37" t="s">
        <v>46</v>
      </c>
      <c r="V383" s="37" t="s">
        <v>46</v>
      </c>
      <c r="W383" s="38" t="s">
        <v>0</v>
      </c>
      <c r="X383" s="56">
        <v>175</v>
      </c>
      <c r="Y383" s="53">
        <f t="shared" si="56"/>
        <v>176.4</v>
      </c>
      <c r="Z383" s="39">
        <f>IFERROR(IF(Y383=0,"",ROUNDUP(Y383/H383,0)*0.00502),"")</f>
        <v>0.42168</v>
      </c>
      <c r="AA383" s="65" t="s">
        <v>46</v>
      </c>
      <c r="AB383" s="66" t="s">
        <v>46</v>
      </c>
      <c r="AC383" s="467" t="s">
        <v>632</v>
      </c>
      <c r="AG383" s="75"/>
      <c r="AJ383" s="79" t="s">
        <v>46</v>
      </c>
      <c r="AK383" s="79">
        <v>0</v>
      </c>
      <c r="BB383" s="468" t="s">
        <v>67</v>
      </c>
      <c r="BM383" s="75">
        <f t="shared" si="57"/>
        <v>183.33333333333334</v>
      </c>
      <c r="BN383" s="75">
        <f t="shared" si="58"/>
        <v>184.8</v>
      </c>
      <c r="BO383" s="75">
        <f t="shared" si="59"/>
        <v>0.35612535612535612</v>
      </c>
      <c r="BP383" s="75">
        <f t="shared" si="60"/>
        <v>0.35897435897435903</v>
      </c>
    </row>
    <row r="384" spans="1:68" ht="27" hidden="1" customHeight="1" x14ac:dyDescent="0.25">
      <c r="A384" s="60" t="s">
        <v>633</v>
      </c>
      <c r="B384" s="60" t="s">
        <v>634</v>
      </c>
      <c r="C384" s="34">
        <v>4301031460</v>
      </c>
      <c r="D384" s="708">
        <v>4680115887442</v>
      </c>
      <c r="E384" s="70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142</v>
      </c>
      <c r="L384" s="35" t="s">
        <v>46</v>
      </c>
      <c r="M384" s="36" t="s">
        <v>81</v>
      </c>
      <c r="N384" s="36"/>
      <c r="O384" s="35">
        <v>45</v>
      </c>
      <c r="P384" s="9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0"/>
      <c r="R384" s="710"/>
      <c r="S384" s="710"/>
      <c r="T384" s="71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56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69" t="s">
        <v>627</v>
      </c>
      <c r="AG384" s="75"/>
      <c r="AJ384" s="79" t="s">
        <v>46</v>
      </c>
      <c r="AK384" s="79">
        <v>0</v>
      </c>
      <c r="BB384" s="470" t="s">
        <v>67</v>
      </c>
      <c r="BM384" s="75">
        <f t="shared" si="57"/>
        <v>0</v>
      </c>
      <c r="BN384" s="75">
        <f t="shared" si="58"/>
        <v>0</v>
      </c>
      <c r="BO384" s="75">
        <f t="shared" si="59"/>
        <v>0</v>
      </c>
      <c r="BP384" s="75">
        <f t="shared" si="60"/>
        <v>0</v>
      </c>
    </row>
    <row r="385" spans="1:68" ht="27" customHeight="1" x14ac:dyDescent="0.25">
      <c r="A385" s="60" t="s">
        <v>635</v>
      </c>
      <c r="B385" s="60" t="s">
        <v>636</v>
      </c>
      <c r="C385" s="34">
        <v>4301031066</v>
      </c>
      <c r="D385" s="708">
        <v>4607091383836</v>
      </c>
      <c r="E385" s="70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88</v>
      </c>
      <c r="L385" s="35" t="s">
        <v>46</v>
      </c>
      <c r="M385" s="36" t="s">
        <v>81</v>
      </c>
      <c r="N385" s="36"/>
      <c r="O385" s="35">
        <v>40</v>
      </c>
      <c r="P385" s="9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0"/>
      <c r="R385" s="710"/>
      <c r="S385" s="710"/>
      <c r="T385" s="711"/>
      <c r="U385" s="37" t="s">
        <v>46</v>
      </c>
      <c r="V385" s="37" t="s">
        <v>46</v>
      </c>
      <c r="W385" s="38" t="s">
        <v>0</v>
      </c>
      <c r="X385" s="56">
        <v>60</v>
      </c>
      <c r="Y385" s="53">
        <f t="shared" si="56"/>
        <v>61.2</v>
      </c>
      <c r="Z385" s="39">
        <f>IFERROR(IF(Y385=0,"",ROUNDUP(Y385/H385,0)*0.00651),"")</f>
        <v>0.22134000000000001</v>
      </c>
      <c r="AA385" s="65" t="s">
        <v>46</v>
      </c>
      <c r="AB385" s="66" t="s">
        <v>46</v>
      </c>
      <c r="AC385" s="471" t="s">
        <v>637</v>
      </c>
      <c r="AG385" s="75"/>
      <c r="AJ385" s="79" t="s">
        <v>46</v>
      </c>
      <c r="AK385" s="79">
        <v>0</v>
      </c>
      <c r="BB385" s="472" t="s">
        <v>67</v>
      </c>
      <c r="BM385" s="75">
        <f t="shared" si="57"/>
        <v>67.600000000000009</v>
      </c>
      <c r="BN385" s="75">
        <f t="shared" si="58"/>
        <v>68.951999999999998</v>
      </c>
      <c r="BO385" s="75">
        <f t="shared" si="59"/>
        <v>0.18315018315018317</v>
      </c>
      <c r="BP385" s="75">
        <f t="shared" si="60"/>
        <v>0.18681318681318682</v>
      </c>
    </row>
    <row r="386" spans="1:68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0" t="s">
        <v>39</v>
      </c>
      <c r="X386" s="41">
        <f>IFERROR(X379/H379,"0")+IFERROR(X380/H380,"0")+IFERROR(X381/H381,"0")+IFERROR(X382/H382,"0")+IFERROR(X383/H383,"0")+IFERROR(X384/H384,"0")+IFERROR(X385/H385,"0")</f>
        <v>116.66666666666666</v>
      </c>
      <c r="Y386" s="41">
        <f>IFERROR(Y379/H379,"0")+IFERROR(Y380/H380,"0")+IFERROR(Y381/H381,"0")+IFERROR(Y382/H382,"0")+IFERROR(Y383/H383,"0")+IFERROR(Y384/H384,"0")+IFERROR(Y385/H385,"0")</f>
        <v>118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0.64302000000000004</v>
      </c>
      <c r="AA386" s="64"/>
      <c r="AB386" s="64"/>
      <c r="AC386" s="64"/>
    </row>
    <row r="387" spans="1:68" x14ac:dyDescent="0.2">
      <c r="A387" s="715"/>
      <c r="B387" s="715"/>
      <c r="C387" s="715"/>
      <c r="D387" s="715"/>
      <c r="E387" s="715"/>
      <c r="F387" s="715"/>
      <c r="G387" s="715"/>
      <c r="H387" s="715"/>
      <c r="I387" s="715"/>
      <c r="J387" s="715"/>
      <c r="K387" s="715"/>
      <c r="L387" s="715"/>
      <c r="M387" s="715"/>
      <c r="N387" s="715"/>
      <c r="O387" s="716"/>
      <c r="P387" s="712" t="s">
        <v>40</v>
      </c>
      <c r="Q387" s="713"/>
      <c r="R387" s="713"/>
      <c r="S387" s="713"/>
      <c r="T387" s="713"/>
      <c r="U387" s="713"/>
      <c r="V387" s="714"/>
      <c r="W387" s="40" t="s">
        <v>0</v>
      </c>
      <c r="X387" s="41">
        <f>IFERROR(SUM(X379:X385),"0")</f>
        <v>235</v>
      </c>
      <c r="Y387" s="41">
        <f>IFERROR(SUM(Y379:Y385),"0")</f>
        <v>237.60000000000002</v>
      </c>
      <c r="Z387" s="40"/>
      <c r="AA387" s="64"/>
      <c r="AB387" s="64"/>
      <c r="AC387" s="64"/>
    </row>
    <row r="388" spans="1:68" ht="14.25" hidden="1" customHeight="1" x14ac:dyDescent="0.25">
      <c r="A388" s="707" t="s">
        <v>83</v>
      </c>
      <c r="B388" s="707"/>
      <c r="C388" s="707"/>
      <c r="D388" s="707"/>
      <c r="E388" s="707"/>
      <c r="F388" s="707"/>
      <c r="G388" s="707"/>
      <c r="H388" s="707"/>
      <c r="I388" s="707"/>
      <c r="J388" s="707"/>
      <c r="K388" s="707"/>
      <c r="L388" s="707"/>
      <c r="M388" s="707"/>
      <c r="N388" s="707"/>
      <c r="O388" s="707"/>
      <c r="P388" s="707"/>
      <c r="Q388" s="707"/>
      <c r="R388" s="707"/>
      <c r="S388" s="707"/>
      <c r="T388" s="707"/>
      <c r="U388" s="707"/>
      <c r="V388" s="707"/>
      <c r="W388" s="707"/>
      <c r="X388" s="707"/>
      <c r="Y388" s="707"/>
      <c r="Z388" s="707"/>
      <c r="AA388" s="63"/>
      <c r="AB388" s="63"/>
      <c r="AC388" s="63"/>
    </row>
    <row r="389" spans="1:68" ht="27" hidden="1" customHeight="1" x14ac:dyDescent="0.25">
      <c r="A389" s="60" t="s">
        <v>638</v>
      </c>
      <c r="B389" s="60" t="s">
        <v>639</v>
      </c>
      <c r="C389" s="34">
        <v>4301051100</v>
      </c>
      <c r="D389" s="708">
        <v>4607091387766</v>
      </c>
      <c r="E389" s="70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135</v>
      </c>
      <c r="L389" s="35" t="s">
        <v>46</v>
      </c>
      <c r="M389" s="36" t="s">
        <v>87</v>
      </c>
      <c r="N389" s="36"/>
      <c r="O389" s="35">
        <v>40</v>
      </c>
      <c r="P389" s="9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0"/>
      <c r="R389" s="710"/>
      <c r="S389" s="710"/>
      <c r="T389" s="71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73" t="s">
        <v>640</v>
      </c>
      <c r="AG389" s="75"/>
      <c r="AJ389" s="79" t="s">
        <v>46</v>
      </c>
      <c r="AK389" s="79">
        <v>0</v>
      </c>
      <c r="BB389" s="47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641</v>
      </c>
      <c r="B390" s="60" t="s">
        <v>642</v>
      </c>
      <c r="C390" s="34">
        <v>4301051818</v>
      </c>
      <c r="D390" s="708">
        <v>4607091387957</v>
      </c>
      <c r="E390" s="70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135</v>
      </c>
      <c r="L390" s="35" t="s">
        <v>46</v>
      </c>
      <c r="M390" s="36" t="s">
        <v>87</v>
      </c>
      <c r="N390" s="36"/>
      <c r="O390" s="35">
        <v>40</v>
      </c>
      <c r="P390" s="9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0"/>
      <c r="R390" s="710"/>
      <c r="S390" s="710"/>
      <c r="T390" s="71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75" t="s">
        <v>643</v>
      </c>
      <c r="AG390" s="75"/>
      <c r="AJ390" s="79" t="s">
        <v>46</v>
      </c>
      <c r="AK390" s="79">
        <v>0</v>
      </c>
      <c r="BB390" s="47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644</v>
      </c>
      <c r="B391" s="60" t="s">
        <v>645</v>
      </c>
      <c r="C391" s="34">
        <v>4301051819</v>
      </c>
      <c r="D391" s="708">
        <v>4607091387964</v>
      </c>
      <c r="E391" s="70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135</v>
      </c>
      <c r="L391" s="35" t="s">
        <v>46</v>
      </c>
      <c r="M391" s="36" t="s">
        <v>87</v>
      </c>
      <c r="N391" s="36"/>
      <c r="O391" s="35">
        <v>40</v>
      </c>
      <c r="P391" s="9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0"/>
      <c r="R391" s="710"/>
      <c r="S391" s="710"/>
      <c r="T391" s="71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7" t="s">
        <v>646</v>
      </c>
      <c r="AG391" s="75"/>
      <c r="AJ391" s="79" t="s">
        <v>46</v>
      </c>
      <c r="AK391" s="79">
        <v>0</v>
      </c>
      <c r="BB391" s="47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647</v>
      </c>
      <c r="B392" s="60" t="s">
        <v>648</v>
      </c>
      <c r="C392" s="34">
        <v>4301051734</v>
      </c>
      <c r="D392" s="708">
        <v>4680115884588</v>
      </c>
      <c r="E392" s="70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88</v>
      </c>
      <c r="L392" s="35" t="s">
        <v>46</v>
      </c>
      <c r="M392" s="36" t="s">
        <v>87</v>
      </c>
      <c r="N392" s="36"/>
      <c r="O392" s="35">
        <v>40</v>
      </c>
      <c r="P392" s="9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0"/>
      <c r="R392" s="710"/>
      <c r="S392" s="710"/>
      <c r="T392" s="71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9" t="s">
        <v>640</v>
      </c>
      <c r="AG392" s="75"/>
      <c r="AJ392" s="79" t="s">
        <v>46</v>
      </c>
      <c r="AK392" s="79">
        <v>0</v>
      </c>
      <c r="BB392" s="48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idden="1" x14ac:dyDescent="0.2">
      <c r="A393" s="715"/>
      <c r="B393" s="715"/>
      <c r="C393" s="715"/>
      <c r="D393" s="715"/>
      <c r="E393" s="715"/>
      <c r="F393" s="715"/>
      <c r="G393" s="715"/>
      <c r="H393" s="715"/>
      <c r="I393" s="715"/>
      <c r="J393" s="715"/>
      <c r="K393" s="715"/>
      <c r="L393" s="715"/>
      <c r="M393" s="715"/>
      <c r="N393" s="715"/>
      <c r="O393" s="716"/>
      <c r="P393" s="712" t="s">
        <v>40</v>
      </c>
      <c r="Q393" s="713"/>
      <c r="R393" s="713"/>
      <c r="S393" s="713"/>
      <c r="T393" s="713"/>
      <c r="U393" s="713"/>
      <c r="V393" s="714"/>
      <c r="W393" s="40" t="s">
        <v>39</v>
      </c>
      <c r="X393" s="41">
        <f>IFERROR(X389/H389,"0")+IFERROR(X390/H390,"0")+IFERROR(X391/H391,"0")+IFERROR(X392/H392,"0")</f>
        <v>0</v>
      </c>
      <c r="Y393" s="41">
        <f>IFERROR(Y389/H389,"0")+IFERROR(Y390/H390,"0")+IFERROR(Y391/H391,"0")+IFERROR(Y392/H392,"0")</f>
        <v>0</v>
      </c>
      <c r="Z393" s="41">
        <f>IFERROR(IF(Z389="",0,Z389),"0")+IFERROR(IF(Z390="",0,Z390),"0")+IFERROR(IF(Z391="",0,Z391),"0")+IFERROR(IF(Z392="",0,Z392),"0")</f>
        <v>0</v>
      </c>
      <c r="AA393" s="64"/>
      <c r="AB393" s="64"/>
      <c r="AC393" s="64"/>
    </row>
    <row r="394" spans="1:68" hidden="1" x14ac:dyDescent="0.2">
      <c r="A394" s="715"/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6"/>
      <c r="P394" s="712" t="s">
        <v>40</v>
      </c>
      <c r="Q394" s="713"/>
      <c r="R394" s="713"/>
      <c r="S394" s="713"/>
      <c r="T394" s="713"/>
      <c r="U394" s="713"/>
      <c r="V394" s="714"/>
      <c r="W394" s="40" t="s">
        <v>0</v>
      </c>
      <c r="X394" s="41">
        <f>IFERROR(SUM(X389:X392),"0")</f>
        <v>0</v>
      </c>
      <c r="Y394" s="41">
        <f>IFERROR(SUM(Y389:Y392),"0")</f>
        <v>0</v>
      </c>
      <c r="Z394" s="40"/>
      <c r="AA394" s="64"/>
      <c r="AB394" s="64"/>
      <c r="AC394" s="64"/>
    </row>
    <row r="395" spans="1:68" ht="14.25" hidden="1" customHeight="1" x14ac:dyDescent="0.25">
      <c r="A395" s="707" t="s">
        <v>183</v>
      </c>
      <c r="B395" s="707"/>
      <c r="C395" s="707"/>
      <c r="D395" s="707"/>
      <c r="E395" s="707"/>
      <c r="F395" s="707"/>
      <c r="G395" s="707"/>
      <c r="H395" s="707"/>
      <c r="I395" s="707"/>
      <c r="J395" s="707"/>
      <c r="K395" s="707"/>
      <c r="L395" s="707"/>
      <c r="M395" s="707"/>
      <c r="N395" s="707"/>
      <c r="O395" s="707"/>
      <c r="P395" s="707"/>
      <c r="Q395" s="707"/>
      <c r="R395" s="707"/>
      <c r="S395" s="707"/>
      <c r="T395" s="707"/>
      <c r="U395" s="707"/>
      <c r="V395" s="707"/>
      <c r="W395" s="707"/>
      <c r="X395" s="707"/>
      <c r="Y395" s="707"/>
      <c r="Z395" s="707"/>
      <c r="AA395" s="63"/>
      <c r="AB395" s="63"/>
      <c r="AC395" s="63"/>
    </row>
    <row r="396" spans="1:68" ht="27" customHeight="1" x14ac:dyDescent="0.25">
      <c r="A396" s="60" t="s">
        <v>649</v>
      </c>
      <c r="B396" s="60" t="s">
        <v>650</v>
      </c>
      <c r="C396" s="34">
        <v>4301060387</v>
      </c>
      <c r="D396" s="708">
        <v>4607091380880</v>
      </c>
      <c r="E396" s="70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135</v>
      </c>
      <c r="L396" s="35" t="s">
        <v>46</v>
      </c>
      <c r="M396" s="36" t="s">
        <v>87</v>
      </c>
      <c r="N396" s="36"/>
      <c r="O396" s="35">
        <v>30</v>
      </c>
      <c r="P396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0"/>
      <c r="R396" s="710"/>
      <c r="S396" s="710"/>
      <c r="T396" s="711"/>
      <c r="U396" s="37" t="s">
        <v>46</v>
      </c>
      <c r="V396" s="37" t="s">
        <v>46</v>
      </c>
      <c r="W396" s="38" t="s">
        <v>0</v>
      </c>
      <c r="X396" s="56">
        <v>250</v>
      </c>
      <c r="Y396" s="53">
        <f>IFERROR(IF(X396="",0,CEILING((X396/$H396),1)*$H396),"")</f>
        <v>252</v>
      </c>
      <c r="Z396" s="39">
        <f>IFERROR(IF(Y396=0,"",ROUNDUP(Y396/H396,0)*0.01898),"")</f>
        <v>0.56940000000000002</v>
      </c>
      <c r="AA396" s="65" t="s">
        <v>46</v>
      </c>
      <c r="AB396" s="66" t="s">
        <v>46</v>
      </c>
      <c r="AC396" s="481" t="s">
        <v>651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264.70238095238096</v>
      </c>
      <c r="BN396" s="75">
        <f>IFERROR(Y396*I396/H396,"0")</f>
        <v>266.82</v>
      </c>
      <c r="BO396" s="75">
        <f>IFERROR(1/J396*(X396/H396),"0")</f>
        <v>0.46502976190476186</v>
      </c>
      <c r="BP396" s="75">
        <f>IFERROR(1/J396*(Y396/H396),"0")</f>
        <v>0.46875</v>
      </c>
    </row>
    <row r="397" spans="1:68" ht="27" customHeight="1" x14ac:dyDescent="0.25">
      <c r="A397" s="60" t="s">
        <v>652</v>
      </c>
      <c r="B397" s="60" t="s">
        <v>653</v>
      </c>
      <c r="C397" s="34">
        <v>4301060406</v>
      </c>
      <c r="D397" s="708">
        <v>4607091384482</v>
      </c>
      <c r="E397" s="70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135</v>
      </c>
      <c r="L397" s="35" t="s">
        <v>46</v>
      </c>
      <c r="M397" s="36" t="s">
        <v>87</v>
      </c>
      <c r="N397" s="36"/>
      <c r="O397" s="35">
        <v>30</v>
      </c>
      <c r="P397" s="91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0"/>
      <c r="R397" s="710"/>
      <c r="S397" s="710"/>
      <c r="T397" s="711"/>
      <c r="U397" s="37" t="s">
        <v>46</v>
      </c>
      <c r="V397" s="37" t="s">
        <v>46</v>
      </c>
      <c r="W397" s="38" t="s">
        <v>0</v>
      </c>
      <c r="X397" s="56">
        <v>350</v>
      </c>
      <c r="Y397" s="53">
        <f>IFERROR(IF(X397="",0,CEILING((X397/$H397),1)*$H397),"")</f>
        <v>351</v>
      </c>
      <c r="Z397" s="39">
        <f>IFERROR(IF(Y397=0,"",ROUNDUP(Y397/H397,0)*0.01898),"")</f>
        <v>0.85409999999999997</v>
      </c>
      <c r="AA397" s="65" t="s">
        <v>46</v>
      </c>
      <c r="AB397" s="66" t="s">
        <v>46</v>
      </c>
      <c r="AC397" s="483" t="s">
        <v>654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372.16666666666669</v>
      </c>
      <c r="BN397" s="75">
        <f>IFERROR(Y397*I397/H397,"0")</f>
        <v>373.23</v>
      </c>
      <c r="BO397" s="75">
        <f>IFERROR(1/J397*(X397/H397),"0")</f>
        <v>0.70112179487179493</v>
      </c>
      <c r="BP397" s="75">
        <f>IFERROR(1/J397*(Y397/H397),"0")</f>
        <v>0.703125</v>
      </c>
    </row>
    <row r="398" spans="1:68" ht="27" customHeight="1" x14ac:dyDescent="0.25">
      <c r="A398" s="60" t="s">
        <v>655</v>
      </c>
      <c r="B398" s="60" t="s">
        <v>656</v>
      </c>
      <c r="C398" s="34">
        <v>4301060484</v>
      </c>
      <c r="D398" s="708">
        <v>4607091380897</v>
      </c>
      <c r="E398" s="70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135</v>
      </c>
      <c r="L398" s="35" t="s">
        <v>46</v>
      </c>
      <c r="M398" s="36" t="s">
        <v>94</v>
      </c>
      <c r="N398" s="36"/>
      <c r="O398" s="35">
        <v>30</v>
      </c>
      <c r="P398" s="91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0"/>
      <c r="R398" s="710"/>
      <c r="S398" s="710"/>
      <c r="T398" s="711"/>
      <c r="U398" s="37" t="s">
        <v>46</v>
      </c>
      <c r="V398" s="37" t="s">
        <v>46</v>
      </c>
      <c r="W398" s="38" t="s">
        <v>0</v>
      </c>
      <c r="X398" s="56">
        <v>60</v>
      </c>
      <c r="Y398" s="53">
        <f>IFERROR(IF(X398="",0,CEILING((X398/$H398),1)*$H398),"")</f>
        <v>67.2</v>
      </c>
      <c r="Z398" s="39">
        <f>IFERROR(IF(Y398=0,"",ROUNDUP(Y398/H398,0)*0.01898),"")</f>
        <v>0.15184</v>
      </c>
      <c r="AA398" s="65" t="s">
        <v>46</v>
      </c>
      <c r="AB398" s="66" t="s">
        <v>46</v>
      </c>
      <c r="AC398" s="485" t="s">
        <v>657</v>
      </c>
      <c r="AG398" s="75"/>
      <c r="AJ398" s="79" t="s">
        <v>46</v>
      </c>
      <c r="AK398" s="79">
        <v>0</v>
      </c>
      <c r="BB398" s="486" t="s">
        <v>67</v>
      </c>
      <c r="BM398" s="75">
        <f>IFERROR(X398*I398/H398,"0")</f>
        <v>63.528571428571425</v>
      </c>
      <c r="BN398" s="75">
        <f>IFERROR(Y398*I398/H398,"0")</f>
        <v>71.152000000000001</v>
      </c>
      <c r="BO398" s="75">
        <f>IFERROR(1/J398*(X398/H398),"0")</f>
        <v>0.11160714285714285</v>
      </c>
      <c r="BP398" s="75">
        <f>IFERROR(1/J398*(Y398/H398),"0")</f>
        <v>0.125</v>
      </c>
    </row>
    <row r="399" spans="1:68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0" t="s">
        <v>39</v>
      </c>
      <c r="X399" s="41">
        <f>IFERROR(X396/H396,"0")+IFERROR(X397/H397,"0")+IFERROR(X398/H398,"0")</f>
        <v>81.776556776556774</v>
      </c>
      <c r="Y399" s="41">
        <f>IFERROR(Y396/H396,"0")+IFERROR(Y397/H397,"0")+IFERROR(Y398/H398,"0")</f>
        <v>83</v>
      </c>
      <c r="Z399" s="41">
        <f>IFERROR(IF(Z396="",0,Z396),"0")+IFERROR(IF(Z397="",0,Z397),"0")+IFERROR(IF(Z398="",0,Z398),"0")</f>
        <v>1.57534</v>
      </c>
      <c r="AA399" s="64"/>
      <c r="AB399" s="64"/>
      <c r="AC399" s="64"/>
    </row>
    <row r="400" spans="1:68" x14ac:dyDescent="0.2">
      <c r="A400" s="715"/>
      <c r="B400" s="715"/>
      <c r="C400" s="715"/>
      <c r="D400" s="715"/>
      <c r="E400" s="715"/>
      <c r="F400" s="715"/>
      <c r="G400" s="715"/>
      <c r="H400" s="715"/>
      <c r="I400" s="715"/>
      <c r="J400" s="715"/>
      <c r="K400" s="715"/>
      <c r="L400" s="715"/>
      <c r="M400" s="715"/>
      <c r="N400" s="715"/>
      <c r="O400" s="716"/>
      <c r="P400" s="712" t="s">
        <v>40</v>
      </c>
      <c r="Q400" s="713"/>
      <c r="R400" s="713"/>
      <c r="S400" s="713"/>
      <c r="T400" s="713"/>
      <c r="U400" s="713"/>
      <c r="V400" s="714"/>
      <c r="W400" s="40" t="s">
        <v>0</v>
      </c>
      <c r="X400" s="41">
        <f>IFERROR(SUM(X396:X398),"0")</f>
        <v>660</v>
      </c>
      <c r="Y400" s="41">
        <f>IFERROR(SUM(Y396:Y398),"0")</f>
        <v>670.2</v>
      </c>
      <c r="Z400" s="40"/>
      <c r="AA400" s="64"/>
      <c r="AB400" s="64"/>
      <c r="AC400" s="64"/>
    </row>
    <row r="401" spans="1:68" ht="14.25" hidden="1" customHeight="1" x14ac:dyDescent="0.25">
      <c r="A401" s="707" t="s">
        <v>101</v>
      </c>
      <c r="B401" s="707"/>
      <c r="C401" s="707"/>
      <c r="D401" s="707"/>
      <c r="E401" s="707"/>
      <c r="F401" s="707"/>
      <c r="G401" s="707"/>
      <c r="H401" s="707"/>
      <c r="I401" s="707"/>
      <c r="J401" s="707"/>
      <c r="K401" s="707"/>
      <c r="L401" s="707"/>
      <c r="M401" s="707"/>
      <c r="N401" s="707"/>
      <c r="O401" s="707"/>
      <c r="P401" s="707"/>
      <c r="Q401" s="707"/>
      <c r="R401" s="707"/>
      <c r="S401" s="707"/>
      <c r="T401" s="707"/>
      <c r="U401" s="707"/>
      <c r="V401" s="707"/>
      <c r="W401" s="707"/>
      <c r="X401" s="707"/>
      <c r="Y401" s="707"/>
      <c r="Z401" s="707"/>
      <c r="AA401" s="63"/>
      <c r="AB401" s="63"/>
      <c r="AC401" s="63"/>
    </row>
    <row r="402" spans="1:68" ht="27" hidden="1" customHeight="1" x14ac:dyDescent="0.25">
      <c r="A402" s="60" t="s">
        <v>658</v>
      </c>
      <c r="B402" s="60" t="s">
        <v>659</v>
      </c>
      <c r="C402" s="34">
        <v>4301030235</v>
      </c>
      <c r="D402" s="708">
        <v>4607091388381</v>
      </c>
      <c r="E402" s="70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142</v>
      </c>
      <c r="L402" s="35" t="s">
        <v>46</v>
      </c>
      <c r="M402" s="36" t="s">
        <v>261</v>
      </c>
      <c r="N402" s="36"/>
      <c r="O402" s="35">
        <v>180</v>
      </c>
      <c r="P402" s="9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0"/>
      <c r="R402" s="710"/>
      <c r="S402" s="710"/>
      <c r="T402" s="71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487" t="s">
        <v>660</v>
      </c>
      <c r="AG402" s="75"/>
      <c r="AJ402" s="79" t="s">
        <v>46</v>
      </c>
      <c r="AK402" s="79">
        <v>0</v>
      </c>
      <c r="BB402" s="48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4301030232</v>
      </c>
      <c r="D403" s="708">
        <v>4607091388374</v>
      </c>
      <c r="E403" s="70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142</v>
      </c>
      <c r="L403" s="35" t="s">
        <v>46</v>
      </c>
      <c r="M403" s="36" t="s">
        <v>261</v>
      </c>
      <c r="N403" s="36"/>
      <c r="O403" s="35">
        <v>180</v>
      </c>
      <c r="P403" s="92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0"/>
      <c r="R403" s="710"/>
      <c r="S403" s="710"/>
      <c r="T403" s="71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489" t="s">
        <v>660</v>
      </c>
      <c r="AG403" s="75"/>
      <c r="AJ403" s="79" t="s">
        <v>46</v>
      </c>
      <c r="AK403" s="79">
        <v>0</v>
      </c>
      <c r="BB403" s="49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663</v>
      </c>
      <c r="B404" s="60" t="s">
        <v>664</v>
      </c>
      <c r="C404" s="34">
        <v>4301032015</v>
      </c>
      <c r="D404" s="708">
        <v>4607091383102</v>
      </c>
      <c r="E404" s="70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88</v>
      </c>
      <c r="L404" s="35" t="s">
        <v>46</v>
      </c>
      <c r="M404" s="36" t="s">
        <v>261</v>
      </c>
      <c r="N404" s="36"/>
      <c r="O404" s="35">
        <v>180</v>
      </c>
      <c r="P404" s="92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0"/>
      <c r="R404" s="710"/>
      <c r="S404" s="710"/>
      <c r="T404" s="71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491" t="s">
        <v>660</v>
      </c>
      <c r="AG404" s="75"/>
      <c r="AJ404" s="79" t="s">
        <v>46</v>
      </c>
      <c r="AK404" s="79">
        <v>0</v>
      </c>
      <c r="BB404" s="49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665</v>
      </c>
      <c r="B405" s="60" t="s">
        <v>666</v>
      </c>
      <c r="C405" s="34">
        <v>4301030233</v>
      </c>
      <c r="D405" s="708">
        <v>4607091388404</v>
      </c>
      <c r="E405" s="70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88</v>
      </c>
      <c r="L405" s="35" t="s">
        <v>46</v>
      </c>
      <c r="M405" s="36" t="s">
        <v>261</v>
      </c>
      <c r="N405" s="36"/>
      <c r="O405" s="35">
        <v>180</v>
      </c>
      <c r="P405" s="9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0"/>
      <c r="R405" s="710"/>
      <c r="S405" s="710"/>
      <c r="T405" s="71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493" t="s">
        <v>660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15"/>
      <c r="B406" s="715"/>
      <c r="C406" s="715"/>
      <c r="D406" s="715"/>
      <c r="E406" s="715"/>
      <c r="F406" s="715"/>
      <c r="G406" s="715"/>
      <c r="H406" s="715"/>
      <c r="I406" s="715"/>
      <c r="J406" s="715"/>
      <c r="K406" s="715"/>
      <c r="L406" s="715"/>
      <c r="M406" s="715"/>
      <c r="N406" s="715"/>
      <c r="O406" s="716"/>
      <c r="P406" s="712" t="s">
        <v>40</v>
      </c>
      <c r="Q406" s="713"/>
      <c r="R406" s="713"/>
      <c r="S406" s="713"/>
      <c r="T406" s="713"/>
      <c r="U406" s="713"/>
      <c r="V406" s="714"/>
      <c r="W406" s="40" t="s">
        <v>39</v>
      </c>
      <c r="X406" s="41">
        <f>IFERROR(X402/H402,"0")+IFERROR(X403/H403,"0")+IFERROR(X404/H404,"0")+IFERROR(X405/H405,"0")</f>
        <v>0</v>
      </c>
      <c r="Y406" s="41">
        <f>IFERROR(Y402/H402,"0")+IFERROR(Y403/H403,"0")+IFERROR(Y404/H404,"0")+IFERROR(Y405/H405,"0")</f>
        <v>0</v>
      </c>
      <c r="Z406" s="41">
        <f>IFERROR(IF(Z402="",0,Z402),"0")+IFERROR(IF(Z403="",0,Z403),"0")+IFERROR(IF(Z404="",0,Z404),"0")+IFERROR(IF(Z405="",0,Z405),"0")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15"/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6"/>
      <c r="P407" s="712" t="s">
        <v>40</v>
      </c>
      <c r="Q407" s="713"/>
      <c r="R407" s="713"/>
      <c r="S407" s="713"/>
      <c r="T407" s="713"/>
      <c r="U407" s="713"/>
      <c r="V407" s="714"/>
      <c r="W407" s="40" t="s">
        <v>0</v>
      </c>
      <c r="X407" s="41">
        <f>IFERROR(SUM(X402:X405),"0")</f>
        <v>0</v>
      </c>
      <c r="Y407" s="41">
        <f>IFERROR(SUM(Y402:Y405),"0")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707" t="s">
        <v>667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3"/>
      <c r="AB408" s="63"/>
      <c r="AC408" s="63"/>
    </row>
    <row r="409" spans="1:68" ht="16.5" hidden="1" customHeight="1" x14ac:dyDescent="0.25">
      <c r="A409" s="60" t="s">
        <v>668</v>
      </c>
      <c r="B409" s="60" t="s">
        <v>669</v>
      </c>
      <c r="C409" s="34">
        <v>4301180007</v>
      </c>
      <c r="D409" s="708">
        <v>4680115881808</v>
      </c>
      <c r="E409" s="70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88</v>
      </c>
      <c r="L409" s="35" t="s">
        <v>46</v>
      </c>
      <c r="M409" s="36" t="s">
        <v>671</v>
      </c>
      <c r="N409" s="36"/>
      <c r="O409" s="35">
        <v>731</v>
      </c>
      <c r="P409" s="9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0"/>
      <c r="R409" s="710"/>
      <c r="S409" s="710"/>
      <c r="T409" s="71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495" t="s">
        <v>670</v>
      </c>
      <c r="AG409" s="75"/>
      <c r="AJ409" s="79" t="s">
        <v>46</v>
      </c>
      <c r="AK409" s="79">
        <v>0</v>
      </c>
      <c r="BB409" s="49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672</v>
      </c>
      <c r="B410" s="60" t="s">
        <v>673</v>
      </c>
      <c r="C410" s="34">
        <v>4301180006</v>
      </c>
      <c r="D410" s="708">
        <v>4680115881822</v>
      </c>
      <c r="E410" s="70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88</v>
      </c>
      <c r="L410" s="35" t="s">
        <v>46</v>
      </c>
      <c r="M410" s="36" t="s">
        <v>671</v>
      </c>
      <c r="N410" s="36"/>
      <c r="O410" s="35">
        <v>731</v>
      </c>
      <c r="P410" s="9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0"/>
      <c r="R410" s="710"/>
      <c r="S410" s="710"/>
      <c r="T410" s="71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497" t="s">
        <v>670</v>
      </c>
      <c r="AG410" s="75"/>
      <c r="AJ410" s="79" t="s">
        <v>46</v>
      </c>
      <c r="AK410" s="79">
        <v>0</v>
      </c>
      <c r="BB410" s="49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674</v>
      </c>
      <c r="B411" s="60" t="s">
        <v>675</v>
      </c>
      <c r="C411" s="34">
        <v>4301180001</v>
      </c>
      <c r="D411" s="708">
        <v>4680115880016</v>
      </c>
      <c r="E411" s="70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88</v>
      </c>
      <c r="L411" s="35" t="s">
        <v>46</v>
      </c>
      <c r="M411" s="36" t="s">
        <v>671</v>
      </c>
      <c r="N411" s="36"/>
      <c r="O411" s="35">
        <v>731</v>
      </c>
      <c r="P411" s="9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0"/>
      <c r="R411" s="710"/>
      <c r="S411" s="710"/>
      <c r="T411" s="71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499" t="s">
        <v>670</v>
      </c>
      <c r="AG411" s="75"/>
      <c r="AJ411" s="79" t="s">
        <v>46</v>
      </c>
      <c r="AK411" s="79">
        <v>0</v>
      </c>
      <c r="BB411" s="50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15"/>
      <c r="B412" s="715"/>
      <c r="C412" s="715"/>
      <c r="D412" s="715"/>
      <c r="E412" s="715"/>
      <c r="F412" s="715"/>
      <c r="G412" s="715"/>
      <c r="H412" s="715"/>
      <c r="I412" s="715"/>
      <c r="J412" s="715"/>
      <c r="K412" s="715"/>
      <c r="L412" s="715"/>
      <c r="M412" s="715"/>
      <c r="N412" s="715"/>
      <c r="O412" s="716"/>
      <c r="P412" s="712" t="s">
        <v>40</v>
      </c>
      <c r="Q412" s="713"/>
      <c r="R412" s="713"/>
      <c r="S412" s="713"/>
      <c r="T412" s="713"/>
      <c r="U412" s="713"/>
      <c r="V412" s="714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715"/>
      <c r="B413" s="715"/>
      <c r="C413" s="715"/>
      <c r="D413" s="715"/>
      <c r="E413" s="715"/>
      <c r="F413" s="715"/>
      <c r="G413" s="715"/>
      <c r="H413" s="715"/>
      <c r="I413" s="715"/>
      <c r="J413" s="715"/>
      <c r="K413" s="715"/>
      <c r="L413" s="715"/>
      <c r="M413" s="715"/>
      <c r="N413" s="715"/>
      <c r="O413" s="716"/>
      <c r="P413" s="712" t="s">
        <v>40</v>
      </c>
      <c r="Q413" s="713"/>
      <c r="R413" s="713"/>
      <c r="S413" s="713"/>
      <c r="T413" s="713"/>
      <c r="U413" s="713"/>
      <c r="V413" s="714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707" t="s">
        <v>676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3"/>
      <c r="AB414" s="63"/>
      <c r="AC414" s="63"/>
    </row>
    <row r="415" spans="1:68" ht="27" hidden="1" customHeight="1" x14ac:dyDescent="0.25">
      <c r="A415" s="60" t="s">
        <v>677</v>
      </c>
      <c r="B415" s="60" t="s">
        <v>678</v>
      </c>
      <c r="C415" s="34">
        <v>4301220003</v>
      </c>
      <c r="D415" s="708">
        <v>4680115888678</v>
      </c>
      <c r="E415" s="70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88</v>
      </c>
      <c r="L415" s="35" t="s">
        <v>46</v>
      </c>
      <c r="M415" s="36" t="s">
        <v>671</v>
      </c>
      <c r="N415" s="36"/>
      <c r="O415" s="35">
        <v>1096</v>
      </c>
      <c r="P415" s="9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0"/>
      <c r="R415" s="710"/>
      <c r="S415" s="710"/>
      <c r="T415" s="71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IFERROR(IF(Y415=0,"",ROUNDUP(Y415/H415,0)*0.0045),"")</f>
        <v/>
      </c>
      <c r="AA415" s="65" t="s">
        <v>46</v>
      </c>
      <c r="AB415" s="66" t="s">
        <v>46</v>
      </c>
      <c r="AC415" s="501" t="s">
        <v>679</v>
      </c>
      <c r="AG415" s="75"/>
      <c r="AJ415" s="79" t="s">
        <v>46</v>
      </c>
      <c r="AK415" s="79">
        <v>0</v>
      </c>
      <c r="BB415" s="502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680</v>
      </c>
      <c r="B416" s="60" t="s">
        <v>681</v>
      </c>
      <c r="C416" s="34">
        <v>4301220001</v>
      </c>
      <c r="D416" s="708">
        <v>4680115888654</v>
      </c>
      <c r="E416" s="70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142</v>
      </c>
      <c r="L416" s="35" t="s">
        <v>46</v>
      </c>
      <c r="M416" s="36" t="s">
        <v>671</v>
      </c>
      <c r="N416" s="36"/>
      <c r="O416" s="35">
        <v>1096</v>
      </c>
      <c r="P416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0"/>
      <c r="R416" s="710"/>
      <c r="S416" s="710"/>
      <c r="T416" s="71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03" t="s">
        <v>682</v>
      </c>
      <c r="AG416" s="75"/>
      <c r="AJ416" s="79" t="s">
        <v>46</v>
      </c>
      <c r="AK416" s="79">
        <v>0</v>
      </c>
      <c r="BB416" s="50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683</v>
      </c>
      <c r="B417" s="60" t="s">
        <v>684</v>
      </c>
      <c r="C417" s="34">
        <v>4301220002</v>
      </c>
      <c r="D417" s="708">
        <v>4680115888753</v>
      </c>
      <c r="E417" s="70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88</v>
      </c>
      <c r="L417" s="35" t="s">
        <v>46</v>
      </c>
      <c r="M417" s="36" t="s">
        <v>671</v>
      </c>
      <c r="N417" s="36"/>
      <c r="O417" s="35">
        <v>1096</v>
      </c>
      <c r="P417" s="9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0"/>
      <c r="R417" s="710"/>
      <c r="S417" s="710"/>
      <c r="T417" s="71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IFERROR(IF(Y417=0,"",ROUNDUP(Y417/H417,0)*0.0045),"")</f>
        <v/>
      </c>
      <c r="AA417" s="65" t="s">
        <v>46</v>
      </c>
      <c r="AB417" s="66" t="s">
        <v>46</v>
      </c>
      <c r="AC417" s="505" t="s">
        <v>679</v>
      </c>
      <c r="AG417" s="75"/>
      <c r="AJ417" s="79" t="s">
        <v>46</v>
      </c>
      <c r="AK417" s="79">
        <v>0</v>
      </c>
      <c r="BB417" s="506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5"/>
      <c r="B419" s="715"/>
      <c r="C419" s="715"/>
      <c r="D419" s="715"/>
      <c r="E419" s="715"/>
      <c r="F419" s="715"/>
      <c r="G419" s="715"/>
      <c r="H419" s="715"/>
      <c r="I419" s="715"/>
      <c r="J419" s="715"/>
      <c r="K419" s="715"/>
      <c r="L419" s="715"/>
      <c r="M419" s="715"/>
      <c r="N419" s="715"/>
      <c r="O419" s="716"/>
      <c r="P419" s="712" t="s">
        <v>40</v>
      </c>
      <c r="Q419" s="713"/>
      <c r="R419" s="713"/>
      <c r="S419" s="713"/>
      <c r="T419" s="713"/>
      <c r="U419" s="713"/>
      <c r="V419" s="714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16.5" hidden="1" customHeight="1" x14ac:dyDescent="0.25">
      <c r="A420" s="706" t="s">
        <v>685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62"/>
      <c r="AB420" s="62"/>
      <c r="AC420" s="62"/>
    </row>
    <row r="421" spans="1:68" ht="14.25" hidden="1" customHeight="1" x14ac:dyDescent="0.25">
      <c r="A421" s="707" t="s">
        <v>83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3"/>
      <c r="AB421" s="63"/>
      <c r="AC421" s="63"/>
    </row>
    <row r="422" spans="1:68" ht="16.5" hidden="1" customHeight="1" x14ac:dyDescent="0.25">
      <c r="A422" s="60" t="s">
        <v>686</v>
      </c>
      <c r="B422" s="60" t="s">
        <v>687</v>
      </c>
      <c r="C422" s="34">
        <v>4301052235</v>
      </c>
      <c r="D422" s="708">
        <v>4680115889415</v>
      </c>
      <c r="E422" s="70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135</v>
      </c>
      <c r="L422" s="35" t="s">
        <v>46</v>
      </c>
      <c r="M422" s="36" t="s">
        <v>87</v>
      </c>
      <c r="N422" s="36"/>
      <c r="O422" s="35">
        <v>40</v>
      </c>
      <c r="P422" s="92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0"/>
      <c r="R422" s="710"/>
      <c r="S422" s="710"/>
      <c r="T422" s="71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7" t="s">
        <v>688</v>
      </c>
      <c r="AG422" s="75"/>
      <c r="AJ422" s="79" t="s">
        <v>46</v>
      </c>
      <c r="AK422" s="79">
        <v>0</v>
      </c>
      <c r="BB422" s="50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686</v>
      </c>
      <c r="B423" s="60" t="s">
        <v>689</v>
      </c>
      <c r="C423" s="34">
        <v>4301052283</v>
      </c>
      <c r="D423" s="708">
        <v>4660663720026</v>
      </c>
      <c r="E423" s="708"/>
      <c r="F423" s="59">
        <v>1.3</v>
      </c>
      <c r="G423" s="35">
        <v>6</v>
      </c>
      <c r="H423" s="59">
        <v>7.8</v>
      </c>
      <c r="I423" s="59">
        <v>8.2159999999999993</v>
      </c>
      <c r="J423" s="35">
        <v>64</v>
      </c>
      <c r="K423" s="35" t="s">
        <v>135</v>
      </c>
      <c r="L423" s="35" t="s">
        <v>46</v>
      </c>
      <c r="M423" s="36" t="s">
        <v>87</v>
      </c>
      <c r="N423" s="36"/>
      <c r="O423" s="35">
        <v>40</v>
      </c>
      <c r="P423" s="930" t="s">
        <v>690</v>
      </c>
      <c r="Q423" s="710"/>
      <c r="R423" s="710"/>
      <c r="S423" s="710"/>
      <c r="T423" s="71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09" t="s">
        <v>691</v>
      </c>
      <c r="AG423" s="75"/>
      <c r="AJ423" s="79" t="s">
        <v>46</v>
      </c>
      <c r="AK423" s="79">
        <v>0</v>
      </c>
      <c r="BB423" s="51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16.5" hidden="1" customHeight="1" x14ac:dyDescent="0.25">
      <c r="A424" s="60" t="s">
        <v>692</v>
      </c>
      <c r="B424" s="60" t="s">
        <v>693</v>
      </c>
      <c r="C424" s="34">
        <v>4301052236</v>
      </c>
      <c r="D424" s="708">
        <v>4680115889422</v>
      </c>
      <c r="E424" s="708"/>
      <c r="F424" s="59">
        <v>1.3</v>
      </c>
      <c r="G424" s="35">
        <v>6</v>
      </c>
      <c r="H424" s="59">
        <v>7.8</v>
      </c>
      <c r="I424" s="59">
        <v>8.2100000000000009</v>
      </c>
      <c r="J424" s="35">
        <v>64</v>
      </c>
      <c r="K424" s="35" t="s">
        <v>135</v>
      </c>
      <c r="L424" s="35" t="s">
        <v>46</v>
      </c>
      <c r="M424" s="36" t="s">
        <v>87</v>
      </c>
      <c r="N424" s="36"/>
      <c r="O424" s="35">
        <v>40</v>
      </c>
      <c r="P424" s="9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0"/>
      <c r="R424" s="710"/>
      <c r="S424" s="710"/>
      <c r="T424" s="71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1" t="s">
        <v>694</v>
      </c>
      <c r="AG424" s="75"/>
      <c r="AJ424" s="79" t="s">
        <v>46</v>
      </c>
      <c r="AK424" s="79">
        <v>0</v>
      </c>
      <c r="BB424" s="512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16.5" hidden="1" customHeight="1" x14ac:dyDescent="0.25">
      <c r="A425" s="60" t="s">
        <v>692</v>
      </c>
      <c r="B425" s="60" t="s">
        <v>695</v>
      </c>
      <c r="C425" s="34">
        <v>4301052284</v>
      </c>
      <c r="D425" s="708">
        <v>4680115889972</v>
      </c>
      <c r="E425" s="708"/>
      <c r="F425" s="59">
        <v>1.3</v>
      </c>
      <c r="G425" s="35">
        <v>6</v>
      </c>
      <c r="H425" s="59">
        <v>7.8</v>
      </c>
      <c r="I425" s="59">
        <v>8.2159999999999993</v>
      </c>
      <c r="J425" s="35">
        <v>64</v>
      </c>
      <c r="K425" s="35" t="s">
        <v>135</v>
      </c>
      <c r="L425" s="35" t="s">
        <v>46</v>
      </c>
      <c r="M425" s="36" t="s">
        <v>87</v>
      </c>
      <c r="N425" s="36"/>
      <c r="O425" s="35">
        <v>40</v>
      </c>
      <c r="P425" s="93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0"/>
      <c r="R425" s="710"/>
      <c r="S425" s="710"/>
      <c r="T425" s="71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3" t="s">
        <v>696</v>
      </c>
      <c r="AG425" s="75"/>
      <c r="AJ425" s="79" t="s">
        <v>46</v>
      </c>
      <c r="AK425" s="79">
        <v>0</v>
      </c>
      <c r="BB425" s="514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15"/>
      <c r="B426" s="715"/>
      <c r="C426" s="715"/>
      <c r="D426" s="715"/>
      <c r="E426" s="715"/>
      <c r="F426" s="715"/>
      <c r="G426" s="715"/>
      <c r="H426" s="715"/>
      <c r="I426" s="715"/>
      <c r="J426" s="715"/>
      <c r="K426" s="715"/>
      <c r="L426" s="715"/>
      <c r="M426" s="715"/>
      <c r="N426" s="715"/>
      <c r="O426" s="716"/>
      <c r="P426" s="712" t="s">
        <v>40</v>
      </c>
      <c r="Q426" s="713"/>
      <c r="R426" s="713"/>
      <c r="S426" s="713"/>
      <c r="T426" s="713"/>
      <c r="U426" s="713"/>
      <c r="V426" s="714"/>
      <c r="W426" s="40" t="s">
        <v>39</v>
      </c>
      <c r="X426" s="41">
        <f>IFERROR(X422/H422,"0")+IFERROR(X423/H423,"0")+IFERROR(X424/H424,"0")+IFERROR(X425/H425,"0")</f>
        <v>0</v>
      </c>
      <c r="Y426" s="41">
        <f>IFERROR(Y422/H422,"0")+IFERROR(Y423/H423,"0")+IFERROR(Y424/H424,"0")+IFERROR(Y425/H425,"0")</f>
        <v>0</v>
      </c>
      <c r="Z426" s="41">
        <f>IFERROR(IF(Z422="",0,Z422),"0")+IFERROR(IF(Z423="",0,Z423),"0")+IFERROR(IF(Z424="",0,Z424),"0")+IFERROR(IF(Z425="",0,Z425),"0")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15"/>
      <c r="B427" s="715"/>
      <c r="C427" s="715"/>
      <c r="D427" s="715"/>
      <c r="E427" s="715"/>
      <c r="F427" s="715"/>
      <c r="G427" s="715"/>
      <c r="H427" s="715"/>
      <c r="I427" s="715"/>
      <c r="J427" s="715"/>
      <c r="K427" s="715"/>
      <c r="L427" s="715"/>
      <c r="M427" s="715"/>
      <c r="N427" s="715"/>
      <c r="O427" s="716"/>
      <c r="P427" s="712" t="s">
        <v>40</v>
      </c>
      <c r="Q427" s="713"/>
      <c r="R427" s="713"/>
      <c r="S427" s="713"/>
      <c r="T427" s="713"/>
      <c r="U427" s="713"/>
      <c r="V427" s="714"/>
      <c r="W427" s="40" t="s">
        <v>0</v>
      </c>
      <c r="X427" s="41">
        <f>IFERROR(SUM(X422:X425),"0")</f>
        <v>0</v>
      </c>
      <c r="Y427" s="41">
        <f>IFERROR(SUM(Y422:Y425),"0")</f>
        <v>0</v>
      </c>
      <c r="Z427" s="40"/>
      <c r="AA427" s="64"/>
      <c r="AB427" s="64"/>
      <c r="AC427" s="64"/>
    </row>
    <row r="428" spans="1:68" ht="16.5" hidden="1" customHeight="1" x14ac:dyDescent="0.25">
      <c r="A428" s="706" t="s">
        <v>697</v>
      </c>
      <c r="B428" s="706"/>
      <c r="C428" s="706"/>
      <c r="D428" s="706"/>
      <c r="E428" s="706"/>
      <c r="F428" s="706"/>
      <c r="G428" s="706"/>
      <c r="H428" s="706"/>
      <c r="I428" s="706"/>
      <c r="J428" s="706"/>
      <c r="K428" s="706"/>
      <c r="L428" s="706"/>
      <c r="M428" s="706"/>
      <c r="N428" s="706"/>
      <c r="O428" s="706"/>
      <c r="P428" s="706"/>
      <c r="Q428" s="706"/>
      <c r="R428" s="706"/>
      <c r="S428" s="706"/>
      <c r="T428" s="706"/>
      <c r="U428" s="706"/>
      <c r="V428" s="706"/>
      <c r="W428" s="706"/>
      <c r="X428" s="706"/>
      <c r="Y428" s="706"/>
      <c r="Z428" s="706"/>
      <c r="AA428" s="62"/>
      <c r="AB428" s="62"/>
      <c r="AC428" s="62"/>
    </row>
    <row r="429" spans="1:68" ht="14.25" hidden="1" customHeight="1" x14ac:dyDescent="0.25">
      <c r="A429" s="707" t="s">
        <v>83</v>
      </c>
      <c r="B429" s="707"/>
      <c r="C429" s="707"/>
      <c r="D429" s="707"/>
      <c r="E429" s="707"/>
      <c r="F429" s="707"/>
      <c r="G429" s="707"/>
      <c r="H429" s="707"/>
      <c r="I429" s="707"/>
      <c r="J429" s="707"/>
      <c r="K429" s="707"/>
      <c r="L429" s="707"/>
      <c r="M429" s="707"/>
      <c r="N429" s="707"/>
      <c r="O429" s="707"/>
      <c r="P429" s="707"/>
      <c r="Q429" s="707"/>
      <c r="R429" s="707"/>
      <c r="S429" s="707"/>
      <c r="T429" s="707"/>
      <c r="U429" s="707"/>
      <c r="V429" s="707"/>
      <c r="W429" s="707"/>
      <c r="X429" s="707"/>
      <c r="Y429" s="707"/>
      <c r="Z429" s="707"/>
      <c r="AA429" s="63"/>
      <c r="AB429" s="63"/>
      <c r="AC429" s="63"/>
    </row>
    <row r="430" spans="1:68" ht="27" hidden="1" customHeight="1" x14ac:dyDescent="0.25">
      <c r="A430" s="60" t="s">
        <v>698</v>
      </c>
      <c r="B430" s="60" t="s">
        <v>699</v>
      </c>
      <c r="C430" s="34">
        <v>4301051489</v>
      </c>
      <c r="D430" s="708">
        <v>4607091387919</v>
      </c>
      <c r="E430" s="708"/>
      <c r="F430" s="59">
        <v>1.35</v>
      </c>
      <c r="G430" s="35">
        <v>6</v>
      </c>
      <c r="H430" s="59">
        <v>8.1</v>
      </c>
      <c r="I430" s="59">
        <v>8.5939999999999994</v>
      </c>
      <c r="J430" s="35">
        <v>64</v>
      </c>
      <c r="K430" s="35" t="s">
        <v>135</v>
      </c>
      <c r="L430" s="35" t="s">
        <v>46</v>
      </c>
      <c r="M430" s="36" t="s">
        <v>94</v>
      </c>
      <c r="N430" s="36"/>
      <c r="O430" s="35">
        <v>45</v>
      </c>
      <c r="P430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0"/>
      <c r="R430" s="710"/>
      <c r="S430" s="710"/>
      <c r="T430" s="711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46</v>
      </c>
      <c r="AB430" s="66" t="s">
        <v>46</v>
      </c>
      <c r="AC430" s="515" t="s">
        <v>700</v>
      </c>
      <c r="AG430" s="75"/>
      <c r="AJ430" s="79" t="s">
        <v>46</v>
      </c>
      <c r="AK430" s="79">
        <v>0</v>
      </c>
      <c r="BB430" s="516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customHeight="1" x14ac:dyDescent="0.25">
      <c r="A431" s="60" t="s">
        <v>701</v>
      </c>
      <c r="B431" s="60" t="s">
        <v>702</v>
      </c>
      <c r="C431" s="34">
        <v>4301051461</v>
      </c>
      <c r="D431" s="708">
        <v>4680115883604</v>
      </c>
      <c r="E431" s="708"/>
      <c r="F431" s="59">
        <v>0.35</v>
      </c>
      <c r="G431" s="35">
        <v>6</v>
      </c>
      <c r="H431" s="59">
        <v>2.1</v>
      </c>
      <c r="I431" s="59">
        <v>2.3519999999999999</v>
      </c>
      <c r="J431" s="35">
        <v>182</v>
      </c>
      <c r="K431" s="35" t="s">
        <v>88</v>
      </c>
      <c r="L431" s="35" t="s">
        <v>46</v>
      </c>
      <c r="M431" s="36" t="s">
        <v>87</v>
      </c>
      <c r="N431" s="36"/>
      <c r="O431" s="35">
        <v>45</v>
      </c>
      <c r="P431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0"/>
      <c r="R431" s="710"/>
      <c r="S431" s="710"/>
      <c r="T431" s="711"/>
      <c r="U431" s="37" t="s">
        <v>46</v>
      </c>
      <c r="V431" s="37" t="s">
        <v>46</v>
      </c>
      <c r="W431" s="38" t="s">
        <v>0</v>
      </c>
      <c r="X431" s="56">
        <v>1050</v>
      </c>
      <c r="Y431" s="53">
        <f>IFERROR(IF(X431="",0,CEILING((X431/$H431),1)*$H431),"")</f>
        <v>1050</v>
      </c>
      <c r="Z431" s="39">
        <f>IFERROR(IF(Y431=0,"",ROUNDUP(Y431/H431,0)*0.00651),"")</f>
        <v>3.2549999999999999</v>
      </c>
      <c r="AA431" s="65" t="s">
        <v>46</v>
      </c>
      <c r="AB431" s="66" t="s">
        <v>46</v>
      </c>
      <c r="AC431" s="517" t="s">
        <v>703</v>
      </c>
      <c r="AG431" s="75"/>
      <c r="AJ431" s="79" t="s">
        <v>46</v>
      </c>
      <c r="AK431" s="79">
        <v>0</v>
      </c>
      <c r="BB431" s="518" t="s">
        <v>67</v>
      </c>
      <c r="BM431" s="75">
        <f>IFERROR(X431*I431/H431,"0")</f>
        <v>1176</v>
      </c>
      <c r="BN431" s="75">
        <f>IFERROR(Y431*I431/H431,"0")</f>
        <v>1176</v>
      </c>
      <c r="BO431" s="75">
        <f>IFERROR(1/J431*(X431/H431),"0")</f>
        <v>2.7472527472527473</v>
      </c>
      <c r="BP431" s="75">
        <f>IFERROR(1/J431*(Y431/H431),"0")</f>
        <v>2.7472527472527473</v>
      </c>
    </row>
    <row r="432" spans="1:68" ht="27" customHeight="1" x14ac:dyDescent="0.25">
      <c r="A432" s="60" t="s">
        <v>704</v>
      </c>
      <c r="B432" s="60" t="s">
        <v>705</v>
      </c>
      <c r="C432" s="34">
        <v>4301051864</v>
      </c>
      <c r="D432" s="708">
        <v>4680115883567</v>
      </c>
      <c r="E432" s="708"/>
      <c r="F432" s="59">
        <v>0.35</v>
      </c>
      <c r="G432" s="35">
        <v>6</v>
      </c>
      <c r="H432" s="59">
        <v>2.1</v>
      </c>
      <c r="I432" s="59">
        <v>2.34</v>
      </c>
      <c r="J432" s="35">
        <v>182</v>
      </c>
      <c r="K432" s="35" t="s">
        <v>88</v>
      </c>
      <c r="L432" s="35" t="s">
        <v>46</v>
      </c>
      <c r="M432" s="36" t="s">
        <v>94</v>
      </c>
      <c r="N432" s="36"/>
      <c r="O432" s="35">
        <v>40</v>
      </c>
      <c r="P432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0"/>
      <c r="R432" s="710"/>
      <c r="S432" s="710"/>
      <c r="T432" s="711"/>
      <c r="U432" s="37" t="s">
        <v>46</v>
      </c>
      <c r="V432" s="37" t="s">
        <v>46</v>
      </c>
      <c r="W432" s="38" t="s">
        <v>0</v>
      </c>
      <c r="X432" s="56">
        <v>175</v>
      </c>
      <c r="Y432" s="53">
        <f>IFERROR(IF(X432="",0,CEILING((X432/$H432),1)*$H432),"")</f>
        <v>176.4</v>
      </c>
      <c r="Z432" s="39">
        <f>IFERROR(IF(Y432=0,"",ROUNDUP(Y432/H432,0)*0.00651),"")</f>
        <v>0.54683999999999999</v>
      </c>
      <c r="AA432" s="65" t="s">
        <v>46</v>
      </c>
      <c r="AB432" s="66" t="s">
        <v>46</v>
      </c>
      <c r="AC432" s="519" t="s">
        <v>706</v>
      </c>
      <c r="AG432" s="75"/>
      <c r="AJ432" s="79" t="s">
        <v>46</v>
      </c>
      <c r="AK432" s="79">
        <v>0</v>
      </c>
      <c r="BB432" s="520" t="s">
        <v>67</v>
      </c>
      <c r="BM432" s="75">
        <f>IFERROR(X432*I432/H432,"0")</f>
        <v>195</v>
      </c>
      <c r="BN432" s="75">
        <f>IFERROR(Y432*I432/H432,"0")</f>
        <v>196.56</v>
      </c>
      <c r="BO432" s="75">
        <f>IFERROR(1/J432*(X432/H432),"0")</f>
        <v>0.45787545787545786</v>
      </c>
      <c r="BP432" s="75">
        <f>IFERROR(1/J432*(Y432/H432),"0")</f>
        <v>0.46153846153846156</v>
      </c>
    </row>
    <row r="433" spans="1:68" x14ac:dyDescent="0.2">
      <c r="A433" s="715"/>
      <c r="B433" s="715"/>
      <c r="C433" s="715"/>
      <c r="D433" s="715"/>
      <c r="E433" s="715"/>
      <c r="F433" s="715"/>
      <c r="G433" s="715"/>
      <c r="H433" s="715"/>
      <c r="I433" s="715"/>
      <c r="J433" s="715"/>
      <c r="K433" s="715"/>
      <c r="L433" s="715"/>
      <c r="M433" s="715"/>
      <c r="N433" s="715"/>
      <c r="O433" s="716"/>
      <c r="P433" s="712" t="s">
        <v>40</v>
      </c>
      <c r="Q433" s="713"/>
      <c r="R433" s="713"/>
      <c r="S433" s="713"/>
      <c r="T433" s="713"/>
      <c r="U433" s="713"/>
      <c r="V433" s="714"/>
      <c r="W433" s="40" t="s">
        <v>39</v>
      </c>
      <c r="X433" s="41">
        <f>IFERROR(X430/H430,"0")+IFERROR(X431/H431,"0")+IFERROR(X432/H432,"0")</f>
        <v>583.33333333333337</v>
      </c>
      <c r="Y433" s="41">
        <f>IFERROR(Y430/H430,"0")+IFERROR(Y431/H431,"0")+IFERROR(Y432/H432,"0")</f>
        <v>584</v>
      </c>
      <c r="Z433" s="41">
        <f>IFERROR(IF(Z430="",0,Z430),"0")+IFERROR(IF(Z431="",0,Z431),"0")+IFERROR(IF(Z432="",0,Z432),"0")</f>
        <v>3.8018399999999999</v>
      </c>
      <c r="AA433" s="64"/>
      <c r="AB433" s="64"/>
      <c r="AC433" s="64"/>
    </row>
    <row r="434" spans="1:68" x14ac:dyDescent="0.2">
      <c r="A434" s="715"/>
      <c r="B434" s="715"/>
      <c r="C434" s="715"/>
      <c r="D434" s="715"/>
      <c r="E434" s="715"/>
      <c r="F434" s="715"/>
      <c r="G434" s="715"/>
      <c r="H434" s="715"/>
      <c r="I434" s="715"/>
      <c r="J434" s="715"/>
      <c r="K434" s="715"/>
      <c r="L434" s="715"/>
      <c r="M434" s="715"/>
      <c r="N434" s="715"/>
      <c r="O434" s="716"/>
      <c r="P434" s="712" t="s">
        <v>40</v>
      </c>
      <c r="Q434" s="713"/>
      <c r="R434" s="713"/>
      <c r="S434" s="713"/>
      <c r="T434" s="713"/>
      <c r="U434" s="713"/>
      <c r="V434" s="714"/>
      <c r="W434" s="40" t="s">
        <v>0</v>
      </c>
      <c r="X434" s="41">
        <f>IFERROR(SUM(X430:X432),"0")</f>
        <v>1225</v>
      </c>
      <c r="Y434" s="41">
        <f>IFERROR(SUM(Y430:Y432),"0")</f>
        <v>1226.4000000000001</v>
      </c>
      <c r="Z434" s="40"/>
      <c r="AA434" s="64"/>
      <c r="AB434" s="64"/>
      <c r="AC434" s="64"/>
    </row>
    <row r="435" spans="1:68" ht="27.75" hidden="1" customHeight="1" x14ac:dyDescent="0.2">
      <c r="A435" s="705" t="s">
        <v>707</v>
      </c>
      <c r="B435" s="705"/>
      <c r="C435" s="705"/>
      <c r="D435" s="705"/>
      <c r="E435" s="705"/>
      <c r="F435" s="705"/>
      <c r="G435" s="705"/>
      <c r="H435" s="705"/>
      <c r="I435" s="705"/>
      <c r="J435" s="705"/>
      <c r="K435" s="705"/>
      <c r="L435" s="705"/>
      <c r="M435" s="705"/>
      <c r="N435" s="705"/>
      <c r="O435" s="705"/>
      <c r="P435" s="705"/>
      <c r="Q435" s="705"/>
      <c r="R435" s="705"/>
      <c r="S435" s="705"/>
      <c r="T435" s="705"/>
      <c r="U435" s="705"/>
      <c r="V435" s="705"/>
      <c r="W435" s="705"/>
      <c r="X435" s="705"/>
      <c r="Y435" s="705"/>
      <c r="Z435" s="705"/>
      <c r="AA435" s="52"/>
      <c r="AB435" s="52"/>
      <c r="AC435" s="52"/>
    </row>
    <row r="436" spans="1:68" ht="16.5" hidden="1" customHeight="1" x14ac:dyDescent="0.25">
      <c r="A436" s="706" t="s">
        <v>708</v>
      </c>
      <c r="B436" s="706"/>
      <c r="C436" s="706"/>
      <c r="D436" s="706"/>
      <c r="E436" s="706"/>
      <c r="F436" s="706"/>
      <c r="G436" s="706"/>
      <c r="H436" s="706"/>
      <c r="I436" s="706"/>
      <c r="J436" s="706"/>
      <c r="K436" s="706"/>
      <c r="L436" s="706"/>
      <c r="M436" s="706"/>
      <c r="N436" s="706"/>
      <c r="O436" s="706"/>
      <c r="P436" s="706"/>
      <c r="Q436" s="706"/>
      <c r="R436" s="706"/>
      <c r="S436" s="706"/>
      <c r="T436" s="706"/>
      <c r="U436" s="706"/>
      <c r="V436" s="706"/>
      <c r="W436" s="706"/>
      <c r="X436" s="706"/>
      <c r="Y436" s="706"/>
      <c r="Z436" s="706"/>
      <c r="AA436" s="62"/>
      <c r="AB436" s="62"/>
      <c r="AC436" s="62"/>
    </row>
    <row r="437" spans="1:68" ht="14.25" hidden="1" customHeight="1" x14ac:dyDescent="0.25">
      <c r="A437" s="707" t="s">
        <v>130</v>
      </c>
      <c r="B437" s="707"/>
      <c r="C437" s="707"/>
      <c r="D437" s="707"/>
      <c r="E437" s="707"/>
      <c r="F437" s="707"/>
      <c r="G437" s="707"/>
      <c r="H437" s="707"/>
      <c r="I437" s="707"/>
      <c r="J437" s="707"/>
      <c r="K437" s="707"/>
      <c r="L437" s="707"/>
      <c r="M437" s="707"/>
      <c r="N437" s="707"/>
      <c r="O437" s="707"/>
      <c r="P437" s="707"/>
      <c r="Q437" s="707"/>
      <c r="R437" s="707"/>
      <c r="S437" s="707"/>
      <c r="T437" s="707"/>
      <c r="U437" s="707"/>
      <c r="V437" s="707"/>
      <c r="W437" s="707"/>
      <c r="X437" s="707"/>
      <c r="Y437" s="707"/>
      <c r="Z437" s="707"/>
      <c r="AA437" s="63"/>
      <c r="AB437" s="63"/>
      <c r="AC437" s="63"/>
    </row>
    <row r="438" spans="1:68" ht="27" customHeight="1" x14ac:dyDescent="0.25">
      <c r="A438" s="60" t="s">
        <v>709</v>
      </c>
      <c r="B438" s="60" t="s">
        <v>710</v>
      </c>
      <c r="C438" s="34">
        <v>4301012332</v>
      </c>
      <c r="D438" s="708">
        <v>4680115888401</v>
      </c>
      <c r="E438" s="70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135</v>
      </c>
      <c r="L438" s="35" t="s">
        <v>46</v>
      </c>
      <c r="M438" s="36" t="s">
        <v>94</v>
      </c>
      <c r="N438" s="36"/>
      <c r="O438" s="35">
        <v>60</v>
      </c>
      <c r="P438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0"/>
      <c r="R438" s="710"/>
      <c r="S438" s="710"/>
      <c r="T438" s="711"/>
      <c r="U438" s="37" t="s">
        <v>46</v>
      </c>
      <c r="V438" s="37" t="s">
        <v>46</v>
      </c>
      <c r="W438" s="38" t="s">
        <v>0</v>
      </c>
      <c r="X438" s="56">
        <v>100</v>
      </c>
      <c r="Y438" s="53">
        <f t="shared" ref="Y438:Y445" si="61">IFERROR(IF(X438="",0,CEILING((X438/$H438),1)*$H438),"")</f>
        <v>105</v>
      </c>
      <c r="Z438" s="39">
        <f>IFERROR(IF(Y438=0,"",ROUNDUP(Y438/H438,0)*0.02175),"")</f>
        <v>0.15225</v>
      </c>
      <c r="AA438" s="65" t="s">
        <v>46</v>
      </c>
      <c r="AB438" s="66" t="s">
        <v>46</v>
      </c>
      <c r="AC438" s="521" t="s">
        <v>711</v>
      </c>
      <c r="AG438" s="75"/>
      <c r="AJ438" s="79" t="s">
        <v>46</v>
      </c>
      <c r="AK438" s="79">
        <v>0</v>
      </c>
      <c r="BB438" s="522" t="s">
        <v>67</v>
      </c>
      <c r="BM438" s="75">
        <f t="shared" ref="BM438:BM445" si="62">IFERROR(X438*I438/H438,"0")</f>
        <v>103.13333333333334</v>
      </c>
      <c r="BN438" s="75">
        <f t="shared" ref="BN438:BN445" si="63">IFERROR(Y438*I438/H438,"0")</f>
        <v>108.29</v>
      </c>
      <c r="BO438" s="75">
        <f t="shared" ref="BO438:BO445" si="64">IFERROR(1/J438*(X438/H438),"0")</f>
        <v>0.1388888888888889</v>
      </c>
      <c r="BP438" s="75">
        <f t="shared" ref="BP438:BP445" si="65">IFERROR(1/J438*(Y438/H438),"0")</f>
        <v>0.14583333333333331</v>
      </c>
    </row>
    <row r="439" spans="1:68" ht="37.5" customHeight="1" x14ac:dyDescent="0.25">
      <c r="A439" s="60" t="s">
        <v>712</v>
      </c>
      <c r="B439" s="60" t="s">
        <v>713</v>
      </c>
      <c r="C439" s="34">
        <v>4301011869</v>
      </c>
      <c r="D439" s="708">
        <v>4680115884847</v>
      </c>
      <c r="E439" s="70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135</v>
      </c>
      <c r="L439" s="35" t="s">
        <v>46</v>
      </c>
      <c r="M439" s="36" t="s">
        <v>81</v>
      </c>
      <c r="N439" s="36"/>
      <c r="O439" s="35">
        <v>60</v>
      </c>
      <c r="P439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0"/>
      <c r="R439" s="710"/>
      <c r="S439" s="710"/>
      <c r="T439" s="711"/>
      <c r="U439" s="37" t="s">
        <v>46</v>
      </c>
      <c r="V439" s="37" t="s">
        <v>46</v>
      </c>
      <c r="W439" s="38" t="s">
        <v>0</v>
      </c>
      <c r="X439" s="56">
        <v>1650</v>
      </c>
      <c r="Y439" s="53">
        <f t="shared" si="61"/>
        <v>1650</v>
      </c>
      <c r="Z439" s="39">
        <f>IFERROR(IF(Y439=0,"",ROUNDUP(Y439/H439,0)*0.02175),"")</f>
        <v>2.3924999999999996</v>
      </c>
      <c r="AA439" s="65" t="s">
        <v>46</v>
      </c>
      <c r="AB439" s="66" t="s">
        <v>46</v>
      </c>
      <c r="AC439" s="523" t="s">
        <v>714</v>
      </c>
      <c r="AG439" s="75"/>
      <c r="AJ439" s="79" t="s">
        <v>46</v>
      </c>
      <c r="AK439" s="79">
        <v>0</v>
      </c>
      <c r="BB439" s="524" t="s">
        <v>67</v>
      </c>
      <c r="BM439" s="75">
        <f t="shared" si="62"/>
        <v>1701.7</v>
      </c>
      <c r="BN439" s="75">
        <f t="shared" si="63"/>
        <v>1701.7</v>
      </c>
      <c r="BO439" s="75">
        <f t="shared" si="64"/>
        <v>2.2916666666666665</v>
      </c>
      <c r="BP439" s="75">
        <f t="shared" si="65"/>
        <v>2.2916666666666665</v>
      </c>
    </row>
    <row r="440" spans="1:68" ht="27" customHeight="1" x14ac:dyDescent="0.25">
      <c r="A440" s="60" t="s">
        <v>715</v>
      </c>
      <c r="B440" s="60" t="s">
        <v>716</v>
      </c>
      <c r="C440" s="34">
        <v>4301012083</v>
      </c>
      <c r="D440" s="708">
        <v>4680115884854</v>
      </c>
      <c r="E440" s="70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135</v>
      </c>
      <c r="L440" s="35" t="s">
        <v>46</v>
      </c>
      <c r="M440" s="36" t="s">
        <v>134</v>
      </c>
      <c r="N440" s="36"/>
      <c r="O440" s="35">
        <v>60</v>
      </c>
      <c r="P440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0"/>
      <c r="R440" s="710"/>
      <c r="S440" s="710"/>
      <c r="T440" s="711"/>
      <c r="U440" s="37" t="s">
        <v>46</v>
      </c>
      <c r="V440" s="37" t="s">
        <v>46</v>
      </c>
      <c r="W440" s="38" t="s">
        <v>0</v>
      </c>
      <c r="X440" s="56">
        <v>1000</v>
      </c>
      <c r="Y440" s="53">
        <f t="shared" si="61"/>
        <v>1005</v>
      </c>
      <c r="Z440" s="39">
        <f>IFERROR(IF(Y440=0,"",ROUNDUP(Y440/H440,0)*0.02175),"")</f>
        <v>1.4572499999999999</v>
      </c>
      <c r="AA440" s="65" t="s">
        <v>46</v>
      </c>
      <c r="AB440" s="66" t="s">
        <v>46</v>
      </c>
      <c r="AC440" s="525" t="s">
        <v>717</v>
      </c>
      <c r="AG440" s="75"/>
      <c r="AJ440" s="79" t="s">
        <v>46</v>
      </c>
      <c r="AK440" s="79">
        <v>0</v>
      </c>
      <c r="BB440" s="526" t="s">
        <v>67</v>
      </c>
      <c r="BM440" s="75">
        <f t="shared" si="62"/>
        <v>1031.3333333333333</v>
      </c>
      <c r="BN440" s="75">
        <f t="shared" si="63"/>
        <v>1036.49</v>
      </c>
      <c r="BO440" s="75">
        <f t="shared" si="64"/>
        <v>1.3888888888888888</v>
      </c>
      <c r="BP440" s="75">
        <f t="shared" si="65"/>
        <v>1.3958333333333333</v>
      </c>
    </row>
    <row r="441" spans="1:68" ht="27" customHeight="1" x14ac:dyDescent="0.25">
      <c r="A441" s="60" t="s">
        <v>718</v>
      </c>
      <c r="B441" s="60" t="s">
        <v>719</v>
      </c>
      <c r="C441" s="34">
        <v>4301011867</v>
      </c>
      <c r="D441" s="708">
        <v>4680115884830</v>
      </c>
      <c r="E441" s="70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135</v>
      </c>
      <c r="L441" s="35" t="s">
        <v>46</v>
      </c>
      <c r="M441" s="36" t="s">
        <v>81</v>
      </c>
      <c r="N441" s="36"/>
      <c r="O441" s="35">
        <v>60</v>
      </c>
      <c r="P441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0"/>
      <c r="R441" s="710"/>
      <c r="S441" s="710"/>
      <c r="T441" s="711"/>
      <c r="U441" s="37" t="s">
        <v>46</v>
      </c>
      <c r="V441" s="37" t="s">
        <v>46</v>
      </c>
      <c r="W441" s="38" t="s">
        <v>0</v>
      </c>
      <c r="X441" s="56">
        <v>1600</v>
      </c>
      <c r="Y441" s="53">
        <f t="shared" si="61"/>
        <v>1605</v>
      </c>
      <c r="Z441" s="39">
        <f>IFERROR(IF(Y441=0,"",ROUNDUP(Y441/H441,0)*0.02175),"")</f>
        <v>2.3272499999999998</v>
      </c>
      <c r="AA441" s="65" t="s">
        <v>46</v>
      </c>
      <c r="AB441" s="66" t="s">
        <v>46</v>
      </c>
      <c r="AC441" s="527" t="s">
        <v>720</v>
      </c>
      <c r="AG441" s="75"/>
      <c r="AJ441" s="79" t="s">
        <v>46</v>
      </c>
      <c r="AK441" s="79">
        <v>0</v>
      </c>
      <c r="BB441" s="528" t="s">
        <v>67</v>
      </c>
      <c r="BM441" s="75">
        <f t="shared" si="62"/>
        <v>1650.1333333333334</v>
      </c>
      <c r="BN441" s="75">
        <f t="shared" si="63"/>
        <v>1655.2900000000002</v>
      </c>
      <c r="BO441" s="75">
        <f t="shared" si="64"/>
        <v>2.2222222222222223</v>
      </c>
      <c r="BP441" s="75">
        <f t="shared" si="65"/>
        <v>2.2291666666666665</v>
      </c>
    </row>
    <row r="442" spans="1:68" ht="27" customHeight="1" x14ac:dyDescent="0.25">
      <c r="A442" s="60" t="s">
        <v>721</v>
      </c>
      <c r="B442" s="60" t="s">
        <v>722</v>
      </c>
      <c r="C442" s="34">
        <v>4301012356</v>
      </c>
      <c r="D442" s="708">
        <v>4680115889231</v>
      </c>
      <c r="E442" s="70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135</v>
      </c>
      <c r="L442" s="35" t="s">
        <v>46</v>
      </c>
      <c r="M442" s="36" t="s">
        <v>94</v>
      </c>
      <c r="N442" s="36"/>
      <c r="O442" s="35">
        <v>60</v>
      </c>
      <c r="P442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0"/>
      <c r="R442" s="710"/>
      <c r="S442" s="710"/>
      <c r="T442" s="711"/>
      <c r="U442" s="37" t="s">
        <v>46</v>
      </c>
      <c r="V442" s="37" t="s">
        <v>46</v>
      </c>
      <c r="W442" s="38" t="s">
        <v>0</v>
      </c>
      <c r="X442" s="56">
        <v>300</v>
      </c>
      <c r="Y442" s="53">
        <f t="shared" si="61"/>
        <v>300</v>
      </c>
      <c r="Z442" s="39">
        <f>IFERROR(IF(Y442=0,"",ROUNDUP(Y442/H442,0)*0.02175),"")</f>
        <v>0.43499999999999994</v>
      </c>
      <c r="AA442" s="65" t="s">
        <v>46</v>
      </c>
      <c r="AB442" s="66" t="s">
        <v>46</v>
      </c>
      <c r="AC442" s="529" t="s">
        <v>723</v>
      </c>
      <c r="AG442" s="75"/>
      <c r="AJ442" s="79" t="s">
        <v>46</v>
      </c>
      <c r="AK442" s="79">
        <v>0</v>
      </c>
      <c r="BB442" s="530" t="s">
        <v>67</v>
      </c>
      <c r="BM442" s="75">
        <f t="shared" si="62"/>
        <v>309.39999999999998</v>
      </c>
      <c r="BN442" s="75">
        <f t="shared" si="63"/>
        <v>309.39999999999998</v>
      </c>
      <c r="BO442" s="75">
        <f t="shared" si="64"/>
        <v>0.41666666666666663</v>
      </c>
      <c r="BP442" s="75">
        <f t="shared" si="65"/>
        <v>0.41666666666666663</v>
      </c>
    </row>
    <row r="443" spans="1:68" ht="27" hidden="1" customHeight="1" x14ac:dyDescent="0.25">
      <c r="A443" s="60" t="s">
        <v>724</v>
      </c>
      <c r="B443" s="60" t="s">
        <v>725</v>
      </c>
      <c r="C443" s="34">
        <v>4301011433</v>
      </c>
      <c r="D443" s="708">
        <v>4680115882638</v>
      </c>
      <c r="E443" s="708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142</v>
      </c>
      <c r="L443" s="35" t="s">
        <v>46</v>
      </c>
      <c r="M443" s="36" t="s">
        <v>134</v>
      </c>
      <c r="N443" s="36"/>
      <c r="O443" s="35">
        <v>90</v>
      </c>
      <c r="P443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0"/>
      <c r="R443" s="710"/>
      <c r="S443" s="710"/>
      <c r="T443" s="71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61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1" t="s">
        <v>726</v>
      </c>
      <c r="AG443" s="75"/>
      <c r="AJ443" s="79" t="s">
        <v>46</v>
      </c>
      <c r="AK443" s="79">
        <v>0</v>
      </c>
      <c r="BB443" s="532" t="s">
        <v>67</v>
      </c>
      <c r="BM443" s="75">
        <f t="shared" si="62"/>
        <v>0</v>
      </c>
      <c r="BN443" s="75">
        <f t="shared" si="63"/>
        <v>0</v>
      </c>
      <c r="BO443" s="75">
        <f t="shared" si="64"/>
        <v>0</v>
      </c>
      <c r="BP443" s="75">
        <f t="shared" si="65"/>
        <v>0</v>
      </c>
    </row>
    <row r="444" spans="1:68" ht="27" hidden="1" customHeight="1" x14ac:dyDescent="0.25">
      <c r="A444" s="60" t="s">
        <v>727</v>
      </c>
      <c r="B444" s="60" t="s">
        <v>728</v>
      </c>
      <c r="C444" s="34">
        <v>4301011952</v>
      </c>
      <c r="D444" s="708">
        <v>4680115884922</v>
      </c>
      <c r="E444" s="708"/>
      <c r="F444" s="59">
        <v>0.5</v>
      </c>
      <c r="G444" s="35">
        <v>10</v>
      </c>
      <c r="H444" s="59">
        <v>5</v>
      </c>
      <c r="I444" s="59">
        <v>5.19</v>
      </c>
      <c r="J444" s="35">
        <v>132</v>
      </c>
      <c r="K444" s="35" t="s">
        <v>142</v>
      </c>
      <c r="L444" s="35" t="s">
        <v>46</v>
      </c>
      <c r="M444" s="36" t="s">
        <v>81</v>
      </c>
      <c r="N444" s="36"/>
      <c r="O444" s="35">
        <v>60</v>
      </c>
      <c r="P444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0"/>
      <c r="R444" s="710"/>
      <c r="S444" s="710"/>
      <c r="T444" s="71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61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729</v>
      </c>
      <c r="AG444" s="75"/>
      <c r="AJ444" s="79" t="s">
        <v>46</v>
      </c>
      <c r="AK444" s="79">
        <v>0</v>
      </c>
      <c r="BB444" s="534" t="s">
        <v>67</v>
      </c>
      <c r="BM444" s="75">
        <f t="shared" si="62"/>
        <v>0</v>
      </c>
      <c r="BN444" s="75">
        <f t="shared" si="63"/>
        <v>0</v>
      </c>
      <c r="BO444" s="75">
        <f t="shared" si="64"/>
        <v>0</v>
      </c>
      <c r="BP444" s="75">
        <f t="shared" si="65"/>
        <v>0</v>
      </c>
    </row>
    <row r="445" spans="1:68" ht="37.5" hidden="1" customHeight="1" x14ac:dyDescent="0.25">
      <c r="A445" s="60" t="s">
        <v>730</v>
      </c>
      <c r="B445" s="60" t="s">
        <v>731</v>
      </c>
      <c r="C445" s="34">
        <v>4301011868</v>
      </c>
      <c r="D445" s="708">
        <v>4680115884861</v>
      </c>
      <c r="E445" s="708"/>
      <c r="F445" s="59">
        <v>0.5</v>
      </c>
      <c r="G445" s="35">
        <v>10</v>
      </c>
      <c r="H445" s="59">
        <v>5</v>
      </c>
      <c r="I445" s="59">
        <v>5.19</v>
      </c>
      <c r="J445" s="35">
        <v>132</v>
      </c>
      <c r="K445" s="35" t="s">
        <v>142</v>
      </c>
      <c r="L445" s="35" t="s">
        <v>46</v>
      </c>
      <c r="M445" s="36" t="s">
        <v>81</v>
      </c>
      <c r="N445" s="36"/>
      <c r="O445" s="35">
        <v>60</v>
      </c>
      <c r="P445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0"/>
      <c r="R445" s="710"/>
      <c r="S445" s="710"/>
      <c r="T445" s="71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1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35" t="s">
        <v>732</v>
      </c>
      <c r="AG445" s="75"/>
      <c r="AJ445" s="79" t="s">
        <v>46</v>
      </c>
      <c r="AK445" s="79">
        <v>0</v>
      </c>
      <c r="BB445" s="536" t="s">
        <v>67</v>
      </c>
      <c r="BM445" s="75">
        <f t="shared" si="62"/>
        <v>0</v>
      </c>
      <c r="BN445" s="75">
        <f t="shared" si="63"/>
        <v>0</v>
      </c>
      <c r="BO445" s="75">
        <f t="shared" si="64"/>
        <v>0</v>
      </c>
      <c r="BP445" s="75">
        <f t="shared" si="65"/>
        <v>0</v>
      </c>
    </row>
    <row r="446" spans="1:68" x14ac:dyDescent="0.2">
      <c r="A446" s="715"/>
      <c r="B446" s="715"/>
      <c r="C446" s="715"/>
      <c r="D446" s="715"/>
      <c r="E446" s="715"/>
      <c r="F446" s="715"/>
      <c r="G446" s="715"/>
      <c r="H446" s="715"/>
      <c r="I446" s="715"/>
      <c r="J446" s="715"/>
      <c r="K446" s="715"/>
      <c r="L446" s="715"/>
      <c r="M446" s="715"/>
      <c r="N446" s="715"/>
      <c r="O446" s="716"/>
      <c r="P446" s="712" t="s">
        <v>40</v>
      </c>
      <c r="Q446" s="713"/>
      <c r="R446" s="713"/>
      <c r="S446" s="713"/>
      <c r="T446" s="713"/>
      <c r="U446" s="713"/>
      <c r="V446" s="714"/>
      <c r="W446" s="40" t="s">
        <v>39</v>
      </c>
      <c r="X446" s="41">
        <f>IFERROR(X438/H438,"0")+IFERROR(X439/H439,"0")+IFERROR(X440/H440,"0")+IFERROR(X441/H441,"0")+IFERROR(X442/H442,"0")+IFERROR(X443/H443,"0")+IFERROR(X444/H444,"0")+IFERROR(X445/H445,"0")</f>
        <v>310</v>
      </c>
      <c r="Y446" s="41">
        <f>IFERROR(Y438/H438,"0")+IFERROR(Y439/H439,"0")+IFERROR(Y440/H440,"0")+IFERROR(Y441/H441,"0")+IFERROR(Y442/H442,"0")+IFERROR(Y443/H443,"0")+IFERROR(Y444/H444,"0")+IFERROR(Y445/H445,"0")</f>
        <v>311</v>
      </c>
      <c r="Z446" s="41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6.7642499999999997</v>
      </c>
      <c r="AA446" s="64"/>
      <c r="AB446" s="64"/>
      <c r="AC446" s="64"/>
    </row>
    <row r="447" spans="1:68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0" t="s">
        <v>0</v>
      </c>
      <c r="X447" s="41">
        <f>IFERROR(SUM(X438:X445),"0")</f>
        <v>4650</v>
      </c>
      <c r="Y447" s="41">
        <f>IFERROR(SUM(Y438:Y445),"0")</f>
        <v>4665</v>
      </c>
      <c r="Z447" s="40"/>
      <c r="AA447" s="64"/>
      <c r="AB447" s="64"/>
      <c r="AC447" s="64"/>
    </row>
    <row r="448" spans="1:68" ht="14.25" hidden="1" customHeight="1" x14ac:dyDescent="0.25">
      <c r="A448" s="707" t="s">
        <v>165</v>
      </c>
      <c r="B448" s="707"/>
      <c r="C448" s="707"/>
      <c r="D448" s="707"/>
      <c r="E448" s="707"/>
      <c r="F448" s="707"/>
      <c r="G448" s="707"/>
      <c r="H448" s="707"/>
      <c r="I448" s="707"/>
      <c r="J448" s="707"/>
      <c r="K448" s="707"/>
      <c r="L448" s="707"/>
      <c r="M448" s="707"/>
      <c r="N448" s="707"/>
      <c r="O448" s="707"/>
      <c r="P448" s="707"/>
      <c r="Q448" s="707"/>
      <c r="R448" s="707"/>
      <c r="S448" s="707"/>
      <c r="T448" s="707"/>
      <c r="U448" s="707"/>
      <c r="V448" s="707"/>
      <c r="W448" s="707"/>
      <c r="X448" s="707"/>
      <c r="Y448" s="707"/>
      <c r="Z448" s="707"/>
      <c r="AA448" s="63"/>
      <c r="AB448" s="63"/>
      <c r="AC448" s="63"/>
    </row>
    <row r="449" spans="1:68" ht="27" customHeight="1" x14ac:dyDescent="0.25">
      <c r="A449" s="60" t="s">
        <v>733</v>
      </c>
      <c r="B449" s="60" t="s">
        <v>734</v>
      </c>
      <c r="C449" s="34">
        <v>4301020178</v>
      </c>
      <c r="D449" s="708">
        <v>4607091383980</v>
      </c>
      <c r="E449" s="708"/>
      <c r="F449" s="59">
        <v>2.5</v>
      </c>
      <c r="G449" s="35">
        <v>6</v>
      </c>
      <c r="H449" s="59">
        <v>15</v>
      </c>
      <c r="I449" s="59">
        <v>15.47</v>
      </c>
      <c r="J449" s="35">
        <v>48</v>
      </c>
      <c r="K449" s="35" t="s">
        <v>135</v>
      </c>
      <c r="L449" s="35" t="s">
        <v>46</v>
      </c>
      <c r="M449" s="36" t="s">
        <v>134</v>
      </c>
      <c r="N449" s="36"/>
      <c r="O449" s="35">
        <v>50</v>
      </c>
      <c r="P449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0"/>
      <c r="R449" s="710"/>
      <c r="S449" s="710"/>
      <c r="T449" s="711"/>
      <c r="U449" s="37" t="s">
        <v>46</v>
      </c>
      <c r="V449" s="37" t="s">
        <v>46</v>
      </c>
      <c r="W449" s="38" t="s">
        <v>0</v>
      </c>
      <c r="X449" s="56">
        <v>1000</v>
      </c>
      <c r="Y449" s="53">
        <f>IFERROR(IF(X449="",0,CEILING((X449/$H449),1)*$H449),"")</f>
        <v>1005</v>
      </c>
      <c r="Z449" s="39">
        <f>IFERROR(IF(Y449=0,"",ROUNDUP(Y449/H449,0)*0.02175),"")</f>
        <v>1.4572499999999999</v>
      </c>
      <c r="AA449" s="65" t="s">
        <v>46</v>
      </c>
      <c r="AB449" s="66" t="s">
        <v>46</v>
      </c>
      <c r="AC449" s="537" t="s">
        <v>735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1031.3333333333333</v>
      </c>
      <c r="BN449" s="75">
        <f>IFERROR(Y449*I449/H449,"0")</f>
        <v>1036.49</v>
      </c>
      <c r="BO449" s="75">
        <f>IFERROR(1/J449*(X449/H449),"0")</f>
        <v>1.3888888888888888</v>
      </c>
      <c r="BP449" s="75">
        <f>IFERROR(1/J449*(Y449/H449),"0")</f>
        <v>1.3958333333333333</v>
      </c>
    </row>
    <row r="450" spans="1:68" ht="27" customHeight="1" x14ac:dyDescent="0.25">
      <c r="A450" s="60" t="s">
        <v>736</v>
      </c>
      <c r="B450" s="60" t="s">
        <v>737</v>
      </c>
      <c r="C450" s="34">
        <v>4301020355</v>
      </c>
      <c r="D450" s="708">
        <v>4680115888425</v>
      </c>
      <c r="E450" s="708"/>
      <c r="F450" s="59">
        <v>2.5</v>
      </c>
      <c r="G450" s="35">
        <v>6</v>
      </c>
      <c r="H450" s="59">
        <v>15</v>
      </c>
      <c r="I450" s="59">
        <v>15.47</v>
      </c>
      <c r="J450" s="35">
        <v>48</v>
      </c>
      <c r="K450" s="35" t="s">
        <v>135</v>
      </c>
      <c r="L450" s="35" t="s">
        <v>46</v>
      </c>
      <c r="M450" s="36" t="s">
        <v>134</v>
      </c>
      <c r="N450" s="36"/>
      <c r="O450" s="35">
        <v>50</v>
      </c>
      <c r="P450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0"/>
      <c r="R450" s="710"/>
      <c r="S450" s="710"/>
      <c r="T450" s="711"/>
      <c r="U450" s="37" t="s">
        <v>46</v>
      </c>
      <c r="V450" s="37" t="s">
        <v>46</v>
      </c>
      <c r="W450" s="38" t="s">
        <v>0</v>
      </c>
      <c r="X450" s="56">
        <v>100</v>
      </c>
      <c r="Y450" s="53">
        <f>IFERROR(IF(X450="",0,CEILING((X450/$H450),1)*$H450),"")</f>
        <v>105</v>
      </c>
      <c r="Z450" s="39">
        <f>IFERROR(IF(Y450=0,"",ROUNDUP(Y450/H450,0)*0.02175),"")</f>
        <v>0.15225</v>
      </c>
      <c r="AA450" s="65" t="s">
        <v>46</v>
      </c>
      <c r="AB450" s="66" t="s">
        <v>46</v>
      </c>
      <c r="AC450" s="539" t="s">
        <v>738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103.13333333333334</v>
      </c>
      <c r="BN450" s="75">
        <f>IFERROR(Y450*I450/H450,"0")</f>
        <v>108.29</v>
      </c>
      <c r="BO450" s="75">
        <f>IFERROR(1/J450*(X450/H450),"0")</f>
        <v>0.1388888888888889</v>
      </c>
      <c r="BP450" s="75">
        <f>IFERROR(1/J450*(Y450/H450),"0")</f>
        <v>0.14583333333333331</v>
      </c>
    </row>
    <row r="451" spans="1:68" ht="27" hidden="1" customHeight="1" x14ac:dyDescent="0.25">
      <c r="A451" s="60" t="s">
        <v>739</v>
      </c>
      <c r="B451" s="60" t="s">
        <v>740</v>
      </c>
      <c r="C451" s="34">
        <v>4301020179</v>
      </c>
      <c r="D451" s="708">
        <v>4607091384178</v>
      </c>
      <c r="E451" s="708"/>
      <c r="F451" s="59">
        <v>0.4</v>
      </c>
      <c r="G451" s="35">
        <v>10</v>
      </c>
      <c r="H451" s="59">
        <v>4</v>
      </c>
      <c r="I451" s="59">
        <v>4.1900000000000004</v>
      </c>
      <c r="J451" s="35">
        <v>132</v>
      </c>
      <c r="K451" s="35" t="s">
        <v>142</v>
      </c>
      <c r="L451" s="35" t="s">
        <v>46</v>
      </c>
      <c r="M451" s="36" t="s">
        <v>134</v>
      </c>
      <c r="N451" s="36"/>
      <c r="O451" s="35">
        <v>50</v>
      </c>
      <c r="P451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0"/>
      <c r="R451" s="710"/>
      <c r="S451" s="710"/>
      <c r="T451" s="711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41" t="s">
        <v>741</v>
      </c>
      <c r="AG451" s="75"/>
      <c r="AJ451" s="79" t="s">
        <v>46</v>
      </c>
      <c r="AK451" s="79">
        <v>0</v>
      </c>
      <c r="BB451" s="542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715"/>
      <c r="B452" s="715"/>
      <c r="C452" s="715"/>
      <c r="D452" s="715"/>
      <c r="E452" s="715"/>
      <c r="F452" s="715"/>
      <c r="G452" s="715"/>
      <c r="H452" s="715"/>
      <c r="I452" s="715"/>
      <c r="J452" s="715"/>
      <c r="K452" s="715"/>
      <c r="L452" s="715"/>
      <c r="M452" s="715"/>
      <c r="N452" s="715"/>
      <c r="O452" s="716"/>
      <c r="P452" s="712" t="s">
        <v>40</v>
      </c>
      <c r="Q452" s="713"/>
      <c r="R452" s="713"/>
      <c r="S452" s="713"/>
      <c r="T452" s="713"/>
      <c r="U452" s="713"/>
      <c r="V452" s="714"/>
      <c r="W452" s="40" t="s">
        <v>39</v>
      </c>
      <c r="X452" s="41">
        <f>IFERROR(X449/H449,"0")+IFERROR(X450/H450,"0")+IFERROR(X451/H451,"0")</f>
        <v>73.333333333333343</v>
      </c>
      <c r="Y452" s="41">
        <f>IFERROR(Y449/H449,"0")+IFERROR(Y450/H450,"0")+IFERROR(Y451/H451,"0")</f>
        <v>74</v>
      </c>
      <c r="Z452" s="41">
        <f>IFERROR(IF(Z449="",0,Z449),"0")+IFERROR(IF(Z450="",0,Z450),"0")+IFERROR(IF(Z451="",0,Z451),"0")</f>
        <v>1.6094999999999999</v>
      </c>
      <c r="AA452" s="64"/>
      <c r="AB452" s="64"/>
      <c r="AC452" s="64"/>
    </row>
    <row r="453" spans="1:68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0" t="s">
        <v>0</v>
      </c>
      <c r="X453" s="41">
        <f>IFERROR(SUM(X449:X451),"0")</f>
        <v>1100</v>
      </c>
      <c r="Y453" s="41">
        <f>IFERROR(SUM(Y449:Y451),"0")</f>
        <v>1110</v>
      </c>
      <c r="Z453" s="40"/>
      <c r="AA453" s="64"/>
      <c r="AB453" s="64"/>
      <c r="AC453" s="64"/>
    </row>
    <row r="454" spans="1:68" ht="14.25" hidden="1" customHeight="1" x14ac:dyDescent="0.25">
      <c r="A454" s="707" t="s">
        <v>83</v>
      </c>
      <c r="B454" s="707"/>
      <c r="C454" s="707"/>
      <c r="D454" s="707"/>
      <c r="E454" s="707"/>
      <c r="F454" s="707"/>
      <c r="G454" s="707"/>
      <c r="H454" s="707"/>
      <c r="I454" s="707"/>
      <c r="J454" s="707"/>
      <c r="K454" s="707"/>
      <c r="L454" s="707"/>
      <c r="M454" s="707"/>
      <c r="N454" s="707"/>
      <c r="O454" s="707"/>
      <c r="P454" s="707"/>
      <c r="Q454" s="707"/>
      <c r="R454" s="707"/>
      <c r="S454" s="707"/>
      <c r="T454" s="707"/>
      <c r="U454" s="707"/>
      <c r="V454" s="707"/>
      <c r="W454" s="707"/>
      <c r="X454" s="707"/>
      <c r="Y454" s="707"/>
      <c r="Z454" s="707"/>
      <c r="AA454" s="63"/>
      <c r="AB454" s="63"/>
      <c r="AC454" s="63"/>
    </row>
    <row r="455" spans="1:68" ht="27" hidden="1" customHeight="1" x14ac:dyDescent="0.25">
      <c r="A455" s="60" t="s">
        <v>742</v>
      </c>
      <c r="B455" s="60" t="s">
        <v>743</v>
      </c>
      <c r="C455" s="34">
        <v>4301051903</v>
      </c>
      <c r="D455" s="708">
        <v>4607091383928</v>
      </c>
      <c r="E455" s="708"/>
      <c r="F455" s="59">
        <v>1.5</v>
      </c>
      <c r="G455" s="35">
        <v>6</v>
      </c>
      <c r="H455" s="59">
        <v>9</v>
      </c>
      <c r="I455" s="59">
        <v>9.5</v>
      </c>
      <c r="J455" s="35">
        <v>64</v>
      </c>
      <c r="K455" s="35" t="s">
        <v>135</v>
      </c>
      <c r="L455" s="35" t="s">
        <v>46</v>
      </c>
      <c r="M455" s="36" t="s">
        <v>87</v>
      </c>
      <c r="N455" s="36"/>
      <c r="O455" s="35">
        <v>40</v>
      </c>
      <c r="P455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0"/>
      <c r="R455" s="710"/>
      <c r="S455" s="710"/>
      <c r="T455" s="71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43" t="s">
        <v>744</v>
      </c>
      <c r="AG455" s="75"/>
      <c r="AJ455" s="79" t="s">
        <v>46</v>
      </c>
      <c r="AK455" s="79">
        <v>0</v>
      </c>
      <c r="BB455" s="54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hidden="1" customHeight="1" x14ac:dyDescent="0.25">
      <c r="A456" s="60" t="s">
        <v>745</v>
      </c>
      <c r="B456" s="60" t="s">
        <v>746</v>
      </c>
      <c r="C456" s="34">
        <v>4301051897</v>
      </c>
      <c r="D456" s="708">
        <v>4607091384260</v>
      </c>
      <c r="E456" s="708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135</v>
      </c>
      <c r="L456" s="35" t="s">
        <v>46</v>
      </c>
      <c r="M456" s="36" t="s">
        <v>87</v>
      </c>
      <c r="N456" s="36"/>
      <c r="O456" s="35">
        <v>40</v>
      </c>
      <c r="P456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0"/>
      <c r="R456" s="710"/>
      <c r="S456" s="710"/>
      <c r="T456" s="711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45" t="s">
        <v>747</v>
      </c>
      <c r="AG456" s="75"/>
      <c r="AJ456" s="79" t="s">
        <v>46</v>
      </c>
      <c r="AK456" s="79">
        <v>0</v>
      </c>
      <c r="BB456" s="546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748</v>
      </c>
      <c r="B457" s="60" t="s">
        <v>749</v>
      </c>
      <c r="C457" s="34">
        <v>4301052220</v>
      </c>
      <c r="D457" s="708">
        <v>4680115889538</v>
      </c>
      <c r="E457" s="708"/>
      <c r="F457" s="59">
        <v>0.8</v>
      </c>
      <c r="G457" s="35">
        <v>6</v>
      </c>
      <c r="H457" s="59">
        <v>4.8</v>
      </c>
      <c r="I457" s="59">
        <v>5.2160000000000002</v>
      </c>
      <c r="J457" s="35">
        <v>104</v>
      </c>
      <c r="K457" s="35" t="s">
        <v>135</v>
      </c>
      <c r="L457" s="35" t="s">
        <v>46</v>
      </c>
      <c r="M457" s="36" t="s">
        <v>87</v>
      </c>
      <c r="N457" s="36"/>
      <c r="O457" s="35">
        <v>45</v>
      </c>
      <c r="P457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0"/>
      <c r="R457" s="710"/>
      <c r="S457" s="710"/>
      <c r="T457" s="711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IFERROR(IF(Y457=0,"",ROUNDUP(Y457/H457,0)*0.01196),"")</f>
        <v/>
      </c>
      <c r="AA457" s="65" t="s">
        <v>46</v>
      </c>
      <c r="AB457" s="66" t="s">
        <v>46</v>
      </c>
      <c r="AC457" s="547" t="s">
        <v>750</v>
      </c>
      <c r="AG457" s="75"/>
      <c r="AJ457" s="79" t="s">
        <v>46</v>
      </c>
      <c r="AK457" s="79">
        <v>0</v>
      </c>
      <c r="BB457" s="548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0" t="s">
        <v>39</v>
      </c>
      <c r="X458" s="41">
        <f>IFERROR(X455/H455,"0")+IFERROR(X456/H456,"0")+IFERROR(X457/H457,"0")</f>
        <v>0</v>
      </c>
      <c r="Y458" s="41">
        <f>IFERROR(Y455/H455,"0")+IFERROR(Y456/H456,"0")+IFERROR(Y457/H457,"0")</f>
        <v>0</v>
      </c>
      <c r="Z458" s="41">
        <f>IFERROR(IF(Z455="",0,Z455),"0")+IFERROR(IF(Z456="",0,Z456),"0")+IFERROR(IF(Z457="",0,Z457),"0")</f>
        <v>0</v>
      </c>
      <c r="AA458" s="64"/>
      <c r="AB458" s="64"/>
      <c r="AC458" s="64"/>
    </row>
    <row r="459" spans="1:68" hidden="1" x14ac:dyDescent="0.2">
      <c r="A459" s="715"/>
      <c r="B459" s="715"/>
      <c r="C459" s="715"/>
      <c r="D459" s="715"/>
      <c r="E459" s="715"/>
      <c r="F459" s="715"/>
      <c r="G459" s="715"/>
      <c r="H459" s="715"/>
      <c r="I459" s="715"/>
      <c r="J459" s="715"/>
      <c r="K459" s="715"/>
      <c r="L459" s="715"/>
      <c r="M459" s="715"/>
      <c r="N459" s="715"/>
      <c r="O459" s="716"/>
      <c r="P459" s="712" t="s">
        <v>40</v>
      </c>
      <c r="Q459" s="713"/>
      <c r="R459" s="713"/>
      <c r="S459" s="713"/>
      <c r="T459" s="713"/>
      <c r="U459" s="713"/>
      <c r="V459" s="714"/>
      <c r="W459" s="40" t="s">
        <v>0</v>
      </c>
      <c r="X459" s="41">
        <f>IFERROR(SUM(X455:X457),"0")</f>
        <v>0</v>
      </c>
      <c r="Y459" s="41">
        <f>IFERROR(SUM(Y455:Y457),"0")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7" t="s">
        <v>183</v>
      </c>
      <c r="B460" s="707"/>
      <c r="C460" s="707"/>
      <c r="D460" s="707"/>
      <c r="E460" s="707"/>
      <c r="F460" s="707"/>
      <c r="G460" s="707"/>
      <c r="H460" s="707"/>
      <c r="I460" s="707"/>
      <c r="J460" s="707"/>
      <c r="K460" s="707"/>
      <c r="L460" s="707"/>
      <c r="M460" s="707"/>
      <c r="N460" s="707"/>
      <c r="O460" s="707"/>
      <c r="P460" s="707"/>
      <c r="Q460" s="707"/>
      <c r="R460" s="707"/>
      <c r="S460" s="707"/>
      <c r="T460" s="707"/>
      <c r="U460" s="707"/>
      <c r="V460" s="707"/>
      <c r="W460" s="707"/>
      <c r="X460" s="707"/>
      <c r="Y460" s="707"/>
      <c r="Z460" s="707"/>
      <c r="AA460" s="63"/>
      <c r="AB460" s="63"/>
      <c r="AC460" s="63"/>
    </row>
    <row r="461" spans="1:68" ht="27" hidden="1" customHeight="1" x14ac:dyDescent="0.25">
      <c r="A461" s="60" t="s">
        <v>751</v>
      </c>
      <c r="B461" s="60" t="s">
        <v>752</v>
      </c>
      <c r="C461" s="34">
        <v>4301060537</v>
      </c>
      <c r="D461" s="708">
        <v>4680115889545</v>
      </c>
      <c r="E461" s="708"/>
      <c r="F461" s="59">
        <v>0.7</v>
      </c>
      <c r="G461" s="35">
        <v>6</v>
      </c>
      <c r="H461" s="59">
        <v>4.2</v>
      </c>
      <c r="I461" s="59">
        <v>4.6159999999999997</v>
      </c>
      <c r="J461" s="35">
        <v>104</v>
      </c>
      <c r="K461" s="35" t="s">
        <v>135</v>
      </c>
      <c r="L461" s="35" t="s">
        <v>46</v>
      </c>
      <c r="M461" s="36" t="s">
        <v>87</v>
      </c>
      <c r="N461" s="36"/>
      <c r="O461" s="35">
        <v>30</v>
      </c>
      <c r="P461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0"/>
      <c r="R461" s="710"/>
      <c r="S461" s="710"/>
      <c r="T461" s="71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IFERROR(IF(Y461=0,"",ROUNDUP(Y461/H461,0)*0.01196),"")</f>
        <v/>
      </c>
      <c r="AA461" s="65" t="s">
        <v>46</v>
      </c>
      <c r="AB461" s="66" t="s">
        <v>46</v>
      </c>
      <c r="AC461" s="549" t="s">
        <v>753</v>
      </c>
      <c r="AG461" s="75"/>
      <c r="AJ461" s="79" t="s">
        <v>46</v>
      </c>
      <c r="AK461" s="79">
        <v>0</v>
      </c>
      <c r="BB461" s="550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16.5" hidden="1" customHeight="1" x14ac:dyDescent="0.25">
      <c r="A462" s="60" t="s">
        <v>754</v>
      </c>
      <c r="B462" s="60" t="s">
        <v>755</v>
      </c>
      <c r="C462" s="34">
        <v>4301060524</v>
      </c>
      <c r="D462" s="708">
        <v>4607091384673</v>
      </c>
      <c r="E462" s="708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135</v>
      </c>
      <c r="L462" s="35" t="s">
        <v>46</v>
      </c>
      <c r="M462" s="36" t="s">
        <v>87</v>
      </c>
      <c r="N462" s="36"/>
      <c r="O462" s="35">
        <v>40</v>
      </c>
      <c r="P462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0"/>
      <c r="R462" s="710"/>
      <c r="S462" s="710"/>
      <c r="T462" s="71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756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6.5" hidden="1" customHeight="1" x14ac:dyDescent="0.25">
      <c r="A465" s="706" t="s">
        <v>757</v>
      </c>
      <c r="B465" s="706"/>
      <c r="C465" s="706"/>
      <c r="D465" s="706"/>
      <c r="E465" s="706"/>
      <c r="F465" s="706"/>
      <c r="G465" s="706"/>
      <c r="H465" s="706"/>
      <c r="I465" s="706"/>
      <c r="J465" s="706"/>
      <c r="K465" s="706"/>
      <c r="L465" s="706"/>
      <c r="M465" s="706"/>
      <c r="N465" s="706"/>
      <c r="O465" s="706"/>
      <c r="P465" s="706"/>
      <c r="Q465" s="706"/>
      <c r="R465" s="706"/>
      <c r="S465" s="706"/>
      <c r="T465" s="706"/>
      <c r="U465" s="706"/>
      <c r="V465" s="706"/>
      <c r="W465" s="706"/>
      <c r="X465" s="706"/>
      <c r="Y465" s="706"/>
      <c r="Z465" s="706"/>
      <c r="AA465" s="62"/>
      <c r="AB465" s="62"/>
      <c r="AC465" s="62"/>
    </row>
    <row r="466" spans="1:68" ht="14.25" hidden="1" customHeight="1" x14ac:dyDescent="0.25">
      <c r="A466" s="707" t="s">
        <v>130</v>
      </c>
      <c r="B466" s="707"/>
      <c r="C466" s="707"/>
      <c r="D466" s="707"/>
      <c r="E466" s="707"/>
      <c r="F466" s="707"/>
      <c r="G466" s="707"/>
      <c r="H466" s="707"/>
      <c r="I466" s="707"/>
      <c r="J466" s="707"/>
      <c r="K466" s="707"/>
      <c r="L466" s="707"/>
      <c r="M466" s="707"/>
      <c r="N466" s="707"/>
      <c r="O466" s="707"/>
      <c r="P466" s="707"/>
      <c r="Q466" s="707"/>
      <c r="R466" s="707"/>
      <c r="S466" s="707"/>
      <c r="T466" s="707"/>
      <c r="U466" s="707"/>
      <c r="V466" s="707"/>
      <c r="W466" s="707"/>
      <c r="X466" s="707"/>
      <c r="Y466" s="707"/>
      <c r="Z466" s="707"/>
      <c r="AA466" s="63"/>
      <c r="AB466" s="63"/>
      <c r="AC466" s="63"/>
    </row>
    <row r="467" spans="1:68" ht="27" hidden="1" customHeight="1" x14ac:dyDescent="0.25">
      <c r="A467" s="60" t="s">
        <v>758</v>
      </c>
      <c r="B467" s="60" t="s">
        <v>759</v>
      </c>
      <c r="C467" s="34">
        <v>4301011875</v>
      </c>
      <c r="D467" s="708">
        <v>4680115884885</v>
      </c>
      <c r="E467" s="708"/>
      <c r="F467" s="59">
        <v>0.8</v>
      </c>
      <c r="G467" s="35">
        <v>15</v>
      </c>
      <c r="H467" s="59">
        <v>12</v>
      </c>
      <c r="I467" s="59">
        <v>12.41</v>
      </c>
      <c r="J467" s="35">
        <v>64</v>
      </c>
      <c r="K467" s="35" t="s">
        <v>135</v>
      </c>
      <c r="L467" s="35" t="s">
        <v>46</v>
      </c>
      <c r="M467" s="36" t="s">
        <v>81</v>
      </c>
      <c r="N467" s="36"/>
      <c r="O467" s="35">
        <v>60</v>
      </c>
      <c r="P467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0"/>
      <c r="R467" s="710"/>
      <c r="S467" s="710"/>
      <c r="T467" s="71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53" t="s">
        <v>760</v>
      </c>
      <c r="AG467" s="75"/>
      <c r="AJ467" s="79" t="s">
        <v>46</v>
      </c>
      <c r="AK467" s="79">
        <v>0</v>
      </c>
      <c r="BB467" s="554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37.5" hidden="1" customHeight="1" x14ac:dyDescent="0.25">
      <c r="A468" s="60" t="s">
        <v>761</v>
      </c>
      <c r="B468" s="60" t="s">
        <v>762</v>
      </c>
      <c r="C468" s="34">
        <v>4301011871</v>
      </c>
      <c r="D468" s="708">
        <v>4680115884908</v>
      </c>
      <c r="E468" s="708"/>
      <c r="F468" s="59">
        <v>0.4</v>
      </c>
      <c r="G468" s="35">
        <v>10</v>
      </c>
      <c r="H468" s="59">
        <v>4</v>
      </c>
      <c r="I468" s="59">
        <v>4.1900000000000004</v>
      </c>
      <c r="J468" s="35">
        <v>132</v>
      </c>
      <c r="K468" s="35" t="s">
        <v>142</v>
      </c>
      <c r="L468" s="35" t="s">
        <v>46</v>
      </c>
      <c r="M468" s="36" t="s">
        <v>81</v>
      </c>
      <c r="N468" s="36"/>
      <c r="O468" s="35">
        <v>60</v>
      </c>
      <c r="P468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0"/>
      <c r="R468" s="710"/>
      <c r="S468" s="710"/>
      <c r="T468" s="71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760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idden="1" x14ac:dyDescent="0.2">
      <c r="A469" s="715"/>
      <c r="B469" s="715"/>
      <c r="C469" s="715"/>
      <c r="D469" s="715"/>
      <c r="E469" s="715"/>
      <c r="F469" s="715"/>
      <c r="G469" s="715"/>
      <c r="H469" s="715"/>
      <c r="I469" s="715"/>
      <c r="J469" s="715"/>
      <c r="K469" s="715"/>
      <c r="L469" s="715"/>
      <c r="M469" s="715"/>
      <c r="N469" s="715"/>
      <c r="O469" s="716"/>
      <c r="P469" s="712" t="s">
        <v>40</v>
      </c>
      <c r="Q469" s="713"/>
      <c r="R469" s="713"/>
      <c r="S469" s="713"/>
      <c r="T469" s="713"/>
      <c r="U469" s="713"/>
      <c r="V469" s="714"/>
      <c r="W469" s="40" t="s">
        <v>39</v>
      </c>
      <c r="X469" s="41">
        <f>IFERROR(X467/H467,"0")+IFERROR(X468/H468,"0")</f>
        <v>0</v>
      </c>
      <c r="Y469" s="41">
        <f>IFERROR(Y467/H467,"0")+IFERROR(Y468/H468,"0")</f>
        <v>0</v>
      </c>
      <c r="Z469" s="41">
        <f>IFERROR(IF(Z467="",0,Z467),"0")+IFERROR(IF(Z468="",0,Z468),"0")</f>
        <v>0</v>
      </c>
      <c r="AA469" s="64"/>
      <c r="AB469" s="64"/>
      <c r="AC469" s="64"/>
    </row>
    <row r="470" spans="1:68" hidden="1" x14ac:dyDescent="0.2">
      <c r="A470" s="715"/>
      <c r="B470" s="715"/>
      <c r="C470" s="715"/>
      <c r="D470" s="715"/>
      <c r="E470" s="715"/>
      <c r="F470" s="715"/>
      <c r="G470" s="715"/>
      <c r="H470" s="715"/>
      <c r="I470" s="715"/>
      <c r="J470" s="715"/>
      <c r="K470" s="715"/>
      <c r="L470" s="715"/>
      <c r="M470" s="715"/>
      <c r="N470" s="715"/>
      <c r="O470" s="716"/>
      <c r="P470" s="712" t="s">
        <v>40</v>
      </c>
      <c r="Q470" s="713"/>
      <c r="R470" s="713"/>
      <c r="S470" s="713"/>
      <c r="T470" s="713"/>
      <c r="U470" s="713"/>
      <c r="V470" s="714"/>
      <c r="W470" s="40" t="s">
        <v>0</v>
      </c>
      <c r="X470" s="41">
        <f>IFERROR(SUM(X467:X468),"0")</f>
        <v>0</v>
      </c>
      <c r="Y470" s="41">
        <f>IFERROR(SUM(Y467:Y468),"0")</f>
        <v>0</v>
      </c>
      <c r="Z470" s="40"/>
      <c r="AA470" s="64"/>
      <c r="AB470" s="64"/>
      <c r="AC470" s="64"/>
    </row>
    <row r="471" spans="1:68" ht="14.25" hidden="1" customHeight="1" x14ac:dyDescent="0.25">
      <c r="A471" s="707" t="s">
        <v>77</v>
      </c>
      <c r="B471" s="707"/>
      <c r="C471" s="707"/>
      <c r="D471" s="707"/>
      <c r="E471" s="707"/>
      <c r="F471" s="707"/>
      <c r="G471" s="707"/>
      <c r="H471" s="707"/>
      <c r="I471" s="707"/>
      <c r="J471" s="707"/>
      <c r="K471" s="707"/>
      <c r="L471" s="707"/>
      <c r="M471" s="707"/>
      <c r="N471" s="707"/>
      <c r="O471" s="707"/>
      <c r="P471" s="707"/>
      <c r="Q471" s="707"/>
      <c r="R471" s="707"/>
      <c r="S471" s="707"/>
      <c r="T471" s="707"/>
      <c r="U471" s="707"/>
      <c r="V471" s="707"/>
      <c r="W471" s="707"/>
      <c r="X471" s="707"/>
      <c r="Y471" s="707"/>
      <c r="Z471" s="707"/>
      <c r="AA471" s="63"/>
      <c r="AB471" s="63"/>
      <c r="AC471" s="63"/>
    </row>
    <row r="472" spans="1:68" ht="27" hidden="1" customHeight="1" x14ac:dyDescent="0.25">
      <c r="A472" s="60" t="s">
        <v>763</v>
      </c>
      <c r="B472" s="60" t="s">
        <v>764</v>
      </c>
      <c r="C472" s="34">
        <v>4301031457</v>
      </c>
      <c r="D472" s="708">
        <v>4607091384802</v>
      </c>
      <c r="E472" s="708"/>
      <c r="F472" s="59">
        <v>0.7</v>
      </c>
      <c r="G472" s="35">
        <v>6</v>
      </c>
      <c r="H472" s="59">
        <v>4.2</v>
      </c>
      <c r="I472" s="59">
        <v>4.45</v>
      </c>
      <c r="J472" s="35">
        <v>132</v>
      </c>
      <c r="K472" s="35" t="s">
        <v>142</v>
      </c>
      <c r="L472" s="35" t="s">
        <v>46</v>
      </c>
      <c r="M472" s="36" t="s">
        <v>81</v>
      </c>
      <c r="N472" s="36"/>
      <c r="O472" s="35">
        <v>50</v>
      </c>
      <c r="P472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0"/>
      <c r="R472" s="710"/>
      <c r="S472" s="710"/>
      <c r="T472" s="711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7" t="s">
        <v>765</v>
      </c>
      <c r="AG472" s="75"/>
      <c r="AJ472" s="79" t="s">
        <v>46</v>
      </c>
      <c r="AK472" s="79">
        <v>0</v>
      </c>
      <c r="BB472" s="558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15"/>
      <c r="B473" s="715"/>
      <c r="C473" s="715"/>
      <c r="D473" s="715"/>
      <c r="E473" s="715"/>
      <c r="F473" s="715"/>
      <c r="G473" s="715"/>
      <c r="H473" s="715"/>
      <c r="I473" s="715"/>
      <c r="J473" s="715"/>
      <c r="K473" s="715"/>
      <c r="L473" s="715"/>
      <c r="M473" s="715"/>
      <c r="N473" s="715"/>
      <c r="O473" s="716"/>
      <c r="P473" s="712" t="s">
        <v>40</v>
      </c>
      <c r="Q473" s="713"/>
      <c r="R473" s="713"/>
      <c r="S473" s="713"/>
      <c r="T473" s="713"/>
      <c r="U473" s="713"/>
      <c r="V473" s="714"/>
      <c r="W473" s="40" t="s">
        <v>39</v>
      </c>
      <c r="X473" s="41">
        <f>IFERROR(X472/H472,"0")</f>
        <v>0</v>
      </c>
      <c r="Y473" s="41">
        <f>IFERROR(Y472/H472,"0")</f>
        <v>0</v>
      </c>
      <c r="Z473" s="41">
        <f>IFERROR(IF(Z472="",0,Z472),"0")</f>
        <v>0</v>
      </c>
      <c r="AA473" s="64"/>
      <c r="AB473" s="64"/>
      <c r="AC473" s="64"/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0" t="s">
        <v>0</v>
      </c>
      <c r="X474" s="41">
        <f>IFERROR(SUM(X472:X472),"0")</f>
        <v>0</v>
      </c>
      <c r="Y474" s="41">
        <f>IFERROR(SUM(Y472:Y472),"0")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707" t="s">
        <v>83</v>
      </c>
      <c r="B475" s="707"/>
      <c r="C475" s="707"/>
      <c r="D475" s="707"/>
      <c r="E475" s="707"/>
      <c r="F475" s="707"/>
      <c r="G475" s="707"/>
      <c r="H475" s="707"/>
      <c r="I475" s="707"/>
      <c r="J475" s="707"/>
      <c r="K475" s="707"/>
      <c r="L475" s="707"/>
      <c r="M475" s="707"/>
      <c r="N475" s="707"/>
      <c r="O475" s="707"/>
      <c r="P475" s="707"/>
      <c r="Q475" s="707"/>
      <c r="R475" s="707"/>
      <c r="S475" s="707"/>
      <c r="T475" s="707"/>
      <c r="U475" s="707"/>
      <c r="V475" s="707"/>
      <c r="W475" s="707"/>
      <c r="X475" s="707"/>
      <c r="Y475" s="707"/>
      <c r="Z475" s="707"/>
      <c r="AA475" s="63"/>
      <c r="AB475" s="63"/>
      <c r="AC475" s="63"/>
    </row>
    <row r="476" spans="1:68" ht="27" hidden="1" customHeight="1" x14ac:dyDescent="0.25">
      <c r="A476" s="60" t="s">
        <v>766</v>
      </c>
      <c r="B476" s="60" t="s">
        <v>767</v>
      </c>
      <c r="C476" s="34">
        <v>4301051899</v>
      </c>
      <c r="D476" s="708">
        <v>4607091384246</v>
      </c>
      <c r="E476" s="708"/>
      <c r="F476" s="59">
        <v>1.5</v>
      </c>
      <c r="G476" s="35">
        <v>6</v>
      </c>
      <c r="H476" s="59">
        <v>9</v>
      </c>
      <c r="I476" s="59">
        <v>9.4939999999999998</v>
      </c>
      <c r="J476" s="35">
        <v>64</v>
      </c>
      <c r="K476" s="35" t="s">
        <v>135</v>
      </c>
      <c r="L476" s="35" t="s">
        <v>46</v>
      </c>
      <c r="M476" s="36" t="s">
        <v>87</v>
      </c>
      <c r="N476" s="36"/>
      <c r="O476" s="35">
        <v>40</v>
      </c>
      <c r="P476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0"/>
      <c r="R476" s="710"/>
      <c r="S476" s="710"/>
      <c r="T476" s="71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46</v>
      </c>
      <c r="AB476" s="66" t="s">
        <v>46</v>
      </c>
      <c r="AC476" s="559" t="s">
        <v>768</v>
      </c>
      <c r="AG476" s="75"/>
      <c r="AJ476" s="79" t="s">
        <v>46</v>
      </c>
      <c r="AK476" s="79">
        <v>0</v>
      </c>
      <c r="BB476" s="56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t="27" hidden="1" customHeight="1" x14ac:dyDescent="0.25">
      <c r="A477" s="60" t="s">
        <v>769</v>
      </c>
      <c r="B477" s="60" t="s">
        <v>770</v>
      </c>
      <c r="C477" s="34">
        <v>4301051660</v>
      </c>
      <c r="D477" s="708">
        <v>4607091384253</v>
      </c>
      <c r="E477" s="708"/>
      <c r="F477" s="59">
        <v>0.4</v>
      </c>
      <c r="G477" s="35">
        <v>6</v>
      </c>
      <c r="H477" s="59">
        <v>2.4</v>
      </c>
      <c r="I477" s="59">
        <v>2.6640000000000001</v>
      </c>
      <c r="J477" s="35">
        <v>182</v>
      </c>
      <c r="K477" s="35" t="s">
        <v>88</v>
      </c>
      <c r="L477" s="35" t="s">
        <v>46</v>
      </c>
      <c r="M477" s="36" t="s">
        <v>87</v>
      </c>
      <c r="N477" s="36"/>
      <c r="O477" s="35">
        <v>40</v>
      </c>
      <c r="P477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0"/>
      <c r="R477" s="710"/>
      <c r="S477" s="710"/>
      <c r="T477" s="711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61" t="s">
        <v>768</v>
      </c>
      <c r="AG477" s="75"/>
      <c r="AJ477" s="79" t="s">
        <v>46</v>
      </c>
      <c r="AK477" s="79">
        <v>0</v>
      </c>
      <c r="BB477" s="562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769</v>
      </c>
      <c r="B478" s="60" t="s">
        <v>771</v>
      </c>
      <c r="C478" s="34">
        <v>4301052069</v>
      </c>
      <c r="D478" s="708">
        <v>4607091384253</v>
      </c>
      <c r="E478" s="708"/>
      <c r="F478" s="59">
        <v>0.4</v>
      </c>
      <c r="G478" s="35">
        <v>6</v>
      </c>
      <c r="H478" s="59">
        <v>2.4</v>
      </c>
      <c r="I478" s="59">
        <v>2.6640000000000001</v>
      </c>
      <c r="J478" s="35">
        <v>182</v>
      </c>
      <c r="K478" s="35" t="s">
        <v>88</v>
      </c>
      <c r="L478" s="35" t="s">
        <v>46</v>
      </c>
      <c r="M478" s="36" t="s">
        <v>87</v>
      </c>
      <c r="N478" s="36"/>
      <c r="O478" s="35">
        <v>40</v>
      </c>
      <c r="P478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0"/>
      <c r="R478" s="710"/>
      <c r="S478" s="710"/>
      <c r="T478" s="711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3" t="s">
        <v>772</v>
      </c>
      <c r="AG478" s="75"/>
      <c r="AJ478" s="79" t="s">
        <v>46</v>
      </c>
      <c r="AK478" s="79">
        <v>0</v>
      </c>
      <c r="BB478" s="564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0" t="s">
        <v>39</v>
      </c>
      <c r="X479" s="41">
        <f>IFERROR(X476/H476,"0")+IFERROR(X477/H477,"0")+IFERROR(X478/H478,"0")</f>
        <v>0</v>
      </c>
      <c r="Y479" s="41">
        <f>IFERROR(Y476/H476,"0")+IFERROR(Y477/H477,"0")+IFERROR(Y478/H478,"0")</f>
        <v>0</v>
      </c>
      <c r="Z479" s="41">
        <f>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0" t="s">
        <v>0</v>
      </c>
      <c r="X480" s="41">
        <f>IFERROR(SUM(X476:X478),"0")</f>
        <v>0</v>
      </c>
      <c r="Y480" s="41">
        <f>IFERROR(SUM(Y476:Y478),"0")</f>
        <v>0</v>
      </c>
      <c r="Z480" s="40"/>
      <c r="AA480" s="64"/>
      <c r="AB480" s="64"/>
      <c r="AC480" s="64"/>
    </row>
    <row r="481" spans="1:68" ht="27.75" hidden="1" customHeight="1" x14ac:dyDescent="0.2">
      <c r="A481" s="705" t="s">
        <v>773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52"/>
      <c r="AB481" s="52"/>
      <c r="AC481" s="52"/>
    </row>
    <row r="482" spans="1:68" ht="16.5" hidden="1" customHeight="1" x14ac:dyDescent="0.25">
      <c r="A482" s="706" t="s">
        <v>774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2"/>
      <c r="AB482" s="62"/>
      <c r="AC482" s="62"/>
    </row>
    <row r="483" spans="1:68" ht="14.25" hidden="1" customHeight="1" x14ac:dyDescent="0.25">
      <c r="A483" s="707" t="s">
        <v>77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4301031405</v>
      </c>
      <c r="D484" s="708">
        <v>4680115886100</v>
      </c>
      <c r="E484" s="708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142</v>
      </c>
      <c r="L484" s="35" t="s">
        <v>46</v>
      </c>
      <c r="M484" s="36" t="s">
        <v>81</v>
      </c>
      <c r="N484" s="36"/>
      <c r="O484" s="35">
        <v>50</v>
      </c>
      <c r="P484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0"/>
      <c r="R484" s="710"/>
      <c r="S484" s="710"/>
      <c r="T484" s="71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ref="Y484:Y489" si="66"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 t="shared" ref="BM484:BM489" si="67">IFERROR(X484*I484/H484,"0")</f>
        <v>0</v>
      </c>
      <c r="BN484" s="75">
        <f t="shared" ref="BN484:BN489" si="68">IFERROR(Y484*I484/H484,"0")</f>
        <v>0</v>
      </c>
      <c r="BO484" s="75">
        <f t="shared" ref="BO484:BO489" si="69">IFERROR(1/J484*(X484/H484),"0")</f>
        <v>0</v>
      </c>
      <c r="BP484" s="75">
        <f t="shared" ref="BP484:BP489" si="70"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4301031402</v>
      </c>
      <c r="D485" s="708">
        <v>4680115886124</v>
      </c>
      <c r="E485" s="708"/>
      <c r="F485" s="59">
        <v>0.9</v>
      </c>
      <c r="G485" s="35">
        <v>6</v>
      </c>
      <c r="H485" s="59">
        <v>5.4</v>
      </c>
      <c r="I485" s="59">
        <v>5.59</v>
      </c>
      <c r="J485" s="35">
        <v>132</v>
      </c>
      <c r="K485" s="35" t="s">
        <v>142</v>
      </c>
      <c r="L485" s="35" t="s">
        <v>46</v>
      </c>
      <c r="M485" s="36" t="s">
        <v>81</v>
      </c>
      <c r="N485" s="36"/>
      <c r="O485" s="35">
        <v>50</v>
      </c>
      <c r="P485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0"/>
      <c r="R485" s="710"/>
      <c r="S485" s="710"/>
      <c r="T485" s="71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6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 t="shared" si="67"/>
        <v>0</v>
      </c>
      <c r="BN485" s="75">
        <f t="shared" si="68"/>
        <v>0</v>
      </c>
      <c r="BO485" s="75">
        <f t="shared" si="69"/>
        <v>0</v>
      </c>
      <c r="BP485" s="75">
        <f t="shared" si="70"/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4301031362</v>
      </c>
      <c r="D486" s="708">
        <v>4607091384338</v>
      </c>
      <c r="E486" s="70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0"/>
      <c r="R486" s="710"/>
      <c r="S486" s="710"/>
      <c r="T486" s="71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6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777</v>
      </c>
      <c r="AG486" s="75"/>
      <c r="AJ486" s="79" t="s">
        <v>46</v>
      </c>
      <c r="AK486" s="79">
        <v>0</v>
      </c>
      <c r="BB486" s="570" t="s">
        <v>67</v>
      </c>
      <c r="BM486" s="75">
        <f t="shared" si="67"/>
        <v>0</v>
      </c>
      <c r="BN486" s="75">
        <f t="shared" si="68"/>
        <v>0</v>
      </c>
      <c r="BO486" s="75">
        <f t="shared" si="69"/>
        <v>0</v>
      </c>
      <c r="BP486" s="75">
        <f t="shared" si="70"/>
        <v>0</v>
      </c>
    </row>
    <row r="487" spans="1:68" ht="27" hidden="1" customHeight="1" x14ac:dyDescent="0.25">
      <c r="A487" s="60" t="s">
        <v>783</v>
      </c>
      <c r="B487" s="60" t="s">
        <v>784</v>
      </c>
      <c r="C487" s="34">
        <v>4301031364</v>
      </c>
      <c r="D487" s="708">
        <v>4680115883161</v>
      </c>
      <c r="E487" s="708"/>
      <c r="F487" s="59">
        <v>0.28000000000000003</v>
      </c>
      <c r="G487" s="35">
        <v>6</v>
      </c>
      <c r="H487" s="59">
        <v>1.68</v>
      </c>
      <c r="I487" s="59">
        <v>1.81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0"/>
      <c r="R487" s="710"/>
      <c r="S487" s="710"/>
      <c r="T487" s="71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6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71" t="s">
        <v>785</v>
      </c>
      <c r="AG487" s="75"/>
      <c r="AJ487" s="79" t="s">
        <v>46</v>
      </c>
      <c r="AK487" s="79">
        <v>0</v>
      </c>
      <c r="BB487" s="572" t="s">
        <v>67</v>
      </c>
      <c r="BM487" s="75">
        <f t="shared" si="67"/>
        <v>0</v>
      </c>
      <c r="BN487" s="75">
        <f t="shared" si="68"/>
        <v>0</v>
      </c>
      <c r="BO487" s="75">
        <f t="shared" si="69"/>
        <v>0</v>
      </c>
      <c r="BP487" s="75">
        <f t="shared" si="70"/>
        <v>0</v>
      </c>
    </row>
    <row r="488" spans="1:68" ht="27" hidden="1" customHeight="1" x14ac:dyDescent="0.25">
      <c r="A488" s="60" t="s">
        <v>786</v>
      </c>
      <c r="B488" s="60" t="s">
        <v>787</v>
      </c>
      <c r="C488" s="34">
        <v>4301031358</v>
      </c>
      <c r="D488" s="708">
        <v>4607091389531</v>
      </c>
      <c r="E488" s="708"/>
      <c r="F488" s="59">
        <v>0.35</v>
      </c>
      <c r="G488" s="35">
        <v>6</v>
      </c>
      <c r="H488" s="59">
        <v>2.1</v>
      </c>
      <c r="I488" s="59">
        <v>2.23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0"/>
      <c r="R488" s="710"/>
      <c r="S488" s="710"/>
      <c r="T488" s="711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6"/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3" t="s">
        <v>788</v>
      </c>
      <c r="AG488" s="75"/>
      <c r="AJ488" s="79" t="s">
        <v>46</v>
      </c>
      <c r="AK488" s="79">
        <v>0</v>
      </c>
      <c r="BB488" s="574" t="s">
        <v>67</v>
      </c>
      <c r="BM488" s="75">
        <f t="shared" si="67"/>
        <v>0</v>
      </c>
      <c r="BN488" s="75">
        <f t="shared" si="68"/>
        <v>0</v>
      </c>
      <c r="BO488" s="75">
        <f t="shared" si="69"/>
        <v>0</v>
      </c>
      <c r="BP488" s="75">
        <f t="shared" si="70"/>
        <v>0</v>
      </c>
    </row>
    <row r="489" spans="1:68" ht="37.5" hidden="1" customHeight="1" x14ac:dyDescent="0.25">
      <c r="A489" s="60" t="s">
        <v>789</v>
      </c>
      <c r="B489" s="60" t="s">
        <v>790</v>
      </c>
      <c r="C489" s="34">
        <v>4301031360</v>
      </c>
      <c r="D489" s="708">
        <v>4607091384345</v>
      </c>
      <c r="E489" s="708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0"/>
      <c r="R489" s="710"/>
      <c r="S489" s="710"/>
      <c r="T489" s="71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6"/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5" t="s">
        <v>785</v>
      </c>
      <c r="AG489" s="75"/>
      <c r="AJ489" s="79" t="s">
        <v>46</v>
      </c>
      <c r="AK489" s="79">
        <v>0</v>
      </c>
      <c r="BB489" s="576" t="s">
        <v>67</v>
      </c>
      <c r="BM489" s="75">
        <f t="shared" si="67"/>
        <v>0</v>
      </c>
      <c r="BN489" s="75">
        <f t="shared" si="68"/>
        <v>0</v>
      </c>
      <c r="BO489" s="75">
        <f t="shared" si="69"/>
        <v>0</v>
      </c>
      <c r="BP489" s="75">
        <f t="shared" si="70"/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0" t="s">
        <v>39</v>
      </c>
      <c r="X490" s="41">
        <f>IFERROR(X484/H484,"0")+IFERROR(X485/H485,"0")+IFERROR(X486/H486,"0")+IFERROR(X487/H487,"0")+IFERROR(X488/H488,"0")+IFERROR(X489/H489,"0")</f>
        <v>0</v>
      </c>
      <c r="Y490" s="41">
        <f>IFERROR(Y484/H484,"0")+IFERROR(Y485/H485,"0")+IFERROR(Y486/H486,"0")+IFERROR(Y487/H487,"0")+IFERROR(Y488/H488,"0")+IFERROR(Y489/H489,"0")</f>
        <v>0</v>
      </c>
      <c r="Z490" s="41">
        <f>IFERROR(IF(Z484="",0,Z484),"0")+IFERROR(IF(Z485="",0,Z485),"0")+IFERROR(IF(Z486="",0,Z486),"0")+IFERROR(IF(Z487="",0,Z487),"0")+IFERROR(IF(Z488="",0,Z488),"0")+IFERROR(IF(Z489="",0,Z489),"0")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0" t="s">
        <v>0</v>
      </c>
      <c r="X491" s="41">
        <f>IFERROR(SUM(X484:X489),"0")</f>
        <v>0</v>
      </c>
      <c r="Y491" s="41">
        <f>IFERROR(SUM(Y484:Y489),"0")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707" t="s">
        <v>83</v>
      </c>
      <c r="B492" s="707"/>
      <c r="C492" s="707"/>
      <c r="D492" s="707"/>
      <c r="E492" s="707"/>
      <c r="F492" s="707"/>
      <c r="G492" s="707"/>
      <c r="H492" s="707"/>
      <c r="I492" s="707"/>
      <c r="J492" s="707"/>
      <c r="K492" s="707"/>
      <c r="L492" s="707"/>
      <c r="M492" s="707"/>
      <c r="N492" s="707"/>
      <c r="O492" s="707"/>
      <c r="P492" s="707"/>
      <c r="Q492" s="707"/>
      <c r="R492" s="707"/>
      <c r="S492" s="707"/>
      <c r="T492" s="707"/>
      <c r="U492" s="707"/>
      <c r="V492" s="707"/>
      <c r="W492" s="707"/>
      <c r="X492" s="707"/>
      <c r="Y492" s="707"/>
      <c r="Z492" s="707"/>
      <c r="AA492" s="63"/>
      <c r="AB492" s="63"/>
      <c r="AC492" s="63"/>
    </row>
    <row r="493" spans="1:68" ht="27" hidden="1" customHeight="1" x14ac:dyDescent="0.25">
      <c r="A493" s="60" t="s">
        <v>791</v>
      </c>
      <c r="B493" s="60" t="s">
        <v>792</v>
      </c>
      <c r="C493" s="34">
        <v>4301051284</v>
      </c>
      <c r="D493" s="708">
        <v>4607091384352</v>
      </c>
      <c r="E493" s="708"/>
      <c r="F493" s="59">
        <v>0.6</v>
      </c>
      <c r="G493" s="35">
        <v>4</v>
      </c>
      <c r="H493" s="59">
        <v>2.4</v>
      </c>
      <c r="I493" s="59">
        <v>2.6259999999999999</v>
      </c>
      <c r="J493" s="35">
        <v>132</v>
      </c>
      <c r="K493" s="35" t="s">
        <v>142</v>
      </c>
      <c r="L493" s="35" t="s">
        <v>46</v>
      </c>
      <c r="M493" s="36" t="s">
        <v>87</v>
      </c>
      <c r="N493" s="36"/>
      <c r="O493" s="35">
        <v>45</v>
      </c>
      <c r="P493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0"/>
      <c r="R493" s="710"/>
      <c r="S493" s="710"/>
      <c r="T493" s="711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7" t="s">
        <v>793</v>
      </c>
      <c r="AG493" s="75"/>
      <c r="AJ493" s="79" t="s">
        <v>46</v>
      </c>
      <c r="AK493" s="79">
        <v>0</v>
      </c>
      <c r="BB493" s="578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15"/>
      <c r="B494" s="715"/>
      <c r="C494" s="715"/>
      <c r="D494" s="715"/>
      <c r="E494" s="715"/>
      <c r="F494" s="715"/>
      <c r="G494" s="715"/>
      <c r="H494" s="715"/>
      <c r="I494" s="715"/>
      <c r="J494" s="715"/>
      <c r="K494" s="715"/>
      <c r="L494" s="715"/>
      <c r="M494" s="715"/>
      <c r="N494" s="715"/>
      <c r="O494" s="716"/>
      <c r="P494" s="712" t="s">
        <v>40</v>
      </c>
      <c r="Q494" s="713"/>
      <c r="R494" s="713"/>
      <c r="S494" s="713"/>
      <c r="T494" s="713"/>
      <c r="U494" s="713"/>
      <c r="V494" s="714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15"/>
      <c r="B495" s="715"/>
      <c r="C495" s="715"/>
      <c r="D495" s="715"/>
      <c r="E495" s="715"/>
      <c r="F495" s="715"/>
      <c r="G495" s="715"/>
      <c r="H495" s="715"/>
      <c r="I495" s="715"/>
      <c r="J495" s="715"/>
      <c r="K495" s="715"/>
      <c r="L495" s="715"/>
      <c r="M495" s="715"/>
      <c r="N495" s="715"/>
      <c r="O495" s="716"/>
      <c r="P495" s="712" t="s">
        <v>40</v>
      </c>
      <c r="Q495" s="713"/>
      <c r="R495" s="713"/>
      <c r="S495" s="713"/>
      <c r="T495" s="713"/>
      <c r="U495" s="713"/>
      <c r="V495" s="714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6.5" hidden="1" customHeight="1" x14ac:dyDescent="0.25">
      <c r="A496" s="706" t="s">
        <v>794</v>
      </c>
      <c r="B496" s="706"/>
      <c r="C496" s="706"/>
      <c r="D496" s="706"/>
      <c r="E496" s="706"/>
      <c r="F496" s="706"/>
      <c r="G496" s="706"/>
      <c r="H496" s="706"/>
      <c r="I496" s="706"/>
      <c r="J496" s="706"/>
      <c r="K496" s="706"/>
      <c r="L496" s="706"/>
      <c r="M496" s="706"/>
      <c r="N496" s="706"/>
      <c r="O496" s="706"/>
      <c r="P496" s="706"/>
      <c r="Q496" s="706"/>
      <c r="R496" s="706"/>
      <c r="S496" s="706"/>
      <c r="T496" s="706"/>
      <c r="U496" s="706"/>
      <c r="V496" s="706"/>
      <c r="W496" s="706"/>
      <c r="X496" s="706"/>
      <c r="Y496" s="706"/>
      <c r="Z496" s="706"/>
      <c r="AA496" s="62"/>
      <c r="AB496" s="62"/>
      <c r="AC496" s="62"/>
    </row>
    <row r="497" spans="1:68" ht="14.25" hidden="1" customHeight="1" x14ac:dyDescent="0.25">
      <c r="A497" s="707" t="s">
        <v>165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63"/>
      <c r="AB497" s="63"/>
      <c r="AC497" s="63"/>
    </row>
    <row r="498" spans="1:68" ht="27" hidden="1" customHeight="1" x14ac:dyDescent="0.25">
      <c r="A498" s="60" t="s">
        <v>795</v>
      </c>
      <c r="B498" s="60" t="s">
        <v>796</v>
      </c>
      <c r="C498" s="34">
        <v>4301020416</v>
      </c>
      <c r="D498" s="708">
        <v>4680115885240</v>
      </c>
      <c r="E498" s="708"/>
      <c r="F498" s="59">
        <v>0.35</v>
      </c>
      <c r="G498" s="35">
        <v>6</v>
      </c>
      <c r="H498" s="59">
        <v>2.1</v>
      </c>
      <c r="I498" s="59">
        <v>2.31</v>
      </c>
      <c r="J498" s="35">
        <v>182</v>
      </c>
      <c r="K498" s="35" t="s">
        <v>88</v>
      </c>
      <c r="L498" s="35" t="s">
        <v>46</v>
      </c>
      <c r="M498" s="36" t="s">
        <v>81</v>
      </c>
      <c r="N498" s="36"/>
      <c r="O498" s="35">
        <v>40</v>
      </c>
      <c r="P498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0"/>
      <c r="R498" s="710"/>
      <c r="S498" s="710"/>
      <c r="T498" s="71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 t="s">
        <v>46</v>
      </c>
      <c r="AB498" s="66" t="s">
        <v>46</v>
      </c>
      <c r="AC498" s="579" t="s">
        <v>797</v>
      </c>
      <c r="AG498" s="75"/>
      <c r="AJ498" s="79" t="s">
        <v>46</v>
      </c>
      <c r="AK498" s="79">
        <v>0</v>
      </c>
      <c r="BB498" s="580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15"/>
      <c r="B499" s="715"/>
      <c r="C499" s="715"/>
      <c r="D499" s="715"/>
      <c r="E499" s="715"/>
      <c r="F499" s="715"/>
      <c r="G499" s="715"/>
      <c r="H499" s="715"/>
      <c r="I499" s="715"/>
      <c r="J499" s="715"/>
      <c r="K499" s="715"/>
      <c r="L499" s="715"/>
      <c r="M499" s="715"/>
      <c r="N499" s="715"/>
      <c r="O499" s="716"/>
      <c r="P499" s="712" t="s">
        <v>40</v>
      </c>
      <c r="Q499" s="713"/>
      <c r="R499" s="713"/>
      <c r="S499" s="713"/>
      <c r="T499" s="713"/>
      <c r="U499" s="713"/>
      <c r="V499" s="714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715"/>
      <c r="B500" s="715"/>
      <c r="C500" s="715"/>
      <c r="D500" s="715"/>
      <c r="E500" s="715"/>
      <c r="F500" s="715"/>
      <c r="G500" s="715"/>
      <c r="H500" s="715"/>
      <c r="I500" s="715"/>
      <c r="J500" s="715"/>
      <c r="K500" s="715"/>
      <c r="L500" s="715"/>
      <c r="M500" s="715"/>
      <c r="N500" s="715"/>
      <c r="O500" s="716"/>
      <c r="P500" s="712" t="s">
        <v>40</v>
      </c>
      <c r="Q500" s="713"/>
      <c r="R500" s="713"/>
      <c r="S500" s="713"/>
      <c r="T500" s="713"/>
      <c r="U500" s="713"/>
      <c r="V500" s="714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707" t="s">
        <v>77</v>
      </c>
      <c r="B501" s="707"/>
      <c r="C501" s="707"/>
      <c r="D501" s="707"/>
      <c r="E501" s="707"/>
      <c r="F501" s="707"/>
      <c r="G501" s="707"/>
      <c r="H501" s="707"/>
      <c r="I501" s="707"/>
      <c r="J501" s="707"/>
      <c r="K501" s="707"/>
      <c r="L501" s="707"/>
      <c r="M501" s="707"/>
      <c r="N501" s="707"/>
      <c r="O501" s="707"/>
      <c r="P501" s="707"/>
      <c r="Q501" s="707"/>
      <c r="R501" s="707"/>
      <c r="S501" s="707"/>
      <c r="T501" s="707"/>
      <c r="U501" s="707"/>
      <c r="V501" s="707"/>
      <c r="W501" s="707"/>
      <c r="X501" s="707"/>
      <c r="Y501" s="707"/>
      <c r="Z501" s="707"/>
      <c r="AA501" s="63"/>
      <c r="AB501" s="63"/>
      <c r="AC501" s="63"/>
    </row>
    <row r="502" spans="1:68" ht="27" hidden="1" customHeight="1" x14ac:dyDescent="0.25">
      <c r="A502" s="60" t="s">
        <v>798</v>
      </c>
      <c r="B502" s="60" t="s">
        <v>799</v>
      </c>
      <c r="C502" s="34">
        <v>4301031407</v>
      </c>
      <c r="D502" s="708">
        <v>4680115886094</v>
      </c>
      <c r="E502" s="708"/>
      <c r="F502" s="59">
        <v>0.9</v>
      </c>
      <c r="G502" s="35">
        <v>6</v>
      </c>
      <c r="H502" s="59">
        <v>5.4</v>
      </c>
      <c r="I502" s="59">
        <v>5.59</v>
      </c>
      <c r="J502" s="35">
        <v>132</v>
      </c>
      <c r="K502" s="35" t="s">
        <v>142</v>
      </c>
      <c r="L502" s="35" t="s">
        <v>46</v>
      </c>
      <c r="M502" s="36" t="s">
        <v>81</v>
      </c>
      <c r="N502" s="36"/>
      <c r="O502" s="35">
        <v>50</v>
      </c>
      <c r="P502" s="9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0"/>
      <c r="R502" s="710"/>
      <c r="S502" s="710"/>
      <c r="T502" s="71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81" t="s">
        <v>800</v>
      </c>
      <c r="AG502" s="75"/>
      <c r="AJ502" s="79" t="s">
        <v>46</v>
      </c>
      <c r="AK502" s="79">
        <v>0</v>
      </c>
      <c r="BB502" s="58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801</v>
      </c>
      <c r="B503" s="60" t="s">
        <v>802</v>
      </c>
      <c r="C503" s="34">
        <v>4301031373</v>
      </c>
      <c r="D503" s="708">
        <v>4680115880771</v>
      </c>
      <c r="E503" s="708"/>
      <c r="F503" s="59">
        <v>0.28000000000000003</v>
      </c>
      <c r="G503" s="35">
        <v>6</v>
      </c>
      <c r="H503" s="59">
        <v>1.68</v>
      </c>
      <c r="I503" s="59">
        <v>1.81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6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0"/>
      <c r="R503" s="710"/>
      <c r="S503" s="710"/>
      <c r="T503" s="71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583" t="s">
        <v>803</v>
      </c>
      <c r="AG503" s="75"/>
      <c r="AJ503" s="79" t="s">
        <v>46</v>
      </c>
      <c r="AK503" s="79">
        <v>0</v>
      </c>
      <c r="BB503" s="58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4301031359</v>
      </c>
      <c r="D504" s="708">
        <v>4607091389500</v>
      </c>
      <c r="E504" s="708"/>
      <c r="F504" s="59">
        <v>0.35</v>
      </c>
      <c r="G504" s="35">
        <v>6</v>
      </c>
      <c r="H504" s="59">
        <v>2.1</v>
      </c>
      <c r="I504" s="59">
        <v>2.23</v>
      </c>
      <c r="J504" s="35">
        <v>234</v>
      </c>
      <c r="K504" s="35" t="s">
        <v>82</v>
      </c>
      <c r="L504" s="35" t="s">
        <v>46</v>
      </c>
      <c r="M504" s="36" t="s">
        <v>81</v>
      </c>
      <c r="N504" s="36"/>
      <c r="O504" s="35">
        <v>50</v>
      </c>
      <c r="P504" s="9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0"/>
      <c r="R504" s="710"/>
      <c r="S504" s="710"/>
      <c r="T504" s="711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IFERROR(IF(Y504=0,"",ROUNDUP(Y504/H504,0)*0.00502),"")</f>
        <v/>
      </c>
      <c r="AA504" s="65" t="s">
        <v>46</v>
      </c>
      <c r="AB504" s="66" t="s">
        <v>46</v>
      </c>
      <c r="AC504" s="585" t="s">
        <v>803</v>
      </c>
      <c r="AG504" s="75"/>
      <c r="AJ504" s="79" t="s">
        <v>46</v>
      </c>
      <c r="AK504" s="79">
        <v>0</v>
      </c>
      <c r="BB504" s="586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0" t="s">
        <v>39</v>
      </c>
      <c r="X505" s="41">
        <f>IFERROR(X502/H502,"0")+IFERROR(X503/H503,"0")+IFERROR(X504/H504,"0")</f>
        <v>0</v>
      </c>
      <c r="Y505" s="41">
        <f>IFERROR(Y502/H502,"0")+IFERROR(Y503/H503,"0")+IFERROR(Y504/H504,"0")</f>
        <v>0</v>
      </c>
      <c r="Z505" s="41">
        <f>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5"/>
      <c r="B506" s="715"/>
      <c r="C506" s="715"/>
      <c r="D506" s="715"/>
      <c r="E506" s="715"/>
      <c r="F506" s="715"/>
      <c r="G506" s="715"/>
      <c r="H506" s="715"/>
      <c r="I506" s="715"/>
      <c r="J506" s="715"/>
      <c r="K506" s="715"/>
      <c r="L506" s="715"/>
      <c r="M506" s="715"/>
      <c r="N506" s="715"/>
      <c r="O506" s="716"/>
      <c r="P506" s="712" t="s">
        <v>40</v>
      </c>
      <c r="Q506" s="713"/>
      <c r="R506" s="713"/>
      <c r="S506" s="713"/>
      <c r="T506" s="713"/>
      <c r="U506" s="713"/>
      <c r="V506" s="714"/>
      <c r="W506" s="40" t="s">
        <v>0</v>
      </c>
      <c r="X506" s="41">
        <f>IFERROR(SUM(X502:X504),"0")</f>
        <v>0</v>
      </c>
      <c r="Y506" s="41">
        <f>IFERROR(SUM(Y502:Y504),"0")</f>
        <v>0</v>
      </c>
      <c r="Z506" s="40"/>
      <c r="AA506" s="64"/>
      <c r="AB506" s="64"/>
      <c r="AC506" s="64"/>
    </row>
    <row r="507" spans="1:68" ht="27.75" hidden="1" customHeight="1" x14ac:dyDescent="0.2">
      <c r="A507" s="705" t="s">
        <v>806</v>
      </c>
      <c r="B507" s="705"/>
      <c r="C507" s="705"/>
      <c r="D507" s="705"/>
      <c r="E507" s="705"/>
      <c r="F507" s="705"/>
      <c r="G507" s="705"/>
      <c r="H507" s="705"/>
      <c r="I507" s="705"/>
      <c r="J507" s="705"/>
      <c r="K507" s="705"/>
      <c r="L507" s="705"/>
      <c r="M507" s="705"/>
      <c r="N507" s="705"/>
      <c r="O507" s="705"/>
      <c r="P507" s="705"/>
      <c r="Q507" s="705"/>
      <c r="R507" s="705"/>
      <c r="S507" s="705"/>
      <c r="T507" s="705"/>
      <c r="U507" s="705"/>
      <c r="V507" s="705"/>
      <c r="W507" s="705"/>
      <c r="X507" s="705"/>
      <c r="Y507" s="705"/>
      <c r="Z507" s="705"/>
      <c r="AA507" s="52"/>
      <c r="AB507" s="52"/>
      <c r="AC507" s="52"/>
    </row>
    <row r="508" spans="1:68" ht="16.5" hidden="1" customHeight="1" x14ac:dyDescent="0.25">
      <c r="A508" s="706" t="s">
        <v>806</v>
      </c>
      <c r="B508" s="706"/>
      <c r="C508" s="706"/>
      <c r="D508" s="706"/>
      <c r="E508" s="706"/>
      <c r="F508" s="706"/>
      <c r="G508" s="706"/>
      <c r="H508" s="706"/>
      <c r="I508" s="706"/>
      <c r="J508" s="706"/>
      <c r="K508" s="706"/>
      <c r="L508" s="706"/>
      <c r="M508" s="706"/>
      <c r="N508" s="706"/>
      <c r="O508" s="706"/>
      <c r="P508" s="706"/>
      <c r="Q508" s="706"/>
      <c r="R508" s="706"/>
      <c r="S508" s="706"/>
      <c r="T508" s="706"/>
      <c r="U508" s="706"/>
      <c r="V508" s="706"/>
      <c r="W508" s="706"/>
      <c r="X508" s="706"/>
      <c r="Y508" s="706"/>
      <c r="Z508" s="706"/>
      <c r="AA508" s="62"/>
      <c r="AB508" s="62"/>
      <c r="AC508" s="62"/>
    </row>
    <row r="509" spans="1:68" ht="14.25" hidden="1" customHeight="1" x14ac:dyDescent="0.25">
      <c r="A509" s="707" t="s">
        <v>130</v>
      </c>
      <c r="B509" s="707"/>
      <c r="C509" s="707"/>
      <c r="D509" s="707"/>
      <c r="E509" s="707"/>
      <c r="F509" s="707"/>
      <c r="G509" s="707"/>
      <c r="H509" s="707"/>
      <c r="I509" s="707"/>
      <c r="J509" s="707"/>
      <c r="K509" s="707"/>
      <c r="L509" s="707"/>
      <c r="M509" s="707"/>
      <c r="N509" s="707"/>
      <c r="O509" s="707"/>
      <c r="P509" s="707"/>
      <c r="Q509" s="707"/>
      <c r="R509" s="707"/>
      <c r="S509" s="707"/>
      <c r="T509" s="707"/>
      <c r="U509" s="707"/>
      <c r="V509" s="707"/>
      <c r="W509" s="707"/>
      <c r="X509" s="707"/>
      <c r="Y509" s="707"/>
      <c r="Z509" s="707"/>
      <c r="AA509" s="63"/>
      <c r="AB509" s="63"/>
      <c r="AC509" s="63"/>
    </row>
    <row r="510" spans="1:68" ht="27" customHeight="1" x14ac:dyDescent="0.25">
      <c r="A510" s="60" t="s">
        <v>807</v>
      </c>
      <c r="B510" s="60" t="s">
        <v>808</v>
      </c>
      <c r="C510" s="34">
        <v>4301011769</v>
      </c>
      <c r="D510" s="708">
        <v>4607091389067</v>
      </c>
      <c r="E510" s="70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135</v>
      </c>
      <c r="L510" s="35" t="s">
        <v>46</v>
      </c>
      <c r="M510" s="36" t="s">
        <v>87</v>
      </c>
      <c r="N510" s="36"/>
      <c r="O510" s="35">
        <v>60</v>
      </c>
      <c r="P510" s="96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0"/>
      <c r="R510" s="710"/>
      <c r="S510" s="710"/>
      <c r="T510" s="711"/>
      <c r="U510" s="37" t="s">
        <v>46</v>
      </c>
      <c r="V510" s="37" t="s">
        <v>46</v>
      </c>
      <c r="W510" s="38" t="s">
        <v>0</v>
      </c>
      <c r="X510" s="56">
        <v>100</v>
      </c>
      <c r="Y510" s="53">
        <f t="shared" ref="Y510:Y517" si="71">IFERROR(IF(X510="",0,CEILING((X510/$H510),1)*$H510),"")</f>
        <v>100.32000000000001</v>
      </c>
      <c r="Z510" s="39">
        <f>IFERROR(IF(Y510=0,"",ROUNDUP(Y510/H510,0)*0.01196),"")</f>
        <v>0.22724</v>
      </c>
      <c r="AA510" s="65" t="s">
        <v>46</v>
      </c>
      <c r="AB510" s="66" t="s">
        <v>46</v>
      </c>
      <c r="AC510" s="587" t="s">
        <v>133</v>
      </c>
      <c r="AG510" s="75"/>
      <c r="AJ510" s="79" t="s">
        <v>46</v>
      </c>
      <c r="AK510" s="79">
        <v>0</v>
      </c>
      <c r="BB510" s="588" t="s">
        <v>67</v>
      </c>
      <c r="BM510" s="75">
        <f t="shared" ref="BM510:BM517" si="72">IFERROR(X510*I510/H510,"0")</f>
        <v>106.62878787878788</v>
      </c>
      <c r="BN510" s="75">
        <f t="shared" ref="BN510:BN517" si="73">IFERROR(Y510*I510/H510,"0")</f>
        <v>106.97</v>
      </c>
      <c r="BO510" s="75">
        <f t="shared" ref="BO510:BO517" si="74">IFERROR(1/J510*(X510/H510),"0")</f>
        <v>0.18210955710955709</v>
      </c>
      <c r="BP510" s="75">
        <f t="shared" ref="BP510:BP517" si="75">IFERROR(1/J510*(Y510/H510),"0")</f>
        <v>0.18269230769230771</v>
      </c>
    </row>
    <row r="511" spans="1:68" ht="16.5" hidden="1" customHeight="1" x14ac:dyDescent="0.25">
      <c r="A511" s="60" t="s">
        <v>809</v>
      </c>
      <c r="B511" s="60" t="s">
        <v>810</v>
      </c>
      <c r="C511" s="34">
        <v>4301012380</v>
      </c>
      <c r="D511" s="708">
        <v>4680115889576</v>
      </c>
      <c r="E511" s="70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135</v>
      </c>
      <c r="L511" s="35" t="s">
        <v>46</v>
      </c>
      <c r="M511" s="36" t="s">
        <v>134</v>
      </c>
      <c r="N511" s="36"/>
      <c r="O511" s="35">
        <v>60</v>
      </c>
      <c r="P511" s="97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0"/>
      <c r="R511" s="710"/>
      <c r="S511" s="710"/>
      <c r="T511" s="71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1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89" t="s">
        <v>811</v>
      </c>
      <c r="AG511" s="75"/>
      <c r="AJ511" s="79" t="s">
        <v>46</v>
      </c>
      <c r="AK511" s="79">
        <v>0</v>
      </c>
      <c r="BB511" s="590" t="s">
        <v>67</v>
      </c>
      <c r="BM511" s="75">
        <f t="shared" si="72"/>
        <v>0</v>
      </c>
      <c r="BN511" s="75">
        <f t="shared" si="73"/>
        <v>0</v>
      </c>
      <c r="BO511" s="75">
        <f t="shared" si="74"/>
        <v>0</v>
      </c>
      <c r="BP511" s="75">
        <f t="shared" si="75"/>
        <v>0</v>
      </c>
    </row>
    <row r="512" spans="1:68" ht="27" hidden="1" customHeight="1" x14ac:dyDescent="0.25">
      <c r="A512" s="60" t="s">
        <v>812</v>
      </c>
      <c r="B512" s="60" t="s">
        <v>813</v>
      </c>
      <c r="C512" s="34">
        <v>4301011961</v>
      </c>
      <c r="D512" s="708">
        <v>4680115885271</v>
      </c>
      <c r="E512" s="70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135</v>
      </c>
      <c r="L512" s="35" t="s">
        <v>46</v>
      </c>
      <c r="M512" s="36" t="s">
        <v>134</v>
      </c>
      <c r="N512" s="36"/>
      <c r="O512" s="35">
        <v>60</v>
      </c>
      <c r="P512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0"/>
      <c r="R512" s="710"/>
      <c r="S512" s="710"/>
      <c r="T512" s="71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1"/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591" t="s">
        <v>814</v>
      </c>
      <c r="AG512" s="75"/>
      <c r="AJ512" s="79" t="s">
        <v>46</v>
      </c>
      <c r="AK512" s="79">
        <v>0</v>
      </c>
      <c r="BB512" s="592" t="s">
        <v>67</v>
      </c>
      <c r="BM512" s="75">
        <f t="shared" si="72"/>
        <v>0</v>
      </c>
      <c r="BN512" s="75">
        <f t="shared" si="73"/>
        <v>0</v>
      </c>
      <c r="BO512" s="75">
        <f t="shared" si="74"/>
        <v>0</v>
      </c>
      <c r="BP512" s="75">
        <f t="shared" si="75"/>
        <v>0</v>
      </c>
    </row>
    <row r="513" spans="1:68" ht="27" customHeight="1" x14ac:dyDescent="0.25">
      <c r="A513" s="60" t="s">
        <v>815</v>
      </c>
      <c r="B513" s="60" t="s">
        <v>816</v>
      </c>
      <c r="C513" s="34">
        <v>4301011369</v>
      </c>
      <c r="D513" s="708">
        <v>4680115885226</v>
      </c>
      <c r="E513" s="70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135</v>
      </c>
      <c r="L513" s="35" t="s">
        <v>46</v>
      </c>
      <c r="M513" s="36" t="s">
        <v>134</v>
      </c>
      <c r="N513" s="36"/>
      <c r="O513" s="35">
        <v>60</v>
      </c>
      <c r="P513" s="97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0"/>
      <c r="R513" s="710"/>
      <c r="S513" s="710"/>
      <c r="T513" s="711"/>
      <c r="U513" s="37" t="s">
        <v>46</v>
      </c>
      <c r="V513" s="37" t="s">
        <v>46</v>
      </c>
      <c r="W513" s="38" t="s">
        <v>0</v>
      </c>
      <c r="X513" s="56">
        <v>30</v>
      </c>
      <c r="Y513" s="53">
        <f t="shared" si="71"/>
        <v>31.68</v>
      </c>
      <c r="Z513" s="39">
        <f>IFERROR(IF(Y513=0,"",ROUNDUP(Y513/H513,0)*0.01196),"")</f>
        <v>7.1760000000000004E-2</v>
      </c>
      <c r="AA513" s="65" t="s">
        <v>46</v>
      </c>
      <c r="AB513" s="66" t="s">
        <v>46</v>
      </c>
      <c r="AC513" s="593" t="s">
        <v>817</v>
      </c>
      <c r="AG513" s="75"/>
      <c r="AJ513" s="79" t="s">
        <v>46</v>
      </c>
      <c r="AK513" s="79">
        <v>0</v>
      </c>
      <c r="BB513" s="594" t="s">
        <v>67</v>
      </c>
      <c r="BM513" s="75">
        <f t="shared" si="72"/>
        <v>31.988636363636363</v>
      </c>
      <c r="BN513" s="75">
        <f t="shared" si="73"/>
        <v>33.779999999999994</v>
      </c>
      <c r="BO513" s="75">
        <f t="shared" si="74"/>
        <v>5.4632867132867136E-2</v>
      </c>
      <c r="BP513" s="75">
        <f t="shared" si="75"/>
        <v>5.7692307692307696E-2</v>
      </c>
    </row>
    <row r="514" spans="1:68" ht="27" customHeight="1" x14ac:dyDescent="0.25">
      <c r="A514" s="60" t="s">
        <v>818</v>
      </c>
      <c r="B514" s="60" t="s">
        <v>819</v>
      </c>
      <c r="C514" s="34">
        <v>4301011771</v>
      </c>
      <c r="D514" s="708">
        <v>4607091389104</v>
      </c>
      <c r="E514" s="70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135</v>
      </c>
      <c r="L514" s="35" t="s">
        <v>46</v>
      </c>
      <c r="M514" s="36" t="s">
        <v>134</v>
      </c>
      <c r="N514" s="36"/>
      <c r="O514" s="35">
        <v>60</v>
      </c>
      <c r="P514" s="9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0"/>
      <c r="R514" s="710"/>
      <c r="S514" s="710"/>
      <c r="T514" s="711"/>
      <c r="U514" s="37" t="s">
        <v>46</v>
      </c>
      <c r="V514" s="37" t="s">
        <v>46</v>
      </c>
      <c r="W514" s="38" t="s">
        <v>0</v>
      </c>
      <c r="X514" s="56">
        <v>250</v>
      </c>
      <c r="Y514" s="53">
        <f t="shared" si="71"/>
        <v>253.44</v>
      </c>
      <c r="Z514" s="39">
        <f>IFERROR(IF(Y514=0,"",ROUNDUP(Y514/H514,0)*0.01196),"")</f>
        <v>0.57408000000000003</v>
      </c>
      <c r="AA514" s="65" t="s">
        <v>46</v>
      </c>
      <c r="AB514" s="66" t="s">
        <v>46</v>
      </c>
      <c r="AC514" s="595" t="s">
        <v>820</v>
      </c>
      <c r="AG514" s="75"/>
      <c r="AJ514" s="79" t="s">
        <v>46</v>
      </c>
      <c r="AK514" s="79">
        <v>0</v>
      </c>
      <c r="BB514" s="596" t="s">
        <v>67</v>
      </c>
      <c r="BM514" s="75">
        <f t="shared" si="72"/>
        <v>266.57196969696969</v>
      </c>
      <c r="BN514" s="75">
        <f t="shared" si="73"/>
        <v>270.23999999999995</v>
      </c>
      <c r="BO514" s="75">
        <f t="shared" si="74"/>
        <v>0.45527389277389274</v>
      </c>
      <c r="BP514" s="75">
        <f t="shared" si="75"/>
        <v>0.46153846153846156</v>
      </c>
    </row>
    <row r="515" spans="1:68" ht="27" hidden="1" customHeight="1" x14ac:dyDescent="0.25">
      <c r="A515" s="60" t="s">
        <v>821</v>
      </c>
      <c r="B515" s="60" t="s">
        <v>822</v>
      </c>
      <c r="C515" s="34">
        <v>4301012125</v>
      </c>
      <c r="D515" s="708">
        <v>4680115886391</v>
      </c>
      <c r="E515" s="70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88</v>
      </c>
      <c r="L515" s="35" t="s">
        <v>46</v>
      </c>
      <c r="M515" s="36" t="s">
        <v>87</v>
      </c>
      <c r="N515" s="36"/>
      <c r="O515" s="35">
        <v>60</v>
      </c>
      <c r="P515" s="9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0"/>
      <c r="R515" s="710"/>
      <c r="S515" s="710"/>
      <c r="T515" s="71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1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597" t="s">
        <v>133</v>
      </c>
      <c r="AG515" s="75"/>
      <c r="AJ515" s="79" t="s">
        <v>46</v>
      </c>
      <c r="AK515" s="79">
        <v>0</v>
      </c>
      <c r="BB515" s="598" t="s">
        <v>67</v>
      </c>
      <c r="BM515" s="75">
        <f t="shared" si="72"/>
        <v>0</v>
      </c>
      <c r="BN515" s="75">
        <f t="shared" si="73"/>
        <v>0</v>
      </c>
      <c r="BO515" s="75">
        <f t="shared" si="74"/>
        <v>0</v>
      </c>
      <c r="BP515" s="75">
        <f t="shared" si="75"/>
        <v>0</v>
      </c>
    </row>
    <row r="516" spans="1:68" ht="27" customHeight="1" x14ac:dyDescent="0.25">
      <c r="A516" s="60" t="s">
        <v>823</v>
      </c>
      <c r="B516" s="60" t="s">
        <v>824</v>
      </c>
      <c r="C516" s="34">
        <v>4301012048</v>
      </c>
      <c r="D516" s="708">
        <v>4680115880603</v>
      </c>
      <c r="E516" s="70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142</v>
      </c>
      <c r="L516" s="35" t="s">
        <v>46</v>
      </c>
      <c r="M516" s="36" t="s">
        <v>87</v>
      </c>
      <c r="N516" s="36"/>
      <c r="O516" s="35">
        <v>60</v>
      </c>
      <c r="P516" s="9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0"/>
      <c r="R516" s="710"/>
      <c r="S516" s="710"/>
      <c r="T516" s="711"/>
      <c r="U516" s="37" t="s">
        <v>46</v>
      </c>
      <c r="V516" s="37" t="s">
        <v>46</v>
      </c>
      <c r="W516" s="38" t="s">
        <v>0</v>
      </c>
      <c r="X516" s="56">
        <v>60</v>
      </c>
      <c r="Y516" s="53">
        <f t="shared" si="71"/>
        <v>62.4</v>
      </c>
      <c r="Z516" s="39">
        <f>IFERROR(IF(Y516=0,"",ROUNDUP(Y516/H516,0)*0.00902),"")</f>
        <v>0.11726</v>
      </c>
      <c r="AA516" s="65" t="s">
        <v>46</v>
      </c>
      <c r="AB516" s="66" t="s">
        <v>46</v>
      </c>
      <c r="AC516" s="599" t="s">
        <v>133</v>
      </c>
      <c r="AG516" s="75"/>
      <c r="AJ516" s="79" t="s">
        <v>46</v>
      </c>
      <c r="AK516" s="79">
        <v>0</v>
      </c>
      <c r="BB516" s="600" t="s">
        <v>67</v>
      </c>
      <c r="BM516" s="75">
        <f t="shared" si="72"/>
        <v>86.375000000000014</v>
      </c>
      <c r="BN516" s="75">
        <f t="shared" si="73"/>
        <v>89.830000000000013</v>
      </c>
      <c r="BO516" s="75">
        <f t="shared" si="74"/>
        <v>9.4696969696969696E-2</v>
      </c>
      <c r="BP516" s="75">
        <f t="shared" si="75"/>
        <v>9.8484848484848481E-2</v>
      </c>
    </row>
    <row r="517" spans="1:68" ht="27" customHeight="1" x14ac:dyDescent="0.25">
      <c r="A517" s="60" t="s">
        <v>825</v>
      </c>
      <c r="B517" s="60" t="s">
        <v>826</v>
      </c>
      <c r="C517" s="34">
        <v>4301012034</v>
      </c>
      <c r="D517" s="708">
        <v>4607091389982</v>
      </c>
      <c r="E517" s="70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142</v>
      </c>
      <c r="L517" s="35" t="s">
        <v>46</v>
      </c>
      <c r="M517" s="36" t="s">
        <v>134</v>
      </c>
      <c r="N517" s="36"/>
      <c r="O517" s="35">
        <v>60</v>
      </c>
      <c r="P517" s="9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0"/>
      <c r="R517" s="710"/>
      <c r="S517" s="710"/>
      <c r="T517" s="711"/>
      <c r="U517" s="37" t="s">
        <v>46</v>
      </c>
      <c r="V517" s="37" t="s">
        <v>46</v>
      </c>
      <c r="W517" s="38" t="s">
        <v>0</v>
      </c>
      <c r="X517" s="56">
        <v>180</v>
      </c>
      <c r="Y517" s="53">
        <f t="shared" si="71"/>
        <v>182.4</v>
      </c>
      <c r="Z517" s="39">
        <f>IFERROR(IF(Y517=0,"",ROUNDUP(Y517/H517,0)*0.00902),"")</f>
        <v>0.34276000000000001</v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 t="shared" si="72"/>
        <v>259.125</v>
      </c>
      <c r="BN517" s="75">
        <f t="shared" si="73"/>
        <v>262.58000000000004</v>
      </c>
      <c r="BO517" s="75">
        <f t="shared" si="74"/>
        <v>0.28409090909090912</v>
      </c>
      <c r="BP517" s="75">
        <f t="shared" si="75"/>
        <v>0.2878787878787879</v>
      </c>
    </row>
    <row r="518" spans="1:68" x14ac:dyDescent="0.2">
      <c r="A518" s="715"/>
      <c r="B518" s="715"/>
      <c r="C518" s="715"/>
      <c r="D518" s="715"/>
      <c r="E518" s="715"/>
      <c r="F518" s="715"/>
      <c r="G518" s="715"/>
      <c r="H518" s="715"/>
      <c r="I518" s="715"/>
      <c r="J518" s="715"/>
      <c r="K518" s="715"/>
      <c r="L518" s="715"/>
      <c r="M518" s="715"/>
      <c r="N518" s="715"/>
      <c r="O518" s="716"/>
      <c r="P518" s="712" t="s">
        <v>40</v>
      </c>
      <c r="Q518" s="713"/>
      <c r="R518" s="713"/>
      <c r="S518" s="713"/>
      <c r="T518" s="713"/>
      <c r="U518" s="713"/>
      <c r="V518" s="714"/>
      <c r="W518" s="40" t="s">
        <v>39</v>
      </c>
      <c r="X518" s="41">
        <f>IFERROR(X510/H510,"0")+IFERROR(X511/H511,"0")+IFERROR(X512/H512,"0")+IFERROR(X513/H513,"0")+IFERROR(X514/H514,"0")+IFERROR(X515/H515,"0")+IFERROR(X516/H516,"0")+IFERROR(X517/H517,"0")</f>
        <v>121.96969696969697</v>
      </c>
      <c r="Y518" s="41">
        <f>IFERROR(Y510/H510,"0")+IFERROR(Y511/H511,"0")+IFERROR(Y512/H512,"0")+IFERROR(Y513/H513,"0")+IFERROR(Y514/H514,"0")+IFERROR(Y515/H515,"0")+IFERROR(Y516/H516,"0")+IFERROR(Y517/H517,"0")</f>
        <v>124</v>
      </c>
      <c r="Z518" s="41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1.3331000000000002</v>
      </c>
      <c r="AA518" s="64"/>
      <c r="AB518" s="64"/>
      <c r="AC518" s="64"/>
    </row>
    <row r="519" spans="1:68" x14ac:dyDescent="0.2">
      <c r="A519" s="715"/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6"/>
      <c r="P519" s="712" t="s">
        <v>40</v>
      </c>
      <c r="Q519" s="713"/>
      <c r="R519" s="713"/>
      <c r="S519" s="713"/>
      <c r="T519" s="713"/>
      <c r="U519" s="713"/>
      <c r="V519" s="714"/>
      <c r="W519" s="40" t="s">
        <v>0</v>
      </c>
      <c r="X519" s="41">
        <f>IFERROR(SUM(X510:X517),"0")</f>
        <v>620</v>
      </c>
      <c r="Y519" s="41">
        <f>IFERROR(SUM(Y510:Y517),"0")</f>
        <v>630.24</v>
      </c>
      <c r="Z519" s="40"/>
      <c r="AA519" s="64"/>
      <c r="AB519" s="64"/>
      <c r="AC519" s="64"/>
    </row>
    <row r="520" spans="1:68" ht="14.25" hidden="1" customHeight="1" x14ac:dyDescent="0.25">
      <c r="A520" s="707" t="s">
        <v>165</v>
      </c>
      <c r="B520" s="707"/>
      <c r="C520" s="707"/>
      <c r="D520" s="707"/>
      <c r="E520" s="707"/>
      <c r="F520" s="707"/>
      <c r="G520" s="707"/>
      <c r="H520" s="707"/>
      <c r="I520" s="707"/>
      <c r="J520" s="707"/>
      <c r="K520" s="707"/>
      <c r="L520" s="707"/>
      <c r="M520" s="707"/>
      <c r="N520" s="707"/>
      <c r="O520" s="707"/>
      <c r="P520" s="707"/>
      <c r="Q520" s="707"/>
      <c r="R520" s="707"/>
      <c r="S520" s="707"/>
      <c r="T520" s="707"/>
      <c r="U520" s="707"/>
      <c r="V520" s="707"/>
      <c r="W520" s="707"/>
      <c r="X520" s="707"/>
      <c r="Y520" s="707"/>
      <c r="Z520" s="707"/>
      <c r="AA520" s="63"/>
      <c r="AB520" s="63"/>
      <c r="AC520" s="63"/>
    </row>
    <row r="521" spans="1:68" ht="16.5" customHeight="1" x14ac:dyDescent="0.25">
      <c r="A521" s="60" t="s">
        <v>827</v>
      </c>
      <c r="B521" s="60" t="s">
        <v>828</v>
      </c>
      <c r="C521" s="34">
        <v>4301020334</v>
      </c>
      <c r="D521" s="708">
        <v>4607091388930</v>
      </c>
      <c r="E521" s="70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135</v>
      </c>
      <c r="L521" s="35" t="s">
        <v>46</v>
      </c>
      <c r="M521" s="36" t="s">
        <v>87</v>
      </c>
      <c r="N521" s="36"/>
      <c r="O521" s="35">
        <v>70</v>
      </c>
      <c r="P521" s="9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0"/>
      <c r="R521" s="710"/>
      <c r="S521" s="710"/>
      <c r="T521" s="711"/>
      <c r="U521" s="37" t="s">
        <v>46</v>
      </c>
      <c r="V521" s="37" t="s">
        <v>46</v>
      </c>
      <c r="W521" s="38" t="s">
        <v>0</v>
      </c>
      <c r="X521" s="56">
        <v>300</v>
      </c>
      <c r="Y521" s="53">
        <f>IFERROR(IF(X521="",0,CEILING((X521/$H521),1)*$H521),"")</f>
        <v>300.96000000000004</v>
      </c>
      <c r="Z521" s="39">
        <f>IFERROR(IF(Y521=0,"",ROUNDUP(Y521/H521,0)*0.01196),"")</f>
        <v>0.68171999999999999</v>
      </c>
      <c r="AA521" s="65" t="s">
        <v>46</v>
      </c>
      <c r="AB521" s="66" t="s">
        <v>46</v>
      </c>
      <c r="AC521" s="603" t="s">
        <v>829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319.88636363636363</v>
      </c>
      <c r="BN521" s="75">
        <f>IFERROR(Y521*I521/H521,"0")</f>
        <v>320.91000000000003</v>
      </c>
      <c r="BO521" s="75">
        <f>IFERROR(1/J521*(X521/H521),"0")</f>
        <v>0.54632867132867136</v>
      </c>
      <c r="BP521" s="75">
        <f>IFERROR(1/J521*(Y521/H521),"0")</f>
        <v>0.54807692307692313</v>
      </c>
    </row>
    <row r="522" spans="1:68" ht="16.5" hidden="1" customHeight="1" x14ac:dyDescent="0.25">
      <c r="A522" s="60" t="s">
        <v>830</v>
      </c>
      <c r="B522" s="60" t="s">
        <v>831</v>
      </c>
      <c r="C522" s="34">
        <v>4301020374</v>
      </c>
      <c r="D522" s="708">
        <v>4680115886407</v>
      </c>
      <c r="E522" s="70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88</v>
      </c>
      <c r="L522" s="35" t="s">
        <v>46</v>
      </c>
      <c r="M522" s="36" t="s">
        <v>134</v>
      </c>
      <c r="N522" s="36"/>
      <c r="O522" s="35">
        <v>70</v>
      </c>
      <c r="P522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0"/>
      <c r="R522" s="710"/>
      <c r="S522" s="710"/>
      <c r="T522" s="71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05" t="s">
        <v>829</v>
      </c>
      <c r="AG522" s="75"/>
      <c r="AJ522" s="79" t="s">
        <v>46</v>
      </c>
      <c r="AK522" s="79">
        <v>0</v>
      </c>
      <c r="BB522" s="60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customHeight="1" x14ac:dyDescent="0.25">
      <c r="A523" s="60" t="s">
        <v>832</v>
      </c>
      <c r="B523" s="60" t="s">
        <v>833</v>
      </c>
      <c r="C523" s="34">
        <v>4301020385</v>
      </c>
      <c r="D523" s="708">
        <v>4680115880054</v>
      </c>
      <c r="E523" s="70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142</v>
      </c>
      <c r="L523" s="35" t="s">
        <v>46</v>
      </c>
      <c r="M523" s="36" t="s">
        <v>134</v>
      </c>
      <c r="N523" s="36"/>
      <c r="O523" s="35">
        <v>70</v>
      </c>
      <c r="P523" s="9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0"/>
      <c r="R523" s="710"/>
      <c r="S523" s="710"/>
      <c r="T523" s="711"/>
      <c r="U523" s="37" t="s">
        <v>46</v>
      </c>
      <c r="V523" s="37" t="s">
        <v>46</v>
      </c>
      <c r="W523" s="38" t="s">
        <v>0</v>
      </c>
      <c r="X523" s="56">
        <v>72</v>
      </c>
      <c r="Y523" s="53">
        <f>IFERROR(IF(X523="",0,CEILING((X523/$H523),1)*$H523),"")</f>
        <v>72</v>
      </c>
      <c r="Z523" s="39">
        <f>IFERROR(IF(Y523=0,"",ROUNDUP(Y523/H523,0)*0.00902),"")</f>
        <v>0.1353</v>
      </c>
      <c r="AA523" s="65" t="s">
        <v>46</v>
      </c>
      <c r="AB523" s="66" t="s">
        <v>46</v>
      </c>
      <c r="AC523" s="607" t="s">
        <v>829</v>
      </c>
      <c r="AG523" s="75"/>
      <c r="AJ523" s="79" t="s">
        <v>46</v>
      </c>
      <c r="AK523" s="79">
        <v>0</v>
      </c>
      <c r="BB523" s="608" t="s">
        <v>67</v>
      </c>
      <c r="BM523" s="75">
        <f>IFERROR(X523*I523/H523,"0")</f>
        <v>103.65</v>
      </c>
      <c r="BN523" s="75">
        <f>IFERROR(Y523*I523/H523,"0")</f>
        <v>103.65</v>
      </c>
      <c r="BO523" s="75">
        <f>IFERROR(1/J523*(X523/H523),"0")</f>
        <v>0.11363636363636365</v>
      </c>
      <c r="BP523" s="75">
        <f>IFERROR(1/J523*(Y523/H523),"0")</f>
        <v>0.11363636363636365</v>
      </c>
    </row>
    <row r="524" spans="1:68" x14ac:dyDescent="0.2">
      <c r="A524" s="715"/>
      <c r="B524" s="715"/>
      <c r="C524" s="715"/>
      <c r="D524" s="715"/>
      <c r="E524" s="715"/>
      <c r="F524" s="715"/>
      <c r="G524" s="715"/>
      <c r="H524" s="715"/>
      <c r="I524" s="715"/>
      <c r="J524" s="715"/>
      <c r="K524" s="715"/>
      <c r="L524" s="715"/>
      <c r="M524" s="715"/>
      <c r="N524" s="715"/>
      <c r="O524" s="716"/>
      <c r="P524" s="712" t="s">
        <v>40</v>
      </c>
      <c r="Q524" s="713"/>
      <c r="R524" s="713"/>
      <c r="S524" s="713"/>
      <c r="T524" s="713"/>
      <c r="U524" s="713"/>
      <c r="V524" s="714"/>
      <c r="W524" s="40" t="s">
        <v>39</v>
      </c>
      <c r="X524" s="41">
        <f>IFERROR(X521/H521,"0")+IFERROR(X522/H522,"0")+IFERROR(X523/H523,"0")</f>
        <v>71.818181818181813</v>
      </c>
      <c r="Y524" s="41">
        <f>IFERROR(Y521/H521,"0")+IFERROR(Y522/H522,"0")+IFERROR(Y523/H523,"0")</f>
        <v>72</v>
      </c>
      <c r="Z524" s="41">
        <f>IFERROR(IF(Z521="",0,Z521),"0")+IFERROR(IF(Z522="",0,Z522),"0")+IFERROR(IF(Z523="",0,Z523),"0")</f>
        <v>0.81701999999999997</v>
      </c>
      <c r="AA524" s="64"/>
      <c r="AB524" s="64"/>
      <c r="AC524" s="64"/>
    </row>
    <row r="525" spans="1:68" x14ac:dyDescent="0.2">
      <c r="A525" s="715"/>
      <c r="B525" s="715"/>
      <c r="C525" s="715"/>
      <c r="D525" s="715"/>
      <c r="E525" s="715"/>
      <c r="F525" s="715"/>
      <c r="G525" s="715"/>
      <c r="H525" s="715"/>
      <c r="I525" s="715"/>
      <c r="J525" s="715"/>
      <c r="K525" s="715"/>
      <c r="L525" s="715"/>
      <c r="M525" s="715"/>
      <c r="N525" s="715"/>
      <c r="O525" s="716"/>
      <c r="P525" s="712" t="s">
        <v>40</v>
      </c>
      <c r="Q525" s="713"/>
      <c r="R525" s="713"/>
      <c r="S525" s="713"/>
      <c r="T525" s="713"/>
      <c r="U525" s="713"/>
      <c r="V525" s="714"/>
      <c r="W525" s="40" t="s">
        <v>0</v>
      </c>
      <c r="X525" s="41">
        <f>IFERROR(SUM(X521:X523),"0")</f>
        <v>372</v>
      </c>
      <c r="Y525" s="41">
        <f>IFERROR(SUM(Y521:Y523),"0")</f>
        <v>372.96000000000004</v>
      </c>
      <c r="Z525" s="40"/>
      <c r="AA525" s="64"/>
      <c r="AB525" s="64"/>
      <c r="AC525" s="64"/>
    </row>
    <row r="526" spans="1:68" ht="14.25" hidden="1" customHeight="1" x14ac:dyDescent="0.25">
      <c r="A526" s="707" t="s">
        <v>77</v>
      </c>
      <c r="B526" s="707"/>
      <c r="C526" s="707"/>
      <c r="D526" s="707"/>
      <c r="E526" s="707"/>
      <c r="F526" s="707"/>
      <c r="G526" s="707"/>
      <c r="H526" s="707"/>
      <c r="I526" s="707"/>
      <c r="J526" s="707"/>
      <c r="K526" s="707"/>
      <c r="L526" s="707"/>
      <c r="M526" s="707"/>
      <c r="N526" s="707"/>
      <c r="O526" s="707"/>
      <c r="P526" s="707"/>
      <c r="Q526" s="707"/>
      <c r="R526" s="707"/>
      <c r="S526" s="707"/>
      <c r="T526" s="707"/>
      <c r="U526" s="707"/>
      <c r="V526" s="707"/>
      <c r="W526" s="707"/>
      <c r="X526" s="707"/>
      <c r="Y526" s="707"/>
      <c r="Z526" s="707"/>
      <c r="AA526" s="63"/>
      <c r="AB526" s="63"/>
      <c r="AC526" s="63"/>
    </row>
    <row r="527" spans="1:68" ht="27" customHeight="1" x14ac:dyDescent="0.25">
      <c r="A527" s="60" t="s">
        <v>834</v>
      </c>
      <c r="B527" s="60" t="s">
        <v>835</v>
      </c>
      <c r="C527" s="34">
        <v>4301031349</v>
      </c>
      <c r="D527" s="708">
        <v>4680115883116</v>
      </c>
      <c r="E527" s="70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135</v>
      </c>
      <c r="L527" s="35" t="s">
        <v>46</v>
      </c>
      <c r="M527" s="36" t="s">
        <v>134</v>
      </c>
      <c r="N527" s="36"/>
      <c r="O527" s="35">
        <v>70</v>
      </c>
      <c r="P527" s="9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0"/>
      <c r="R527" s="710"/>
      <c r="S527" s="710"/>
      <c r="T527" s="711"/>
      <c r="U527" s="37" t="s">
        <v>46</v>
      </c>
      <c r="V527" s="37" t="s">
        <v>46</v>
      </c>
      <c r="W527" s="38" t="s">
        <v>0</v>
      </c>
      <c r="X527" s="56">
        <v>60</v>
      </c>
      <c r="Y527" s="53">
        <f t="shared" ref="Y527:Y533" si="76">IFERROR(IF(X527="",0,CEILING((X527/$H527),1)*$H527),"")</f>
        <v>63.36</v>
      </c>
      <c r="Z527" s="39">
        <f>IFERROR(IF(Y527=0,"",ROUNDUP(Y527/H527,0)*0.01196),"")</f>
        <v>0.14352000000000001</v>
      </c>
      <c r="AA527" s="65" t="s">
        <v>46</v>
      </c>
      <c r="AB527" s="66" t="s">
        <v>46</v>
      </c>
      <c r="AC527" s="609" t="s">
        <v>836</v>
      </c>
      <c r="AG527" s="75"/>
      <c r="AJ527" s="79" t="s">
        <v>46</v>
      </c>
      <c r="AK527" s="79">
        <v>0</v>
      </c>
      <c r="BB527" s="610" t="s">
        <v>67</v>
      </c>
      <c r="BM527" s="75">
        <f t="shared" ref="BM527:BM533" si="77">IFERROR(X527*I527/H527,"0")</f>
        <v>63.977272727272727</v>
      </c>
      <c r="BN527" s="75">
        <f t="shared" ref="BN527:BN533" si="78">IFERROR(Y527*I527/H527,"0")</f>
        <v>67.559999999999988</v>
      </c>
      <c r="BO527" s="75">
        <f t="shared" ref="BO527:BO533" si="79">IFERROR(1/J527*(X527/H527),"0")</f>
        <v>0.10926573426573427</v>
      </c>
      <c r="BP527" s="75">
        <f t="shared" ref="BP527:BP533" si="80">IFERROR(1/J527*(Y527/H527),"0")</f>
        <v>0.11538461538461539</v>
      </c>
    </row>
    <row r="528" spans="1:68" ht="27" customHeight="1" x14ac:dyDescent="0.25">
      <c r="A528" s="60" t="s">
        <v>837</v>
      </c>
      <c r="B528" s="60" t="s">
        <v>838</v>
      </c>
      <c r="C528" s="34">
        <v>4301031350</v>
      </c>
      <c r="D528" s="708">
        <v>4680115883093</v>
      </c>
      <c r="E528" s="70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135</v>
      </c>
      <c r="L528" s="35" t="s">
        <v>46</v>
      </c>
      <c r="M528" s="36" t="s">
        <v>81</v>
      </c>
      <c r="N528" s="36"/>
      <c r="O528" s="35">
        <v>70</v>
      </c>
      <c r="P528" s="9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0"/>
      <c r="R528" s="710"/>
      <c r="S528" s="710"/>
      <c r="T528" s="711"/>
      <c r="U528" s="37" t="s">
        <v>46</v>
      </c>
      <c r="V528" s="37" t="s">
        <v>46</v>
      </c>
      <c r="W528" s="38" t="s">
        <v>0</v>
      </c>
      <c r="X528" s="56">
        <v>20</v>
      </c>
      <c r="Y528" s="53">
        <f t="shared" si="76"/>
        <v>21.12</v>
      </c>
      <c r="Z528" s="39">
        <f>IFERROR(IF(Y528=0,"",ROUNDUP(Y528/H528,0)*0.01196),"")</f>
        <v>4.7840000000000001E-2</v>
      </c>
      <c r="AA528" s="65" t="s">
        <v>46</v>
      </c>
      <c r="AB528" s="66" t="s">
        <v>46</v>
      </c>
      <c r="AC528" s="611" t="s">
        <v>839</v>
      </c>
      <c r="AG528" s="75"/>
      <c r="AJ528" s="79" t="s">
        <v>46</v>
      </c>
      <c r="AK528" s="79">
        <v>0</v>
      </c>
      <c r="BB528" s="612" t="s">
        <v>67</v>
      </c>
      <c r="BM528" s="75">
        <f t="shared" si="77"/>
        <v>21.325757575757574</v>
      </c>
      <c r="BN528" s="75">
        <f t="shared" si="78"/>
        <v>22.52</v>
      </c>
      <c r="BO528" s="75">
        <f t="shared" si="79"/>
        <v>3.6421911421911424E-2</v>
      </c>
      <c r="BP528" s="75">
        <f t="shared" si="80"/>
        <v>3.8461538461538464E-2</v>
      </c>
    </row>
    <row r="529" spans="1:68" ht="27" customHeight="1" x14ac:dyDescent="0.25">
      <c r="A529" s="60" t="s">
        <v>840</v>
      </c>
      <c r="B529" s="60" t="s">
        <v>841</v>
      </c>
      <c r="C529" s="34">
        <v>4301031353</v>
      </c>
      <c r="D529" s="708">
        <v>4680115883109</v>
      </c>
      <c r="E529" s="70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135</v>
      </c>
      <c r="L529" s="35" t="s">
        <v>46</v>
      </c>
      <c r="M529" s="36" t="s">
        <v>81</v>
      </c>
      <c r="N529" s="36"/>
      <c r="O529" s="35">
        <v>70</v>
      </c>
      <c r="P529" s="9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0"/>
      <c r="R529" s="710"/>
      <c r="S529" s="710"/>
      <c r="T529" s="711"/>
      <c r="U529" s="37" t="s">
        <v>46</v>
      </c>
      <c r="V529" s="37" t="s">
        <v>46</v>
      </c>
      <c r="W529" s="38" t="s">
        <v>0</v>
      </c>
      <c r="X529" s="56">
        <v>150</v>
      </c>
      <c r="Y529" s="53">
        <f t="shared" si="76"/>
        <v>153.12</v>
      </c>
      <c r="Z529" s="39">
        <f>IFERROR(IF(Y529=0,"",ROUNDUP(Y529/H529,0)*0.01196),"")</f>
        <v>0.34683999999999998</v>
      </c>
      <c r="AA529" s="65" t="s">
        <v>46</v>
      </c>
      <c r="AB529" s="66" t="s">
        <v>46</v>
      </c>
      <c r="AC529" s="613" t="s">
        <v>842</v>
      </c>
      <c r="AG529" s="75"/>
      <c r="AJ529" s="79" t="s">
        <v>46</v>
      </c>
      <c r="AK529" s="79">
        <v>0</v>
      </c>
      <c r="BB529" s="614" t="s">
        <v>67</v>
      </c>
      <c r="BM529" s="75">
        <f t="shared" si="77"/>
        <v>159.94318181818181</v>
      </c>
      <c r="BN529" s="75">
        <f t="shared" si="78"/>
        <v>163.26999999999998</v>
      </c>
      <c r="BO529" s="75">
        <f t="shared" si="79"/>
        <v>0.27316433566433568</v>
      </c>
      <c r="BP529" s="75">
        <f t="shared" si="80"/>
        <v>0.27884615384615385</v>
      </c>
    </row>
    <row r="530" spans="1:68" ht="27" customHeight="1" x14ac:dyDescent="0.25">
      <c r="A530" s="60" t="s">
        <v>843</v>
      </c>
      <c r="B530" s="60" t="s">
        <v>844</v>
      </c>
      <c r="C530" s="34">
        <v>4301031419</v>
      </c>
      <c r="D530" s="708">
        <v>4680115882072</v>
      </c>
      <c r="E530" s="70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142</v>
      </c>
      <c r="L530" s="35" t="s">
        <v>46</v>
      </c>
      <c r="M530" s="36" t="s">
        <v>134</v>
      </c>
      <c r="N530" s="36"/>
      <c r="O530" s="35">
        <v>70</v>
      </c>
      <c r="P530" s="9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0"/>
      <c r="R530" s="710"/>
      <c r="S530" s="710"/>
      <c r="T530" s="711"/>
      <c r="U530" s="37" t="s">
        <v>46</v>
      </c>
      <c r="V530" s="37" t="s">
        <v>46</v>
      </c>
      <c r="W530" s="38" t="s">
        <v>0</v>
      </c>
      <c r="X530" s="56">
        <v>120</v>
      </c>
      <c r="Y530" s="53">
        <f t="shared" si="76"/>
        <v>120</v>
      </c>
      <c r="Z530" s="39">
        <f>IFERROR(IF(Y530=0,"",ROUNDUP(Y530/H530,0)*0.00902),"")</f>
        <v>0.22550000000000001</v>
      </c>
      <c r="AA530" s="65" t="s">
        <v>46</v>
      </c>
      <c r="AB530" s="66" t="s">
        <v>46</v>
      </c>
      <c r="AC530" s="615" t="s">
        <v>836</v>
      </c>
      <c r="AG530" s="75"/>
      <c r="AJ530" s="79" t="s">
        <v>46</v>
      </c>
      <c r="AK530" s="79">
        <v>0</v>
      </c>
      <c r="BB530" s="616" t="s">
        <v>67</v>
      </c>
      <c r="BM530" s="75">
        <f t="shared" si="77"/>
        <v>172.75000000000003</v>
      </c>
      <c r="BN530" s="75">
        <f t="shared" si="78"/>
        <v>172.75000000000003</v>
      </c>
      <c r="BO530" s="75">
        <f t="shared" si="79"/>
        <v>0.18939393939393939</v>
      </c>
      <c r="BP530" s="75">
        <f t="shared" si="80"/>
        <v>0.18939393939393939</v>
      </c>
    </row>
    <row r="531" spans="1:68" ht="27" hidden="1" customHeight="1" x14ac:dyDescent="0.25">
      <c r="A531" s="60" t="s">
        <v>845</v>
      </c>
      <c r="B531" s="60" t="s">
        <v>846</v>
      </c>
      <c r="C531" s="34">
        <v>4301031352</v>
      </c>
      <c r="D531" s="708">
        <v>4680115882102</v>
      </c>
      <c r="E531" s="70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142</v>
      </c>
      <c r="L531" s="35" t="s">
        <v>46</v>
      </c>
      <c r="M531" s="36" t="s">
        <v>81</v>
      </c>
      <c r="N531" s="36"/>
      <c r="O531" s="35">
        <v>70</v>
      </c>
      <c r="P531" s="9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0"/>
      <c r="R531" s="710"/>
      <c r="S531" s="710"/>
      <c r="T531" s="71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7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17" t="s">
        <v>839</v>
      </c>
      <c r="AG531" s="75"/>
      <c r="AJ531" s="79" t="s">
        <v>46</v>
      </c>
      <c r="AK531" s="79">
        <v>0</v>
      </c>
      <c r="BB531" s="618" t="s">
        <v>67</v>
      </c>
      <c r="BM531" s="75">
        <f t="shared" si="77"/>
        <v>0</v>
      </c>
      <c r="BN531" s="75">
        <f t="shared" si="78"/>
        <v>0</v>
      </c>
      <c r="BO531" s="75">
        <f t="shared" si="79"/>
        <v>0</v>
      </c>
      <c r="BP531" s="75">
        <f t="shared" si="80"/>
        <v>0</v>
      </c>
    </row>
    <row r="532" spans="1:68" ht="27" hidden="1" customHeight="1" x14ac:dyDescent="0.25">
      <c r="A532" s="60" t="s">
        <v>845</v>
      </c>
      <c r="B532" s="60" t="s">
        <v>847</v>
      </c>
      <c r="C532" s="34">
        <v>4301031418</v>
      </c>
      <c r="D532" s="708">
        <v>4680115882102</v>
      </c>
      <c r="E532" s="70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142</v>
      </c>
      <c r="L532" s="35" t="s">
        <v>46</v>
      </c>
      <c r="M532" s="36" t="s">
        <v>81</v>
      </c>
      <c r="N532" s="36"/>
      <c r="O532" s="35">
        <v>70</v>
      </c>
      <c r="P532" s="9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0"/>
      <c r="R532" s="710"/>
      <c r="S532" s="710"/>
      <c r="T532" s="71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7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19" t="s">
        <v>839</v>
      </c>
      <c r="AG532" s="75"/>
      <c r="AJ532" s="79" t="s">
        <v>46</v>
      </c>
      <c r="AK532" s="79">
        <v>0</v>
      </c>
      <c r="BB532" s="620" t="s">
        <v>67</v>
      </c>
      <c r="BM532" s="75">
        <f t="shared" si="77"/>
        <v>0</v>
      </c>
      <c r="BN532" s="75">
        <f t="shared" si="78"/>
        <v>0</v>
      </c>
      <c r="BO532" s="75">
        <f t="shared" si="79"/>
        <v>0</v>
      </c>
      <c r="BP532" s="75">
        <f t="shared" si="80"/>
        <v>0</v>
      </c>
    </row>
    <row r="533" spans="1:68" ht="27" customHeight="1" x14ac:dyDescent="0.25">
      <c r="A533" s="60" t="s">
        <v>848</v>
      </c>
      <c r="B533" s="60" t="s">
        <v>849</v>
      </c>
      <c r="C533" s="34">
        <v>4301031417</v>
      </c>
      <c r="D533" s="708">
        <v>4680115882096</v>
      </c>
      <c r="E533" s="70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142</v>
      </c>
      <c r="L533" s="35" t="s">
        <v>46</v>
      </c>
      <c r="M533" s="36" t="s">
        <v>81</v>
      </c>
      <c r="N533" s="36"/>
      <c r="O533" s="35">
        <v>70</v>
      </c>
      <c r="P533" s="9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0"/>
      <c r="R533" s="710"/>
      <c r="S533" s="710"/>
      <c r="T533" s="711"/>
      <c r="U533" s="37" t="s">
        <v>46</v>
      </c>
      <c r="V533" s="37" t="s">
        <v>46</v>
      </c>
      <c r="W533" s="38" t="s">
        <v>0</v>
      </c>
      <c r="X533" s="56">
        <v>120</v>
      </c>
      <c r="Y533" s="53">
        <f t="shared" si="76"/>
        <v>120</v>
      </c>
      <c r="Z533" s="39">
        <f>IFERROR(IF(Y533=0,"",ROUNDUP(Y533/H533,0)*0.00902),"")</f>
        <v>0.22550000000000001</v>
      </c>
      <c r="AA533" s="65" t="s">
        <v>46</v>
      </c>
      <c r="AB533" s="66" t="s">
        <v>46</v>
      </c>
      <c r="AC533" s="621" t="s">
        <v>842</v>
      </c>
      <c r="AG533" s="75"/>
      <c r="AJ533" s="79" t="s">
        <v>46</v>
      </c>
      <c r="AK533" s="79">
        <v>0</v>
      </c>
      <c r="BB533" s="622" t="s">
        <v>67</v>
      </c>
      <c r="BM533" s="75">
        <f t="shared" si="77"/>
        <v>166.75</v>
      </c>
      <c r="BN533" s="75">
        <f t="shared" si="78"/>
        <v>166.75</v>
      </c>
      <c r="BO533" s="75">
        <f t="shared" si="79"/>
        <v>0.18939393939393939</v>
      </c>
      <c r="BP533" s="75">
        <f t="shared" si="80"/>
        <v>0.18939393939393939</v>
      </c>
    </row>
    <row r="534" spans="1:68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0" t="s">
        <v>39</v>
      </c>
      <c r="X534" s="41">
        <f>IFERROR(X527/H527,"0")+IFERROR(X528/H528,"0")+IFERROR(X529/H529,"0")+IFERROR(X530/H530,"0")+IFERROR(X531/H531,"0")+IFERROR(X532/H532,"0")+IFERROR(X533/H533,"0")</f>
        <v>93.560606060606062</v>
      </c>
      <c r="Y534" s="41">
        <f>IFERROR(Y527/H527,"0")+IFERROR(Y528/H528,"0")+IFERROR(Y529/H529,"0")+IFERROR(Y530/H530,"0")+IFERROR(Y531/H531,"0")+IFERROR(Y532/H532,"0")+IFERROR(Y533/H533,"0")</f>
        <v>95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0.98920000000000008</v>
      </c>
      <c r="AA534" s="64"/>
      <c r="AB534" s="64"/>
      <c r="AC534" s="64"/>
    </row>
    <row r="535" spans="1:68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0" t="s">
        <v>0</v>
      </c>
      <c r="X535" s="41">
        <f>IFERROR(SUM(X527:X533),"0")</f>
        <v>470</v>
      </c>
      <c r="Y535" s="41">
        <f>IFERROR(SUM(Y527:Y533),"0")</f>
        <v>477.6</v>
      </c>
      <c r="Z535" s="40"/>
      <c r="AA535" s="64"/>
      <c r="AB535" s="64"/>
      <c r="AC535" s="64"/>
    </row>
    <row r="536" spans="1:68" ht="27.75" hidden="1" customHeight="1" x14ac:dyDescent="0.2">
      <c r="A536" s="705" t="s">
        <v>850</v>
      </c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5"/>
      <c r="P536" s="705"/>
      <c r="Q536" s="705"/>
      <c r="R536" s="705"/>
      <c r="S536" s="705"/>
      <c r="T536" s="705"/>
      <c r="U536" s="705"/>
      <c r="V536" s="705"/>
      <c r="W536" s="705"/>
      <c r="X536" s="705"/>
      <c r="Y536" s="705"/>
      <c r="Z536" s="705"/>
      <c r="AA536" s="52"/>
      <c r="AB536" s="52"/>
      <c r="AC536" s="52"/>
    </row>
    <row r="537" spans="1:68" ht="16.5" hidden="1" customHeight="1" x14ac:dyDescent="0.25">
      <c r="A537" s="706" t="s">
        <v>850</v>
      </c>
      <c r="B537" s="706"/>
      <c r="C537" s="706"/>
      <c r="D537" s="706"/>
      <c r="E537" s="706"/>
      <c r="F537" s="706"/>
      <c r="G537" s="706"/>
      <c r="H537" s="706"/>
      <c r="I537" s="706"/>
      <c r="J537" s="706"/>
      <c r="K537" s="706"/>
      <c r="L537" s="706"/>
      <c r="M537" s="706"/>
      <c r="N537" s="706"/>
      <c r="O537" s="706"/>
      <c r="P537" s="706"/>
      <c r="Q537" s="706"/>
      <c r="R537" s="706"/>
      <c r="S537" s="706"/>
      <c r="T537" s="706"/>
      <c r="U537" s="706"/>
      <c r="V537" s="706"/>
      <c r="W537" s="706"/>
      <c r="X537" s="706"/>
      <c r="Y537" s="706"/>
      <c r="Z537" s="706"/>
      <c r="AA537" s="62"/>
      <c r="AB537" s="62"/>
      <c r="AC537" s="62"/>
    </row>
    <row r="538" spans="1:68" ht="14.25" hidden="1" customHeight="1" x14ac:dyDescent="0.25">
      <c r="A538" s="707" t="s">
        <v>130</v>
      </c>
      <c r="B538" s="707"/>
      <c r="C538" s="707"/>
      <c r="D538" s="707"/>
      <c r="E538" s="707"/>
      <c r="F538" s="707"/>
      <c r="G538" s="707"/>
      <c r="H538" s="707"/>
      <c r="I538" s="707"/>
      <c r="J538" s="707"/>
      <c r="K538" s="707"/>
      <c r="L538" s="707"/>
      <c r="M538" s="707"/>
      <c r="N538" s="707"/>
      <c r="O538" s="707"/>
      <c r="P538" s="707"/>
      <c r="Q538" s="707"/>
      <c r="R538" s="707"/>
      <c r="S538" s="707"/>
      <c r="T538" s="707"/>
      <c r="U538" s="707"/>
      <c r="V538" s="707"/>
      <c r="W538" s="707"/>
      <c r="X538" s="707"/>
      <c r="Y538" s="707"/>
      <c r="Z538" s="707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4301012386</v>
      </c>
      <c r="D539" s="708">
        <v>4680115889736</v>
      </c>
      <c r="E539" s="70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135</v>
      </c>
      <c r="L539" s="35" t="s">
        <v>46</v>
      </c>
      <c r="M539" s="36" t="s">
        <v>134</v>
      </c>
      <c r="N539" s="36"/>
      <c r="O539" s="35">
        <v>50</v>
      </c>
      <c r="P539" s="98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0"/>
      <c r="R539" s="710"/>
      <c r="S539" s="710"/>
      <c r="T539" s="711"/>
      <c r="U539" s="37" t="s">
        <v>46</v>
      </c>
      <c r="V539" s="37" t="s">
        <v>46</v>
      </c>
      <c r="W539" s="38" t="s">
        <v>0</v>
      </c>
      <c r="X539" s="56">
        <v>150</v>
      </c>
      <c r="Y539" s="53">
        <f>IFERROR(IF(X539="",0,CEILING((X539/$H539),1)*$H539),"")</f>
        <v>156</v>
      </c>
      <c r="Z539" s="39">
        <f>IFERROR(IF(Y539=0,"",ROUNDUP(Y539/H539,0)*0.01898),"")</f>
        <v>0.24674000000000001</v>
      </c>
      <c r="AA539" s="65" t="s">
        <v>46</v>
      </c>
      <c r="AB539" s="66" t="s">
        <v>46</v>
      </c>
      <c r="AC539" s="623" t="s">
        <v>853</v>
      </c>
      <c r="AG539" s="75"/>
      <c r="AJ539" s="79" t="s">
        <v>46</v>
      </c>
      <c r="AK539" s="79">
        <v>0</v>
      </c>
      <c r="BB539" s="624" t="s">
        <v>67</v>
      </c>
      <c r="BM539" s="75">
        <f>IFERROR(X539*I539/H539,"0")</f>
        <v>155.125</v>
      </c>
      <c r="BN539" s="75">
        <f>IFERROR(Y539*I539/H539,"0")</f>
        <v>161.33000000000001</v>
      </c>
      <c r="BO539" s="75">
        <f>IFERROR(1/J539*(X539/H539),"0")</f>
        <v>0.1953125</v>
      </c>
      <c r="BP539" s="75">
        <f>IFERROR(1/J539*(Y539/H539),"0")</f>
        <v>0.203125</v>
      </c>
    </row>
    <row r="540" spans="1:68" x14ac:dyDescent="0.2">
      <c r="A540" s="715"/>
      <c r="B540" s="715"/>
      <c r="C540" s="715"/>
      <c r="D540" s="715"/>
      <c r="E540" s="715"/>
      <c r="F540" s="715"/>
      <c r="G540" s="715"/>
      <c r="H540" s="715"/>
      <c r="I540" s="715"/>
      <c r="J540" s="715"/>
      <c r="K540" s="715"/>
      <c r="L540" s="715"/>
      <c r="M540" s="715"/>
      <c r="N540" s="715"/>
      <c r="O540" s="716"/>
      <c r="P540" s="712" t="s">
        <v>40</v>
      </c>
      <c r="Q540" s="713"/>
      <c r="R540" s="713"/>
      <c r="S540" s="713"/>
      <c r="T540" s="713"/>
      <c r="U540" s="713"/>
      <c r="V540" s="714"/>
      <c r="W540" s="40" t="s">
        <v>39</v>
      </c>
      <c r="X540" s="41">
        <f>IFERROR(X539/H539,"0")</f>
        <v>12.5</v>
      </c>
      <c r="Y540" s="41">
        <f>IFERROR(Y539/H539,"0")</f>
        <v>13</v>
      </c>
      <c r="Z540" s="41">
        <f>IFERROR(IF(Z539="",0,Z539),"0")</f>
        <v>0.24674000000000001</v>
      </c>
      <c r="AA540" s="64"/>
      <c r="AB540" s="64"/>
      <c r="AC540" s="64"/>
    </row>
    <row r="541" spans="1:68" x14ac:dyDescent="0.2">
      <c r="A541" s="715"/>
      <c r="B541" s="715"/>
      <c r="C541" s="715"/>
      <c r="D541" s="715"/>
      <c r="E541" s="715"/>
      <c r="F541" s="715"/>
      <c r="G541" s="715"/>
      <c r="H541" s="715"/>
      <c r="I541" s="715"/>
      <c r="J541" s="715"/>
      <c r="K541" s="715"/>
      <c r="L541" s="715"/>
      <c r="M541" s="715"/>
      <c r="N541" s="715"/>
      <c r="O541" s="716"/>
      <c r="P541" s="712" t="s">
        <v>40</v>
      </c>
      <c r="Q541" s="713"/>
      <c r="R541" s="713"/>
      <c r="S541" s="713"/>
      <c r="T541" s="713"/>
      <c r="U541" s="713"/>
      <c r="V541" s="714"/>
      <c r="W541" s="40" t="s">
        <v>0</v>
      </c>
      <c r="X541" s="41">
        <f>IFERROR(SUM(X539:X539),"0")</f>
        <v>150</v>
      </c>
      <c r="Y541" s="41">
        <f>IFERROR(SUM(Y539:Y539),"0")</f>
        <v>156</v>
      </c>
      <c r="Z541" s="40"/>
      <c r="AA541" s="64"/>
      <c r="AB541" s="64"/>
      <c r="AC541" s="64"/>
    </row>
    <row r="542" spans="1:68" ht="14.25" hidden="1" customHeight="1" x14ac:dyDescent="0.25">
      <c r="A542" s="707" t="s">
        <v>165</v>
      </c>
      <c r="B542" s="707"/>
      <c r="C542" s="707"/>
      <c r="D542" s="707"/>
      <c r="E542" s="707"/>
      <c r="F542" s="707"/>
      <c r="G542" s="707"/>
      <c r="H542" s="707"/>
      <c r="I542" s="707"/>
      <c r="J542" s="707"/>
      <c r="K542" s="707"/>
      <c r="L542" s="707"/>
      <c r="M542" s="707"/>
      <c r="N542" s="707"/>
      <c r="O542" s="707"/>
      <c r="P542" s="707"/>
      <c r="Q542" s="707"/>
      <c r="R542" s="707"/>
      <c r="S542" s="707"/>
      <c r="T542" s="707"/>
      <c r="U542" s="707"/>
      <c r="V542" s="707"/>
      <c r="W542" s="707"/>
      <c r="X542" s="707"/>
      <c r="Y542" s="707"/>
      <c r="Z542" s="707"/>
      <c r="AA542" s="63"/>
      <c r="AB542" s="63"/>
      <c r="AC542" s="63"/>
    </row>
    <row r="543" spans="1:68" ht="27" hidden="1" customHeight="1" x14ac:dyDescent="0.25">
      <c r="A543" s="60" t="s">
        <v>854</v>
      </c>
      <c r="B543" s="60" t="s">
        <v>855</v>
      </c>
      <c r="C543" s="34">
        <v>4301020444</v>
      </c>
      <c r="D543" s="708">
        <v>4680115889781</v>
      </c>
      <c r="E543" s="70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135</v>
      </c>
      <c r="L543" s="35" t="s">
        <v>46</v>
      </c>
      <c r="M543" s="36" t="s">
        <v>87</v>
      </c>
      <c r="N543" s="36"/>
      <c r="O543" s="35">
        <v>50</v>
      </c>
      <c r="P543" s="98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0"/>
      <c r="R543" s="710"/>
      <c r="S543" s="710"/>
      <c r="T543" s="71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5" t="s">
        <v>735</v>
      </c>
      <c r="AG543" s="75"/>
      <c r="AJ543" s="79" t="s">
        <v>46</v>
      </c>
      <c r="AK543" s="79">
        <v>0</v>
      </c>
      <c r="BB543" s="62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15"/>
      <c r="B545" s="715"/>
      <c r="C545" s="715"/>
      <c r="D545" s="715"/>
      <c r="E545" s="715"/>
      <c r="F545" s="715"/>
      <c r="G545" s="715"/>
      <c r="H545" s="715"/>
      <c r="I545" s="715"/>
      <c r="J545" s="715"/>
      <c r="K545" s="715"/>
      <c r="L545" s="715"/>
      <c r="M545" s="715"/>
      <c r="N545" s="715"/>
      <c r="O545" s="716"/>
      <c r="P545" s="712" t="s">
        <v>40</v>
      </c>
      <c r="Q545" s="713"/>
      <c r="R545" s="713"/>
      <c r="S545" s="713"/>
      <c r="T545" s="713"/>
      <c r="U545" s="713"/>
      <c r="V545" s="714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07" t="s">
        <v>77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3"/>
      <c r="AB546" s="63"/>
      <c r="AC546" s="63"/>
    </row>
    <row r="547" spans="1:68" ht="27" hidden="1" customHeight="1" x14ac:dyDescent="0.25">
      <c r="A547" s="60" t="s">
        <v>856</v>
      </c>
      <c r="B547" s="60" t="s">
        <v>857</v>
      </c>
      <c r="C547" s="34">
        <v>4301031523</v>
      </c>
      <c r="D547" s="708">
        <v>4680115889774</v>
      </c>
      <c r="E547" s="70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142</v>
      </c>
      <c r="L547" s="35" t="s">
        <v>46</v>
      </c>
      <c r="M547" s="36" t="s">
        <v>81</v>
      </c>
      <c r="N547" s="36"/>
      <c r="O547" s="35">
        <v>40</v>
      </c>
      <c r="P547" s="9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0"/>
      <c r="R547" s="710"/>
      <c r="S547" s="710"/>
      <c r="T547" s="71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27" t="s">
        <v>858</v>
      </c>
      <c r="AG547" s="75"/>
      <c r="AJ547" s="79" t="s">
        <v>46</v>
      </c>
      <c r="AK547" s="79">
        <v>0</v>
      </c>
      <c r="BB547" s="62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07" t="s">
        <v>83</v>
      </c>
      <c r="B550" s="707"/>
      <c r="C550" s="707"/>
      <c r="D550" s="707"/>
      <c r="E550" s="707"/>
      <c r="F550" s="707"/>
      <c r="G550" s="707"/>
      <c r="H550" s="707"/>
      <c r="I550" s="707"/>
      <c r="J550" s="707"/>
      <c r="K550" s="707"/>
      <c r="L550" s="707"/>
      <c r="M550" s="707"/>
      <c r="N550" s="707"/>
      <c r="O550" s="707"/>
      <c r="P550" s="707"/>
      <c r="Q550" s="707"/>
      <c r="R550" s="707"/>
      <c r="S550" s="707"/>
      <c r="T550" s="707"/>
      <c r="U550" s="707"/>
      <c r="V550" s="707"/>
      <c r="W550" s="707"/>
      <c r="X550" s="707"/>
      <c r="Y550" s="707"/>
      <c r="Z550" s="707"/>
      <c r="AA550" s="63"/>
      <c r="AB550" s="63"/>
      <c r="AC550" s="63"/>
    </row>
    <row r="551" spans="1:68" ht="27" customHeight="1" x14ac:dyDescent="0.25">
      <c r="A551" s="60" t="s">
        <v>859</v>
      </c>
      <c r="B551" s="60" t="s">
        <v>860</v>
      </c>
      <c r="C551" s="34">
        <v>4301052282</v>
      </c>
      <c r="D551" s="708">
        <v>4680115889811</v>
      </c>
      <c r="E551" s="70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135</v>
      </c>
      <c r="L551" s="35" t="s">
        <v>46</v>
      </c>
      <c r="M551" s="36" t="s">
        <v>87</v>
      </c>
      <c r="N551" s="36"/>
      <c r="O551" s="35">
        <v>45</v>
      </c>
      <c r="P551" s="99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0"/>
      <c r="R551" s="710"/>
      <c r="S551" s="710"/>
      <c r="T551" s="711"/>
      <c r="U551" s="37" t="s">
        <v>46</v>
      </c>
      <c r="V551" s="37" t="s">
        <v>46</v>
      </c>
      <c r="W551" s="38" t="s">
        <v>0</v>
      </c>
      <c r="X551" s="56">
        <v>580</v>
      </c>
      <c r="Y551" s="53">
        <f>IFERROR(IF(X551="",0,CEILING((X551/$H551),1)*$H551),"")</f>
        <v>585</v>
      </c>
      <c r="Z551" s="39">
        <f>IFERROR(IF(Y551=0,"",ROUNDUP(Y551/H551,0)*0.01898),"")</f>
        <v>1.2337</v>
      </c>
      <c r="AA551" s="65" t="s">
        <v>46</v>
      </c>
      <c r="AB551" s="66" t="s">
        <v>46</v>
      </c>
      <c r="AC551" s="629" t="s">
        <v>861</v>
      </c>
      <c r="AG551" s="75"/>
      <c r="AJ551" s="79" t="s">
        <v>46</v>
      </c>
      <c r="AK551" s="79">
        <v>0</v>
      </c>
      <c r="BB551" s="630" t="s">
        <v>67</v>
      </c>
      <c r="BM551" s="75">
        <f>IFERROR(X551*I551/H551,"0")</f>
        <v>611.83555555555552</v>
      </c>
      <c r="BN551" s="75">
        <f>IFERROR(Y551*I551/H551,"0")</f>
        <v>617.11</v>
      </c>
      <c r="BO551" s="75">
        <f>IFERROR(1/J551*(X551/H551),"0")</f>
        <v>1.0069444444444444</v>
      </c>
      <c r="BP551" s="75">
        <f>IFERROR(1/J551*(Y551/H551),"0")</f>
        <v>1.015625</v>
      </c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716"/>
      <c r="P552" s="712" t="s">
        <v>40</v>
      </c>
      <c r="Q552" s="713"/>
      <c r="R552" s="713"/>
      <c r="S552" s="713"/>
      <c r="T552" s="713"/>
      <c r="U552" s="713"/>
      <c r="V552" s="714"/>
      <c r="W552" s="40" t="s">
        <v>39</v>
      </c>
      <c r="X552" s="41">
        <f>IFERROR(X551/H551,"0")</f>
        <v>64.444444444444443</v>
      </c>
      <c r="Y552" s="41">
        <f>IFERROR(Y551/H551,"0")</f>
        <v>65</v>
      </c>
      <c r="Z552" s="41">
        <f>IFERROR(IF(Z551="",0,Z551),"0")</f>
        <v>1.2337</v>
      </c>
      <c r="AA552" s="64"/>
      <c r="AB552" s="64"/>
      <c r="AC552" s="64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6"/>
      <c r="P553" s="712" t="s">
        <v>40</v>
      </c>
      <c r="Q553" s="713"/>
      <c r="R553" s="713"/>
      <c r="S553" s="713"/>
      <c r="T553" s="713"/>
      <c r="U553" s="713"/>
      <c r="V553" s="714"/>
      <c r="W553" s="40" t="s">
        <v>0</v>
      </c>
      <c r="X553" s="41">
        <f>IFERROR(SUM(X551:X551),"0")</f>
        <v>580</v>
      </c>
      <c r="Y553" s="41">
        <f>IFERROR(SUM(Y551:Y551),"0")</f>
        <v>585</v>
      </c>
      <c r="Z553" s="40"/>
      <c r="AA553" s="64"/>
      <c r="AB553" s="64"/>
      <c r="AC553" s="64"/>
    </row>
    <row r="554" spans="1:68" ht="14.25" hidden="1" customHeight="1" x14ac:dyDescent="0.25">
      <c r="A554" s="707" t="s">
        <v>183</v>
      </c>
      <c r="B554" s="707"/>
      <c r="C554" s="707"/>
      <c r="D554" s="707"/>
      <c r="E554" s="707"/>
      <c r="F554" s="707"/>
      <c r="G554" s="707"/>
      <c r="H554" s="707"/>
      <c r="I554" s="707"/>
      <c r="J554" s="707"/>
      <c r="K554" s="707"/>
      <c r="L554" s="707"/>
      <c r="M554" s="707"/>
      <c r="N554" s="707"/>
      <c r="O554" s="707"/>
      <c r="P554" s="707"/>
      <c r="Q554" s="707"/>
      <c r="R554" s="707"/>
      <c r="S554" s="707"/>
      <c r="T554" s="707"/>
      <c r="U554" s="707"/>
      <c r="V554" s="707"/>
      <c r="W554" s="707"/>
      <c r="X554" s="707"/>
      <c r="Y554" s="707"/>
      <c r="Z554" s="707"/>
      <c r="AA554" s="63"/>
      <c r="AB554" s="63"/>
      <c r="AC554" s="63"/>
    </row>
    <row r="555" spans="1:68" ht="27" hidden="1" customHeight="1" x14ac:dyDescent="0.25">
      <c r="A555" s="60" t="s">
        <v>862</v>
      </c>
      <c r="B555" s="60" t="s">
        <v>863</v>
      </c>
      <c r="C555" s="34">
        <v>4301060543</v>
      </c>
      <c r="D555" s="708">
        <v>4680115889804</v>
      </c>
      <c r="E555" s="70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135</v>
      </c>
      <c r="L555" s="35" t="s">
        <v>46</v>
      </c>
      <c r="M555" s="36" t="s">
        <v>87</v>
      </c>
      <c r="N555" s="36"/>
      <c r="O555" s="35">
        <v>40</v>
      </c>
      <c r="P555" s="99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0"/>
      <c r="R555" s="710"/>
      <c r="S555" s="710"/>
      <c r="T555" s="71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31" t="s">
        <v>864</v>
      </c>
      <c r="AG555" s="75"/>
      <c r="AJ555" s="79" t="s">
        <v>46</v>
      </c>
      <c r="AK555" s="79">
        <v>0</v>
      </c>
      <c r="BB555" s="63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865</v>
      </c>
      <c r="B556" s="60" t="s">
        <v>866</v>
      </c>
      <c r="C556" s="34">
        <v>4301060544</v>
      </c>
      <c r="D556" s="708">
        <v>4680115889828</v>
      </c>
      <c r="E556" s="70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135</v>
      </c>
      <c r="L556" s="35" t="s">
        <v>46</v>
      </c>
      <c r="M556" s="36" t="s">
        <v>87</v>
      </c>
      <c r="N556" s="36"/>
      <c r="O556" s="35">
        <v>40</v>
      </c>
      <c r="P556" s="992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0"/>
      <c r="R556" s="710"/>
      <c r="S556" s="710"/>
      <c r="T556" s="71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33" t="s">
        <v>867</v>
      </c>
      <c r="AG556" s="75"/>
      <c r="AJ556" s="79" t="s">
        <v>46</v>
      </c>
      <c r="AK556" s="79">
        <v>0</v>
      </c>
      <c r="BB556" s="63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15"/>
      <c r="B557" s="715"/>
      <c r="C557" s="715"/>
      <c r="D557" s="715"/>
      <c r="E557" s="715"/>
      <c r="F557" s="715"/>
      <c r="G557" s="715"/>
      <c r="H557" s="715"/>
      <c r="I557" s="715"/>
      <c r="J557" s="715"/>
      <c r="K557" s="715"/>
      <c r="L557" s="715"/>
      <c r="M557" s="715"/>
      <c r="N557" s="715"/>
      <c r="O557" s="716"/>
      <c r="P557" s="712" t="s">
        <v>40</v>
      </c>
      <c r="Q557" s="713"/>
      <c r="R557" s="713"/>
      <c r="S557" s="713"/>
      <c r="T557" s="713"/>
      <c r="U557" s="713"/>
      <c r="V557" s="714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715"/>
      <c r="B558" s="715"/>
      <c r="C558" s="715"/>
      <c r="D558" s="715"/>
      <c r="E558" s="715"/>
      <c r="F558" s="715"/>
      <c r="G558" s="715"/>
      <c r="H558" s="715"/>
      <c r="I558" s="715"/>
      <c r="J558" s="715"/>
      <c r="K558" s="715"/>
      <c r="L558" s="715"/>
      <c r="M558" s="715"/>
      <c r="N558" s="715"/>
      <c r="O558" s="716"/>
      <c r="P558" s="712" t="s">
        <v>40</v>
      </c>
      <c r="Q558" s="713"/>
      <c r="R558" s="713"/>
      <c r="S558" s="713"/>
      <c r="T558" s="713"/>
      <c r="U558" s="713"/>
      <c r="V558" s="714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706" t="s">
        <v>868</v>
      </c>
      <c r="B559" s="706"/>
      <c r="C559" s="706"/>
      <c r="D559" s="706"/>
      <c r="E559" s="706"/>
      <c r="F559" s="706"/>
      <c r="G559" s="706"/>
      <c r="H559" s="706"/>
      <c r="I559" s="706"/>
      <c r="J559" s="706"/>
      <c r="K559" s="706"/>
      <c r="L559" s="706"/>
      <c r="M559" s="706"/>
      <c r="N559" s="706"/>
      <c r="O559" s="706"/>
      <c r="P559" s="706"/>
      <c r="Q559" s="706"/>
      <c r="R559" s="706"/>
      <c r="S559" s="706"/>
      <c r="T559" s="706"/>
      <c r="U559" s="706"/>
      <c r="V559" s="706"/>
      <c r="W559" s="706"/>
      <c r="X559" s="706"/>
      <c r="Y559" s="706"/>
      <c r="Z559" s="706"/>
      <c r="AA559" s="62"/>
      <c r="AB559" s="62"/>
      <c r="AC559" s="62"/>
    </row>
    <row r="560" spans="1:68" ht="14.25" hidden="1" customHeight="1" x14ac:dyDescent="0.25">
      <c r="A560" s="707" t="s">
        <v>165</v>
      </c>
      <c r="B560" s="707"/>
      <c r="C560" s="707"/>
      <c r="D560" s="707"/>
      <c r="E560" s="707"/>
      <c r="F560" s="707"/>
      <c r="G560" s="707"/>
      <c r="H560" s="707"/>
      <c r="I560" s="707"/>
      <c r="J560" s="707"/>
      <c r="K560" s="707"/>
      <c r="L560" s="707"/>
      <c r="M560" s="707"/>
      <c r="N560" s="707"/>
      <c r="O560" s="707"/>
      <c r="P560" s="707"/>
      <c r="Q560" s="707"/>
      <c r="R560" s="707"/>
      <c r="S560" s="707"/>
      <c r="T560" s="707"/>
      <c r="U560" s="707"/>
      <c r="V560" s="707"/>
      <c r="W560" s="707"/>
      <c r="X560" s="707"/>
      <c r="Y560" s="707"/>
      <c r="Z560" s="707"/>
      <c r="AA560" s="63"/>
      <c r="AB560" s="63"/>
      <c r="AC560" s="63"/>
    </row>
    <row r="561" spans="1:68" ht="27" hidden="1" customHeight="1" x14ac:dyDescent="0.25">
      <c r="A561" s="60" t="s">
        <v>869</v>
      </c>
      <c r="B561" s="60" t="s">
        <v>870</v>
      </c>
      <c r="C561" s="34">
        <v>4301020441</v>
      </c>
      <c r="D561" s="708">
        <v>4680115889798</v>
      </c>
      <c r="E561" s="70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135</v>
      </c>
      <c r="L561" s="35" t="s">
        <v>46</v>
      </c>
      <c r="M561" s="36" t="s">
        <v>134</v>
      </c>
      <c r="N561" s="36"/>
      <c r="O561" s="35">
        <v>50</v>
      </c>
      <c r="P561" s="99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0"/>
      <c r="R561" s="710"/>
      <c r="S561" s="710"/>
      <c r="T561" s="71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35" t="s">
        <v>871</v>
      </c>
      <c r="AG561" s="75"/>
      <c r="AJ561" s="79" t="s">
        <v>46</v>
      </c>
      <c r="AK561" s="79">
        <v>0</v>
      </c>
      <c r="BB561" s="63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15"/>
      <c r="B562" s="715"/>
      <c r="C562" s="715"/>
      <c r="D562" s="715"/>
      <c r="E562" s="715"/>
      <c r="F562" s="715"/>
      <c r="G562" s="715"/>
      <c r="H562" s="715"/>
      <c r="I562" s="715"/>
      <c r="J562" s="715"/>
      <c r="K562" s="715"/>
      <c r="L562" s="715"/>
      <c r="M562" s="715"/>
      <c r="N562" s="715"/>
      <c r="O562" s="716"/>
      <c r="P562" s="712" t="s">
        <v>40</v>
      </c>
      <c r="Q562" s="713"/>
      <c r="R562" s="713"/>
      <c r="S562" s="713"/>
      <c r="T562" s="713"/>
      <c r="U562" s="713"/>
      <c r="V562" s="714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15"/>
      <c r="B563" s="715"/>
      <c r="C563" s="715"/>
      <c r="D563" s="715"/>
      <c r="E563" s="715"/>
      <c r="F563" s="715"/>
      <c r="G563" s="715"/>
      <c r="H563" s="715"/>
      <c r="I563" s="715"/>
      <c r="J563" s="715"/>
      <c r="K563" s="715"/>
      <c r="L563" s="715"/>
      <c r="M563" s="715"/>
      <c r="N563" s="715"/>
      <c r="O563" s="716"/>
      <c r="P563" s="712" t="s">
        <v>40</v>
      </c>
      <c r="Q563" s="713"/>
      <c r="R563" s="713"/>
      <c r="S563" s="713"/>
      <c r="T563" s="713"/>
      <c r="U563" s="713"/>
      <c r="V563" s="714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15"/>
      <c r="B564" s="715"/>
      <c r="C564" s="715"/>
      <c r="D564" s="715"/>
      <c r="E564" s="715"/>
      <c r="F564" s="715"/>
      <c r="G564" s="715"/>
      <c r="H564" s="715"/>
      <c r="I564" s="715"/>
      <c r="J564" s="715"/>
      <c r="K564" s="715"/>
      <c r="L564" s="715"/>
      <c r="M564" s="715"/>
      <c r="N564" s="715"/>
      <c r="O564" s="998"/>
      <c r="P564" s="995" t="s">
        <v>33</v>
      </c>
      <c r="Q564" s="996"/>
      <c r="R564" s="996"/>
      <c r="S564" s="996"/>
      <c r="T564" s="996"/>
      <c r="U564" s="996"/>
      <c r="V564" s="997"/>
      <c r="W564" s="40" t="s">
        <v>0</v>
      </c>
      <c r="X564" s="41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17600</v>
      </c>
      <c r="Y564" s="41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17768.859999999997</v>
      </c>
      <c r="Z564" s="40"/>
      <c r="AA564" s="64"/>
      <c r="AB564" s="64"/>
      <c r="AC564" s="64"/>
    </row>
    <row r="565" spans="1:68" x14ac:dyDescent="0.2">
      <c r="A565" s="715"/>
      <c r="B565" s="715"/>
      <c r="C565" s="715"/>
      <c r="D565" s="715"/>
      <c r="E565" s="715"/>
      <c r="F565" s="715"/>
      <c r="G565" s="715"/>
      <c r="H565" s="715"/>
      <c r="I565" s="715"/>
      <c r="J565" s="715"/>
      <c r="K565" s="715"/>
      <c r="L565" s="715"/>
      <c r="M565" s="715"/>
      <c r="N565" s="715"/>
      <c r="O565" s="998"/>
      <c r="P565" s="995" t="s">
        <v>34</v>
      </c>
      <c r="Q565" s="996"/>
      <c r="R565" s="996"/>
      <c r="S565" s="996"/>
      <c r="T565" s="996"/>
      <c r="U565" s="996"/>
      <c r="V565" s="997"/>
      <c r="W565" s="40" t="s">
        <v>0</v>
      </c>
      <c r="X565" s="41">
        <f>IFERROR(SUM(BM22:BM561),"0")</f>
        <v>18808.83035433702</v>
      </c>
      <c r="Y565" s="41">
        <f>IFERROR(SUM(BN22:BN561),"0")</f>
        <v>18988.610000000011</v>
      </c>
      <c r="Z565" s="40"/>
      <c r="AA565" s="64"/>
      <c r="AB565" s="64"/>
      <c r="AC565" s="64"/>
    </row>
    <row r="566" spans="1:68" x14ac:dyDescent="0.2">
      <c r="A566" s="715"/>
      <c r="B566" s="715"/>
      <c r="C566" s="715"/>
      <c r="D566" s="715"/>
      <c r="E566" s="715"/>
      <c r="F566" s="715"/>
      <c r="G566" s="715"/>
      <c r="H566" s="715"/>
      <c r="I566" s="715"/>
      <c r="J566" s="715"/>
      <c r="K566" s="715"/>
      <c r="L566" s="715"/>
      <c r="M566" s="715"/>
      <c r="N566" s="715"/>
      <c r="O566" s="998"/>
      <c r="P566" s="995" t="s">
        <v>35</v>
      </c>
      <c r="Q566" s="996"/>
      <c r="R566" s="996"/>
      <c r="S566" s="996"/>
      <c r="T566" s="996"/>
      <c r="U566" s="996"/>
      <c r="V566" s="997"/>
      <c r="W566" s="40" t="s">
        <v>20</v>
      </c>
      <c r="X566" s="42">
        <f>ROUNDUP(SUM(BO22:BO561),0)</f>
        <v>32</v>
      </c>
      <c r="Y566" s="42">
        <f>ROUNDUP(SUM(BP22:BP561),0)</f>
        <v>33</v>
      </c>
      <c r="Z566" s="40"/>
      <c r="AA566" s="64"/>
      <c r="AB566" s="64"/>
      <c r="AC566" s="64"/>
    </row>
    <row r="567" spans="1:68" x14ac:dyDescent="0.2">
      <c r="A567" s="715"/>
      <c r="B567" s="715"/>
      <c r="C567" s="715"/>
      <c r="D567" s="715"/>
      <c r="E567" s="715"/>
      <c r="F567" s="715"/>
      <c r="G567" s="715"/>
      <c r="H567" s="715"/>
      <c r="I567" s="715"/>
      <c r="J567" s="715"/>
      <c r="K567" s="715"/>
      <c r="L567" s="715"/>
      <c r="M567" s="715"/>
      <c r="N567" s="715"/>
      <c r="O567" s="998"/>
      <c r="P567" s="995" t="s">
        <v>36</v>
      </c>
      <c r="Q567" s="996"/>
      <c r="R567" s="996"/>
      <c r="S567" s="996"/>
      <c r="T567" s="996"/>
      <c r="U567" s="996"/>
      <c r="V567" s="997"/>
      <c r="W567" s="40" t="s">
        <v>0</v>
      </c>
      <c r="X567" s="41">
        <f>GrossWeightTotal+PalletQtyTotal*25</f>
        <v>19608.83035433702</v>
      </c>
      <c r="Y567" s="41">
        <f>GrossWeightTotalR+PalletQtyTotalR*25</f>
        <v>19813.610000000011</v>
      </c>
      <c r="Z567" s="40"/>
      <c r="AA567" s="64"/>
      <c r="AB567" s="64"/>
      <c r="AC567" s="64"/>
    </row>
    <row r="568" spans="1:68" x14ac:dyDescent="0.2">
      <c r="A568" s="715"/>
      <c r="B568" s="715"/>
      <c r="C568" s="715"/>
      <c r="D568" s="715"/>
      <c r="E568" s="715"/>
      <c r="F568" s="715"/>
      <c r="G568" s="715"/>
      <c r="H568" s="715"/>
      <c r="I568" s="715"/>
      <c r="J568" s="715"/>
      <c r="K568" s="715"/>
      <c r="L568" s="715"/>
      <c r="M568" s="715"/>
      <c r="N568" s="715"/>
      <c r="O568" s="998"/>
      <c r="P568" s="995" t="s">
        <v>37</v>
      </c>
      <c r="Q568" s="996"/>
      <c r="R568" s="996"/>
      <c r="S568" s="996"/>
      <c r="T568" s="996"/>
      <c r="U568" s="996"/>
      <c r="V568" s="997"/>
      <c r="W568" s="40" t="s">
        <v>20</v>
      </c>
      <c r="X568" s="41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3741.9443457776792</v>
      </c>
      <c r="Y568" s="41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3772</v>
      </c>
      <c r="Z568" s="40"/>
      <c r="AA568" s="64"/>
      <c r="AB568" s="64"/>
      <c r="AC568" s="64"/>
    </row>
    <row r="569" spans="1:68" ht="14.25" hidden="1" x14ac:dyDescent="0.2">
      <c r="A569" s="715"/>
      <c r="B569" s="715"/>
      <c r="C569" s="715"/>
      <c r="D569" s="715"/>
      <c r="E569" s="715"/>
      <c r="F569" s="715"/>
      <c r="G569" s="715"/>
      <c r="H569" s="715"/>
      <c r="I569" s="715"/>
      <c r="J569" s="715"/>
      <c r="K569" s="715"/>
      <c r="L569" s="715"/>
      <c r="M569" s="715"/>
      <c r="N569" s="715"/>
      <c r="O569" s="998"/>
      <c r="P569" s="995" t="s">
        <v>38</v>
      </c>
      <c r="Q569" s="996"/>
      <c r="R569" s="996"/>
      <c r="S569" s="996"/>
      <c r="T569" s="996"/>
      <c r="U569" s="996"/>
      <c r="V569" s="997"/>
      <c r="W569" s="43" t="s">
        <v>52</v>
      </c>
      <c r="X569" s="40"/>
      <c r="Y569" s="40"/>
      <c r="Z569" s="40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37.071480000000001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993" t="s">
        <v>128</v>
      </c>
      <c r="E571" s="993" t="s">
        <v>128</v>
      </c>
      <c r="F571" s="993" t="s">
        <v>128</v>
      </c>
      <c r="G571" s="993" t="s">
        <v>128</v>
      </c>
      <c r="H571" s="993" t="s">
        <v>128</v>
      </c>
      <c r="I571" s="993" t="s">
        <v>128</v>
      </c>
      <c r="J571" s="993" t="s">
        <v>128</v>
      </c>
      <c r="K571" s="993" t="s">
        <v>343</v>
      </c>
      <c r="L571" s="993" t="s">
        <v>343</v>
      </c>
      <c r="M571" s="993" t="s">
        <v>343</v>
      </c>
      <c r="N571" s="999"/>
      <c r="O571" s="993" t="s">
        <v>343</v>
      </c>
      <c r="P571" s="993" t="s">
        <v>343</v>
      </c>
      <c r="Q571" s="993" t="s">
        <v>343</v>
      </c>
      <c r="R571" s="993" t="s">
        <v>343</v>
      </c>
      <c r="S571" s="993" t="s">
        <v>343</v>
      </c>
      <c r="T571" s="993" t="s">
        <v>343</v>
      </c>
      <c r="U571" s="993" t="s">
        <v>343</v>
      </c>
      <c r="V571" s="993" t="s">
        <v>343</v>
      </c>
      <c r="W571" s="993" t="s">
        <v>343</v>
      </c>
      <c r="X571" s="993" t="s">
        <v>707</v>
      </c>
      <c r="Y571" s="993" t="s">
        <v>707</v>
      </c>
      <c r="Z571" s="993" t="s">
        <v>773</v>
      </c>
      <c r="AA571" s="993" t="s">
        <v>773</v>
      </c>
      <c r="AB571" s="80" t="s">
        <v>806</v>
      </c>
      <c r="AC571" s="993" t="s">
        <v>850</v>
      </c>
      <c r="AD571" s="993" t="s">
        <v>850</v>
      </c>
      <c r="AF571" s="1"/>
    </row>
    <row r="572" spans="1:68" ht="14.25" customHeight="1" thickTop="1" x14ac:dyDescent="0.2">
      <c r="A572" s="1000" t="s">
        <v>10</v>
      </c>
      <c r="B572" s="993" t="s">
        <v>76</v>
      </c>
      <c r="C572" s="993" t="s">
        <v>112</v>
      </c>
      <c r="D572" s="993" t="s">
        <v>129</v>
      </c>
      <c r="E572" s="993" t="s">
        <v>145</v>
      </c>
      <c r="F572" s="993" t="s">
        <v>191</v>
      </c>
      <c r="G572" s="993" t="s">
        <v>215</v>
      </c>
      <c r="H572" s="993" t="s">
        <v>257</v>
      </c>
      <c r="I572" s="993" t="s">
        <v>270</v>
      </c>
      <c r="J572" s="993" t="s">
        <v>128</v>
      </c>
      <c r="K572" s="993" t="s">
        <v>344</v>
      </c>
      <c r="L572" s="993" t="s">
        <v>365</v>
      </c>
      <c r="M572" s="993" t="s">
        <v>429</v>
      </c>
      <c r="N572" s="1"/>
      <c r="O572" s="993" t="s">
        <v>495</v>
      </c>
      <c r="P572" s="993" t="s">
        <v>530</v>
      </c>
      <c r="Q572" s="993" t="s">
        <v>552</v>
      </c>
      <c r="R572" s="993" t="s">
        <v>561</v>
      </c>
      <c r="S572" s="993" t="s">
        <v>583</v>
      </c>
      <c r="T572" s="993" t="s">
        <v>590</v>
      </c>
      <c r="U572" s="993" t="s">
        <v>599</v>
      </c>
      <c r="V572" s="993" t="s">
        <v>685</v>
      </c>
      <c r="W572" s="993" t="s">
        <v>697</v>
      </c>
      <c r="X572" s="993" t="s">
        <v>708</v>
      </c>
      <c r="Y572" s="993" t="s">
        <v>757</v>
      </c>
      <c r="Z572" s="993" t="s">
        <v>774</v>
      </c>
      <c r="AA572" s="993" t="s">
        <v>794</v>
      </c>
      <c r="AB572" s="993" t="s">
        <v>806</v>
      </c>
      <c r="AC572" s="993" t="s">
        <v>850</v>
      </c>
      <c r="AD572" s="993" t="s">
        <v>868</v>
      </c>
      <c r="AF572" s="1"/>
    </row>
    <row r="573" spans="1:68" ht="13.5" thickBot="1" x14ac:dyDescent="0.25">
      <c r="A573" s="1001"/>
      <c r="B573" s="993"/>
      <c r="C573" s="993"/>
      <c r="D573" s="993"/>
      <c r="E573" s="993"/>
      <c r="F573" s="993"/>
      <c r="G573" s="993"/>
      <c r="H573" s="993"/>
      <c r="I573" s="993"/>
      <c r="J573" s="993"/>
      <c r="K573" s="993"/>
      <c r="L573" s="993"/>
      <c r="M573" s="993"/>
      <c r="N573" s="1"/>
      <c r="O573" s="993"/>
      <c r="P573" s="993"/>
      <c r="Q573" s="993"/>
      <c r="R573" s="993"/>
      <c r="S573" s="993"/>
      <c r="T573" s="993"/>
      <c r="U573" s="993"/>
      <c r="V573" s="993"/>
      <c r="W573" s="993"/>
      <c r="X573" s="993"/>
      <c r="Y573" s="993"/>
      <c r="Z573" s="993"/>
      <c r="AA573" s="993"/>
      <c r="AB573" s="993"/>
      <c r="AC573" s="993"/>
      <c r="AD573" s="993"/>
      <c r="AF573" s="1"/>
    </row>
    <row r="574" spans="1:68" ht="18" thickTop="1" thickBot="1" x14ac:dyDescent="0.25">
      <c r="A574" s="44" t="s">
        <v>13</v>
      </c>
      <c r="B574" s="50">
        <f>IFERROR(Y22*1,"0")+IFERROR(Y26*1,"0")+IFERROR(Y27*1,"0")+IFERROR(Y28*1,"0")+IFERROR(Y29*1,"0")+IFERROR(Y30*1,"0")+IFERROR(Y34*1,"0")+IFERROR(Y35*1,"0")</f>
        <v>0</v>
      </c>
      <c r="C574" s="50">
        <f>IFERROR(Y41*1,"0")+IFERROR(Y42*1,"0")+IFERROR(Y43*1,"0")+IFERROR(Y44*1,"0")+IFERROR(Y45*1,"0")</f>
        <v>0</v>
      </c>
      <c r="D574" s="50">
        <f>IFERROR(Y51*1,"0")+IFERROR(Y52*1,"0")+IFERROR(Y53*1,"0")+IFERROR(Y54*1,"0")</f>
        <v>351.20000000000005</v>
      </c>
      <c r="E57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536.40000000000009</v>
      </c>
      <c r="F574" s="50">
        <f>IFERROR(Y89*1,"0")+IFERROR(Y90*1,"0")+IFERROR(Y91*1,"0")+IFERROR(Y92*1,"0")+IFERROR(Y93*1,"0")+IFERROR(Y94*1,"0")+IFERROR(Y98*1,"0")+IFERROR(Y99*1,"0")+IFERROR(Y100*1,"0")+IFERROR(Y101*1,"0")</f>
        <v>1078.1999999999998</v>
      </c>
      <c r="G574" s="50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1311.48</v>
      </c>
      <c r="H574" s="50">
        <f>IFERROR(Y135*1,"0")+IFERROR(Y136*1,"0")+IFERROR(Y140*1,"0")+IFERROR(Y141*1,"0")+IFERROR(Y145*1,"0")+IFERROR(Y146*1,"0")</f>
        <v>161.76</v>
      </c>
      <c r="I574" s="50">
        <f>IFERROR(Y151*1,"0")+IFERROR(Y152*1,"0")+IFERROR(Y153*1,"0")+IFERROR(Y154*1,"0")+IFERROR(Y158*1,"0")</f>
        <v>0</v>
      </c>
      <c r="J574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967.11999999999989</v>
      </c>
      <c r="K574" s="50">
        <f>IFERROR(Y203*1,"0")+IFERROR(Y204*1,"0")+IFERROR(Y205*1,"0")+IFERROR(Y206*1,"0")+IFERROR(Y207*1,"0")+IFERROR(Y208*1,"0")+IFERROR(Y209*1,"0")</f>
        <v>0</v>
      </c>
      <c r="L574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493.5</v>
      </c>
      <c r="M574" s="50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1888.7999999999997</v>
      </c>
      <c r="N574" s="1"/>
      <c r="O574" s="50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28</v>
      </c>
      <c r="P574" s="50">
        <f>IFERROR(Y321*1,"0")+IFERROR(Y322*1,"0")+IFERROR(Y323*1,"0")+IFERROR(Y324*1,"0")+IFERROR(Y325*1,"0")+IFERROR(Y326*1,"0")+IFERROR(Y327*1,"0")</f>
        <v>0</v>
      </c>
      <c r="Q574" s="50">
        <f>IFERROR(Y332*1,"0")+IFERROR(Y333*1,"0")+IFERROR(Y334*1,"0")</f>
        <v>283.2</v>
      </c>
      <c r="R574" s="50">
        <f>IFERROR(Y339*1,"0")+IFERROR(Y340*1,"0")+IFERROR(Y341*1,"0")+IFERROR(Y342*1,"0")+IFERROR(Y346*1,"0")+IFERROR(Y347*1,"0")+IFERROR(Y348*1,"0")</f>
        <v>0</v>
      </c>
      <c r="S574" s="50">
        <f>IFERROR(Y353*1,"0")+IFERROR(Y357*1,"0")</f>
        <v>0</v>
      </c>
      <c r="T574" s="50">
        <f>IFERROR(Y362*1,"0")+IFERROR(Y363*1,"0")+IFERROR(Y364*1,"0")</f>
        <v>538.19999999999993</v>
      </c>
      <c r="U574" s="50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907.80000000000007</v>
      </c>
      <c r="V574" s="50">
        <f>IFERROR(Y422*1,"0")+IFERROR(Y423*1,"0")+IFERROR(Y424*1,"0")+IFERROR(Y425*1,"0")</f>
        <v>0</v>
      </c>
      <c r="W574" s="50">
        <f>IFERROR(Y430*1,"0")+IFERROR(Y431*1,"0")+IFERROR(Y432*1,"0")</f>
        <v>1226.4000000000001</v>
      </c>
      <c r="X574" s="50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5775</v>
      </c>
      <c r="Y574" s="50">
        <f>IFERROR(Y467*1,"0")+IFERROR(Y468*1,"0")+IFERROR(Y472*1,"0")+IFERROR(Y476*1,"0")+IFERROR(Y477*1,"0")+IFERROR(Y478*1,"0")</f>
        <v>0</v>
      </c>
      <c r="Z574" s="50">
        <f>IFERROR(Y484*1,"0")+IFERROR(Y485*1,"0")+IFERROR(Y486*1,"0")+IFERROR(Y487*1,"0")+IFERROR(Y488*1,"0")+IFERROR(Y489*1,"0")+IFERROR(Y493*1,"0")</f>
        <v>0</v>
      </c>
      <c r="AA574" s="50">
        <f>IFERROR(Y498*1,"0")+IFERROR(Y502*1,"0")+IFERROR(Y503*1,"0")+IFERROR(Y504*1,"0")</f>
        <v>0</v>
      </c>
      <c r="AB574" s="50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1480.7999999999997</v>
      </c>
      <c r="AC574" s="50">
        <f>IFERROR(Y539*1,"0")+IFERROR(Y543*1,"0")+IFERROR(Y547*1,"0")+IFERROR(Y551*1,"0")+IFERROR(Y555*1,"0")+IFERROR(Y556*1,"0")</f>
        <v>741</v>
      </c>
      <c r="AD574" s="50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00,00"/>
        <filter val="1 180,00"/>
        <filter val="1 225,00"/>
        <filter val="1 600,00"/>
        <filter val="1 650,00"/>
        <filter val="100,00"/>
        <filter val="105,00"/>
        <filter val="112,00"/>
        <filter val="116,67"/>
        <filter val="12,50"/>
        <filter val="120,00"/>
        <filter val="121,97"/>
        <filter val="15,15"/>
        <filter val="150,00"/>
        <filter val="17 600,00"/>
        <filter val="175,00"/>
        <filter val="177,16"/>
        <filter val="18 808,83"/>
        <filter val="18,00"/>
        <filter val="18,94"/>
        <filter val="180,00"/>
        <filter val="186,30"/>
        <filter val="19 608,83"/>
        <filter val="20,00"/>
        <filter val="200,00"/>
        <filter val="200,95"/>
        <filter val="220,00"/>
        <filter val="235,00"/>
        <filter val="240,00"/>
        <filter val="242,72"/>
        <filter val="25,00"/>
        <filter val="250,00"/>
        <filter val="28,00"/>
        <filter val="280,00"/>
        <filter val="3 741,94"/>
        <filter val="30,00"/>
        <filter val="300,00"/>
        <filter val="310,00"/>
        <filter val="315,00"/>
        <filter val="32"/>
        <filter val="320,00"/>
        <filter val="350,00"/>
        <filter val="36,00"/>
        <filter val="360,00"/>
        <filter val="369,05"/>
        <filter val="372,00"/>
        <filter val="375,00"/>
        <filter val="38,89"/>
        <filter val="4 650,00"/>
        <filter val="40,00"/>
        <filter val="400,00"/>
        <filter val="403,70"/>
        <filter val="405,00"/>
        <filter val="440,00"/>
        <filter val="470,00"/>
        <filter val="487,00"/>
        <filter val="495,00"/>
        <filter val="50,00"/>
        <filter val="520,00"/>
        <filter val="580,00"/>
        <filter val="583,33"/>
        <filter val="60,00"/>
        <filter val="620,00"/>
        <filter val="622,00"/>
        <filter val="625,00"/>
        <filter val="63,89"/>
        <filter val="64,44"/>
        <filter val="66,67"/>
        <filter val="660,00"/>
        <filter val="7,00"/>
        <filter val="70,00"/>
        <filter val="71,82"/>
        <filter val="72,00"/>
        <filter val="73,33"/>
        <filter val="75,56"/>
        <filter val="77,00"/>
        <filter val="80,00"/>
        <filter val="81,78"/>
        <filter val="84,00"/>
        <filter val="87,41"/>
        <filter val="90,00"/>
        <filter val="913,00"/>
        <filter val="93,56"/>
        <filter val="958,0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9" spans="2:8" x14ac:dyDescent="0.2">
      <c r="B9" s="51" t="s">
        <v>881</v>
      </c>
      <c r="C9" s="51" t="s">
        <v>876</v>
      </c>
      <c r="D9" s="51" t="s">
        <v>46</v>
      </c>
      <c r="E9" s="51" t="s">
        <v>46</v>
      </c>
    </row>
    <row r="11" spans="2:8" x14ac:dyDescent="0.2">
      <c r="B11" s="51" t="s">
        <v>881</v>
      </c>
      <c r="C11" s="51" t="s">
        <v>879</v>
      </c>
      <c r="D11" s="51" t="s">
        <v>46</v>
      </c>
      <c r="E11" s="51" t="s">
        <v>46</v>
      </c>
    </row>
    <row r="13" spans="2:8" x14ac:dyDescent="0.2">
      <c r="B13" s="51" t="s">
        <v>882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883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884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885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886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887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888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889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890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891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892</v>
      </c>
      <c r="C23" s="51" t="s">
        <v>46</v>
      </c>
      <c r="D23" s="51" t="s">
        <v>46</v>
      </c>
      <c r="E23" s="51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