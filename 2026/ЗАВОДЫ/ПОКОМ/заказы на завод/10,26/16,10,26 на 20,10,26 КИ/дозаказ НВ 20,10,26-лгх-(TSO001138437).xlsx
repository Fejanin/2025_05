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ED304D-5C6A-427E-AD48-04BA7405E695}" xr6:coauthVersionLast="47" xr6:coauthVersionMax="47" xr10:uidLastSave="{00000000-0000-0000-0000-000000000000}"/>
  <bookViews>
    <workbookView xWindow="75" yWindow="0" windowWidth="2686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O547" i="2"/>
  <c r="BN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P402" i="2"/>
  <c r="BO402" i="2"/>
  <c r="BN402" i="2"/>
  <c r="BM402" i="2"/>
  <c r="Z402" i="2"/>
  <c r="Y402" i="2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Z339" i="2"/>
  <c r="Y339" i="2"/>
  <c r="BN339" i="2" s="1"/>
  <c r="P339" i="2"/>
  <c r="X336" i="2"/>
  <c r="X335" i="2"/>
  <c r="BO334" i="2"/>
  <c r="BN334" i="2"/>
  <c r="BM334" i="2"/>
  <c r="Z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P313" i="2"/>
  <c r="Y311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Y261" i="2" s="1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O175" i="2"/>
  <c r="BN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Z130" i="2" s="1"/>
  <c r="Z131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P124" i="2"/>
  <c r="BP123" i="2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P106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P91" i="2"/>
  <c r="BO91" i="2"/>
  <c r="BN91" i="2"/>
  <c r="BM91" i="2"/>
  <c r="Z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P60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N27" i="2"/>
  <c r="BM27" i="2"/>
  <c r="Y27" i="2"/>
  <c r="BP27" i="2" s="1"/>
  <c r="P27" i="2"/>
  <c r="BO26" i="2"/>
  <c r="BM26" i="2"/>
  <c r="Y26" i="2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Y194" i="2" l="1"/>
  <c r="Z326" i="2"/>
  <c r="Z45" i="2"/>
  <c r="Z27" i="2"/>
  <c r="Y131" i="2"/>
  <c r="Z175" i="2"/>
  <c r="Z547" i="2"/>
  <c r="Z548" i="2" s="1"/>
  <c r="BP547" i="2"/>
  <c r="Z63" i="2"/>
  <c r="Z158" i="2"/>
  <c r="Z159" i="2" s="1"/>
  <c r="Z259" i="2"/>
  <c r="Z370" i="2"/>
  <c r="BN26" i="2"/>
  <c r="BP26" i="2"/>
  <c r="BP78" i="2"/>
  <c r="Z78" i="2"/>
  <c r="BP84" i="2"/>
  <c r="BN84" i="2"/>
  <c r="Z84" i="2"/>
  <c r="BN112" i="2"/>
  <c r="BN124" i="2"/>
  <c r="Z124" i="2"/>
  <c r="BN154" i="2"/>
  <c r="BN176" i="2"/>
  <c r="BP176" i="2"/>
  <c r="BN181" i="2"/>
  <c r="BN207" i="2"/>
  <c r="BN230" i="2"/>
  <c r="BN237" i="2"/>
  <c r="BN269" i="2"/>
  <c r="BN296" i="2"/>
  <c r="BP314" i="2"/>
  <c r="BN314" i="2"/>
  <c r="Z314" i="2"/>
  <c r="BN316" i="2"/>
  <c r="Z316" i="2"/>
  <c r="BN372" i="2"/>
  <c r="BP384" i="2"/>
  <c r="BN384" i="2"/>
  <c r="Z384" i="2"/>
  <c r="BN392" i="2"/>
  <c r="Z392" i="2"/>
  <c r="BN29" i="2"/>
  <c r="Y68" i="2"/>
  <c r="BN60" i="2"/>
  <c r="Z60" i="2"/>
  <c r="BN92" i="2"/>
  <c r="BN108" i="2"/>
  <c r="BP124" i="2"/>
  <c r="BN126" i="2"/>
  <c r="BP141" i="2"/>
  <c r="Z141" i="2"/>
  <c r="BP151" i="2"/>
  <c r="Z151" i="2"/>
  <c r="BN188" i="2"/>
  <c r="BP188" i="2"/>
  <c r="BN220" i="2"/>
  <c r="BN276" i="2"/>
  <c r="BP276" i="2"/>
  <c r="BN281" i="2"/>
  <c r="BP305" i="2"/>
  <c r="Y307" i="2"/>
  <c r="BP316" i="2"/>
  <c r="BN323" i="2"/>
  <c r="BN327" i="2"/>
  <c r="BP346" i="2"/>
  <c r="BN346" i="2"/>
  <c r="Z346" i="2"/>
  <c r="BN364" i="2"/>
  <c r="BN382" i="2"/>
  <c r="Z382" i="2"/>
  <c r="BP392" i="2"/>
  <c r="BP396" i="2"/>
  <c r="BN396" i="2"/>
  <c r="BN404" i="2"/>
  <c r="BN441" i="2"/>
  <c r="BP451" i="2"/>
  <c r="BN484" i="2"/>
  <c r="AA574" i="2"/>
  <c r="BN516" i="2"/>
  <c r="BN533" i="2"/>
  <c r="BP45" i="2"/>
  <c r="BN52" i="2"/>
  <c r="BN82" i="2"/>
  <c r="BN93" i="2"/>
  <c r="BN109" i="2"/>
  <c r="BN116" i="2"/>
  <c r="BN130" i="2"/>
  <c r="BN146" i="2"/>
  <c r="BN177" i="2"/>
  <c r="BN184" i="2"/>
  <c r="BN193" i="2"/>
  <c r="BN205" i="2"/>
  <c r="BN227" i="2"/>
  <c r="BN238" i="2"/>
  <c r="BP259" i="2"/>
  <c r="BN260" i="2"/>
  <c r="Y262" i="2"/>
  <c r="BN265" i="2"/>
  <c r="BN275" i="2"/>
  <c r="BN279" i="2"/>
  <c r="BN300" i="2"/>
  <c r="BN315" i="2"/>
  <c r="BP339" i="2"/>
  <c r="BN341" i="2"/>
  <c r="BN347" i="2"/>
  <c r="BP370" i="2"/>
  <c r="BN380" i="2"/>
  <c r="BN390" i="2"/>
  <c r="BN416" i="2"/>
  <c r="BN430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X565" i="2"/>
  <c r="Z29" i="2"/>
  <c r="BN42" i="2"/>
  <c r="Z52" i="2"/>
  <c r="Z77" i="2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Z79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Z469" i="2" s="1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Z399" i="2" s="1"/>
  <c r="BP410" i="2"/>
  <c r="BN410" i="2"/>
  <c r="Y413" i="2"/>
  <c r="Y453" i="2"/>
  <c r="BP449" i="2"/>
  <c r="Y452" i="2"/>
  <c r="BN449" i="2"/>
  <c r="Z449" i="2"/>
  <c r="X567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291" i="2" s="1"/>
  <c r="Z301" i="2"/>
  <c r="Z313" i="2"/>
  <c r="Z317" i="2" s="1"/>
  <c r="Z324" i="2"/>
  <c r="Y376" i="2"/>
  <c r="Y386" i="2"/>
  <c r="Y394" i="2"/>
  <c r="Z403" i="2"/>
  <c r="BP405" i="2"/>
  <c r="BP456" i="2"/>
  <c r="Z477" i="2"/>
  <c r="Z479" i="2" s="1"/>
  <c r="Z489" i="2"/>
  <c r="Z502" i="2"/>
  <c r="Z505" i="2" s="1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190" i="2" s="1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55" i="2" l="1"/>
  <c r="Z433" i="2"/>
  <c r="Z376" i="2"/>
  <c r="Z102" i="2"/>
  <c r="Z412" i="2"/>
  <c r="Z406" i="2"/>
  <c r="Z120" i="2"/>
  <c r="Z95" i="2"/>
  <c r="Z142" i="2"/>
  <c r="Z418" i="2"/>
  <c r="Z155" i="2"/>
  <c r="Z127" i="2"/>
  <c r="Z349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<sst xmlns="http://schemas.openxmlformats.org/spreadsheetml/2006/main" count="4289" uniqueCount="918">
  <si>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</si>
  <si>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</si>
  <si>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</si>
  <si>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</si>
  <si>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</si>
  <si>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</si>
  <si>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</si>
  <si>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</si>
  <si>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</si>
  <si>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</si>
  <si>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</si>
  <si>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</si>
  <si>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</si>
  <si>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</si>
  <si>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</si>
  <si>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</si>
  <si>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</si>
  <si>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</si>
  <si>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</si>
  <si>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</si>
  <si>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</si>
  <si>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</si>
  <si>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</si>
  <si>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</si>
  <si>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</si>
  <si>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</si>
  <si>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</si>
  <si>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</si>
  <si>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</si>
  <si>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</si>
  <si>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</si>
  <si>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</si>
  <si>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</si>
  <si>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</si>
  <si>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</si>
  <si>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</si>
  <si>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</si>
  <si>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</si>
  <si>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</si>
  <si>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</si>
  <si>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</si>
  <si>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</si>
  <si>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</si>
  <si>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</si>
  <si>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</si>
  <si>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</si>
  <si>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</si>
  <si>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</si>
  <si>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</si>
  <si>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</si>
  <si>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</si>
  <si>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</si>
  <si>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</si>
  <si>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</si>
  <si>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</si>
  <si>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</si>
  <si>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</si>
  <si>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</si>
  <si>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</si>
  <si>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</si>
  <si>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</si>
  <si>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</si>
  <si>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</si>
  <si>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</si>
  <si>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</si>
  <si>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</si>
  <si>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</si>
  <si>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</si>
  <si>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</si>
  <si>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</si>
  <si>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</si>
  <si>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</si>
  <si>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</si>
  <si>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</si>
  <si>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</si>
  <si>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</si>
  <si>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</si>
  <si>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</si>
  <si>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</si>
  <si>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</si>
  <si>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</si>
  <si>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</si>
  <si>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</si>
  <si>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</si>
  <si>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</si>
  <si>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</si>
  <si>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</si>
  <si>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</si>
  <si>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</si>
  <si>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</si>
  <si>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</si>
  <si>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</si>
  <si>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</si>
  <si>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</si>
  <si>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</si>
  <si>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</si>
  <si>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</si>
  <si>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</si>
  <si>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</si>
  <si>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</si>
  <si>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</si>
  <si>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</si>
  <si>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</si>
  <si>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</si>
  <si>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</si>
  <si>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</si>
  <si>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</si>
  <si>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</si>
  <si>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</si>
  <si>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</si>
  <si>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</si>
  <si>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</si>
  <si>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</si>
  <si>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</si>
  <si>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</si>
  <si>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</si>
  <si>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</si>
  <si>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</si>
  <si>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</si>
  <si>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</si>
  <si>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</si>
  <si>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</si>
  <si>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</si>
  <si>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</si>
  <si>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</si>
  <si>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</si>
  <si>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</si>
  <si>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</si>
  <si>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</si>
  <si>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</si>
  <si>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</si>
  <si>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</si>
  <si>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</si>
  <si>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</si>
  <si>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</si>
  <si>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</si>
  <si>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</si>
  <si>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</si>
  <si>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</si>
  <si>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</si>
  <si>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</si>
  <si>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</si>
  <si>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</si>
  <si>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</si>
  <si>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</si>
  <si>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</si>
  <si>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</si>
  <si>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</si>
  <si>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</si>
  <si>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</si>
  <si>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</si>
  <si>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</si>
  <si>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</si>
  <si>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</si>
  <si>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</si>
  <si>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</si>
  <si>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</si>
  <si>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</si>
  <si>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</si>
  <si>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</si>
  <si>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</si>
  <si>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</si>
  <si>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</si>
  <si>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</si>
  <si>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</si>
  <si>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</si>
  <si>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</si>
  <si>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</si>
  <si>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</si>
  <si>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</si>
  <si>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</si>
  <si>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</si>
  <si>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</si>
  <si>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</si>
  <si>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</si>
  <si>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</si>
  <si>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</si>
  <si>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</si>
  <si>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</si>
  <si>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</si>
  <si>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</si>
  <si>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</si>
  <si>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</si>
  <si>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</si>
  <si>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</si>
  <si>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</si>
  <si>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</si>
  <si>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</si>
  <si>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</si>
  <si>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</si>
  <si>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</si>
  <si>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</si>
  <si>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</si>
  <si>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</si>
  <si>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</si>
  <si>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</si>
  <si>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</si>
  <si>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</si>
  <si>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</si>
  <si>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</si>
  <si>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</si>
  <si>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</si>
  <si>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</si>
  <si>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</si>
  <si>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</si>
  <si>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</si>
  <si>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</si>
  <si>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</si>
  <si>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</si>
  <si>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</si>
  <si>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</si>
  <si>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</si>
  <si>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</si>
  <si>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</si>
  <si>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</si>
  <si>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</si>
  <si>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</si>
  <si>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</si>
  <si>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</si>
  <si>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</si>
  <si>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</si>
  <si>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</si>
  <si>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</si>
  <si>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</si>
  <si>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</si>
  <si>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</si>
  <si>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</si>
  <si>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</si>
  <si>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</si>
  <si>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</si>
  <si>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</si>
  <si>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</si>
  <si>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</si>
  <si>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</si>
  <si>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</si>
  <si>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</si>
  <si>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</si>
  <si>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</si>
  <si>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</si>
  <si>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</si>
  <si>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</si>
  <si>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</si>
  <si>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</si>
  <si>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</si>
  <si>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</si>
  <si>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</si>
  <si>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</si>
  <si>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</si>
  <si>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</si>
  <si>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</si>
  <si>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</si>
  <si>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</si>
  <si>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</si>
  <si>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</si>
  <si>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</si>
  <si>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</si>
  <si>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</si>
  <si>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</si>
  <si>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</si>
  <si>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</si>
  <si>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</si>
  <si>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</si>
  <si>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</si>
  <si>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</si>
  <si>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</si>
  <si>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</si>
  <si>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</si>
  <si>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</si>
  <si>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</si>
  <si>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</si>
  <si>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</si>
  <si>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</si>
  <si>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</si>
  <si>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</si>
  <si>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</si>
  <si>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</si>
  <si>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</si>
  <si>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</si>
  <si>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</si>
  <si>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</si>
  <si>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</si>
  <si>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</si>
  <si>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</si>
  <si>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</si>
  <si>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</si>
  <si>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</si>
  <si>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</si>
  <si>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</si>
  <si>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</si>
  <si>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</si>
  <si>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</si>
  <si>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</si>
  <si>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</si>
  <si>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</si>
  <si>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</si>
  <si>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</si>
  <si>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</si>
  <si>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</si>
  <si>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</si>
  <si>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</si>
  <si>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</si>
  <si>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</si>
  <si>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</si>
  <si>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</si>
  <si>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</si>
  <si>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</si>
  <si>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</si>
  <si>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</si>
  <si>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</si>
  <si>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</si>
  <si>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</si>
  <si>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</si>
  <si>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</si>
  <si>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</si>
  <si>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</si>
  <si>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</si>
  <si>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</si>
  <si>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</si>
  <si>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</si>
  <si>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</si>
  <si>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</si>
  <si>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</si>
  <si>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</si>
  <si>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</si>
  <si>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</si>
  <si>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</si>
  <si>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</si>
  <si>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</si>
  <si>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</si>
  <si>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</si>
  <si>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</si>
  <si>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</si>
  <si>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</si>
  <si>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</si>
  <si>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</si>
  <si>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</si>
  <si>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</si>
  <si>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</si>
  <si>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</si>
  <si>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</si>
  <si>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</si>
  <si>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</si>
  <si>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</si>
  <si>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</si>
  <si>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</si>
  <si>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</si>
  <si>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</si>
  <si>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</si>
  <si>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</si>
  <si>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</si>
  <si>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</si>
  <si>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</si>
  <si>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</si>
  <si>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</si>
  <si>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</si>
  <si>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</si>
  <si>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</si>
  <si>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</si>
  <si>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</si>
  <si>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</si>
  <si>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</si>
  <si>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</si>
  <si>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</si>
  <si>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</si>
  <si>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</si>
  <si>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</si>
  <si>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</si>
  <si>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</si>
  <si>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</si>
  <si>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</si>
  <si>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</si>
  <si>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</si>
  <si>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</si>
  <si>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</si>
  <si>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</si>
  <si>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</si>
  <si>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</si>
  <si>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</si>
  <si>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</si>
  <si>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</si>
  <si>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</si>
  <si>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</si>
  <si>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</si>
  <si>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</si>
  <si>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</si>
  <si>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</si>
  <si>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</si>
  <si>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</si>
  <si>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</si>
  <si>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</si>
  <si>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</si>
  <si>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</si>
  <si>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</si>
  <si>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</si>
  <si>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</si>
  <si>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</si>
  <si>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</si>
  <si>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</si>
  <si>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</si>
  <si>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</si>
  <si>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</si>
  <si>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</si>
  <si>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</si>
  <si>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</si>
  <si>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</si>
  <si>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</si>
  <si>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</si>
  <si>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</si>
  <si>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</si>
  <si>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</si>
  <si>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</si>
  <si>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</si>
  <si>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</si>
  <si>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</si>
  <si>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</si>
  <si>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</si>
  <si>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</si>
  <si>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</si>
  <si>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</si>
  <si>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</si>
  <si>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</si>
  <si>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</si>
  <si>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</si>
  <si>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</si>
  <si>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</si>
  <si>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</si>
  <si>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</si>
  <si>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</si>
  <si>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</si>
  <si>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</si>
  <si>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</si>
  <si>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</si>
  <si>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</si>
  <si>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</si>
  <si>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</si>
  <si>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</si>
  <si>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</si>
  <si>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</si>
  <si>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</si>
  <si>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</si>
  <si>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</si>
  <si>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</si>
  <si>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</si>
  <si>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</si>
  <si>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</si>
  <si>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</si>
  <si>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</si>
  <si>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</si>
  <si>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</si>
  <si>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</si>
  <si>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</si>
  <si>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</si>
  <si>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</si>
  <si>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</si>
  <si>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</si>
  <si>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</si>
  <si>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</si>
  <si>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</si>
  <si>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</si>
  <si>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</si>
  <si>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</si>
  <si>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</si>
  <si>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</si>
  <si>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</si>
  <si>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</si>
  <si>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</si>
  <si>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</si>
  <si>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</si>
  <si>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</si>
  <si>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</si>
  <si>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</si>
  <si>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</si>
  <si>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</si>
  <si>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</si>
  <si>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</si>
  <si>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</si>
  <si>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</si>
  <si>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</si>
  <si>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</si>
  <si>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</si>
  <si>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</si>
  <si>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</si>
  <si>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</si>
  <si>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</si>
  <si>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</si>
  <si>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</si>
  <si>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</si>
  <si>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</si>
  <si>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</si>
  <si>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</si>
  <si>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</si>
  <si>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</si>
  <si>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</si>
  <si>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</si>
  <si>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</si>
  <si>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</si>
  <si>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</si>
  <si>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</si>
  <si>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</si>
  <si>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</si>
  <si>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</si>
  <si>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</si>
  <si>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</si>
  <si>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</si>
  <si>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</si>
  <si>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</si>
  <si>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</si>
  <si>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</si>
  <si>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</si>
  <si>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</si>
  <si>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</si>
  <si>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</si>
  <si>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</si>
  <si>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</si>
  <si>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</si>
  <si>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</si>
  <si>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</si>
  <si>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</si>
  <si>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</si>
  <si>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</si>
  <si>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</si>
  <si>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</si>
  <si>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</si>
  <si>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</si>
  <si>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</si>
  <si>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</si>
  <si>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</si>
  <si>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</si>
  <si>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</si>
  <si>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</si>
  <si>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</si>
  <si>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</si>
  <si>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</si>
  <si>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</si>
  <si>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</si>
  <si>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</si>
  <si>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</si>
  <si>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</si>
  <si>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</si>
  <si>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</si>
  <si>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</si>
  <si>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</si>
  <si>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</si>
  <si>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</si>
  <si>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</si>
  <si>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</si>
  <si>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</si>
  <si>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</si>
  <si>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</si>
  <si>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</si>
  <si>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</si>
  <si>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</si>
  <si>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</si>
  <si>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</si>
  <si>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</si>
  <si>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</si>
  <si>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</si>
  <si>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</si>
  <si>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</si>
  <si>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</si>
  <si>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</si>
  <si>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</si>
  <si>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</si>
  <si>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</si>
  <si>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</si>
  <si>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</si>
  <si>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</si>
  <si>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</si>
  <si>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</si>
  <si>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</si>
  <si>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</si>
  <si>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</si>
  <si>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</si>
  <si>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</si>
  <si>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</si>
  <si>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</si>
  <si>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</si>
  <si>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</si>
  <si>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</si>
  <si>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</si>
  <si>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</si>
  <si>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</si>
  <si>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</si>
  <si>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</si>
  <si>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</si>
  <si>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</si>
  <si>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</si>
  <si>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</si>
  <si>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</si>
  <si>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</si>
  <si>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</si>
  <si>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</si>
  <si>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</si>
  <si>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</si>
  <si>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</si>
  <si>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</si>
  <si>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</si>
  <si>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</si>
  <si>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</si>
  <si>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</si>
  <si>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</si>
  <si>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</si>
  <si>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</si>
  <si>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</si>
  <si>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</si>
  <si>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</si>
  <si>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</si>
  <si>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</si>
  <si>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</si>
  <si>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</si>
  <si>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</si>
  <si>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</si>
  <si>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</si>
  <si>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</si>
  <si>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</si>
  <si>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</si>
  <si>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</si>
  <si>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</si>
  <si>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</si>
  <si>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</si>
  <si>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</si>
  <si>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</si>
  <si>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</si>
  <si>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</si>
  <si>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</si>
  <si>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</si>
  <si>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</si>
  <si>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</si>
  <si>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</si>
  <si>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</si>
  <si>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</si>
  <si>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</si>
  <si>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</si>
  <si>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</si>
  <si>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</si>
  <si>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</si>
  <si>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</si>
  <si>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</si>
  <si>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</si>
  <si>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</si>
  <si>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</si>
  <si>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</si>
  <si>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</si>
  <si>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</si>
  <si>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</si>
  <si>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</si>
  <si>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</si>
  <si>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</si>
  <si>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</si>
  <si>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</si>
  <si>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</si>
  <si>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</si>
  <si>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</si>
  <si>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</si>
  <si>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</si>
  <si>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</si>
  <si>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</si>
  <si>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</si>
  <si>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</si>
  <si>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</si>
  <si>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</si>
  <si>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</si>
  <si>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</si>
  <si>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</si>
  <si>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</si>
  <si>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</si>
  <si>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</si>
  <si>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</si>
  <si>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</si>
  <si>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</si>
  <si>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</si>
  <si>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</si>
  <si>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</si>
  <si>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</si>
  <si>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</si>
  <si>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</si>
  <si>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</si>
  <si>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</si>
  <si>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</si>
  <si>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</si>
  <si>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</si>
  <si>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</si>
  <si>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</si>
  <si>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</si>
  <si>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</si>
  <si>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</si>
  <si>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</si>
  <si>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</si>
  <si>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</si>
  <si>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</si>
  <si>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</si>
  <si>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</si>
  <si>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</si>
  <si>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</si>
  <si>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</si>
  <si>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</si>
  <si>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</si>
  <si>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</si>
  <si>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</si>
  <si>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</si>
  <si>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</si>
  <si>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</si>
  <si>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</si>
  <si>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</si>
  <si>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</si>
  <si>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</si>
  <si>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</si>
  <si>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</si>
  <si>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</si>
  <si>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</si>
  <si>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</si>
  <si>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</si>
  <si>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</si>
  <si>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</si>
  <si>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</si>
  <si>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</si>
  <si>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</si>
  <si>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</si>
  <si>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</si>
  <si>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</si>
  <si>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</si>
  <si>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</si>
  <si>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</si>
  <si>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</si>
  <si>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</si>
  <si>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</si>
  <si>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</si>
  <si>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</si>
  <si>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</si>
  <si>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</si>
  <si>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</si>
  <si>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</si>
  <si>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</si>
  <si>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</si>
  <si>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</si>
  <si>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</si>
  <si>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</si>
  <si>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</si>
  <si>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</si>
  <si>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</si>
  <si>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</si>
  <si>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</si>
  <si>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</si>
  <si>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</si>
  <si>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</si>
  <si>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</si>
  <si>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</si>
  <si>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</si>
  <si>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</si>
  <si>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</si>
  <si>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</si>
  <si>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</si>
  <si>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</si>
  <si>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</si>
  <si>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</si>
  <si>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</si>
  <si>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</si>
  <si>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</si>
  <si>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</si>
  <si>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</si>
  <si>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</si>
  <si>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</si>
  <si>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</si>
  <si>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</si>
  <si>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</si>
  <si>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</si>
  <si>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</si>
  <si>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</si>
  <si>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</si>
  <si>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</si>
  <si>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</si>
  <si>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</si>
  <si>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</si>
  <si>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</si>
  <si>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</si>
  <si>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</si>
  <si>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</si>
  <si>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</si>
  <si>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</si>
  <si>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</si>
  <si>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</si>
  <si>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</si>
  <si>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</si>
  <si>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</si>
  <si>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</si>
  <si>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</si>
  <si>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</si>
  <si>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</si>
  <si>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</si>
  <si>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</si>
  <si>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</si>
  <si>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</si>
  <si>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</si>
  <si>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</si>
  <si>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</si>
  <si>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</si>
  <si>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</si>
  <si>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</si>
  <si>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</si>
  <si>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</si>
  <si>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</si>
  <si>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</si>
  <si>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</si>
  <si>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</si>
  <si>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</si>
  <si>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</si>
  <si>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</si>
  <si>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</si>
  <si>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</si>
  <si>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</si>
  <si>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</si>
  <si>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</si>
  <si>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</si>
  <si>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</si>
  <si>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</si>
  <si>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</si>
  <si>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</si>
  <si>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</si>
  <si>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</si>
  <si>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</si>
  <si>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</si>
  <si>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</si>
  <si>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</si>
  <si>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</si>
  <si>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</si>
  <si>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</si>
  <si>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</si>
  <si>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</si>
  <si>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</si>
  <si>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</si>
  <si>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</si>
  <si>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</si>
  <si>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</si>
  <si>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</si>
  <si>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</si>
  <si>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</si>
  <si>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</si>
  <si>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</si>
  <si>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</si>
  <si>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</si>
  <si>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</si>
  <si>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</si>
  <si>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</si>
  <si>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</si>
  <si>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</si>
  <si>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</si>
  <si>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</si>
  <si>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</si>
  <si>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</si>
  <si>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</si>
  <si>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</si>
  <si>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</si>
  <si>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</si>
  <si>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</si>
  <si>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</si>
  <si>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</si>
  <si>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</si>
  <si>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</si>
  <si>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</si>
  <si>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</si>
  <si>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</si>
  <si>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</si>
  <si>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</si>
  <si>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</si>
  <si>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</si>
  <si>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</si>
  <si>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</si>
  <si>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</si>
  <si>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</si>
  <si>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</si>
  <si>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</si>
  <si>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</si>
  <si>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</si>
  <si>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</si>
  <si>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</si>
  <si>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</si>
  <si>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</si>
  <si>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</si>
  <si>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</si>
  <si>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</si>
  <si>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</si>
  <si>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</si>
  <si>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</si>
  <si>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</si>
  <si>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</si>
  <si>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</si>
  <si>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</si>
  <si>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</si>
  <si>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</si>
  <si>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</si>
  <si>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</si>
  <si>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</si>
  <si>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</si>
  <si>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</si>
  <si>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</si>
  <si>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</si>
  <si>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</si>
  <si>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</si>
  <si>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</si>
  <si>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</si>
  <si>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</si>
  <si>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</si>
  <si>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</si>
  <si>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</si>
  <si>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</si>
  <si>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</si>
  <si>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</si>
  <si>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</si>
  <si>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</si>
  <si>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</si>
  <si>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</si>
  <si>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</si>
  <si>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</si>
  <si>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</si>
  <si>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</si>
  <si>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</si>
  <si>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TSO001138437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</si>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</sst>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66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67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916</v>
      </c>
      <c r="I5" s="647"/>
      <c r="J5" s="647"/>
      <c r="K5" s="647"/>
      <c r="L5" s="647"/>
      <c r="M5" s="647"/>
      <c r="N5" s="72"/>
      <c r="P5" s="27" t="s">
        <v>4</v>
      </c>
      <c r="Q5" s="649">
        <v>46315</v>
      </c>
      <c r="R5" s="649"/>
      <c r="T5" s="650" t="s">
        <v>3</v>
      </c>
      <c r="U5" s="651"/>
      <c r="V5" s="652" t="s">
        <v>873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889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Вторник</v>
      </c>
      <c r="R6" s="655"/>
      <c r="T6" s="656" t="s">
        <v>5</v>
      </c>
      <c r="U6" s="657"/>
      <c r="V6" s="658" t="s">
        <v>69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6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57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70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917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60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82"/>
      <c r="BD17" s="81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82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100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111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82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127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128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129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2" t="s">
        <v>144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129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152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160</v>
      </c>
      <c r="B65" s="63" t="s">
        <v>161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162</v>
      </c>
      <c r="B66" s="63" t="s">
        <v>163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3" t="s">
        <v>164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hidden="1" customHeight="1" x14ac:dyDescent="0.25">
      <c r="A70" s="63" t="s">
        <v>165</v>
      </c>
      <c r="B70" s="63" t="s">
        <v>166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86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171</v>
      </c>
      <c r="B72" s="63" t="s">
        <v>172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173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174</v>
      </c>
      <c r="B73" s="63" t="s">
        <v>175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3" t="s">
        <v>82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176</v>
      </c>
      <c r="B77" s="63" t="s">
        <v>177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182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183</v>
      </c>
      <c r="B82" s="63" t="s">
        <v>184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185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183</v>
      </c>
      <c r="B83" s="63" t="s">
        <v>186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185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187</v>
      </c>
      <c r="B84" s="63" t="s">
        <v>188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189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190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129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hidden="1" customHeight="1" x14ac:dyDescent="0.25">
      <c r="A89" s="63" t="s">
        <v>191</v>
      </c>
      <c r="B89" s="63" t="s">
        <v>192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191</v>
      </c>
      <c r="B90" s="63" t="s">
        <v>194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197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198</v>
      </c>
      <c r="B92" s="63" t="s">
        <v>199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198</v>
      </c>
      <c r="B93" s="63" t="s">
        <v>200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193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201</v>
      </c>
      <c r="B94" s="63" t="s">
        <v>202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193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3" t="s">
        <v>82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203</v>
      </c>
      <c r="B98" s="63" t="s">
        <v>204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205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206</v>
      </c>
      <c r="B99" s="63" t="s">
        <v>207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208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209</v>
      </c>
      <c r="B100" s="63" t="s">
        <v>210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205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211</v>
      </c>
      <c r="B101" s="63" t="s">
        <v>212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213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2" t="s">
        <v>214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129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hidden="1" customHeight="1" x14ac:dyDescent="0.25">
      <c r="A106" s="63" t="s">
        <v>215</v>
      </c>
      <c r="B106" s="63" t="s">
        <v>216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217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215</v>
      </c>
      <c r="B107" s="63" t="s">
        <v>218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219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222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223</v>
      </c>
      <c r="B109" s="63" t="s">
        <v>224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225</v>
      </c>
      <c r="B110" s="63" t="s">
        <v>226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219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227</v>
      </c>
      <c r="B111" s="63" t="s">
        <v>228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219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229</v>
      </c>
      <c r="B112" s="63" t="s">
        <v>230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3" t="s">
        <v>164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232</v>
      </c>
      <c r="B116" s="63" t="s">
        <v>233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238</v>
      </c>
      <c r="L117" s="37" t="s">
        <v>46</v>
      </c>
      <c r="M117" s="38" t="s">
        <v>80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237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239</v>
      </c>
      <c r="B118" s="63" t="s">
        <v>240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133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234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87</v>
      </c>
      <c r="L119" s="37" t="s">
        <v>46</v>
      </c>
      <c r="M119" s="38" t="s">
        <v>133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234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82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243</v>
      </c>
      <c r="B123" s="63" t="s">
        <v>244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134</v>
      </c>
      <c r="L123" s="37" t="s">
        <v>46</v>
      </c>
      <c r="M123" s="38" t="s">
        <v>86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87</v>
      </c>
      <c r="L124" s="37" t="s">
        <v>46</v>
      </c>
      <c r="M124" s="38" t="s">
        <v>86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13" t="s">
        <v>182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87</v>
      </c>
      <c r="L130" s="37" t="s">
        <v>46</v>
      </c>
      <c r="M130" s="38" t="s">
        <v>86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256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129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87</v>
      </c>
      <c r="L135" s="37" t="s">
        <v>46</v>
      </c>
      <c r="M135" s="38" t="s">
        <v>260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261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260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76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262</v>
      </c>
      <c r="B140" s="63" t="s">
        <v>263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87</v>
      </c>
      <c r="L140" s="37" t="s">
        <v>46</v>
      </c>
      <c r="M140" s="38" t="s">
        <v>260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264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262</v>
      </c>
      <c r="B141" s="63" t="s">
        <v>265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260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264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82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266</v>
      </c>
      <c r="B145" s="63" t="s">
        <v>267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87</v>
      </c>
      <c r="L145" s="37" t="s">
        <v>46</v>
      </c>
      <c r="M145" s="38" t="s">
        <v>260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266</v>
      </c>
      <c r="B146" s="63" t="s">
        <v>268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260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269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270</v>
      </c>
      <c r="B151" s="63" t="s">
        <v>271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87</v>
      </c>
      <c r="L151" s="37" t="s">
        <v>46</v>
      </c>
      <c r="M151" s="38" t="s">
        <v>93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273</v>
      </c>
      <c r="B152" s="63" t="s">
        <v>274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100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107</v>
      </c>
      <c r="L158" s="37" t="s">
        <v>46</v>
      </c>
      <c r="M158" s="38" t="s">
        <v>106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284</v>
      </c>
      <c r="AG158" s="78"/>
      <c r="AJ158" s="84" t="s">
        <v>46</v>
      </c>
      <c r="AK158" s="84">
        <v>0</v>
      </c>
      <c r="BB158" s="227" t="s">
        <v>104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127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129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285</v>
      </c>
      <c r="B163" s="63" t="s">
        <v>286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134</v>
      </c>
      <c r="L163" s="37" t="s">
        <v>46</v>
      </c>
      <c r="M163" s="38" t="s">
        <v>133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287</v>
      </c>
      <c r="AG163" s="78"/>
      <c r="AJ163" s="84" t="s">
        <v>46</v>
      </c>
      <c r="AK163" s="84">
        <v>0</v>
      </c>
      <c r="BB163" s="22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288</v>
      </c>
      <c r="B164" s="63" t="s">
        <v>289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141</v>
      </c>
      <c r="L164" s="37" t="s">
        <v>46</v>
      </c>
      <c r="M164" s="38" t="s">
        <v>133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291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290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292</v>
      </c>
      <c r="B166" s="63" t="s">
        <v>293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87</v>
      </c>
      <c r="L166" s="37" t="s">
        <v>46</v>
      </c>
      <c r="M166" s="38" t="s">
        <v>86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294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164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295</v>
      </c>
      <c r="B170" s="63" t="s">
        <v>296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298</v>
      </c>
      <c r="B171" s="63" t="s">
        <v>299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133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76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301</v>
      </c>
      <c r="B175" s="63" t="s">
        <v>302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141</v>
      </c>
      <c r="L175" s="37" t="s">
        <v>46</v>
      </c>
      <c r="M175" s="38" t="s">
        <v>80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303</v>
      </c>
      <c r="AG175" s="78"/>
      <c r="AJ175" s="84" t="s">
        <v>46</v>
      </c>
      <c r="AK175" s="84">
        <v>0</v>
      </c>
      <c r="BB175" s="241" t="s">
        <v>66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304</v>
      </c>
      <c r="B176" s="63" t="s">
        <v>305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141</v>
      </c>
      <c r="L176" s="37" t="s">
        <v>46</v>
      </c>
      <c r="M176" s="38" t="s">
        <v>80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306</v>
      </c>
      <c r="AG176" s="78"/>
      <c r="AJ176" s="84" t="s">
        <v>46</v>
      </c>
      <c r="AK176" s="84">
        <v>0</v>
      </c>
      <c r="BB176" s="243" t="s">
        <v>66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313</v>
      </c>
      <c r="B179" s="63" t="s">
        <v>314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138</v>
      </c>
      <c r="L179" s="37" t="s">
        <v>46</v>
      </c>
      <c r="M179" s="38" t="s">
        <v>80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303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318</v>
      </c>
      <c r="B181" s="63" t="s">
        <v>319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312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3" t="s">
        <v>82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328</v>
      </c>
      <c r="B188" s="63" t="s">
        <v>329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87</v>
      </c>
      <c r="L188" s="37" t="s">
        <v>46</v>
      </c>
      <c r="M188" s="38" t="s">
        <v>93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331</v>
      </c>
      <c r="B189" s="63" t="s">
        <v>332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87</v>
      </c>
      <c r="L189" s="37" t="s">
        <v>46</v>
      </c>
      <c r="M189" s="38" t="s">
        <v>93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333</v>
      </c>
      <c r="AG189" s="78"/>
      <c r="AJ189" s="84" t="s">
        <v>46</v>
      </c>
      <c r="AK189" s="84">
        <v>0</v>
      </c>
      <c r="BB189" s="26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100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334</v>
      </c>
      <c r="B193" s="63" t="s">
        <v>335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337</v>
      </c>
      <c r="L193" s="37" t="s">
        <v>46</v>
      </c>
      <c r="M193" s="38" t="s">
        <v>106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336</v>
      </c>
      <c r="AG193" s="78"/>
      <c r="AJ193" s="84" t="s">
        <v>46</v>
      </c>
      <c r="AK193" s="84">
        <v>0</v>
      </c>
      <c r="BB193" s="265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338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339</v>
      </c>
      <c r="B197" s="63" t="s">
        <v>340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337</v>
      </c>
      <c r="L197" s="37" t="s">
        <v>46</v>
      </c>
      <c r="M197" s="38" t="s">
        <v>106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341</v>
      </c>
      <c r="AG197" s="78"/>
      <c r="AJ197" s="84" t="s">
        <v>46</v>
      </c>
      <c r="AK197" s="84">
        <v>0</v>
      </c>
      <c r="BB197" s="267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342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343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129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344</v>
      </c>
      <c r="B203" s="63" t="s">
        <v>345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134</v>
      </c>
      <c r="L203" s="37" t="s">
        <v>46</v>
      </c>
      <c r="M203" s="38" t="s">
        <v>86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132</v>
      </c>
      <c r="AG203" s="78"/>
      <c r="AJ203" s="84" t="s">
        <v>46</v>
      </c>
      <c r="AK203" s="84">
        <v>0</v>
      </c>
      <c r="BB203" s="269" t="s">
        <v>66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346</v>
      </c>
      <c r="B204" s="63" t="s">
        <v>347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134</v>
      </c>
      <c r="L204" s="37" t="s">
        <v>46</v>
      </c>
      <c r="M204" s="38" t="s">
        <v>86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348</v>
      </c>
      <c r="AG204" s="78"/>
      <c r="AJ204" s="84" t="s">
        <v>46</v>
      </c>
      <c r="AK204" s="84">
        <v>0</v>
      </c>
      <c r="BB204" s="271" t="s">
        <v>66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349</v>
      </c>
      <c r="B205" s="63" t="s">
        <v>350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351</v>
      </c>
      <c r="AG205" s="78"/>
      <c r="AJ205" s="84" t="s">
        <v>46</v>
      </c>
      <c r="AK205" s="84">
        <v>0</v>
      </c>
      <c r="BB205" s="273" t="s">
        <v>66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355</v>
      </c>
      <c r="B207" s="63" t="s">
        <v>356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364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164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81</v>
      </c>
      <c r="L214" s="37" t="s">
        <v>46</v>
      </c>
      <c r="M214" s="38" t="s">
        <v>80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66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76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368</v>
      </c>
      <c r="B218" s="63" t="s">
        <v>369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141</v>
      </c>
      <c r="L218" s="37" t="s">
        <v>46</v>
      </c>
      <c r="M218" s="38" t="s">
        <v>80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370</v>
      </c>
      <c r="AG218" s="78"/>
      <c r="AJ218" s="84" t="s">
        <v>46</v>
      </c>
      <c r="AK218" s="84">
        <v>0</v>
      </c>
      <c r="BB218" s="285" t="s">
        <v>66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141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373</v>
      </c>
      <c r="AG219" s="78"/>
      <c r="AJ219" s="84" t="s">
        <v>46</v>
      </c>
      <c r="AK219" s="84">
        <v>0</v>
      </c>
      <c r="BB219" s="287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374</v>
      </c>
      <c r="B220" s="63" t="s">
        <v>375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374</v>
      </c>
      <c r="B221" s="63" t="s">
        <v>377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376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378</v>
      </c>
      <c r="B222" s="63" t="s">
        <v>379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380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381</v>
      </c>
      <c r="B223" s="63" t="s">
        <v>382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370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386</v>
      </c>
      <c r="B225" s="63" t="s">
        <v>387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373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390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393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138</v>
      </c>
      <c r="L228" s="37" t="s">
        <v>46</v>
      </c>
      <c r="M228" s="38" t="s">
        <v>80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396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397</v>
      </c>
      <c r="B229" s="63" t="s">
        <v>398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376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87</v>
      </c>
      <c r="L230" s="37" t="s">
        <v>46</v>
      </c>
      <c r="M230" s="38" t="s">
        <v>80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376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403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713" t="s">
        <v>82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404</v>
      </c>
      <c r="B235" s="63" t="s">
        <v>405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134</v>
      </c>
      <c r="L235" s="37" t="s">
        <v>46</v>
      </c>
      <c r="M235" s="38" t="s">
        <v>93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406</v>
      </c>
      <c r="AG235" s="78"/>
      <c r="AJ235" s="84" t="s">
        <v>46</v>
      </c>
      <c r="AK235" s="84">
        <v>0</v>
      </c>
      <c r="BB235" s="313" t="s">
        <v>66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407</v>
      </c>
      <c r="B236" s="63" t="s">
        <v>408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410</v>
      </c>
      <c r="B237" s="63" t="s">
        <v>411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141</v>
      </c>
      <c r="L237" s="37" t="s">
        <v>46</v>
      </c>
      <c r="M237" s="38" t="s">
        <v>93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406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412</v>
      </c>
      <c r="B238" s="63" t="s">
        <v>413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409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100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417</v>
      </c>
      <c r="B243" s="63" t="s">
        <v>418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337</v>
      </c>
      <c r="L243" s="37" t="s">
        <v>46</v>
      </c>
      <c r="M243" s="38" t="s">
        <v>106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419</v>
      </c>
      <c r="AG243" s="78"/>
      <c r="AJ243" s="84" t="s">
        <v>46</v>
      </c>
      <c r="AK243" s="84">
        <v>0</v>
      </c>
      <c r="BB243" s="323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420</v>
      </c>
      <c r="B244" s="63" t="s">
        <v>421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337</v>
      </c>
      <c r="L244" s="37" t="s">
        <v>46</v>
      </c>
      <c r="M244" s="38" t="s">
        <v>106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422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423</v>
      </c>
      <c r="B245" s="63" t="s">
        <v>424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337</v>
      </c>
      <c r="L245" s="37" t="s">
        <v>46</v>
      </c>
      <c r="M245" s="38" t="s">
        <v>106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422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425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337</v>
      </c>
      <c r="L249" s="37" t="s">
        <v>46</v>
      </c>
      <c r="M249" s="38" t="s">
        <v>106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422</v>
      </c>
      <c r="AG249" s="78"/>
      <c r="AJ249" s="84" t="s">
        <v>46</v>
      </c>
      <c r="AK249" s="84">
        <v>0</v>
      </c>
      <c r="BB249" s="32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428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129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429</v>
      </c>
      <c r="B254" s="63" t="s">
        <v>430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432</v>
      </c>
      <c r="B255" s="63" t="s">
        <v>433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87</v>
      </c>
      <c r="L255" s="37" t="s">
        <v>46</v>
      </c>
      <c r="M255" s="38" t="s">
        <v>133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164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434</v>
      </c>
      <c r="B259" s="63" t="s">
        <v>435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134</v>
      </c>
      <c r="L259" s="37" t="s">
        <v>46</v>
      </c>
      <c r="M259" s="38" t="s">
        <v>133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437</v>
      </c>
      <c r="B260" s="63" t="s">
        <v>438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87</v>
      </c>
      <c r="L260" s="37" t="s">
        <v>46</v>
      </c>
      <c r="M260" s="38" t="s">
        <v>133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436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76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439</v>
      </c>
      <c r="B264" s="63" t="s">
        <v>440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141</v>
      </c>
      <c r="L264" s="37" t="s">
        <v>46</v>
      </c>
      <c r="M264" s="38" t="s">
        <v>80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441</v>
      </c>
      <c r="AG264" s="78"/>
      <c r="AJ264" s="84" t="s">
        <v>46</v>
      </c>
      <c r="AK264" s="84">
        <v>0</v>
      </c>
      <c r="BB264" s="339" t="s">
        <v>66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444</v>
      </c>
      <c r="AG265" s="78"/>
      <c r="AJ265" s="84" t="s">
        <v>46</v>
      </c>
      <c r="AK265" s="84">
        <v>0</v>
      </c>
      <c r="BB265" s="341" t="s">
        <v>66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445</v>
      </c>
      <c r="B266" s="63" t="s">
        <v>446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447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448</v>
      </c>
      <c r="B267" s="63" t="s">
        <v>449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450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81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441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453</v>
      </c>
      <c r="B269" s="63" t="s">
        <v>454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444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455</v>
      </c>
      <c r="B270" s="63" t="s">
        <v>456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447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450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713" t="s">
        <v>82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459</v>
      </c>
      <c r="B275" s="63" t="s">
        <v>460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134</v>
      </c>
      <c r="L275" s="37" t="s">
        <v>46</v>
      </c>
      <c r="M275" s="38" t="s">
        <v>86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461</v>
      </c>
      <c r="AG275" s="78"/>
      <c r="AJ275" s="84" t="s">
        <v>46</v>
      </c>
      <c r="AK275" s="84">
        <v>0</v>
      </c>
      <c r="BB275" s="355" t="s">
        <v>66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462</v>
      </c>
      <c r="B276" s="63" t="s">
        <v>463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134</v>
      </c>
      <c r="L276" s="37" t="s">
        <v>46</v>
      </c>
      <c r="M276" s="38" t="s">
        <v>86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464</v>
      </c>
      <c r="AG276" s="78"/>
      <c r="AJ276" s="84" t="s">
        <v>46</v>
      </c>
      <c r="AK276" s="84">
        <v>0</v>
      </c>
      <c r="BB276" s="357" t="s">
        <v>66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465</v>
      </c>
      <c r="B277" s="63" t="s">
        <v>466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467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87</v>
      </c>
      <c r="L278" s="37" t="s">
        <v>46</v>
      </c>
      <c r="M278" s="38" t="s">
        <v>86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461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87</v>
      </c>
      <c r="L279" s="37" t="s">
        <v>46</v>
      </c>
      <c r="M279" s="38" t="s">
        <v>93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472</v>
      </c>
      <c r="B280" s="63" t="s">
        <v>473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467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134</v>
      </c>
      <c r="L281" s="37" t="s">
        <v>46</v>
      </c>
      <c r="M281" s="38" t="s">
        <v>86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479</v>
      </c>
      <c r="B283" s="63" t="s">
        <v>480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87</v>
      </c>
      <c r="L283" s="37" t="s">
        <v>46</v>
      </c>
      <c r="M283" s="38" t="s">
        <v>93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481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484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86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713" t="s">
        <v>182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488</v>
      </c>
      <c r="B289" s="63" t="s">
        <v>489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87</v>
      </c>
      <c r="L289" s="37" t="s">
        <v>46</v>
      </c>
      <c r="M289" s="38" t="s">
        <v>93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490</v>
      </c>
      <c r="AG289" s="78"/>
      <c r="AJ289" s="84" t="s">
        <v>46</v>
      </c>
      <c r="AK289" s="84">
        <v>0</v>
      </c>
      <c r="BB289" s="37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87</v>
      </c>
      <c r="L290" s="37" t="s">
        <v>46</v>
      </c>
      <c r="M290" s="38" t="s">
        <v>86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493</v>
      </c>
      <c r="AG290" s="78"/>
      <c r="AJ290" s="84" t="s">
        <v>46</v>
      </c>
      <c r="AK290" s="84">
        <v>0</v>
      </c>
      <c r="BB290" s="37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494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129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495</v>
      </c>
      <c r="B295" s="63" t="s">
        <v>496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134</v>
      </c>
      <c r="L295" s="37" t="s">
        <v>46</v>
      </c>
      <c r="M295" s="38" t="s">
        <v>133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497</v>
      </c>
      <c r="AG295" s="78"/>
      <c r="AJ295" s="84" t="s">
        <v>46</v>
      </c>
      <c r="AK295" s="84">
        <v>0</v>
      </c>
      <c r="BB295" s="381" t="s">
        <v>66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498</v>
      </c>
      <c r="B296" s="63" t="s">
        <v>499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134</v>
      </c>
      <c r="L296" s="37" t="s">
        <v>46</v>
      </c>
      <c r="M296" s="38" t="s">
        <v>133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500</v>
      </c>
      <c r="AG296" s="78"/>
      <c r="AJ296" s="84" t="s">
        <v>46</v>
      </c>
      <c r="AK296" s="84">
        <v>0</v>
      </c>
      <c r="BB296" s="383" t="s">
        <v>66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501</v>
      </c>
      <c r="B297" s="63" t="s">
        <v>502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360</v>
      </c>
      <c r="AG297" s="78"/>
      <c r="AJ297" s="84" t="s">
        <v>46</v>
      </c>
      <c r="AK297" s="84">
        <v>0</v>
      </c>
      <c r="BB297" s="385" t="s">
        <v>66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503</v>
      </c>
      <c r="B298" s="63" t="s">
        <v>504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141</v>
      </c>
      <c r="L298" s="37" t="s">
        <v>46</v>
      </c>
      <c r="M298" s="38" t="s">
        <v>133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505</v>
      </c>
      <c r="B299" s="63" t="s">
        <v>506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141</v>
      </c>
      <c r="L299" s="37" t="s">
        <v>46</v>
      </c>
      <c r="M299" s="38" t="s">
        <v>133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507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508</v>
      </c>
      <c r="B300" s="63" t="s">
        <v>509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87</v>
      </c>
      <c r="L300" s="37" t="s">
        <v>46</v>
      </c>
      <c r="M300" s="38" t="s">
        <v>133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510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511</v>
      </c>
      <c r="B301" s="63" t="s">
        <v>512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360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164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513</v>
      </c>
      <c r="B305" s="63" t="s">
        <v>514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81</v>
      </c>
      <c r="L305" s="37" t="s">
        <v>46</v>
      </c>
      <c r="M305" s="38" t="s">
        <v>86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515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516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337</v>
      </c>
      <c r="L309" s="37" t="s">
        <v>46</v>
      </c>
      <c r="M309" s="38" t="s">
        <v>106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338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520</v>
      </c>
      <c r="B313" s="63" t="s">
        <v>521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337</v>
      </c>
      <c r="L313" s="37" t="s">
        <v>46</v>
      </c>
      <c r="M313" s="38" t="s">
        <v>106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522</v>
      </c>
      <c r="AG313" s="78"/>
      <c r="AJ313" s="84" t="s">
        <v>46</v>
      </c>
      <c r="AK313" s="84">
        <v>0</v>
      </c>
      <c r="BB313" s="399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523</v>
      </c>
      <c r="B314" s="63" t="s">
        <v>524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337</v>
      </c>
      <c r="L314" s="37" t="s">
        <v>46</v>
      </c>
      <c r="M314" s="38" t="s">
        <v>106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522</v>
      </c>
      <c r="AG314" s="78"/>
      <c r="AJ314" s="84" t="s">
        <v>46</v>
      </c>
      <c r="AK314" s="84">
        <v>0</v>
      </c>
      <c r="BB314" s="40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337</v>
      </c>
      <c r="L315" s="37" t="s">
        <v>46</v>
      </c>
      <c r="M315" s="38" t="s">
        <v>106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522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337</v>
      </c>
      <c r="L316" s="37" t="s">
        <v>46</v>
      </c>
      <c r="M316" s="38" t="s">
        <v>106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522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529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129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530</v>
      </c>
      <c r="B321" s="63" t="s">
        <v>531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134</v>
      </c>
      <c r="L321" s="37" t="s">
        <v>46</v>
      </c>
      <c r="M321" s="38" t="s">
        <v>133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532</v>
      </c>
      <c r="AG321" s="78"/>
      <c r="AJ321" s="84" t="s">
        <v>46</v>
      </c>
      <c r="AK321" s="84">
        <v>0</v>
      </c>
      <c r="BB321" s="407" t="s">
        <v>66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533</v>
      </c>
      <c r="B322" s="63" t="s">
        <v>534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134</v>
      </c>
      <c r="L322" s="37" t="s">
        <v>46</v>
      </c>
      <c r="M322" s="38" t="s">
        <v>133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535</v>
      </c>
      <c r="AG322" s="78"/>
      <c r="AJ322" s="84" t="s">
        <v>46</v>
      </c>
      <c r="AK322" s="84">
        <v>0</v>
      </c>
      <c r="BB322" s="409" t="s">
        <v>66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536</v>
      </c>
      <c r="B323" s="63" t="s">
        <v>537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538</v>
      </c>
      <c r="AG323" s="78"/>
      <c r="AJ323" s="84" t="s">
        <v>46</v>
      </c>
      <c r="AK323" s="84">
        <v>0</v>
      </c>
      <c r="BB323" s="411" t="s">
        <v>66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539</v>
      </c>
      <c r="B324" s="63" t="s">
        <v>540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541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542</v>
      </c>
      <c r="B325" s="63" t="s">
        <v>543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544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141</v>
      </c>
      <c r="L326" s="37" t="s">
        <v>46</v>
      </c>
      <c r="M326" s="38" t="s">
        <v>133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547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548</v>
      </c>
      <c r="B327" s="63" t="s">
        <v>549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141</v>
      </c>
      <c r="L327" s="37" t="s">
        <v>46</v>
      </c>
      <c r="M327" s="38" t="s">
        <v>133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550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551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82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87</v>
      </c>
      <c r="L332" s="37" t="s">
        <v>46</v>
      </c>
      <c r="M332" s="38" t="s">
        <v>86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554</v>
      </c>
      <c r="AG332" s="78"/>
      <c r="AJ332" s="84" t="s">
        <v>46</v>
      </c>
      <c r="AK332" s="84">
        <v>0</v>
      </c>
      <c r="BB332" s="421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555</v>
      </c>
      <c r="B333" s="63" t="s">
        <v>556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87</v>
      </c>
      <c r="L333" s="37" t="s">
        <v>46</v>
      </c>
      <c r="M333" s="38" t="s">
        <v>93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557</v>
      </c>
      <c r="AG333" s="78"/>
      <c r="AJ333" s="84" t="s">
        <v>46</v>
      </c>
      <c r="AK333" s="84">
        <v>0</v>
      </c>
      <c r="BB333" s="423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558</v>
      </c>
      <c r="B334" s="63" t="s">
        <v>559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554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560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76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561</v>
      </c>
      <c r="B339" s="63" t="s">
        <v>562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563</v>
      </c>
      <c r="AG339" s="78"/>
      <c r="AJ339" s="84" t="s">
        <v>46</v>
      </c>
      <c r="AK339" s="84">
        <v>0</v>
      </c>
      <c r="BB339" s="427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564</v>
      </c>
      <c r="B340" s="63" t="s">
        <v>565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566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567</v>
      </c>
      <c r="B341" s="63" t="s">
        <v>568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569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570</v>
      </c>
      <c r="B342" s="63" t="s">
        <v>571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87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572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82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141</v>
      </c>
      <c r="L346" s="37" t="s">
        <v>46</v>
      </c>
      <c r="M346" s="38" t="s">
        <v>86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575</v>
      </c>
      <c r="AG346" s="78"/>
      <c r="AJ346" s="84" t="s">
        <v>46</v>
      </c>
      <c r="AK346" s="84">
        <v>0</v>
      </c>
      <c r="BB346" s="435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141</v>
      </c>
      <c r="L347" s="37" t="s">
        <v>46</v>
      </c>
      <c r="M347" s="38" t="s">
        <v>86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578</v>
      </c>
      <c r="AG347" s="78"/>
      <c r="AJ347" s="84" t="s">
        <v>46</v>
      </c>
      <c r="AK347" s="84">
        <v>0</v>
      </c>
      <c r="BB347" s="437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134</v>
      </c>
      <c r="L348" s="37" t="s">
        <v>46</v>
      </c>
      <c r="M348" s="38" t="s">
        <v>86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581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582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76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583</v>
      </c>
      <c r="B353" s="63" t="s">
        <v>584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141</v>
      </c>
      <c r="L353" s="37" t="s">
        <v>46</v>
      </c>
      <c r="M353" s="38" t="s">
        <v>80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585</v>
      </c>
      <c r="AG353" s="78"/>
      <c r="AJ353" s="84" t="s">
        <v>46</v>
      </c>
      <c r="AK353" s="84">
        <v>0</v>
      </c>
      <c r="BB353" s="44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82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586</v>
      </c>
      <c r="B357" s="63" t="s">
        <v>587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134</v>
      </c>
      <c r="L357" s="37" t="s">
        <v>46</v>
      </c>
      <c r="M357" s="38" t="s">
        <v>86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588</v>
      </c>
      <c r="AG357" s="78"/>
      <c r="AJ357" s="84" t="s">
        <v>46</v>
      </c>
      <c r="AK357" s="84">
        <v>0</v>
      </c>
      <c r="BB357" s="44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589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129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590</v>
      </c>
      <c r="B362" s="63" t="s">
        <v>591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134</v>
      </c>
      <c r="L362" s="37" t="s">
        <v>46</v>
      </c>
      <c r="M362" s="38" t="s">
        <v>86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351</v>
      </c>
      <c r="AG362" s="78"/>
      <c r="AJ362" s="84" t="s">
        <v>46</v>
      </c>
      <c r="AK362" s="84">
        <v>0</v>
      </c>
      <c r="BB362" s="44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592</v>
      </c>
      <c r="B363" s="63" t="s">
        <v>593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134</v>
      </c>
      <c r="L363" s="37" t="s">
        <v>46</v>
      </c>
      <c r="M363" s="38" t="s">
        <v>86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594</v>
      </c>
      <c r="AG363" s="78"/>
      <c r="AJ363" s="84" t="s">
        <v>46</v>
      </c>
      <c r="AK363" s="84">
        <v>0</v>
      </c>
      <c r="BB363" s="44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595</v>
      </c>
      <c r="B364" s="63" t="s">
        <v>596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597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598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129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599</v>
      </c>
      <c r="B369" s="63" t="s">
        <v>600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134</v>
      </c>
      <c r="L369" s="37" t="s">
        <v>46</v>
      </c>
      <c r="M369" s="38" t="s">
        <v>133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601</v>
      </c>
      <c r="AG369" s="78"/>
      <c r="AJ369" s="84" t="s">
        <v>46</v>
      </c>
      <c r="AK369" s="84">
        <v>0</v>
      </c>
      <c r="BB369" s="451" t="s">
        <v>66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602</v>
      </c>
      <c r="B370" s="63" t="s">
        <v>603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134</v>
      </c>
      <c r="L370" s="37" t="s">
        <v>46</v>
      </c>
      <c r="M370" s="38" t="s">
        <v>133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604</v>
      </c>
      <c r="AG370" s="78"/>
      <c r="AJ370" s="84" t="s">
        <v>46</v>
      </c>
      <c r="AK370" s="84">
        <v>0</v>
      </c>
      <c r="BB370" s="453" t="s">
        <v>66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605</v>
      </c>
      <c r="B371" s="63" t="s">
        <v>606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507</v>
      </c>
      <c r="AG371" s="78"/>
      <c r="AJ371" s="84" t="s">
        <v>46</v>
      </c>
      <c r="AK371" s="84">
        <v>0</v>
      </c>
      <c r="BB371" s="455" t="s">
        <v>66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607</v>
      </c>
      <c r="B372" s="63" t="s">
        <v>608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609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610</v>
      </c>
      <c r="B373" s="63" t="s">
        <v>611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86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612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613</v>
      </c>
      <c r="B374" s="63" t="s">
        <v>614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141</v>
      </c>
      <c r="L374" s="37" t="s">
        <v>46</v>
      </c>
      <c r="M374" s="38" t="s">
        <v>133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604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615</v>
      </c>
      <c r="B375" s="63" t="s">
        <v>616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141</v>
      </c>
      <c r="L375" s="37" t="s">
        <v>46</v>
      </c>
      <c r="M375" s="38" t="s">
        <v>133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617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3" t="s">
        <v>76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hidden="1" customHeight="1" x14ac:dyDescent="0.25">
      <c r="A379" s="63" t="s">
        <v>618</v>
      </c>
      <c r="B379" s="63" t="s">
        <v>619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141</v>
      </c>
      <c r="L379" s="37" t="s">
        <v>46</v>
      </c>
      <c r="M379" s="38" t="s">
        <v>80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620</v>
      </c>
      <c r="AG379" s="78"/>
      <c r="AJ379" s="84" t="s">
        <v>46</v>
      </c>
      <c r="AK379" s="84">
        <v>0</v>
      </c>
      <c r="BB379" s="465" t="s">
        <v>66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621</v>
      </c>
      <c r="B380" s="63" t="s">
        <v>622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141</v>
      </c>
      <c r="L380" s="37" t="s">
        <v>46</v>
      </c>
      <c r="M380" s="38" t="s">
        <v>80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623</v>
      </c>
      <c r="AG380" s="78"/>
      <c r="AJ380" s="84" t="s">
        <v>46</v>
      </c>
      <c r="AK380" s="84">
        <v>0</v>
      </c>
      <c r="BB380" s="467" t="s">
        <v>66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624</v>
      </c>
      <c r="B381" s="63" t="s">
        <v>625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626</v>
      </c>
      <c r="AG381" s="78"/>
      <c r="AJ381" s="84" t="s">
        <v>46</v>
      </c>
      <c r="AK381" s="84">
        <v>0</v>
      </c>
      <c r="BB381" s="469" t="s">
        <v>66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627</v>
      </c>
      <c r="B382" s="63" t="s">
        <v>628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623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629</v>
      </c>
      <c r="B383" s="63" t="s">
        <v>630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81</v>
      </c>
      <c r="L383" s="37" t="s">
        <v>46</v>
      </c>
      <c r="M383" s="38" t="s">
        <v>80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631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632</v>
      </c>
      <c r="B384" s="63" t="s">
        <v>633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141</v>
      </c>
      <c r="L384" s="37" t="s">
        <v>46</v>
      </c>
      <c r="M384" s="38" t="s">
        <v>80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626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634</v>
      </c>
      <c r="B385" s="63" t="s">
        <v>635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87</v>
      </c>
      <c r="L385" s="37" t="s">
        <v>46</v>
      </c>
      <c r="M385" s="38" t="s">
        <v>80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636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13" t="s">
        <v>82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637</v>
      </c>
      <c r="B389" s="63" t="s">
        <v>638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134</v>
      </c>
      <c r="L389" s="37" t="s">
        <v>46</v>
      </c>
      <c r="M389" s="38" t="s">
        <v>86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639</v>
      </c>
      <c r="AG389" s="78"/>
      <c r="AJ389" s="84" t="s">
        <v>46</v>
      </c>
      <c r="AK389" s="84">
        <v>0</v>
      </c>
      <c r="BB389" s="47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640</v>
      </c>
      <c r="B390" s="63" t="s">
        <v>641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134</v>
      </c>
      <c r="L390" s="37" t="s">
        <v>46</v>
      </c>
      <c r="M390" s="38" t="s">
        <v>86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642</v>
      </c>
      <c r="AG390" s="78"/>
      <c r="AJ390" s="84" t="s">
        <v>46</v>
      </c>
      <c r="AK390" s="84">
        <v>0</v>
      </c>
      <c r="BB390" s="48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643</v>
      </c>
      <c r="B391" s="63" t="s">
        <v>644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645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646</v>
      </c>
      <c r="B392" s="63" t="s">
        <v>647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87</v>
      </c>
      <c r="L392" s="37" t="s">
        <v>46</v>
      </c>
      <c r="M392" s="38" t="s">
        <v>86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639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182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648</v>
      </c>
      <c r="B396" s="63" t="s">
        <v>649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134</v>
      </c>
      <c r="L396" s="37" t="s">
        <v>46</v>
      </c>
      <c r="M396" s="38" t="s">
        <v>86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650</v>
      </c>
      <c r="AG396" s="78"/>
      <c r="AJ396" s="84" t="s">
        <v>46</v>
      </c>
      <c r="AK396" s="84">
        <v>0</v>
      </c>
      <c r="BB396" s="48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651</v>
      </c>
      <c r="B397" s="63" t="s">
        <v>652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134</v>
      </c>
      <c r="L397" s="37" t="s">
        <v>46</v>
      </c>
      <c r="M397" s="38" t="s">
        <v>86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653</v>
      </c>
      <c r="AG397" s="78"/>
      <c r="AJ397" s="84" t="s">
        <v>46</v>
      </c>
      <c r="AK397" s="84">
        <v>0</v>
      </c>
      <c r="BB397" s="48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654</v>
      </c>
      <c r="B398" s="63" t="s">
        <v>655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93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656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13" t="s">
        <v>100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657</v>
      </c>
      <c r="B402" s="63" t="s">
        <v>658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141</v>
      </c>
      <c r="L402" s="37" t="s">
        <v>46</v>
      </c>
      <c r="M402" s="38" t="s">
        <v>260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659</v>
      </c>
      <c r="AG402" s="78"/>
      <c r="AJ402" s="84" t="s">
        <v>46</v>
      </c>
      <c r="AK402" s="84">
        <v>0</v>
      </c>
      <c r="BB402" s="49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660</v>
      </c>
      <c r="B403" s="63" t="s">
        <v>661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141</v>
      </c>
      <c r="L403" s="37" t="s">
        <v>46</v>
      </c>
      <c r="M403" s="38" t="s">
        <v>260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659</v>
      </c>
      <c r="AG403" s="78"/>
      <c r="AJ403" s="84" t="s">
        <v>46</v>
      </c>
      <c r="AK403" s="84">
        <v>0</v>
      </c>
      <c r="BB403" s="49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662</v>
      </c>
      <c r="B404" s="63" t="s">
        <v>663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87</v>
      </c>
      <c r="L404" s="37" t="s">
        <v>46</v>
      </c>
      <c r="M404" s="38" t="s">
        <v>260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659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664</v>
      </c>
      <c r="B405" s="63" t="s">
        <v>665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87</v>
      </c>
      <c r="L405" s="37" t="s">
        <v>46</v>
      </c>
      <c r="M405" s="38" t="s">
        <v>260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659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666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667</v>
      </c>
      <c r="B409" s="63" t="s">
        <v>668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87</v>
      </c>
      <c r="L409" s="37" t="s">
        <v>46</v>
      </c>
      <c r="M409" s="38" t="s">
        <v>670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669</v>
      </c>
      <c r="AG409" s="78"/>
      <c r="AJ409" s="84" t="s">
        <v>46</v>
      </c>
      <c r="AK409" s="84">
        <v>0</v>
      </c>
      <c r="BB409" s="50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671</v>
      </c>
      <c r="B410" s="63" t="s">
        <v>672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87</v>
      </c>
      <c r="L410" s="37" t="s">
        <v>46</v>
      </c>
      <c r="M410" s="38" t="s">
        <v>670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669</v>
      </c>
      <c r="AG410" s="78"/>
      <c r="AJ410" s="84" t="s">
        <v>46</v>
      </c>
      <c r="AK410" s="84">
        <v>0</v>
      </c>
      <c r="BB410" s="50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673</v>
      </c>
      <c r="B411" s="63" t="s">
        <v>674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670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669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675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676</v>
      </c>
      <c r="B415" s="63" t="s">
        <v>677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87</v>
      </c>
      <c r="L415" s="37" t="s">
        <v>46</v>
      </c>
      <c r="M415" s="38" t="s">
        <v>670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678</v>
      </c>
      <c r="AG415" s="78"/>
      <c r="AJ415" s="84" t="s">
        <v>46</v>
      </c>
      <c r="AK415" s="84">
        <v>0</v>
      </c>
      <c r="BB415" s="50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679</v>
      </c>
      <c r="B416" s="63" t="s">
        <v>680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141</v>
      </c>
      <c r="L416" s="37" t="s">
        <v>46</v>
      </c>
      <c r="M416" s="38" t="s">
        <v>670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681</v>
      </c>
      <c r="AG416" s="78"/>
      <c r="AJ416" s="84" t="s">
        <v>46</v>
      </c>
      <c r="AK416" s="84">
        <v>0</v>
      </c>
      <c r="BB416" s="50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682</v>
      </c>
      <c r="B417" s="63" t="s">
        <v>683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670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678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684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82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685</v>
      </c>
      <c r="B422" s="63" t="s">
        <v>686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134</v>
      </c>
      <c r="L422" s="37" t="s">
        <v>46</v>
      </c>
      <c r="M422" s="38" t="s">
        <v>86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687</v>
      </c>
      <c r="AG422" s="78"/>
      <c r="AJ422" s="84" t="s">
        <v>46</v>
      </c>
      <c r="AK422" s="84">
        <v>0</v>
      </c>
      <c r="BB422" s="51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685</v>
      </c>
      <c r="B423" s="63" t="s">
        <v>688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134</v>
      </c>
      <c r="L423" s="37" t="s">
        <v>46</v>
      </c>
      <c r="M423" s="38" t="s">
        <v>86</v>
      </c>
      <c r="N423" s="38"/>
      <c r="O423" s="37">
        <v>40</v>
      </c>
      <c r="P423" s="936" t="s">
        <v>689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690</v>
      </c>
      <c r="AG423" s="78"/>
      <c r="AJ423" s="84" t="s">
        <v>46</v>
      </c>
      <c r="AK423" s="84">
        <v>0</v>
      </c>
      <c r="BB423" s="515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691</v>
      </c>
      <c r="B424" s="63" t="s">
        <v>692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693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691</v>
      </c>
      <c r="B425" s="63" t="s">
        <v>694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695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696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82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hidden="1" customHeight="1" x14ac:dyDescent="0.25">
      <c r="A430" s="63" t="s">
        <v>697</v>
      </c>
      <c r="B430" s="63" t="s">
        <v>698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134</v>
      </c>
      <c r="L430" s="37" t="s">
        <v>46</v>
      </c>
      <c r="M430" s="38" t="s">
        <v>93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699</v>
      </c>
      <c r="AG430" s="78"/>
      <c r="AJ430" s="84" t="s">
        <v>46</v>
      </c>
      <c r="AK430" s="84">
        <v>0</v>
      </c>
      <c r="BB430" s="521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700</v>
      </c>
      <c r="B431" s="63" t="s">
        <v>701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87</v>
      </c>
      <c r="L431" s="37" t="s">
        <v>46</v>
      </c>
      <c r="M431" s="38" t="s">
        <v>86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702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703</v>
      </c>
      <c r="B432" s="63" t="s">
        <v>704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87</v>
      </c>
      <c r="L432" s="37" t="s">
        <v>46</v>
      </c>
      <c r="M432" s="38" t="s">
        <v>93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705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711" t="s">
        <v>706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707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129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708</v>
      </c>
      <c r="B438" s="63" t="s">
        <v>709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134</v>
      </c>
      <c r="L438" s="37" t="s">
        <v>46</v>
      </c>
      <c r="M438" s="38" t="s">
        <v>93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710</v>
      </c>
      <c r="AG438" s="78"/>
      <c r="AJ438" s="84" t="s">
        <v>46</v>
      </c>
      <c r="AK438" s="84">
        <v>0</v>
      </c>
      <c r="BB438" s="527" t="s">
        <v>66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hidden="1" customHeight="1" x14ac:dyDescent="0.25">
      <c r="A439" s="63" t="s">
        <v>711</v>
      </c>
      <c r="B439" s="63" t="s">
        <v>712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80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713</v>
      </c>
      <c r="AG439" s="78"/>
      <c r="AJ439" s="84" t="s">
        <v>46</v>
      </c>
      <c r="AK439" s="84">
        <v>0</v>
      </c>
      <c r="BB439" s="529" t="s">
        <v>66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hidden="1" customHeight="1" x14ac:dyDescent="0.25">
      <c r="A440" s="63" t="s">
        <v>714</v>
      </c>
      <c r="B440" s="63" t="s">
        <v>715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133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716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717</v>
      </c>
      <c r="B441" s="63" t="s">
        <v>718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80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719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720</v>
      </c>
      <c r="B442" s="63" t="s">
        <v>721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93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722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723</v>
      </c>
      <c r="B443" s="63" t="s">
        <v>724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141</v>
      </c>
      <c r="L443" s="37" t="s">
        <v>46</v>
      </c>
      <c r="M443" s="38" t="s">
        <v>133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725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726</v>
      </c>
      <c r="B444" s="63" t="s">
        <v>727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141</v>
      </c>
      <c r="L444" s="37" t="s">
        <v>46</v>
      </c>
      <c r="M444" s="38" t="s">
        <v>80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728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729</v>
      </c>
      <c r="B445" s="63" t="s">
        <v>730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731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idden="1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0</v>
      </c>
      <c r="Y446" s="43">
        <f>IFERROR(Y438/H438,"0")+IFERROR(Y439/H439,"0")+IFERROR(Y440/H440,"0")+IFERROR(Y441/H441,"0")+IFERROR(Y442/H442,"0")+IFERROR(Y443/H443,"0")+IFERROR(Y444/H444,"0")+IFERROR(Y445/H445,"0")</f>
        <v>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0</v>
      </c>
      <c r="Y447" s="43">
        <f>IFERROR(SUM(Y438:Y445),"0")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3" t="s">
        <v>164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732</v>
      </c>
      <c r="B449" s="63" t="s">
        <v>733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134</v>
      </c>
      <c r="L449" s="37" t="s">
        <v>46</v>
      </c>
      <c r="M449" s="38" t="s">
        <v>133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350</v>
      </c>
      <c r="Y449" s="55">
        <f>IFERROR(IF(X449="",0,CEILING((X449/$H449),1)*$H449),"")</f>
        <v>360</v>
      </c>
      <c r="Z449" s="41">
        <f>IFERROR(IF(Y449=0,"",ROUNDUP(Y449/H449,0)*0.02175),"")</f>
        <v>0.52200000000000002</v>
      </c>
      <c r="AA449" s="68" t="s">
        <v>46</v>
      </c>
      <c r="AB449" s="69" t="s">
        <v>46</v>
      </c>
      <c r="AC449" s="542" t="s">
        <v>734</v>
      </c>
      <c r="AG449" s="78"/>
      <c r="AJ449" s="84" t="s">
        <v>46</v>
      </c>
      <c r="AK449" s="84">
        <v>0</v>
      </c>
      <c r="BB449" s="543" t="s">
        <v>66</v>
      </c>
      <c r="BM449" s="78">
        <f>IFERROR(X449*I449/H449,"0")</f>
        <v>360.96666666666664</v>
      </c>
      <c r="BN449" s="78">
        <f>IFERROR(Y449*I449/H449,"0")</f>
        <v>371.28</v>
      </c>
      <c r="BO449" s="78">
        <f>IFERROR(1/J449*(X449/H449),"0")</f>
        <v>0.48611111111111105</v>
      </c>
      <c r="BP449" s="78">
        <f>IFERROR(1/J449*(Y449/H449),"0")</f>
        <v>0.5</v>
      </c>
    </row>
    <row r="450" spans="1:68" ht="27" hidden="1" customHeight="1" x14ac:dyDescent="0.25">
      <c r="A450" s="63" t="s">
        <v>735</v>
      </c>
      <c r="B450" s="63" t="s">
        <v>736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738</v>
      </c>
      <c r="B451" s="63" t="s">
        <v>739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141</v>
      </c>
      <c r="L451" s="37" t="s">
        <v>46</v>
      </c>
      <c r="M451" s="38" t="s">
        <v>133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740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23.333333333333332</v>
      </c>
      <c r="Y452" s="43">
        <f>IFERROR(Y449/H449,"0")+IFERROR(Y450/H450,"0")+IFERROR(Y451/H451,"0")</f>
        <v>24</v>
      </c>
      <c r="Z452" s="43">
        <f>IFERROR(IF(Z449="",0,Z449),"0")+IFERROR(IF(Z450="",0,Z450),"0")+IFERROR(IF(Z451="",0,Z451),"0")</f>
        <v>0.52200000000000002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350</v>
      </c>
      <c r="Y453" s="43">
        <f>IFERROR(SUM(Y449:Y451),"0")</f>
        <v>360</v>
      </c>
      <c r="Z453" s="42"/>
      <c r="AA453" s="67"/>
      <c r="AB453" s="67"/>
      <c r="AC453" s="67"/>
    </row>
    <row r="454" spans="1:68" ht="14.25" hidden="1" customHeight="1" x14ac:dyDescent="0.25">
      <c r="A454" s="713" t="s">
        <v>82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741</v>
      </c>
      <c r="B455" s="63" t="s">
        <v>742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134</v>
      </c>
      <c r="L455" s="37" t="s">
        <v>46</v>
      </c>
      <c r="M455" s="38" t="s">
        <v>86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743</v>
      </c>
      <c r="AG455" s="78"/>
      <c r="AJ455" s="84" t="s">
        <v>46</v>
      </c>
      <c r="AK455" s="84">
        <v>0</v>
      </c>
      <c r="BB455" s="54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744</v>
      </c>
      <c r="B456" s="63" t="s">
        <v>745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746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747</v>
      </c>
      <c r="B457" s="63" t="s">
        <v>748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134</v>
      </c>
      <c r="L457" s="37" t="s">
        <v>46</v>
      </c>
      <c r="M457" s="38" t="s">
        <v>86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749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182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750</v>
      </c>
      <c r="B461" s="63" t="s">
        <v>751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134</v>
      </c>
      <c r="L461" s="37" t="s">
        <v>46</v>
      </c>
      <c r="M461" s="38" t="s">
        <v>86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752</v>
      </c>
      <c r="AG461" s="78"/>
      <c r="AJ461" s="84" t="s">
        <v>46</v>
      </c>
      <c r="AK461" s="84">
        <v>0</v>
      </c>
      <c r="BB461" s="555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753</v>
      </c>
      <c r="B462" s="63" t="s">
        <v>754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134</v>
      </c>
      <c r="L462" s="37" t="s">
        <v>46</v>
      </c>
      <c r="M462" s="38" t="s">
        <v>86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755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756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129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757</v>
      </c>
      <c r="B467" s="63" t="s">
        <v>758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134</v>
      </c>
      <c r="L467" s="37" t="s">
        <v>46</v>
      </c>
      <c r="M467" s="38" t="s">
        <v>80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759</v>
      </c>
      <c r="AG467" s="78"/>
      <c r="AJ467" s="84" t="s">
        <v>46</v>
      </c>
      <c r="AK467" s="84">
        <v>0</v>
      </c>
      <c r="BB467" s="559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760</v>
      </c>
      <c r="B468" s="63" t="s">
        <v>761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141</v>
      </c>
      <c r="L468" s="37" t="s">
        <v>46</v>
      </c>
      <c r="M468" s="38" t="s">
        <v>80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759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762</v>
      </c>
      <c r="B472" s="63" t="s">
        <v>763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141</v>
      </c>
      <c r="L472" s="37" t="s">
        <v>46</v>
      </c>
      <c r="M472" s="38" t="s">
        <v>80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764</v>
      </c>
      <c r="AG472" s="78"/>
      <c r="AJ472" s="84" t="s">
        <v>46</v>
      </c>
      <c r="AK472" s="84">
        <v>0</v>
      </c>
      <c r="BB472" s="563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82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765</v>
      </c>
      <c r="B476" s="63" t="s">
        <v>766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134</v>
      </c>
      <c r="L476" s="37" t="s">
        <v>46</v>
      </c>
      <c r="M476" s="38" t="s">
        <v>86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767</v>
      </c>
      <c r="AG476" s="78"/>
      <c r="AJ476" s="84" t="s">
        <v>46</v>
      </c>
      <c r="AK476" s="84">
        <v>0</v>
      </c>
      <c r="BB476" s="565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768</v>
      </c>
      <c r="B477" s="63" t="s">
        <v>769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87</v>
      </c>
      <c r="L477" s="37" t="s">
        <v>46</v>
      </c>
      <c r="M477" s="38" t="s">
        <v>86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767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768</v>
      </c>
      <c r="B478" s="63" t="s">
        <v>770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772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773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76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774</v>
      </c>
      <c r="B484" s="63" t="s">
        <v>775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141</v>
      </c>
      <c r="L484" s="37" t="s">
        <v>46</v>
      </c>
      <c r="M484" s="38" t="s">
        <v>80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776</v>
      </c>
      <c r="AG484" s="78"/>
      <c r="AJ484" s="84" t="s">
        <v>46</v>
      </c>
      <c r="AK484" s="84">
        <v>0</v>
      </c>
      <c r="BB484" s="571" t="s">
        <v>66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777</v>
      </c>
      <c r="B485" s="63" t="s">
        <v>778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779</v>
      </c>
      <c r="AG485" s="78"/>
      <c r="AJ485" s="84" t="s">
        <v>46</v>
      </c>
      <c r="AK485" s="84">
        <v>0</v>
      </c>
      <c r="BB485" s="573" t="s">
        <v>66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780</v>
      </c>
      <c r="B486" s="63" t="s">
        <v>781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776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782</v>
      </c>
      <c r="B487" s="63" t="s">
        <v>783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784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787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788</v>
      </c>
      <c r="B489" s="63" t="s">
        <v>789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784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713" t="s">
        <v>82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790</v>
      </c>
      <c r="B493" s="63" t="s">
        <v>791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141</v>
      </c>
      <c r="L493" s="37" t="s">
        <v>46</v>
      </c>
      <c r="M493" s="38" t="s">
        <v>86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792</v>
      </c>
      <c r="AG493" s="78"/>
      <c r="AJ493" s="84" t="s">
        <v>46</v>
      </c>
      <c r="AK493" s="84">
        <v>0</v>
      </c>
      <c r="BB493" s="583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793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164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794</v>
      </c>
      <c r="B498" s="63" t="s">
        <v>795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87</v>
      </c>
      <c r="L498" s="37" t="s">
        <v>46</v>
      </c>
      <c r="M498" s="38" t="s">
        <v>80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796</v>
      </c>
      <c r="AG498" s="78"/>
      <c r="AJ498" s="84" t="s">
        <v>46</v>
      </c>
      <c r="AK498" s="84">
        <v>0</v>
      </c>
      <c r="BB498" s="585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76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797</v>
      </c>
      <c r="B502" s="63" t="s">
        <v>798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141</v>
      </c>
      <c r="L502" s="37" t="s">
        <v>46</v>
      </c>
      <c r="M502" s="38" t="s">
        <v>80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799</v>
      </c>
      <c r="AG502" s="78"/>
      <c r="AJ502" s="84" t="s">
        <v>46</v>
      </c>
      <c r="AK502" s="84">
        <v>0</v>
      </c>
      <c r="BB502" s="58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800</v>
      </c>
      <c r="B503" s="63" t="s">
        <v>801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81</v>
      </c>
      <c r="L503" s="37" t="s">
        <v>46</v>
      </c>
      <c r="M503" s="38" t="s">
        <v>80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802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803</v>
      </c>
      <c r="B504" s="63" t="s">
        <v>804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802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805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805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129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806</v>
      </c>
      <c r="B510" s="63" t="s">
        <v>807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134</v>
      </c>
      <c r="L510" s="37" t="s">
        <v>46</v>
      </c>
      <c r="M510" s="38" t="s">
        <v>86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132</v>
      </c>
      <c r="AG510" s="78"/>
      <c r="AJ510" s="84" t="s">
        <v>46</v>
      </c>
      <c r="AK510" s="84">
        <v>0</v>
      </c>
      <c r="BB510" s="593" t="s">
        <v>66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808</v>
      </c>
      <c r="B511" s="63" t="s">
        <v>809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133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810</v>
      </c>
      <c r="AG511" s="78"/>
      <c r="AJ511" s="84" t="s">
        <v>46</v>
      </c>
      <c r="AK511" s="84">
        <v>0</v>
      </c>
      <c r="BB511" s="595" t="s">
        <v>66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811</v>
      </c>
      <c r="B512" s="63" t="s">
        <v>812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813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814</v>
      </c>
      <c r="B513" s="63" t="s">
        <v>815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816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817</v>
      </c>
      <c r="B514" s="63" t="s">
        <v>818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819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820</v>
      </c>
      <c r="B515" s="63" t="s">
        <v>821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87</v>
      </c>
      <c r="L515" s="37" t="s">
        <v>46</v>
      </c>
      <c r="M515" s="38" t="s">
        <v>86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132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822</v>
      </c>
      <c r="B516" s="63" t="s">
        <v>823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141</v>
      </c>
      <c r="L516" s="37" t="s">
        <v>46</v>
      </c>
      <c r="M516" s="38" t="s">
        <v>86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824</v>
      </c>
      <c r="B517" s="63" t="s">
        <v>825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133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819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idden="1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13" t="s">
        <v>164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826</v>
      </c>
      <c r="B521" s="63" t="s">
        <v>827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134</v>
      </c>
      <c r="L521" s="37" t="s">
        <v>46</v>
      </c>
      <c r="M521" s="38" t="s">
        <v>86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828</v>
      </c>
      <c r="AG521" s="78"/>
      <c r="AJ521" s="84" t="s">
        <v>46</v>
      </c>
      <c r="AK521" s="84">
        <v>0</v>
      </c>
      <c r="BB521" s="60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829</v>
      </c>
      <c r="B522" s="63" t="s">
        <v>830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87</v>
      </c>
      <c r="L522" s="37" t="s">
        <v>46</v>
      </c>
      <c r="M522" s="38" t="s">
        <v>133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828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831</v>
      </c>
      <c r="B523" s="63" t="s">
        <v>832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141</v>
      </c>
      <c r="L523" s="37" t="s">
        <v>46</v>
      </c>
      <c r="M523" s="38" t="s">
        <v>133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828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76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hidden="1" customHeight="1" x14ac:dyDescent="0.25">
      <c r="A527" s="63" t="s">
        <v>833</v>
      </c>
      <c r="B527" s="63" t="s">
        <v>834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134</v>
      </c>
      <c r="L527" s="37" t="s">
        <v>46</v>
      </c>
      <c r="M527" s="38" t="s">
        <v>133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835</v>
      </c>
      <c r="AG527" s="78"/>
      <c r="AJ527" s="84" t="s">
        <v>46</v>
      </c>
      <c r="AK527" s="84">
        <v>0</v>
      </c>
      <c r="BB527" s="615" t="s">
        <v>66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836</v>
      </c>
      <c r="B528" s="63" t="s">
        <v>837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80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838</v>
      </c>
      <c r="AG528" s="78"/>
      <c r="AJ528" s="84" t="s">
        <v>46</v>
      </c>
      <c r="AK528" s="84">
        <v>0</v>
      </c>
      <c r="BB528" s="617" t="s">
        <v>66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839</v>
      </c>
      <c r="B529" s="63" t="s">
        <v>840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841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842</v>
      </c>
      <c r="B530" s="63" t="s">
        <v>843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141</v>
      </c>
      <c r="L530" s="37" t="s">
        <v>46</v>
      </c>
      <c r="M530" s="38" t="s">
        <v>133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844</v>
      </c>
      <c r="B531" s="63" t="s">
        <v>845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141</v>
      </c>
      <c r="L531" s="37" t="s">
        <v>46</v>
      </c>
      <c r="M531" s="38" t="s">
        <v>80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838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844</v>
      </c>
      <c r="B532" s="63" t="s">
        <v>846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838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847</v>
      </c>
      <c r="B533" s="63" t="s">
        <v>848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841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11" t="s">
        <v>849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849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129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850</v>
      </c>
      <c r="B539" s="63" t="s">
        <v>851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134</v>
      </c>
      <c r="L539" s="37" t="s">
        <v>46</v>
      </c>
      <c r="M539" s="38" t="s">
        <v>133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852</v>
      </c>
      <c r="AG539" s="78"/>
      <c r="AJ539" s="84" t="s">
        <v>46</v>
      </c>
      <c r="AK539" s="84">
        <v>0</v>
      </c>
      <c r="BB539" s="629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164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853</v>
      </c>
      <c r="B543" s="63" t="s">
        <v>854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134</v>
      </c>
      <c r="L543" s="37" t="s">
        <v>46</v>
      </c>
      <c r="M543" s="38" t="s">
        <v>86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734</v>
      </c>
      <c r="AG543" s="78"/>
      <c r="AJ543" s="84" t="s">
        <v>46</v>
      </c>
      <c r="AK543" s="84">
        <v>0</v>
      </c>
      <c r="BB543" s="631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76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hidden="1" customHeight="1" x14ac:dyDescent="0.25">
      <c r="A547" s="63" t="s">
        <v>855</v>
      </c>
      <c r="B547" s="63" t="s">
        <v>856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141</v>
      </c>
      <c r="L547" s="37" t="s">
        <v>46</v>
      </c>
      <c r="M547" s="38" t="s">
        <v>80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857</v>
      </c>
      <c r="AG547" s="78"/>
      <c r="AJ547" s="84" t="s">
        <v>46</v>
      </c>
      <c r="AK547" s="84">
        <v>0</v>
      </c>
      <c r="BB547" s="633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3" t="s">
        <v>82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858</v>
      </c>
      <c r="B551" s="63" t="s">
        <v>859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134</v>
      </c>
      <c r="L551" s="37" t="s">
        <v>46</v>
      </c>
      <c r="M551" s="38" t="s">
        <v>86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860</v>
      </c>
      <c r="AG551" s="78"/>
      <c r="AJ551" s="84" t="s">
        <v>46</v>
      </c>
      <c r="AK551" s="84">
        <v>0</v>
      </c>
      <c r="BB551" s="635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182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861</v>
      </c>
      <c r="B555" s="63" t="s">
        <v>862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134</v>
      </c>
      <c r="L555" s="37" t="s">
        <v>46</v>
      </c>
      <c r="M555" s="38" t="s">
        <v>86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863</v>
      </c>
      <c r="AG555" s="78"/>
      <c r="AJ555" s="84" t="s">
        <v>46</v>
      </c>
      <c r="AK555" s="84">
        <v>0</v>
      </c>
      <c r="BB555" s="63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864</v>
      </c>
      <c r="B556" s="63" t="s">
        <v>865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866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867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164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868</v>
      </c>
      <c r="B561" s="63" t="s">
        <v>869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134</v>
      </c>
      <c r="L561" s="37" t="s">
        <v>46</v>
      </c>
      <c r="M561" s="38" t="s">
        <v>133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870</v>
      </c>
      <c r="AG561" s="78"/>
      <c r="AJ561" s="84" t="s">
        <v>46</v>
      </c>
      <c r="AK561" s="84">
        <v>0</v>
      </c>
      <c r="BB561" s="641" t="s">
        <v>66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350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360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360.96666666666664</v>
      </c>
      <c r="Y565" s="43">
        <f>IFERROR(SUM(BN22:BN561),"0")</f>
        <v>371.28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1</v>
      </c>
      <c r="Y566" s="44">
        <f>ROUNDUP(SUM(BP22:BP561),0)</f>
        <v>1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385.96666666666664</v>
      </c>
      <c r="Y567" s="43">
        <f>GrossWeightTotalR+PalletQtyTotalR*25</f>
        <v>396.28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23.333333333333332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24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0.52200000000000002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75</v>
      </c>
      <c r="C571" s="85" t="s">
        <v>45</v>
      </c>
      <c r="D571" s="999" t="s">
        <v>127</v>
      </c>
      <c r="E571" s="999" t="s">
        <v>127</v>
      </c>
      <c r="F571" s="999" t="s">
        <v>127</v>
      </c>
      <c r="G571" s="999" t="s">
        <v>127</v>
      </c>
      <c r="H571" s="999" t="s">
        <v>127</v>
      </c>
      <c r="I571" s="999" t="s">
        <v>127</v>
      </c>
      <c r="J571" s="999" t="s">
        <v>127</v>
      </c>
      <c r="K571" s="999" t="s">
        <v>342</v>
      </c>
      <c r="L571" s="999" t="s">
        <v>342</v>
      </c>
      <c r="M571" s="999" t="s">
        <v>342</v>
      </c>
      <c r="N571" s="1005"/>
      <c r="O571" s="999" t="s">
        <v>342</v>
      </c>
      <c r="P571" s="999" t="s">
        <v>342</v>
      </c>
      <c r="Q571" s="999" t="s">
        <v>342</v>
      </c>
      <c r="R571" s="999" t="s">
        <v>342</v>
      </c>
      <c r="S571" s="999" t="s">
        <v>342</v>
      </c>
      <c r="T571" s="999" t="s">
        <v>342</v>
      </c>
      <c r="U571" s="999" t="s">
        <v>342</v>
      </c>
      <c r="V571" s="999" t="s">
        <v>342</v>
      </c>
      <c r="W571" s="999" t="s">
        <v>342</v>
      </c>
      <c r="X571" s="999" t="s">
        <v>706</v>
      </c>
      <c r="Y571" s="999" t="s">
        <v>706</v>
      </c>
      <c r="Z571" s="999" t="s">
        <v>772</v>
      </c>
      <c r="AA571" s="999" t="s">
        <v>772</v>
      </c>
      <c r="AB571" s="85" t="s">
        <v>805</v>
      </c>
      <c r="AC571" s="999" t="s">
        <v>849</v>
      </c>
      <c r="AD571" s="999" t="s">
        <v>849</v>
      </c>
      <c r="AF571" s="1"/>
    </row>
    <row r="572" spans="1:68" ht="14.25" customHeight="1" thickTop="1" x14ac:dyDescent="0.2">
      <c r="A572" s="1006" t="s">
        <v>10</v>
      </c>
      <c r="B572" s="999" t="s">
        <v>75</v>
      </c>
      <c r="C572" s="999" t="s">
        <v>111</v>
      </c>
      <c r="D572" s="999" t="s">
        <v>128</v>
      </c>
      <c r="E572" s="999" t="s">
        <v>144</v>
      </c>
      <c r="F572" s="999" t="s">
        <v>190</v>
      </c>
      <c r="G572" s="999" t="s">
        <v>214</v>
      </c>
      <c r="H572" s="999" t="s">
        <v>256</v>
      </c>
      <c r="I572" s="999" t="s">
        <v>269</v>
      </c>
      <c r="J572" s="999" t="s">
        <v>127</v>
      </c>
      <c r="K572" s="999" t="s">
        <v>343</v>
      </c>
      <c r="L572" s="999" t="s">
        <v>364</v>
      </c>
      <c r="M572" s="999" t="s">
        <v>428</v>
      </c>
      <c r="N572" s="1"/>
      <c r="O572" s="999" t="s">
        <v>494</v>
      </c>
      <c r="P572" s="999" t="s">
        <v>529</v>
      </c>
      <c r="Q572" s="999" t="s">
        <v>551</v>
      </c>
      <c r="R572" s="999" t="s">
        <v>560</v>
      </c>
      <c r="S572" s="999" t="s">
        <v>582</v>
      </c>
      <c r="T572" s="999" t="s">
        <v>589</v>
      </c>
      <c r="U572" s="999" t="s">
        <v>598</v>
      </c>
      <c r="V572" s="999" t="s">
        <v>684</v>
      </c>
      <c r="W572" s="999" t="s">
        <v>696</v>
      </c>
      <c r="X572" s="999" t="s">
        <v>707</v>
      </c>
      <c r="Y572" s="999" t="s">
        <v>756</v>
      </c>
      <c r="Z572" s="999" t="s">
        <v>773</v>
      </c>
      <c r="AA572" s="999" t="s">
        <v>793</v>
      </c>
      <c r="AB572" s="999" t="s">
        <v>805</v>
      </c>
      <c r="AC572" s="999" t="s">
        <v>849</v>
      </c>
      <c r="AD572" s="999" t="s">
        <v>867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360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3,33"/>
        <filter val="350,00"/>
        <filter val="360,97"/>
        <filter val="385,97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3" spans="2:8" x14ac:dyDescent="0.2">
      <c r="B13" s="53" t="s">
        <v>895</v>
      </c>
      <c r="C13" s="53" t="s">
        <v>896</v>
      </c>
      <c r="D13" s="53" t="s">
        <v>134</v>
      </c>
      <c r="E13" s="53" t="s">
        <v>46</v>
      </c>
    </row>
    <row r="15" spans="2:8" x14ac:dyDescent="0.2">
      <c r="B15" s="53" t="s">
        <v>897</v>
      </c>
      <c r="C15" s="53" t="s">
        <v>875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878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881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884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887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890</v>
      </c>
      <c r="D25" s="53" t="s">
        <v>46</v>
      </c>
      <c r="E25" s="53" t="s">
        <v>46</v>
      </c>
    </row>
    <row r="27" spans="2:5" x14ac:dyDescent="0.2">
      <c r="B27" s="53" t="s">
        <v>903</v>
      </c>
      <c r="C27" s="53" t="s">
        <v>893</v>
      </c>
      <c r="D27" s="53" t="s">
        <v>46</v>
      </c>
      <c r="E27" s="53" t="s">
        <v>46</v>
      </c>
    </row>
    <row r="29" spans="2:5" x14ac:dyDescent="0.2">
      <c r="B29" s="53" t="s">
        <v>904</v>
      </c>
      <c r="C29" s="53" t="s">
        <v>896</v>
      </c>
      <c r="D29" s="53" t="s">
        <v>46</v>
      </c>
      <c r="E29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913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914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915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2026-10-19T08:33:18Z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