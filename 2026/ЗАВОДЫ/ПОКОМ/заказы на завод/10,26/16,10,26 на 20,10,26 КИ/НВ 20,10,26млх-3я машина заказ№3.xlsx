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4F510A-CE0F-43B4-ABC7-428FEE57DAB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X548" i="1"/>
  <c r="BO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X540" i="1"/>
  <c r="BO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M476" i="1"/>
  <c r="Y476" i="1"/>
  <c r="BP476" i="1" s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M221" i="1"/>
  <c r="Z221" i="1"/>
  <c r="Y221" i="1"/>
  <c r="BN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M208" i="1"/>
  <c r="Z208" i="1"/>
  <c r="Y208" i="1"/>
  <c r="BN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M176" i="1"/>
  <c r="Z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N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N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F9" i="1" l="1"/>
  <c r="J9" i="1"/>
  <c r="Z77" i="1"/>
  <c r="BP77" i="1"/>
  <c r="Z109" i="1"/>
  <c r="BP109" i="1"/>
  <c r="Z146" i="1"/>
  <c r="BP146" i="1"/>
  <c r="Z166" i="1"/>
  <c r="BP166" i="1"/>
  <c r="Z204" i="1"/>
  <c r="BP204" i="1"/>
  <c r="Z229" i="1"/>
  <c r="BP229" i="1"/>
  <c r="Z239" i="1"/>
  <c r="BP239" i="1"/>
  <c r="Z254" i="1"/>
  <c r="BP254" i="1"/>
  <c r="BN268" i="1"/>
  <c r="BN280" i="1"/>
  <c r="Z295" i="1"/>
  <c r="BP295" i="1"/>
  <c r="Z305" i="1"/>
  <c r="Z306" i="1" s="1"/>
  <c r="BP305" i="1"/>
  <c r="BN309" i="1"/>
  <c r="Y310" i="1"/>
  <c r="Z313" i="1"/>
  <c r="BP313" i="1"/>
  <c r="Z333" i="1"/>
  <c r="BP333" i="1"/>
  <c r="BN348" i="1"/>
  <c r="Z369" i="1"/>
  <c r="BP369" i="1"/>
  <c r="Z379" i="1"/>
  <c r="BP379" i="1"/>
  <c r="Z389" i="1"/>
  <c r="BP389" i="1"/>
  <c r="BN405" i="1"/>
  <c r="Z415" i="1"/>
  <c r="BP415" i="1"/>
  <c r="BN431" i="1"/>
  <c r="BN445" i="1"/>
  <c r="Z457" i="1"/>
  <c r="BP457" i="1"/>
  <c r="Z472" i="1"/>
  <c r="Z473" i="1" s="1"/>
  <c r="BP472" i="1"/>
  <c r="BN476" i="1"/>
  <c r="Z503" i="1"/>
  <c r="BP503" i="1"/>
  <c r="Z517" i="1"/>
  <c r="BP517" i="1"/>
  <c r="BN527" i="1"/>
  <c r="BN539" i="1"/>
  <c r="Y540" i="1"/>
  <c r="Z543" i="1"/>
  <c r="Z544" i="1" s="1"/>
  <c r="BP543" i="1"/>
  <c r="BN547" i="1"/>
  <c r="Y548" i="1"/>
  <c r="Z551" i="1"/>
  <c r="Z552" i="1" s="1"/>
  <c r="BP551" i="1"/>
  <c r="BN555" i="1"/>
  <c r="F10" i="1"/>
  <c r="Z22" i="1"/>
  <c r="Z23" i="1" s="1"/>
  <c r="Z42" i="1"/>
  <c r="Z117" i="1"/>
  <c r="Z136" i="1"/>
  <c r="Z153" i="1"/>
  <c r="Z184" i="1"/>
  <c r="Z235" i="1"/>
  <c r="Z245" i="1"/>
  <c r="Z30" i="1"/>
  <c r="Z52" i="1"/>
  <c r="Z63" i="1"/>
  <c r="Z123" i="1"/>
  <c r="Z249" i="1"/>
  <c r="Z250" i="1" s="1"/>
  <c r="BP249" i="1"/>
  <c r="Z268" i="1"/>
  <c r="Z280" i="1"/>
  <c r="BN305" i="1"/>
  <c r="Y306" i="1"/>
  <c r="Z309" i="1"/>
  <c r="Z310" i="1" s="1"/>
  <c r="BP309" i="1"/>
  <c r="Z348" i="1"/>
  <c r="Z405" i="1"/>
  <c r="Z431" i="1"/>
  <c r="Z445" i="1"/>
  <c r="BN472" i="1"/>
  <c r="Y473" i="1"/>
  <c r="Z476" i="1"/>
  <c r="Z527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47" i="1"/>
  <c r="Y55" i="1"/>
  <c r="Y103" i="1"/>
  <c r="Y114" i="1"/>
  <c r="Y120" i="1"/>
  <c r="Y128" i="1"/>
  <c r="Y132" i="1"/>
  <c r="Y137" i="1"/>
  <c r="Y143" i="1"/>
  <c r="BP154" i="1"/>
  <c r="BN154" i="1"/>
  <c r="Z154" i="1"/>
  <c r="Y159" i="1"/>
  <c r="BP158" i="1"/>
  <c r="BN158" i="1"/>
  <c r="Z158" i="1"/>
  <c r="Z159" i="1" s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Y37" i="1"/>
  <c r="Y68" i="1"/>
  <c r="Y74" i="1"/>
  <c r="Y80" i="1"/>
  <c r="Y86" i="1"/>
  <c r="Y95" i="1"/>
  <c r="Y148" i="1"/>
  <c r="BP145" i="1"/>
  <c r="Y156" i="1"/>
  <c r="Y160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Z406" i="1" s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376" i="1" l="1"/>
  <c r="Z74" i="1"/>
  <c r="Z256" i="1"/>
  <c r="Z349" i="1"/>
  <c r="Z393" i="1"/>
  <c r="Z240" i="1"/>
  <c r="Z272" i="1"/>
  <c r="Z102" i="1"/>
  <c r="Y566" i="1"/>
  <c r="Z31" i="1"/>
  <c r="Z386" i="1"/>
  <c r="Y568" i="1"/>
  <c r="Z518" i="1"/>
  <c r="Z433" i="1"/>
  <c r="Z490" i="1"/>
  <c r="Z343" i="1"/>
  <c r="Z302" i="1"/>
  <c r="Z365" i="1"/>
  <c r="Z291" i="1"/>
  <c r="Z155" i="1"/>
  <c r="Z127" i="1"/>
  <c r="Z67" i="1"/>
  <c r="Y565" i="1"/>
  <c r="Y567" i="1" s="1"/>
  <c r="Z317" i="1"/>
  <c r="Z261" i="1"/>
  <c r="Z426" i="1"/>
  <c r="Z505" i="1"/>
  <c r="Z328" i="1"/>
  <c r="Z286" i="1"/>
  <c r="Z399" i="1"/>
  <c r="Z210" i="1"/>
  <c r="Z85" i="1"/>
  <c r="Y564" i="1"/>
  <c r="Z335" i="1"/>
  <c r="Z185" i="1"/>
  <c r="Z4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<sst xmlns="http://schemas.openxmlformats.org/spreadsheetml/2006/main" count="2538" uniqueCount="917">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</sst>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46315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892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7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0.41666666666666669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100</v>
      </c>
      <c r="Y51" s="634">
        <f>IFERROR(IF(X51="",0,CEILING((X51/$H51),1)*$H51),"")</f>
        <v>108</v>
      </c>
      <c r="Z51" s="36">
        <f>IFERROR(IF(Y51=0,"",ROUNDUP(Y51/H51,0)*0.01898),"")</f>
        <v>0.1898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103.79629629629629</v>
      </c>
      <c r="BN51" s="64">
        <f>IFERROR(Y51*I51/H51,"0")</f>
        <v>112.1</v>
      </c>
      <c r="BO51" s="64">
        <f>IFERROR(1/J51*(X51/H51),"0")</f>
        <v>0.14467592592592593</v>
      </c>
      <c r="BP51" s="64">
        <f>IFERROR(1/J51*(Y51/H51),"0")</f>
        <v>0.15625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9.2592592592592595</v>
      </c>
      <c r="Y55" s="635">
        <f>IFERROR(Y51/H51,"0")+IFERROR(Y52/H52,"0")+IFERROR(Y53/H53,"0")+IFERROR(Y54/H54,"0")</f>
        <v>10</v>
      </c>
      <c r="Z55" s="635">
        <f>IFERROR(IF(Z51="",0,Z51),"0")+IFERROR(IF(Z52="",0,Z52),"0")+IFERROR(IF(Z53="",0,Z53),"0")+IFERROR(IF(Z54="",0,Z54),"0")</f>
        <v>0.1898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100</v>
      </c>
      <c r="Y56" s="635">
        <f>IFERROR(SUM(Y51:Y54),"0")</f>
        <v>108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0</v>
      </c>
      <c r="Y67" s="635">
        <f>IFERROR(Y59/H59,"0")+IFERROR(Y60/H60,"0")+IFERROR(Y61/H61,"0")+IFERROR(Y62/H62,"0")+IFERROR(Y63/H63,"0")+IFERROR(Y64/H64,"0")+IFERROR(Y65/H65,"0")+IFERROR(Y66/H66,"0")</f>
        <v>0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6"/>
      <c r="AB67" s="636"/>
      <c r="AC67" s="636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0</v>
      </c>
      <c r="Y68" s="635">
        <f>IFERROR(SUM(Y59:Y66),"0")</f>
        <v>0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250</v>
      </c>
      <c r="Y98" s="634">
        <f>IFERROR(IF(X98="",0,CEILING((X98/$H98),1)*$H98),"")</f>
        <v>251.1</v>
      </c>
      <c r="Z98" s="36">
        <f>IFERROR(IF(Y98=0,"",ROUNDUP(Y98/H98,0)*0.01898),"")</f>
        <v>0.58838000000000001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265.24691358024694</v>
      </c>
      <c r="BN98" s="64">
        <f>IFERROR(Y98*I98/H98,"0")</f>
        <v>266.41399999999999</v>
      </c>
      <c r="BO98" s="64">
        <f>IFERROR(1/J98*(X98/H98),"0")</f>
        <v>0.48225308641975312</v>
      </c>
      <c r="BP98" s="64">
        <f>IFERROR(1/J98*(Y98/H98),"0")</f>
        <v>0.484375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30.8641975308642</v>
      </c>
      <c r="Y102" s="635">
        <f>IFERROR(Y98/H98,"0")+IFERROR(Y99/H99,"0")+IFERROR(Y100/H100,"0")+IFERROR(Y101/H101,"0")</f>
        <v>31</v>
      </c>
      <c r="Z102" s="635">
        <f>IFERROR(IF(Z98="",0,Z98),"0")+IFERROR(IF(Z99="",0,Z99),"0")+IFERROR(IF(Z100="",0,Z100),"0")+IFERROR(IF(Z101="",0,Z101),"0")</f>
        <v>0.58838000000000001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250</v>
      </c>
      <c r="Y103" s="635">
        <f>IFERROR(SUM(Y98:Y101),"0")</f>
        <v>251.1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0</v>
      </c>
      <c r="Y113" s="635">
        <f>IFERROR(Y106/H106,"0")+IFERROR(Y107/H107,"0")+IFERROR(Y108/H108,"0")+IFERROR(Y109/H109,"0")+IFERROR(Y110/H110,"0")+IFERROR(Y111/H111,"0")+IFERROR(Y112/H112,"0")</f>
        <v>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6"/>
      <c r="AB113" s="636"/>
      <c r="AC113" s="636"/>
    </row>
    <row r="114" spans="1:68" hidden="1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0</v>
      </c>
      <c r="Y114" s="635">
        <f>IFERROR(SUM(Y106:Y112),"0")</f>
        <v>0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100</v>
      </c>
      <c r="Y123" s="634">
        <f>IFERROR(IF(X123="",0,CEILING((X123/$H123),1)*$H123),"")</f>
        <v>105.3</v>
      </c>
      <c r="Z123" s="36">
        <f>IFERROR(IF(Y123=0,"",ROUNDUP(Y123/H123,0)*0.01898),"")</f>
        <v>0.24674000000000001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106.0246913580247</v>
      </c>
      <c r="BN123" s="64">
        <f>IFERROR(Y123*I123/H123,"0")</f>
        <v>111.64399999999999</v>
      </c>
      <c r="BO123" s="64">
        <f>IFERROR(1/J123*(X123/H123),"0")</f>
        <v>0.19290123456790123</v>
      </c>
      <c r="BP123" s="64">
        <f>IFERROR(1/J123*(Y123/H123),"0")</f>
        <v>0.203125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12.345679012345679</v>
      </c>
      <c r="Y127" s="635">
        <f>IFERROR(Y123/H123,"0")+IFERROR(Y124/H124,"0")+IFERROR(Y125/H125,"0")+IFERROR(Y126/H126,"0")</f>
        <v>13</v>
      </c>
      <c r="Z127" s="635">
        <f>IFERROR(IF(Z123="",0,Z123),"0")+IFERROR(IF(Z124="",0,Z124),"0")+IFERROR(IF(Z125="",0,Z125),"0")+IFERROR(IF(Z126="",0,Z126),"0")</f>
        <v>0.24674000000000001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100</v>
      </c>
      <c r="Y128" s="635">
        <f>IFERROR(SUM(Y123:Y126),"0")</f>
        <v>105.3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hidden="1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0</v>
      </c>
      <c r="Y175" s="634">
        <f t="shared" ref="Y175:Y184" si="15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0</v>
      </c>
      <c r="BN175" s="64">
        <f t="shared" ref="BN175:BN184" si="17">IFERROR(Y175*I175/H175,"0")</f>
        <v>0</v>
      </c>
      <c r="BO175" s="64">
        <f t="shared" ref="BO175:BO184" si="18">IFERROR(1/J175*(X175/H175),"0")</f>
        <v>0</v>
      </c>
      <c r="BP175" s="64">
        <f t="shared" ref="BP175:BP184" si="19"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idden="1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6"/>
      <c r="AB185" s="636"/>
      <c r="AC185" s="636"/>
    </row>
    <row r="186" spans="1:68" hidden="1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0</v>
      </c>
      <c r="Y186" s="635">
        <f>IFERROR(SUM(Y175:Y184),"0")</f>
        <v>0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100</v>
      </c>
      <c r="Y220" s="634">
        <f t="shared" si="26"/>
        <v>100.80000000000001</v>
      </c>
      <c r="Z220" s="36">
        <f>IFERROR(IF(Y220=0,"",ROUNDUP(Y220/H220,0)*0.00902),"")</f>
        <v>0.21648000000000001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104.5238095238095</v>
      </c>
      <c r="BN220" s="64">
        <f t="shared" si="28"/>
        <v>105.36</v>
      </c>
      <c r="BO220" s="64">
        <f t="shared" si="29"/>
        <v>0.18037518037518038</v>
      </c>
      <c r="BP220" s="64">
        <f t="shared" si="30"/>
        <v>0.18181818181818182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23.80952380952381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24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0.21648000000000001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100</v>
      </c>
      <c r="Y233" s="635">
        <f>IFERROR(SUM(Y218:Y231),"0")</f>
        <v>100.80000000000001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0</v>
      </c>
      <c r="Y266" s="634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0</v>
      </c>
      <c r="Y267" s="634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idden="1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0</v>
      </c>
      <c r="Y272" s="635">
        <f>IFERROR(Y264/H264,"0")+IFERROR(Y265/H265,"0")+IFERROR(Y266/H266,"0")+IFERROR(Y267/H267,"0")+IFERROR(Y268/H268,"0")+IFERROR(Y269/H269,"0")+IFERROR(Y270/H270,"0")+IFERROR(Y271/H271,"0")</f>
        <v>0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36"/>
      <c r="AB272" s="636"/>
      <c r="AC272" s="636"/>
    </row>
    <row r="273" spans="1:68" hidden="1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0</v>
      </c>
      <c r="Y273" s="635">
        <f>IFERROR(SUM(Y264:Y271),"0")</f>
        <v>0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0</v>
      </c>
      <c r="Y276" s="634">
        <f t="shared" si="36"/>
        <v>0</v>
      </c>
      <c r="Z276" s="36" t="str">
        <f>IFERROR(IF(Y276=0,"",ROUNDUP(Y276/H276,0)*0.01898),"")</f>
        <v/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0</v>
      </c>
      <c r="Y278" s="634">
        <f t="shared" si="36"/>
        <v>0</v>
      </c>
      <c r="Z278" s="36" t="str">
        <f>IFERROR(IF(Y278=0,"",ROUNDUP(Y278/H278,0)*0.00651),"")</f>
        <v/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idden="1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36"/>
      <c r="AB286" s="636"/>
      <c r="AC286" s="636"/>
    </row>
    <row r="287" spans="1:68" hidden="1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0</v>
      </c>
      <c r="Y287" s="635">
        <f>IFERROR(SUM(Y275:Y285),"0")</f>
        <v>0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0</v>
      </c>
      <c r="Y399" s="635">
        <f>IFERROR(Y396/H396,"0")+IFERROR(Y397/H397,"0")+IFERROR(Y398/H398,"0")</f>
        <v>0</v>
      </c>
      <c r="Z399" s="635">
        <f>IFERROR(IF(Z396="",0,Z396),"0")+IFERROR(IF(Z397="",0,Z397),"0")+IFERROR(IF(Z398="",0,Z398),"0")</f>
        <v>0</v>
      </c>
      <c r="AA399" s="636"/>
      <c r="AB399" s="636"/>
      <c r="AC399" s="636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0</v>
      </c>
      <c r="Y400" s="635">
        <f>IFERROR(SUM(Y396:Y398),"0")</f>
        <v>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250</v>
      </c>
      <c r="Y439" s="634">
        <f t="shared" si="61"/>
        <v>255</v>
      </c>
      <c r="Z439" s="36">
        <f>IFERROR(IF(Y439=0,"",ROUNDUP(Y439/H439,0)*0.02175),"")</f>
        <v>0.36974999999999997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257.83333333333331</v>
      </c>
      <c r="BN439" s="64">
        <f t="shared" si="63"/>
        <v>262.99</v>
      </c>
      <c r="BO439" s="64">
        <f t="shared" si="64"/>
        <v>0.34722222222222221</v>
      </c>
      <c r="BP439" s="64">
        <f t="shared" si="65"/>
        <v>0.35416666666666663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100</v>
      </c>
      <c r="Y440" s="634">
        <f t="shared" si="61"/>
        <v>105</v>
      </c>
      <c r="Z440" s="36">
        <f>IFERROR(IF(Y440=0,"",ROUNDUP(Y440/H440,0)*0.02175),"")</f>
        <v>0.15225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103.13333333333334</v>
      </c>
      <c r="BN440" s="64">
        <f t="shared" si="63"/>
        <v>108.29</v>
      </c>
      <c r="BO440" s="64">
        <f t="shared" si="64"/>
        <v>0.1388888888888889</v>
      </c>
      <c r="BP440" s="64">
        <f t="shared" si="65"/>
        <v>0.14583333333333331</v>
      </c>
    </row>
    <row r="441" spans="1:68" ht="27" hidden="1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0</v>
      </c>
      <c r="Y441" s="634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23.333333333333336</v>
      </c>
      <c r="Y446" s="635">
        <f>IFERROR(Y438/H438,"0")+IFERROR(Y439/H439,"0")+IFERROR(Y440/H440,"0")+IFERROR(Y441/H441,"0")+IFERROR(Y442/H442,"0")+IFERROR(Y443/H443,"0")+IFERROR(Y444/H444,"0")+IFERROR(Y445/H445,"0")</f>
        <v>24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0.52200000000000002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350</v>
      </c>
      <c r="Y447" s="635">
        <f>IFERROR(SUM(Y438:Y445),"0")</f>
        <v>360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100</v>
      </c>
      <c r="Y476" s="634">
        <f>IFERROR(IF(X476="",0,CEILING((X476/$H476),1)*$H476),"")</f>
        <v>108</v>
      </c>
      <c r="Z476" s="36">
        <f>IFERROR(IF(Y476=0,"",ROUNDUP(Y476/H476,0)*0.01898),"")</f>
        <v>0.22776000000000002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105.48888888888888</v>
      </c>
      <c r="BN476" s="64">
        <f>IFERROR(Y476*I476/H476,"0")</f>
        <v>113.92799999999998</v>
      </c>
      <c r="BO476" s="64">
        <f>IFERROR(1/J476*(X476/H476),"0")</f>
        <v>0.1736111111111111</v>
      </c>
      <c r="BP476" s="64">
        <f>IFERROR(1/J476*(Y476/H476),"0")</f>
        <v>0.1875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11.111111111111111</v>
      </c>
      <c r="Y479" s="635">
        <f>IFERROR(Y476/H476,"0")+IFERROR(Y477/H477,"0")+IFERROR(Y478/H478,"0")</f>
        <v>12</v>
      </c>
      <c r="Z479" s="635">
        <f>IFERROR(IF(Z476="",0,Z476),"0")+IFERROR(IF(Z477="",0,Z477),"0")+IFERROR(IF(Z478="",0,Z478),"0")</f>
        <v>0.22776000000000002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100</v>
      </c>
      <c r="Y480" s="635">
        <f>IFERROR(SUM(Y476:Y478),"0")</f>
        <v>108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0</v>
      </c>
      <c r="Y513" s="634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0</v>
      </c>
      <c r="Y514" s="634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idden="1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0</v>
      </c>
      <c r="Y518" s="635">
        <f>IFERROR(Y510/H510,"0")+IFERROR(Y511/H511,"0")+IFERROR(Y512/H512,"0")+IFERROR(Y513/H513,"0")+IFERROR(Y514/H514,"0")+IFERROR(Y515/H515,"0")+IFERROR(Y516/H516,"0")+IFERROR(Y517/H517,"0")</f>
        <v>0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36"/>
      <c r="AB518" s="636"/>
      <c r="AC518" s="636"/>
    </row>
    <row r="519" spans="1:68" hidden="1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0</v>
      </c>
      <c r="Y519" s="635">
        <f>IFERROR(SUM(Y510:Y517),"0")</f>
        <v>0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0</v>
      </c>
      <c r="Y524" s="635">
        <f>IFERROR(Y521/H521,"0")+IFERROR(Y522/H522,"0")+IFERROR(Y523/H523,"0")</f>
        <v>0</v>
      </c>
      <c r="Z524" s="635">
        <f>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0</v>
      </c>
      <c r="Y525" s="635">
        <f>IFERROR(SUM(Y521:Y523),"0")</f>
        <v>0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hidden="1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0</v>
      </c>
      <c r="Y528" s="634">
        <f t="shared" si="76"/>
        <v>0</v>
      </c>
      <c r="Z528" s="36" t="str">
        <f>IFERROR(IF(Y528=0,"",ROUNDUP(Y528/H528,0)*0.01196),"")</f>
        <v/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0</v>
      </c>
      <c r="BN528" s="64">
        <f t="shared" si="78"/>
        <v>0</v>
      </c>
      <c r="BO528" s="64">
        <f t="shared" si="79"/>
        <v>0</v>
      </c>
      <c r="BP528" s="64">
        <f t="shared" si="80"/>
        <v>0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idden="1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0</v>
      </c>
      <c r="Y534" s="635">
        <f>IFERROR(Y527/H527,"0")+IFERROR(Y528/H528,"0")+IFERROR(Y529/H529,"0")+IFERROR(Y530/H530,"0")+IFERROR(Y531/H531,"0")+IFERROR(Y532/H532,"0")+IFERROR(Y533/H533,"0")</f>
        <v>0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36"/>
      <c r="AB534" s="636"/>
      <c r="AC534" s="636"/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0</v>
      </c>
      <c r="Y535" s="635">
        <f>IFERROR(SUM(Y527:Y533),"0")</f>
        <v>0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1000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1033.2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1046.0472663139331</v>
      </c>
      <c r="Y565" s="635">
        <f>IFERROR(SUM(BN22:BN561),"0")</f>
        <v>1080.7259999999999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2</v>
      </c>
      <c r="Y566" s="38">
        <f>ROUNDUP(SUM(BP22:BP561),0)</f>
        <v>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1096.0472663139331</v>
      </c>
      <c r="Y567" s="635">
        <f>GrossWeightTotalR+PalletQtyTotalR*25</f>
        <v>1130.7259999999999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110.72310405643739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114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1.99116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108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46">
        <f>IFERROR(Y89*1,"0")+IFERROR(Y90*1,"0")+IFERROR(Y91*1,"0")+IFERROR(Y92*1,"0")+IFERROR(Y93*1,"0")+IFERROR(Y94*1,"0")+IFERROR(Y98*1,"0")+IFERROR(Y99*1,"0")+IFERROR(Y100*1,"0")+IFERROR(Y101*1,"0")</f>
        <v>251.1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105.3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100.80000000000001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360</v>
      </c>
      <c r="Y574" s="46">
        <f>IFERROR(Y467*1,"0")+IFERROR(Y468*1,"0")+IFERROR(Y472*1,"0")+IFERROR(Y476*1,"0")+IFERROR(Y477*1,"0")+IFERROR(Y478*1,"0")</f>
        <v>108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46,05"/>
        <filter val="1 096,05"/>
        <filter val="100,00"/>
        <filter val="11,11"/>
        <filter val="110,72"/>
        <filter val="12,35"/>
        <filter val="2"/>
        <filter val="23,33"/>
        <filter val="23,81"/>
        <filter val="250,00"/>
        <filter val="30,86"/>
        <filter val="350,00"/>
        <filter val="9,26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