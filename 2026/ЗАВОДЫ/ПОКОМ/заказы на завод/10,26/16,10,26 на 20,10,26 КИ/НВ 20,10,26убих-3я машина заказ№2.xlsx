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3D0734-6C87-464F-A9DC-3C8BEC00C42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X523" i="2"/>
  <c r="X522" i="2"/>
  <c r="BO521" i="2"/>
  <c r="BM521" i="2"/>
  <c r="Y521" i="2"/>
  <c r="P521" i="2"/>
  <c r="X517" i="2"/>
  <c r="X516" i="2"/>
  <c r="BO515" i="2"/>
  <c r="BM515" i="2"/>
  <c r="Y515" i="2"/>
  <c r="P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X501" i="2"/>
  <c r="X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P492" i="2"/>
  <c r="X488" i="2"/>
  <c r="X487" i="2"/>
  <c r="BO486" i="2"/>
  <c r="BM486" i="2"/>
  <c r="Y486" i="2"/>
  <c r="P486" i="2"/>
  <c r="BO485" i="2"/>
  <c r="BM485" i="2"/>
  <c r="Y485" i="2"/>
  <c r="P485" i="2"/>
  <c r="BO484" i="2"/>
  <c r="BM484" i="2"/>
  <c r="Y484" i="2"/>
  <c r="P484" i="2"/>
  <c r="X482" i="2"/>
  <c r="X481" i="2"/>
  <c r="BO480" i="2"/>
  <c r="BM480" i="2"/>
  <c r="Y480" i="2"/>
  <c r="P480" i="2"/>
  <c r="X477" i="2"/>
  <c r="X476" i="2"/>
  <c r="BO475" i="2"/>
  <c r="BM475" i="2"/>
  <c r="Y475" i="2"/>
  <c r="P475" i="2"/>
  <c r="X473" i="2"/>
  <c r="X472" i="2"/>
  <c r="BO471" i="2"/>
  <c r="BM471" i="2"/>
  <c r="Y471" i="2"/>
  <c r="BP471" i="2" s="1"/>
  <c r="P471" i="2"/>
  <c r="BO470" i="2"/>
  <c r="BM470" i="2"/>
  <c r="Y470" i="2"/>
  <c r="P470" i="2"/>
  <c r="BO469" i="2"/>
  <c r="BM469" i="2"/>
  <c r="Y469" i="2"/>
  <c r="BN469" i="2" s="1"/>
  <c r="P469" i="2"/>
  <c r="BO468" i="2"/>
  <c r="BM468" i="2"/>
  <c r="Y468" i="2"/>
  <c r="P468" i="2"/>
  <c r="BO467" i="2"/>
  <c r="BM467" i="2"/>
  <c r="Y467" i="2"/>
  <c r="BN467" i="2" s="1"/>
  <c r="P467" i="2"/>
  <c r="BO466" i="2"/>
  <c r="BM466" i="2"/>
  <c r="Y466" i="2"/>
  <c r="P466" i="2"/>
  <c r="X462" i="2"/>
  <c r="X461" i="2"/>
  <c r="BO460" i="2"/>
  <c r="BM460" i="2"/>
  <c r="Y460" i="2"/>
  <c r="BN460" i="2" s="1"/>
  <c r="P460" i="2"/>
  <c r="BO459" i="2"/>
  <c r="BM459" i="2"/>
  <c r="Y459" i="2"/>
  <c r="BP459" i="2" s="1"/>
  <c r="P459" i="2"/>
  <c r="BO458" i="2"/>
  <c r="BM458" i="2"/>
  <c r="Y458" i="2"/>
  <c r="P458" i="2"/>
  <c r="X456" i="2"/>
  <c r="X455" i="2"/>
  <c r="BO454" i="2"/>
  <c r="BM454" i="2"/>
  <c r="Y454" i="2"/>
  <c r="P454" i="2"/>
  <c r="X452" i="2"/>
  <c r="X451" i="2"/>
  <c r="BO450" i="2"/>
  <c r="BM450" i="2"/>
  <c r="Y450" i="2"/>
  <c r="P450" i="2"/>
  <c r="BO449" i="2"/>
  <c r="BM449" i="2"/>
  <c r="Y449" i="2"/>
  <c r="Y451" i="2" s="1"/>
  <c r="P449" i="2"/>
  <c r="X446" i="2"/>
  <c r="X445" i="2"/>
  <c r="BO444" i="2"/>
  <c r="BM444" i="2"/>
  <c r="Y444" i="2"/>
  <c r="P444" i="2"/>
  <c r="BO443" i="2"/>
  <c r="BM443" i="2"/>
  <c r="Y443" i="2"/>
  <c r="Y445" i="2" s="1"/>
  <c r="P443" i="2"/>
  <c r="X441" i="2"/>
  <c r="X440" i="2"/>
  <c r="BO439" i="2"/>
  <c r="BM439" i="2"/>
  <c r="Y439" i="2"/>
  <c r="P439" i="2"/>
  <c r="BO438" i="2"/>
  <c r="BM438" i="2"/>
  <c r="Y438" i="2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X429" i="2"/>
  <c r="X428" i="2"/>
  <c r="BO427" i="2"/>
  <c r="BM427" i="2"/>
  <c r="Y427" i="2"/>
  <c r="P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BO421" i="2"/>
  <c r="BM421" i="2"/>
  <c r="Y421" i="2"/>
  <c r="P421" i="2"/>
  <c r="BO420" i="2"/>
  <c r="BM420" i="2"/>
  <c r="Y420" i="2"/>
  <c r="P420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P394" i="2"/>
  <c r="BO393" i="2"/>
  <c r="BM393" i="2"/>
  <c r="Y393" i="2"/>
  <c r="Y396" i="2" s="1"/>
  <c r="P393" i="2"/>
  <c r="X391" i="2"/>
  <c r="X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P381" i="2"/>
  <c r="BO380" i="2"/>
  <c r="BM380" i="2"/>
  <c r="Y380" i="2"/>
  <c r="P380" i="2"/>
  <c r="X378" i="2"/>
  <c r="X377" i="2"/>
  <c r="BO376" i="2"/>
  <c r="BM376" i="2"/>
  <c r="Y376" i="2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X361" i="2"/>
  <c r="X360" i="2"/>
  <c r="BO359" i="2"/>
  <c r="BM359" i="2"/>
  <c r="Y359" i="2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BN340" i="2" s="1"/>
  <c r="P340" i="2"/>
  <c r="BO339" i="2"/>
  <c r="BM339" i="2"/>
  <c r="Y339" i="2"/>
  <c r="BP339" i="2" s="1"/>
  <c r="P339" i="2"/>
  <c r="X337" i="2"/>
  <c r="X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Z332" i="2" s="1"/>
  <c r="P332" i="2"/>
  <c r="X329" i="2"/>
  <c r="X328" i="2"/>
  <c r="BO327" i="2"/>
  <c r="BM327" i="2"/>
  <c r="Y327" i="2"/>
  <c r="P327" i="2"/>
  <c r="BO326" i="2"/>
  <c r="BM326" i="2"/>
  <c r="Y326" i="2"/>
  <c r="P326" i="2"/>
  <c r="BO325" i="2"/>
  <c r="BM325" i="2"/>
  <c r="Y325" i="2"/>
  <c r="Y329" i="2" s="1"/>
  <c r="P325" i="2"/>
  <c r="X322" i="2"/>
  <c r="X321" i="2"/>
  <c r="BO320" i="2"/>
  <c r="BM320" i="2"/>
  <c r="Y320" i="2"/>
  <c r="P320" i="2"/>
  <c r="BO319" i="2"/>
  <c r="BM319" i="2"/>
  <c r="Y319" i="2"/>
  <c r="P319" i="2"/>
  <c r="BO318" i="2"/>
  <c r="BM318" i="2"/>
  <c r="Y318" i="2"/>
  <c r="BP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2" i="2"/>
  <c r="X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Y288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N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P210" i="2"/>
  <c r="X207" i="2"/>
  <c r="X206" i="2"/>
  <c r="BO205" i="2"/>
  <c r="BM205" i="2"/>
  <c r="Y205" i="2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Z201" i="2" s="1"/>
  <c r="P201" i="2"/>
  <c r="BO200" i="2"/>
  <c r="BM200" i="2"/>
  <c r="Y200" i="2"/>
  <c r="P200" i="2"/>
  <c r="BO199" i="2"/>
  <c r="BM199" i="2"/>
  <c r="Y199" i="2"/>
  <c r="P199" i="2"/>
  <c r="X195" i="2"/>
  <c r="X194" i="2"/>
  <c r="BO193" i="2"/>
  <c r="BM193" i="2"/>
  <c r="Y193" i="2"/>
  <c r="P193" i="2"/>
  <c r="X191" i="2"/>
  <c r="X190" i="2"/>
  <c r="BO189" i="2"/>
  <c r="BM189" i="2"/>
  <c r="Y189" i="2"/>
  <c r="Z189" i="2" s="1"/>
  <c r="Z190" i="2" s="1"/>
  <c r="P189" i="2"/>
  <c r="X187" i="2"/>
  <c r="X186" i="2"/>
  <c r="BO185" i="2"/>
  <c r="BM185" i="2"/>
  <c r="Y185" i="2"/>
  <c r="P185" i="2"/>
  <c r="BO184" i="2"/>
  <c r="BM184" i="2"/>
  <c r="Y184" i="2"/>
  <c r="Y187" i="2" s="1"/>
  <c r="P184" i="2"/>
  <c r="X182" i="2"/>
  <c r="X181" i="2"/>
  <c r="BO180" i="2"/>
  <c r="BM180" i="2"/>
  <c r="Y180" i="2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P166" i="2"/>
  <c r="X164" i="2"/>
  <c r="X163" i="2"/>
  <c r="BO162" i="2"/>
  <c r="BM162" i="2"/>
  <c r="Y162" i="2"/>
  <c r="Z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4" i="2"/>
  <c r="X143" i="2"/>
  <c r="BO142" i="2"/>
  <c r="BM142" i="2"/>
  <c r="Y142" i="2"/>
  <c r="P142" i="2"/>
  <c r="BO141" i="2"/>
  <c r="BM141" i="2"/>
  <c r="Y141" i="2"/>
  <c r="P141" i="2"/>
  <c r="X139" i="2"/>
  <c r="X138" i="2"/>
  <c r="BO137" i="2"/>
  <c r="BM137" i="2"/>
  <c r="Y137" i="2"/>
  <c r="BN137" i="2" s="1"/>
  <c r="P137" i="2"/>
  <c r="BO136" i="2"/>
  <c r="BM136" i="2"/>
  <c r="Y136" i="2"/>
  <c r="P136" i="2"/>
  <c r="X134" i="2"/>
  <c r="X133" i="2"/>
  <c r="BO132" i="2"/>
  <c r="BM132" i="2"/>
  <c r="Y132" i="2"/>
  <c r="BP132" i="2" s="1"/>
  <c r="P132" i="2"/>
  <c r="BO131" i="2"/>
  <c r="BM131" i="2"/>
  <c r="Y131" i="2"/>
  <c r="Y134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P121" i="2"/>
  <c r="BO120" i="2"/>
  <c r="BM120" i="2"/>
  <c r="Y120" i="2"/>
  <c r="P120" i="2"/>
  <c r="BO119" i="2"/>
  <c r="BM119" i="2"/>
  <c r="Y119" i="2"/>
  <c r="P119" i="2"/>
  <c r="X117" i="2"/>
  <c r="X116" i="2"/>
  <c r="BO115" i="2"/>
  <c r="BM115" i="2"/>
  <c r="Y115" i="2"/>
  <c r="Z115" i="2" s="1"/>
  <c r="P115" i="2"/>
  <c r="BO114" i="2"/>
  <c r="BM114" i="2"/>
  <c r="Y114" i="2"/>
  <c r="P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8" i="2"/>
  <c r="X97" i="2"/>
  <c r="BO96" i="2"/>
  <c r="BM96" i="2"/>
  <c r="Y96" i="2"/>
  <c r="P96" i="2"/>
  <c r="BO95" i="2"/>
  <c r="BM95" i="2"/>
  <c r="Y95" i="2"/>
  <c r="BP95" i="2" s="1"/>
  <c r="P95" i="2"/>
  <c r="BO94" i="2"/>
  <c r="BM94" i="2"/>
  <c r="Y94" i="2"/>
  <c r="P94" i="2"/>
  <c r="BO93" i="2"/>
  <c r="BM93" i="2"/>
  <c r="Y93" i="2"/>
  <c r="P93" i="2"/>
  <c r="X91" i="2"/>
  <c r="X90" i="2"/>
  <c r="BO89" i="2"/>
  <c r="BM89" i="2"/>
  <c r="Y89" i="2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BN86" i="2" s="1"/>
  <c r="P86" i="2"/>
  <c r="BO85" i="2"/>
  <c r="BM85" i="2"/>
  <c r="Y85" i="2"/>
  <c r="Z85" i="2" s="1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Y68" i="2"/>
  <c r="P68" i="2"/>
  <c r="BO67" i="2"/>
  <c r="BM67" i="2"/>
  <c r="Y67" i="2"/>
  <c r="P67" i="2"/>
  <c r="BO66" i="2"/>
  <c r="BM66" i="2"/>
  <c r="Y66" i="2"/>
  <c r="Z66" i="2" s="1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P55" i="2"/>
  <c r="BO54" i="2"/>
  <c r="BM54" i="2"/>
  <c r="Y54" i="2"/>
  <c r="BP54" i="2" s="1"/>
  <c r="P54" i="2"/>
  <c r="X51" i="2"/>
  <c r="X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BN47" i="2" s="1"/>
  <c r="P47" i="2"/>
  <c r="BO46" i="2"/>
  <c r="BM46" i="2"/>
  <c r="Y46" i="2"/>
  <c r="P46" i="2"/>
  <c r="X42" i="2"/>
  <c r="X41" i="2"/>
  <c r="BO40" i="2"/>
  <c r="BM40" i="2"/>
  <c r="Y40" i="2"/>
  <c r="P40" i="2"/>
  <c r="BO39" i="2"/>
  <c r="BM39" i="2"/>
  <c r="Y39" i="2"/>
  <c r="P39" i="2"/>
  <c r="BO38" i="2"/>
  <c r="BM38" i="2"/>
  <c r="Y38" i="2"/>
  <c r="P38" i="2"/>
  <c r="BO37" i="2"/>
  <c r="BM37" i="2"/>
  <c r="Y37" i="2"/>
  <c r="P37" i="2"/>
  <c r="BO36" i="2"/>
  <c r="BM36" i="2"/>
  <c r="Y36" i="2"/>
  <c r="BP36" i="2" s="1"/>
  <c r="P36" i="2"/>
  <c r="X32" i="2"/>
  <c r="X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BO22" i="2"/>
  <c r="BM22" i="2"/>
  <c r="Y22" i="2"/>
  <c r="P22" i="2"/>
  <c r="H10" i="2"/>
  <c r="A9" i="2"/>
  <c r="F10" i="2" s="1"/>
  <c r="D7" i="2"/>
  <c r="Q6" i="2"/>
  <c r="P2" i="2"/>
  <c r="BP353" i="2" l="1"/>
  <c r="Z353" i="2"/>
  <c r="Y501" i="2"/>
  <c r="Y370" i="2"/>
  <c r="BP537" i="2"/>
  <c r="BN537" i="2"/>
  <c r="Y534" i="2"/>
  <c r="Y535" i="2"/>
  <c r="Z529" i="2"/>
  <c r="Z530" i="2" s="1"/>
  <c r="BN529" i="2"/>
  <c r="Y530" i="2"/>
  <c r="Y527" i="2"/>
  <c r="BN525" i="2"/>
  <c r="Y522" i="2"/>
  <c r="Y523" i="2"/>
  <c r="BP514" i="2"/>
  <c r="BN514" i="2"/>
  <c r="BN512" i="2"/>
  <c r="BP512" i="2"/>
  <c r="BN505" i="2"/>
  <c r="BP505" i="2"/>
  <c r="Z505" i="2"/>
  <c r="BN499" i="2"/>
  <c r="BP499" i="2"/>
  <c r="BN497" i="2"/>
  <c r="Z497" i="2"/>
  <c r="BP494" i="2"/>
  <c r="Z494" i="2"/>
  <c r="BN485" i="2"/>
  <c r="Z485" i="2"/>
  <c r="Y482" i="2"/>
  <c r="Z480" i="2"/>
  <c r="Z481" i="2" s="1"/>
  <c r="BN470" i="2"/>
  <c r="BP470" i="2"/>
  <c r="Z470" i="2"/>
  <c r="BP468" i="2"/>
  <c r="Z468" i="2"/>
  <c r="Y456" i="2"/>
  <c r="BN454" i="2"/>
  <c r="BP450" i="2"/>
  <c r="BN450" i="2"/>
  <c r="BP444" i="2"/>
  <c r="Z444" i="2"/>
  <c r="BN439" i="2"/>
  <c r="BP439" i="2"/>
  <c r="Y441" i="2"/>
  <c r="Z437" i="2"/>
  <c r="BN432" i="2"/>
  <c r="Z432" i="2"/>
  <c r="BP427" i="2"/>
  <c r="BN427" i="2"/>
  <c r="BP422" i="2"/>
  <c r="BN422" i="2"/>
  <c r="BP420" i="2"/>
  <c r="BN420" i="2"/>
  <c r="Z413" i="2"/>
  <c r="BN413" i="2"/>
  <c r="BN407" i="2"/>
  <c r="BP407" i="2"/>
  <c r="BN401" i="2"/>
  <c r="Z401" i="2"/>
  <c r="BP394" i="2"/>
  <c r="BN394" i="2"/>
  <c r="BP386" i="2"/>
  <c r="BN386" i="2"/>
  <c r="BP381" i="2"/>
  <c r="BN381" i="2"/>
  <c r="BP373" i="2"/>
  <c r="Z373" i="2"/>
  <c r="BN369" i="2"/>
  <c r="Z369" i="2"/>
  <c r="BN367" i="2"/>
  <c r="BP367" i="2"/>
  <c r="Z367" i="2"/>
  <c r="BP363" i="2"/>
  <c r="Z363" i="2"/>
  <c r="BN359" i="2"/>
  <c r="Z359" i="2"/>
  <c r="BN357" i="2"/>
  <c r="Z357" i="2"/>
  <c r="BP357" i="2"/>
  <c r="BN346" i="2"/>
  <c r="Z346" i="2"/>
  <c r="BP346" i="2"/>
  <c r="Z335" i="2"/>
  <c r="BN335" i="2"/>
  <c r="BP320" i="2"/>
  <c r="BN320" i="2"/>
  <c r="Z320" i="2"/>
  <c r="BP317" i="2"/>
  <c r="Z317" i="2"/>
  <c r="BP315" i="2"/>
  <c r="BN315" i="2"/>
  <c r="Z295" i="2"/>
  <c r="BN295" i="2"/>
  <c r="BP286" i="2"/>
  <c r="Z286" i="2"/>
  <c r="BN286" i="2"/>
  <c r="BN279" i="2"/>
  <c r="Z279" i="2"/>
  <c r="Z274" i="2"/>
  <c r="BN274" i="2"/>
  <c r="Z264" i="2"/>
  <c r="BN264" i="2"/>
  <c r="BP263" i="2"/>
  <c r="Z263" i="2"/>
  <c r="Z259" i="2"/>
  <c r="BN259" i="2"/>
  <c r="Y267" i="2"/>
  <c r="Z254" i="2"/>
  <c r="BN254" i="2"/>
  <c r="BP238" i="2"/>
  <c r="BN238" i="2"/>
  <c r="Z231" i="2"/>
  <c r="BN231" i="2"/>
  <c r="BP230" i="2"/>
  <c r="Z230" i="2"/>
  <c r="BN226" i="2"/>
  <c r="BP226" i="2"/>
  <c r="BN225" i="2"/>
  <c r="BP225" i="2"/>
  <c r="BP224" i="2"/>
  <c r="Z224" i="2"/>
  <c r="BN223" i="2"/>
  <c r="Z223" i="2"/>
  <c r="Z221" i="2"/>
  <c r="BN221" i="2"/>
  <c r="Z216" i="2"/>
  <c r="BN216" i="2"/>
  <c r="BP210" i="2"/>
  <c r="Y212" i="2"/>
  <c r="Y211" i="2"/>
  <c r="Z210" i="2"/>
  <c r="Z211" i="2" s="1"/>
  <c r="BN205" i="2"/>
  <c r="BP205" i="2"/>
  <c r="BN204" i="2"/>
  <c r="BP204" i="2"/>
  <c r="Z200" i="2"/>
  <c r="BN200" i="2"/>
  <c r="BN180" i="2"/>
  <c r="BP180" i="2"/>
  <c r="BP179" i="2"/>
  <c r="Z179" i="2"/>
  <c r="BN178" i="2"/>
  <c r="Z178" i="2"/>
  <c r="Z176" i="2"/>
  <c r="BN176" i="2"/>
  <c r="BP171" i="2"/>
  <c r="BN171" i="2"/>
  <c r="Z166" i="2"/>
  <c r="BN166" i="2"/>
  <c r="BP150" i="2"/>
  <c r="BN150" i="2"/>
  <c r="Z142" i="2"/>
  <c r="BN142" i="2"/>
  <c r="Y143" i="2"/>
  <c r="Z141" i="2"/>
  <c r="BP136" i="2"/>
  <c r="Y138" i="2"/>
  <c r="BP121" i="2"/>
  <c r="BN121" i="2"/>
  <c r="BN114" i="2"/>
  <c r="BP114" i="2"/>
  <c r="BP112" i="2"/>
  <c r="Z112" i="2"/>
  <c r="BN111" i="2"/>
  <c r="Z111" i="2"/>
  <c r="BP107" i="2"/>
  <c r="BN107" i="2"/>
  <c r="Z107" i="2"/>
  <c r="BN104" i="2"/>
  <c r="BP104" i="2"/>
  <c r="BN101" i="2"/>
  <c r="BP101" i="2"/>
  <c r="Z101" i="2"/>
  <c r="BP96" i="2"/>
  <c r="BN96" i="2"/>
  <c r="BN93" i="2"/>
  <c r="BP93" i="2"/>
  <c r="BP89" i="2"/>
  <c r="Z89" i="2"/>
  <c r="BN89" i="2"/>
  <c r="BP77" i="2"/>
  <c r="Z77" i="2"/>
  <c r="BN68" i="2"/>
  <c r="BP68" i="2"/>
  <c r="BP67" i="2"/>
  <c r="BN67" i="2"/>
  <c r="Z67" i="2"/>
  <c r="Z55" i="2"/>
  <c r="BN55" i="2"/>
  <c r="BN49" i="2"/>
  <c r="BP49" i="2"/>
  <c r="BP46" i="2"/>
  <c r="BN46" i="2"/>
  <c r="Z46" i="2"/>
  <c r="BP40" i="2"/>
  <c r="BN40" i="2"/>
  <c r="Z39" i="2"/>
  <c r="BN39" i="2"/>
  <c r="BN37" i="2"/>
  <c r="BP37" i="2"/>
  <c r="Z28" i="2"/>
  <c r="BN28" i="2"/>
  <c r="BP28" i="2"/>
  <c r="Y23" i="2"/>
  <c r="BN22" i="2"/>
  <c r="Y24" i="2"/>
  <c r="Z106" i="2"/>
  <c r="BN106" i="2"/>
  <c r="Z119" i="2"/>
  <c r="BN119" i="2"/>
  <c r="BP126" i="2"/>
  <c r="Y128" i="2"/>
  <c r="BN126" i="2"/>
  <c r="Y127" i="2"/>
  <c r="I556" i="2"/>
  <c r="BP147" i="2"/>
  <c r="Y152" i="2"/>
  <c r="Z148" i="2"/>
  <c r="BN148" i="2"/>
  <c r="BP276" i="2"/>
  <c r="BP291" i="2"/>
  <c r="Y298" i="2"/>
  <c r="BP292" i="2"/>
  <c r="BN292" i="2"/>
  <c r="BP294" i="2"/>
  <c r="Z294" i="2"/>
  <c r="Y299" i="2"/>
  <c r="Y307" i="2"/>
  <c r="BP305" i="2"/>
  <c r="Z305" i="2"/>
  <c r="Z306" i="2" s="1"/>
  <c r="BP309" i="2"/>
  <c r="BP340" i="2"/>
  <c r="BP347" i="2"/>
  <c r="Y349" i="2"/>
  <c r="BN348" i="2"/>
  <c r="Z348" i="2"/>
  <c r="BP356" i="2"/>
  <c r="BP366" i="2"/>
  <c r="Y403" i="2"/>
  <c r="BN399" i="2"/>
  <c r="BP399" i="2"/>
  <c r="Y461" i="2"/>
  <c r="BP458" i="2"/>
  <c r="Z458" i="2"/>
  <c r="Y462" i="2"/>
  <c r="Y477" i="2"/>
  <c r="BN475" i="2"/>
  <c r="Z515" i="2"/>
  <c r="BN515" i="2"/>
  <c r="X547" i="2"/>
  <c r="BP30" i="2"/>
  <c r="Y51" i="2"/>
  <c r="Z54" i="2"/>
  <c r="Z57" i="2"/>
  <c r="BP57" i="2"/>
  <c r="Z73" i="2"/>
  <c r="BP78" i="2"/>
  <c r="Z78" i="2"/>
  <c r="BP85" i="2"/>
  <c r="BP199" i="2"/>
  <c r="Y206" i="2"/>
  <c r="Z199" i="2"/>
  <c r="Z203" i="2"/>
  <c r="BP218" i="2"/>
  <c r="BN218" i="2"/>
  <c r="BP220" i="2"/>
  <c r="Z220" i="2"/>
  <c r="Z234" i="2"/>
  <c r="Z240" i="2"/>
  <c r="BP261" i="2"/>
  <c r="BN261" i="2"/>
  <c r="Z276" i="2"/>
  <c r="BP297" i="2"/>
  <c r="Y306" i="2"/>
  <c r="Z309" i="2"/>
  <c r="BP326" i="2"/>
  <c r="BN326" i="2"/>
  <c r="BP327" i="2"/>
  <c r="BN327" i="2"/>
  <c r="Z340" i="2"/>
  <c r="S556" i="2"/>
  <c r="Z356" i="2"/>
  <c r="Z366" i="2"/>
  <c r="BP376" i="2"/>
  <c r="Z376" i="2"/>
  <c r="Z389" i="2"/>
  <c r="BN389" i="2"/>
  <c r="Z399" i="2"/>
  <c r="BP421" i="2"/>
  <c r="BN421" i="2"/>
  <c r="BP460" i="2"/>
  <c r="Z475" i="2"/>
  <c r="Z476" i="2" s="1"/>
  <c r="BP486" i="2"/>
  <c r="Z486" i="2"/>
  <c r="BP495" i="2"/>
  <c r="Z495" i="2"/>
  <c r="BP504" i="2"/>
  <c r="Z504" i="2"/>
  <c r="BP513" i="2"/>
  <c r="BP27" i="2"/>
  <c r="BP65" i="2"/>
  <c r="BN88" i="2"/>
  <c r="Z88" i="2"/>
  <c r="BP22" i="2"/>
  <c r="BN27" i="2"/>
  <c r="Z30" i="2"/>
  <c r="Z40" i="2"/>
  <c r="D556" i="2"/>
  <c r="Z47" i="2"/>
  <c r="BP47" i="2"/>
  <c r="BP55" i="2"/>
  <c r="BP59" i="2"/>
  <c r="BN65" i="2"/>
  <c r="BN79" i="2"/>
  <c r="BP79" i="2"/>
  <c r="Z95" i="2"/>
  <c r="BN95" i="2"/>
  <c r="BP111" i="2"/>
  <c r="BP122" i="2"/>
  <c r="Z122" i="2"/>
  <c r="BN141" i="2"/>
  <c r="Y144" i="2"/>
  <c r="BP141" i="2"/>
  <c r="Y151" i="2"/>
  <c r="BP173" i="2"/>
  <c r="BN173" i="2"/>
  <c r="BP175" i="2"/>
  <c r="Z175" i="2"/>
  <c r="Z184" i="2"/>
  <c r="BP185" i="2"/>
  <c r="Z185" i="2"/>
  <c r="BN193" i="2"/>
  <c r="Y195" i="2"/>
  <c r="BP193" i="2"/>
  <c r="Y194" i="2"/>
  <c r="Y227" i="2"/>
  <c r="BP215" i="2"/>
  <c r="BP223" i="2"/>
  <c r="BP279" i="2"/>
  <c r="Z297" i="2"/>
  <c r="BN305" i="2"/>
  <c r="Y397" i="2"/>
  <c r="BN395" i="2"/>
  <c r="BP406" i="2"/>
  <c r="Y408" i="2"/>
  <c r="Z406" i="2"/>
  <c r="Z425" i="2"/>
  <c r="BN425" i="2"/>
  <c r="BN458" i="2"/>
  <c r="Z460" i="2"/>
  <c r="BP497" i="2"/>
  <c r="Z513" i="2"/>
  <c r="Y32" i="2"/>
  <c r="BP39" i="2"/>
  <c r="BP48" i="2"/>
  <c r="BP60" i="2"/>
  <c r="BN78" i="2"/>
  <c r="BN85" i="2"/>
  <c r="BP86" i="2"/>
  <c r="Z86" i="2"/>
  <c r="BP88" i="2"/>
  <c r="BP106" i="2"/>
  <c r="BP119" i="2"/>
  <c r="H556" i="2"/>
  <c r="Y133" i="2"/>
  <c r="BN132" i="2"/>
  <c r="Z132" i="2"/>
  <c r="BP148" i="2"/>
  <c r="BP178" i="2"/>
  <c r="BP202" i="2"/>
  <c r="Z202" i="2"/>
  <c r="BP233" i="2"/>
  <c r="Z233" i="2"/>
  <c r="BP266" i="2"/>
  <c r="Z266" i="2"/>
  <c r="BP271" i="2"/>
  <c r="BN271" i="2"/>
  <c r="BP273" i="2"/>
  <c r="Z273" i="2"/>
  <c r="Z318" i="2"/>
  <c r="BN318" i="2"/>
  <c r="R556" i="2"/>
  <c r="BN332" i="2"/>
  <c r="BP332" i="2"/>
  <c r="BP348" i="2"/>
  <c r="BN376" i="2"/>
  <c r="BP393" i="2"/>
  <c r="Y402" i="2"/>
  <c r="BP438" i="2"/>
  <c r="Z438" i="2"/>
  <c r="BP469" i="2"/>
  <c r="Z469" i="2"/>
  <c r="Z556" i="2"/>
  <c r="Y481" i="2"/>
  <c r="BP480" i="2"/>
  <c r="BN492" i="2"/>
  <c r="BP492" i="2"/>
  <c r="BN493" i="2"/>
  <c r="Z493" i="2"/>
  <c r="BN495" i="2"/>
  <c r="BN504" i="2"/>
  <c r="BP510" i="2"/>
  <c r="BN510" i="2"/>
  <c r="BP515" i="2"/>
  <c r="BP137" i="2"/>
  <c r="Y139" i="2"/>
  <c r="BP142" i="2"/>
  <c r="BP161" i="2"/>
  <c r="BP166" i="2"/>
  <c r="BP176" i="2"/>
  <c r="BN179" i="2"/>
  <c r="BP200" i="2"/>
  <c r="BN214" i="2"/>
  <c r="BP216" i="2"/>
  <c r="BP221" i="2"/>
  <c r="BN224" i="2"/>
  <c r="Y242" i="2"/>
  <c r="BP249" i="2"/>
  <c r="Y268" i="2"/>
  <c r="BP274" i="2"/>
  <c r="BP278" i="2"/>
  <c r="BP281" i="2"/>
  <c r="BP295" i="2"/>
  <c r="Y322" i="2"/>
  <c r="BP354" i="2"/>
  <c r="BP359" i="2"/>
  <c r="BP364" i="2"/>
  <c r="BP369" i="2"/>
  <c r="Y416" i="2"/>
  <c r="BP413" i="2"/>
  <c r="Y435" i="2"/>
  <c r="BN444" i="2"/>
  <c r="Y473" i="2"/>
  <c r="BP467" i="2"/>
  <c r="BN494" i="2"/>
  <c r="BP529" i="2"/>
  <c r="Z96" i="2"/>
  <c r="Z121" i="2"/>
  <c r="BP231" i="2"/>
  <c r="BP254" i="2"/>
  <c r="BP259" i="2"/>
  <c r="BP264" i="2"/>
  <c r="BP335" i="2"/>
  <c r="Y342" i="2"/>
  <c r="Y343" i="2"/>
  <c r="Z386" i="2"/>
  <c r="Z394" i="2"/>
  <c r="BP401" i="2"/>
  <c r="Z420" i="2"/>
  <c r="Z422" i="2"/>
  <c r="BP432" i="2"/>
  <c r="Y440" i="2"/>
  <c r="BP437" i="2"/>
  <c r="Z443" i="2"/>
  <c r="Z466" i="2"/>
  <c r="Y488" i="2"/>
  <c r="BP485" i="2"/>
  <c r="Z498" i="2"/>
  <c r="Y507" i="2"/>
  <c r="BP503" i="2"/>
  <c r="Z511" i="2"/>
  <c r="Z514" i="2"/>
  <c r="Y539" i="2"/>
  <c r="Z272" i="2"/>
  <c r="BP375" i="2"/>
  <c r="BN375" i="2"/>
  <c r="Z375" i="2"/>
  <c r="F9" i="2"/>
  <c r="Y117" i="2"/>
  <c r="Y116" i="2"/>
  <c r="Y246" i="2"/>
  <c r="Y245" i="2"/>
  <c r="BN244" i="2"/>
  <c r="BP244" i="2"/>
  <c r="BN387" i="2"/>
  <c r="Y391" i="2"/>
  <c r="BP387" i="2"/>
  <c r="Y390" i="2"/>
  <c r="Z387" i="2"/>
  <c r="E556" i="2"/>
  <c r="H9" i="2"/>
  <c r="Y169" i="2"/>
  <c r="Z167" i="2"/>
  <c r="BP167" i="2"/>
  <c r="BN167" i="2"/>
  <c r="BN272" i="2"/>
  <c r="Y283" i="2"/>
  <c r="BP94" i="2"/>
  <c r="BN94" i="2"/>
  <c r="A10" i="2"/>
  <c r="BP61" i="2"/>
  <c r="BN61" i="2"/>
  <c r="Z94" i="2"/>
  <c r="BN112" i="2"/>
  <c r="Z177" i="2"/>
  <c r="BP177" i="2"/>
  <c r="BN177" i="2"/>
  <c r="BP214" i="2"/>
  <c r="Y228" i="2"/>
  <c r="BP285" i="2"/>
  <c r="Z285" i="2"/>
  <c r="BN285" i="2"/>
  <c r="G556" i="2"/>
  <c r="Y241" i="2"/>
  <c r="BP239" i="2"/>
  <c r="BP382" i="2"/>
  <c r="BN382" i="2"/>
  <c r="Z58" i="2"/>
  <c r="Z174" i="2"/>
  <c r="BN189" i="2"/>
  <c r="Y191" i="2"/>
  <c r="Y190" i="2"/>
  <c r="BP189" i="2"/>
  <c r="Z239" i="2"/>
  <c r="BP355" i="2"/>
  <c r="Z355" i="2"/>
  <c r="BN355" i="2"/>
  <c r="J9" i="2"/>
  <c r="BP66" i="2"/>
  <c r="Y69" i="2"/>
  <c r="BN66" i="2"/>
  <c r="BP115" i="2"/>
  <c r="BN115" i="2"/>
  <c r="Z232" i="2"/>
  <c r="BP232" i="2"/>
  <c r="BN232" i="2"/>
  <c r="Y31" i="2"/>
  <c r="BN58" i="2"/>
  <c r="Y182" i="2"/>
  <c r="BN174" i="2"/>
  <c r="BN239" i="2"/>
  <c r="Z255" i="2"/>
  <c r="BP255" i="2"/>
  <c r="BN255" i="2"/>
  <c r="Y282" i="2"/>
  <c r="BP280" i="2"/>
  <c r="BN280" i="2"/>
  <c r="BP319" i="2"/>
  <c r="Z319" i="2"/>
  <c r="BN319" i="2"/>
  <c r="BN122" i="2"/>
  <c r="Y321" i="2"/>
  <c r="BP316" i="2"/>
  <c r="X548" i="2"/>
  <c r="BP105" i="2"/>
  <c r="BN105" i="2"/>
  <c r="J556" i="2"/>
  <c r="BP159" i="2"/>
  <c r="Y164" i="2"/>
  <c r="Y163" i="2"/>
  <c r="Y186" i="2"/>
  <c r="BP184" i="2"/>
  <c r="Z265" i="2"/>
  <c r="BP265" i="2"/>
  <c r="BN265" i="2"/>
  <c r="Z277" i="2"/>
  <c r="BP296" i="2"/>
  <c r="BN296" i="2"/>
  <c r="Z296" i="2"/>
  <c r="Z316" i="2"/>
  <c r="BN73" i="2"/>
  <c r="Y63" i="2"/>
  <c r="BP56" i="2"/>
  <c r="BN56" i="2"/>
  <c r="Z222" i="2"/>
  <c r="BP222" i="2"/>
  <c r="BN222" i="2"/>
  <c r="Y336" i="2"/>
  <c r="Y337" i="2"/>
  <c r="BN333" i="2"/>
  <c r="BP333" i="2"/>
  <c r="Z56" i="2"/>
  <c r="Y108" i="2"/>
  <c r="Y109" i="2"/>
  <c r="BP120" i="2"/>
  <c r="Y123" i="2"/>
  <c r="BN120" i="2"/>
  <c r="Z262" i="2"/>
  <c r="BN277" i="2"/>
  <c r="Z293" i="2"/>
  <c r="BN316" i="2"/>
  <c r="Z333" i="2"/>
  <c r="BP365" i="2"/>
  <c r="Z365" i="2"/>
  <c r="BN365" i="2"/>
  <c r="BN38" i="2"/>
  <c r="BP38" i="2"/>
  <c r="BP162" i="2"/>
  <c r="BN162" i="2"/>
  <c r="X550" i="2"/>
  <c r="Z68" i="2"/>
  <c r="X546" i="2"/>
  <c r="C556" i="2"/>
  <c r="Y50" i="2"/>
  <c r="Z102" i="2"/>
  <c r="Z120" i="2"/>
  <c r="BN159" i="2"/>
  <c r="BN184" i="2"/>
  <c r="BN203" i="2"/>
  <c r="Z219" i="2"/>
  <c r="BN234" i="2"/>
  <c r="BP250" i="2"/>
  <c r="BN250" i="2"/>
  <c r="Y377" i="2"/>
  <c r="Z38" i="2"/>
  <c r="Y80" i="2"/>
  <c r="Y81" i="2"/>
  <c r="Y181" i="2"/>
  <c r="BN262" i="2"/>
  <c r="BN293" i="2"/>
  <c r="Y312" i="2"/>
  <c r="Y311" i="2"/>
  <c r="BP310" i="2"/>
  <c r="Y384" i="2"/>
  <c r="W556" i="2"/>
  <c r="BN102" i="2"/>
  <c r="BN219" i="2"/>
  <c r="Y287" i="2"/>
  <c r="Z310" i="2"/>
  <c r="Z327" i="2"/>
  <c r="Y428" i="2"/>
  <c r="BN423" i="2"/>
  <c r="BP423" i="2"/>
  <c r="Y429" i="2"/>
  <c r="Z423" i="2"/>
  <c r="BP26" i="2"/>
  <c r="BN26" i="2"/>
  <c r="F556" i="2"/>
  <c r="Y91" i="2"/>
  <c r="Y90" i="2"/>
  <c r="BN84" i="2"/>
  <c r="BP84" i="2"/>
  <c r="BP201" i="2"/>
  <c r="BN201" i="2"/>
  <c r="K556" i="2"/>
  <c r="BP275" i="2"/>
  <c r="Z275" i="2"/>
  <c r="BN275" i="2"/>
  <c r="Y360" i="2"/>
  <c r="Y434" i="2"/>
  <c r="BN433" i="2"/>
  <c r="BP433" i="2"/>
  <c r="Z433" i="2"/>
  <c r="Y378" i="2"/>
  <c r="Y446" i="2"/>
  <c r="L556" i="2"/>
  <c r="Y452" i="2"/>
  <c r="M556" i="2"/>
  <c r="Y540" i="2"/>
  <c r="O556" i="2"/>
  <c r="Y207" i="2"/>
  <c r="Z217" i="2"/>
  <c r="Z260" i="2"/>
  <c r="Z270" i="2"/>
  <c r="Z291" i="2"/>
  <c r="Z301" i="2"/>
  <c r="Z302" i="2" s="1"/>
  <c r="Z325" i="2"/>
  <c r="Y350" i="2"/>
  <c r="Y361" i="2"/>
  <c r="Y371" i="2"/>
  <c r="Z380" i="2"/>
  <c r="Z414" i="2"/>
  <c r="Z426" i="2"/>
  <c r="BN438" i="2"/>
  <c r="Z449" i="2"/>
  <c r="BP475" i="2"/>
  <c r="BN486" i="2"/>
  <c r="BN498" i="2"/>
  <c r="P556" i="2"/>
  <c r="Z149" i="2"/>
  <c r="Z29" i="2"/>
  <c r="Z87" i="2"/>
  <c r="Z131" i="2"/>
  <c r="Z154" i="2"/>
  <c r="Z155" i="2" s="1"/>
  <c r="Y235" i="2"/>
  <c r="Z341" i="2"/>
  <c r="Z395" i="2"/>
  <c r="Y409" i="2"/>
  <c r="Z421" i="2"/>
  <c r="Z431" i="2"/>
  <c r="BN443" i="2"/>
  <c r="Z454" i="2"/>
  <c r="Z455" i="2" s="1"/>
  <c r="BN468" i="2"/>
  <c r="BN503" i="2"/>
  <c r="Y506" i="2"/>
  <c r="Y516" i="2"/>
  <c r="Z525" i="2"/>
  <c r="Z526" i="2" s="1"/>
  <c r="Z537" i="2"/>
  <c r="Q556" i="2"/>
  <c r="Y97" i="2"/>
  <c r="Z36" i="2"/>
  <c r="Z48" i="2"/>
  <c r="Z59" i="2"/>
  <c r="Y74" i="2"/>
  <c r="Z103" i="2"/>
  <c r="Z113" i="2"/>
  <c r="Z136" i="2"/>
  <c r="BN149" i="2"/>
  <c r="Z160" i="2"/>
  <c r="BN172" i="2"/>
  <c r="Z180" i="2"/>
  <c r="Z204" i="2"/>
  <c r="BN217" i="2"/>
  <c r="Z225" i="2"/>
  <c r="BN260" i="2"/>
  <c r="BN270" i="2"/>
  <c r="Z278" i="2"/>
  <c r="BN291" i="2"/>
  <c r="BN301" i="2"/>
  <c r="BN325" i="2"/>
  <c r="Y328" i="2"/>
  <c r="Z347" i="2"/>
  <c r="Z358" i="2"/>
  <c r="Z368" i="2"/>
  <c r="BN380" i="2"/>
  <c r="Y383" i="2"/>
  <c r="Z400" i="2"/>
  <c r="BN414" i="2"/>
  <c r="BN426" i="2"/>
  <c r="BN449" i="2"/>
  <c r="Z459" i="2"/>
  <c r="Z471" i="2"/>
  <c r="Y476" i="2"/>
  <c r="Z484" i="2"/>
  <c r="Z496" i="2"/>
  <c r="Z543" i="2"/>
  <c r="Z544" i="2" s="1"/>
  <c r="Y41" i="2"/>
  <c r="Z172" i="2"/>
  <c r="BN29" i="2"/>
  <c r="Y42" i="2"/>
  <c r="BN87" i="2"/>
  <c r="Y98" i="2"/>
  <c r="BN131" i="2"/>
  <c r="Z22" i="2"/>
  <c r="Z23" i="2" s="1"/>
  <c r="Y70" i="2"/>
  <c r="Z79" i="2"/>
  <c r="BN103" i="2"/>
  <c r="BN113" i="2"/>
  <c r="Y124" i="2"/>
  <c r="BN136" i="2"/>
  <c r="Z147" i="2"/>
  <c r="BN160" i="2"/>
  <c r="BP172" i="2"/>
  <c r="Z215" i="2"/>
  <c r="Y236" i="2"/>
  <c r="Y251" i="2"/>
  <c r="BP270" i="2"/>
  <c r="BP301" i="2"/>
  <c r="BP325" i="2"/>
  <c r="Z334" i="2"/>
  <c r="BN347" i="2"/>
  <c r="BN358" i="2"/>
  <c r="BN368" i="2"/>
  <c r="BP380" i="2"/>
  <c r="Z388" i="2"/>
  <c r="BN400" i="2"/>
  <c r="Z412" i="2"/>
  <c r="Z424" i="2"/>
  <c r="BP449" i="2"/>
  <c r="BN459" i="2"/>
  <c r="BN471" i="2"/>
  <c r="BN484" i="2"/>
  <c r="Y487" i="2"/>
  <c r="BN496" i="2"/>
  <c r="Y517" i="2"/>
  <c r="Y531" i="2"/>
  <c r="BN543" i="2"/>
  <c r="T556" i="2"/>
  <c r="BN154" i="2"/>
  <c r="BP443" i="2"/>
  <c r="BN36" i="2"/>
  <c r="Y62" i="2"/>
  <c r="BN54" i="2"/>
  <c r="Y75" i="2"/>
  <c r="BP131" i="2"/>
  <c r="BP154" i="2"/>
  <c r="Y168" i="2"/>
  <c r="BN175" i="2"/>
  <c r="BN185" i="2"/>
  <c r="BN199" i="2"/>
  <c r="BN210" i="2"/>
  <c r="BN220" i="2"/>
  <c r="BN230" i="2"/>
  <c r="BN240" i="2"/>
  <c r="Y256" i="2"/>
  <c r="BN263" i="2"/>
  <c r="BN273" i="2"/>
  <c r="Z281" i="2"/>
  <c r="BN294" i="2"/>
  <c r="BN317" i="2"/>
  <c r="Z339" i="2"/>
  <c r="BP341" i="2"/>
  <c r="BN353" i="2"/>
  <c r="BN363" i="2"/>
  <c r="BN373" i="2"/>
  <c r="Z393" i="2"/>
  <c r="BP395" i="2"/>
  <c r="BN406" i="2"/>
  <c r="BP431" i="2"/>
  <c r="Z439" i="2"/>
  <c r="BP454" i="2"/>
  <c r="BN466" i="2"/>
  <c r="Z499" i="2"/>
  <c r="BN511" i="2"/>
  <c r="BP525" i="2"/>
  <c r="B556" i="2"/>
  <c r="U556" i="2"/>
  <c r="BN147" i="2"/>
  <c r="Y302" i="2"/>
  <c r="BN334" i="2"/>
  <c r="BN388" i="2"/>
  <c r="BN412" i="2"/>
  <c r="Y415" i="2"/>
  <c r="BN424" i="2"/>
  <c r="BP484" i="2"/>
  <c r="BP543" i="2"/>
  <c r="V556" i="2"/>
  <c r="Z72" i="2"/>
  <c r="Z126" i="2"/>
  <c r="Z127" i="2" s="1"/>
  <c r="Z150" i="2"/>
  <c r="Y155" i="2"/>
  <c r="Z173" i="2"/>
  <c r="Z218" i="2"/>
  <c r="Z238" i="2"/>
  <c r="Y252" i="2"/>
  <c r="Z261" i="2"/>
  <c r="Z271" i="2"/>
  <c r="Z292" i="2"/>
  <c r="Z315" i="2"/>
  <c r="Z326" i="2"/>
  <c r="BN339" i="2"/>
  <c r="Z381" i="2"/>
  <c r="BN393" i="2"/>
  <c r="Z427" i="2"/>
  <c r="Z450" i="2"/>
  <c r="Y455" i="2"/>
  <c r="BP466" i="2"/>
  <c r="Z509" i="2"/>
  <c r="Z521" i="2"/>
  <c r="Z522" i="2" s="1"/>
  <c r="Y526" i="2"/>
  <c r="Z533" i="2"/>
  <c r="Z534" i="2" s="1"/>
  <c r="Y257" i="2"/>
  <c r="BP412" i="2"/>
  <c r="Y472" i="2"/>
  <c r="Z538" i="2"/>
  <c r="Y544" i="2"/>
  <c r="X556" i="2"/>
  <c r="BN509" i="2"/>
  <c r="BN521" i="2"/>
  <c r="BN533" i="2"/>
  <c r="Y556" i="2"/>
  <c r="Z37" i="2"/>
  <c r="Z49" i="2"/>
  <c r="BN72" i="2"/>
  <c r="Z93" i="2"/>
  <c r="Z104" i="2"/>
  <c r="Z114" i="2"/>
  <c r="Z137" i="2"/>
  <c r="BN77" i="2"/>
  <c r="Z354" i="2"/>
  <c r="Z364" i="2"/>
  <c r="Z374" i="2"/>
  <c r="Z407" i="2"/>
  <c r="Z467" i="2"/>
  <c r="BN480" i="2"/>
  <c r="Z492" i="2"/>
  <c r="Z512" i="2"/>
  <c r="BN538" i="2"/>
  <c r="Z60" i="2"/>
  <c r="Z161" i="2"/>
  <c r="Z193" i="2"/>
  <c r="Z194" i="2" s="1"/>
  <c r="Z205" i="2"/>
  <c r="Z226" i="2"/>
  <c r="Z249" i="2"/>
  <c r="Z251" i="2" s="1"/>
  <c r="Z171" i="2"/>
  <c r="BN437" i="2"/>
  <c r="Y500" i="2"/>
  <c r="BP521" i="2"/>
  <c r="BP533" i="2"/>
  <c r="Y545" i="2"/>
  <c r="AA556" i="2"/>
  <c r="BN374" i="2"/>
  <c r="AB556" i="2"/>
  <c r="Z143" i="2" l="1"/>
  <c r="Z408" i="2"/>
  <c r="Z168" i="2"/>
  <c r="Z74" i="2"/>
  <c r="Z241" i="2"/>
  <c r="Z97" i="2"/>
  <c r="Z31" i="2"/>
  <c r="Z69" i="2"/>
  <c r="Z311" i="2"/>
  <c r="X549" i="2"/>
  <c r="Z506" i="2"/>
  <c r="Z186" i="2"/>
  <c r="Z256" i="2"/>
  <c r="Z298" i="2"/>
  <c r="Z360" i="2"/>
  <c r="Z445" i="2"/>
  <c r="Z287" i="2"/>
  <c r="Z123" i="2"/>
  <c r="Z377" i="2"/>
  <c r="Z90" i="2"/>
  <c r="Z133" i="2"/>
  <c r="Z349" i="2"/>
  <c r="Z402" i="2"/>
  <c r="Z472" i="2"/>
  <c r="Z41" i="2"/>
  <c r="Z163" i="2"/>
  <c r="Z206" i="2"/>
  <c r="Z461" i="2"/>
  <c r="Y550" i="2"/>
  <c r="Z342" i="2"/>
  <c r="Z396" i="2"/>
  <c r="Z440" i="2"/>
  <c r="Y547" i="2"/>
  <c r="Z235" i="2"/>
  <c r="Y548" i="2"/>
  <c r="Z62" i="2"/>
  <c r="Z321" i="2"/>
  <c r="Z415" i="2"/>
  <c r="Z267" i="2"/>
  <c r="Z336" i="2"/>
  <c r="Y546" i="2"/>
  <c r="Z227" i="2"/>
  <c r="Z80" i="2"/>
  <c r="Z487" i="2"/>
  <c r="Z116" i="2"/>
  <c r="Z50" i="2"/>
  <c r="Z539" i="2"/>
  <c r="Z282" i="2"/>
  <c r="Z451" i="2"/>
  <c r="Z500" i="2"/>
  <c r="Z370" i="2"/>
  <c r="Z434" i="2"/>
  <c r="Z108" i="2"/>
  <c r="Z138" i="2"/>
  <c r="Z428" i="2"/>
  <c r="Z383" i="2"/>
  <c r="Z516" i="2"/>
  <c r="Z390" i="2"/>
  <c r="Z151" i="2"/>
  <c r="Z181" i="2"/>
  <c r="Z328" i="2"/>
  <c r="Y549" i="2" l="1"/>
  <c r="Z551" i="2"/>
</calcChain>
</file>

<file path=xl/sharedStrings.xml><?xml version="1.0" encoding="utf-8"?>
<sst xmlns="http://schemas.openxmlformats.org/spreadsheetml/2006/main" count="4166" uniqueCount="895">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</sst>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68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67" t="s">
        <v>26</v>
      </c>
      <c r="E1" s="967"/>
      <c r="F1" s="967"/>
      <c r="G1" s="14" t="s">
        <v>67</v>
      </c>
      <c r="H1" s="967" t="s">
        <v>47</v>
      </c>
      <c r="I1" s="967"/>
      <c r="J1" s="967"/>
      <c r="K1" s="967"/>
      <c r="L1" s="967"/>
      <c r="M1" s="967"/>
      <c r="N1" s="967"/>
      <c r="O1" s="967"/>
      <c r="P1" s="967"/>
      <c r="Q1" s="967"/>
      <c r="R1" s="968" t="s">
        <v>68</v>
      </c>
      <c r="S1" s="969"/>
      <c r="T1" s="96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0"/>
      <c r="R2" s="970"/>
      <c r="S2" s="970"/>
      <c r="T2" s="970"/>
      <c r="U2" s="970"/>
      <c r="V2" s="970"/>
      <c r="W2" s="97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0"/>
      <c r="Q3" s="970"/>
      <c r="R3" s="970"/>
      <c r="S3" s="970"/>
      <c r="T3" s="970"/>
      <c r="U3" s="970"/>
      <c r="V3" s="970"/>
      <c r="W3" s="97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49" t="s">
        <v>8</v>
      </c>
      <c r="B5" s="949"/>
      <c r="C5" s="949"/>
      <c r="D5" s="971"/>
      <c r="E5" s="971"/>
      <c r="F5" s="972" t="s">
        <v>14</v>
      </c>
      <c r="G5" s="972"/>
      <c r="H5" s="971" t="s">
        <v>894</v>
      </c>
      <c r="I5" s="971"/>
      <c r="J5" s="971"/>
      <c r="K5" s="971"/>
      <c r="L5" s="971"/>
      <c r="M5" s="971"/>
      <c r="N5" s="69"/>
      <c r="P5" s="26" t="s">
        <v>4</v>
      </c>
      <c r="Q5" s="973">
        <v>46315</v>
      </c>
      <c r="R5" s="973"/>
      <c r="T5" s="974" t="s">
        <v>3</v>
      </c>
      <c r="U5" s="975"/>
      <c r="V5" s="976" t="s">
        <v>851</v>
      </c>
      <c r="W5" s="977"/>
      <c r="AB5" s="57"/>
      <c r="AC5" s="57"/>
      <c r="AD5" s="57"/>
      <c r="AE5" s="57"/>
    </row>
    <row r="6" spans="1:32" s="17" customFormat="1" ht="24" customHeight="1" x14ac:dyDescent="0.2">
      <c r="A6" s="949" t="s">
        <v>1</v>
      </c>
      <c r="B6" s="949"/>
      <c r="C6" s="949"/>
      <c r="D6" s="950" t="s">
        <v>870</v>
      </c>
      <c r="E6" s="950"/>
      <c r="F6" s="950"/>
      <c r="G6" s="950"/>
      <c r="H6" s="950"/>
      <c r="I6" s="950"/>
      <c r="J6" s="950"/>
      <c r="K6" s="950"/>
      <c r="L6" s="950"/>
      <c r="M6" s="950"/>
      <c r="N6" s="70"/>
      <c r="P6" s="26" t="s">
        <v>27</v>
      </c>
      <c r="Q6" s="951" t="str">
        <f>IF(Q5=0," ",CHOOSE(WEEKDAY(Q5,2),"Понедельник","Вторник","Среда","Четверг","Пятница","Суббота","Воскресенье"))</f>
        <v>Вторник</v>
      </c>
      <c r="R6" s="951"/>
      <c r="T6" s="952" t="s">
        <v>5</v>
      </c>
      <c r="U6" s="953"/>
      <c r="V6" s="954" t="s">
        <v>70</v>
      </c>
      <c r="W6" s="95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60" t="str">
        <f>IFERROR(VLOOKUP(DeliveryAddress,Table,3,0),1)</f>
        <v>7</v>
      </c>
      <c r="E7" s="961"/>
      <c r="F7" s="961"/>
      <c r="G7" s="961"/>
      <c r="H7" s="961"/>
      <c r="I7" s="961"/>
      <c r="J7" s="961"/>
      <c r="K7" s="961"/>
      <c r="L7" s="961"/>
      <c r="M7" s="962"/>
      <c r="N7" s="71"/>
      <c r="P7" s="26"/>
      <c r="Q7" s="46"/>
      <c r="R7" s="46"/>
      <c r="T7" s="952"/>
      <c r="U7" s="953"/>
      <c r="V7" s="956"/>
      <c r="W7" s="957"/>
      <c r="AB7" s="57"/>
      <c r="AC7" s="57"/>
      <c r="AD7" s="57"/>
      <c r="AE7" s="57"/>
    </row>
    <row r="8" spans="1:32" s="17" customFormat="1" ht="25.5" customHeight="1" x14ac:dyDescent="0.2">
      <c r="A8" s="963" t="s">
        <v>58</v>
      </c>
      <c r="B8" s="963"/>
      <c r="C8" s="963"/>
      <c r="D8" s="964"/>
      <c r="E8" s="964"/>
      <c r="F8" s="964"/>
      <c r="G8" s="964"/>
      <c r="H8" s="964"/>
      <c r="I8" s="964"/>
      <c r="J8" s="964"/>
      <c r="K8" s="964"/>
      <c r="L8" s="964"/>
      <c r="M8" s="964"/>
      <c r="N8" s="72"/>
      <c r="P8" s="26" t="s">
        <v>11</v>
      </c>
      <c r="Q8" s="947">
        <v>0.41666666666666669</v>
      </c>
      <c r="R8" s="947"/>
      <c r="T8" s="952"/>
      <c r="U8" s="953"/>
      <c r="V8" s="956"/>
      <c r="W8" s="957"/>
      <c r="AB8" s="57"/>
      <c r="AC8" s="57"/>
      <c r="AD8" s="57"/>
      <c r="AE8" s="57"/>
    </row>
    <row r="9" spans="1:32" s="17" customFormat="1" ht="39.950000000000003" customHeight="1" x14ac:dyDescent="0.2">
      <c r="A9" s="93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9"/>
      <c r="C9" s="939"/>
      <c r="D9" s="940" t="s">
        <v>46</v>
      </c>
      <c r="E9" s="941"/>
      <c r="F9" s="93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9"/>
      <c r="H9" s="965" t="str">
        <f>IF(AND($A$9="Тип доверенности/получателя при получении в адресе перегруза:",$D$9="Разовая доверенность"),"Введите ФИО","")</f>
        <v/>
      </c>
      <c r="I9" s="965"/>
      <c r="J9" s="9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65"/>
      <c r="L9" s="965"/>
      <c r="M9" s="965"/>
      <c r="N9" s="67"/>
      <c r="P9" s="29" t="s">
        <v>15</v>
      </c>
      <c r="Q9" s="966"/>
      <c r="R9" s="966"/>
      <c r="T9" s="952"/>
      <c r="U9" s="953"/>
      <c r="V9" s="958"/>
      <c r="W9" s="95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3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9"/>
      <c r="C10" s="939"/>
      <c r="D10" s="940"/>
      <c r="E10" s="941"/>
      <c r="F10" s="93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9"/>
      <c r="H10" s="942" t="str">
        <f>IFERROR(VLOOKUP($D$10,Proxy,2,FALSE),"")</f>
        <v/>
      </c>
      <c r="I10" s="942"/>
      <c r="J10" s="942"/>
      <c r="K10" s="942"/>
      <c r="L10" s="942"/>
      <c r="M10" s="942"/>
      <c r="N10" s="68"/>
      <c r="P10" s="29" t="s">
        <v>32</v>
      </c>
      <c r="Q10" s="943"/>
      <c r="R10" s="943"/>
      <c r="U10" s="26" t="s">
        <v>12</v>
      </c>
      <c r="V10" s="944" t="s">
        <v>71</v>
      </c>
      <c r="W10" s="94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46"/>
      <c r="R11" s="946"/>
      <c r="U11" s="26" t="s">
        <v>28</v>
      </c>
      <c r="V11" s="925" t="s">
        <v>55</v>
      </c>
      <c r="W11" s="92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24" t="s">
        <v>72</v>
      </c>
      <c r="B12" s="924"/>
      <c r="C12" s="924"/>
      <c r="D12" s="924"/>
      <c r="E12" s="924"/>
      <c r="F12" s="924"/>
      <c r="G12" s="924"/>
      <c r="H12" s="924"/>
      <c r="I12" s="924"/>
      <c r="J12" s="924"/>
      <c r="K12" s="924"/>
      <c r="L12" s="924"/>
      <c r="M12" s="924"/>
      <c r="N12" s="73"/>
      <c r="P12" s="26" t="s">
        <v>30</v>
      </c>
      <c r="Q12" s="947"/>
      <c r="R12" s="947"/>
      <c r="S12" s="27"/>
      <c r="T12"/>
      <c r="U12" s="26" t="s">
        <v>46</v>
      </c>
      <c r="V12" s="948"/>
      <c r="W12" s="948"/>
      <c r="X12"/>
      <c r="AB12" s="57"/>
      <c r="AC12" s="57"/>
      <c r="AD12" s="57"/>
      <c r="AE12" s="57"/>
    </row>
    <row r="13" spans="1:32" s="17" customFormat="1" ht="23.25" customHeight="1" x14ac:dyDescent="0.2">
      <c r="A13" s="924" t="s">
        <v>73</v>
      </c>
      <c r="B13" s="924"/>
      <c r="C13" s="924"/>
      <c r="D13" s="924"/>
      <c r="E13" s="924"/>
      <c r="F13" s="924"/>
      <c r="G13" s="924"/>
      <c r="H13" s="924"/>
      <c r="I13" s="924"/>
      <c r="J13" s="924"/>
      <c r="K13" s="924"/>
      <c r="L13" s="924"/>
      <c r="M13" s="924"/>
      <c r="N13" s="73"/>
      <c r="O13" s="29"/>
      <c r="P13" s="29" t="s">
        <v>31</v>
      </c>
      <c r="Q13" s="925"/>
      <c r="R13" s="92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24" t="s">
        <v>74</v>
      </c>
      <c r="B14" s="924"/>
      <c r="C14" s="924"/>
      <c r="D14" s="924"/>
      <c r="E14" s="924"/>
      <c r="F14" s="924"/>
      <c r="G14" s="924"/>
      <c r="H14" s="924"/>
      <c r="I14" s="924"/>
      <c r="J14" s="924"/>
      <c r="K14" s="924"/>
      <c r="L14" s="924"/>
      <c r="M14" s="92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26" t="s">
        <v>75</v>
      </c>
      <c r="B15" s="926"/>
      <c r="C15" s="926"/>
      <c r="D15" s="926"/>
      <c r="E15" s="926"/>
      <c r="F15" s="926"/>
      <c r="G15" s="926"/>
      <c r="H15" s="926"/>
      <c r="I15" s="926"/>
      <c r="J15" s="926"/>
      <c r="K15" s="926"/>
      <c r="L15" s="926"/>
      <c r="M15" s="926"/>
      <c r="N15" s="74"/>
      <c r="O15"/>
      <c r="P15" s="927" t="s">
        <v>61</v>
      </c>
      <c r="Q15" s="927"/>
      <c r="R15" s="927"/>
      <c r="S15" s="927"/>
      <c r="T15" s="92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28"/>
      <c r="Q16" s="928"/>
      <c r="R16" s="928"/>
      <c r="S16" s="928"/>
      <c r="T16" s="9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0" t="s">
        <v>59</v>
      </c>
      <c r="B17" s="910" t="s">
        <v>49</v>
      </c>
      <c r="C17" s="931" t="s">
        <v>48</v>
      </c>
      <c r="D17" s="933" t="s">
        <v>50</v>
      </c>
      <c r="E17" s="934"/>
      <c r="F17" s="910" t="s">
        <v>21</v>
      </c>
      <c r="G17" s="910" t="s">
        <v>24</v>
      </c>
      <c r="H17" s="910" t="s">
        <v>22</v>
      </c>
      <c r="I17" s="910" t="s">
        <v>23</v>
      </c>
      <c r="J17" s="910" t="s">
        <v>16</v>
      </c>
      <c r="K17" s="910" t="s">
        <v>66</v>
      </c>
      <c r="L17" s="910" t="s">
        <v>64</v>
      </c>
      <c r="M17" s="910" t="s">
        <v>2</v>
      </c>
      <c r="N17" s="910" t="s">
        <v>63</v>
      </c>
      <c r="O17" s="910" t="s">
        <v>25</v>
      </c>
      <c r="P17" s="933" t="s">
        <v>17</v>
      </c>
      <c r="Q17" s="937"/>
      <c r="R17" s="937"/>
      <c r="S17" s="937"/>
      <c r="T17" s="934"/>
      <c r="U17" s="929" t="s">
        <v>56</v>
      </c>
      <c r="V17" s="930"/>
      <c r="W17" s="910" t="s">
        <v>6</v>
      </c>
      <c r="X17" s="910" t="s">
        <v>41</v>
      </c>
      <c r="Y17" s="912" t="s">
        <v>54</v>
      </c>
      <c r="Z17" s="914" t="s">
        <v>18</v>
      </c>
      <c r="AA17" s="916" t="s">
        <v>60</v>
      </c>
      <c r="AB17" s="916" t="s">
        <v>19</v>
      </c>
      <c r="AC17" s="916" t="s">
        <v>65</v>
      </c>
      <c r="AD17" s="918" t="s">
        <v>57</v>
      </c>
      <c r="AE17" s="919"/>
      <c r="AF17" s="920"/>
      <c r="AG17" s="77"/>
      <c r="BD17" s="76" t="s">
        <v>62</v>
      </c>
    </row>
    <row r="18" spans="1:68" ht="14.25" customHeight="1" x14ac:dyDescent="0.2">
      <c r="A18" s="911"/>
      <c r="B18" s="911"/>
      <c r="C18" s="932"/>
      <c r="D18" s="935"/>
      <c r="E18" s="936"/>
      <c r="F18" s="911"/>
      <c r="G18" s="911"/>
      <c r="H18" s="911"/>
      <c r="I18" s="911"/>
      <c r="J18" s="911"/>
      <c r="K18" s="911"/>
      <c r="L18" s="911"/>
      <c r="M18" s="911"/>
      <c r="N18" s="911"/>
      <c r="O18" s="911"/>
      <c r="P18" s="935"/>
      <c r="Q18" s="938"/>
      <c r="R18" s="938"/>
      <c r="S18" s="938"/>
      <c r="T18" s="936"/>
      <c r="U18" s="78" t="s">
        <v>44</v>
      </c>
      <c r="V18" s="78" t="s">
        <v>43</v>
      </c>
      <c r="W18" s="911"/>
      <c r="X18" s="911"/>
      <c r="Y18" s="913"/>
      <c r="Z18" s="915"/>
      <c r="AA18" s="917"/>
      <c r="AB18" s="917"/>
      <c r="AC18" s="917"/>
      <c r="AD18" s="921"/>
      <c r="AE18" s="922"/>
      <c r="AF18" s="923"/>
      <c r="AG18" s="77"/>
      <c r="BD18" s="76"/>
    </row>
    <row r="19" spans="1:68" ht="27.75" hidden="1" customHeight="1" x14ac:dyDescent="0.2">
      <c r="A19" s="645" t="s">
        <v>76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52"/>
      <c r="AB19" s="52"/>
      <c r="AC19" s="52"/>
    </row>
    <row r="20" spans="1:68" ht="16.5" hidden="1" customHeight="1" x14ac:dyDescent="0.25">
      <c r="A20" s="638" t="s">
        <v>76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/>
      <c r="O20" s="638"/>
      <c r="P20" s="638"/>
      <c r="Q20" s="638"/>
      <c r="R20" s="638"/>
      <c r="S20" s="638"/>
      <c r="T20" s="638"/>
      <c r="U20" s="638"/>
      <c r="V20" s="638"/>
      <c r="W20" s="638"/>
      <c r="X20" s="638"/>
      <c r="Y20" s="638"/>
      <c r="Z20" s="638"/>
      <c r="AA20" s="62"/>
      <c r="AB20" s="62"/>
      <c r="AC20" s="62"/>
    </row>
    <row r="21" spans="1:68" ht="14.25" hidden="1" customHeight="1" x14ac:dyDescent="0.25">
      <c r="A21" s="639" t="s">
        <v>77</v>
      </c>
      <c r="B21" s="639"/>
      <c r="C21" s="639"/>
      <c r="D21" s="639"/>
      <c r="E21" s="639"/>
      <c r="F21" s="639"/>
      <c r="G21" s="639"/>
      <c r="H21" s="639"/>
      <c r="I21" s="639"/>
      <c r="J21" s="639"/>
      <c r="K21" s="639"/>
      <c r="L21" s="639"/>
      <c r="M21" s="639"/>
      <c r="N21" s="639"/>
      <c r="O21" s="639"/>
      <c r="P21" s="639"/>
      <c r="Q21" s="639"/>
      <c r="R21" s="639"/>
      <c r="S21" s="639"/>
      <c r="T21" s="639"/>
      <c r="U21" s="639"/>
      <c r="V21" s="639"/>
      <c r="W21" s="639"/>
      <c r="X21" s="639"/>
      <c r="Y21" s="639"/>
      <c r="Z21" s="63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34">
        <v>4680115889071</v>
      </c>
      <c r="E22" s="63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36"/>
      <c r="R22" s="636"/>
      <c r="S22" s="636"/>
      <c r="T22" s="63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idden="1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hidden="1" customHeight="1" x14ac:dyDescent="0.25">
      <c r="A25" s="639" t="s">
        <v>83</v>
      </c>
      <c r="B25" s="639"/>
      <c r="C25" s="639"/>
      <c r="D25" s="639"/>
      <c r="E25" s="639"/>
      <c r="F25" s="639"/>
      <c r="G25" s="639"/>
      <c r="H25" s="639"/>
      <c r="I25" s="639"/>
      <c r="J25" s="639"/>
      <c r="K25" s="639"/>
      <c r="L25" s="639"/>
      <c r="M25" s="639"/>
      <c r="N25" s="639"/>
      <c r="O25" s="639"/>
      <c r="P25" s="639"/>
      <c r="Q25" s="639"/>
      <c r="R25" s="639"/>
      <c r="S25" s="639"/>
      <c r="T25" s="639"/>
      <c r="U25" s="639"/>
      <c r="V25" s="639"/>
      <c r="W25" s="639"/>
      <c r="X25" s="639"/>
      <c r="Y25" s="639"/>
      <c r="Z25" s="639"/>
      <c r="AA25" s="63"/>
      <c r="AB25" s="63"/>
      <c r="AC25" s="63"/>
    </row>
    <row r="26" spans="1:68" ht="27" hidden="1" customHeight="1" x14ac:dyDescent="0.25">
      <c r="A26" s="60" t="s">
        <v>84</v>
      </c>
      <c r="B26" s="60" t="s">
        <v>85</v>
      </c>
      <c r="C26" s="34">
        <v>4301051866</v>
      </c>
      <c r="D26" s="634">
        <v>4680115885912</v>
      </c>
      <c r="E26" s="634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88</v>
      </c>
      <c r="L26" s="35" t="s">
        <v>46</v>
      </c>
      <c r="M26" s="36" t="s">
        <v>87</v>
      </c>
      <c r="N26" s="36"/>
      <c r="O26" s="35">
        <v>40</v>
      </c>
      <c r="P26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36"/>
      <c r="R26" s="636"/>
      <c r="S26" s="636"/>
      <c r="T26" s="637"/>
      <c r="U26" s="37" t="s">
        <v>46</v>
      </c>
      <c r="V26" s="37" t="s">
        <v>46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46</v>
      </c>
      <c r="AB26" s="66" t="s">
        <v>46</v>
      </c>
      <c r="AC26" s="83" t="s">
        <v>86</v>
      </c>
      <c r="AG26" s="75"/>
      <c r="AJ26" s="79" t="s">
        <v>46</v>
      </c>
      <c r="AK26" s="79">
        <v>0</v>
      </c>
      <c r="BB26" s="84" t="s">
        <v>67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hidden="1" customHeight="1" x14ac:dyDescent="0.25">
      <c r="A27" s="60" t="s">
        <v>89</v>
      </c>
      <c r="B27" s="60" t="s">
        <v>90</v>
      </c>
      <c r="C27" s="34">
        <v>4301051776</v>
      </c>
      <c r="D27" s="634">
        <v>4607091388237</v>
      </c>
      <c r="E27" s="634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88</v>
      </c>
      <c r="L27" s="35" t="s">
        <v>46</v>
      </c>
      <c r="M27" s="36" t="s">
        <v>87</v>
      </c>
      <c r="N27" s="36"/>
      <c r="O27" s="35">
        <v>40</v>
      </c>
      <c r="P27" s="9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36"/>
      <c r="R27" s="636"/>
      <c r="S27" s="636"/>
      <c r="T27" s="63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86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4301052063</v>
      </c>
      <c r="D28" s="634">
        <v>4680115887350</v>
      </c>
      <c r="E28" s="63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94</v>
      </c>
      <c r="N28" s="36"/>
      <c r="O28" s="35">
        <v>40</v>
      </c>
      <c r="P28" s="90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36"/>
      <c r="R28" s="636"/>
      <c r="S28" s="636"/>
      <c r="T28" s="63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93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95</v>
      </c>
      <c r="B29" s="60" t="s">
        <v>96</v>
      </c>
      <c r="C29" s="34">
        <v>4301051863</v>
      </c>
      <c r="D29" s="634">
        <v>4680115885905</v>
      </c>
      <c r="E29" s="63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88</v>
      </c>
      <c r="L29" s="35" t="s">
        <v>46</v>
      </c>
      <c r="M29" s="36" t="s">
        <v>94</v>
      </c>
      <c r="N29" s="36"/>
      <c r="O29" s="35">
        <v>40</v>
      </c>
      <c r="P29" s="9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36"/>
      <c r="R29" s="636"/>
      <c r="S29" s="636"/>
      <c r="T29" s="63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97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4301052071</v>
      </c>
      <c r="D30" s="634">
        <v>4680115887619</v>
      </c>
      <c r="E30" s="634"/>
      <c r="F30" s="59">
        <v>0.33</v>
      </c>
      <c r="G30" s="35">
        <v>6</v>
      </c>
      <c r="H30" s="59">
        <v>1.98</v>
      </c>
      <c r="I30" s="59">
        <v>2.16</v>
      </c>
      <c r="J30" s="35">
        <v>182</v>
      </c>
      <c r="K30" s="35" t="s">
        <v>88</v>
      </c>
      <c r="L30" s="35" t="s">
        <v>46</v>
      </c>
      <c r="M30" s="36" t="s">
        <v>87</v>
      </c>
      <c r="N30" s="36"/>
      <c r="O30" s="35">
        <v>40</v>
      </c>
      <c r="P30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36"/>
      <c r="R30" s="636"/>
      <c r="S30" s="636"/>
      <c r="T30" s="63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idden="1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27.75" hidden="1" customHeight="1" x14ac:dyDescent="0.2">
      <c r="A33" s="645" t="s">
        <v>45</v>
      </c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5"/>
      <c r="P33" s="645"/>
      <c r="Q33" s="645"/>
      <c r="R33" s="645"/>
      <c r="S33" s="645"/>
      <c r="T33" s="645"/>
      <c r="U33" s="645"/>
      <c r="V33" s="645"/>
      <c r="W33" s="645"/>
      <c r="X33" s="645"/>
      <c r="Y33" s="645"/>
      <c r="Z33" s="645"/>
      <c r="AA33" s="52"/>
      <c r="AB33" s="52"/>
      <c r="AC33" s="52"/>
    </row>
    <row r="34" spans="1:68" ht="16.5" hidden="1" customHeight="1" x14ac:dyDescent="0.25">
      <c r="A34" s="638" t="s">
        <v>101</v>
      </c>
      <c r="B34" s="638"/>
      <c r="C34" s="638"/>
      <c r="D34" s="638"/>
      <c r="E34" s="638"/>
      <c r="F34" s="638"/>
      <c r="G34" s="638"/>
      <c r="H34" s="638"/>
      <c r="I34" s="638"/>
      <c r="J34" s="638"/>
      <c r="K34" s="638"/>
      <c r="L34" s="638"/>
      <c r="M34" s="638"/>
      <c r="N34" s="638"/>
      <c r="O34" s="638"/>
      <c r="P34" s="638"/>
      <c r="Q34" s="638"/>
      <c r="R34" s="638"/>
      <c r="S34" s="638"/>
      <c r="T34" s="638"/>
      <c r="U34" s="638"/>
      <c r="V34" s="638"/>
      <c r="W34" s="638"/>
      <c r="X34" s="638"/>
      <c r="Y34" s="638"/>
      <c r="Z34" s="638"/>
      <c r="AA34" s="62"/>
      <c r="AB34" s="62"/>
      <c r="AC34" s="62"/>
    </row>
    <row r="35" spans="1:68" ht="14.25" hidden="1" customHeight="1" x14ac:dyDescent="0.25">
      <c r="A35" s="639" t="s">
        <v>83</v>
      </c>
      <c r="B35" s="639"/>
      <c r="C35" s="639"/>
      <c r="D35" s="639"/>
      <c r="E35" s="639"/>
      <c r="F35" s="639"/>
      <c r="G35" s="639"/>
      <c r="H35" s="639"/>
      <c r="I35" s="639"/>
      <c r="J35" s="639"/>
      <c r="K35" s="639"/>
      <c r="L35" s="639"/>
      <c r="M35" s="639"/>
      <c r="N35" s="639"/>
      <c r="O35" s="639"/>
      <c r="P35" s="639"/>
      <c r="Q35" s="639"/>
      <c r="R35" s="639"/>
      <c r="S35" s="639"/>
      <c r="T35" s="639"/>
      <c r="U35" s="639"/>
      <c r="V35" s="639"/>
      <c r="W35" s="639"/>
      <c r="X35" s="639"/>
      <c r="Y35" s="639"/>
      <c r="Z35" s="639"/>
      <c r="AA35" s="63"/>
      <c r="AB35" s="63"/>
      <c r="AC35" s="63"/>
    </row>
    <row r="36" spans="1:68" ht="27" hidden="1" customHeight="1" x14ac:dyDescent="0.25">
      <c r="A36" s="60" t="s">
        <v>102</v>
      </c>
      <c r="B36" s="60" t="s">
        <v>103</v>
      </c>
      <c r="C36" s="34">
        <v>4301052187</v>
      </c>
      <c r="D36" s="634">
        <v>4680115889354</v>
      </c>
      <c r="E36" s="634"/>
      <c r="F36" s="59">
        <v>0.32</v>
      </c>
      <c r="G36" s="35">
        <v>6</v>
      </c>
      <c r="H36" s="59">
        <v>1.92</v>
      </c>
      <c r="I36" s="59">
        <v>2.1</v>
      </c>
      <c r="J36" s="35">
        <v>182</v>
      </c>
      <c r="K36" s="35" t="s">
        <v>88</v>
      </c>
      <c r="L36" s="35" t="s">
        <v>46</v>
      </c>
      <c r="M36" s="36" t="s">
        <v>94</v>
      </c>
      <c r="N36" s="36"/>
      <c r="O36" s="35">
        <v>40</v>
      </c>
      <c r="P36" s="90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36"/>
      <c r="R36" s="636"/>
      <c r="S36" s="636"/>
      <c r="T36" s="637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3" t="s">
        <v>104</v>
      </c>
      <c r="AG36" s="75"/>
      <c r="AJ36" s="79" t="s">
        <v>46</v>
      </c>
      <c r="AK36" s="79">
        <v>0</v>
      </c>
      <c r="BB36" s="94" t="s">
        <v>67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105</v>
      </c>
      <c r="B37" s="60" t="s">
        <v>106</v>
      </c>
      <c r="C37" s="34">
        <v>4301052198</v>
      </c>
      <c r="D37" s="634">
        <v>4680115888463</v>
      </c>
      <c r="E37" s="63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88</v>
      </c>
      <c r="L37" s="35" t="s">
        <v>46</v>
      </c>
      <c r="M37" s="36" t="s">
        <v>87</v>
      </c>
      <c r="N37" s="36"/>
      <c r="O37" s="35">
        <v>40</v>
      </c>
      <c r="P37" s="90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36"/>
      <c r="R37" s="636"/>
      <c r="S37" s="636"/>
      <c r="T37" s="63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4301052259</v>
      </c>
      <c r="D38" s="634">
        <v>4680115889590</v>
      </c>
      <c r="E38" s="634"/>
      <c r="F38" s="59">
        <v>0.3</v>
      </c>
      <c r="G38" s="35">
        <v>4</v>
      </c>
      <c r="H38" s="59">
        <v>1.2</v>
      </c>
      <c r="I38" s="59">
        <v>6.18</v>
      </c>
      <c r="J38" s="35">
        <v>182</v>
      </c>
      <c r="K38" s="35" t="s">
        <v>88</v>
      </c>
      <c r="L38" s="35" t="s">
        <v>46</v>
      </c>
      <c r="M38" s="36" t="s">
        <v>87</v>
      </c>
      <c r="N38" s="36"/>
      <c r="O38" s="35">
        <v>40</v>
      </c>
      <c r="P38" s="90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36"/>
      <c r="R38" s="636"/>
      <c r="S38" s="636"/>
      <c r="T38" s="63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4301052184</v>
      </c>
      <c r="D39" s="634">
        <v>4680115888272</v>
      </c>
      <c r="E39" s="634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88</v>
      </c>
      <c r="L39" s="35" t="s">
        <v>46</v>
      </c>
      <c r="M39" s="36" t="s">
        <v>87</v>
      </c>
      <c r="N39" s="36"/>
      <c r="O39" s="35">
        <v>40</v>
      </c>
      <c r="P39" s="89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36"/>
      <c r="R39" s="636"/>
      <c r="S39" s="636"/>
      <c r="T39" s="63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4301052188</v>
      </c>
      <c r="D40" s="634">
        <v>4680115888364</v>
      </c>
      <c r="E40" s="63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88</v>
      </c>
      <c r="L40" s="35" t="s">
        <v>46</v>
      </c>
      <c r="M40" s="36" t="s">
        <v>87</v>
      </c>
      <c r="N40" s="36"/>
      <c r="O40" s="35">
        <v>40</v>
      </c>
      <c r="P40" s="90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36"/>
      <c r="R40" s="636"/>
      <c r="S40" s="636"/>
      <c r="T40" s="63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idden="1" x14ac:dyDescent="0.2">
      <c r="A41" s="628"/>
      <c r="B41" s="628"/>
      <c r="C41" s="628"/>
      <c r="D41" s="628"/>
      <c r="E41" s="628"/>
      <c r="F41" s="628"/>
      <c r="G41" s="628"/>
      <c r="H41" s="628"/>
      <c r="I41" s="628"/>
      <c r="J41" s="628"/>
      <c r="K41" s="628"/>
      <c r="L41" s="628"/>
      <c r="M41" s="628"/>
      <c r="N41" s="628"/>
      <c r="O41" s="629"/>
      <c r="P41" s="625" t="s">
        <v>40</v>
      </c>
      <c r="Q41" s="626"/>
      <c r="R41" s="626"/>
      <c r="S41" s="626"/>
      <c r="T41" s="626"/>
      <c r="U41" s="626"/>
      <c r="V41" s="627"/>
      <c r="W41" s="40" t="s">
        <v>39</v>
      </c>
      <c r="X41" s="41">
        <f>IFERROR(X36/H36,"0")+IFERROR(X37/H37,"0")+IFERROR(X38/H38,"0")+IFERROR(X39/H39,"0")+IFERROR(X40/H40,"0")</f>
        <v>0</v>
      </c>
      <c r="Y41" s="41">
        <f>IFERROR(Y36/H36,"0")+IFERROR(Y37/H37,"0")+IFERROR(Y38/H38,"0")+IFERROR(Y39/H39,"0")+IFERROR(Y40/H40,"0")</f>
        <v>0</v>
      </c>
      <c r="Z41" s="41">
        <f>IFERROR(IF(Z36="",0,Z36),"0")+IFERROR(IF(Z37="",0,Z37),"0")+IFERROR(IF(Z38="",0,Z38),"0")+IFERROR(IF(Z39="",0,Z39),"0")+IFERROR(IF(Z40="",0,Z40),"0")</f>
        <v>0</v>
      </c>
      <c r="AA41" s="64"/>
      <c r="AB41" s="64"/>
      <c r="AC41" s="64"/>
    </row>
    <row r="42" spans="1:68" hidden="1" x14ac:dyDescent="0.2">
      <c r="A42" s="628"/>
      <c r="B42" s="628"/>
      <c r="C42" s="628"/>
      <c r="D42" s="628"/>
      <c r="E42" s="628"/>
      <c r="F42" s="628"/>
      <c r="G42" s="628"/>
      <c r="H42" s="628"/>
      <c r="I42" s="628"/>
      <c r="J42" s="628"/>
      <c r="K42" s="628"/>
      <c r="L42" s="628"/>
      <c r="M42" s="628"/>
      <c r="N42" s="628"/>
      <c r="O42" s="629"/>
      <c r="P42" s="625" t="s">
        <v>40</v>
      </c>
      <c r="Q42" s="626"/>
      <c r="R42" s="626"/>
      <c r="S42" s="626"/>
      <c r="T42" s="626"/>
      <c r="U42" s="626"/>
      <c r="V42" s="627"/>
      <c r="W42" s="40" t="s">
        <v>0</v>
      </c>
      <c r="X42" s="41">
        <f>IFERROR(SUM(X36:X40),"0")</f>
        <v>0</v>
      </c>
      <c r="Y42" s="41">
        <f>IFERROR(SUM(Y36:Y40),"0")</f>
        <v>0</v>
      </c>
      <c r="Z42" s="40"/>
      <c r="AA42" s="64"/>
      <c r="AB42" s="64"/>
      <c r="AC42" s="64"/>
    </row>
    <row r="43" spans="1:68" ht="27.75" hidden="1" customHeight="1" x14ac:dyDescent="0.2">
      <c r="A43" s="645" t="s">
        <v>117</v>
      </c>
      <c r="B43" s="645"/>
      <c r="C43" s="645"/>
      <c r="D43" s="645"/>
      <c r="E43" s="645"/>
      <c r="F43" s="645"/>
      <c r="G43" s="645"/>
      <c r="H43" s="645"/>
      <c r="I43" s="645"/>
      <c r="J43" s="645"/>
      <c r="K43" s="645"/>
      <c r="L43" s="645"/>
      <c r="M43" s="645"/>
      <c r="N43" s="645"/>
      <c r="O43" s="645"/>
      <c r="P43" s="645"/>
      <c r="Q43" s="645"/>
      <c r="R43" s="645"/>
      <c r="S43" s="645"/>
      <c r="T43" s="645"/>
      <c r="U43" s="645"/>
      <c r="V43" s="645"/>
      <c r="W43" s="645"/>
      <c r="X43" s="645"/>
      <c r="Y43" s="645"/>
      <c r="Z43" s="645"/>
      <c r="AA43" s="52"/>
      <c r="AB43" s="52"/>
      <c r="AC43" s="52"/>
    </row>
    <row r="44" spans="1:68" ht="16.5" hidden="1" customHeight="1" x14ac:dyDescent="0.25">
      <c r="A44" s="638" t="s">
        <v>118</v>
      </c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8"/>
      <c r="P44" s="638"/>
      <c r="Q44" s="638"/>
      <c r="R44" s="638"/>
      <c r="S44" s="638"/>
      <c r="T44" s="638"/>
      <c r="U44" s="638"/>
      <c r="V44" s="638"/>
      <c r="W44" s="638"/>
      <c r="X44" s="638"/>
      <c r="Y44" s="638"/>
      <c r="Z44" s="638"/>
      <c r="AA44" s="62"/>
      <c r="AB44" s="62"/>
      <c r="AC44" s="62"/>
    </row>
    <row r="45" spans="1:68" ht="14.25" hidden="1" customHeight="1" x14ac:dyDescent="0.25">
      <c r="A45" s="639" t="s">
        <v>119</v>
      </c>
      <c r="B45" s="639"/>
      <c r="C45" s="639"/>
      <c r="D45" s="639"/>
      <c r="E45" s="639"/>
      <c r="F45" s="639"/>
      <c r="G45" s="639"/>
      <c r="H45" s="639"/>
      <c r="I45" s="639"/>
      <c r="J45" s="639"/>
      <c r="K45" s="639"/>
      <c r="L45" s="639"/>
      <c r="M45" s="639"/>
      <c r="N45" s="639"/>
      <c r="O45" s="639"/>
      <c r="P45" s="639"/>
      <c r="Q45" s="639"/>
      <c r="R45" s="639"/>
      <c r="S45" s="639"/>
      <c r="T45" s="639"/>
      <c r="U45" s="639"/>
      <c r="V45" s="639"/>
      <c r="W45" s="639"/>
      <c r="X45" s="639"/>
      <c r="Y45" s="639"/>
      <c r="Z45" s="639"/>
      <c r="AA45" s="63"/>
      <c r="AB45" s="63"/>
      <c r="AC45" s="63"/>
    </row>
    <row r="46" spans="1:68" ht="16.5" customHeight="1" x14ac:dyDescent="0.25">
      <c r="A46" s="60" t="s">
        <v>120</v>
      </c>
      <c r="B46" s="60" t="s">
        <v>121</v>
      </c>
      <c r="C46" s="34">
        <v>4301011380</v>
      </c>
      <c r="D46" s="634">
        <v>4607091385670</v>
      </c>
      <c r="E46" s="634"/>
      <c r="F46" s="59">
        <v>1.35</v>
      </c>
      <c r="G46" s="35">
        <v>8</v>
      </c>
      <c r="H46" s="59">
        <v>10.8</v>
      </c>
      <c r="I46" s="59">
        <v>11.21</v>
      </c>
      <c r="J46" s="35">
        <v>64</v>
      </c>
      <c r="K46" s="35" t="s">
        <v>124</v>
      </c>
      <c r="L46" s="35" t="s">
        <v>46</v>
      </c>
      <c r="M46" s="36" t="s">
        <v>123</v>
      </c>
      <c r="N46" s="36"/>
      <c r="O46" s="35">
        <v>50</v>
      </c>
      <c r="P46" s="8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36"/>
      <c r="R46" s="636"/>
      <c r="S46" s="636"/>
      <c r="T46" s="637"/>
      <c r="U46" s="37" t="s">
        <v>46</v>
      </c>
      <c r="V46" s="37" t="s">
        <v>46</v>
      </c>
      <c r="W46" s="38" t="s">
        <v>0</v>
      </c>
      <c r="X46" s="56">
        <v>20</v>
      </c>
      <c r="Y46" s="53">
        <f>IFERROR(IF(X46="",0,CEILING((X46/$H46),1)*$H46),"")</f>
        <v>21.6</v>
      </c>
      <c r="Z46" s="39">
        <f>IFERROR(IF(Y46=0,"",ROUNDUP(Y46/H46,0)*0.01898),"")</f>
        <v>3.7960000000000001E-2</v>
      </c>
      <c r="AA46" s="65" t="s">
        <v>46</v>
      </c>
      <c r="AB46" s="66" t="s">
        <v>46</v>
      </c>
      <c r="AC46" s="103" t="s">
        <v>122</v>
      </c>
      <c r="AG46" s="75"/>
      <c r="AJ46" s="79" t="s">
        <v>46</v>
      </c>
      <c r="AK46" s="79">
        <v>0</v>
      </c>
      <c r="BB46" s="104" t="s">
        <v>67</v>
      </c>
      <c r="BM46" s="75">
        <f>IFERROR(X46*I46/H46,"0")</f>
        <v>20.75925925925926</v>
      </c>
      <c r="BN46" s="75">
        <f>IFERROR(Y46*I46/H46,"0")</f>
        <v>22.42</v>
      </c>
      <c r="BO46" s="75">
        <f>IFERROR(1/J46*(X46/H46),"0")</f>
        <v>2.8935185185185182E-2</v>
      </c>
      <c r="BP46" s="75">
        <f>IFERROR(1/J46*(Y46/H46),"0")</f>
        <v>3.125E-2</v>
      </c>
    </row>
    <row r="47" spans="1:68" ht="27" hidden="1" customHeight="1" x14ac:dyDescent="0.25">
      <c r="A47" s="60" t="s">
        <v>125</v>
      </c>
      <c r="B47" s="60" t="s">
        <v>126</v>
      </c>
      <c r="C47" s="34">
        <v>4301012053</v>
      </c>
      <c r="D47" s="634">
        <v>4680115887725</v>
      </c>
      <c r="E47" s="634"/>
      <c r="F47" s="59">
        <v>0.11</v>
      </c>
      <c r="G47" s="35">
        <v>10</v>
      </c>
      <c r="H47" s="59">
        <v>1.1000000000000001</v>
      </c>
      <c r="I47" s="59">
        <v>1.31</v>
      </c>
      <c r="J47" s="35">
        <v>192</v>
      </c>
      <c r="K47" s="35" t="s">
        <v>128</v>
      </c>
      <c r="L47" s="35" t="s">
        <v>46</v>
      </c>
      <c r="M47" s="36" t="s">
        <v>81</v>
      </c>
      <c r="N47" s="36"/>
      <c r="O47" s="35">
        <v>30</v>
      </c>
      <c r="P47" s="89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36"/>
      <c r="R47" s="636"/>
      <c r="S47" s="636"/>
      <c r="T47" s="637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IFERROR(IF(Y47=0,"",ROUNDUP(Y47/H47,0)*0.00726),"")</f>
        <v/>
      </c>
      <c r="AA47" s="65" t="s">
        <v>46</v>
      </c>
      <c r="AB47" s="66" t="s">
        <v>46</v>
      </c>
      <c r="AC47" s="105" t="s">
        <v>127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129</v>
      </c>
      <c r="B48" s="60" t="s">
        <v>130</v>
      </c>
      <c r="C48" s="34">
        <v>4301011382</v>
      </c>
      <c r="D48" s="634">
        <v>4607091385687</v>
      </c>
      <c r="E48" s="634"/>
      <c r="F48" s="59">
        <v>0.4</v>
      </c>
      <c r="G48" s="35">
        <v>10</v>
      </c>
      <c r="H48" s="59">
        <v>4</v>
      </c>
      <c r="I48" s="59">
        <v>4.1900000000000004</v>
      </c>
      <c r="J48" s="35">
        <v>132</v>
      </c>
      <c r="K48" s="35" t="s">
        <v>131</v>
      </c>
      <c r="L48" s="35" t="s">
        <v>46</v>
      </c>
      <c r="M48" s="36" t="s">
        <v>87</v>
      </c>
      <c r="N48" s="36"/>
      <c r="O48" s="35">
        <v>50</v>
      </c>
      <c r="P48" s="89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36"/>
      <c r="R48" s="636"/>
      <c r="S48" s="636"/>
      <c r="T48" s="63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IFERROR(IF(Y48=0,"",ROUNDUP(Y48/H48,0)*0.00902),"")</f>
        <v/>
      </c>
      <c r="AA48" s="65" t="s">
        <v>46</v>
      </c>
      <c r="AB48" s="66" t="s">
        <v>46</v>
      </c>
      <c r="AC48" s="107" t="s">
        <v>122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4301011565</v>
      </c>
      <c r="D49" s="634">
        <v>4680115882539</v>
      </c>
      <c r="E49" s="634"/>
      <c r="F49" s="59">
        <v>0.37</v>
      </c>
      <c r="G49" s="35">
        <v>10</v>
      </c>
      <c r="H49" s="59">
        <v>3.7</v>
      </c>
      <c r="I49" s="59">
        <v>3.89</v>
      </c>
      <c r="J49" s="35">
        <v>132</v>
      </c>
      <c r="K49" s="35" t="s">
        <v>131</v>
      </c>
      <c r="L49" s="35" t="s">
        <v>46</v>
      </c>
      <c r="M49" s="36" t="s">
        <v>87</v>
      </c>
      <c r="N49" s="36"/>
      <c r="O49" s="35">
        <v>50</v>
      </c>
      <c r="P49" s="89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36"/>
      <c r="R49" s="636"/>
      <c r="S49" s="636"/>
      <c r="T49" s="63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122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39</v>
      </c>
      <c r="X50" s="41">
        <f>IFERROR(X46/H46,"0")+IFERROR(X47/H47,"0")+IFERROR(X48/H48,"0")+IFERROR(X49/H49,"0")</f>
        <v>1.8518518518518516</v>
      </c>
      <c r="Y50" s="41">
        <f>IFERROR(Y46/H46,"0")+IFERROR(Y47/H47,"0")+IFERROR(Y48/H48,"0")+IFERROR(Y49/H49,"0")</f>
        <v>2</v>
      </c>
      <c r="Z50" s="41">
        <f>IFERROR(IF(Z46="",0,Z46),"0")+IFERROR(IF(Z47="",0,Z47),"0")+IFERROR(IF(Z48="",0,Z48),"0")+IFERROR(IF(Z49="",0,Z49),"0")</f>
        <v>3.7960000000000001E-2</v>
      </c>
      <c r="AA50" s="64"/>
      <c r="AB50" s="64"/>
      <c r="AC50" s="64"/>
    </row>
    <row r="51" spans="1:68" x14ac:dyDescent="0.2">
      <c r="A51" s="628"/>
      <c r="B51" s="628"/>
      <c r="C51" s="628"/>
      <c r="D51" s="628"/>
      <c r="E51" s="628"/>
      <c r="F51" s="628"/>
      <c r="G51" s="628"/>
      <c r="H51" s="628"/>
      <c r="I51" s="628"/>
      <c r="J51" s="628"/>
      <c r="K51" s="628"/>
      <c r="L51" s="628"/>
      <c r="M51" s="628"/>
      <c r="N51" s="628"/>
      <c r="O51" s="629"/>
      <c r="P51" s="625" t="s">
        <v>40</v>
      </c>
      <c r="Q51" s="626"/>
      <c r="R51" s="626"/>
      <c r="S51" s="626"/>
      <c r="T51" s="626"/>
      <c r="U51" s="626"/>
      <c r="V51" s="627"/>
      <c r="W51" s="40" t="s">
        <v>0</v>
      </c>
      <c r="X51" s="41">
        <f>IFERROR(SUM(X46:X49),"0")</f>
        <v>20</v>
      </c>
      <c r="Y51" s="41">
        <f>IFERROR(SUM(Y46:Y49),"0")</f>
        <v>21.6</v>
      </c>
      <c r="Z51" s="40"/>
      <c r="AA51" s="64"/>
      <c r="AB51" s="64"/>
      <c r="AC51" s="64"/>
    </row>
    <row r="52" spans="1:68" ht="16.5" hidden="1" customHeight="1" x14ac:dyDescent="0.25">
      <c r="A52" s="638" t="s">
        <v>134</v>
      </c>
      <c r="B52" s="638"/>
      <c r="C52" s="638"/>
      <c r="D52" s="638"/>
      <c r="E52" s="638"/>
      <c r="F52" s="638"/>
      <c r="G52" s="638"/>
      <c r="H52" s="638"/>
      <c r="I52" s="638"/>
      <c r="J52" s="638"/>
      <c r="K52" s="638"/>
      <c r="L52" s="638"/>
      <c r="M52" s="638"/>
      <c r="N52" s="638"/>
      <c r="O52" s="638"/>
      <c r="P52" s="638"/>
      <c r="Q52" s="638"/>
      <c r="R52" s="638"/>
      <c r="S52" s="638"/>
      <c r="T52" s="638"/>
      <c r="U52" s="638"/>
      <c r="V52" s="638"/>
      <c r="W52" s="638"/>
      <c r="X52" s="638"/>
      <c r="Y52" s="638"/>
      <c r="Z52" s="638"/>
      <c r="AA52" s="62"/>
      <c r="AB52" s="62"/>
      <c r="AC52" s="62"/>
    </row>
    <row r="53" spans="1:68" ht="14.25" hidden="1" customHeight="1" x14ac:dyDescent="0.25">
      <c r="A53" s="639" t="s">
        <v>119</v>
      </c>
      <c r="B53" s="639"/>
      <c r="C53" s="639"/>
      <c r="D53" s="639"/>
      <c r="E53" s="639"/>
      <c r="F53" s="639"/>
      <c r="G53" s="639"/>
      <c r="H53" s="639"/>
      <c r="I53" s="639"/>
      <c r="J53" s="639"/>
      <c r="K53" s="639"/>
      <c r="L53" s="639"/>
      <c r="M53" s="639"/>
      <c r="N53" s="639"/>
      <c r="O53" s="639"/>
      <c r="P53" s="639"/>
      <c r="Q53" s="639"/>
      <c r="R53" s="639"/>
      <c r="S53" s="639"/>
      <c r="T53" s="639"/>
      <c r="U53" s="639"/>
      <c r="V53" s="639"/>
      <c r="W53" s="639"/>
      <c r="X53" s="639"/>
      <c r="Y53" s="639"/>
      <c r="Z53" s="639"/>
      <c r="AA53" s="63"/>
      <c r="AB53" s="63"/>
      <c r="AC53" s="63"/>
    </row>
    <row r="54" spans="1:68" ht="27" hidden="1" customHeight="1" x14ac:dyDescent="0.25">
      <c r="A54" s="60" t="s">
        <v>135</v>
      </c>
      <c r="B54" s="60" t="s">
        <v>136</v>
      </c>
      <c r="C54" s="34">
        <v>4301012161</v>
      </c>
      <c r="D54" s="634">
        <v>4680115885882</v>
      </c>
      <c r="E54" s="634"/>
      <c r="F54" s="59">
        <v>1.4</v>
      </c>
      <c r="G54" s="35">
        <v>8</v>
      </c>
      <c r="H54" s="59">
        <v>11.2</v>
      </c>
      <c r="I54" s="59">
        <v>11.61</v>
      </c>
      <c r="J54" s="35">
        <v>64</v>
      </c>
      <c r="K54" s="35" t="s">
        <v>124</v>
      </c>
      <c r="L54" s="35" t="s">
        <v>46</v>
      </c>
      <c r="M54" s="36" t="s">
        <v>123</v>
      </c>
      <c r="N54" s="36"/>
      <c r="O54" s="35">
        <v>50</v>
      </c>
      <c r="P54" s="89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36"/>
      <c r="R54" s="636"/>
      <c r="S54" s="636"/>
      <c r="T54" s="637"/>
      <c r="U54" s="37" t="s">
        <v>46</v>
      </c>
      <c r="V54" s="37" t="s">
        <v>46</v>
      </c>
      <c r="W54" s="38" t="s">
        <v>0</v>
      </c>
      <c r="X54" s="56">
        <v>0</v>
      </c>
      <c r="Y54" s="53">
        <f t="shared" ref="Y54:Y61" si="0">IFERROR(IF(X54="",0,CEILING((X54/$H54),1)*$H54),"")</f>
        <v>0</v>
      </c>
      <c r="Z54" s="39" t="str">
        <f>IFERROR(IF(Y54=0,"",ROUNDUP(Y54/H54,0)*0.01898),"")</f>
        <v/>
      </c>
      <c r="AA54" s="65" t="s">
        <v>46</v>
      </c>
      <c r="AB54" s="66" t="s">
        <v>46</v>
      </c>
      <c r="AC54" s="111" t="s">
        <v>137</v>
      </c>
      <c r="AG54" s="75"/>
      <c r="AJ54" s="79" t="s">
        <v>46</v>
      </c>
      <c r="AK54" s="79">
        <v>0</v>
      </c>
      <c r="BB54" s="112" t="s">
        <v>67</v>
      </c>
      <c r="BM54" s="75">
        <f t="shared" ref="BM54:BM61" si="1">IFERROR(X54*I54/H54,"0")</f>
        <v>0</v>
      </c>
      <c r="BN54" s="75">
        <f t="shared" ref="BN54:BN61" si="2">IFERROR(Y54*I54/H54,"0")</f>
        <v>0</v>
      </c>
      <c r="BO54" s="75">
        <f t="shared" ref="BO54:BO61" si="3">IFERROR(1/J54*(X54/H54),"0")</f>
        <v>0</v>
      </c>
      <c r="BP54" s="75">
        <f t="shared" ref="BP54:BP61" si="4">IFERROR(1/J54*(Y54/H54),"0")</f>
        <v>0</v>
      </c>
    </row>
    <row r="55" spans="1:68" ht="27" customHeight="1" x14ac:dyDescent="0.25">
      <c r="A55" s="60" t="s">
        <v>138</v>
      </c>
      <c r="B55" s="60" t="s">
        <v>139</v>
      </c>
      <c r="C55" s="34">
        <v>4301011816</v>
      </c>
      <c r="D55" s="634">
        <v>4680115881426</v>
      </c>
      <c r="E55" s="634"/>
      <c r="F55" s="59">
        <v>1.35</v>
      </c>
      <c r="G55" s="35">
        <v>8</v>
      </c>
      <c r="H55" s="59">
        <v>10.8</v>
      </c>
      <c r="I55" s="59">
        <v>11.21</v>
      </c>
      <c r="J55" s="35">
        <v>64</v>
      </c>
      <c r="K55" s="35" t="s">
        <v>124</v>
      </c>
      <c r="L55" s="35" t="s">
        <v>46</v>
      </c>
      <c r="M55" s="36" t="s">
        <v>123</v>
      </c>
      <c r="N55" s="36"/>
      <c r="O55" s="35">
        <v>50</v>
      </c>
      <c r="P55" s="8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36"/>
      <c r="R55" s="636"/>
      <c r="S55" s="636"/>
      <c r="T55" s="637"/>
      <c r="U55" s="37" t="s">
        <v>46</v>
      </c>
      <c r="V55" s="37" t="s">
        <v>46</v>
      </c>
      <c r="W55" s="38" t="s">
        <v>0</v>
      </c>
      <c r="X55" s="56">
        <v>100</v>
      </c>
      <c r="Y55" s="53">
        <f t="shared" si="0"/>
        <v>108</v>
      </c>
      <c r="Z55" s="39">
        <f>IFERROR(IF(Y55=0,"",ROUNDUP(Y55/H55,0)*0.01898),"")</f>
        <v>0.1898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si="1"/>
        <v>103.79629629629629</v>
      </c>
      <c r="BN55" s="75">
        <f t="shared" si="2"/>
        <v>112.1</v>
      </c>
      <c r="BO55" s="75">
        <f t="shared" si="3"/>
        <v>0.14467592592592593</v>
      </c>
      <c r="BP55" s="75">
        <f t="shared" si="4"/>
        <v>0.15625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4301012162</v>
      </c>
      <c r="D56" s="634">
        <v>4680115881426</v>
      </c>
      <c r="E56" s="63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124</v>
      </c>
      <c r="L56" s="35" t="s">
        <v>46</v>
      </c>
      <c r="M56" s="36" t="s">
        <v>123</v>
      </c>
      <c r="N56" s="36"/>
      <c r="O56" s="35">
        <v>50</v>
      </c>
      <c r="P56" s="88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36"/>
      <c r="R56" s="636"/>
      <c r="S56" s="636"/>
      <c r="T56" s="63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34">
        <v>4680115880283</v>
      </c>
      <c r="E57" s="63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131</v>
      </c>
      <c r="L57" s="35" t="s">
        <v>46</v>
      </c>
      <c r="M57" s="36" t="s">
        <v>123</v>
      </c>
      <c r="N57" s="36"/>
      <c r="O57" s="35">
        <v>45</v>
      </c>
      <c r="P57" s="88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36"/>
      <c r="R57" s="636"/>
      <c r="S57" s="636"/>
      <c r="T57" s="63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34">
        <v>4680115881525</v>
      </c>
      <c r="E58" s="63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131</v>
      </c>
      <c r="L58" s="35" t="s">
        <v>46</v>
      </c>
      <c r="M58" s="36" t="s">
        <v>123</v>
      </c>
      <c r="N58" s="36"/>
      <c r="O58" s="35">
        <v>50</v>
      </c>
      <c r="P58" s="89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36"/>
      <c r="R58" s="636"/>
      <c r="S58" s="636"/>
      <c r="T58" s="63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34">
        <v>4680115881525</v>
      </c>
      <c r="E59" s="63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131</v>
      </c>
      <c r="L59" s="35" t="s">
        <v>46</v>
      </c>
      <c r="M59" s="36" t="s">
        <v>123</v>
      </c>
      <c r="N59" s="36"/>
      <c r="O59" s="35">
        <v>50</v>
      </c>
      <c r="P59" s="89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36"/>
      <c r="R59" s="636"/>
      <c r="S59" s="636"/>
      <c r="T59" s="63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142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4301012165</v>
      </c>
      <c r="D60" s="634">
        <v>4680115885899</v>
      </c>
      <c r="E60" s="63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88</v>
      </c>
      <c r="L60" s="35" t="s">
        <v>46</v>
      </c>
      <c r="M60" s="36" t="s">
        <v>123</v>
      </c>
      <c r="N60" s="36"/>
      <c r="O60" s="35">
        <v>50</v>
      </c>
      <c r="P60" s="89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137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152</v>
      </c>
      <c r="B61" s="60" t="s">
        <v>153</v>
      </c>
      <c r="C61" s="34">
        <v>4301012158</v>
      </c>
      <c r="D61" s="634">
        <v>4680115881419</v>
      </c>
      <c r="E61" s="63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131</v>
      </c>
      <c r="L61" s="35" t="s">
        <v>46</v>
      </c>
      <c r="M61" s="36" t="s">
        <v>123</v>
      </c>
      <c r="N61" s="36"/>
      <c r="O61" s="35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36"/>
      <c r="R61" s="636"/>
      <c r="S61" s="636"/>
      <c r="T61" s="637"/>
      <c r="U61" s="37" t="s">
        <v>46</v>
      </c>
      <c r="V61" s="37" t="s">
        <v>46</v>
      </c>
      <c r="W61" s="38" t="s">
        <v>0</v>
      </c>
      <c r="X61" s="56">
        <v>32</v>
      </c>
      <c r="Y61" s="53">
        <f t="shared" si="0"/>
        <v>36</v>
      </c>
      <c r="Z61" s="39">
        <f>IFERROR(IF(Y61=0,"",ROUNDUP(Y61/H61,0)*0.00902),"")</f>
        <v>7.2160000000000002E-2</v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33.351111111111116</v>
      </c>
      <c r="BN61" s="75">
        <f t="shared" si="2"/>
        <v>37.520000000000003</v>
      </c>
      <c r="BO61" s="75">
        <f t="shared" si="3"/>
        <v>5.387205387205387E-2</v>
      </c>
      <c r="BP61" s="75">
        <f t="shared" si="4"/>
        <v>6.0606060606060608E-2</v>
      </c>
    </row>
    <row r="62" spans="1:68" x14ac:dyDescent="0.2">
      <c r="A62" s="628"/>
      <c r="B62" s="628"/>
      <c r="C62" s="628"/>
      <c r="D62" s="628"/>
      <c r="E62" s="628"/>
      <c r="F62" s="628"/>
      <c r="G62" s="628"/>
      <c r="H62" s="628"/>
      <c r="I62" s="628"/>
      <c r="J62" s="628"/>
      <c r="K62" s="628"/>
      <c r="L62" s="628"/>
      <c r="M62" s="628"/>
      <c r="N62" s="628"/>
      <c r="O62" s="629"/>
      <c r="P62" s="625" t="s">
        <v>40</v>
      </c>
      <c r="Q62" s="626"/>
      <c r="R62" s="626"/>
      <c r="S62" s="626"/>
      <c r="T62" s="626"/>
      <c r="U62" s="626"/>
      <c r="V62" s="627"/>
      <c r="W62" s="40" t="s">
        <v>39</v>
      </c>
      <c r="X62" s="41">
        <f>IFERROR(X54/H54,"0")+IFERROR(X55/H55,"0")+IFERROR(X56/H56,"0")+IFERROR(X57/H57,"0")+IFERROR(X58/H58,"0")+IFERROR(X59/H59,"0")+IFERROR(X60/H60,"0")+IFERROR(X61/H61,"0")</f>
        <v>16.37037037037037</v>
      </c>
      <c r="Y62" s="41">
        <f>IFERROR(Y54/H54,"0")+IFERROR(Y55/H55,"0")+IFERROR(Y56/H56,"0")+IFERROR(Y57/H57,"0")+IFERROR(Y58/H58,"0")+IFERROR(Y59/H59,"0")+IFERROR(Y60/H60,"0")+IFERROR(Y61/H61,"0")</f>
        <v>18</v>
      </c>
      <c r="Z62" s="41">
        <f>IFERROR(IF(Z54="",0,Z54),"0")+IFERROR(IF(Z55="",0,Z55),"0")+IFERROR(IF(Z56="",0,Z56),"0")+IFERROR(IF(Z57="",0,Z57),"0")+IFERROR(IF(Z58="",0,Z58),"0")+IFERROR(IF(Z59="",0,Z59),"0")+IFERROR(IF(Z60="",0,Z60),"0")+IFERROR(IF(Z61="",0,Z61),"0")</f>
        <v>0.26195999999999997</v>
      </c>
      <c r="AA62" s="64"/>
      <c r="AB62" s="64"/>
      <c r="AC62" s="64"/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0" t="s">
        <v>0</v>
      </c>
      <c r="X63" s="41">
        <f>IFERROR(SUM(X54:X61),"0")</f>
        <v>132</v>
      </c>
      <c r="Y63" s="41">
        <f>IFERROR(SUM(Y54:Y61),"0")</f>
        <v>144</v>
      </c>
      <c r="Z63" s="40"/>
      <c r="AA63" s="64"/>
      <c r="AB63" s="64"/>
      <c r="AC63" s="64"/>
    </row>
    <row r="64" spans="1:68" ht="14.25" hidden="1" customHeight="1" x14ac:dyDescent="0.25">
      <c r="A64" s="639" t="s">
        <v>154</v>
      </c>
      <c r="B64" s="639"/>
      <c r="C64" s="639"/>
      <c r="D64" s="639"/>
      <c r="E64" s="639"/>
      <c r="F64" s="639"/>
      <c r="G64" s="639"/>
      <c r="H64" s="639"/>
      <c r="I64" s="639"/>
      <c r="J64" s="639"/>
      <c r="K64" s="639"/>
      <c r="L64" s="639"/>
      <c r="M64" s="639"/>
      <c r="N64" s="639"/>
      <c r="O64" s="639"/>
      <c r="P64" s="639"/>
      <c r="Q64" s="639"/>
      <c r="R64" s="639"/>
      <c r="S64" s="639"/>
      <c r="T64" s="639"/>
      <c r="U64" s="639"/>
      <c r="V64" s="639"/>
      <c r="W64" s="639"/>
      <c r="X64" s="639"/>
      <c r="Y64" s="639"/>
      <c r="Z64" s="639"/>
      <c r="AA64" s="63"/>
      <c r="AB64" s="63"/>
      <c r="AC64" s="63"/>
    </row>
    <row r="65" spans="1:68" ht="27" customHeight="1" x14ac:dyDescent="0.25">
      <c r="A65" s="60" t="s">
        <v>155</v>
      </c>
      <c r="B65" s="60" t="s">
        <v>156</v>
      </c>
      <c r="C65" s="34">
        <v>4301020390</v>
      </c>
      <c r="D65" s="634">
        <v>4680115881440</v>
      </c>
      <c r="E65" s="63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124</v>
      </c>
      <c r="L65" s="35" t="s">
        <v>46</v>
      </c>
      <c r="M65" s="36" t="s">
        <v>123</v>
      </c>
      <c r="N65" s="36"/>
      <c r="O65" s="35">
        <v>50</v>
      </c>
      <c r="P65" s="886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36"/>
      <c r="R65" s="636"/>
      <c r="S65" s="636"/>
      <c r="T65" s="637"/>
      <c r="U65" s="37" t="s">
        <v>46</v>
      </c>
      <c r="V65" s="37" t="s">
        <v>46</v>
      </c>
      <c r="W65" s="38" t="s">
        <v>0</v>
      </c>
      <c r="X65" s="56">
        <v>20</v>
      </c>
      <c r="Y65" s="53">
        <f>IFERROR(IF(X65="",0,CEILING((X65/$H65),1)*$H65),"")</f>
        <v>21.6</v>
      </c>
      <c r="Z65" s="39">
        <f>IFERROR(IF(Y65=0,"",ROUNDUP(Y65/H65,0)*0.01898),"")</f>
        <v>3.7960000000000001E-2</v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20.75925925925926</v>
      </c>
      <c r="BN65" s="75">
        <f>IFERROR(Y65*I65/H65,"0")</f>
        <v>22.42</v>
      </c>
      <c r="BO65" s="75">
        <f>IFERROR(1/J65*(X65/H65),"0")</f>
        <v>2.8935185185185182E-2</v>
      </c>
      <c r="BP65" s="75">
        <f>IFERROR(1/J65*(Y65/H65),"0")</f>
        <v>3.125E-2</v>
      </c>
    </row>
    <row r="66" spans="1:68" ht="16.5" hidden="1" customHeight="1" x14ac:dyDescent="0.25">
      <c r="A66" s="60" t="s">
        <v>158</v>
      </c>
      <c r="B66" s="60" t="s">
        <v>159</v>
      </c>
      <c r="C66" s="34">
        <v>4301020358</v>
      </c>
      <c r="D66" s="634">
        <v>4680115885950</v>
      </c>
      <c r="E66" s="63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88</v>
      </c>
      <c r="L66" s="35" t="s">
        <v>46</v>
      </c>
      <c r="M66" s="36" t="s">
        <v>87</v>
      </c>
      <c r="N66" s="36"/>
      <c r="O66" s="35">
        <v>50</v>
      </c>
      <c r="P66" s="8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161</v>
      </c>
      <c r="B67" s="60" t="s">
        <v>162</v>
      </c>
      <c r="C67" s="34">
        <v>4301020371</v>
      </c>
      <c r="D67" s="634">
        <v>4680115887688</v>
      </c>
      <c r="E67" s="63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128</v>
      </c>
      <c r="L67" s="35" t="s">
        <v>46</v>
      </c>
      <c r="M67" s="36" t="s">
        <v>81</v>
      </c>
      <c r="N67" s="36"/>
      <c r="O67" s="35">
        <v>30</v>
      </c>
      <c r="P67" s="88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163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164</v>
      </c>
      <c r="B68" s="60" t="s">
        <v>165</v>
      </c>
      <c r="C68" s="34">
        <v>4301020389</v>
      </c>
      <c r="D68" s="634">
        <v>4680115881433</v>
      </c>
      <c r="E68" s="63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88</v>
      </c>
      <c r="L68" s="35" t="s">
        <v>46</v>
      </c>
      <c r="M68" s="36" t="s">
        <v>123</v>
      </c>
      <c r="N68" s="36"/>
      <c r="O68" s="35">
        <v>50</v>
      </c>
      <c r="P68" s="883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36"/>
      <c r="R68" s="636"/>
      <c r="S68" s="636"/>
      <c r="T68" s="63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157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0" t="s">
        <v>39</v>
      </c>
      <c r="X69" s="41">
        <f>IFERROR(X65/H65,"0")+IFERROR(X66/H66,"0")+IFERROR(X67/H67,"0")+IFERROR(X68/H68,"0")</f>
        <v>1.8518518518518516</v>
      </c>
      <c r="Y69" s="41">
        <f>IFERROR(Y65/H65,"0")+IFERROR(Y66/H66,"0")+IFERROR(Y67/H67,"0")+IFERROR(Y68/H68,"0")</f>
        <v>2</v>
      </c>
      <c r="Z69" s="41">
        <f>IFERROR(IF(Z65="",0,Z65),"0")+IFERROR(IF(Z66="",0,Z66),"0")+IFERROR(IF(Z67="",0,Z67),"0")+IFERROR(IF(Z68="",0,Z68),"0")</f>
        <v>3.7960000000000001E-2</v>
      </c>
      <c r="AA69" s="64"/>
      <c r="AB69" s="64"/>
      <c r="AC69" s="64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0</v>
      </c>
      <c r="X70" s="41">
        <f>IFERROR(SUM(X65:X68),"0")</f>
        <v>20</v>
      </c>
      <c r="Y70" s="41">
        <f>IFERROR(SUM(Y65:Y68),"0")</f>
        <v>21.6</v>
      </c>
      <c r="Z70" s="40"/>
      <c r="AA70" s="64"/>
      <c r="AB70" s="64"/>
      <c r="AC70" s="64"/>
    </row>
    <row r="71" spans="1:68" ht="14.25" hidden="1" customHeight="1" x14ac:dyDescent="0.25">
      <c r="A71" s="639" t="s">
        <v>83</v>
      </c>
      <c r="B71" s="639"/>
      <c r="C71" s="639"/>
      <c r="D71" s="639"/>
      <c r="E71" s="639"/>
      <c r="F71" s="639"/>
      <c r="G71" s="639"/>
      <c r="H71" s="639"/>
      <c r="I71" s="639"/>
      <c r="J71" s="639"/>
      <c r="K71" s="639"/>
      <c r="L71" s="639"/>
      <c r="M71" s="639"/>
      <c r="N71" s="639"/>
      <c r="O71" s="639"/>
      <c r="P71" s="639"/>
      <c r="Q71" s="639"/>
      <c r="R71" s="639"/>
      <c r="S71" s="639"/>
      <c r="T71" s="639"/>
      <c r="U71" s="639"/>
      <c r="V71" s="639"/>
      <c r="W71" s="639"/>
      <c r="X71" s="639"/>
      <c r="Y71" s="639"/>
      <c r="Z71" s="639"/>
      <c r="AA71" s="63"/>
      <c r="AB71" s="63"/>
      <c r="AC71" s="63"/>
    </row>
    <row r="72" spans="1:68" ht="16.5" hidden="1" customHeight="1" x14ac:dyDescent="0.25">
      <c r="A72" s="60" t="s">
        <v>166</v>
      </c>
      <c r="B72" s="60" t="s">
        <v>167</v>
      </c>
      <c r="C72" s="34">
        <v>4301051837</v>
      </c>
      <c r="D72" s="634">
        <v>4680115884311</v>
      </c>
      <c r="E72" s="63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88</v>
      </c>
      <c r="L72" s="35" t="s">
        <v>46</v>
      </c>
      <c r="M72" s="36" t="s">
        <v>87</v>
      </c>
      <c r="N72" s="36"/>
      <c r="O72" s="35">
        <v>40</v>
      </c>
      <c r="P72" s="88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168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170</v>
      </c>
      <c r="C73" s="34">
        <v>4301052083</v>
      </c>
      <c r="D73" s="634">
        <v>4680115884403</v>
      </c>
      <c r="E73" s="63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88</v>
      </c>
      <c r="L73" s="35" t="s">
        <v>46</v>
      </c>
      <c r="M73" s="36" t="s">
        <v>87</v>
      </c>
      <c r="N73" s="36"/>
      <c r="O73" s="35">
        <v>40</v>
      </c>
      <c r="P73" s="87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36"/>
      <c r="R73" s="636"/>
      <c r="S73" s="636"/>
      <c r="T73" s="63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0" t="s">
        <v>39</v>
      </c>
      <c r="X74" s="41">
        <f>IFERROR(X72/H72,"0")+IFERROR(X73/H73,"0")</f>
        <v>0</v>
      </c>
      <c r="Y74" s="41">
        <f>IFERROR(Y72/H72,"0")+IFERROR(Y73/H73,"0")</f>
        <v>0</v>
      </c>
      <c r="Z74" s="41">
        <f>IFERROR(IF(Z72="",0,Z72),"0")+IFERROR(IF(Z73="",0,Z73),"0")</f>
        <v>0</v>
      </c>
      <c r="AA74" s="64"/>
      <c r="AB74" s="64"/>
      <c r="AC74" s="64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0" t="s">
        <v>0</v>
      </c>
      <c r="X75" s="41">
        <f>IFERROR(SUM(X72:X73),"0")</f>
        <v>0</v>
      </c>
      <c r="Y75" s="41">
        <f>IFERROR(SUM(Y72:Y73),"0")</f>
        <v>0</v>
      </c>
      <c r="Z75" s="40"/>
      <c r="AA75" s="64"/>
      <c r="AB75" s="64"/>
      <c r="AC75" s="64"/>
    </row>
    <row r="76" spans="1:68" ht="14.25" hidden="1" customHeight="1" x14ac:dyDescent="0.25">
      <c r="A76" s="639" t="s">
        <v>172</v>
      </c>
      <c r="B76" s="639"/>
      <c r="C76" s="639"/>
      <c r="D76" s="639"/>
      <c r="E76" s="639"/>
      <c r="F76" s="639"/>
      <c r="G76" s="639"/>
      <c r="H76" s="639"/>
      <c r="I76" s="639"/>
      <c r="J76" s="639"/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34">
        <v>4680115881532</v>
      </c>
      <c r="E77" s="634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124</v>
      </c>
      <c r="L77" s="35" t="s">
        <v>46</v>
      </c>
      <c r="M77" s="36" t="s">
        <v>94</v>
      </c>
      <c r="N77" s="36"/>
      <c r="O77" s="35">
        <v>30</v>
      </c>
      <c r="P77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34">
        <v>4680115881532</v>
      </c>
      <c r="E78" s="63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124</v>
      </c>
      <c r="L78" s="35" t="s">
        <v>46</v>
      </c>
      <c r="M78" s="36" t="s">
        <v>94</v>
      </c>
      <c r="N78" s="36"/>
      <c r="O78" s="35">
        <v>30</v>
      </c>
      <c r="P78" s="88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36"/>
      <c r="R78" s="636"/>
      <c r="S78" s="636"/>
      <c r="T78" s="63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4301060527</v>
      </c>
      <c r="D79" s="634">
        <v>4680115881464</v>
      </c>
      <c r="E79" s="634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131</v>
      </c>
      <c r="L79" s="35" t="s">
        <v>46</v>
      </c>
      <c r="M79" s="36" t="s">
        <v>87</v>
      </c>
      <c r="N79" s="36"/>
      <c r="O79" s="35">
        <v>30</v>
      </c>
      <c r="P79" s="87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36"/>
      <c r="R79" s="636"/>
      <c r="S79" s="636"/>
      <c r="T79" s="63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0" t="s">
        <v>39</v>
      </c>
      <c r="X80" s="41">
        <f>IFERROR(X77/H77,"0")+IFERROR(X78/H78,"0")+IFERROR(X79/H79,"0")</f>
        <v>0</v>
      </c>
      <c r="Y80" s="41">
        <f>IFERROR(Y77/H77,"0")+IFERROR(Y78/H78,"0")+IFERROR(Y79/H79,"0")</f>
        <v>0</v>
      </c>
      <c r="Z80" s="41">
        <f>IFERROR(IF(Z77="",0,Z77),"0")+IFERROR(IF(Z78="",0,Z78),"0")+IFERROR(IF(Z79="",0,Z79),"0")</f>
        <v>0</v>
      </c>
      <c r="AA80" s="64"/>
      <c r="AB80" s="64"/>
      <c r="AC80" s="64"/>
    </row>
    <row r="81" spans="1:68" hidden="1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0" t="s">
        <v>0</v>
      </c>
      <c r="X81" s="41">
        <f>IFERROR(SUM(X77:X79),"0")</f>
        <v>0</v>
      </c>
      <c r="Y81" s="41">
        <f>IFERROR(SUM(Y77:Y79),"0")</f>
        <v>0</v>
      </c>
      <c r="Z81" s="40"/>
      <c r="AA81" s="64"/>
      <c r="AB81" s="64"/>
      <c r="AC81" s="64"/>
    </row>
    <row r="82" spans="1:68" ht="16.5" hidden="1" customHeight="1" x14ac:dyDescent="0.25">
      <c r="A82" s="638" t="s">
        <v>180</v>
      </c>
      <c r="B82" s="638"/>
      <c r="C82" s="638"/>
      <c r="D82" s="638"/>
      <c r="E82" s="638"/>
      <c r="F82" s="638"/>
      <c r="G82" s="638"/>
      <c r="H82" s="638"/>
      <c r="I82" s="638"/>
      <c r="J82" s="638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638"/>
      <c r="X82" s="638"/>
      <c r="Y82" s="638"/>
      <c r="Z82" s="638"/>
      <c r="AA82" s="62"/>
      <c r="AB82" s="62"/>
      <c r="AC82" s="62"/>
    </row>
    <row r="83" spans="1:68" ht="14.25" hidden="1" customHeight="1" x14ac:dyDescent="0.25">
      <c r="A83" s="639" t="s">
        <v>119</v>
      </c>
      <c r="B83" s="639"/>
      <c r="C83" s="639"/>
      <c r="D83" s="639"/>
      <c r="E83" s="639"/>
      <c r="F83" s="639"/>
      <c r="G83" s="639"/>
      <c r="H83" s="639"/>
      <c r="I83" s="639"/>
      <c r="J83" s="639"/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"/>
      <c r="AB83" s="63"/>
      <c r="AC83" s="63"/>
    </row>
    <row r="84" spans="1:68" ht="27" customHeight="1" x14ac:dyDescent="0.25">
      <c r="A84" s="60" t="s">
        <v>181</v>
      </c>
      <c r="B84" s="60" t="s">
        <v>182</v>
      </c>
      <c r="C84" s="34">
        <v>4301011468</v>
      </c>
      <c r="D84" s="634">
        <v>4680115881327</v>
      </c>
      <c r="E84" s="634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124</v>
      </c>
      <c r="L84" s="35" t="s">
        <v>46</v>
      </c>
      <c r="M84" s="36" t="s">
        <v>94</v>
      </c>
      <c r="N84" s="36"/>
      <c r="O84" s="35">
        <v>50</v>
      </c>
      <c r="P84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6"/>
      <c r="R84" s="636"/>
      <c r="S84" s="636"/>
      <c r="T84" s="637"/>
      <c r="U84" s="37" t="s">
        <v>46</v>
      </c>
      <c r="V84" s="37" t="s">
        <v>46</v>
      </c>
      <c r="W84" s="38" t="s">
        <v>0</v>
      </c>
      <c r="X84" s="56">
        <v>100</v>
      </c>
      <c r="Y84" s="53">
        <f t="shared" ref="Y84:Y89" si="5">IFERROR(IF(X84="",0,CEILING((X84/$H84),1)*$H84),"")</f>
        <v>108</v>
      </c>
      <c r="Z84" s="39">
        <f>IFERROR(IF(Y84=0,"",ROUNDUP(Y84/H84,0)*0.01898),"")</f>
        <v>0.1898</v>
      </c>
      <c r="AA84" s="65" t="s">
        <v>46</v>
      </c>
      <c r="AB84" s="66" t="s">
        <v>46</v>
      </c>
      <c r="AC84" s="145" t="s">
        <v>183</v>
      </c>
      <c r="AG84" s="75"/>
      <c r="AJ84" s="79" t="s">
        <v>46</v>
      </c>
      <c r="AK84" s="79">
        <v>0</v>
      </c>
      <c r="BB84" s="146" t="s">
        <v>67</v>
      </c>
      <c r="BM84" s="75">
        <f t="shared" ref="BM84:BM89" si="6">IFERROR(X84*I84/H84,"0")</f>
        <v>103.79629629629629</v>
      </c>
      <c r="BN84" s="75">
        <f t="shared" ref="BN84:BN89" si="7">IFERROR(Y84*I84/H84,"0")</f>
        <v>112.1</v>
      </c>
      <c r="BO84" s="75">
        <f t="shared" ref="BO84:BO89" si="8">IFERROR(1/J84*(X84/H84),"0")</f>
        <v>0.14467592592592593</v>
      </c>
      <c r="BP84" s="75">
        <f t="shared" ref="BP84:BP89" si="9">IFERROR(1/J84*(Y84/H84),"0")</f>
        <v>0.15625</v>
      </c>
    </row>
    <row r="85" spans="1:68" ht="27" hidden="1" customHeight="1" x14ac:dyDescent="0.25">
      <c r="A85" s="60" t="s">
        <v>181</v>
      </c>
      <c r="B85" s="60" t="s">
        <v>184</v>
      </c>
      <c r="C85" s="34">
        <v>4301012251</v>
      </c>
      <c r="D85" s="634">
        <v>4680115881327</v>
      </c>
      <c r="E85" s="63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124</v>
      </c>
      <c r="L85" s="35" t="s">
        <v>46</v>
      </c>
      <c r="M85" s="36" t="s">
        <v>123</v>
      </c>
      <c r="N85" s="36"/>
      <c r="O85" s="35">
        <v>50</v>
      </c>
      <c r="P85" s="872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36"/>
      <c r="R85" s="636"/>
      <c r="S85" s="636"/>
      <c r="T85" s="637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si="5"/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183</v>
      </c>
      <c r="AG85" s="75"/>
      <c r="AJ85" s="79" t="s">
        <v>46</v>
      </c>
      <c r="AK85" s="79">
        <v>0</v>
      </c>
      <c r="BB85" s="148" t="s">
        <v>67</v>
      </c>
      <c r="BM85" s="75">
        <f t="shared" si="6"/>
        <v>0</v>
      </c>
      <c r="BN85" s="75">
        <f t="shared" si="7"/>
        <v>0</v>
      </c>
      <c r="BO85" s="75">
        <f t="shared" si="8"/>
        <v>0</v>
      </c>
      <c r="BP85" s="75">
        <f t="shared" si="9"/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4301012392</v>
      </c>
      <c r="D86" s="634">
        <v>4680115887732</v>
      </c>
      <c r="E86" s="634"/>
      <c r="F86" s="59">
        <v>0.17</v>
      </c>
      <c r="G86" s="35">
        <v>8</v>
      </c>
      <c r="H86" s="59">
        <v>1.36</v>
      </c>
      <c r="I86" s="59">
        <v>1.54</v>
      </c>
      <c r="J86" s="35">
        <v>192</v>
      </c>
      <c r="K86" s="35" t="s">
        <v>128</v>
      </c>
      <c r="L86" s="35" t="s">
        <v>46</v>
      </c>
      <c r="M86" s="36" t="s">
        <v>81</v>
      </c>
      <c r="N86" s="36"/>
      <c r="O86" s="35">
        <v>30</v>
      </c>
      <c r="P86" s="87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6"/>
      <c r="R86" s="636"/>
      <c r="S86" s="636"/>
      <c r="T86" s="637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67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188</v>
      </c>
      <c r="B87" s="60" t="s">
        <v>189</v>
      </c>
      <c r="C87" s="34">
        <v>4301011476</v>
      </c>
      <c r="D87" s="634">
        <v>4680115881518</v>
      </c>
      <c r="E87" s="634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131</v>
      </c>
      <c r="L87" s="35" t="s">
        <v>46</v>
      </c>
      <c r="M87" s="36" t="s">
        <v>87</v>
      </c>
      <c r="N87" s="36"/>
      <c r="O87" s="35">
        <v>50</v>
      </c>
      <c r="P87" s="87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6"/>
      <c r="R87" s="636"/>
      <c r="S87" s="636"/>
      <c r="T87" s="637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51" t="s">
        <v>183</v>
      </c>
      <c r="AG87" s="75"/>
      <c r="AJ87" s="79" t="s">
        <v>46</v>
      </c>
      <c r="AK87" s="79">
        <v>0</v>
      </c>
      <c r="BB87" s="152" t="s">
        <v>67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188</v>
      </c>
      <c r="B88" s="60" t="s">
        <v>190</v>
      </c>
      <c r="C88" s="34">
        <v>4301012252</v>
      </c>
      <c r="D88" s="634">
        <v>4680115881518</v>
      </c>
      <c r="E88" s="63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131</v>
      </c>
      <c r="L88" s="35" t="s">
        <v>46</v>
      </c>
      <c r="M88" s="36" t="s">
        <v>123</v>
      </c>
      <c r="N88" s="36"/>
      <c r="O88" s="35">
        <v>50</v>
      </c>
      <c r="P88" s="875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36"/>
      <c r="R88" s="636"/>
      <c r="S88" s="636"/>
      <c r="T88" s="637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183</v>
      </c>
      <c r="AG88" s="75"/>
      <c r="AJ88" s="79" t="s">
        <v>46</v>
      </c>
      <c r="AK88" s="79">
        <v>0</v>
      </c>
      <c r="BB88" s="154" t="s">
        <v>67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customHeight="1" x14ac:dyDescent="0.25">
      <c r="A89" s="60" t="s">
        <v>191</v>
      </c>
      <c r="B89" s="60" t="s">
        <v>192</v>
      </c>
      <c r="C89" s="34">
        <v>4301012250</v>
      </c>
      <c r="D89" s="634">
        <v>4680115881303</v>
      </c>
      <c r="E89" s="63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131</v>
      </c>
      <c r="L89" s="35" t="s">
        <v>46</v>
      </c>
      <c r="M89" s="36" t="s">
        <v>123</v>
      </c>
      <c r="N89" s="36"/>
      <c r="O89" s="35">
        <v>50</v>
      </c>
      <c r="P89" s="87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36"/>
      <c r="R89" s="636"/>
      <c r="S89" s="636"/>
      <c r="T89" s="637"/>
      <c r="U89" s="37" t="s">
        <v>46</v>
      </c>
      <c r="V89" s="37" t="s">
        <v>46</v>
      </c>
      <c r="W89" s="38" t="s">
        <v>0</v>
      </c>
      <c r="X89" s="56">
        <v>23</v>
      </c>
      <c r="Y89" s="53">
        <f t="shared" si="5"/>
        <v>27</v>
      </c>
      <c r="Z89" s="39">
        <f>IFERROR(IF(Y89=0,"",ROUNDUP(Y89/H89,0)*0.00902),"")</f>
        <v>5.4120000000000001E-2</v>
      </c>
      <c r="AA89" s="65" t="s">
        <v>46</v>
      </c>
      <c r="AB89" s="66" t="s">
        <v>46</v>
      </c>
      <c r="AC89" s="155" t="s">
        <v>183</v>
      </c>
      <c r="AG89" s="75"/>
      <c r="AJ89" s="79" t="s">
        <v>46</v>
      </c>
      <c r="AK89" s="79">
        <v>0</v>
      </c>
      <c r="BB89" s="156" t="s">
        <v>67</v>
      </c>
      <c r="BM89" s="75">
        <f t="shared" si="6"/>
        <v>23.971111111111114</v>
      </c>
      <c r="BN89" s="75">
        <f t="shared" si="7"/>
        <v>28.14</v>
      </c>
      <c r="BO89" s="75">
        <f t="shared" si="8"/>
        <v>3.8720538720538718E-2</v>
      </c>
      <c r="BP89" s="75">
        <f t="shared" si="9"/>
        <v>4.5454545454545456E-2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IFERROR(X84/H84,"0")+IFERROR(X85/H85,"0")+IFERROR(X86/H86,"0")+IFERROR(X87/H87,"0")+IFERROR(X88/H88,"0")+IFERROR(X89/H89,"0")</f>
        <v>14.37037037037037</v>
      </c>
      <c r="Y90" s="41">
        <f>IFERROR(Y84/H84,"0")+IFERROR(Y85/H85,"0")+IFERROR(Y86/H86,"0")+IFERROR(Y87/H87,"0")+IFERROR(Y88/H88,"0")+IFERROR(Y89/H89,"0")</f>
        <v>16</v>
      </c>
      <c r="Z90" s="41">
        <f>IFERROR(IF(Z84="",0,Z84),"0")+IFERROR(IF(Z85="",0,Z85),"0")+IFERROR(IF(Z86="",0,Z86),"0")+IFERROR(IF(Z87="",0,Z87),"0")+IFERROR(IF(Z88="",0,Z88),"0")+IFERROR(IF(Z89="",0,Z89),"0")</f>
        <v>0.24392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IFERROR(SUM(X84:X89),"0")</f>
        <v>123</v>
      </c>
      <c r="Y91" s="41">
        <f>IFERROR(SUM(Y84:Y89),"0")</f>
        <v>135</v>
      </c>
      <c r="Z91" s="40"/>
      <c r="AA91" s="64"/>
      <c r="AB91" s="64"/>
      <c r="AC91" s="64"/>
    </row>
    <row r="92" spans="1:68" ht="14.25" hidden="1" customHeight="1" x14ac:dyDescent="0.25">
      <c r="A92" s="639" t="s">
        <v>83</v>
      </c>
      <c r="B92" s="639"/>
      <c r="C92" s="639"/>
      <c r="D92" s="639"/>
      <c r="E92" s="639"/>
      <c r="F92" s="639"/>
      <c r="G92" s="639"/>
      <c r="H92" s="639"/>
      <c r="I92" s="639"/>
      <c r="J92" s="639"/>
      <c r="K92" s="639"/>
      <c r="L92" s="639"/>
      <c r="M92" s="639"/>
      <c r="N92" s="639"/>
      <c r="O92" s="639"/>
      <c r="P92" s="639"/>
      <c r="Q92" s="639"/>
      <c r="R92" s="639"/>
      <c r="S92" s="639"/>
      <c r="T92" s="639"/>
      <c r="U92" s="639"/>
      <c r="V92" s="639"/>
      <c r="W92" s="639"/>
      <c r="X92" s="639"/>
      <c r="Y92" s="639"/>
      <c r="Z92" s="639"/>
      <c r="AA92" s="63"/>
      <c r="AB92" s="63"/>
      <c r="AC92" s="63"/>
    </row>
    <row r="93" spans="1:68" ht="27" customHeight="1" x14ac:dyDescent="0.25">
      <c r="A93" s="60" t="s">
        <v>193</v>
      </c>
      <c r="B93" s="60" t="s">
        <v>194</v>
      </c>
      <c r="C93" s="34">
        <v>4301052101</v>
      </c>
      <c r="D93" s="634">
        <v>4607091386967</v>
      </c>
      <c r="E93" s="63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124</v>
      </c>
      <c r="L93" s="35" t="s">
        <v>46</v>
      </c>
      <c r="M93" s="36" t="s">
        <v>94</v>
      </c>
      <c r="N93" s="36"/>
      <c r="O93" s="35">
        <v>45</v>
      </c>
      <c r="P93" s="86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36"/>
      <c r="R93" s="636"/>
      <c r="S93" s="636"/>
      <c r="T93" s="637"/>
      <c r="U93" s="37" t="s">
        <v>46</v>
      </c>
      <c r="V93" s="37" t="s">
        <v>46</v>
      </c>
      <c r="W93" s="38" t="s">
        <v>0</v>
      </c>
      <c r="X93" s="56">
        <v>200</v>
      </c>
      <c r="Y93" s="53">
        <f>IFERROR(IF(X93="",0,CEILING((X93/$H93),1)*$H93),"")</f>
        <v>202.5</v>
      </c>
      <c r="Z93" s="39">
        <f>IFERROR(IF(Y93=0,"",ROUNDUP(Y93/H93,0)*0.01898),"")</f>
        <v>0.47450000000000003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212.19753086419755</v>
      </c>
      <c r="BN93" s="75">
        <f>IFERROR(Y93*I93/H93,"0")</f>
        <v>214.85</v>
      </c>
      <c r="BO93" s="75">
        <f>IFERROR(1/J93*(X93/H93),"0")</f>
        <v>0.38580246913580246</v>
      </c>
      <c r="BP93" s="75">
        <f>IFERROR(1/J93*(Y93/H93),"0")</f>
        <v>0.390625</v>
      </c>
    </row>
    <row r="94" spans="1:68" ht="27" hidden="1" customHeight="1" x14ac:dyDescent="0.25">
      <c r="A94" s="60" t="s">
        <v>196</v>
      </c>
      <c r="B94" s="60" t="s">
        <v>197</v>
      </c>
      <c r="C94" s="34">
        <v>4301052090</v>
      </c>
      <c r="D94" s="634">
        <v>4680115884953</v>
      </c>
      <c r="E94" s="63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88</v>
      </c>
      <c r="L94" s="35" t="s">
        <v>46</v>
      </c>
      <c r="M94" s="36" t="s">
        <v>87</v>
      </c>
      <c r="N94" s="36"/>
      <c r="O94" s="35">
        <v>45</v>
      </c>
      <c r="P94" s="87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36"/>
      <c r="R94" s="636"/>
      <c r="S94" s="636"/>
      <c r="T94" s="63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198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4301052094</v>
      </c>
      <c r="D95" s="634">
        <v>4607091385731</v>
      </c>
      <c r="E95" s="63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88</v>
      </c>
      <c r="L95" s="35" t="s">
        <v>46</v>
      </c>
      <c r="M95" s="36" t="s">
        <v>94</v>
      </c>
      <c r="N95" s="36"/>
      <c r="O95" s="35">
        <v>45</v>
      </c>
      <c r="P95" s="87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36"/>
      <c r="R95" s="636"/>
      <c r="S95" s="636"/>
      <c r="T95" s="63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195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201</v>
      </c>
      <c r="B96" s="60" t="s">
        <v>202</v>
      </c>
      <c r="C96" s="34">
        <v>4301052092</v>
      </c>
      <c r="D96" s="634">
        <v>4680115880894</v>
      </c>
      <c r="E96" s="63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88</v>
      </c>
      <c r="L96" s="35" t="s">
        <v>46</v>
      </c>
      <c r="M96" s="36" t="s">
        <v>87</v>
      </c>
      <c r="N96" s="36"/>
      <c r="O96" s="35">
        <v>45</v>
      </c>
      <c r="P96" s="8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36"/>
      <c r="R96" s="636"/>
      <c r="S96" s="636"/>
      <c r="T96" s="63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24.691358024691358</v>
      </c>
      <c r="Y97" s="41">
        <f>IFERROR(Y93/H93,"0")+IFERROR(Y94/H94,"0")+IFERROR(Y95/H95,"0")+IFERROR(Y96/H96,"0")</f>
        <v>25</v>
      </c>
      <c r="Z97" s="41">
        <f>IFERROR(IF(Z93="",0,Z93),"0")+IFERROR(IF(Z94="",0,Z94),"0")+IFERROR(IF(Z95="",0,Z95),"0")+IFERROR(IF(Z96="",0,Z96),"0")</f>
        <v>0.47450000000000003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200</v>
      </c>
      <c r="Y98" s="41">
        <f>IFERROR(SUM(Y93:Y96),"0")</f>
        <v>202.5</v>
      </c>
      <c r="Z98" s="40"/>
      <c r="AA98" s="64"/>
      <c r="AB98" s="64"/>
      <c r="AC98" s="64"/>
    </row>
    <row r="99" spans="1:68" ht="16.5" hidden="1" customHeight="1" x14ac:dyDescent="0.25">
      <c r="A99" s="638" t="s">
        <v>204</v>
      </c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8"/>
      <c r="P99" s="638"/>
      <c r="Q99" s="638"/>
      <c r="R99" s="638"/>
      <c r="S99" s="638"/>
      <c r="T99" s="638"/>
      <c r="U99" s="638"/>
      <c r="V99" s="638"/>
      <c r="W99" s="638"/>
      <c r="X99" s="638"/>
      <c r="Y99" s="638"/>
      <c r="Z99" s="638"/>
      <c r="AA99" s="62"/>
      <c r="AB99" s="62"/>
      <c r="AC99" s="62"/>
    </row>
    <row r="100" spans="1:68" ht="14.25" hidden="1" customHeight="1" x14ac:dyDescent="0.25">
      <c r="A100" s="639" t="s">
        <v>119</v>
      </c>
      <c r="B100" s="639"/>
      <c r="C100" s="639"/>
      <c r="D100" s="639"/>
      <c r="E100" s="639"/>
      <c r="F100" s="639"/>
      <c r="G100" s="639"/>
      <c r="H100" s="639"/>
      <c r="I100" s="639"/>
      <c r="J100" s="639"/>
      <c r="K100" s="639"/>
      <c r="L100" s="639"/>
      <c r="M100" s="639"/>
      <c r="N100" s="639"/>
      <c r="O100" s="639"/>
      <c r="P100" s="639"/>
      <c r="Q100" s="639"/>
      <c r="R100" s="639"/>
      <c r="S100" s="639"/>
      <c r="T100" s="639"/>
      <c r="U100" s="639"/>
      <c r="V100" s="639"/>
      <c r="W100" s="639"/>
      <c r="X100" s="639"/>
      <c r="Y100" s="639"/>
      <c r="Z100" s="639"/>
      <c r="AA100" s="63"/>
      <c r="AB100" s="63"/>
      <c r="AC100" s="63"/>
    </row>
    <row r="101" spans="1:68" ht="37.5" customHeight="1" x14ac:dyDescent="0.25">
      <c r="A101" s="60" t="s">
        <v>205</v>
      </c>
      <c r="B101" s="60" t="s">
        <v>206</v>
      </c>
      <c r="C101" s="34">
        <v>4301011514</v>
      </c>
      <c r="D101" s="634">
        <v>4680115882133</v>
      </c>
      <c r="E101" s="63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124</v>
      </c>
      <c r="L101" s="35" t="s">
        <v>46</v>
      </c>
      <c r="M101" s="36" t="s">
        <v>123</v>
      </c>
      <c r="N101" s="36"/>
      <c r="O101" s="35">
        <v>50</v>
      </c>
      <c r="P101" s="8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36"/>
      <c r="R101" s="636"/>
      <c r="S101" s="636"/>
      <c r="T101" s="637"/>
      <c r="U101" s="37" t="s">
        <v>46</v>
      </c>
      <c r="V101" s="37" t="s">
        <v>46</v>
      </c>
      <c r="W101" s="38" t="s">
        <v>0</v>
      </c>
      <c r="X101" s="56">
        <v>50</v>
      </c>
      <c r="Y101" s="53">
        <f t="shared" ref="Y101:Y107" si="10">IFERROR(IF(X101="",0,CEILING((X101/$H101),1)*$H101),"")</f>
        <v>54</v>
      </c>
      <c r="Z101" s="39">
        <f>IFERROR(IF(Y101=0,"",ROUNDUP(Y101/H101,0)*0.01898),"")</f>
        <v>9.4899999999999998E-2</v>
      </c>
      <c r="AA101" s="65" t="s">
        <v>46</v>
      </c>
      <c r="AB101" s="66" t="s">
        <v>46</v>
      </c>
      <c r="AC101" s="165" t="s">
        <v>207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7" si="11">IFERROR(X101*I101/H101,"0")</f>
        <v>51.898148148148145</v>
      </c>
      <c r="BN101" s="75">
        <f t="shared" ref="BN101:BN107" si="12">IFERROR(Y101*I101/H101,"0")</f>
        <v>56.05</v>
      </c>
      <c r="BO101" s="75">
        <f t="shared" ref="BO101:BO107" si="13">IFERROR(1/J101*(X101/H101),"0")</f>
        <v>7.2337962962962965E-2</v>
      </c>
      <c r="BP101" s="75">
        <f t="shared" ref="BP101:BP107" si="14">IFERROR(1/J101*(Y101/H101),"0")</f>
        <v>7.8125E-2</v>
      </c>
    </row>
    <row r="102" spans="1:68" ht="27" hidden="1" customHeight="1" x14ac:dyDescent="0.25">
      <c r="A102" s="60" t="s">
        <v>205</v>
      </c>
      <c r="B102" s="60" t="s">
        <v>208</v>
      </c>
      <c r="C102" s="34">
        <v>4301012256</v>
      </c>
      <c r="D102" s="634">
        <v>4680115882133</v>
      </c>
      <c r="E102" s="63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124</v>
      </c>
      <c r="L102" s="35" t="s">
        <v>46</v>
      </c>
      <c r="M102" s="36" t="s">
        <v>123</v>
      </c>
      <c r="N102" s="36"/>
      <c r="O102" s="35">
        <v>50</v>
      </c>
      <c r="P102" s="862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36"/>
      <c r="R102" s="636"/>
      <c r="S102" s="636"/>
      <c r="T102" s="63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0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11"/>
        <v>0</v>
      </c>
      <c r="BN102" s="75">
        <f t="shared" si="12"/>
        <v>0</v>
      </c>
      <c r="BO102" s="75">
        <f t="shared" si="13"/>
        <v>0</v>
      </c>
      <c r="BP102" s="75">
        <f t="shared" si="14"/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34">
        <v>4680115887718</v>
      </c>
      <c r="E103" s="63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128</v>
      </c>
      <c r="L103" s="35" t="s">
        <v>46</v>
      </c>
      <c r="M103" s="36" t="s">
        <v>81</v>
      </c>
      <c r="N103" s="36"/>
      <c r="O103" s="35">
        <v>30</v>
      </c>
      <c r="P103" s="86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36"/>
      <c r="R103" s="636"/>
      <c r="S103" s="636"/>
      <c r="T103" s="63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4301012253</v>
      </c>
      <c r="D104" s="634">
        <v>4680115880269</v>
      </c>
      <c r="E104" s="63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131</v>
      </c>
      <c r="L104" s="35" t="s">
        <v>46</v>
      </c>
      <c r="M104" s="36" t="s">
        <v>123</v>
      </c>
      <c r="N104" s="36"/>
      <c r="O104" s="35">
        <v>50</v>
      </c>
      <c r="P104" s="86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36"/>
      <c r="R104" s="636"/>
      <c r="S104" s="636"/>
      <c r="T104" s="63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customHeight="1" x14ac:dyDescent="0.25">
      <c r="A105" s="60" t="s">
        <v>215</v>
      </c>
      <c r="B105" s="60" t="s">
        <v>216</v>
      </c>
      <c r="C105" s="34">
        <v>4301012254</v>
      </c>
      <c r="D105" s="634">
        <v>4680115880429</v>
      </c>
      <c r="E105" s="63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131</v>
      </c>
      <c r="L105" s="35" t="s">
        <v>46</v>
      </c>
      <c r="M105" s="36" t="s">
        <v>123</v>
      </c>
      <c r="N105" s="36"/>
      <c r="O105" s="35">
        <v>50</v>
      </c>
      <c r="P105" s="86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36"/>
      <c r="R105" s="636"/>
      <c r="S105" s="636"/>
      <c r="T105" s="637"/>
      <c r="U105" s="37" t="s">
        <v>46</v>
      </c>
      <c r="V105" s="37" t="s">
        <v>46</v>
      </c>
      <c r="W105" s="38" t="s">
        <v>0</v>
      </c>
      <c r="X105" s="56">
        <v>23</v>
      </c>
      <c r="Y105" s="53">
        <f t="shared" si="10"/>
        <v>27</v>
      </c>
      <c r="Z105" s="39">
        <f>IFERROR(IF(Y105=0,"",ROUNDUP(Y105/H105,0)*0.00902),"")</f>
        <v>5.4120000000000001E-2</v>
      </c>
      <c r="AA105" s="65" t="s">
        <v>46</v>
      </c>
      <c r="AB105" s="66" t="s">
        <v>46</v>
      </c>
      <c r="AC105" s="173" t="s">
        <v>209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23.971111111111114</v>
      </c>
      <c r="BN105" s="75">
        <f t="shared" si="12"/>
        <v>28.14</v>
      </c>
      <c r="BO105" s="75">
        <f t="shared" si="13"/>
        <v>3.8720538720538718E-2</v>
      </c>
      <c r="BP105" s="75">
        <f t="shared" si="14"/>
        <v>4.5454545454545456E-2</v>
      </c>
    </row>
    <row r="106" spans="1:68" ht="27" hidden="1" customHeight="1" x14ac:dyDescent="0.25">
      <c r="A106" s="60" t="s">
        <v>217</v>
      </c>
      <c r="B106" s="60" t="s">
        <v>218</v>
      </c>
      <c r="C106" s="34">
        <v>4301012255</v>
      </c>
      <c r="D106" s="634">
        <v>4680115881457</v>
      </c>
      <c r="E106" s="63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131</v>
      </c>
      <c r="L106" s="35" t="s">
        <v>46</v>
      </c>
      <c r="M106" s="36" t="s">
        <v>123</v>
      </c>
      <c r="N106" s="36"/>
      <c r="O106" s="35">
        <v>50</v>
      </c>
      <c r="P106" s="866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36"/>
      <c r="R106" s="636"/>
      <c r="S106" s="636"/>
      <c r="T106" s="63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219</v>
      </c>
      <c r="B107" s="60" t="s">
        <v>220</v>
      </c>
      <c r="C107" s="34">
        <v>4301012366</v>
      </c>
      <c r="D107" s="634">
        <v>4680115889477</v>
      </c>
      <c r="E107" s="634"/>
      <c r="F107" s="59">
        <v>0.4</v>
      </c>
      <c r="G107" s="35">
        <v>6</v>
      </c>
      <c r="H107" s="59">
        <v>2.4</v>
      </c>
      <c r="I107" s="59">
        <v>2.58</v>
      </c>
      <c r="J107" s="35">
        <v>182</v>
      </c>
      <c r="K107" s="35" t="s">
        <v>88</v>
      </c>
      <c r="L107" s="35" t="s">
        <v>46</v>
      </c>
      <c r="M107" s="36" t="s">
        <v>123</v>
      </c>
      <c r="N107" s="36"/>
      <c r="O107" s="35">
        <v>55</v>
      </c>
      <c r="P107" s="85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36"/>
      <c r="R107" s="636"/>
      <c r="S107" s="636"/>
      <c r="T107" s="63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IFERROR(IF(Y107=0,"",ROUNDUP(Y107/H107,0)*0.00651),"")</f>
        <v/>
      </c>
      <c r="AA107" s="65" t="s">
        <v>46</v>
      </c>
      <c r="AB107" s="66" t="s">
        <v>46</v>
      </c>
      <c r="AC107" s="177" t="s">
        <v>221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x14ac:dyDescent="0.2">
      <c r="A108" s="628"/>
      <c r="B108" s="628"/>
      <c r="C108" s="628"/>
      <c r="D108" s="628"/>
      <c r="E108" s="628"/>
      <c r="F108" s="628"/>
      <c r="G108" s="628"/>
      <c r="H108" s="628"/>
      <c r="I108" s="628"/>
      <c r="J108" s="628"/>
      <c r="K108" s="628"/>
      <c r="L108" s="628"/>
      <c r="M108" s="628"/>
      <c r="N108" s="628"/>
      <c r="O108" s="629"/>
      <c r="P108" s="625" t="s">
        <v>40</v>
      </c>
      <c r="Q108" s="626"/>
      <c r="R108" s="626"/>
      <c r="S108" s="626"/>
      <c r="T108" s="626"/>
      <c r="U108" s="626"/>
      <c r="V108" s="627"/>
      <c r="W108" s="40" t="s">
        <v>39</v>
      </c>
      <c r="X108" s="41">
        <f>IFERROR(X101/H101,"0")+IFERROR(X102/H102,"0")+IFERROR(X103/H103,"0")+IFERROR(X104/H104,"0")+IFERROR(X105/H105,"0")+IFERROR(X106/H106,"0")+IFERROR(X107/H107,"0")</f>
        <v>9.7407407407407405</v>
      </c>
      <c r="Y108" s="41">
        <f>IFERROR(Y101/H101,"0")+IFERROR(Y102/H102,"0")+IFERROR(Y103/H103,"0")+IFERROR(Y104/H104,"0")+IFERROR(Y105/H105,"0")+IFERROR(Y106/H106,"0")+IFERROR(Y107/H107,"0")</f>
        <v>11</v>
      </c>
      <c r="Z108" s="41">
        <f>IFERROR(IF(Z101="",0,Z101),"0")+IFERROR(IF(Z102="",0,Z102),"0")+IFERROR(IF(Z103="",0,Z103),"0")+IFERROR(IF(Z104="",0,Z104),"0")+IFERROR(IF(Z105="",0,Z105),"0")+IFERROR(IF(Z106="",0,Z106),"0")+IFERROR(IF(Z107="",0,Z107),"0")</f>
        <v>0.14901999999999999</v>
      </c>
      <c r="AA108" s="64"/>
      <c r="AB108" s="64"/>
      <c r="AC108" s="64"/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0" t="s">
        <v>0</v>
      </c>
      <c r="X109" s="41">
        <f>IFERROR(SUM(X101:X107),"0")</f>
        <v>73</v>
      </c>
      <c r="Y109" s="41">
        <f>IFERROR(SUM(Y101:Y107),"0")</f>
        <v>81</v>
      </c>
      <c r="Z109" s="40"/>
      <c r="AA109" s="64"/>
      <c r="AB109" s="64"/>
      <c r="AC109" s="64"/>
    </row>
    <row r="110" spans="1:68" ht="14.25" hidden="1" customHeight="1" x14ac:dyDescent="0.25">
      <c r="A110" s="639" t="s">
        <v>154</v>
      </c>
      <c r="B110" s="639"/>
      <c r="C110" s="639"/>
      <c r="D110" s="639"/>
      <c r="E110" s="639"/>
      <c r="F110" s="639"/>
      <c r="G110" s="639"/>
      <c r="H110" s="639"/>
      <c r="I110" s="639"/>
      <c r="J110" s="639"/>
      <c r="K110" s="639"/>
      <c r="L110" s="639"/>
      <c r="M110" s="639"/>
      <c r="N110" s="639"/>
      <c r="O110" s="639"/>
      <c r="P110" s="639"/>
      <c r="Q110" s="639"/>
      <c r="R110" s="639"/>
      <c r="S110" s="639"/>
      <c r="T110" s="639"/>
      <c r="U110" s="639"/>
      <c r="V110" s="639"/>
      <c r="W110" s="639"/>
      <c r="X110" s="639"/>
      <c r="Y110" s="639"/>
      <c r="Z110" s="639"/>
      <c r="AA110" s="63"/>
      <c r="AB110" s="63"/>
      <c r="AC110" s="63"/>
    </row>
    <row r="111" spans="1:68" ht="27" hidden="1" customHeight="1" x14ac:dyDescent="0.25">
      <c r="A111" s="60" t="s">
        <v>222</v>
      </c>
      <c r="B111" s="60" t="s">
        <v>223</v>
      </c>
      <c r="C111" s="34">
        <v>4301020391</v>
      </c>
      <c r="D111" s="634">
        <v>4680115881488</v>
      </c>
      <c r="E111" s="634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124</v>
      </c>
      <c r="L111" s="35" t="s">
        <v>46</v>
      </c>
      <c r="M111" s="36" t="s">
        <v>123</v>
      </c>
      <c r="N111" s="36"/>
      <c r="O111" s="35">
        <v>55</v>
      </c>
      <c r="P111" s="86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36"/>
      <c r="R111" s="636"/>
      <c r="S111" s="636"/>
      <c r="T111" s="637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224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4301020186</v>
      </c>
      <c r="D112" s="634">
        <v>4680115887664</v>
      </c>
      <c r="E112" s="634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229</v>
      </c>
      <c r="L112" s="35" t="s">
        <v>46</v>
      </c>
      <c r="M112" s="36" t="s">
        <v>81</v>
      </c>
      <c r="N112" s="36"/>
      <c r="O112" s="35">
        <v>30</v>
      </c>
      <c r="P112" s="8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36"/>
      <c r="R112" s="636"/>
      <c r="S112" s="636"/>
      <c r="T112" s="637"/>
      <c r="U112" s="37" t="s">
        <v>225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230</v>
      </c>
      <c r="C113" s="34">
        <v>4301020430</v>
      </c>
      <c r="D113" s="634">
        <v>4680115887664</v>
      </c>
      <c r="E113" s="634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7" t="s">
        <v>225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228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231</v>
      </c>
      <c r="B114" s="60" t="s">
        <v>232</v>
      </c>
      <c r="C114" s="34">
        <v>4301020393</v>
      </c>
      <c r="D114" s="634">
        <v>4680115882775</v>
      </c>
      <c r="E114" s="634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82</v>
      </c>
      <c r="L114" s="35" t="s">
        <v>46</v>
      </c>
      <c r="M114" s="36" t="s">
        <v>123</v>
      </c>
      <c r="N114" s="36"/>
      <c r="O114" s="35">
        <v>55</v>
      </c>
      <c r="P114" s="8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36"/>
      <c r="R114" s="636"/>
      <c r="S114" s="636"/>
      <c r="T114" s="63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224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4301020392</v>
      </c>
      <c r="D115" s="634">
        <v>4680115880658</v>
      </c>
      <c r="E115" s="634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88</v>
      </c>
      <c r="L115" s="35" t="s">
        <v>46</v>
      </c>
      <c r="M115" s="36" t="s">
        <v>123</v>
      </c>
      <c r="N115" s="36"/>
      <c r="O115" s="35">
        <v>55</v>
      </c>
      <c r="P115" s="8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36"/>
      <c r="R115" s="636"/>
      <c r="S115" s="636"/>
      <c r="T115" s="63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224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39" t="s">
        <v>83</v>
      </c>
      <c r="B118" s="639"/>
      <c r="C118" s="639"/>
      <c r="D118" s="639"/>
      <c r="E118" s="639"/>
      <c r="F118" s="639"/>
      <c r="G118" s="639"/>
      <c r="H118" s="639"/>
      <c r="I118" s="639"/>
      <c r="J118" s="639"/>
      <c r="K118" s="639"/>
      <c r="L118" s="639"/>
      <c r="M118" s="639"/>
      <c r="N118" s="639"/>
      <c r="O118" s="639"/>
      <c r="P118" s="639"/>
      <c r="Q118" s="639"/>
      <c r="R118" s="639"/>
      <c r="S118" s="639"/>
      <c r="T118" s="639"/>
      <c r="U118" s="639"/>
      <c r="V118" s="639"/>
      <c r="W118" s="639"/>
      <c r="X118" s="639"/>
      <c r="Y118" s="639"/>
      <c r="Z118" s="639"/>
      <c r="AA118" s="63"/>
      <c r="AB118" s="63"/>
      <c r="AC118" s="63"/>
    </row>
    <row r="119" spans="1:68" ht="27" customHeight="1" x14ac:dyDescent="0.25">
      <c r="A119" s="60" t="s">
        <v>235</v>
      </c>
      <c r="B119" s="60" t="s">
        <v>236</v>
      </c>
      <c r="C119" s="34">
        <v>4301052088</v>
      </c>
      <c r="D119" s="634">
        <v>4607091385168</v>
      </c>
      <c r="E119" s="634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124</v>
      </c>
      <c r="L119" s="35" t="s">
        <v>46</v>
      </c>
      <c r="M119" s="36" t="s">
        <v>87</v>
      </c>
      <c r="N119" s="36"/>
      <c r="O119" s="35">
        <v>45</v>
      </c>
      <c r="P119" s="85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36"/>
      <c r="R119" s="636"/>
      <c r="S119" s="636"/>
      <c r="T119" s="637"/>
      <c r="U119" s="37" t="s">
        <v>46</v>
      </c>
      <c r="V119" s="37" t="s">
        <v>46</v>
      </c>
      <c r="W119" s="38" t="s">
        <v>0</v>
      </c>
      <c r="X119" s="56">
        <v>300</v>
      </c>
      <c r="Y119" s="53">
        <f>IFERROR(IF(X119="",0,CEILING((X119/$H119),1)*$H119),"")</f>
        <v>307.8</v>
      </c>
      <c r="Z119" s="39">
        <f>IFERROR(IF(Y119=0,"",ROUNDUP(Y119/H119,0)*0.01898),"")</f>
        <v>0.72123999999999999</v>
      </c>
      <c r="AA119" s="65" t="s">
        <v>46</v>
      </c>
      <c r="AB119" s="66" t="s">
        <v>46</v>
      </c>
      <c r="AC119" s="189" t="s">
        <v>237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318.07407407407402</v>
      </c>
      <c r="BN119" s="75">
        <f>IFERROR(Y119*I119/H119,"0")</f>
        <v>326.34399999999999</v>
      </c>
      <c r="BO119" s="75">
        <f>IFERROR(1/J119*(X119/H119),"0")</f>
        <v>0.57870370370370372</v>
      </c>
      <c r="BP119" s="75">
        <f>IFERROR(1/J119*(Y119/H119),"0")</f>
        <v>0.59375</v>
      </c>
    </row>
    <row r="120" spans="1:68" ht="27" hidden="1" customHeight="1" x14ac:dyDescent="0.25">
      <c r="A120" s="60" t="s">
        <v>238</v>
      </c>
      <c r="B120" s="60" t="s">
        <v>239</v>
      </c>
      <c r="C120" s="34">
        <v>4301052087</v>
      </c>
      <c r="D120" s="634">
        <v>4607091383256</v>
      </c>
      <c r="E120" s="634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88</v>
      </c>
      <c r="L120" s="35" t="s">
        <v>46</v>
      </c>
      <c r="M120" s="36" t="s">
        <v>87</v>
      </c>
      <c r="N120" s="36"/>
      <c r="O120" s="35">
        <v>45</v>
      </c>
      <c r="P120" s="85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36"/>
      <c r="R120" s="636"/>
      <c r="S120" s="636"/>
      <c r="T120" s="63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237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4301052086</v>
      </c>
      <c r="D121" s="634">
        <v>4607091385748</v>
      </c>
      <c r="E121" s="634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88</v>
      </c>
      <c r="L121" s="35" t="s">
        <v>46</v>
      </c>
      <c r="M121" s="36" t="s">
        <v>87</v>
      </c>
      <c r="N121" s="36"/>
      <c r="O121" s="35">
        <v>45</v>
      </c>
      <c r="P121" s="85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36"/>
      <c r="R121" s="636"/>
      <c r="S121" s="636"/>
      <c r="T121" s="63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242</v>
      </c>
      <c r="B122" s="60" t="s">
        <v>243</v>
      </c>
      <c r="C122" s="34">
        <v>4301052085</v>
      </c>
      <c r="D122" s="634">
        <v>4680115884533</v>
      </c>
      <c r="E122" s="634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88</v>
      </c>
      <c r="L122" s="35" t="s">
        <v>46</v>
      </c>
      <c r="M122" s="36" t="s">
        <v>87</v>
      </c>
      <c r="N122" s="36"/>
      <c r="O122" s="35">
        <v>45</v>
      </c>
      <c r="P122" s="85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36"/>
      <c r="R122" s="636"/>
      <c r="S122" s="636"/>
      <c r="T122" s="63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244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x14ac:dyDescent="0.2">
      <c r="A123" s="628"/>
      <c r="B123" s="628"/>
      <c r="C123" s="628"/>
      <c r="D123" s="628"/>
      <c r="E123" s="628"/>
      <c r="F123" s="628"/>
      <c r="G123" s="628"/>
      <c r="H123" s="628"/>
      <c r="I123" s="628"/>
      <c r="J123" s="628"/>
      <c r="K123" s="628"/>
      <c r="L123" s="628"/>
      <c r="M123" s="628"/>
      <c r="N123" s="628"/>
      <c r="O123" s="629"/>
      <c r="P123" s="625" t="s">
        <v>40</v>
      </c>
      <c r="Q123" s="626"/>
      <c r="R123" s="626"/>
      <c r="S123" s="626"/>
      <c r="T123" s="626"/>
      <c r="U123" s="626"/>
      <c r="V123" s="627"/>
      <c r="W123" s="40" t="s">
        <v>39</v>
      </c>
      <c r="X123" s="41">
        <f>IFERROR(X119/H119,"0")+IFERROR(X120/H120,"0")+IFERROR(X121/H121,"0")+IFERROR(X122/H122,"0")</f>
        <v>37.037037037037038</v>
      </c>
      <c r="Y123" s="41">
        <f>IFERROR(Y119/H119,"0")+IFERROR(Y120/H120,"0")+IFERROR(Y121/H121,"0")+IFERROR(Y122/H122,"0")</f>
        <v>38</v>
      </c>
      <c r="Z123" s="41">
        <f>IFERROR(IF(Z119="",0,Z119),"0")+IFERROR(IF(Z120="",0,Z120),"0")+IFERROR(IF(Z121="",0,Z121),"0")+IFERROR(IF(Z122="",0,Z122),"0")</f>
        <v>0.72123999999999999</v>
      </c>
      <c r="AA123" s="64"/>
      <c r="AB123" s="64"/>
      <c r="AC123" s="64"/>
    </row>
    <row r="124" spans="1:68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0</v>
      </c>
      <c r="X124" s="41">
        <f>IFERROR(SUM(X119:X122),"0")</f>
        <v>300</v>
      </c>
      <c r="Y124" s="41">
        <f>IFERROR(SUM(Y119:Y122),"0")</f>
        <v>307.8</v>
      </c>
      <c r="Z124" s="40"/>
      <c r="AA124" s="64"/>
      <c r="AB124" s="64"/>
      <c r="AC124" s="64"/>
    </row>
    <row r="125" spans="1:68" ht="14.25" hidden="1" customHeight="1" x14ac:dyDescent="0.25">
      <c r="A125" s="639" t="s">
        <v>172</v>
      </c>
      <c r="B125" s="639"/>
      <c r="C125" s="639"/>
      <c r="D125" s="639"/>
      <c r="E125" s="639"/>
      <c r="F125" s="639"/>
      <c r="G125" s="639"/>
      <c r="H125" s="639"/>
      <c r="I125" s="639"/>
      <c r="J125" s="639"/>
      <c r="K125" s="639"/>
      <c r="L125" s="639"/>
      <c r="M125" s="639"/>
      <c r="N125" s="639"/>
      <c r="O125" s="639"/>
      <c r="P125" s="639"/>
      <c r="Q125" s="639"/>
      <c r="R125" s="639"/>
      <c r="S125" s="639"/>
      <c r="T125" s="639"/>
      <c r="U125" s="639"/>
      <c r="V125" s="639"/>
      <c r="W125" s="639"/>
      <c r="X125" s="639"/>
      <c r="Y125" s="639"/>
      <c r="Z125" s="639"/>
      <c r="AA125" s="63"/>
      <c r="AB125" s="63"/>
      <c r="AC125" s="63"/>
    </row>
    <row r="126" spans="1:68" ht="16.5" hidden="1" customHeight="1" x14ac:dyDescent="0.25">
      <c r="A126" s="60" t="s">
        <v>245</v>
      </c>
      <c r="B126" s="60" t="s">
        <v>246</v>
      </c>
      <c r="C126" s="34">
        <v>4301060525</v>
      </c>
      <c r="D126" s="634">
        <v>4680115880238</v>
      </c>
      <c r="E126" s="634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88</v>
      </c>
      <c r="L126" s="35" t="s">
        <v>46</v>
      </c>
      <c r="M126" s="36" t="s">
        <v>87</v>
      </c>
      <c r="N126" s="36"/>
      <c r="O126" s="35">
        <v>40</v>
      </c>
      <c r="P126" s="85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36"/>
      <c r="R126" s="636"/>
      <c r="S126" s="636"/>
      <c r="T126" s="637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247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38" t="s">
        <v>248</v>
      </c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8"/>
      <c r="P129" s="638"/>
      <c r="Q129" s="638"/>
      <c r="R129" s="638"/>
      <c r="S129" s="638"/>
      <c r="T129" s="638"/>
      <c r="U129" s="638"/>
      <c r="V129" s="638"/>
      <c r="W129" s="638"/>
      <c r="X129" s="638"/>
      <c r="Y129" s="638"/>
      <c r="Z129" s="638"/>
      <c r="AA129" s="62"/>
      <c r="AB129" s="62"/>
      <c r="AC129" s="62"/>
    </row>
    <row r="130" spans="1:68" ht="14.25" hidden="1" customHeight="1" x14ac:dyDescent="0.25">
      <c r="A130" s="639" t="s">
        <v>119</v>
      </c>
      <c r="B130" s="639"/>
      <c r="C130" s="639"/>
      <c r="D130" s="639"/>
      <c r="E130" s="639"/>
      <c r="F130" s="639"/>
      <c r="G130" s="639"/>
      <c r="H130" s="639"/>
      <c r="I130" s="639"/>
      <c r="J130" s="639"/>
      <c r="K130" s="639"/>
      <c r="L130" s="639"/>
      <c r="M130" s="639"/>
      <c r="N130" s="639"/>
      <c r="O130" s="639"/>
      <c r="P130" s="639"/>
      <c r="Q130" s="639"/>
      <c r="R130" s="639"/>
      <c r="S130" s="639"/>
      <c r="T130" s="639"/>
      <c r="U130" s="639"/>
      <c r="V130" s="639"/>
      <c r="W130" s="639"/>
      <c r="X130" s="639"/>
      <c r="Y130" s="639"/>
      <c r="Z130" s="639"/>
      <c r="AA130" s="63"/>
      <c r="AB130" s="63"/>
      <c r="AC130" s="63"/>
    </row>
    <row r="131" spans="1:68" ht="27" hidden="1" customHeight="1" x14ac:dyDescent="0.25">
      <c r="A131" s="60" t="s">
        <v>249</v>
      </c>
      <c r="B131" s="60" t="s">
        <v>250</v>
      </c>
      <c r="C131" s="34">
        <v>4301011562</v>
      </c>
      <c r="D131" s="634">
        <v>4680115882577</v>
      </c>
      <c r="E131" s="634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88</v>
      </c>
      <c r="L131" s="35" t="s">
        <v>46</v>
      </c>
      <c r="M131" s="36" t="s">
        <v>252</v>
      </c>
      <c r="N131" s="36"/>
      <c r="O131" s="35">
        <v>90</v>
      </c>
      <c r="P131" s="8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36"/>
      <c r="R131" s="636"/>
      <c r="S131" s="636"/>
      <c r="T131" s="63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251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249</v>
      </c>
      <c r="B132" s="60" t="s">
        <v>253</v>
      </c>
      <c r="C132" s="34">
        <v>4301011564</v>
      </c>
      <c r="D132" s="634">
        <v>4680115882577</v>
      </c>
      <c r="E132" s="63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88</v>
      </c>
      <c r="L132" s="35" t="s">
        <v>46</v>
      </c>
      <c r="M132" s="36" t="s">
        <v>252</v>
      </c>
      <c r="N132" s="36"/>
      <c r="O132" s="35">
        <v>90</v>
      </c>
      <c r="P132" s="85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36"/>
      <c r="R132" s="636"/>
      <c r="S132" s="636"/>
      <c r="T132" s="63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251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28"/>
      <c r="B133" s="628"/>
      <c r="C133" s="628"/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9"/>
      <c r="P133" s="625" t="s">
        <v>40</v>
      </c>
      <c r="Q133" s="626"/>
      <c r="R133" s="626"/>
      <c r="S133" s="626"/>
      <c r="T133" s="626"/>
      <c r="U133" s="626"/>
      <c r="V133" s="62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28"/>
      <c r="B134" s="628"/>
      <c r="C134" s="628"/>
      <c r="D134" s="628"/>
      <c r="E134" s="628"/>
      <c r="F134" s="628"/>
      <c r="G134" s="628"/>
      <c r="H134" s="628"/>
      <c r="I134" s="628"/>
      <c r="J134" s="628"/>
      <c r="K134" s="628"/>
      <c r="L134" s="628"/>
      <c r="M134" s="628"/>
      <c r="N134" s="628"/>
      <c r="O134" s="629"/>
      <c r="P134" s="625" t="s">
        <v>40</v>
      </c>
      <c r="Q134" s="626"/>
      <c r="R134" s="626"/>
      <c r="S134" s="626"/>
      <c r="T134" s="626"/>
      <c r="U134" s="626"/>
      <c r="V134" s="62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39" t="s">
        <v>77</v>
      </c>
      <c r="B135" s="639"/>
      <c r="C135" s="639"/>
      <c r="D135" s="639"/>
      <c r="E135" s="639"/>
      <c r="F135" s="639"/>
      <c r="G135" s="639"/>
      <c r="H135" s="639"/>
      <c r="I135" s="639"/>
      <c r="J135" s="639"/>
      <c r="K135" s="639"/>
      <c r="L135" s="639"/>
      <c r="M135" s="639"/>
      <c r="N135" s="639"/>
      <c r="O135" s="639"/>
      <c r="P135" s="639"/>
      <c r="Q135" s="639"/>
      <c r="R135" s="639"/>
      <c r="S135" s="639"/>
      <c r="T135" s="639"/>
      <c r="U135" s="639"/>
      <c r="V135" s="639"/>
      <c r="W135" s="639"/>
      <c r="X135" s="639"/>
      <c r="Y135" s="639"/>
      <c r="Z135" s="639"/>
      <c r="AA135" s="63"/>
      <c r="AB135" s="63"/>
      <c r="AC135" s="63"/>
    </row>
    <row r="136" spans="1:68" ht="27" hidden="1" customHeight="1" x14ac:dyDescent="0.25">
      <c r="A136" s="60" t="s">
        <v>254</v>
      </c>
      <c r="B136" s="60" t="s">
        <v>255</v>
      </c>
      <c r="C136" s="34">
        <v>4301031234</v>
      </c>
      <c r="D136" s="634">
        <v>4680115883444</v>
      </c>
      <c r="E136" s="634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88</v>
      </c>
      <c r="L136" s="35" t="s">
        <v>46</v>
      </c>
      <c r="M136" s="36" t="s">
        <v>252</v>
      </c>
      <c r="N136" s="36"/>
      <c r="O136" s="35">
        <v>90</v>
      </c>
      <c r="P136" s="84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256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254</v>
      </c>
      <c r="B137" s="60" t="s">
        <v>257</v>
      </c>
      <c r="C137" s="34">
        <v>4301031235</v>
      </c>
      <c r="D137" s="634">
        <v>4680115883444</v>
      </c>
      <c r="E137" s="63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88</v>
      </c>
      <c r="L137" s="35" t="s">
        <v>46</v>
      </c>
      <c r="M137" s="36" t="s">
        <v>252</v>
      </c>
      <c r="N137" s="36"/>
      <c r="O137" s="35">
        <v>90</v>
      </c>
      <c r="P137" s="8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36"/>
      <c r="R137" s="636"/>
      <c r="S137" s="636"/>
      <c r="T137" s="63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256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28"/>
      <c r="B139" s="628"/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9"/>
      <c r="P139" s="625" t="s">
        <v>40</v>
      </c>
      <c r="Q139" s="626"/>
      <c r="R139" s="626"/>
      <c r="S139" s="626"/>
      <c r="T139" s="626"/>
      <c r="U139" s="626"/>
      <c r="V139" s="627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39" t="s">
        <v>83</v>
      </c>
      <c r="B140" s="639"/>
      <c r="C140" s="639"/>
      <c r="D140" s="639"/>
      <c r="E140" s="639"/>
      <c r="F140" s="639"/>
      <c r="G140" s="639"/>
      <c r="H140" s="639"/>
      <c r="I140" s="639"/>
      <c r="J140" s="639"/>
      <c r="K140" s="639"/>
      <c r="L140" s="639"/>
      <c r="M140" s="639"/>
      <c r="N140" s="639"/>
      <c r="O140" s="639"/>
      <c r="P140" s="639"/>
      <c r="Q140" s="639"/>
      <c r="R140" s="639"/>
      <c r="S140" s="639"/>
      <c r="T140" s="639"/>
      <c r="U140" s="639"/>
      <c r="V140" s="639"/>
      <c r="W140" s="639"/>
      <c r="X140" s="639"/>
      <c r="Y140" s="639"/>
      <c r="Z140" s="639"/>
      <c r="AA140" s="63"/>
      <c r="AB140" s="63"/>
      <c r="AC140" s="63"/>
    </row>
    <row r="141" spans="1:68" ht="16.5" hidden="1" customHeight="1" x14ac:dyDescent="0.25">
      <c r="A141" s="60" t="s">
        <v>258</v>
      </c>
      <c r="B141" s="60" t="s">
        <v>259</v>
      </c>
      <c r="C141" s="34">
        <v>4301051476</v>
      </c>
      <c r="D141" s="634">
        <v>4680115882584</v>
      </c>
      <c r="E141" s="634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88</v>
      </c>
      <c r="L141" s="35" t="s">
        <v>46</v>
      </c>
      <c r="M141" s="36" t="s">
        <v>252</v>
      </c>
      <c r="N141" s="36"/>
      <c r="O141" s="35">
        <v>60</v>
      </c>
      <c r="P141" s="8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36"/>
      <c r="R141" s="636"/>
      <c r="S141" s="636"/>
      <c r="T141" s="63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251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258</v>
      </c>
      <c r="B142" s="60" t="s">
        <v>260</v>
      </c>
      <c r="C142" s="34">
        <v>4301051477</v>
      </c>
      <c r="D142" s="634">
        <v>4680115882584</v>
      </c>
      <c r="E142" s="63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88</v>
      </c>
      <c r="L142" s="35" t="s">
        <v>46</v>
      </c>
      <c r="M142" s="36" t="s">
        <v>252</v>
      </c>
      <c r="N142" s="36"/>
      <c r="O142" s="35">
        <v>60</v>
      </c>
      <c r="P142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36"/>
      <c r="R142" s="636"/>
      <c r="S142" s="636"/>
      <c r="T142" s="63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251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28"/>
      <c r="B144" s="628"/>
      <c r="C144" s="628"/>
      <c r="D144" s="628"/>
      <c r="E144" s="628"/>
      <c r="F144" s="628"/>
      <c r="G144" s="628"/>
      <c r="H144" s="628"/>
      <c r="I144" s="628"/>
      <c r="J144" s="628"/>
      <c r="K144" s="628"/>
      <c r="L144" s="628"/>
      <c r="M144" s="628"/>
      <c r="N144" s="628"/>
      <c r="O144" s="629"/>
      <c r="P144" s="625" t="s">
        <v>40</v>
      </c>
      <c r="Q144" s="626"/>
      <c r="R144" s="626"/>
      <c r="S144" s="626"/>
      <c r="T144" s="626"/>
      <c r="U144" s="626"/>
      <c r="V144" s="627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38" t="s">
        <v>261</v>
      </c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8"/>
      <c r="P145" s="638"/>
      <c r="Q145" s="638"/>
      <c r="R145" s="638"/>
      <c r="S145" s="638"/>
      <c r="T145" s="638"/>
      <c r="U145" s="638"/>
      <c r="V145" s="638"/>
      <c r="W145" s="638"/>
      <c r="X145" s="638"/>
      <c r="Y145" s="638"/>
      <c r="Z145" s="638"/>
      <c r="AA145" s="62"/>
      <c r="AB145" s="62"/>
      <c r="AC145" s="62"/>
    </row>
    <row r="146" spans="1:68" ht="14.25" hidden="1" customHeight="1" x14ac:dyDescent="0.25">
      <c r="A146" s="639" t="s">
        <v>83</v>
      </c>
      <c r="B146" s="639"/>
      <c r="C146" s="639"/>
      <c r="D146" s="639"/>
      <c r="E146" s="639"/>
      <c r="F146" s="639"/>
      <c r="G146" s="639"/>
      <c r="H146" s="639"/>
      <c r="I146" s="639"/>
      <c r="J146" s="639"/>
      <c r="K146" s="639"/>
      <c r="L146" s="639"/>
      <c r="M146" s="639"/>
      <c r="N146" s="639"/>
      <c r="O146" s="639"/>
      <c r="P146" s="639"/>
      <c r="Q146" s="639"/>
      <c r="R146" s="639"/>
      <c r="S146" s="639"/>
      <c r="T146" s="639"/>
      <c r="U146" s="639"/>
      <c r="V146" s="639"/>
      <c r="W146" s="639"/>
      <c r="X146" s="639"/>
      <c r="Y146" s="639"/>
      <c r="Z146" s="639"/>
      <c r="AA146" s="63"/>
      <c r="AB146" s="63"/>
      <c r="AC146" s="63"/>
    </row>
    <row r="147" spans="1:68" ht="27" hidden="1" customHeight="1" x14ac:dyDescent="0.25">
      <c r="A147" s="60" t="s">
        <v>262</v>
      </c>
      <c r="B147" s="60" t="s">
        <v>263</v>
      </c>
      <c r="C147" s="34">
        <v>4301052254</v>
      </c>
      <c r="D147" s="634">
        <v>4680115888203</v>
      </c>
      <c r="E147" s="634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88</v>
      </c>
      <c r="L147" s="35" t="s">
        <v>46</v>
      </c>
      <c r="M147" s="36" t="s">
        <v>94</v>
      </c>
      <c r="N147" s="36"/>
      <c r="O147" s="35">
        <v>40</v>
      </c>
      <c r="P147" s="84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36"/>
      <c r="R147" s="636"/>
      <c r="S147" s="636"/>
      <c r="T147" s="63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1" t="s">
        <v>264</v>
      </c>
      <c r="AG147" s="75"/>
      <c r="AJ147" s="79" t="s">
        <v>46</v>
      </c>
      <c r="AK147" s="79">
        <v>0</v>
      </c>
      <c r="BB147" s="212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27" hidden="1" customHeight="1" x14ac:dyDescent="0.25">
      <c r="A148" s="60" t="s">
        <v>265</v>
      </c>
      <c r="B148" s="60" t="s">
        <v>266</v>
      </c>
      <c r="C148" s="34">
        <v>4301052252</v>
      </c>
      <c r="D148" s="634">
        <v>4680115888180</v>
      </c>
      <c r="E148" s="63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88</v>
      </c>
      <c r="L148" s="35" t="s">
        <v>46</v>
      </c>
      <c r="M148" s="36" t="s">
        <v>94</v>
      </c>
      <c r="N148" s="36"/>
      <c r="O148" s="35">
        <v>40</v>
      </c>
      <c r="P148" s="84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36"/>
      <c r="R148" s="636"/>
      <c r="S148" s="636"/>
      <c r="T148" s="63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3" t="s">
        <v>267</v>
      </c>
      <c r="AG148" s="75"/>
      <c r="AJ148" s="79" t="s">
        <v>46</v>
      </c>
      <c r="AK148" s="79">
        <v>0</v>
      </c>
      <c r="BB148" s="214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268</v>
      </c>
      <c r="B149" s="60" t="s">
        <v>269</v>
      </c>
      <c r="C149" s="34">
        <v>4301052253</v>
      </c>
      <c r="D149" s="634">
        <v>4680115888197</v>
      </c>
      <c r="E149" s="634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88</v>
      </c>
      <c r="L149" s="35" t="s">
        <v>46</v>
      </c>
      <c r="M149" s="36" t="s">
        <v>94</v>
      </c>
      <c r="N149" s="36"/>
      <c r="O149" s="35">
        <v>40</v>
      </c>
      <c r="P149" s="84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36"/>
      <c r="R149" s="636"/>
      <c r="S149" s="636"/>
      <c r="T149" s="63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4301052255</v>
      </c>
      <c r="D150" s="634">
        <v>4680115888210</v>
      </c>
      <c r="E150" s="63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88</v>
      </c>
      <c r="L150" s="35" t="s">
        <v>46</v>
      </c>
      <c r="M150" s="36" t="s">
        <v>94</v>
      </c>
      <c r="N150" s="36"/>
      <c r="O150" s="35">
        <v>40</v>
      </c>
      <c r="P150" s="84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36"/>
      <c r="R150" s="636"/>
      <c r="S150" s="636"/>
      <c r="T150" s="637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idden="1" x14ac:dyDescent="0.2">
      <c r="A151" s="628"/>
      <c r="B151" s="628"/>
      <c r="C151" s="628"/>
      <c r="D151" s="628"/>
      <c r="E151" s="628"/>
      <c r="F151" s="628"/>
      <c r="G151" s="628"/>
      <c r="H151" s="628"/>
      <c r="I151" s="628"/>
      <c r="J151" s="628"/>
      <c r="K151" s="628"/>
      <c r="L151" s="628"/>
      <c r="M151" s="628"/>
      <c r="N151" s="628"/>
      <c r="O151" s="629"/>
      <c r="P151" s="625" t="s">
        <v>40</v>
      </c>
      <c r="Q151" s="626"/>
      <c r="R151" s="626"/>
      <c r="S151" s="626"/>
      <c r="T151" s="626"/>
      <c r="U151" s="626"/>
      <c r="V151" s="627"/>
      <c r="W151" s="40" t="s">
        <v>39</v>
      </c>
      <c r="X151" s="41">
        <f>IFERROR(X147/H147,"0")+IFERROR(X148/H148,"0")+IFERROR(X149/H149,"0")+IFERROR(X150/H150,"0")</f>
        <v>0</v>
      </c>
      <c r="Y151" s="41">
        <f>IFERROR(Y147/H147,"0")+IFERROR(Y148/H148,"0")+IFERROR(Y149/H149,"0")+IFERROR(Y150/H150,"0")</f>
        <v>0</v>
      </c>
      <c r="Z151" s="41">
        <f>IFERROR(IF(Z147="",0,Z147),"0")+IFERROR(IF(Z148="",0,Z148),"0")+IFERROR(IF(Z149="",0,Z149),"0")+IFERROR(IF(Z150="",0,Z150),"0")</f>
        <v>0</v>
      </c>
      <c r="AA151" s="64"/>
      <c r="AB151" s="64"/>
      <c r="AC151" s="64"/>
    </row>
    <row r="152" spans="1:68" hidden="1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0" t="s">
        <v>0</v>
      </c>
      <c r="X152" s="41">
        <f>IFERROR(SUM(X147:X150),"0")</f>
        <v>0</v>
      </c>
      <c r="Y152" s="41">
        <f>IFERROR(SUM(Y147:Y150),"0")</f>
        <v>0</v>
      </c>
      <c r="Z152" s="40"/>
      <c r="AA152" s="64"/>
      <c r="AB152" s="64"/>
      <c r="AC152" s="64"/>
    </row>
    <row r="153" spans="1:68" ht="14.25" hidden="1" customHeight="1" x14ac:dyDescent="0.25">
      <c r="A153" s="639" t="s">
        <v>274</v>
      </c>
      <c r="B153" s="639"/>
      <c r="C153" s="639"/>
      <c r="D153" s="639"/>
      <c r="E153" s="639"/>
      <c r="F153" s="639"/>
      <c r="G153" s="639"/>
      <c r="H153" s="639"/>
      <c r="I153" s="639"/>
      <c r="J153" s="639"/>
      <c r="K153" s="639"/>
      <c r="L153" s="639"/>
      <c r="M153" s="639"/>
      <c r="N153" s="639"/>
      <c r="O153" s="639"/>
      <c r="P153" s="639"/>
      <c r="Q153" s="639"/>
      <c r="R153" s="639"/>
      <c r="S153" s="639"/>
      <c r="T153" s="639"/>
      <c r="U153" s="639"/>
      <c r="V153" s="639"/>
      <c r="W153" s="639"/>
      <c r="X153" s="639"/>
      <c r="Y153" s="639"/>
      <c r="Z153" s="639"/>
      <c r="AA153" s="63"/>
      <c r="AB153" s="63"/>
      <c r="AC153" s="63"/>
    </row>
    <row r="154" spans="1:68" ht="27" hidden="1" customHeight="1" x14ac:dyDescent="0.25">
      <c r="A154" s="60" t="s">
        <v>275</v>
      </c>
      <c r="B154" s="60" t="s">
        <v>276</v>
      </c>
      <c r="C154" s="34">
        <v>4301032067</v>
      </c>
      <c r="D154" s="634">
        <v>4680115889132</v>
      </c>
      <c r="E154" s="634"/>
      <c r="F154" s="59">
        <v>0.04</v>
      </c>
      <c r="G154" s="35">
        <v>8</v>
      </c>
      <c r="H154" s="59">
        <v>0.32</v>
      </c>
      <c r="I154" s="59">
        <v>0.5</v>
      </c>
      <c r="J154" s="35">
        <v>330</v>
      </c>
      <c r="K154" s="35" t="s">
        <v>280</v>
      </c>
      <c r="L154" s="35" t="s">
        <v>46</v>
      </c>
      <c r="M154" s="36" t="s">
        <v>279</v>
      </c>
      <c r="N154" s="36"/>
      <c r="O154" s="35">
        <v>120</v>
      </c>
      <c r="P154" s="83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36"/>
      <c r="R154" s="636"/>
      <c r="S154" s="636"/>
      <c r="T154" s="63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IFERROR(IF(Y154=0,"",ROUNDUP(Y154/H154,0)*0.00337),"")</f>
        <v/>
      </c>
      <c r="AA154" s="65" t="s">
        <v>46</v>
      </c>
      <c r="AB154" s="66" t="s">
        <v>46</v>
      </c>
      <c r="AC154" s="219" t="s">
        <v>277</v>
      </c>
      <c r="AG154" s="75"/>
      <c r="AJ154" s="79" t="s">
        <v>46</v>
      </c>
      <c r="AK154" s="79">
        <v>0</v>
      </c>
      <c r="BB154" s="220" t="s">
        <v>278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39</v>
      </c>
      <c r="X155" s="41">
        <f>IFERROR(X154/H154,"0")</f>
        <v>0</v>
      </c>
      <c r="Y155" s="41">
        <f>IFERROR(Y154/H154,"0")</f>
        <v>0</v>
      </c>
      <c r="Z155" s="41">
        <f>IFERROR(IF(Z154="",0,Z154),"0")</f>
        <v>0</v>
      </c>
      <c r="AA155" s="64"/>
      <c r="AB155" s="64"/>
      <c r="AC155" s="64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0" t="s">
        <v>0</v>
      </c>
      <c r="X156" s="41">
        <f>IFERROR(SUM(X154:X154),"0")</f>
        <v>0</v>
      </c>
      <c r="Y156" s="41">
        <f>IFERROR(SUM(Y154:Y154),"0")</f>
        <v>0</v>
      </c>
      <c r="Z156" s="40"/>
      <c r="AA156" s="64"/>
      <c r="AB156" s="64"/>
      <c r="AC156" s="64"/>
    </row>
    <row r="157" spans="1:68" ht="16.5" hidden="1" customHeight="1" x14ac:dyDescent="0.25">
      <c r="A157" s="638" t="s">
        <v>117</v>
      </c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8"/>
      <c r="P157" s="638"/>
      <c r="Q157" s="638"/>
      <c r="R157" s="638"/>
      <c r="S157" s="638"/>
      <c r="T157" s="638"/>
      <c r="U157" s="638"/>
      <c r="V157" s="638"/>
      <c r="W157" s="638"/>
      <c r="X157" s="638"/>
      <c r="Y157" s="638"/>
      <c r="Z157" s="638"/>
      <c r="AA157" s="62"/>
      <c r="AB157" s="62"/>
      <c r="AC157" s="62"/>
    </row>
    <row r="158" spans="1:68" ht="14.25" hidden="1" customHeight="1" x14ac:dyDescent="0.25">
      <c r="A158" s="639" t="s">
        <v>119</v>
      </c>
      <c r="B158" s="639"/>
      <c r="C158" s="639"/>
      <c r="D158" s="639"/>
      <c r="E158" s="639"/>
      <c r="F158" s="639"/>
      <c r="G158" s="639"/>
      <c r="H158" s="639"/>
      <c r="I158" s="639"/>
      <c r="J158" s="639"/>
      <c r="K158" s="639"/>
      <c r="L158" s="639"/>
      <c r="M158" s="639"/>
      <c r="N158" s="639"/>
      <c r="O158" s="639"/>
      <c r="P158" s="639"/>
      <c r="Q158" s="639"/>
      <c r="R158" s="639"/>
      <c r="S158" s="639"/>
      <c r="T158" s="639"/>
      <c r="U158" s="639"/>
      <c r="V158" s="639"/>
      <c r="W158" s="639"/>
      <c r="X158" s="639"/>
      <c r="Y158" s="639"/>
      <c r="Z158" s="639"/>
      <c r="AA158" s="63"/>
      <c r="AB158" s="63"/>
      <c r="AC158" s="63"/>
    </row>
    <row r="159" spans="1:68" ht="27" hidden="1" customHeight="1" x14ac:dyDescent="0.25">
      <c r="A159" s="60" t="s">
        <v>281</v>
      </c>
      <c r="B159" s="60" t="s">
        <v>282</v>
      </c>
      <c r="C159" s="34">
        <v>4301012338</v>
      </c>
      <c r="D159" s="634">
        <v>4680115887374</v>
      </c>
      <c r="E159" s="634"/>
      <c r="F159" s="59">
        <v>1</v>
      </c>
      <c r="G159" s="35">
        <v>6</v>
      </c>
      <c r="H159" s="59">
        <v>6</v>
      </c>
      <c r="I159" s="59">
        <v>6.35</v>
      </c>
      <c r="J159" s="35">
        <v>104</v>
      </c>
      <c r="K159" s="35" t="s">
        <v>124</v>
      </c>
      <c r="L159" s="35" t="s">
        <v>46</v>
      </c>
      <c r="M159" s="36" t="s">
        <v>123</v>
      </c>
      <c r="N159" s="36"/>
      <c r="O159" s="35">
        <v>55</v>
      </c>
      <c r="P159" s="84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36"/>
      <c r="R159" s="636"/>
      <c r="S159" s="636"/>
      <c r="T159" s="637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IFERROR(IF(Y159=0,"",ROUNDUP(Y159/H159,0)*0.01196),"")</f>
        <v/>
      </c>
      <c r="AA159" s="65" t="s">
        <v>46</v>
      </c>
      <c r="AB159" s="66" t="s">
        <v>46</v>
      </c>
      <c r="AC159" s="221" t="s">
        <v>283</v>
      </c>
      <c r="AG159" s="75"/>
      <c r="AJ159" s="79" t="s">
        <v>46</v>
      </c>
      <c r="AK159" s="79">
        <v>0</v>
      </c>
      <c r="BB159" s="222" t="s">
        <v>67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hidden="1" customHeight="1" x14ac:dyDescent="0.25">
      <c r="A160" s="60" t="s">
        <v>284</v>
      </c>
      <c r="B160" s="60" t="s">
        <v>285</v>
      </c>
      <c r="C160" s="34">
        <v>4301011705</v>
      </c>
      <c r="D160" s="634">
        <v>4607091384604</v>
      </c>
      <c r="E160" s="634"/>
      <c r="F160" s="59">
        <v>0.4</v>
      </c>
      <c r="G160" s="35">
        <v>10</v>
      </c>
      <c r="H160" s="59">
        <v>4</v>
      </c>
      <c r="I160" s="59">
        <v>4.1900000000000004</v>
      </c>
      <c r="J160" s="35">
        <v>132</v>
      </c>
      <c r="K160" s="35" t="s">
        <v>131</v>
      </c>
      <c r="L160" s="35" t="s">
        <v>46</v>
      </c>
      <c r="M160" s="36" t="s">
        <v>123</v>
      </c>
      <c r="N160" s="36"/>
      <c r="O160" s="35">
        <v>50</v>
      </c>
      <c r="P160" s="8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36"/>
      <c r="R160" s="636"/>
      <c r="S160" s="636"/>
      <c r="T160" s="63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IFERROR(IF(Y160=0,"",ROUNDUP(Y160/H160,0)*0.00902),"")</f>
        <v/>
      </c>
      <c r="AA160" s="65" t="s">
        <v>46</v>
      </c>
      <c r="AB160" s="66" t="s">
        <v>46</v>
      </c>
      <c r="AC160" s="223" t="s">
        <v>286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284</v>
      </c>
      <c r="B161" s="60" t="s">
        <v>287</v>
      </c>
      <c r="C161" s="34">
        <v>4301012258</v>
      </c>
      <c r="D161" s="634">
        <v>4607091384604</v>
      </c>
      <c r="E161" s="63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131</v>
      </c>
      <c r="L161" s="35" t="s">
        <v>46</v>
      </c>
      <c r="M161" s="36" t="s">
        <v>123</v>
      </c>
      <c r="N161" s="36"/>
      <c r="O161" s="35">
        <v>50</v>
      </c>
      <c r="P161" s="83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36"/>
      <c r="R161" s="636"/>
      <c r="S161" s="636"/>
      <c r="T161" s="63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286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16.5" hidden="1" customHeight="1" x14ac:dyDescent="0.25">
      <c r="A162" s="60" t="s">
        <v>288</v>
      </c>
      <c r="B162" s="60" t="s">
        <v>289</v>
      </c>
      <c r="C162" s="34">
        <v>4301012344</v>
      </c>
      <c r="D162" s="634">
        <v>4680115888876</v>
      </c>
      <c r="E162" s="634"/>
      <c r="F162" s="59">
        <v>0.43</v>
      </c>
      <c r="G162" s="35">
        <v>6</v>
      </c>
      <c r="H162" s="59">
        <v>2.58</v>
      </c>
      <c r="I162" s="59">
        <v>2.76</v>
      </c>
      <c r="J162" s="35">
        <v>182</v>
      </c>
      <c r="K162" s="35" t="s">
        <v>88</v>
      </c>
      <c r="L162" s="35" t="s">
        <v>46</v>
      </c>
      <c r="M162" s="36" t="s">
        <v>87</v>
      </c>
      <c r="N162" s="36"/>
      <c r="O162" s="35">
        <v>55</v>
      </c>
      <c r="P162" s="8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36"/>
      <c r="R162" s="636"/>
      <c r="S162" s="636"/>
      <c r="T162" s="63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IFERROR(IF(Y162=0,"",ROUNDUP(Y162/H162,0)*0.00651),"")</f>
        <v/>
      </c>
      <c r="AA162" s="65" t="s">
        <v>46</v>
      </c>
      <c r="AB162" s="66" t="s">
        <v>46</v>
      </c>
      <c r="AC162" s="227" t="s">
        <v>290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28"/>
      <c r="B163" s="628"/>
      <c r="C163" s="628"/>
      <c r="D163" s="628"/>
      <c r="E163" s="628"/>
      <c r="F163" s="628"/>
      <c r="G163" s="628"/>
      <c r="H163" s="628"/>
      <c r="I163" s="628"/>
      <c r="J163" s="628"/>
      <c r="K163" s="628"/>
      <c r="L163" s="628"/>
      <c r="M163" s="628"/>
      <c r="N163" s="628"/>
      <c r="O163" s="629"/>
      <c r="P163" s="625" t="s">
        <v>40</v>
      </c>
      <c r="Q163" s="626"/>
      <c r="R163" s="626"/>
      <c r="S163" s="626"/>
      <c r="T163" s="626"/>
      <c r="U163" s="626"/>
      <c r="V163" s="627"/>
      <c r="W163" s="40" t="s">
        <v>39</v>
      </c>
      <c r="X163" s="41">
        <f>IFERROR(X159/H159,"0")+IFERROR(X160/H160,"0")+IFERROR(X161/H161,"0")+IFERROR(X162/H162,"0")</f>
        <v>0</v>
      </c>
      <c r="Y163" s="41">
        <f>IFERROR(Y159/H159,"0")+IFERROR(Y160/H160,"0")+IFERROR(Y161/H161,"0")+IFERROR(Y162/H162,"0")</f>
        <v>0</v>
      </c>
      <c r="Z163" s="41">
        <f>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0</v>
      </c>
      <c r="X164" s="41">
        <f>IFERROR(SUM(X159:X162),"0")</f>
        <v>0</v>
      </c>
      <c r="Y164" s="41">
        <f>IFERROR(SUM(Y159:Y162),"0")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39" t="s">
        <v>154</v>
      </c>
      <c r="B165" s="639"/>
      <c r="C165" s="639"/>
      <c r="D165" s="639"/>
      <c r="E165" s="639"/>
      <c r="F165" s="639"/>
      <c r="G165" s="639"/>
      <c r="H165" s="639"/>
      <c r="I165" s="639"/>
      <c r="J165" s="639"/>
      <c r="K165" s="639"/>
      <c r="L165" s="639"/>
      <c r="M165" s="639"/>
      <c r="N165" s="639"/>
      <c r="O165" s="639"/>
      <c r="P165" s="639"/>
      <c r="Q165" s="639"/>
      <c r="R165" s="639"/>
      <c r="S165" s="639"/>
      <c r="T165" s="639"/>
      <c r="U165" s="639"/>
      <c r="V165" s="639"/>
      <c r="W165" s="639"/>
      <c r="X165" s="639"/>
      <c r="Y165" s="639"/>
      <c r="Z165" s="639"/>
      <c r="AA165" s="63"/>
      <c r="AB165" s="63"/>
      <c r="AC165" s="63"/>
    </row>
    <row r="166" spans="1:68" ht="16.5" hidden="1" customHeight="1" x14ac:dyDescent="0.25">
      <c r="A166" s="60" t="s">
        <v>291</v>
      </c>
      <c r="B166" s="60" t="s">
        <v>292</v>
      </c>
      <c r="C166" s="34">
        <v>4301020410</v>
      </c>
      <c r="D166" s="634">
        <v>4680115887695</v>
      </c>
      <c r="E166" s="634"/>
      <c r="F166" s="59">
        <v>0.12</v>
      </c>
      <c r="G166" s="35">
        <v>6</v>
      </c>
      <c r="H166" s="59">
        <v>0.72</v>
      </c>
      <c r="I166" s="59">
        <v>0.85</v>
      </c>
      <c r="J166" s="35">
        <v>252</v>
      </c>
      <c r="K166" s="35" t="s">
        <v>82</v>
      </c>
      <c r="L166" s="35" t="s">
        <v>46</v>
      </c>
      <c r="M166" s="36" t="s">
        <v>81</v>
      </c>
      <c r="N166" s="36"/>
      <c r="O166" s="35">
        <v>30</v>
      </c>
      <c r="P166" s="83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36"/>
      <c r="R166" s="636"/>
      <c r="S166" s="636"/>
      <c r="T166" s="63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IFERROR(IF(Y166=0,"",ROUNDUP(Y166/H166,0)*0.00556),"")</f>
        <v/>
      </c>
      <c r="AA166" s="65" t="s">
        <v>46</v>
      </c>
      <c r="AB166" s="66" t="s">
        <v>46</v>
      </c>
      <c r="AC166" s="229" t="s">
        <v>293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16.5" hidden="1" customHeight="1" x14ac:dyDescent="0.25">
      <c r="A167" s="60" t="s">
        <v>294</v>
      </c>
      <c r="B167" s="60" t="s">
        <v>295</v>
      </c>
      <c r="C167" s="34">
        <v>4301020439</v>
      </c>
      <c r="D167" s="634">
        <v>4680115889491</v>
      </c>
      <c r="E167" s="634"/>
      <c r="F167" s="59">
        <v>0.3</v>
      </c>
      <c r="G167" s="35">
        <v>8</v>
      </c>
      <c r="H167" s="59">
        <v>2.4</v>
      </c>
      <c r="I167" s="59">
        <v>2.5</v>
      </c>
      <c r="J167" s="35">
        <v>234</v>
      </c>
      <c r="K167" s="35" t="s">
        <v>82</v>
      </c>
      <c r="L167" s="35" t="s">
        <v>46</v>
      </c>
      <c r="M167" s="36" t="s">
        <v>123</v>
      </c>
      <c r="N167" s="36"/>
      <c r="O167" s="35">
        <v>55</v>
      </c>
      <c r="P167" s="83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36"/>
      <c r="R167" s="636"/>
      <c r="S167" s="636"/>
      <c r="T167" s="63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IFERROR(IF(Y167=0,"",ROUNDUP(Y167/H167,0)*0.00502),"")</f>
        <v/>
      </c>
      <c r="AA167" s="65" t="s">
        <v>46</v>
      </c>
      <c r="AB167" s="66" t="s">
        <v>46</v>
      </c>
      <c r="AC167" s="231" t="s">
        <v>296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idden="1" x14ac:dyDescent="0.2">
      <c r="A168" s="628"/>
      <c r="B168" s="628"/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9"/>
      <c r="P168" s="625" t="s">
        <v>40</v>
      </c>
      <c r="Q168" s="626"/>
      <c r="R168" s="626"/>
      <c r="S168" s="626"/>
      <c r="T168" s="626"/>
      <c r="U168" s="626"/>
      <c r="V168" s="627"/>
      <c r="W168" s="40" t="s">
        <v>39</v>
      </c>
      <c r="X168" s="41">
        <f>IFERROR(X166/H166,"0")+IFERROR(X167/H167,"0")</f>
        <v>0</v>
      </c>
      <c r="Y168" s="41">
        <f>IFERROR(Y166/H166,"0")+IFERROR(Y167/H167,"0")</f>
        <v>0</v>
      </c>
      <c r="Z168" s="41">
        <f>IFERROR(IF(Z166="",0,Z166),"0")+IFERROR(IF(Z167="",0,Z167),"0")</f>
        <v>0</v>
      </c>
      <c r="AA168" s="64"/>
      <c r="AB168" s="64"/>
      <c r="AC168" s="64"/>
    </row>
    <row r="169" spans="1:68" hidden="1" x14ac:dyDescent="0.2">
      <c r="A169" s="628"/>
      <c r="B169" s="628"/>
      <c r="C169" s="628"/>
      <c r="D169" s="628"/>
      <c r="E169" s="628"/>
      <c r="F169" s="628"/>
      <c r="G169" s="628"/>
      <c r="H169" s="628"/>
      <c r="I169" s="628"/>
      <c r="J169" s="628"/>
      <c r="K169" s="628"/>
      <c r="L169" s="628"/>
      <c r="M169" s="628"/>
      <c r="N169" s="628"/>
      <c r="O169" s="629"/>
      <c r="P169" s="625" t="s">
        <v>40</v>
      </c>
      <c r="Q169" s="626"/>
      <c r="R169" s="626"/>
      <c r="S169" s="626"/>
      <c r="T169" s="626"/>
      <c r="U169" s="626"/>
      <c r="V169" s="627"/>
      <c r="W169" s="40" t="s">
        <v>0</v>
      </c>
      <c r="X169" s="41">
        <f>IFERROR(SUM(X166:X167),"0")</f>
        <v>0</v>
      </c>
      <c r="Y169" s="41">
        <f>IFERROR(SUM(Y166:Y167),"0")</f>
        <v>0</v>
      </c>
      <c r="Z169" s="40"/>
      <c r="AA169" s="64"/>
      <c r="AB169" s="64"/>
      <c r="AC169" s="64"/>
    </row>
    <row r="170" spans="1:68" ht="14.25" hidden="1" customHeight="1" x14ac:dyDescent="0.25">
      <c r="A170" s="639" t="s">
        <v>77</v>
      </c>
      <c r="B170" s="639"/>
      <c r="C170" s="639"/>
      <c r="D170" s="639"/>
      <c r="E170" s="639"/>
      <c r="F170" s="639"/>
      <c r="G170" s="639"/>
      <c r="H170" s="639"/>
      <c r="I170" s="639"/>
      <c r="J170" s="639"/>
      <c r="K170" s="639"/>
      <c r="L170" s="639"/>
      <c r="M170" s="639"/>
      <c r="N170" s="639"/>
      <c r="O170" s="639"/>
      <c r="P170" s="639"/>
      <c r="Q170" s="639"/>
      <c r="R170" s="639"/>
      <c r="S170" s="639"/>
      <c r="T170" s="639"/>
      <c r="U170" s="639"/>
      <c r="V170" s="639"/>
      <c r="W170" s="639"/>
      <c r="X170" s="639"/>
      <c r="Y170" s="639"/>
      <c r="Z170" s="639"/>
      <c r="AA170" s="63"/>
      <c r="AB170" s="63"/>
      <c r="AC170" s="63"/>
    </row>
    <row r="171" spans="1:68" ht="27" customHeight="1" x14ac:dyDescent="0.25">
      <c r="A171" s="60" t="s">
        <v>297</v>
      </c>
      <c r="B171" s="60" t="s">
        <v>298</v>
      </c>
      <c r="C171" s="34">
        <v>4301031496</v>
      </c>
      <c r="D171" s="634">
        <v>4680115887428</v>
      </c>
      <c r="E171" s="63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131</v>
      </c>
      <c r="L171" s="35" t="s">
        <v>46</v>
      </c>
      <c r="M171" s="36" t="s">
        <v>81</v>
      </c>
      <c r="N171" s="36"/>
      <c r="O171" s="35">
        <v>40</v>
      </c>
      <c r="P171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36"/>
      <c r="R171" s="636"/>
      <c r="S171" s="636"/>
      <c r="T171" s="637"/>
      <c r="U171" s="37" t="s">
        <v>46</v>
      </c>
      <c r="V171" s="37" t="s">
        <v>46</v>
      </c>
      <c r="W171" s="38" t="s">
        <v>0</v>
      </c>
      <c r="X171" s="56">
        <v>50</v>
      </c>
      <c r="Y171" s="53">
        <f t="shared" ref="Y171:Y180" si="15">IFERROR(IF(X171="",0,CEILING((X171/$H171),1)*$H171),"")</f>
        <v>52.5</v>
      </c>
      <c r="Z171" s="39">
        <f>IFERROR(IF(Y171=0,"",ROUNDUP(Y171/H171,0)*0.00902),"")</f>
        <v>0.1353</v>
      </c>
      <c r="AA171" s="65" t="s">
        <v>46</v>
      </c>
      <c r="AB171" s="66" t="s">
        <v>46</v>
      </c>
      <c r="AC171" s="233" t="s">
        <v>299</v>
      </c>
      <c r="AG171" s="75"/>
      <c r="AJ171" s="79" t="s">
        <v>46</v>
      </c>
      <c r="AK171" s="79">
        <v>0</v>
      </c>
      <c r="BB171" s="234" t="s">
        <v>67</v>
      </c>
      <c r="BM171" s="75">
        <f t="shared" ref="BM171:BM180" si="16">IFERROR(X171*I171/H171,"0")</f>
        <v>52.714285714285715</v>
      </c>
      <c r="BN171" s="75">
        <f t="shared" ref="BN171:BN180" si="17">IFERROR(Y171*I171/H171,"0")</f>
        <v>55.35</v>
      </c>
      <c r="BO171" s="75">
        <f t="shared" ref="BO171:BO180" si="18">IFERROR(1/J171*(X171/H171),"0")</f>
        <v>0.10822510822510824</v>
      </c>
      <c r="BP171" s="75">
        <f t="shared" ref="BP171:BP180" si="19">IFERROR(1/J171*(Y171/H171),"0")</f>
        <v>0.11363636363636365</v>
      </c>
    </row>
    <row r="172" spans="1:68" ht="27" hidden="1" customHeight="1" x14ac:dyDescent="0.25">
      <c r="A172" s="60" t="s">
        <v>300</v>
      </c>
      <c r="B172" s="60" t="s">
        <v>301</v>
      </c>
      <c r="C172" s="34">
        <v>4301031509</v>
      </c>
      <c r="D172" s="634">
        <v>4680115889170</v>
      </c>
      <c r="E172" s="634"/>
      <c r="F172" s="59">
        <v>0.7</v>
      </c>
      <c r="G172" s="35">
        <v>5</v>
      </c>
      <c r="H172" s="59">
        <v>3.5</v>
      </c>
      <c r="I172" s="59">
        <v>3.7650000000000001</v>
      </c>
      <c r="J172" s="35">
        <v>132</v>
      </c>
      <c r="K172" s="35" t="s">
        <v>131</v>
      </c>
      <c r="L172" s="35" t="s">
        <v>46</v>
      </c>
      <c r="M172" s="36" t="s">
        <v>81</v>
      </c>
      <c r="N172" s="36"/>
      <c r="O172" s="35">
        <v>45</v>
      </c>
      <c r="P172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36"/>
      <c r="R172" s="636"/>
      <c r="S172" s="636"/>
      <c r="T172" s="637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5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302</v>
      </c>
      <c r="AG172" s="75"/>
      <c r="AJ172" s="79" t="s">
        <v>46</v>
      </c>
      <c r="AK172" s="79">
        <v>0</v>
      </c>
      <c r="BB172" s="236" t="s">
        <v>67</v>
      </c>
      <c r="BM172" s="75">
        <f t="shared" si="16"/>
        <v>0</v>
      </c>
      <c r="BN172" s="75">
        <f t="shared" si="17"/>
        <v>0</v>
      </c>
      <c r="BO172" s="75">
        <f t="shared" si="18"/>
        <v>0</v>
      </c>
      <c r="BP172" s="75">
        <f t="shared" si="19"/>
        <v>0</v>
      </c>
    </row>
    <row r="173" spans="1:68" ht="27" hidden="1" customHeight="1" x14ac:dyDescent="0.25">
      <c r="A173" s="60" t="s">
        <v>303</v>
      </c>
      <c r="B173" s="60" t="s">
        <v>304</v>
      </c>
      <c r="C173" s="34">
        <v>4301031522</v>
      </c>
      <c r="D173" s="634">
        <v>4680115887398</v>
      </c>
      <c r="E173" s="63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131</v>
      </c>
      <c r="L173" s="35" t="s">
        <v>46</v>
      </c>
      <c r="M173" s="36" t="s">
        <v>81</v>
      </c>
      <c r="N173" s="36"/>
      <c r="O173" s="35">
        <v>45</v>
      </c>
      <c r="P173" s="83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36"/>
      <c r="R173" s="636"/>
      <c r="S173" s="636"/>
      <c r="T173" s="63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5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305</v>
      </c>
      <c r="AG173" s="75"/>
      <c r="AJ173" s="79" t="s">
        <v>46</v>
      </c>
      <c r="AK173" s="79">
        <v>0</v>
      </c>
      <c r="BB173" s="238" t="s">
        <v>67</v>
      </c>
      <c r="BM173" s="75">
        <f t="shared" si="16"/>
        <v>0</v>
      </c>
      <c r="BN173" s="75">
        <f t="shared" si="17"/>
        <v>0</v>
      </c>
      <c r="BO173" s="75">
        <f t="shared" si="18"/>
        <v>0</v>
      </c>
      <c r="BP173" s="75">
        <f t="shared" si="19"/>
        <v>0</v>
      </c>
    </row>
    <row r="174" spans="1:68" ht="27" hidden="1" customHeight="1" x14ac:dyDescent="0.25">
      <c r="A174" s="60" t="s">
        <v>306</v>
      </c>
      <c r="B174" s="60" t="s">
        <v>307</v>
      </c>
      <c r="C174" s="34">
        <v>4301031520</v>
      </c>
      <c r="D174" s="634">
        <v>4680115887336</v>
      </c>
      <c r="E174" s="634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131</v>
      </c>
      <c r="L174" s="35" t="s">
        <v>46</v>
      </c>
      <c r="M174" s="36" t="s">
        <v>81</v>
      </c>
      <c r="N174" s="36"/>
      <c r="O174" s="35">
        <v>45</v>
      </c>
      <c r="P174" s="832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36"/>
      <c r="R174" s="636"/>
      <c r="S174" s="636"/>
      <c r="T174" s="63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5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308</v>
      </c>
      <c r="AG174" s="75"/>
      <c r="AJ174" s="79" t="s">
        <v>46</v>
      </c>
      <c r="AK174" s="79">
        <v>0</v>
      </c>
      <c r="BB174" s="240" t="s">
        <v>67</v>
      </c>
      <c r="BM174" s="75">
        <f t="shared" si="16"/>
        <v>0</v>
      </c>
      <c r="BN174" s="75">
        <f t="shared" si="17"/>
        <v>0</v>
      </c>
      <c r="BO174" s="75">
        <f t="shared" si="18"/>
        <v>0</v>
      </c>
      <c r="BP174" s="75">
        <f t="shared" si="19"/>
        <v>0</v>
      </c>
    </row>
    <row r="175" spans="1:68" ht="16.5" hidden="1" customHeight="1" x14ac:dyDescent="0.25">
      <c r="A175" s="60" t="s">
        <v>309</v>
      </c>
      <c r="B175" s="60" t="s">
        <v>310</v>
      </c>
      <c r="C175" s="34">
        <v>4301031528</v>
      </c>
      <c r="D175" s="634">
        <v>4680115887787</v>
      </c>
      <c r="E175" s="63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192</v>
      </c>
      <c r="K175" s="35" t="s">
        <v>128</v>
      </c>
      <c r="L175" s="35" t="s">
        <v>46</v>
      </c>
      <c r="M175" s="36" t="s">
        <v>81</v>
      </c>
      <c r="N175" s="36"/>
      <c r="O175" s="35">
        <v>45</v>
      </c>
      <c r="P175" s="83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36"/>
      <c r="R175" s="636"/>
      <c r="S175" s="636"/>
      <c r="T175" s="63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5"/>
        <v>0</v>
      </c>
      <c r="Z175" s="39" t="str">
        <f>IFERROR(IF(Y175=0,"",ROUNDUP(Y175/H175,0)*0.00726),"")</f>
        <v/>
      </c>
      <c r="AA175" s="65" t="s">
        <v>46</v>
      </c>
      <c r="AB175" s="66" t="s">
        <v>46</v>
      </c>
      <c r="AC175" s="241" t="s">
        <v>311</v>
      </c>
      <c r="AG175" s="75"/>
      <c r="AJ175" s="79" t="s">
        <v>46</v>
      </c>
      <c r="AK175" s="79">
        <v>0</v>
      </c>
      <c r="BB175" s="242" t="s">
        <v>67</v>
      </c>
      <c r="BM175" s="75">
        <f t="shared" si="16"/>
        <v>0</v>
      </c>
      <c r="BN175" s="75">
        <f t="shared" si="17"/>
        <v>0</v>
      </c>
      <c r="BO175" s="75">
        <f t="shared" si="18"/>
        <v>0</v>
      </c>
      <c r="BP175" s="75">
        <f t="shared" si="19"/>
        <v>0</v>
      </c>
    </row>
    <row r="176" spans="1:68" ht="27" hidden="1" customHeight="1" x14ac:dyDescent="0.25">
      <c r="A176" s="60" t="s">
        <v>312</v>
      </c>
      <c r="B176" s="60" t="s">
        <v>313</v>
      </c>
      <c r="C176" s="34">
        <v>4301031448</v>
      </c>
      <c r="D176" s="634">
        <v>4680115887503</v>
      </c>
      <c r="E176" s="63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82</v>
      </c>
      <c r="L176" s="35" t="s">
        <v>46</v>
      </c>
      <c r="M176" s="36" t="s">
        <v>81</v>
      </c>
      <c r="N176" s="36"/>
      <c r="O176" s="35">
        <v>40</v>
      </c>
      <c r="P176" s="82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36"/>
      <c r="R176" s="636"/>
      <c r="S176" s="636"/>
      <c r="T176" s="63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5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299</v>
      </c>
      <c r="AG176" s="75"/>
      <c r="AJ176" s="79" t="s">
        <v>46</v>
      </c>
      <c r="AK176" s="79">
        <v>0</v>
      </c>
      <c r="BB176" s="244" t="s">
        <v>67</v>
      </c>
      <c r="BM176" s="75">
        <f t="shared" si="16"/>
        <v>0</v>
      </c>
      <c r="BN176" s="75">
        <f t="shared" si="17"/>
        <v>0</v>
      </c>
      <c r="BO176" s="75">
        <f t="shared" si="18"/>
        <v>0</v>
      </c>
      <c r="BP176" s="75">
        <f t="shared" si="19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4301031389</v>
      </c>
      <c r="D177" s="634">
        <v>4680115887763</v>
      </c>
      <c r="E177" s="634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128</v>
      </c>
      <c r="L177" s="35" t="s">
        <v>46</v>
      </c>
      <c r="M177" s="36" t="s">
        <v>81</v>
      </c>
      <c r="N177" s="36"/>
      <c r="O177" s="35">
        <v>45</v>
      </c>
      <c r="P177" s="825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36"/>
      <c r="R177" s="636"/>
      <c r="S177" s="636"/>
      <c r="T177" s="63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5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316</v>
      </c>
      <c r="AG177" s="75"/>
      <c r="AJ177" s="79" t="s">
        <v>46</v>
      </c>
      <c r="AK177" s="79">
        <v>0</v>
      </c>
      <c r="BB177" s="246" t="s">
        <v>67</v>
      </c>
      <c r="BM177" s="75">
        <f t="shared" si="16"/>
        <v>0</v>
      </c>
      <c r="BN177" s="75">
        <f t="shared" si="17"/>
        <v>0</v>
      </c>
      <c r="BO177" s="75">
        <f t="shared" si="18"/>
        <v>0</v>
      </c>
      <c r="BP177" s="75">
        <f t="shared" si="19"/>
        <v>0</v>
      </c>
    </row>
    <row r="178" spans="1:68" ht="27" hidden="1" customHeight="1" x14ac:dyDescent="0.25">
      <c r="A178" s="60" t="s">
        <v>317</v>
      </c>
      <c r="B178" s="60" t="s">
        <v>318</v>
      </c>
      <c r="C178" s="34">
        <v>4301031521</v>
      </c>
      <c r="D178" s="634">
        <v>4680115887480</v>
      </c>
      <c r="E178" s="63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82</v>
      </c>
      <c r="L178" s="35" t="s">
        <v>46</v>
      </c>
      <c r="M178" s="36" t="s">
        <v>81</v>
      </c>
      <c r="N178" s="36"/>
      <c r="O178" s="35">
        <v>45</v>
      </c>
      <c r="P178" s="82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36"/>
      <c r="R178" s="636"/>
      <c r="S178" s="636"/>
      <c r="T178" s="63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5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305</v>
      </c>
      <c r="AG178" s="75"/>
      <c r="AJ178" s="79" t="s">
        <v>46</v>
      </c>
      <c r="AK178" s="79">
        <v>0</v>
      </c>
      <c r="BB178" s="248" t="s">
        <v>67</v>
      </c>
      <c r="BM178" s="75">
        <f t="shared" si="16"/>
        <v>0</v>
      </c>
      <c r="BN178" s="75">
        <f t="shared" si="17"/>
        <v>0</v>
      </c>
      <c r="BO178" s="75">
        <f t="shared" si="18"/>
        <v>0</v>
      </c>
      <c r="BP178" s="75">
        <f t="shared" si="19"/>
        <v>0</v>
      </c>
    </row>
    <row r="179" spans="1:68" ht="27" hidden="1" customHeight="1" x14ac:dyDescent="0.25">
      <c r="A179" s="60" t="s">
        <v>319</v>
      </c>
      <c r="B179" s="60" t="s">
        <v>320</v>
      </c>
      <c r="C179" s="34">
        <v>4301031434</v>
      </c>
      <c r="D179" s="634">
        <v>4680115888067</v>
      </c>
      <c r="E179" s="634"/>
      <c r="F179" s="59">
        <v>0.09</v>
      </c>
      <c r="G179" s="35">
        <v>10</v>
      </c>
      <c r="H179" s="59">
        <v>0.9</v>
      </c>
      <c r="I179" s="59">
        <v>1</v>
      </c>
      <c r="J179" s="35">
        <v>336</v>
      </c>
      <c r="K179" s="35" t="s">
        <v>128</v>
      </c>
      <c r="L179" s="35" t="s">
        <v>46</v>
      </c>
      <c r="M179" s="36" t="s">
        <v>81</v>
      </c>
      <c r="N179" s="36"/>
      <c r="O179" s="35">
        <v>45</v>
      </c>
      <c r="P179" s="82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36"/>
      <c r="R179" s="636"/>
      <c r="S179" s="636"/>
      <c r="T179" s="63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5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321</v>
      </c>
      <c r="AG179" s="75"/>
      <c r="AJ179" s="79" t="s">
        <v>46</v>
      </c>
      <c r="AK179" s="79">
        <v>0</v>
      </c>
      <c r="BB179" s="250" t="s">
        <v>67</v>
      </c>
      <c r="BM179" s="75">
        <f t="shared" si="16"/>
        <v>0</v>
      </c>
      <c r="BN179" s="75">
        <f t="shared" si="17"/>
        <v>0</v>
      </c>
      <c r="BO179" s="75">
        <f t="shared" si="18"/>
        <v>0</v>
      </c>
      <c r="BP179" s="75">
        <f t="shared" si="19"/>
        <v>0</v>
      </c>
    </row>
    <row r="180" spans="1:68" ht="27" hidden="1" customHeight="1" x14ac:dyDescent="0.25">
      <c r="A180" s="60" t="s">
        <v>322</v>
      </c>
      <c r="B180" s="60" t="s">
        <v>323</v>
      </c>
      <c r="C180" s="34">
        <v>4301031519</v>
      </c>
      <c r="D180" s="634">
        <v>4680115887435</v>
      </c>
      <c r="E180" s="63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45</v>
      </c>
      <c r="P180" s="82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36"/>
      <c r="R180" s="636"/>
      <c r="S180" s="636"/>
      <c r="T180" s="63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5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308</v>
      </c>
      <c r="AG180" s="75"/>
      <c r="AJ180" s="79" t="s">
        <v>46</v>
      </c>
      <c r="AK180" s="79">
        <v>0</v>
      </c>
      <c r="BB180" s="252" t="s">
        <v>67</v>
      </c>
      <c r="BM180" s="75">
        <f t="shared" si="16"/>
        <v>0</v>
      </c>
      <c r="BN180" s="75">
        <f t="shared" si="17"/>
        <v>0</v>
      </c>
      <c r="BO180" s="75">
        <f t="shared" si="18"/>
        <v>0</v>
      </c>
      <c r="BP180" s="75">
        <f t="shared" si="19"/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0" t="s">
        <v>39</v>
      </c>
      <c r="X181" s="41">
        <f>IFERROR(X171/H171,"0")+IFERROR(X172/H172,"0")+IFERROR(X173/H173,"0")+IFERROR(X174/H174,"0")+IFERROR(X175/H175,"0")+IFERROR(X176/H176,"0")+IFERROR(X177/H177,"0")+IFERROR(X178/H178,"0")+IFERROR(X179/H179,"0")+IFERROR(X180/H180,"0")</f>
        <v>14.285714285714286</v>
      </c>
      <c r="Y181" s="41">
        <f>IFERROR(Y171/H171,"0")+IFERROR(Y172/H172,"0")+IFERROR(Y173/H173,"0")+IFERROR(Y174/H174,"0")+IFERROR(Y175/H175,"0")+IFERROR(Y176/H176,"0")+IFERROR(Y177/H177,"0")+IFERROR(Y178/H178,"0")+IFERROR(Y179/H179,"0")+IFERROR(Y180/H180,"0")</f>
        <v>15</v>
      </c>
      <c r="Z181" s="41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0.1353</v>
      </c>
      <c r="AA181" s="64"/>
      <c r="AB181" s="64"/>
      <c r="AC181" s="64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0</v>
      </c>
      <c r="X182" s="41">
        <f>IFERROR(SUM(X171:X180),"0")</f>
        <v>50</v>
      </c>
      <c r="Y182" s="41">
        <f>IFERROR(SUM(Y171:Y180),"0")</f>
        <v>52.5</v>
      </c>
      <c r="Z182" s="40"/>
      <c r="AA182" s="64"/>
      <c r="AB182" s="64"/>
      <c r="AC182" s="64"/>
    </row>
    <row r="183" spans="1:68" ht="14.25" hidden="1" customHeight="1" x14ac:dyDescent="0.25">
      <c r="A183" s="639" t="s">
        <v>83</v>
      </c>
      <c r="B183" s="639"/>
      <c r="C183" s="639"/>
      <c r="D183" s="639"/>
      <c r="E183" s="639"/>
      <c r="F183" s="639"/>
      <c r="G183" s="639"/>
      <c r="H183" s="639"/>
      <c r="I183" s="639"/>
      <c r="J183" s="639"/>
      <c r="K183" s="639"/>
      <c r="L183" s="639"/>
      <c r="M183" s="639"/>
      <c r="N183" s="639"/>
      <c r="O183" s="639"/>
      <c r="P183" s="639"/>
      <c r="Q183" s="639"/>
      <c r="R183" s="639"/>
      <c r="S183" s="639"/>
      <c r="T183" s="639"/>
      <c r="U183" s="639"/>
      <c r="V183" s="639"/>
      <c r="W183" s="639"/>
      <c r="X183" s="639"/>
      <c r="Y183" s="639"/>
      <c r="Z183" s="639"/>
      <c r="AA183" s="63"/>
      <c r="AB183" s="63"/>
      <c r="AC183" s="63"/>
    </row>
    <row r="184" spans="1:68" ht="16.5" hidden="1" customHeight="1" x14ac:dyDescent="0.25">
      <c r="A184" s="60" t="s">
        <v>324</v>
      </c>
      <c r="B184" s="60" t="s">
        <v>325</v>
      </c>
      <c r="C184" s="34">
        <v>4301052193</v>
      </c>
      <c r="D184" s="634">
        <v>4680115888395</v>
      </c>
      <c r="E184" s="634"/>
      <c r="F184" s="59">
        <v>0.42</v>
      </c>
      <c r="G184" s="35">
        <v>6</v>
      </c>
      <c r="H184" s="59">
        <v>2.52</v>
      </c>
      <c r="I184" s="59">
        <v>2.766</v>
      </c>
      <c r="J184" s="35">
        <v>182</v>
      </c>
      <c r="K184" s="35" t="s">
        <v>88</v>
      </c>
      <c r="L184" s="35" t="s">
        <v>46</v>
      </c>
      <c r="M184" s="36" t="s">
        <v>94</v>
      </c>
      <c r="N184" s="36"/>
      <c r="O184" s="35">
        <v>40</v>
      </c>
      <c r="P184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36"/>
      <c r="R184" s="636"/>
      <c r="S184" s="636"/>
      <c r="T184" s="637"/>
      <c r="U184" s="37" t="s">
        <v>46</v>
      </c>
      <c r="V184" s="37" t="s">
        <v>46</v>
      </c>
      <c r="W184" s="38" t="s">
        <v>0</v>
      </c>
      <c r="X184" s="56">
        <v>0</v>
      </c>
      <c r="Y184" s="53">
        <f>IFERROR(IF(X184="",0,CEILING((X184/$H184),1)*$H184),"")</f>
        <v>0</v>
      </c>
      <c r="Z184" s="39" t="str">
        <f>IFERROR(IF(Y184=0,"",ROUNDUP(Y184/H184,0)*0.00651),"")</f>
        <v/>
      </c>
      <c r="AA184" s="65" t="s">
        <v>46</v>
      </c>
      <c r="AB184" s="66" t="s">
        <v>46</v>
      </c>
      <c r="AC184" s="253" t="s">
        <v>326</v>
      </c>
      <c r="AG184" s="75"/>
      <c r="AJ184" s="79" t="s">
        <v>46</v>
      </c>
      <c r="AK184" s="79">
        <v>0</v>
      </c>
      <c r="BB184" s="254" t="s">
        <v>67</v>
      </c>
      <c r="BM184" s="75">
        <f>IFERROR(X184*I184/H184,"0")</f>
        <v>0</v>
      </c>
      <c r="BN184" s="75">
        <f>IFERROR(Y184*I184/H184,"0")</f>
        <v>0</v>
      </c>
      <c r="BO184" s="75">
        <f>IFERROR(1/J184*(X184/H184),"0")</f>
        <v>0</v>
      </c>
      <c r="BP184" s="75">
        <f>IFERROR(1/J184*(Y184/H184),"0")</f>
        <v>0</v>
      </c>
    </row>
    <row r="185" spans="1:68" ht="16.5" hidden="1" customHeight="1" x14ac:dyDescent="0.25">
      <c r="A185" s="60" t="s">
        <v>327</v>
      </c>
      <c r="B185" s="60" t="s">
        <v>328</v>
      </c>
      <c r="C185" s="34">
        <v>4301052191</v>
      </c>
      <c r="D185" s="634">
        <v>4680115888371</v>
      </c>
      <c r="E185" s="634"/>
      <c r="F185" s="59">
        <v>0.42</v>
      </c>
      <c r="G185" s="35">
        <v>6</v>
      </c>
      <c r="H185" s="59">
        <v>2.52</v>
      </c>
      <c r="I185" s="59">
        <v>2.766</v>
      </c>
      <c r="J185" s="35">
        <v>182</v>
      </c>
      <c r="K185" s="35" t="s">
        <v>88</v>
      </c>
      <c r="L185" s="35" t="s">
        <v>46</v>
      </c>
      <c r="M185" s="36" t="s">
        <v>94</v>
      </c>
      <c r="N185" s="36"/>
      <c r="O185" s="35">
        <v>40</v>
      </c>
      <c r="P185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36"/>
      <c r="R185" s="636"/>
      <c r="S185" s="636"/>
      <c r="T185" s="637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IFERROR(IF(Y185=0,"",ROUNDUP(Y185/H185,0)*0.00651),"")</f>
        <v/>
      </c>
      <c r="AA185" s="65" t="s">
        <v>46</v>
      </c>
      <c r="AB185" s="66" t="s">
        <v>46</v>
      </c>
      <c r="AC185" s="255" t="s">
        <v>329</v>
      </c>
      <c r="AG185" s="75"/>
      <c r="AJ185" s="79" t="s">
        <v>46</v>
      </c>
      <c r="AK185" s="79">
        <v>0</v>
      </c>
      <c r="BB185" s="256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0" t="s">
        <v>39</v>
      </c>
      <c r="X186" s="41">
        <f>IFERROR(X184/H184,"0")+IFERROR(X185/H185,"0")</f>
        <v>0</v>
      </c>
      <c r="Y186" s="41">
        <f>IFERROR(Y184/H184,"0")+IFERROR(Y185/H185,"0")</f>
        <v>0</v>
      </c>
      <c r="Z186" s="41">
        <f>IFERROR(IF(Z184="",0,Z184),"0")+IFERROR(IF(Z185="",0,Z185),"0")</f>
        <v>0</v>
      </c>
      <c r="AA186" s="64"/>
      <c r="AB186" s="64"/>
      <c r="AC186" s="64"/>
    </row>
    <row r="187" spans="1:68" hidden="1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0" t="s">
        <v>0</v>
      </c>
      <c r="X187" s="41">
        <f>IFERROR(SUM(X184:X185),"0")</f>
        <v>0</v>
      </c>
      <c r="Y187" s="41">
        <f>IFERROR(SUM(Y184:Y185),"0")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639" t="s">
        <v>274</v>
      </c>
      <c r="B188" s="639"/>
      <c r="C188" s="639"/>
      <c r="D188" s="639"/>
      <c r="E188" s="639"/>
      <c r="F188" s="639"/>
      <c r="G188" s="639"/>
      <c r="H188" s="639"/>
      <c r="I188" s="639"/>
      <c r="J188" s="639"/>
      <c r="K188" s="639"/>
      <c r="L188" s="639"/>
      <c r="M188" s="639"/>
      <c r="N188" s="639"/>
      <c r="O188" s="639"/>
      <c r="P188" s="639"/>
      <c r="Q188" s="639"/>
      <c r="R188" s="639"/>
      <c r="S188" s="639"/>
      <c r="T188" s="639"/>
      <c r="U188" s="639"/>
      <c r="V188" s="639"/>
      <c r="W188" s="639"/>
      <c r="X188" s="639"/>
      <c r="Y188" s="639"/>
      <c r="Z188" s="639"/>
      <c r="AA188" s="63"/>
      <c r="AB188" s="63"/>
      <c r="AC188" s="63"/>
    </row>
    <row r="189" spans="1:68" ht="16.5" hidden="1" customHeight="1" x14ac:dyDescent="0.25">
      <c r="A189" s="60" t="s">
        <v>330</v>
      </c>
      <c r="B189" s="60" t="s">
        <v>331</v>
      </c>
      <c r="C189" s="34">
        <v>4301032058</v>
      </c>
      <c r="D189" s="634">
        <v>4680115889026</v>
      </c>
      <c r="E189" s="634"/>
      <c r="F189" s="59">
        <v>0.06</v>
      </c>
      <c r="G189" s="35">
        <v>18</v>
      </c>
      <c r="H189" s="59">
        <v>1.08</v>
      </c>
      <c r="I189" s="59">
        <v>1.36</v>
      </c>
      <c r="J189" s="35">
        <v>216</v>
      </c>
      <c r="K189" s="35" t="s">
        <v>333</v>
      </c>
      <c r="L189" s="35" t="s">
        <v>46</v>
      </c>
      <c r="M189" s="36" t="s">
        <v>279</v>
      </c>
      <c r="N189" s="36"/>
      <c r="O189" s="35">
        <v>60</v>
      </c>
      <c r="P189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36"/>
      <c r="R189" s="636"/>
      <c r="S189" s="636"/>
      <c r="T189" s="63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IFERROR(IF(Y189=0,"",ROUNDUP(Y189/H189,0)*0.0059),"")</f>
        <v/>
      </c>
      <c r="AA189" s="65" t="s">
        <v>46</v>
      </c>
      <c r="AB189" s="66" t="s">
        <v>46</v>
      </c>
      <c r="AC189" s="257" t="s">
        <v>332</v>
      </c>
      <c r="AG189" s="75"/>
      <c r="AJ189" s="79" t="s">
        <v>46</v>
      </c>
      <c r="AK189" s="79">
        <v>0</v>
      </c>
      <c r="BB189" s="258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0" t="s">
        <v>39</v>
      </c>
      <c r="X190" s="41">
        <f>IFERROR(X189/H189,"0")</f>
        <v>0</v>
      </c>
      <c r="Y190" s="41">
        <f>IFERROR(Y189/H189,"0")</f>
        <v>0</v>
      </c>
      <c r="Z190" s="41">
        <f>IFERROR(IF(Z189="",0,Z189),"0")</f>
        <v>0</v>
      </c>
      <c r="AA190" s="64"/>
      <c r="AB190" s="64"/>
      <c r="AC190" s="64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0" t="s">
        <v>0</v>
      </c>
      <c r="X191" s="41">
        <f>IFERROR(SUM(X189:X189),"0")</f>
        <v>0</v>
      </c>
      <c r="Y191" s="41">
        <f>IFERROR(SUM(Y189:Y189),"0")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39" t="s">
        <v>334</v>
      </c>
      <c r="B192" s="639"/>
      <c r="C192" s="639"/>
      <c r="D192" s="639"/>
      <c r="E192" s="639"/>
      <c r="F192" s="639"/>
      <c r="G192" s="639"/>
      <c r="H192" s="639"/>
      <c r="I192" s="639"/>
      <c r="J192" s="639"/>
      <c r="K192" s="639"/>
      <c r="L192" s="639"/>
      <c r="M192" s="639"/>
      <c r="N192" s="639"/>
      <c r="O192" s="639"/>
      <c r="P192" s="639"/>
      <c r="Q192" s="639"/>
      <c r="R192" s="639"/>
      <c r="S192" s="639"/>
      <c r="T192" s="639"/>
      <c r="U192" s="639"/>
      <c r="V192" s="639"/>
      <c r="W192" s="639"/>
      <c r="X192" s="639"/>
      <c r="Y192" s="639"/>
      <c r="Z192" s="639"/>
      <c r="AA192" s="63"/>
      <c r="AB192" s="63"/>
      <c r="AC192" s="63"/>
    </row>
    <row r="193" spans="1:68" ht="27" hidden="1" customHeight="1" x14ac:dyDescent="0.25">
      <c r="A193" s="60" t="s">
        <v>335</v>
      </c>
      <c r="B193" s="60" t="s">
        <v>336</v>
      </c>
      <c r="C193" s="34">
        <v>4301041009</v>
      </c>
      <c r="D193" s="634">
        <v>4680115889033</v>
      </c>
      <c r="E193" s="634"/>
      <c r="F193" s="59">
        <v>0.11</v>
      </c>
      <c r="G193" s="35">
        <v>15</v>
      </c>
      <c r="H193" s="59">
        <v>1.65</v>
      </c>
      <c r="I193" s="59">
        <v>1.9</v>
      </c>
      <c r="J193" s="35">
        <v>216</v>
      </c>
      <c r="K193" s="35" t="s">
        <v>333</v>
      </c>
      <c r="L193" s="35" t="s">
        <v>46</v>
      </c>
      <c r="M193" s="36" t="s">
        <v>279</v>
      </c>
      <c r="N193" s="36"/>
      <c r="O193" s="35">
        <v>60</v>
      </c>
      <c r="P193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36"/>
      <c r="R193" s="636"/>
      <c r="S193" s="636"/>
      <c r="T193" s="63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59" t="s">
        <v>337</v>
      </c>
      <c r="AG193" s="75"/>
      <c r="AJ193" s="79" t="s">
        <v>46</v>
      </c>
      <c r="AK193" s="79">
        <v>0</v>
      </c>
      <c r="BB193" s="260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27.75" hidden="1" customHeight="1" x14ac:dyDescent="0.2">
      <c r="A196" s="645" t="s">
        <v>338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52"/>
      <c r="AB196" s="52"/>
      <c r="AC196" s="52"/>
    </row>
    <row r="197" spans="1:68" ht="16.5" hidden="1" customHeight="1" x14ac:dyDescent="0.25">
      <c r="A197" s="638" t="s">
        <v>339</v>
      </c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8"/>
      <c r="P197" s="638"/>
      <c r="Q197" s="638"/>
      <c r="R197" s="638"/>
      <c r="S197" s="638"/>
      <c r="T197" s="638"/>
      <c r="U197" s="638"/>
      <c r="V197" s="638"/>
      <c r="W197" s="638"/>
      <c r="X197" s="638"/>
      <c r="Y197" s="638"/>
      <c r="Z197" s="638"/>
      <c r="AA197" s="62"/>
      <c r="AB197" s="62"/>
      <c r="AC197" s="62"/>
    </row>
    <row r="198" spans="1:68" ht="14.25" hidden="1" customHeight="1" x14ac:dyDescent="0.25">
      <c r="A198" s="639" t="s">
        <v>119</v>
      </c>
      <c r="B198" s="639"/>
      <c r="C198" s="639"/>
      <c r="D198" s="639"/>
      <c r="E198" s="639"/>
      <c r="F198" s="639"/>
      <c r="G198" s="639"/>
      <c r="H198" s="639"/>
      <c r="I198" s="639"/>
      <c r="J198" s="639"/>
      <c r="K198" s="639"/>
      <c r="L198" s="639"/>
      <c r="M198" s="639"/>
      <c r="N198" s="639"/>
      <c r="O198" s="639"/>
      <c r="P198" s="639"/>
      <c r="Q198" s="639"/>
      <c r="R198" s="639"/>
      <c r="S198" s="639"/>
      <c r="T198" s="639"/>
      <c r="U198" s="639"/>
      <c r="V198" s="639"/>
      <c r="W198" s="639"/>
      <c r="X198" s="639"/>
      <c r="Y198" s="639"/>
      <c r="Z198" s="639"/>
      <c r="AA198" s="63"/>
      <c r="AB198" s="63"/>
      <c r="AC198" s="63"/>
    </row>
    <row r="199" spans="1:68" ht="27" hidden="1" customHeight="1" x14ac:dyDescent="0.25">
      <c r="A199" s="60" t="s">
        <v>340</v>
      </c>
      <c r="B199" s="60" t="s">
        <v>341</v>
      </c>
      <c r="C199" s="34">
        <v>4301011223</v>
      </c>
      <c r="D199" s="634">
        <v>4607091383423</v>
      </c>
      <c r="E199" s="634"/>
      <c r="F199" s="59">
        <v>1.35</v>
      </c>
      <c r="G199" s="35">
        <v>8</v>
      </c>
      <c r="H199" s="59">
        <v>10.8</v>
      </c>
      <c r="I199" s="59">
        <v>11.305999999999999</v>
      </c>
      <c r="J199" s="35">
        <v>64</v>
      </c>
      <c r="K199" s="35" t="s">
        <v>124</v>
      </c>
      <c r="L199" s="35" t="s">
        <v>46</v>
      </c>
      <c r="M199" s="36" t="s">
        <v>87</v>
      </c>
      <c r="N199" s="36"/>
      <c r="O199" s="35">
        <v>35</v>
      </c>
      <c r="P199" s="81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36"/>
      <c r="R199" s="636"/>
      <c r="S199" s="636"/>
      <c r="T199" s="637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ref="Y199:Y205" si="20">IFERROR(IF(X199="",0,CEILING((X199/$H199),1)*$H199),"")</f>
        <v>0</v>
      </c>
      <c r="Z199" s="39" t="str">
        <f t="shared" ref="Z199:Z205" si="21">IFERROR(IF(Y199=0,"",ROUNDUP(Y199/H199,0)*0.01898),"")</f>
        <v/>
      </c>
      <c r="AA199" s="65" t="s">
        <v>46</v>
      </c>
      <c r="AB199" s="66" t="s">
        <v>46</v>
      </c>
      <c r="AC199" s="261" t="s">
        <v>122</v>
      </c>
      <c r="AG199" s="75"/>
      <c r="AJ199" s="79" t="s">
        <v>46</v>
      </c>
      <c r="AK199" s="79">
        <v>0</v>
      </c>
      <c r="BB199" s="262" t="s">
        <v>67</v>
      </c>
      <c r="BM199" s="75">
        <f t="shared" ref="BM199:BM205" si="22">IFERROR(X199*I199/H199,"0")</f>
        <v>0</v>
      </c>
      <c r="BN199" s="75">
        <f t="shared" ref="BN199:BN205" si="23">IFERROR(Y199*I199/H199,"0")</f>
        <v>0</v>
      </c>
      <c r="BO199" s="75">
        <f t="shared" ref="BO199:BO205" si="24">IFERROR(1/J199*(X199/H199),"0")</f>
        <v>0</v>
      </c>
      <c r="BP199" s="75">
        <f t="shared" ref="BP199:BP205" si="25">IFERROR(1/J199*(Y199/H199),"0")</f>
        <v>0</v>
      </c>
    </row>
    <row r="200" spans="1:68" ht="27" hidden="1" customHeight="1" x14ac:dyDescent="0.25">
      <c r="A200" s="60" t="s">
        <v>342</v>
      </c>
      <c r="B200" s="60" t="s">
        <v>343</v>
      </c>
      <c r="C200" s="34">
        <v>4301012340</v>
      </c>
      <c r="D200" s="634">
        <v>4680115888760</v>
      </c>
      <c r="E200" s="634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124</v>
      </c>
      <c r="L200" s="35" t="s">
        <v>46</v>
      </c>
      <c r="M200" s="36" t="s">
        <v>87</v>
      </c>
      <c r="N200" s="36"/>
      <c r="O200" s="35">
        <v>35</v>
      </c>
      <c r="P200" s="81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36"/>
      <c r="R200" s="636"/>
      <c r="S200" s="636"/>
      <c r="T200" s="63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20"/>
        <v>0</v>
      </c>
      <c r="Z200" s="39" t="str">
        <f t="shared" si="21"/>
        <v/>
      </c>
      <c r="AA200" s="65" t="s">
        <v>46</v>
      </c>
      <c r="AB200" s="66" t="s">
        <v>46</v>
      </c>
      <c r="AC200" s="263" t="s">
        <v>344</v>
      </c>
      <c r="AG200" s="75"/>
      <c r="AJ200" s="79" t="s">
        <v>46</v>
      </c>
      <c r="AK200" s="79">
        <v>0</v>
      </c>
      <c r="BB200" s="264" t="s">
        <v>67</v>
      </c>
      <c r="BM200" s="75">
        <f t="shared" si="22"/>
        <v>0</v>
      </c>
      <c r="BN200" s="75">
        <f t="shared" si="23"/>
        <v>0</v>
      </c>
      <c r="BO200" s="75">
        <f t="shared" si="24"/>
        <v>0</v>
      </c>
      <c r="BP200" s="75">
        <f t="shared" si="25"/>
        <v>0</v>
      </c>
    </row>
    <row r="201" spans="1:68" ht="27" hidden="1" customHeight="1" x14ac:dyDescent="0.25">
      <c r="A201" s="60" t="s">
        <v>345</v>
      </c>
      <c r="B201" s="60" t="s">
        <v>346</v>
      </c>
      <c r="C201" s="34">
        <v>4301012341</v>
      </c>
      <c r="D201" s="634">
        <v>4680115888807</v>
      </c>
      <c r="E201" s="63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124</v>
      </c>
      <c r="L201" s="35" t="s">
        <v>46</v>
      </c>
      <c r="M201" s="36" t="s">
        <v>87</v>
      </c>
      <c r="N201" s="36"/>
      <c r="O201" s="35">
        <v>35</v>
      </c>
      <c r="P201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36"/>
      <c r="R201" s="636"/>
      <c r="S201" s="636"/>
      <c r="T201" s="63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0"/>
        <v>0</v>
      </c>
      <c r="Z201" s="39" t="str">
        <f t="shared" si="21"/>
        <v/>
      </c>
      <c r="AA201" s="65" t="s">
        <v>46</v>
      </c>
      <c r="AB201" s="66" t="s">
        <v>46</v>
      </c>
      <c r="AC201" s="265" t="s">
        <v>347</v>
      </c>
      <c r="AG201" s="75"/>
      <c r="AJ201" s="79" t="s">
        <v>46</v>
      </c>
      <c r="AK201" s="79">
        <v>0</v>
      </c>
      <c r="BB201" s="266" t="s">
        <v>67</v>
      </c>
      <c r="BM201" s="75">
        <f t="shared" si="22"/>
        <v>0</v>
      </c>
      <c r="BN201" s="75">
        <f t="shared" si="23"/>
        <v>0</v>
      </c>
      <c r="BO201" s="75">
        <f t="shared" si="24"/>
        <v>0</v>
      </c>
      <c r="BP201" s="75">
        <f t="shared" si="25"/>
        <v>0</v>
      </c>
    </row>
    <row r="202" spans="1:68" ht="27" hidden="1" customHeight="1" x14ac:dyDescent="0.25">
      <c r="A202" s="60" t="s">
        <v>348</v>
      </c>
      <c r="B202" s="60" t="s">
        <v>349</v>
      </c>
      <c r="C202" s="34">
        <v>4301012342</v>
      </c>
      <c r="D202" s="634">
        <v>4680115888852</v>
      </c>
      <c r="E202" s="634"/>
      <c r="F202" s="59">
        <v>0.9</v>
      </c>
      <c r="G202" s="35">
        <v>6</v>
      </c>
      <c r="H202" s="59">
        <v>5.4</v>
      </c>
      <c r="I202" s="59">
        <v>5.81</v>
      </c>
      <c r="J202" s="35">
        <v>64</v>
      </c>
      <c r="K202" s="35" t="s">
        <v>124</v>
      </c>
      <c r="L202" s="35" t="s">
        <v>46</v>
      </c>
      <c r="M202" s="36" t="s">
        <v>87</v>
      </c>
      <c r="N202" s="36"/>
      <c r="O202" s="35">
        <v>35</v>
      </c>
      <c r="P202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36"/>
      <c r="R202" s="636"/>
      <c r="S202" s="636"/>
      <c r="T202" s="63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0"/>
        <v>0</v>
      </c>
      <c r="Z202" s="39" t="str">
        <f t="shared" si="21"/>
        <v/>
      </c>
      <c r="AA202" s="65" t="s">
        <v>46</v>
      </c>
      <c r="AB202" s="66" t="s">
        <v>46</v>
      </c>
      <c r="AC202" s="267" t="s">
        <v>350</v>
      </c>
      <c r="AG202" s="75"/>
      <c r="AJ202" s="79" t="s">
        <v>46</v>
      </c>
      <c r="AK202" s="79">
        <v>0</v>
      </c>
      <c r="BB202" s="268" t="s">
        <v>67</v>
      </c>
      <c r="BM202" s="75">
        <f t="shared" si="22"/>
        <v>0</v>
      </c>
      <c r="BN202" s="75">
        <f t="shared" si="23"/>
        <v>0</v>
      </c>
      <c r="BO202" s="75">
        <f t="shared" si="24"/>
        <v>0</v>
      </c>
      <c r="BP202" s="75">
        <f t="shared" si="25"/>
        <v>0</v>
      </c>
    </row>
    <row r="203" spans="1:68" ht="37.5" hidden="1" customHeight="1" x14ac:dyDescent="0.25">
      <c r="A203" s="60" t="s">
        <v>351</v>
      </c>
      <c r="B203" s="60" t="s">
        <v>352</v>
      </c>
      <c r="C203" s="34">
        <v>4301012370</v>
      </c>
      <c r="D203" s="634">
        <v>4680115886957</v>
      </c>
      <c r="E203" s="634"/>
      <c r="F203" s="59">
        <v>1.35</v>
      </c>
      <c r="G203" s="35">
        <v>8</v>
      </c>
      <c r="H203" s="59">
        <v>10.8</v>
      </c>
      <c r="I203" s="59">
        <v>11.29</v>
      </c>
      <c r="J203" s="35">
        <v>64</v>
      </c>
      <c r="K203" s="35" t="s">
        <v>124</v>
      </c>
      <c r="L203" s="35" t="s">
        <v>46</v>
      </c>
      <c r="M203" s="36" t="s">
        <v>87</v>
      </c>
      <c r="N203" s="36"/>
      <c r="O203" s="35">
        <v>35</v>
      </c>
      <c r="P203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36"/>
      <c r="R203" s="636"/>
      <c r="S203" s="636"/>
      <c r="T203" s="63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0"/>
        <v>0</v>
      </c>
      <c r="Z203" s="39" t="str">
        <f t="shared" si="21"/>
        <v/>
      </c>
      <c r="AA203" s="65" t="s">
        <v>46</v>
      </c>
      <c r="AB203" s="66" t="s">
        <v>46</v>
      </c>
      <c r="AC203" s="269" t="s">
        <v>353</v>
      </c>
      <c r="AG203" s="75"/>
      <c r="AJ203" s="79" t="s">
        <v>46</v>
      </c>
      <c r="AK203" s="79">
        <v>0</v>
      </c>
      <c r="BB203" s="270" t="s">
        <v>67</v>
      </c>
      <c r="BM203" s="75">
        <f t="shared" si="22"/>
        <v>0</v>
      </c>
      <c r="BN203" s="75">
        <f t="shared" si="23"/>
        <v>0</v>
      </c>
      <c r="BO203" s="75">
        <f t="shared" si="24"/>
        <v>0</v>
      </c>
      <c r="BP203" s="75">
        <f t="shared" si="25"/>
        <v>0</v>
      </c>
    </row>
    <row r="204" spans="1:68" ht="27" hidden="1" customHeight="1" x14ac:dyDescent="0.25">
      <c r="A204" s="60" t="s">
        <v>354</v>
      </c>
      <c r="B204" s="60" t="s">
        <v>355</v>
      </c>
      <c r="C204" s="34">
        <v>4301012098</v>
      </c>
      <c r="D204" s="634">
        <v>4680115885660</v>
      </c>
      <c r="E204" s="634"/>
      <c r="F204" s="59">
        <v>1.35</v>
      </c>
      <c r="G204" s="35">
        <v>8</v>
      </c>
      <c r="H204" s="59">
        <v>10.8</v>
      </c>
      <c r="I204" s="59">
        <v>11.21</v>
      </c>
      <c r="J204" s="35">
        <v>64</v>
      </c>
      <c r="K204" s="35" t="s">
        <v>124</v>
      </c>
      <c r="L204" s="35" t="s">
        <v>46</v>
      </c>
      <c r="M204" s="36" t="s">
        <v>87</v>
      </c>
      <c r="N204" s="36"/>
      <c r="O204" s="35">
        <v>35</v>
      </c>
      <c r="P204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36"/>
      <c r="R204" s="636"/>
      <c r="S204" s="636"/>
      <c r="T204" s="63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0"/>
        <v>0</v>
      </c>
      <c r="Z204" s="39" t="str">
        <f t="shared" si="21"/>
        <v/>
      </c>
      <c r="AA204" s="65" t="s">
        <v>46</v>
      </c>
      <c r="AB204" s="66" t="s">
        <v>46</v>
      </c>
      <c r="AC204" s="271" t="s">
        <v>356</v>
      </c>
      <c r="AG204" s="75"/>
      <c r="AJ204" s="79" t="s">
        <v>46</v>
      </c>
      <c r="AK204" s="79">
        <v>0</v>
      </c>
      <c r="BB204" s="272" t="s">
        <v>67</v>
      </c>
      <c r="BM204" s="75">
        <f t="shared" si="22"/>
        <v>0</v>
      </c>
      <c r="BN204" s="75">
        <f t="shared" si="23"/>
        <v>0</v>
      </c>
      <c r="BO204" s="75">
        <f t="shared" si="24"/>
        <v>0</v>
      </c>
      <c r="BP204" s="75">
        <f t="shared" si="25"/>
        <v>0</v>
      </c>
    </row>
    <row r="205" spans="1:68" ht="27" hidden="1" customHeight="1" x14ac:dyDescent="0.25">
      <c r="A205" s="60" t="s">
        <v>357</v>
      </c>
      <c r="B205" s="60" t="s">
        <v>358</v>
      </c>
      <c r="C205" s="34">
        <v>4301012369</v>
      </c>
      <c r="D205" s="634">
        <v>4680115886773</v>
      </c>
      <c r="E205" s="634"/>
      <c r="F205" s="59">
        <v>0.9</v>
      </c>
      <c r="G205" s="35">
        <v>10</v>
      </c>
      <c r="H205" s="59">
        <v>9</v>
      </c>
      <c r="I205" s="59">
        <v>9.51</v>
      </c>
      <c r="J205" s="35">
        <v>64</v>
      </c>
      <c r="K205" s="35" t="s">
        <v>124</v>
      </c>
      <c r="L205" s="35" t="s">
        <v>46</v>
      </c>
      <c r="M205" s="36" t="s">
        <v>87</v>
      </c>
      <c r="N205" s="36"/>
      <c r="O205" s="35">
        <v>35</v>
      </c>
      <c r="P205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36"/>
      <c r="R205" s="636"/>
      <c r="S205" s="636"/>
      <c r="T205" s="63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0"/>
        <v>0</v>
      </c>
      <c r="Z205" s="39" t="str">
        <f t="shared" si="21"/>
        <v/>
      </c>
      <c r="AA205" s="65" t="s">
        <v>46</v>
      </c>
      <c r="AB205" s="66" t="s">
        <v>46</v>
      </c>
      <c r="AC205" s="273" t="s">
        <v>359</v>
      </c>
      <c r="AG205" s="75"/>
      <c r="AJ205" s="79" t="s">
        <v>46</v>
      </c>
      <c r="AK205" s="79">
        <v>0</v>
      </c>
      <c r="BB205" s="274" t="s">
        <v>67</v>
      </c>
      <c r="BM205" s="75">
        <f t="shared" si="22"/>
        <v>0</v>
      </c>
      <c r="BN205" s="75">
        <f t="shared" si="23"/>
        <v>0</v>
      </c>
      <c r="BO205" s="75">
        <f t="shared" si="24"/>
        <v>0</v>
      </c>
      <c r="BP205" s="75">
        <f t="shared" si="25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0" t="s">
        <v>39</v>
      </c>
      <c r="X206" s="41">
        <f>IFERROR(X199/H199,"0")+IFERROR(X200/H200,"0")+IFERROR(X201/H201,"0")+IFERROR(X202/H202,"0")+IFERROR(X203/H203,"0")+IFERROR(X204/H204,"0")+IFERROR(X205/H205,"0")</f>
        <v>0</v>
      </c>
      <c r="Y206" s="41">
        <f>IFERROR(Y199/H199,"0")+IFERROR(Y200/H200,"0")+IFERROR(Y201/H201,"0")+IFERROR(Y202/H202,"0")+IFERROR(Y203/H203,"0")+IFERROR(Y204/H204,"0")+IFERROR(Y205/H205,"0")</f>
        <v>0</v>
      </c>
      <c r="Z206" s="41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4"/>
      <c r="AB206" s="64"/>
      <c r="AC206" s="64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0" t="s">
        <v>0</v>
      </c>
      <c r="X207" s="41">
        <f>IFERROR(SUM(X199:X205),"0")</f>
        <v>0</v>
      </c>
      <c r="Y207" s="41">
        <f>IFERROR(SUM(Y199:Y205),"0")</f>
        <v>0</v>
      </c>
      <c r="Z207" s="40"/>
      <c r="AA207" s="64"/>
      <c r="AB207" s="64"/>
      <c r="AC207" s="64"/>
    </row>
    <row r="208" spans="1:68" ht="16.5" hidden="1" customHeight="1" x14ac:dyDescent="0.25">
      <c r="A208" s="638" t="s">
        <v>360</v>
      </c>
      <c r="B208" s="638"/>
      <c r="C208" s="638"/>
      <c r="D208" s="638"/>
      <c r="E208" s="638"/>
      <c r="F208" s="638"/>
      <c r="G208" s="638"/>
      <c r="H208" s="638"/>
      <c r="I208" s="638"/>
      <c r="J208" s="638"/>
      <c r="K208" s="638"/>
      <c r="L208" s="638"/>
      <c r="M208" s="638"/>
      <c r="N208" s="638"/>
      <c r="O208" s="638"/>
      <c r="P208" s="638"/>
      <c r="Q208" s="638"/>
      <c r="R208" s="638"/>
      <c r="S208" s="638"/>
      <c r="T208" s="638"/>
      <c r="U208" s="638"/>
      <c r="V208" s="638"/>
      <c r="W208" s="638"/>
      <c r="X208" s="638"/>
      <c r="Y208" s="638"/>
      <c r="Z208" s="638"/>
      <c r="AA208" s="62"/>
      <c r="AB208" s="62"/>
      <c r="AC208" s="62"/>
    </row>
    <row r="209" spans="1:68" ht="14.25" hidden="1" customHeight="1" x14ac:dyDescent="0.25">
      <c r="A209" s="639" t="s">
        <v>154</v>
      </c>
      <c r="B209" s="639"/>
      <c r="C209" s="639"/>
      <c r="D209" s="639"/>
      <c r="E209" s="639"/>
      <c r="F209" s="639"/>
      <c r="G209" s="639"/>
      <c r="H209" s="639"/>
      <c r="I209" s="639"/>
      <c r="J209" s="639"/>
      <c r="K209" s="639"/>
      <c r="L209" s="639"/>
      <c r="M209" s="639"/>
      <c r="N209" s="639"/>
      <c r="O209" s="639"/>
      <c r="P209" s="639"/>
      <c r="Q209" s="639"/>
      <c r="R209" s="639"/>
      <c r="S209" s="639"/>
      <c r="T209" s="639"/>
      <c r="U209" s="639"/>
      <c r="V209" s="639"/>
      <c r="W209" s="639"/>
      <c r="X209" s="639"/>
      <c r="Y209" s="639"/>
      <c r="Z209" s="639"/>
      <c r="AA209" s="63"/>
      <c r="AB209" s="63"/>
      <c r="AC209" s="63"/>
    </row>
    <row r="210" spans="1:68" ht="27" hidden="1" customHeight="1" x14ac:dyDescent="0.25">
      <c r="A210" s="60" t="s">
        <v>361</v>
      </c>
      <c r="B210" s="60" t="s">
        <v>362</v>
      </c>
      <c r="C210" s="34">
        <v>4301020323</v>
      </c>
      <c r="D210" s="634">
        <v>4680115886223</v>
      </c>
      <c r="E210" s="634"/>
      <c r="F210" s="59">
        <v>0.33</v>
      </c>
      <c r="G210" s="35">
        <v>6</v>
      </c>
      <c r="H210" s="59">
        <v>1.98</v>
      </c>
      <c r="I210" s="59">
        <v>2.08</v>
      </c>
      <c r="J210" s="35">
        <v>234</v>
      </c>
      <c r="K210" s="35" t="s">
        <v>82</v>
      </c>
      <c r="L210" s="35" t="s">
        <v>46</v>
      </c>
      <c r="M210" s="36" t="s">
        <v>81</v>
      </c>
      <c r="N210" s="36"/>
      <c r="O210" s="35">
        <v>40</v>
      </c>
      <c r="P210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36"/>
      <c r="R210" s="636"/>
      <c r="S210" s="636"/>
      <c r="T210" s="637"/>
      <c r="U210" s="37" t="s">
        <v>46</v>
      </c>
      <c r="V210" s="37" t="s">
        <v>46</v>
      </c>
      <c r="W210" s="38" t="s">
        <v>0</v>
      </c>
      <c r="X210" s="56">
        <v>0</v>
      </c>
      <c r="Y210" s="53">
        <f>IFERROR(IF(X210="",0,CEILING((X210/$H210),1)*$H210),"")</f>
        <v>0</v>
      </c>
      <c r="Z210" s="39" t="str">
        <f>IFERROR(IF(Y210=0,"",ROUNDUP(Y210/H210,0)*0.00502),"")</f>
        <v/>
      </c>
      <c r="AA210" s="65" t="s">
        <v>46</v>
      </c>
      <c r="AB210" s="66" t="s">
        <v>46</v>
      </c>
      <c r="AC210" s="275" t="s">
        <v>363</v>
      </c>
      <c r="AG210" s="75"/>
      <c r="AJ210" s="79" t="s">
        <v>46</v>
      </c>
      <c r="AK210" s="79">
        <v>0</v>
      </c>
      <c r="BB210" s="276" t="s">
        <v>67</v>
      </c>
      <c r="BM210" s="75">
        <f>IFERROR(X210*I210/H210,"0")</f>
        <v>0</v>
      </c>
      <c r="BN210" s="75">
        <f>IFERROR(Y210*I210/H210,"0")</f>
        <v>0</v>
      </c>
      <c r="BO210" s="75">
        <f>IFERROR(1/J210*(X210/H210),"0")</f>
        <v>0</v>
      </c>
      <c r="BP210" s="75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0" t="s">
        <v>39</v>
      </c>
      <c r="X211" s="41">
        <f>IFERROR(X210/H210,"0")</f>
        <v>0</v>
      </c>
      <c r="Y211" s="41">
        <f>IFERROR(Y210/H210,"0")</f>
        <v>0</v>
      </c>
      <c r="Z211" s="41">
        <f>IFERROR(IF(Z210="",0,Z210),"0")</f>
        <v>0</v>
      </c>
      <c r="AA211" s="64"/>
      <c r="AB211" s="64"/>
      <c r="AC211" s="64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0" t="s">
        <v>0</v>
      </c>
      <c r="X212" s="41">
        <f>IFERROR(SUM(X210:X210),"0")</f>
        <v>0</v>
      </c>
      <c r="Y212" s="41">
        <f>IFERROR(SUM(Y210:Y210),"0")</f>
        <v>0</v>
      </c>
      <c r="Z212" s="40"/>
      <c r="AA212" s="64"/>
      <c r="AB212" s="64"/>
      <c r="AC212" s="64"/>
    </row>
    <row r="213" spans="1:68" ht="14.25" hidden="1" customHeight="1" x14ac:dyDescent="0.25">
      <c r="A213" s="639" t="s">
        <v>77</v>
      </c>
      <c r="B213" s="639"/>
      <c r="C213" s="639"/>
      <c r="D213" s="639"/>
      <c r="E213" s="639"/>
      <c r="F213" s="639"/>
      <c r="G213" s="639"/>
      <c r="H213" s="639"/>
      <c r="I213" s="639"/>
      <c r="J213" s="639"/>
      <c r="K213" s="639"/>
      <c r="L213" s="639"/>
      <c r="M213" s="639"/>
      <c r="N213" s="639"/>
      <c r="O213" s="639"/>
      <c r="P213" s="639"/>
      <c r="Q213" s="639"/>
      <c r="R213" s="639"/>
      <c r="S213" s="639"/>
      <c r="T213" s="639"/>
      <c r="U213" s="639"/>
      <c r="V213" s="639"/>
      <c r="W213" s="639"/>
      <c r="X213" s="639"/>
      <c r="Y213" s="639"/>
      <c r="Z213" s="639"/>
      <c r="AA213" s="63"/>
      <c r="AB213" s="63"/>
      <c r="AC213" s="63"/>
    </row>
    <row r="214" spans="1:68" ht="27" customHeight="1" x14ac:dyDescent="0.25">
      <c r="A214" s="60" t="s">
        <v>364</v>
      </c>
      <c r="B214" s="60" t="s">
        <v>365</v>
      </c>
      <c r="C214" s="34">
        <v>4301031191</v>
      </c>
      <c r="D214" s="634">
        <v>4680115880993</v>
      </c>
      <c r="E214" s="634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131</v>
      </c>
      <c r="L214" s="35" t="s">
        <v>46</v>
      </c>
      <c r="M214" s="36" t="s">
        <v>81</v>
      </c>
      <c r="N214" s="36"/>
      <c r="O214" s="35">
        <v>40</v>
      </c>
      <c r="P214" s="80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36"/>
      <c r="R214" s="636"/>
      <c r="S214" s="636"/>
      <c r="T214" s="637"/>
      <c r="U214" s="37" t="s">
        <v>46</v>
      </c>
      <c r="V214" s="37" t="s">
        <v>46</v>
      </c>
      <c r="W214" s="38" t="s">
        <v>0</v>
      </c>
      <c r="X214" s="56">
        <v>50</v>
      </c>
      <c r="Y214" s="53">
        <f t="shared" ref="Y214:Y226" si="26">IFERROR(IF(X214="",0,CEILING((X214/$H214),1)*$H214),"")</f>
        <v>50.400000000000006</v>
      </c>
      <c r="Z214" s="39">
        <f>IFERROR(IF(Y214=0,"",ROUNDUP(Y214/H214,0)*0.00902),"")</f>
        <v>0.10824</v>
      </c>
      <c r="AA214" s="65" t="s">
        <v>46</v>
      </c>
      <c r="AB214" s="66" t="s">
        <v>46</v>
      </c>
      <c r="AC214" s="277" t="s">
        <v>366</v>
      </c>
      <c r="AG214" s="75"/>
      <c r="AJ214" s="79" t="s">
        <v>46</v>
      </c>
      <c r="AK214" s="79">
        <v>0</v>
      </c>
      <c r="BB214" s="278" t="s">
        <v>67</v>
      </c>
      <c r="BM214" s="75">
        <f t="shared" ref="BM214:BM226" si="27">IFERROR(X214*I214/H214,"0")</f>
        <v>52.976190476190474</v>
      </c>
      <c r="BN214" s="75">
        <f t="shared" ref="BN214:BN226" si="28">IFERROR(Y214*I214/H214,"0")</f>
        <v>53.400000000000006</v>
      </c>
      <c r="BO214" s="75">
        <f t="shared" ref="BO214:BO226" si="29">IFERROR(1/J214*(X214/H214),"0")</f>
        <v>9.0187590187590191E-2</v>
      </c>
      <c r="BP214" s="75">
        <f t="shared" ref="BP214:BP226" si="30">IFERROR(1/J214*(Y214/H214),"0")</f>
        <v>9.0909090909090912E-2</v>
      </c>
    </row>
    <row r="215" spans="1:68" ht="27" hidden="1" customHeight="1" x14ac:dyDescent="0.25">
      <c r="A215" s="60" t="s">
        <v>367</v>
      </c>
      <c r="B215" s="60" t="s">
        <v>368</v>
      </c>
      <c r="C215" s="34">
        <v>4301031204</v>
      </c>
      <c r="D215" s="634">
        <v>4680115881761</v>
      </c>
      <c r="E215" s="63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131</v>
      </c>
      <c r="L215" s="35" t="s">
        <v>46</v>
      </c>
      <c r="M215" s="36" t="s">
        <v>81</v>
      </c>
      <c r="N215" s="36"/>
      <c r="O215" s="35">
        <v>40</v>
      </c>
      <c r="P215" s="8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36"/>
      <c r="R215" s="636"/>
      <c r="S215" s="636"/>
      <c r="T215" s="637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369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370</v>
      </c>
      <c r="B216" s="60" t="s">
        <v>371</v>
      </c>
      <c r="C216" s="34">
        <v>4301031201</v>
      </c>
      <c r="D216" s="634">
        <v>4680115881563</v>
      </c>
      <c r="E216" s="634"/>
      <c r="F216" s="59">
        <v>0.7</v>
      </c>
      <c r="G216" s="35">
        <v>6</v>
      </c>
      <c r="H216" s="59">
        <v>4.2</v>
      </c>
      <c r="I216" s="59">
        <v>4.3899999999999997</v>
      </c>
      <c r="J216" s="35">
        <v>132</v>
      </c>
      <c r="K216" s="35" t="s">
        <v>131</v>
      </c>
      <c r="L216" s="35" t="s">
        <v>46</v>
      </c>
      <c r="M216" s="36" t="s">
        <v>81</v>
      </c>
      <c r="N216" s="36"/>
      <c r="O216" s="35">
        <v>40</v>
      </c>
      <c r="P216" s="81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36"/>
      <c r="R216" s="636"/>
      <c r="S216" s="636"/>
      <c r="T216" s="63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1" t="s">
        <v>372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37.5" hidden="1" customHeight="1" x14ac:dyDescent="0.25">
      <c r="A217" s="60" t="s">
        <v>373</v>
      </c>
      <c r="B217" s="60" t="s">
        <v>374</v>
      </c>
      <c r="C217" s="34">
        <v>4301031447</v>
      </c>
      <c r="D217" s="634">
        <v>4680115887565</v>
      </c>
      <c r="E217" s="634"/>
      <c r="F217" s="59">
        <v>0.08</v>
      </c>
      <c r="G217" s="35">
        <v>10</v>
      </c>
      <c r="H217" s="59">
        <v>0.8</v>
      </c>
      <c r="I217" s="59">
        <v>0.93</v>
      </c>
      <c r="J217" s="35">
        <v>252</v>
      </c>
      <c r="K217" s="35" t="s">
        <v>82</v>
      </c>
      <c r="L217" s="35" t="s">
        <v>46</v>
      </c>
      <c r="M217" s="36" t="s">
        <v>81</v>
      </c>
      <c r="N217" s="36"/>
      <c r="O217" s="35">
        <v>45</v>
      </c>
      <c r="P217" s="81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36"/>
      <c r="R217" s="636"/>
      <c r="S217" s="636"/>
      <c r="T217" s="637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>IFERROR(IF(Y217=0,"",ROUNDUP(Y217/H217,0)*0.00556),"")</f>
        <v/>
      </c>
      <c r="AA217" s="65" t="s">
        <v>46</v>
      </c>
      <c r="AB217" s="66" t="s">
        <v>46</v>
      </c>
      <c r="AC217" s="283" t="s">
        <v>375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376</v>
      </c>
      <c r="B218" s="60" t="s">
        <v>377</v>
      </c>
      <c r="C218" s="34">
        <v>4301031199</v>
      </c>
      <c r="D218" s="634">
        <v>4680115880986</v>
      </c>
      <c r="E218" s="634"/>
      <c r="F218" s="59">
        <v>0.35</v>
      </c>
      <c r="G218" s="35">
        <v>6</v>
      </c>
      <c r="H218" s="59">
        <v>2.1</v>
      </c>
      <c r="I218" s="59">
        <v>2.23</v>
      </c>
      <c r="J218" s="35">
        <v>234</v>
      </c>
      <c r="K218" s="35" t="s">
        <v>82</v>
      </c>
      <c r="L218" s="35" t="s">
        <v>46</v>
      </c>
      <c r="M218" s="36" t="s">
        <v>81</v>
      </c>
      <c r="N218" s="36"/>
      <c r="O218" s="35">
        <v>40</v>
      </c>
      <c r="P218" s="80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36"/>
      <c r="R218" s="636"/>
      <c r="S218" s="636"/>
      <c r="T218" s="63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IFERROR(IF(Y218=0,"",ROUNDUP(Y218/H218,0)*0.00502),"")</f>
        <v/>
      </c>
      <c r="AA218" s="65" t="s">
        <v>46</v>
      </c>
      <c r="AB218" s="66" t="s">
        <v>46</v>
      </c>
      <c r="AC218" s="285" t="s">
        <v>366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27" hidden="1" customHeight="1" x14ac:dyDescent="0.25">
      <c r="A219" s="60" t="s">
        <v>378</v>
      </c>
      <c r="B219" s="60" t="s">
        <v>379</v>
      </c>
      <c r="C219" s="34">
        <v>4301031443</v>
      </c>
      <c r="D219" s="634">
        <v>4680115887213</v>
      </c>
      <c r="E219" s="634"/>
      <c r="F219" s="59">
        <v>0.3</v>
      </c>
      <c r="G219" s="35">
        <v>6</v>
      </c>
      <c r="H219" s="59">
        <v>1.8</v>
      </c>
      <c r="I219" s="59">
        <v>1.9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45</v>
      </c>
      <c r="P219" s="8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36"/>
      <c r="R219" s="636"/>
      <c r="S219" s="636"/>
      <c r="T219" s="637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380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381</v>
      </c>
      <c r="B220" s="60" t="s">
        <v>382</v>
      </c>
      <c r="C220" s="34">
        <v>4301031205</v>
      </c>
      <c r="D220" s="634">
        <v>4680115881785</v>
      </c>
      <c r="E220" s="634"/>
      <c r="F220" s="59">
        <v>0.35</v>
      </c>
      <c r="G220" s="35">
        <v>6</v>
      </c>
      <c r="H220" s="59">
        <v>2.1</v>
      </c>
      <c r="I220" s="59">
        <v>2.23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40</v>
      </c>
      <c r="P220" s="80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36"/>
      <c r="R220" s="636"/>
      <c r="S220" s="636"/>
      <c r="T220" s="63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369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383</v>
      </c>
      <c r="B221" s="60" t="s">
        <v>384</v>
      </c>
      <c r="C221" s="34">
        <v>4301031499</v>
      </c>
      <c r="D221" s="634">
        <v>4680115888432</v>
      </c>
      <c r="E221" s="634"/>
      <c r="F221" s="59">
        <v>0.3</v>
      </c>
      <c r="G221" s="35">
        <v>6</v>
      </c>
      <c r="H221" s="59">
        <v>1.8</v>
      </c>
      <c r="I221" s="59">
        <v>1.93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45</v>
      </c>
      <c r="P221" s="80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36"/>
      <c r="R221" s="636"/>
      <c r="S221" s="636"/>
      <c r="T221" s="63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385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t="27" hidden="1" customHeight="1" x14ac:dyDescent="0.25">
      <c r="A222" s="60" t="s">
        <v>386</v>
      </c>
      <c r="B222" s="60" t="s">
        <v>387</v>
      </c>
      <c r="C222" s="34">
        <v>4301031503</v>
      </c>
      <c r="D222" s="634">
        <v>4680115886537</v>
      </c>
      <c r="E222" s="63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0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6"/>
      <c r="R222" s="636"/>
      <c r="S222" s="636"/>
      <c r="T222" s="63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6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388</v>
      </c>
      <c r="AG222" s="75"/>
      <c r="AJ222" s="79" t="s">
        <v>46</v>
      </c>
      <c r="AK222" s="79">
        <v>0</v>
      </c>
      <c r="BB222" s="294" t="s">
        <v>67</v>
      </c>
      <c r="BM222" s="75">
        <f t="shared" si="27"/>
        <v>0</v>
      </c>
      <c r="BN222" s="75">
        <f t="shared" si="28"/>
        <v>0</v>
      </c>
      <c r="BO222" s="75">
        <f t="shared" si="29"/>
        <v>0</v>
      </c>
      <c r="BP222" s="75">
        <f t="shared" si="30"/>
        <v>0</v>
      </c>
    </row>
    <row r="223" spans="1:68" ht="27" hidden="1" customHeight="1" x14ac:dyDescent="0.25">
      <c r="A223" s="60" t="s">
        <v>389</v>
      </c>
      <c r="B223" s="60" t="s">
        <v>390</v>
      </c>
      <c r="C223" s="34">
        <v>4301031279</v>
      </c>
      <c r="D223" s="634">
        <v>4680115887596</v>
      </c>
      <c r="E223" s="634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128</v>
      </c>
      <c r="L223" s="35" t="s">
        <v>46</v>
      </c>
      <c r="M223" s="36" t="s">
        <v>81</v>
      </c>
      <c r="N223" s="36"/>
      <c r="O223" s="35">
        <v>45</v>
      </c>
      <c r="P223" s="79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6"/>
      <c r="R223" s="636"/>
      <c r="S223" s="636"/>
      <c r="T223" s="63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6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391</v>
      </c>
      <c r="AG223" s="75"/>
      <c r="AJ223" s="79" t="s">
        <v>46</v>
      </c>
      <c r="AK223" s="79">
        <v>0</v>
      </c>
      <c r="BB223" s="296" t="s">
        <v>67</v>
      </c>
      <c r="BM223" s="75">
        <f t="shared" si="27"/>
        <v>0</v>
      </c>
      <c r="BN223" s="75">
        <f t="shared" si="28"/>
        <v>0</v>
      </c>
      <c r="BO223" s="75">
        <f t="shared" si="29"/>
        <v>0</v>
      </c>
      <c r="BP223" s="75">
        <f t="shared" si="30"/>
        <v>0</v>
      </c>
    </row>
    <row r="224" spans="1:68" ht="37.5" hidden="1" customHeight="1" x14ac:dyDescent="0.25">
      <c r="A224" s="60" t="s">
        <v>392</v>
      </c>
      <c r="B224" s="60" t="s">
        <v>393</v>
      </c>
      <c r="C224" s="34">
        <v>4301031530</v>
      </c>
      <c r="D224" s="634">
        <v>4680115881679</v>
      </c>
      <c r="E224" s="634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0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36"/>
      <c r="R224" s="636"/>
      <c r="S224" s="636"/>
      <c r="T224" s="63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6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67</v>
      </c>
      <c r="BM224" s="75">
        <f t="shared" si="27"/>
        <v>0</v>
      </c>
      <c r="BN224" s="75">
        <f t="shared" si="28"/>
        <v>0</v>
      </c>
      <c r="BO224" s="75">
        <f t="shared" si="29"/>
        <v>0</v>
      </c>
      <c r="BP224" s="75">
        <f t="shared" si="30"/>
        <v>0</v>
      </c>
    </row>
    <row r="225" spans="1:68" ht="27" hidden="1" customHeight="1" x14ac:dyDescent="0.25">
      <c r="A225" s="60" t="s">
        <v>394</v>
      </c>
      <c r="B225" s="60" t="s">
        <v>395</v>
      </c>
      <c r="C225" s="34">
        <v>4301031531</v>
      </c>
      <c r="D225" s="634">
        <v>4680115880191</v>
      </c>
      <c r="E225" s="634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88</v>
      </c>
      <c r="L225" s="35" t="s">
        <v>46</v>
      </c>
      <c r="M225" s="36" t="s">
        <v>81</v>
      </c>
      <c r="N225" s="36"/>
      <c r="O225" s="35">
        <v>45</v>
      </c>
      <c r="P225" s="80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36"/>
      <c r="R225" s="636"/>
      <c r="S225" s="636"/>
      <c r="T225" s="63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6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372</v>
      </c>
      <c r="AG225" s="75"/>
      <c r="AJ225" s="79" t="s">
        <v>46</v>
      </c>
      <c r="AK225" s="79">
        <v>0</v>
      </c>
      <c r="BB225" s="300" t="s">
        <v>67</v>
      </c>
      <c r="BM225" s="75">
        <f t="shared" si="27"/>
        <v>0</v>
      </c>
      <c r="BN225" s="75">
        <f t="shared" si="28"/>
        <v>0</v>
      </c>
      <c r="BO225" s="75">
        <f t="shared" si="29"/>
        <v>0</v>
      </c>
      <c r="BP225" s="75">
        <f t="shared" si="30"/>
        <v>0</v>
      </c>
    </row>
    <row r="226" spans="1:68" ht="27" hidden="1" customHeight="1" x14ac:dyDescent="0.25">
      <c r="A226" s="60" t="s">
        <v>396</v>
      </c>
      <c r="B226" s="60" t="s">
        <v>397</v>
      </c>
      <c r="C226" s="34">
        <v>4301031245</v>
      </c>
      <c r="D226" s="634">
        <v>4680115883963</v>
      </c>
      <c r="E226" s="634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6"/>
      <c r="R226" s="636"/>
      <c r="S226" s="636"/>
      <c r="T226" s="63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6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398</v>
      </c>
      <c r="AG226" s="75"/>
      <c r="AJ226" s="79" t="s">
        <v>46</v>
      </c>
      <c r="AK226" s="79">
        <v>0</v>
      </c>
      <c r="BB226" s="302" t="s">
        <v>67</v>
      </c>
      <c r="BM226" s="75">
        <f t="shared" si="27"/>
        <v>0</v>
      </c>
      <c r="BN226" s="75">
        <f t="shared" si="28"/>
        <v>0</v>
      </c>
      <c r="BO226" s="75">
        <f t="shared" si="29"/>
        <v>0</v>
      </c>
      <c r="BP226" s="75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39</v>
      </c>
      <c r="X227" s="41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11.904761904761905</v>
      </c>
      <c r="Y227" s="41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12</v>
      </c>
      <c r="Z227" s="4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0.10824</v>
      </c>
      <c r="AA227" s="64"/>
      <c r="AB227" s="64"/>
      <c r="AC227" s="64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0" t="s">
        <v>0</v>
      </c>
      <c r="X228" s="41">
        <f>IFERROR(SUM(X214:X226),"0")</f>
        <v>50</v>
      </c>
      <c r="Y228" s="41">
        <f>IFERROR(SUM(Y214:Y226),"0")</f>
        <v>50.400000000000006</v>
      </c>
      <c r="Z228" s="40"/>
      <c r="AA228" s="64"/>
      <c r="AB228" s="64"/>
      <c r="AC228" s="64"/>
    </row>
    <row r="229" spans="1:68" ht="14.25" hidden="1" customHeight="1" x14ac:dyDescent="0.25">
      <c r="A229" s="639" t="s">
        <v>83</v>
      </c>
      <c r="B229" s="639"/>
      <c r="C229" s="639"/>
      <c r="D229" s="639"/>
      <c r="E229" s="639"/>
      <c r="F229" s="639"/>
      <c r="G229" s="639"/>
      <c r="H229" s="639"/>
      <c r="I229" s="639"/>
      <c r="J229" s="639"/>
      <c r="K229" s="639"/>
      <c r="L229" s="639"/>
      <c r="M229" s="639"/>
      <c r="N229" s="639"/>
      <c r="O229" s="639"/>
      <c r="P229" s="639"/>
      <c r="Q229" s="639"/>
      <c r="R229" s="639"/>
      <c r="S229" s="639"/>
      <c r="T229" s="639"/>
      <c r="U229" s="639"/>
      <c r="V229" s="639"/>
      <c r="W229" s="639"/>
      <c r="X229" s="639"/>
      <c r="Y229" s="639"/>
      <c r="Z229" s="639"/>
      <c r="AA229" s="63"/>
      <c r="AB229" s="63"/>
      <c r="AC229" s="63"/>
    </row>
    <row r="230" spans="1:68" ht="16.5" hidden="1" customHeight="1" x14ac:dyDescent="0.25">
      <c r="A230" s="60" t="s">
        <v>399</v>
      </c>
      <c r="B230" s="60" t="s">
        <v>400</v>
      </c>
      <c r="C230" s="34">
        <v>4301052279</v>
      </c>
      <c r="D230" s="634">
        <v>4680115888692</v>
      </c>
      <c r="E230" s="634"/>
      <c r="F230" s="59">
        <v>0.8</v>
      </c>
      <c r="G230" s="35">
        <v>6</v>
      </c>
      <c r="H230" s="59">
        <v>4.8</v>
      </c>
      <c r="I230" s="59">
        <v>5.2220000000000004</v>
      </c>
      <c r="J230" s="35">
        <v>104</v>
      </c>
      <c r="K230" s="35" t="s">
        <v>124</v>
      </c>
      <c r="L230" s="35" t="s">
        <v>46</v>
      </c>
      <c r="M230" s="36" t="s">
        <v>94</v>
      </c>
      <c r="N230" s="36"/>
      <c r="O230" s="35">
        <v>40</v>
      </c>
      <c r="P230" s="79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36"/>
      <c r="R230" s="636"/>
      <c r="S230" s="636"/>
      <c r="T230" s="63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IFERROR(IF(Y230=0,"",ROUNDUP(Y230/H230,0)*0.01196),"")</f>
        <v/>
      </c>
      <c r="AA230" s="65" t="s">
        <v>46</v>
      </c>
      <c r="AB230" s="66" t="s">
        <v>46</v>
      </c>
      <c r="AC230" s="303" t="s">
        <v>401</v>
      </c>
      <c r="AG230" s="75"/>
      <c r="AJ230" s="79" t="s">
        <v>46</v>
      </c>
      <c r="AK230" s="79">
        <v>0</v>
      </c>
      <c r="BB230" s="304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402</v>
      </c>
      <c r="B231" s="60" t="s">
        <v>403</v>
      </c>
      <c r="C231" s="34">
        <v>4301052280</v>
      </c>
      <c r="D231" s="634">
        <v>4680115888722</v>
      </c>
      <c r="E231" s="634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124</v>
      </c>
      <c r="L231" s="35" t="s">
        <v>46</v>
      </c>
      <c r="M231" s="36" t="s">
        <v>94</v>
      </c>
      <c r="N231" s="36"/>
      <c r="O231" s="35">
        <v>40</v>
      </c>
      <c r="P231" s="79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36"/>
      <c r="R231" s="636"/>
      <c r="S231" s="636"/>
      <c r="T231" s="63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404</v>
      </c>
      <c r="AG231" s="75"/>
      <c r="AJ231" s="79" t="s">
        <v>46</v>
      </c>
      <c r="AK231" s="79">
        <v>0</v>
      </c>
      <c r="BB231" s="306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4301052276</v>
      </c>
      <c r="D232" s="634">
        <v>4680115888951</v>
      </c>
      <c r="E232" s="634"/>
      <c r="F232" s="59">
        <v>0.36</v>
      </c>
      <c r="G232" s="35">
        <v>6</v>
      </c>
      <c r="H232" s="59">
        <v>2.16</v>
      </c>
      <c r="I232" s="59">
        <v>2.4220000000000002</v>
      </c>
      <c r="J232" s="35">
        <v>132</v>
      </c>
      <c r="K232" s="35" t="s">
        <v>131</v>
      </c>
      <c r="L232" s="35" t="s">
        <v>46</v>
      </c>
      <c r="M232" s="36" t="s">
        <v>94</v>
      </c>
      <c r="N232" s="36"/>
      <c r="O232" s="35">
        <v>40</v>
      </c>
      <c r="P232" s="79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36"/>
      <c r="R232" s="636"/>
      <c r="S232" s="636"/>
      <c r="T232" s="63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07" t="s">
        <v>401</v>
      </c>
      <c r="AG232" s="75"/>
      <c r="AJ232" s="79" t="s">
        <v>46</v>
      </c>
      <c r="AK232" s="79">
        <v>0</v>
      </c>
      <c r="BB232" s="308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407</v>
      </c>
      <c r="B233" s="60" t="s">
        <v>408</v>
      </c>
      <c r="C233" s="34">
        <v>4301052278</v>
      </c>
      <c r="D233" s="634">
        <v>4680115888975</v>
      </c>
      <c r="E233" s="634"/>
      <c r="F233" s="59">
        <v>0.32</v>
      </c>
      <c r="G233" s="35">
        <v>6</v>
      </c>
      <c r="H233" s="59">
        <v>1.92</v>
      </c>
      <c r="I233" s="59">
        <v>2.1819999999999999</v>
      </c>
      <c r="J233" s="35">
        <v>132</v>
      </c>
      <c r="K233" s="35" t="s">
        <v>131</v>
      </c>
      <c r="L233" s="35" t="s">
        <v>46</v>
      </c>
      <c r="M233" s="36" t="s">
        <v>94</v>
      </c>
      <c r="N233" s="36"/>
      <c r="O233" s="35">
        <v>40</v>
      </c>
      <c r="P233" s="79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36"/>
      <c r="R233" s="636"/>
      <c r="S233" s="636"/>
      <c r="T233" s="637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409</v>
      </c>
      <c r="AG233" s="75"/>
      <c r="AJ233" s="79" t="s">
        <v>46</v>
      </c>
      <c r="AK233" s="79">
        <v>0</v>
      </c>
      <c r="BB233" s="310" t="s">
        <v>67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410</v>
      </c>
      <c r="B234" s="60" t="s">
        <v>411</v>
      </c>
      <c r="C234" s="34">
        <v>4301052277</v>
      </c>
      <c r="D234" s="634">
        <v>4680115888982</v>
      </c>
      <c r="E234" s="634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131</v>
      </c>
      <c r="L234" s="35" t="s">
        <v>46</v>
      </c>
      <c r="M234" s="36" t="s">
        <v>94</v>
      </c>
      <c r="N234" s="36"/>
      <c r="O234" s="35">
        <v>40</v>
      </c>
      <c r="P234" s="79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6"/>
      <c r="R234" s="636"/>
      <c r="S234" s="636"/>
      <c r="T234" s="637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404</v>
      </c>
      <c r="AG234" s="75"/>
      <c r="AJ234" s="79" t="s">
        <v>46</v>
      </c>
      <c r="AK234" s="79">
        <v>0</v>
      </c>
      <c r="BB234" s="312" t="s">
        <v>67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39" t="s">
        <v>274</v>
      </c>
      <c r="B237" s="639"/>
      <c r="C237" s="639"/>
      <c r="D237" s="639"/>
      <c r="E237" s="639"/>
      <c r="F237" s="639"/>
      <c r="G237" s="639"/>
      <c r="H237" s="639"/>
      <c r="I237" s="639"/>
      <c r="J237" s="639"/>
      <c r="K237" s="639"/>
      <c r="L237" s="639"/>
      <c r="M237" s="639"/>
      <c r="N237" s="639"/>
      <c r="O237" s="639"/>
      <c r="P237" s="639"/>
      <c r="Q237" s="639"/>
      <c r="R237" s="639"/>
      <c r="S237" s="639"/>
      <c r="T237" s="639"/>
      <c r="U237" s="639"/>
      <c r="V237" s="639"/>
      <c r="W237" s="639"/>
      <c r="X237" s="639"/>
      <c r="Y237" s="639"/>
      <c r="Z237" s="639"/>
      <c r="AA237" s="63"/>
      <c r="AB237" s="63"/>
      <c r="AC237" s="63"/>
    </row>
    <row r="238" spans="1:68" ht="27" hidden="1" customHeight="1" x14ac:dyDescent="0.25">
      <c r="A238" s="60" t="s">
        <v>412</v>
      </c>
      <c r="B238" s="60" t="s">
        <v>413</v>
      </c>
      <c r="C238" s="34">
        <v>4301032053</v>
      </c>
      <c r="D238" s="634">
        <v>4680115886780</v>
      </c>
      <c r="E238" s="634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333</v>
      </c>
      <c r="L238" s="35" t="s">
        <v>46</v>
      </c>
      <c r="M238" s="36" t="s">
        <v>279</v>
      </c>
      <c r="N238" s="36"/>
      <c r="O238" s="35">
        <v>60</v>
      </c>
      <c r="P238" s="79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6"/>
      <c r="R238" s="636"/>
      <c r="S238" s="636"/>
      <c r="T238" s="637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414</v>
      </c>
      <c r="AG238" s="75"/>
      <c r="AJ238" s="79" t="s">
        <v>46</v>
      </c>
      <c r="AK238" s="79">
        <v>0</v>
      </c>
      <c r="BB238" s="314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415</v>
      </c>
      <c r="B239" s="60" t="s">
        <v>416</v>
      </c>
      <c r="C239" s="34">
        <v>4301032051</v>
      </c>
      <c r="D239" s="634">
        <v>4680115886742</v>
      </c>
      <c r="E239" s="634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333</v>
      </c>
      <c r="L239" s="35" t="s">
        <v>46</v>
      </c>
      <c r="M239" s="36" t="s">
        <v>279</v>
      </c>
      <c r="N239" s="36"/>
      <c r="O239" s="35">
        <v>90</v>
      </c>
      <c r="P239" s="79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6"/>
      <c r="R239" s="636"/>
      <c r="S239" s="636"/>
      <c r="T239" s="637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417</v>
      </c>
      <c r="AG239" s="75"/>
      <c r="AJ239" s="79" t="s">
        <v>46</v>
      </c>
      <c r="AK239" s="79">
        <v>0</v>
      </c>
      <c r="BB239" s="316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4301032052</v>
      </c>
      <c r="D240" s="634">
        <v>4680115886766</v>
      </c>
      <c r="E240" s="634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333</v>
      </c>
      <c r="L240" s="35" t="s">
        <v>46</v>
      </c>
      <c r="M240" s="36" t="s">
        <v>279</v>
      </c>
      <c r="N240" s="36"/>
      <c r="O240" s="35">
        <v>90</v>
      </c>
      <c r="P240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6"/>
      <c r="R240" s="636"/>
      <c r="S240" s="636"/>
      <c r="T240" s="63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417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39" t="s">
        <v>420</v>
      </c>
      <c r="B243" s="639"/>
      <c r="C243" s="639"/>
      <c r="D243" s="639"/>
      <c r="E243" s="639"/>
      <c r="F243" s="639"/>
      <c r="G243" s="639"/>
      <c r="H243" s="639"/>
      <c r="I243" s="639"/>
      <c r="J243" s="639"/>
      <c r="K243" s="639"/>
      <c r="L243" s="639"/>
      <c r="M243" s="639"/>
      <c r="N243" s="639"/>
      <c r="O243" s="639"/>
      <c r="P243" s="639"/>
      <c r="Q243" s="639"/>
      <c r="R243" s="639"/>
      <c r="S243" s="639"/>
      <c r="T243" s="639"/>
      <c r="U243" s="639"/>
      <c r="V243" s="639"/>
      <c r="W243" s="639"/>
      <c r="X243" s="639"/>
      <c r="Y243" s="639"/>
      <c r="Z243" s="639"/>
      <c r="AA243" s="63"/>
      <c r="AB243" s="63"/>
      <c r="AC243" s="63"/>
    </row>
    <row r="244" spans="1:68" ht="27" hidden="1" customHeight="1" x14ac:dyDescent="0.25">
      <c r="A244" s="60" t="s">
        <v>421</v>
      </c>
      <c r="B244" s="60" t="s">
        <v>422</v>
      </c>
      <c r="C244" s="34">
        <v>4301170013</v>
      </c>
      <c r="D244" s="634">
        <v>4680115886797</v>
      </c>
      <c r="E244" s="634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333</v>
      </c>
      <c r="L244" s="35" t="s">
        <v>46</v>
      </c>
      <c r="M244" s="36" t="s">
        <v>279</v>
      </c>
      <c r="N244" s="36"/>
      <c r="O244" s="35">
        <v>90</v>
      </c>
      <c r="P244" s="79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6"/>
      <c r="R244" s="636"/>
      <c r="S244" s="636"/>
      <c r="T244" s="63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417</v>
      </c>
      <c r="AG244" s="75"/>
      <c r="AJ244" s="79" t="s">
        <v>46</v>
      </c>
      <c r="AK244" s="79">
        <v>0</v>
      </c>
      <c r="BB244" s="320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38" t="s">
        <v>423</v>
      </c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8"/>
      <c r="P247" s="638"/>
      <c r="Q247" s="638"/>
      <c r="R247" s="638"/>
      <c r="S247" s="638"/>
      <c r="T247" s="638"/>
      <c r="U247" s="638"/>
      <c r="V247" s="638"/>
      <c r="W247" s="638"/>
      <c r="X247" s="638"/>
      <c r="Y247" s="638"/>
      <c r="Z247" s="638"/>
      <c r="AA247" s="62"/>
      <c r="AB247" s="62"/>
      <c r="AC247" s="62"/>
    </row>
    <row r="248" spans="1:68" ht="14.25" hidden="1" customHeight="1" x14ac:dyDescent="0.25">
      <c r="A248" s="639" t="s">
        <v>119</v>
      </c>
      <c r="B248" s="639"/>
      <c r="C248" s="639"/>
      <c r="D248" s="639"/>
      <c r="E248" s="639"/>
      <c r="F248" s="639"/>
      <c r="G248" s="639"/>
      <c r="H248" s="639"/>
      <c r="I248" s="639"/>
      <c r="J248" s="639"/>
      <c r="K248" s="639"/>
      <c r="L248" s="639"/>
      <c r="M248" s="639"/>
      <c r="N248" s="639"/>
      <c r="O248" s="639"/>
      <c r="P248" s="639"/>
      <c r="Q248" s="639"/>
      <c r="R248" s="639"/>
      <c r="S248" s="639"/>
      <c r="T248" s="639"/>
      <c r="U248" s="639"/>
      <c r="V248" s="639"/>
      <c r="W248" s="639"/>
      <c r="X248" s="639"/>
      <c r="Y248" s="639"/>
      <c r="Z248" s="639"/>
      <c r="AA248" s="63"/>
      <c r="AB248" s="63"/>
      <c r="AC248" s="63"/>
    </row>
    <row r="249" spans="1:68" ht="27" hidden="1" customHeight="1" x14ac:dyDescent="0.25">
      <c r="A249" s="60" t="s">
        <v>424</v>
      </c>
      <c r="B249" s="60" t="s">
        <v>425</v>
      </c>
      <c r="C249" s="34">
        <v>4301011450</v>
      </c>
      <c r="D249" s="634">
        <v>4680115881402</v>
      </c>
      <c r="E249" s="634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124</v>
      </c>
      <c r="L249" s="35" t="s">
        <v>46</v>
      </c>
      <c r="M249" s="36" t="s">
        <v>123</v>
      </c>
      <c r="N249" s="36"/>
      <c r="O249" s="35">
        <v>55</v>
      </c>
      <c r="P249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6"/>
      <c r="R249" s="636"/>
      <c r="S249" s="636"/>
      <c r="T249" s="63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426</v>
      </c>
      <c r="AG249" s="75"/>
      <c r="AJ249" s="79" t="s">
        <v>46</v>
      </c>
      <c r="AK249" s="79">
        <v>0</v>
      </c>
      <c r="BB249" s="32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427</v>
      </c>
      <c r="B250" s="60" t="s">
        <v>428</v>
      </c>
      <c r="C250" s="34">
        <v>4301011768</v>
      </c>
      <c r="D250" s="634">
        <v>4680115881396</v>
      </c>
      <c r="E250" s="634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88</v>
      </c>
      <c r="L250" s="35" t="s">
        <v>46</v>
      </c>
      <c r="M250" s="36" t="s">
        <v>123</v>
      </c>
      <c r="N250" s="36"/>
      <c r="O250" s="35">
        <v>55</v>
      </c>
      <c r="P250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6"/>
      <c r="R250" s="636"/>
      <c r="S250" s="636"/>
      <c r="T250" s="63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426</v>
      </c>
      <c r="AG250" s="75"/>
      <c r="AJ250" s="79" t="s">
        <v>46</v>
      </c>
      <c r="AK250" s="79">
        <v>0</v>
      </c>
      <c r="BB250" s="32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39" t="s">
        <v>154</v>
      </c>
      <c r="B253" s="639"/>
      <c r="C253" s="639"/>
      <c r="D253" s="639"/>
      <c r="E253" s="639"/>
      <c r="F253" s="639"/>
      <c r="G253" s="639"/>
      <c r="H253" s="639"/>
      <c r="I253" s="639"/>
      <c r="J253" s="639"/>
      <c r="K253" s="639"/>
      <c r="L253" s="639"/>
      <c r="M253" s="639"/>
      <c r="N253" s="639"/>
      <c r="O253" s="639"/>
      <c r="P253" s="639"/>
      <c r="Q253" s="639"/>
      <c r="R253" s="639"/>
      <c r="S253" s="639"/>
      <c r="T253" s="639"/>
      <c r="U253" s="639"/>
      <c r="V253" s="639"/>
      <c r="W253" s="639"/>
      <c r="X253" s="639"/>
      <c r="Y253" s="639"/>
      <c r="Z253" s="639"/>
      <c r="AA253" s="63"/>
      <c r="AB253" s="63"/>
      <c r="AC253" s="63"/>
    </row>
    <row r="254" spans="1:68" ht="16.5" hidden="1" customHeight="1" x14ac:dyDescent="0.25">
      <c r="A254" s="60" t="s">
        <v>429</v>
      </c>
      <c r="B254" s="60" t="s">
        <v>430</v>
      </c>
      <c r="C254" s="34">
        <v>4301020261</v>
      </c>
      <c r="D254" s="634">
        <v>4680115882935</v>
      </c>
      <c r="E254" s="634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124</v>
      </c>
      <c r="L254" s="35" t="s">
        <v>46</v>
      </c>
      <c r="M254" s="36" t="s">
        <v>123</v>
      </c>
      <c r="N254" s="36"/>
      <c r="O254" s="35">
        <v>50</v>
      </c>
      <c r="P254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6"/>
      <c r="R254" s="636"/>
      <c r="S254" s="636"/>
      <c r="T254" s="63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431</v>
      </c>
      <c r="AG254" s="75"/>
      <c r="AJ254" s="79" t="s">
        <v>46</v>
      </c>
      <c r="AK254" s="79">
        <v>0</v>
      </c>
      <c r="BB254" s="326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432</v>
      </c>
      <c r="B255" s="60" t="s">
        <v>433</v>
      </c>
      <c r="C255" s="34">
        <v>4301020220</v>
      </c>
      <c r="D255" s="634">
        <v>4680115880764</v>
      </c>
      <c r="E255" s="634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88</v>
      </c>
      <c r="L255" s="35" t="s">
        <v>46</v>
      </c>
      <c r="M255" s="36" t="s">
        <v>123</v>
      </c>
      <c r="N255" s="36"/>
      <c r="O255" s="35">
        <v>50</v>
      </c>
      <c r="P255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6"/>
      <c r="R255" s="636"/>
      <c r="S255" s="636"/>
      <c r="T255" s="637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431</v>
      </c>
      <c r="AG255" s="75"/>
      <c r="AJ255" s="79" t="s">
        <v>46</v>
      </c>
      <c r="AK255" s="79">
        <v>0</v>
      </c>
      <c r="BB255" s="328" t="s">
        <v>67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39" t="s">
        <v>77</v>
      </c>
      <c r="B258" s="639"/>
      <c r="C258" s="639"/>
      <c r="D258" s="639"/>
      <c r="E258" s="639"/>
      <c r="F258" s="639"/>
      <c r="G258" s="639"/>
      <c r="H258" s="639"/>
      <c r="I258" s="639"/>
      <c r="J258" s="639"/>
      <c r="K258" s="639"/>
      <c r="L258" s="639"/>
      <c r="M258" s="639"/>
      <c r="N258" s="639"/>
      <c r="O258" s="639"/>
      <c r="P258" s="639"/>
      <c r="Q258" s="639"/>
      <c r="R258" s="639"/>
      <c r="S258" s="639"/>
      <c r="T258" s="639"/>
      <c r="U258" s="639"/>
      <c r="V258" s="639"/>
      <c r="W258" s="639"/>
      <c r="X258" s="639"/>
      <c r="Y258" s="639"/>
      <c r="Z258" s="639"/>
      <c r="AA258" s="63"/>
      <c r="AB258" s="63"/>
      <c r="AC258" s="63"/>
    </row>
    <row r="259" spans="1:68" ht="27" customHeight="1" x14ac:dyDescent="0.25">
      <c r="A259" s="60" t="s">
        <v>434</v>
      </c>
      <c r="B259" s="60" t="s">
        <v>435</v>
      </c>
      <c r="C259" s="34">
        <v>4301031224</v>
      </c>
      <c r="D259" s="634">
        <v>4680115882683</v>
      </c>
      <c r="E259" s="634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131</v>
      </c>
      <c r="L259" s="35" t="s">
        <v>46</v>
      </c>
      <c r="M259" s="36" t="s">
        <v>81</v>
      </c>
      <c r="N259" s="36"/>
      <c r="O259" s="35">
        <v>40</v>
      </c>
      <c r="P259" s="78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6"/>
      <c r="R259" s="636"/>
      <c r="S259" s="636"/>
      <c r="T259" s="637"/>
      <c r="U259" s="37" t="s">
        <v>46</v>
      </c>
      <c r="V259" s="37" t="s">
        <v>46</v>
      </c>
      <c r="W259" s="38" t="s">
        <v>0</v>
      </c>
      <c r="X259" s="56">
        <v>50</v>
      </c>
      <c r="Y259" s="53">
        <f t="shared" ref="Y259:Y266" si="31">IFERROR(IF(X259="",0,CEILING((X259/$H259),1)*$H259),"")</f>
        <v>54</v>
      </c>
      <c r="Z259" s="39">
        <f>IFERROR(IF(Y259=0,"",ROUNDUP(Y259/H259,0)*0.00902),"")</f>
        <v>9.0200000000000002E-2</v>
      </c>
      <c r="AA259" s="65" t="s">
        <v>46</v>
      </c>
      <c r="AB259" s="66" t="s">
        <v>46</v>
      </c>
      <c r="AC259" s="329" t="s">
        <v>436</v>
      </c>
      <c r="AG259" s="75"/>
      <c r="AJ259" s="79" t="s">
        <v>46</v>
      </c>
      <c r="AK259" s="79">
        <v>0</v>
      </c>
      <c r="BB259" s="330" t="s">
        <v>67</v>
      </c>
      <c r="BM259" s="75">
        <f t="shared" ref="BM259:BM266" si="32">IFERROR(X259*I259/H259,"0")</f>
        <v>51.759259259259252</v>
      </c>
      <c r="BN259" s="75">
        <f t="shared" ref="BN259:BN266" si="33">IFERROR(Y259*I259/H259,"0")</f>
        <v>55.9</v>
      </c>
      <c r="BO259" s="75">
        <f t="shared" ref="BO259:BO266" si="34">IFERROR(1/J259*(X259/H259),"0")</f>
        <v>7.0145903479236812E-2</v>
      </c>
      <c r="BP259" s="75">
        <f t="shared" ref="BP259:BP266" si="35">IFERROR(1/J259*(Y259/H259),"0")</f>
        <v>7.575757575757576E-2</v>
      </c>
    </row>
    <row r="260" spans="1:68" ht="27" customHeight="1" x14ac:dyDescent="0.25">
      <c r="A260" s="60" t="s">
        <v>437</v>
      </c>
      <c r="B260" s="60" t="s">
        <v>438</v>
      </c>
      <c r="C260" s="34">
        <v>4301031230</v>
      </c>
      <c r="D260" s="634">
        <v>4680115882690</v>
      </c>
      <c r="E260" s="634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131</v>
      </c>
      <c r="L260" s="35" t="s">
        <v>46</v>
      </c>
      <c r="M260" s="36" t="s">
        <v>81</v>
      </c>
      <c r="N260" s="36"/>
      <c r="O260" s="35">
        <v>40</v>
      </c>
      <c r="P260" s="78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6"/>
      <c r="R260" s="636"/>
      <c r="S260" s="636"/>
      <c r="T260" s="637"/>
      <c r="U260" s="37" t="s">
        <v>46</v>
      </c>
      <c r="V260" s="37" t="s">
        <v>46</v>
      </c>
      <c r="W260" s="38" t="s">
        <v>0</v>
      </c>
      <c r="X260" s="56">
        <v>50</v>
      </c>
      <c r="Y260" s="53">
        <f t="shared" si="31"/>
        <v>54</v>
      </c>
      <c r="Z260" s="39">
        <f>IFERROR(IF(Y260=0,"",ROUNDUP(Y260/H260,0)*0.00902),"")</f>
        <v>9.0200000000000002E-2</v>
      </c>
      <c r="AA260" s="65" t="s">
        <v>46</v>
      </c>
      <c r="AB260" s="66" t="s">
        <v>46</v>
      </c>
      <c r="AC260" s="331" t="s">
        <v>439</v>
      </c>
      <c r="AG260" s="75"/>
      <c r="AJ260" s="79" t="s">
        <v>46</v>
      </c>
      <c r="AK260" s="79">
        <v>0</v>
      </c>
      <c r="BB260" s="332" t="s">
        <v>67</v>
      </c>
      <c r="BM260" s="75">
        <f t="shared" si="32"/>
        <v>51.759259259259252</v>
      </c>
      <c r="BN260" s="75">
        <f t="shared" si="33"/>
        <v>55.9</v>
      </c>
      <c r="BO260" s="75">
        <f t="shared" si="34"/>
        <v>7.0145903479236812E-2</v>
      </c>
      <c r="BP260" s="75">
        <f t="shared" si="35"/>
        <v>7.575757575757576E-2</v>
      </c>
    </row>
    <row r="261" spans="1:68" ht="27" customHeight="1" x14ac:dyDescent="0.25">
      <c r="A261" s="60" t="s">
        <v>440</v>
      </c>
      <c r="B261" s="60" t="s">
        <v>441</v>
      </c>
      <c r="C261" s="34">
        <v>4301031220</v>
      </c>
      <c r="D261" s="634">
        <v>4680115882669</v>
      </c>
      <c r="E261" s="634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131</v>
      </c>
      <c r="L261" s="35" t="s">
        <v>46</v>
      </c>
      <c r="M261" s="36" t="s">
        <v>81</v>
      </c>
      <c r="N261" s="36"/>
      <c r="O261" s="35">
        <v>40</v>
      </c>
      <c r="P261" s="7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6"/>
      <c r="R261" s="636"/>
      <c r="S261" s="636"/>
      <c r="T261" s="637"/>
      <c r="U261" s="37" t="s">
        <v>46</v>
      </c>
      <c r="V261" s="37" t="s">
        <v>46</v>
      </c>
      <c r="W261" s="38" t="s">
        <v>0</v>
      </c>
      <c r="X261" s="56">
        <v>50</v>
      </c>
      <c r="Y261" s="53">
        <f t="shared" si="31"/>
        <v>54</v>
      </c>
      <c r="Z261" s="39">
        <f>IFERROR(IF(Y261=0,"",ROUNDUP(Y261/H261,0)*0.00902),"")</f>
        <v>9.0200000000000002E-2</v>
      </c>
      <c r="AA261" s="65" t="s">
        <v>46</v>
      </c>
      <c r="AB261" s="66" t="s">
        <v>46</v>
      </c>
      <c r="AC261" s="333" t="s">
        <v>442</v>
      </c>
      <c r="AG261" s="75"/>
      <c r="AJ261" s="79" t="s">
        <v>46</v>
      </c>
      <c r="AK261" s="79">
        <v>0</v>
      </c>
      <c r="BB261" s="334" t="s">
        <v>67</v>
      </c>
      <c r="BM261" s="75">
        <f t="shared" si="32"/>
        <v>51.759259259259252</v>
      </c>
      <c r="BN261" s="75">
        <f t="shared" si="33"/>
        <v>55.9</v>
      </c>
      <c r="BO261" s="75">
        <f t="shared" si="34"/>
        <v>7.0145903479236812E-2</v>
      </c>
      <c r="BP261" s="75">
        <f t="shared" si="35"/>
        <v>7.575757575757576E-2</v>
      </c>
    </row>
    <row r="262" spans="1:68" ht="27" hidden="1" customHeight="1" x14ac:dyDescent="0.25">
      <c r="A262" s="60" t="s">
        <v>443</v>
      </c>
      <c r="B262" s="60" t="s">
        <v>444</v>
      </c>
      <c r="C262" s="34">
        <v>4301031221</v>
      </c>
      <c r="D262" s="634">
        <v>4680115882676</v>
      </c>
      <c r="E262" s="634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131</v>
      </c>
      <c r="L262" s="35" t="s">
        <v>46</v>
      </c>
      <c r="M262" s="36" t="s">
        <v>81</v>
      </c>
      <c r="N262" s="36"/>
      <c r="O262" s="35">
        <v>40</v>
      </c>
      <c r="P262" s="7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6"/>
      <c r="R262" s="636"/>
      <c r="S262" s="636"/>
      <c r="T262" s="637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31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445</v>
      </c>
      <c r="AG262" s="75"/>
      <c r="AJ262" s="79" t="s">
        <v>46</v>
      </c>
      <c r="AK262" s="79">
        <v>0</v>
      </c>
      <c r="BB262" s="336" t="s">
        <v>67</v>
      </c>
      <c r="BM262" s="75">
        <f t="shared" si="32"/>
        <v>0</v>
      </c>
      <c r="BN262" s="75">
        <f t="shared" si="33"/>
        <v>0</v>
      </c>
      <c r="BO262" s="75">
        <f t="shared" si="34"/>
        <v>0</v>
      </c>
      <c r="BP262" s="75">
        <f t="shared" si="35"/>
        <v>0</v>
      </c>
    </row>
    <row r="263" spans="1:68" ht="27" hidden="1" customHeight="1" x14ac:dyDescent="0.25">
      <c r="A263" s="60" t="s">
        <v>446</v>
      </c>
      <c r="B263" s="60" t="s">
        <v>447</v>
      </c>
      <c r="C263" s="34">
        <v>4301031223</v>
      </c>
      <c r="D263" s="634">
        <v>4680115884014</v>
      </c>
      <c r="E263" s="634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82</v>
      </c>
      <c r="L263" s="35" t="s">
        <v>46</v>
      </c>
      <c r="M263" s="36" t="s">
        <v>81</v>
      </c>
      <c r="N263" s="36"/>
      <c r="O263" s="35">
        <v>40</v>
      </c>
      <c r="P263" s="78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6"/>
      <c r="R263" s="636"/>
      <c r="S263" s="636"/>
      <c r="T263" s="637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1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436</v>
      </c>
      <c r="AG263" s="75"/>
      <c r="AJ263" s="79" t="s">
        <v>46</v>
      </c>
      <c r="AK263" s="79">
        <v>0</v>
      </c>
      <c r="BB263" s="338" t="s">
        <v>67</v>
      </c>
      <c r="BM263" s="75">
        <f t="shared" si="32"/>
        <v>0</v>
      </c>
      <c r="BN263" s="75">
        <f t="shared" si="33"/>
        <v>0</v>
      </c>
      <c r="BO263" s="75">
        <f t="shared" si="34"/>
        <v>0</v>
      </c>
      <c r="BP263" s="75">
        <f t="shared" si="35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4301031222</v>
      </c>
      <c r="D264" s="634">
        <v>4680115884007</v>
      </c>
      <c r="E264" s="634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82</v>
      </c>
      <c r="L264" s="35" t="s">
        <v>46</v>
      </c>
      <c r="M264" s="36" t="s">
        <v>81</v>
      </c>
      <c r="N264" s="36"/>
      <c r="O264" s="35">
        <v>40</v>
      </c>
      <c r="P264" s="7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6"/>
      <c r="R264" s="636"/>
      <c r="S264" s="636"/>
      <c r="T264" s="637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1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439</v>
      </c>
      <c r="AG264" s="75"/>
      <c r="AJ264" s="79" t="s">
        <v>46</v>
      </c>
      <c r="AK264" s="79">
        <v>0</v>
      </c>
      <c r="BB264" s="340" t="s">
        <v>67</v>
      </c>
      <c r="BM264" s="75">
        <f t="shared" si="32"/>
        <v>0</v>
      </c>
      <c r="BN264" s="75">
        <f t="shared" si="33"/>
        <v>0</v>
      </c>
      <c r="BO264" s="75">
        <f t="shared" si="34"/>
        <v>0</v>
      </c>
      <c r="BP264" s="75">
        <f t="shared" si="35"/>
        <v>0</v>
      </c>
    </row>
    <row r="265" spans="1:68" ht="27" hidden="1" customHeight="1" x14ac:dyDescent="0.25">
      <c r="A265" s="60" t="s">
        <v>450</v>
      </c>
      <c r="B265" s="60" t="s">
        <v>451</v>
      </c>
      <c r="C265" s="34">
        <v>4301031229</v>
      </c>
      <c r="D265" s="634">
        <v>4680115884038</v>
      </c>
      <c r="E265" s="634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82</v>
      </c>
      <c r="L265" s="35" t="s">
        <v>46</v>
      </c>
      <c r="M265" s="36" t="s">
        <v>81</v>
      </c>
      <c r="N265" s="36"/>
      <c r="O265" s="35">
        <v>40</v>
      </c>
      <c r="P265" s="7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6"/>
      <c r="R265" s="636"/>
      <c r="S265" s="636"/>
      <c r="T265" s="637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1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442</v>
      </c>
      <c r="AG265" s="75"/>
      <c r="AJ265" s="79" t="s">
        <v>46</v>
      </c>
      <c r="AK265" s="79">
        <v>0</v>
      </c>
      <c r="BB265" s="342" t="s">
        <v>67</v>
      </c>
      <c r="BM265" s="75">
        <f t="shared" si="32"/>
        <v>0</v>
      </c>
      <c r="BN265" s="75">
        <f t="shared" si="33"/>
        <v>0</v>
      </c>
      <c r="BO265" s="75">
        <f t="shared" si="34"/>
        <v>0</v>
      </c>
      <c r="BP265" s="75">
        <f t="shared" si="35"/>
        <v>0</v>
      </c>
    </row>
    <row r="266" spans="1:68" ht="27" hidden="1" customHeight="1" x14ac:dyDescent="0.25">
      <c r="A266" s="60" t="s">
        <v>452</v>
      </c>
      <c r="B266" s="60" t="s">
        <v>453</v>
      </c>
      <c r="C266" s="34">
        <v>4301031225</v>
      </c>
      <c r="D266" s="634">
        <v>4680115884021</v>
      </c>
      <c r="E266" s="634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82</v>
      </c>
      <c r="L266" s="35" t="s">
        <v>46</v>
      </c>
      <c r="M266" s="36" t="s">
        <v>81</v>
      </c>
      <c r="N266" s="36"/>
      <c r="O266" s="35">
        <v>40</v>
      </c>
      <c r="P266" s="78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6"/>
      <c r="R266" s="636"/>
      <c r="S266" s="636"/>
      <c r="T266" s="637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1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445</v>
      </c>
      <c r="AG266" s="75"/>
      <c r="AJ266" s="79" t="s">
        <v>46</v>
      </c>
      <c r="AK266" s="79">
        <v>0</v>
      </c>
      <c r="BB266" s="344" t="s">
        <v>67</v>
      </c>
      <c r="BM266" s="75">
        <f t="shared" si="32"/>
        <v>0</v>
      </c>
      <c r="BN266" s="75">
        <f t="shared" si="33"/>
        <v>0</v>
      </c>
      <c r="BO266" s="75">
        <f t="shared" si="34"/>
        <v>0</v>
      </c>
      <c r="BP266" s="75">
        <f t="shared" si="35"/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27.777777777777779</v>
      </c>
      <c r="Y267" s="41">
        <f>IFERROR(Y259/H259,"0")+IFERROR(Y260/H260,"0")+IFERROR(Y261/H261,"0")+IFERROR(Y262/H262,"0")+IFERROR(Y263/H263,"0")+IFERROR(Y264/H264,"0")+IFERROR(Y265/H265,"0")+IFERROR(Y266/H266,"0")</f>
        <v>30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0.27060000000000001</v>
      </c>
      <c r="AA267" s="64"/>
      <c r="AB267" s="64"/>
      <c r="AC267" s="64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IFERROR(SUM(X259:X266),"0")</f>
        <v>150</v>
      </c>
      <c r="Y268" s="41">
        <f>IFERROR(SUM(Y259:Y266),"0")</f>
        <v>162</v>
      </c>
      <c r="Z268" s="40"/>
      <c r="AA268" s="64"/>
      <c r="AB268" s="64"/>
      <c r="AC268" s="64"/>
    </row>
    <row r="269" spans="1:68" ht="14.25" hidden="1" customHeight="1" x14ac:dyDescent="0.25">
      <c r="A269" s="639" t="s">
        <v>83</v>
      </c>
      <c r="B269" s="639"/>
      <c r="C269" s="639"/>
      <c r="D269" s="639"/>
      <c r="E269" s="639"/>
      <c r="F269" s="639"/>
      <c r="G269" s="639"/>
      <c r="H269" s="639"/>
      <c r="I269" s="639"/>
      <c r="J269" s="639"/>
      <c r="K269" s="639"/>
      <c r="L269" s="639"/>
      <c r="M269" s="639"/>
      <c r="N269" s="639"/>
      <c r="O269" s="639"/>
      <c r="P269" s="639"/>
      <c r="Q269" s="639"/>
      <c r="R269" s="639"/>
      <c r="S269" s="639"/>
      <c r="T269" s="639"/>
      <c r="U269" s="639"/>
      <c r="V269" s="639"/>
      <c r="W269" s="639"/>
      <c r="X269" s="639"/>
      <c r="Y269" s="639"/>
      <c r="Z269" s="639"/>
      <c r="AA269" s="63"/>
      <c r="AB269" s="63"/>
      <c r="AC269" s="63"/>
    </row>
    <row r="270" spans="1:68" ht="27" hidden="1" customHeight="1" x14ac:dyDescent="0.25">
      <c r="A270" s="60" t="s">
        <v>454</v>
      </c>
      <c r="B270" s="60" t="s">
        <v>455</v>
      </c>
      <c r="C270" s="34">
        <v>4301051408</v>
      </c>
      <c r="D270" s="634">
        <v>4680115881594</v>
      </c>
      <c r="E270" s="634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124</v>
      </c>
      <c r="L270" s="35" t="s">
        <v>46</v>
      </c>
      <c r="M270" s="36" t="s">
        <v>87</v>
      </c>
      <c r="N270" s="36"/>
      <c r="O270" s="35">
        <v>40</v>
      </c>
      <c r="P270" s="7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6"/>
      <c r="R270" s="636"/>
      <c r="S270" s="636"/>
      <c r="T270" s="63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6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456</v>
      </c>
      <c r="AG270" s="75"/>
      <c r="AJ270" s="79" t="s">
        <v>46</v>
      </c>
      <c r="AK270" s="79">
        <v>0</v>
      </c>
      <c r="BB270" s="346" t="s">
        <v>67</v>
      </c>
      <c r="BM270" s="75">
        <f t="shared" ref="BM270:BM281" si="37">IFERROR(X270*I270/H270,"0")</f>
        <v>0</v>
      </c>
      <c r="BN270" s="75">
        <f t="shared" ref="BN270:BN281" si="38">IFERROR(Y270*I270/H270,"0")</f>
        <v>0</v>
      </c>
      <c r="BO270" s="75">
        <f t="shared" ref="BO270:BO281" si="39">IFERROR(1/J270*(X270/H270),"0")</f>
        <v>0</v>
      </c>
      <c r="BP270" s="75">
        <f t="shared" ref="BP270:BP281" si="40">IFERROR(1/J270*(Y270/H270),"0")</f>
        <v>0</v>
      </c>
    </row>
    <row r="271" spans="1:68" ht="27" hidden="1" customHeight="1" x14ac:dyDescent="0.25">
      <c r="A271" s="60" t="s">
        <v>457</v>
      </c>
      <c r="B271" s="60" t="s">
        <v>458</v>
      </c>
      <c r="C271" s="34">
        <v>4301051411</v>
      </c>
      <c r="D271" s="634">
        <v>4680115881617</v>
      </c>
      <c r="E271" s="634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124</v>
      </c>
      <c r="L271" s="35" t="s">
        <v>46</v>
      </c>
      <c r="M271" s="36" t="s">
        <v>87</v>
      </c>
      <c r="N271" s="36"/>
      <c r="O271" s="35">
        <v>40</v>
      </c>
      <c r="P271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6"/>
      <c r="R271" s="636"/>
      <c r="S271" s="636"/>
      <c r="T271" s="63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6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459</v>
      </c>
      <c r="AG271" s="75"/>
      <c r="AJ271" s="79" t="s">
        <v>46</v>
      </c>
      <c r="AK271" s="79">
        <v>0</v>
      </c>
      <c r="BB271" s="348" t="s">
        <v>67</v>
      </c>
      <c r="BM271" s="75">
        <f t="shared" si="37"/>
        <v>0</v>
      </c>
      <c r="BN271" s="75">
        <f t="shared" si="38"/>
        <v>0</v>
      </c>
      <c r="BO271" s="75">
        <f t="shared" si="39"/>
        <v>0</v>
      </c>
      <c r="BP271" s="75">
        <f t="shared" si="40"/>
        <v>0</v>
      </c>
    </row>
    <row r="272" spans="1:68" ht="27" hidden="1" customHeight="1" x14ac:dyDescent="0.25">
      <c r="A272" s="60" t="s">
        <v>460</v>
      </c>
      <c r="B272" s="60" t="s">
        <v>461</v>
      </c>
      <c r="C272" s="34">
        <v>4301051656</v>
      </c>
      <c r="D272" s="634">
        <v>4680115880573</v>
      </c>
      <c r="E272" s="634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124</v>
      </c>
      <c r="L272" s="35" t="s">
        <v>46</v>
      </c>
      <c r="M272" s="36" t="s">
        <v>87</v>
      </c>
      <c r="N272" s="36"/>
      <c r="O272" s="35">
        <v>45</v>
      </c>
      <c r="P272" s="7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6"/>
      <c r="R272" s="636"/>
      <c r="S272" s="636"/>
      <c r="T272" s="63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6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462</v>
      </c>
      <c r="AG272" s="75"/>
      <c r="AJ272" s="79" t="s">
        <v>46</v>
      </c>
      <c r="AK272" s="79">
        <v>0</v>
      </c>
      <c r="BB272" s="350" t="s">
        <v>67</v>
      </c>
      <c r="BM272" s="75">
        <f t="shared" si="37"/>
        <v>0</v>
      </c>
      <c r="BN272" s="75">
        <f t="shared" si="38"/>
        <v>0</v>
      </c>
      <c r="BO272" s="75">
        <f t="shared" si="39"/>
        <v>0</v>
      </c>
      <c r="BP272" s="75">
        <f t="shared" si="40"/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4301051407</v>
      </c>
      <c r="D273" s="634">
        <v>4680115882195</v>
      </c>
      <c r="E273" s="634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88</v>
      </c>
      <c r="L273" s="35" t="s">
        <v>46</v>
      </c>
      <c r="M273" s="36" t="s">
        <v>87</v>
      </c>
      <c r="N273" s="36"/>
      <c r="O273" s="35">
        <v>40</v>
      </c>
      <c r="P273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6"/>
      <c r="R273" s="636"/>
      <c r="S273" s="636"/>
      <c r="T273" s="63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6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456</v>
      </c>
      <c r="AG273" s="75"/>
      <c r="AJ273" s="79" t="s">
        <v>46</v>
      </c>
      <c r="AK273" s="79">
        <v>0</v>
      </c>
      <c r="BB273" s="352" t="s">
        <v>67</v>
      </c>
      <c r="BM273" s="75">
        <f t="shared" si="37"/>
        <v>0</v>
      </c>
      <c r="BN273" s="75">
        <f t="shared" si="38"/>
        <v>0</v>
      </c>
      <c r="BO273" s="75">
        <f t="shared" si="39"/>
        <v>0</v>
      </c>
      <c r="BP273" s="75">
        <f t="shared" si="40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4301051752</v>
      </c>
      <c r="D274" s="634">
        <v>4680115882607</v>
      </c>
      <c r="E274" s="634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88</v>
      </c>
      <c r="L274" s="35" t="s">
        <v>46</v>
      </c>
      <c r="M274" s="36" t="s">
        <v>94</v>
      </c>
      <c r="N274" s="36"/>
      <c r="O274" s="35">
        <v>45</v>
      </c>
      <c r="P274" s="76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6"/>
      <c r="R274" s="636"/>
      <c r="S274" s="636"/>
      <c r="T274" s="63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6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67</v>
      </c>
      <c r="BM274" s="75">
        <f t="shared" si="37"/>
        <v>0</v>
      </c>
      <c r="BN274" s="75">
        <f t="shared" si="38"/>
        <v>0</v>
      </c>
      <c r="BO274" s="75">
        <f t="shared" si="39"/>
        <v>0</v>
      </c>
      <c r="BP274" s="75">
        <f t="shared" si="40"/>
        <v>0</v>
      </c>
    </row>
    <row r="275" spans="1:68" ht="27" hidden="1" customHeight="1" x14ac:dyDescent="0.25">
      <c r="A275" s="60" t="s">
        <v>467</v>
      </c>
      <c r="B275" s="60" t="s">
        <v>468</v>
      </c>
      <c r="C275" s="34">
        <v>4301052143</v>
      </c>
      <c r="D275" s="634">
        <v>4680115882607</v>
      </c>
      <c r="E275" s="634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131</v>
      </c>
      <c r="L275" s="35" t="s">
        <v>46</v>
      </c>
      <c r="M275" s="36" t="s">
        <v>87</v>
      </c>
      <c r="N275" s="36"/>
      <c r="O275" s="35">
        <v>45</v>
      </c>
      <c r="P275" s="7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6"/>
      <c r="R275" s="636"/>
      <c r="S275" s="636"/>
      <c r="T275" s="63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6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469</v>
      </c>
      <c r="AG275" s="75"/>
      <c r="AJ275" s="79" t="s">
        <v>46</v>
      </c>
      <c r="AK275" s="79">
        <v>0</v>
      </c>
      <c r="BB275" s="356" t="s">
        <v>67</v>
      </c>
      <c r="BM275" s="75">
        <f t="shared" si="37"/>
        <v>0</v>
      </c>
      <c r="BN275" s="75">
        <f t="shared" si="38"/>
        <v>0</v>
      </c>
      <c r="BO275" s="75">
        <f t="shared" si="39"/>
        <v>0</v>
      </c>
      <c r="BP275" s="75">
        <f t="shared" si="40"/>
        <v>0</v>
      </c>
    </row>
    <row r="276" spans="1:68" ht="27" hidden="1" customHeight="1" x14ac:dyDescent="0.25">
      <c r="A276" s="60" t="s">
        <v>470</v>
      </c>
      <c r="B276" s="60" t="s">
        <v>471</v>
      </c>
      <c r="C276" s="34">
        <v>4301051666</v>
      </c>
      <c r="D276" s="634">
        <v>4680115880092</v>
      </c>
      <c r="E276" s="63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87</v>
      </c>
      <c r="N276" s="36"/>
      <c r="O276" s="35">
        <v>45</v>
      </c>
      <c r="P276" s="77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6"/>
      <c r="R276" s="636"/>
      <c r="S276" s="636"/>
      <c r="T276" s="63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6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462</v>
      </c>
      <c r="AG276" s="75"/>
      <c r="AJ276" s="79" t="s">
        <v>46</v>
      </c>
      <c r="AK276" s="79">
        <v>0</v>
      </c>
      <c r="BB276" s="358" t="s">
        <v>67</v>
      </c>
      <c r="BM276" s="75">
        <f t="shared" si="37"/>
        <v>0</v>
      </c>
      <c r="BN276" s="75">
        <f t="shared" si="38"/>
        <v>0</v>
      </c>
      <c r="BO276" s="75">
        <f t="shared" si="39"/>
        <v>0</v>
      </c>
      <c r="BP276" s="75">
        <f t="shared" si="40"/>
        <v>0</v>
      </c>
    </row>
    <row r="277" spans="1:68" ht="27" hidden="1" customHeight="1" x14ac:dyDescent="0.25">
      <c r="A277" s="60" t="s">
        <v>472</v>
      </c>
      <c r="B277" s="60" t="s">
        <v>473</v>
      </c>
      <c r="C277" s="34">
        <v>4301052214</v>
      </c>
      <c r="D277" s="634">
        <v>4680115889064</v>
      </c>
      <c r="E277" s="634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124</v>
      </c>
      <c r="L277" s="35" t="s">
        <v>46</v>
      </c>
      <c r="M277" s="36" t="s">
        <v>87</v>
      </c>
      <c r="N277" s="36"/>
      <c r="O277" s="35">
        <v>45</v>
      </c>
      <c r="P277" s="77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6"/>
      <c r="R277" s="636"/>
      <c r="S277" s="636"/>
      <c r="T277" s="63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6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469</v>
      </c>
      <c r="AG277" s="75"/>
      <c r="AJ277" s="79" t="s">
        <v>46</v>
      </c>
      <c r="AK277" s="79">
        <v>0</v>
      </c>
      <c r="BB277" s="360" t="s">
        <v>67</v>
      </c>
      <c r="BM277" s="75">
        <f t="shared" si="37"/>
        <v>0</v>
      </c>
      <c r="BN277" s="75">
        <f t="shared" si="38"/>
        <v>0</v>
      </c>
      <c r="BO277" s="75">
        <f t="shared" si="39"/>
        <v>0</v>
      </c>
      <c r="BP277" s="75">
        <f t="shared" si="40"/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4301051668</v>
      </c>
      <c r="D278" s="634">
        <v>4680115880221</v>
      </c>
      <c r="E278" s="634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88</v>
      </c>
      <c r="L278" s="35" t="s">
        <v>46</v>
      </c>
      <c r="M278" s="36" t="s">
        <v>87</v>
      </c>
      <c r="N278" s="36"/>
      <c r="O278" s="35">
        <v>45</v>
      </c>
      <c r="P278" s="77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6"/>
      <c r="R278" s="636"/>
      <c r="S278" s="636"/>
      <c r="T278" s="63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6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462</v>
      </c>
      <c r="AG278" s="75"/>
      <c r="AJ278" s="79" t="s">
        <v>46</v>
      </c>
      <c r="AK278" s="79">
        <v>0</v>
      </c>
      <c r="BB278" s="362" t="s">
        <v>67</v>
      </c>
      <c r="BM278" s="75">
        <f t="shared" si="37"/>
        <v>0</v>
      </c>
      <c r="BN278" s="75">
        <f t="shared" si="38"/>
        <v>0</v>
      </c>
      <c r="BO278" s="75">
        <f t="shared" si="39"/>
        <v>0</v>
      </c>
      <c r="BP278" s="75">
        <f t="shared" si="40"/>
        <v>0</v>
      </c>
    </row>
    <row r="279" spans="1:68" ht="27" hidden="1" customHeight="1" x14ac:dyDescent="0.25">
      <c r="A279" s="60" t="s">
        <v>476</v>
      </c>
      <c r="B279" s="60" t="s">
        <v>477</v>
      </c>
      <c r="C279" s="34">
        <v>4301051945</v>
      </c>
      <c r="D279" s="634">
        <v>4680115880504</v>
      </c>
      <c r="E279" s="634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88</v>
      </c>
      <c r="L279" s="35" t="s">
        <v>46</v>
      </c>
      <c r="M279" s="36" t="s">
        <v>94</v>
      </c>
      <c r="N279" s="36"/>
      <c r="O279" s="35">
        <v>40</v>
      </c>
      <c r="P279" s="7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6"/>
      <c r="R279" s="636"/>
      <c r="S279" s="636"/>
      <c r="T279" s="63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6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7"/>
        <v>0</v>
      </c>
      <c r="BN279" s="75">
        <f t="shared" si="38"/>
        <v>0</v>
      </c>
      <c r="BO279" s="75">
        <f t="shared" si="39"/>
        <v>0</v>
      </c>
      <c r="BP279" s="75">
        <f t="shared" si="40"/>
        <v>0</v>
      </c>
    </row>
    <row r="280" spans="1:68" ht="27" hidden="1" customHeight="1" x14ac:dyDescent="0.25">
      <c r="A280" s="60" t="s">
        <v>479</v>
      </c>
      <c r="B280" s="60" t="s">
        <v>480</v>
      </c>
      <c r="C280" s="34">
        <v>4301051410</v>
      </c>
      <c r="D280" s="634">
        <v>4680115882164</v>
      </c>
      <c r="E280" s="634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88</v>
      </c>
      <c r="L280" s="35" t="s">
        <v>46</v>
      </c>
      <c r="M280" s="36" t="s">
        <v>87</v>
      </c>
      <c r="N280" s="36"/>
      <c r="O280" s="35">
        <v>40</v>
      </c>
      <c r="P280" s="7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6"/>
      <c r="R280" s="636"/>
      <c r="S280" s="636"/>
      <c r="T280" s="63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6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7"/>
        <v>0</v>
      </c>
      <c r="BN280" s="75">
        <f t="shared" si="38"/>
        <v>0</v>
      </c>
      <c r="BO280" s="75">
        <f t="shared" si="39"/>
        <v>0</v>
      </c>
      <c r="BP280" s="75">
        <f t="shared" si="40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4301052180</v>
      </c>
      <c r="D281" s="634">
        <v>4680115888340</v>
      </c>
      <c r="E281" s="634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88</v>
      </c>
      <c r="L281" s="35" t="s">
        <v>46</v>
      </c>
      <c r="M281" s="36" t="s">
        <v>87</v>
      </c>
      <c r="N281" s="36"/>
      <c r="O281" s="35">
        <v>45</v>
      </c>
      <c r="P281" s="7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6"/>
      <c r="R281" s="636"/>
      <c r="S281" s="636"/>
      <c r="T281" s="63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6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484</v>
      </c>
      <c r="AG281" s="75"/>
      <c r="AJ281" s="79" t="s">
        <v>46</v>
      </c>
      <c r="AK281" s="79">
        <v>0</v>
      </c>
      <c r="BB281" s="368" t="s">
        <v>67</v>
      </c>
      <c r="BM281" s="75">
        <f t="shared" si="37"/>
        <v>0</v>
      </c>
      <c r="BN281" s="75">
        <f t="shared" si="38"/>
        <v>0</v>
      </c>
      <c r="BO281" s="75">
        <f t="shared" si="39"/>
        <v>0</v>
      </c>
      <c r="BP281" s="75">
        <f t="shared" si="40"/>
        <v>0</v>
      </c>
    </row>
    <row r="282" spans="1:68" hidden="1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39" t="s">
        <v>172</v>
      </c>
      <c r="B284" s="639"/>
      <c r="C284" s="639"/>
      <c r="D284" s="639"/>
      <c r="E284" s="639"/>
      <c r="F284" s="639"/>
      <c r="G284" s="639"/>
      <c r="H284" s="639"/>
      <c r="I284" s="639"/>
      <c r="J284" s="639"/>
      <c r="K284" s="639"/>
      <c r="L284" s="639"/>
      <c r="M284" s="639"/>
      <c r="N284" s="639"/>
      <c r="O284" s="639"/>
      <c r="P284" s="639"/>
      <c r="Q284" s="639"/>
      <c r="R284" s="639"/>
      <c r="S284" s="639"/>
      <c r="T284" s="639"/>
      <c r="U284" s="639"/>
      <c r="V284" s="639"/>
      <c r="W284" s="639"/>
      <c r="X284" s="639"/>
      <c r="Y284" s="639"/>
      <c r="Z284" s="639"/>
      <c r="AA284" s="63"/>
      <c r="AB284" s="63"/>
      <c r="AC284" s="63"/>
    </row>
    <row r="285" spans="1:68" ht="27" hidden="1" customHeight="1" x14ac:dyDescent="0.25">
      <c r="A285" s="60" t="s">
        <v>485</v>
      </c>
      <c r="B285" s="60" t="s">
        <v>486</v>
      </c>
      <c r="C285" s="34">
        <v>4301060463</v>
      </c>
      <c r="D285" s="634">
        <v>4680115880818</v>
      </c>
      <c r="E285" s="63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88</v>
      </c>
      <c r="L285" s="35" t="s">
        <v>46</v>
      </c>
      <c r="M285" s="36" t="s">
        <v>94</v>
      </c>
      <c r="N285" s="36"/>
      <c r="O285" s="35">
        <v>40</v>
      </c>
      <c r="P285" s="7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6"/>
      <c r="R285" s="636"/>
      <c r="S285" s="636"/>
      <c r="T285" s="637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487</v>
      </c>
      <c r="AG285" s="75"/>
      <c r="AJ285" s="79" t="s">
        <v>46</v>
      </c>
      <c r="AK285" s="79">
        <v>0</v>
      </c>
      <c r="BB285" s="370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4301060389</v>
      </c>
      <c r="D286" s="634">
        <v>4680115880801</v>
      </c>
      <c r="E286" s="63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88</v>
      </c>
      <c r="L286" s="35" t="s">
        <v>46</v>
      </c>
      <c r="M286" s="36" t="s">
        <v>87</v>
      </c>
      <c r="N286" s="36"/>
      <c r="O286" s="35">
        <v>40</v>
      </c>
      <c r="P286" s="76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6"/>
      <c r="R286" s="636"/>
      <c r="S286" s="636"/>
      <c r="T286" s="637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490</v>
      </c>
      <c r="AG286" s="75"/>
      <c r="AJ286" s="79" t="s">
        <v>46</v>
      </c>
      <c r="AK286" s="79">
        <v>0</v>
      </c>
      <c r="BB286" s="372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38" t="s">
        <v>491</v>
      </c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8"/>
      <c r="P289" s="638"/>
      <c r="Q289" s="638"/>
      <c r="R289" s="638"/>
      <c r="S289" s="638"/>
      <c r="T289" s="638"/>
      <c r="U289" s="638"/>
      <c r="V289" s="638"/>
      <c r="W289" s="638"/>
      <c r="X289" s="638"/>
      <c r="Y289" s="638"/>
      <c r="Z289" s="638"/>
      <c r="AA289" s="62"/>
      <c r="AB289" s="62"/>
      <c r="AC289" s="62"/>
    </row>
    <row r="290" spans="1:68" ht="14.25" hidden="1" customHeight="1" x14ac:dyDescent="0.25">
      <c r="A290" s="639" t="s">
        <v>119</v>
      </c>
      <c r="B290" s="639"/>
      <c r="C290" s="639"/>
      <c r="D290" s="639"/>
      <c r="E290" s="639"/>
      <c r="F290" s="639"/>
      <c r="G290" s="639"/>
      <c r="H290" s="639"/>
      <c r="I290" s="639"/>
      <c r="J290" s="639"/>
      <c r="K290" s="639"/>
      <c r="L290" s="639"/>
      <c r="M290" s="639"/>
      <c r="N290" s="639"/>
      <c r="O290" s="639"/>
      <c r="P290" s="639"/>
      <c r="Q290" s="639"/>
      <c r="R290" s="639"/>
      <c r="S290" s="639"/>
      <c r="T290" s="639"/>
      <c r="U290" s="639"/>
      <c r="V290" s="639"/>
      <c r="W290" s="639"/>
      <c r="X290" s="639"/>
      <c r="Y290" s="639"/>
      <c r="Z290" s="639"/>
      <c r="AA290" s="63"/>
      <c r="AB290" s="63"/>
      <c r="AC290" s="63"/>
    </row>
    <row r="291" spans="1:68" ht="27" hidden="1" customHeight="1" x14ac:dyDescent="0.25">
      <c r="A291" s="60" t="s">
        <v>492</v>
      </c>
      <c r="B291" s="60" t="s">
        <v>493</v>
      </c>
      <c r="C291" s="34">
        <v>4301011826</v>
      </c>
      <c r="D291" s="634">
        <v>4680115884137</v>
      </c>
      <c r="E291" s="634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124</v>
      </c>
      <c r="L291" s="35" t="s">
        <v>46</v>
      </c>
      <c r="M291" s="36" t="s">
        <v>123</v>
      </c>
      <c r="N291" s="36"/>
      <c r="O291" s="35">
        <v>55</v>
      </c>
      <c r="P291" s="7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6"/>
      <c r="R291" s="636"/>
      <c r="S291" s="636"/>
      <c r="T291" s="63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41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494</v>
      </c>
      <c r="AG291" s="75"/>
      <c r="AJ291" s="79" t="s">
        <v>46</v>
      </c>
      <c r="AK291" s="79">
        <v>0</v>
      </c>
      <c r="BB291" s="374" t="s">
        <v>67</v>
      </c>
      <c r="BM291" s="75">
        <f t="shared" ref="BM291:BM297" si="42">IFERROR(X291*I291/H291,"0")</f>
        <v>0</v>
      </c>
      <c r="BN291" s="75">
        <f t="shared" ref="BN291:BN297" si="43">IFERROR(Y291*I291/H291,"0")</f>
        <v>0</v>
      </c>
      <c r="BO291" s="75">
        <f t="shared" ref="BO291:BO297" si="44">IFERROR(1/J291*(X291/H291),"0")</f>
        <v>0</v>
      </c>
      <c r="BP291" s="75">
        <f t="shared" ref="BP291:BP297" si="45">IFERROR(1/J291*(Y291/H291),"0")</f>
        <v>0</v>
      </c>
    </row>
    <row r="292" spans="1:68" ht="27" hidden="1" customHeight="1" x14ac:dyDescent="0.25">
      <c r="A292" s="60" t="s">
        <v>495</v>
      </c>
      <c r="B292" s="60" t="s">
        <v>496</v>
      </c>
      <c r="C292" s="34">
        <v>4301011724</v>
      </c>
      <c r="D292" s="634">
        <v>4680115884236</v>
      </c>
      <c r="E292" s="634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124</v>
      </c>
      <c r="L292" s="35" t="s">
        <v>46</v>
      </c>
      <c r="M292" s="36" t="s">
        <v>123</v>
      </c>
      <c r="N292" s="36"/>
      <c r="O292" s="35">
        <v>55</v>
      </c>
      <c r="P292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6"/>
      <c r="R292" s="636"/>
      <c r="S292" s="636"/>
      <c r="T292" s="637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1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497</v>
      </c>
      <c r="AG292" s="75"/>
      <c r="AJ292" s="79" t="s">
        <v>46</v>
      </c>
      <c r="AK292" s="79">
        <v>0</v>
      </c>
      <c r="BB292" s="376" t="s">
        <v>67</v>
      </c>
      <c r="BM292" s="75">
        <f t="shared" si="42"/>
        <v>0</v>
      </c>
      <c r="BN292" s="75">
        <f t="shared" si="43"/>
        <v>0</v>
      </c>
      <c r="BO292" s="75">
        <f t="shared" si="44"/>
        <v>0</v>
      </c>
      <c r="BP292" s="75">
        <f t="shared" si="45"/>
        <v>0</v>
      </c>
    </row>
    <row r="293" spans="1:68" ht="27" hidden="1" customHeight="1" x14ac:dyDescent="0.25">
      <c r="A293" s="60" t="s">
        <v>498</v>
      </c>
      <c r="B293" s="60" t="s">
        <v>499</v>
      </c>
      <c r="C293" s="34">
        <v>4301011721</v>
      </c>
      <c r="D293" s="634">
        <v>4680115884175</v>
      </c>
      <c r="E293" s="634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124</v>
      </c>
      <c r="L293" s="35" t="s">
        <v>46</v>
      </c>
      <c r="M293" s="36" t="s">
        <v>123</v>
      </c>
      <c r="N293" s="36"/>
      <c r="O293" s="35">
        <v>55</v>
      </c>
      <c r="P293" s="7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6"/>
      <c r="R293" s="636"/>
      <c r="S293" s="636"/>
      <c r="T293" s="637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1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356</v>
      </c>
      <c r="AG293" s="75"/>
      <c r="AJ293" s="79" t="s">
        <v>46</v>
      </c>
      <c r="AK293" s="79">
        <v>0</v>
      </c>
      <c r="BB293" s="378" t="s">
        <v>67</v>
      </c>
      <c r="BM293" s="75">
        <f t="shared" si="42"/>
        <v>0</v>
      </c>
      <c r="BN293" s="75">
        <f t="shared" si="43"/>
        <v>0</v>
      </c>
      <c r="BO293" s="75">
        <f t="shared" si="44"/>
        <v>0</v>
      </c>
      <c r="BP293" s="75">
        <f t="shared" si="45"/>
        <v>0</v>
      </c>
    </row>
    <row r="294" spans="1:68" ht="27" hidden="1" customHeight="1" x14ac:dyDescent="0.25">
      <c r="A294" s="60" t="s">
        <v>500</v>
      </c>
      <c r="B294" s="60" t="s">
        <v>501</v>
      </c>
      <c r="C294" s="34">
        <v>4301011824</v>
      </c>
      <c r="D294" s="634">
        <v>4680115884144</v>
      </c>
      <c r="E294" s="634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131</v>
      </c>
      <c r="L294" s="35" t="s">
        <v>46</v>
      </c>
      <c r="M294" s="36" t="s">
        <v>123</v>
      </c>
      <c r="N294" s="36"/>
      <c r="O294" s="35">
        <v>55</v>
      </c>
      <c r="P294" s="76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6"/>
      <c r="R294" s="636"/>
      <c r="S294" s="636"/>
      <c r="T294" s="637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1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494</v>
      </c>
      <c r="AG294" s="75"/>
      <c r="AJ294" s="79" t="s">
        <v>46</v>
      </c>
      <c r="AK294" s="79">
        <v>0</v>
      </c>
      <c r="BB294" s="380" t="s">
        <v>67</v>
      </c>
      <c r="BM294" s="75">
        <f t="shared" si="42"/>
        <v>0</v>
      </c>
      <c r="BN294" s="75">
        <f t="shared" si="43"/>
        <v>0</v>
      </c>
      <c r="BO294" s="75">
        <f t="shared" si="44"/>
        <v>0</v>
      </c>
      <c r="BP294" s="75">
        <f t="shared" si="45"/>
        <v>0</v>
      </c>
    </row>
    <row r="295" spans="1:68" ht="27" hidden="1" customHeight="1" x14ac:dyDescent="0.25">
      <c r="A295" s="60" t="s">
        <v>502</v>
      </c>
      <c r="B295" s="60" t="s">
        <v>503</v>
      </c>
      <c r="C295" s="34">
        <v>4301012149</v>
      </c>
      <c r="D295" s="634">
        <v>4680115886551</v>
      </c>
      <c r="E295" s="634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131</v>
      </c>
      <c r="L295" s="35" t="s">
        <v>46</v>
      </c>
      <c r="M295" s="36" t="s">
        <v>123</v>
      </c>
      <c r="N295" s="36"/>
      <c r="O295" s="35">
        <v>55</v>
      </c>
      <c r="P295" s="75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6"/>
      <c r="R295" s="636"/>
      <c r="S295" s="636"/>
      <c r="T295" s="637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41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504</v>
      </c>
      <c r="AG295" s="75"/>
      <c r="AJ295" s="79" t="s">
        <v>46</v>
      </c>
      <c r="AK295" s="79">
        <v>0</v>
      </c>
      <c r="BB295" s="382" t="s">
        <v>67</v>
      </c>
      <c r="BM295" s="75">
        <f t="shared" si="42"/>
        <v>0</v>
      </c>
      <c r="BN295" s="75">
        <f t="shared" si="43"/>
        <v>0</v>
      </c>
      <c r="BO295" s="75">
        <f t="shared" si="44"/>
        <v>0</v>
      </c>
      <c r="BP295" s="75">
        <f t="shared" si="45"/>
        <v>0</v>
      </c>
    </row>
    <row r="296" spans="1:68" ht="27" hidden="1" customHeight="1" x14ac:dyDescent="0.25">
      <c r="A296" s="60" t="s">
        <v>505</v>
      </c>
      <c r="B296" s="60" t="s">
        <v>506</v>
      </c>
      <c r="C296" s="34">
        <v>4301012228</v>
      </c>
      <c r="D296" s="634">
        <v>4680115887282</v>
      </c>
      <c r="E296" s="634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88</v>
      </c>
      <c r="L296" s="35" t="s">
        <v>46</v>
      </c>
      <c r="M296" s="36" t="s">
        <v>123</v>
      </c>
      <c r="N296" s="36"/>
      <c r="O296" s="35">
        <v>55</v>
      </c>
      <c r="P296" s="75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6"/>
      <c r="R296" s="636"/>
      <c r="S296" s="636"/>
      <c r="T296" s="637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41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507</v>
      </c>
      <c r="AG296" s="75"/>
      <c r="AJ296" s="79" t="s">
        <v>46</v>
      </c>
      <c r="AK296" s="79">
        <v>0</v>
      </c>
      <c r="BB296" s="384" t="s">
        <v>67</v>
      </c>
      <c r="BM296" s="75">
        <f t="shared" si="42"/>
        <v>0</v>
      </c>
      <c r="BN296" s="75">
        <f t="shared" si="43"/>
        <v>0</v>
      </c>
      <c r="BO296" s="75">
        <f t="shared" si="44"/>
        <v>0</v>
      </c>
      <c r="BP296" s="75">
        <f t="shared" si="45"/>
        <v>0</v>
      </c>
    </row>
    <row r="297" spans="1:68" ht="27" hidden="1" customHeight="1" x14ac:dyDescent="0.25">
      <c r="A297" s="60" t="s">
        <v>508</v>
      </c>
      <c r="B297" s="60" t="s">
        <v>509</v>
      </c>
      <c r="C297" s="34">
        <v>4301011722</v>
      </c>
      <c r="D297" s="634">
        <v>4680115884205</v>
      </c>
      <c r="E297" s="634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131</v>
      </c>
      <c r="L297" s="35" t="s">
        <v>46</v>
      </c>
      <c r="M297" s="36" t="s">
        <v>123</v>
      </c>
      <c r="N297" s="36"/>
      <c r="O297" s="35">
        <v>55</v>
      </c>
      <c r="P297" s="7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6"/>
      <c r="R297" s="636"/>
      <c r="S297" s="636"/>
      <c r="T297" s="637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41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356</v>
      </c>
      <c r="AG297" s="75"/>
      <c r="AJ297" s="79" t="s">
        <v>46</v>
      </c>
      <c r="AK297" s="79">
        <v>0</v>
      </c>
      <c r="BB297" s="386" t="s">
        <v>67</v>
      </c>
      <c r="BM297" s="75">
        <f t="shared" si="42"/>
        <v>0</v>
      </c>
      <c r="BN297" s="75">
        <f t="shared" si="43"/>
        <v>0</v>
      </c>
      <c r="BO297" s="75">
        <f t="shared" si="44"/>
        <v>0</v>
      </c>
      <c r="BP297" s="75">
        <f t="shared" si="45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39" t="s">
        <v>154</v>
      </c>
      <c r="B300" s="639"/>
      <c r="C300" s="639"/>
      <c r="D300" s="639"/>
      <c r="E300" s="639"/>
      <c r="F300" s="639"/>
      <c r="G300" s="639"/>
      <c r="H300" s="639"/>
      <c r="I300" s="639"/>
      <c r="J300" s="639"/>
      <c r="K300" s="639"/>
      <c r="L300" s="639"/>
      <c r="M300" s="639"/>
      <c r="N300" s="639"/>
      <c r="O300" s="639"/>
      <c r="P300" s="639"/>
      <c r="Q300" s="639"/>
      <c r="R300" s="639"/>
      <c r="S300" s="639"/>
      <c r="T300" s="639"/>
      <c r="U300" s="639"/>
      <c r="V300" s="639"/>
      <c r="W300" s="639"/>
      <c r="X300" s="639"/>
      <c r="Y300" s="639"/>
      <c r="Z300" s="639"/>
      <c r="AA300" s="63"/>
      <c r="AB300" s="63"/>
      <c r="AC300" s="63"/>
    </row>
    <row r="301" spans="1:68" ht="27" hidden="1" customHeight="1" x14ac:dyDescent="0.25">
      <c r="A301" s="60" t="s">
        <v>510</v>
      </c>
      <c r="B301" s="60" t="s">
        <v>511</v>
      </c>
      <c r="C301" s="34">
        <v>4301020377</v>
      </c>
      <c r="D301" s="634">
        <v>4680115885981</v>
      </c>
      <c r="E301" s="634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82</v>
      </c>
      <c r="L301" s="35" t="s">
        <v>46</v>
      </c>
      <c r="M301" s="36" t="s">
        <v>87</v>
      </c>
      <c r="N301" s="36"/>
      <c r="O301" s="35">
        <v>50</v>
      </c>
      <c r="P301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6"/>
      <c r="R301" s="636"/>
      <c r="S301" s="636"/>
      <c r="T301" s="63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512</v>
      </c>
      <c r="AG301" s="75"/>
      <c r="AJ301" s="79" t="s">
        <v>46</v>
      </c>
      <c r="AK301" s="79">
        <v>0</v>
      </c>
      <c r="BB301" s="388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39" t="s">
        <v>513</v>
      </c>
      <c r="B304" s="639"/>
      <c r="C304" s="639"/>
      <c r="D304" s="639"/>
      <c r="E304" s="639"/>
      <c r="F304" s="639"/>
      <c r="G304" s="639"/>
      <c r="H304" s="639"/>
      <c r="I304" s="639"/>
      <c r="J304" s="639"/>
      <c r="K304" s="639"/>
      <c r="L304" s="639"/>
      <c r="M304" s="639"/>
      <c r="N304" s="639"/>
      <c r="O304" s="639"/>
      <c r="P304" s="639"/>
      <c r="Q304" s="639"/>
      <c r="R304" s="639"/>
      <c r="S304" s="639"/>
      <c r="T304" s="639"/>
      <c r="U304" s="639"/>
      <c r="V304" s="639"/>
      <c r="W304" s="639"/>
      <c r="X304" s="639"/>
      <c r="Y304" s="639"/>
      <c r="Z304" s="639"/>
      <c r="AA304" s="63"/>
      <c r="AB304" s="63"/>
      <c r="AC304" s="63"/>
    </row>
    <row r="305" spans="1:68" ht="27" hidden="1" customHeight="1" x14ac:dyDescent="0.25">
      <c r="A305" s="60" t="s">
        <v>514</v>
      </c>
      <c r="B305" s="60" t="s">
        <v>515</v>
      </c>
      <c r="C305" s="34">
        <v>4301040362</v>
      </c>
      <c r="D305" s="634">
        <v>4680115886803</v>
      </c>
      <c r="E305" s="634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333</v>
      </c>
      <c r="L305" s="35" t="s">
        <v>46</v>
      </c>
      <c r="M305" s="36" t="s">
        <v>279</v>
      </c>
      <c r="N305" s="36"/>
      <c r="O305" s="35">
        <v>45</v>
      </c>
      <c r="P305" s="75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6"/>
      <c r="R305" s="636"/>
      <c r="S305" s="636"/>
      <c r="T305" s="637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516</v>
      </c>
      <c r="AG305" s="75"/>
      <c r="AJ305" s="79" t="s">
        <v>46</v>
      </c>
      <c r="AK305" s="79">
        <v>0</v>
      </c>
      <c r="BB305" s="390" t="s">
        <v>67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39" t="s">
        <v>334</v>
      </c>
      <c r="B308" s="639"/>
      <c r="C308" s="639"/>
      <c r="D308" s="639"/>
      <c r="E308" s="639"/>
      <c r="F308" s="639"/>
      <c r="G308" s="639"/>
      <c r="H308" s="639"/>
      <c r="I308" s="639"/>
      <c r="J308" s="639"/>
      <c r="K308" s="639"/>
      <c r="L308" s="639"/>
      <c r="M308" s="639"/>
      <c r="N308" s="639"/>
      <c r="O308" s="639"/>
      <c r="P308" s="639"/>
      <c r="Q308" s="639"/>
      <c r="R308" s="639"/>
      <c r="S308" s="639"/>
      <c r="T308" s="639"/>
      <c r="U308" s="639"/>
      <c r="V308" s="639"/>
      <c r="W308" s="639"/>
      <c r="X308" s="639"/>
      <c r="Y308" s="639"/>
      <c r="Z308" s="639"/>
      <c r="AA308" s="63"/>
      <c r="AB308" s="63"/>
      <c r="AC308" s="63"/>
    </row>
    <row r="309" spans="1:68" ht="27" hidden="1" customHeight="1" x14ac:dyDescent="0.25">
      <c r="A309" s="60" t="s">
        <v>517</v>
      </c>
      <c r="B309" s="60" t="s">
        <v>518</v>
      </c>
      <c r="C309" s="34">
        <v>4301041008</v>
      </c>
      <c r="D309" s="634">
        <v>4680115886681</v>
      </c>
      <c r="E309" s="634"/>
      <c r="F309" s="59">
        <v>0.12</v>
      </c>
      <c r="G309" s="35">
        <v>15</v>
      </c>
      <c r="H309" s="59">
        <v>1.8</v>
      </c>
      <c r="I309" s="59">
        <v>1.9750000000000001</v>
      </c>
      <c r="J309" s="35">
        <v>216</v>
      </c>
      <c r="K309" s="35" t="s">
        <v>333</v>
      </c>
      <c r="L309" s="35" t="s">
        <v>46</v>
      </c>
      <c r="M309" s="36" t="s">
        <v>279</v>
      </c>
      <c r="N309" s="36"/>
      <c r="O309" s="35">
        <v>90</v>
      </c>
      <c r="P309" s="75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36"/>
      <c r="R309" s="636"/>
      <c r="S309" s="636"/>
      <c r="T309" s="637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519</v>
      </c>
      <c r="AG309" s="75"/>
      <c r="AJ309" s="79" t="s">
        <v>46</v>
      </c>
      <c r="AK309" s="79">
        <v>0</v>
      </c>
      <c r="BB309" s="392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520</v>
      </c>
      <c r="B310" s="60" t="s">
        <v>521</v>
      </c>
      <c r="C310" s="34">
        <v>4301041007</v>
      </c>
      <c r="D310" s="634">
        <v>4680115886735</v>
      </c>
      <c r="E310" s="634"/>
      <c r="F310" s="59">
        <v>0.05</v>
      </c>
      <c r="G310" s="35">
        <v>18</v>
      </c>
      <c r="H310" s="59">
        <v>0.9</v>
      </c>
      <c r="I310" s="59">
        <v>1.0900000000000001</v>
      </c>
      <c r="J310" s="35">
        <v>216</v>
      </c>
      <c r="K310" s="35" t="s">
        <v>333</v>
      </c>
      <c r="L310" s="35" t="s">
        <v>46</v>
      </c>
      <c r="M310" s="36" t="s">
        <v>279</v>
      </c>
      <c r="N310" s="36"/>
      <c r="O310" s="35">
        <v>90</v>
      </c>
      <c r="P310" s="75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36"/>
      <c r="R310" s="636"/>
      <c r="S310" s="636"/>
      <c r="T310" s="637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519</v>
      </c>
      <c r="AG310" s="75"/>
      <c r="AJ310" s="79" t="s">
        <v>46</v>
      </c>
      <c r="AK310" s="79">
        <v>0</v>
      </c>
      <c r="BB310" s="394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idden="1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0" t="s">
        <v>39</v>
      </c>
      <c r="X311" s="41">
        <f>IFERROR(X309/H309,"0")+IFERROR(X310/H310,"0")</f>
        <v>0</v>
      </c>
      <c r="Y311" s="41">
        <f>IFERROR(Y309/H309,"0")+IFERROR(Y310/H310,"0")</f>
        <v>0</v>
      </c>
      <c r="Z311" s="41">
        <f>IFERROR(IF(Z309="",0,Z309),"0")+IFERROR(IF(Z310="",0,Z310),"0")</f>
        <v>0</v>
      </c>
      <c r="AA311" s="64"/>
      <c r="AB311" s="64"/>
      <c r="AC311" s="64"/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0</v>
      </c>
      <c r="X312" s="41">
        <f>IFERROR(SUM(X309:X310),"0")</f>
        <v>0</v>
      </c>
      <c r="Y312" s="41">
        <f>IFERROR(SUM(Y309:Y310),"0")</f>
        <v>0</v>
      </c>
      <c r="Z312" s="40"/>
      <c r="AA312" s="64"/>
      <c r="AB312" s="64"/>
      <c r="AC312" s="64"/>
    </row>
    <row r="313" spans="1:68" ht="16.5" hidden="1" customHeight="1" x14ac:dyDescent="0.25">
      <c r="A313" s="638" t="s">
        <v>522</v>
      </c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8"/>
      <c r="P313" s="638"/>
      <c r="Q313" s="638"/>
      <c r="R313" s="638"/>
      <c r="S313" s="638"/>
      <c r="T313" s="638"/>
      <c r="U313" s="638"/>
      <c r="V313" s="638"/>
      <c r="W313" s="638"/>
      <c r="X313" s="638"/>
      <c r="Y313" s="638"/>
      <c r="Z313" s="638"/>
      <c r="AA313" s="62"/>
      <c r="AB313" s="62"/>
      <c r="AC313" s="62"/>
    </row>
    <row r="314" spans="1:68" ht="14.25" hidden="1" customHeight="1" x14ac:dyDescent="0.25">
      <c r="A314" s="639" t="s">
        <v>119</v>
      </c>
      <c r="B314" s="639"/>
      <c r="C314" s="639"/>
      <c r="D314" s="639"/>
      <c r="E314" s="639"/>
      <c r="F314" s="639"/>
      <c r="G314" s="639"/>
      <c r="H314" s="639"/>
      <c r="I314" s="639"/>
      <c r="J314" s="639"/>
      <c r="K314" s="639"/>
      <c r="L314" s="639"/>
      <c r="M314" s="639"/>
      <c r="N314" s="639"/>
      <c r="O314" s="639"/>
      <c r="P314" s="639"/>
      <c r="Q314" s="639"/>
      <c r="R314" s="639"/>
      <c r="S314" s="639"/>
      <c r="T314" s="639"/>
      <c r="U314" s="639"/>
      <c r="V314" s="639"/>
      <c r="W314" s="639"/>
      <c r="X314" s="639"/>
      <c r="Y314" s="639"/>
      <c r="Z314" s="639"/>
      <c r="AA314" s="63"/>
      <c r="AB314" s="63"/>
      <c r="AC314" s="63"/>
    </row>
    <row r="315" spans="1:68" ht="27" hidden="1" customHeight="1" x14ac:dyDescent="0.25">
      <c r="A315" s="60" t="s">
        <v>523</v>
      </c>
      <c r="B315" s="60" t="s">
        <v>524</v>
      </c>
      <c r="C315" s="34">
        <v>4301011855</v>
      </c>
      <c r="D315" s="634">
        <v>4680115885837</v>
      </c>
      <c r="E315" s="634"/>
      <c r="F315" s="59">
        <v>1.35</v>
      </c>
      <c r="G315" s="35">
        <v>8</v>
      </c>
      <c r="H315" s="59">
        <v>10.8</v>
      </c>
      <c r="I315" s="59">
        <v>11.21</v>
      </c>
      <c r="J315" s="35">
        <v>64</v>
      </c>
      <c r="K315" s="35" t="s">
        <v>124</v>
      </c>
      <c r="L315" s="35" t="s">
        <v>46</v>
      </c>
      <c r="M315" s="36" t="s">
        <v>123</v>
      </c>
      <c r="N315" s="36"/>
      <c r="O315" s="35">
        <v>55</v>
      </c>
      <c r="P315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36"/>
      <c r="R315" s="636"/>
      <c r="S315" s="636"/>
      <c r="T315" s="637"/>
      <c r="U315" s="37" t="s">
        <v>46</v>
      </c>
      <c r="V315" s="37" t="s">
        <v>46</v>
      </c>
      <c r="W315" s="38" t="s">
        <v>0</v>
      </c>
      <c r="X315" s="56">
        <v>0</v>
      </c>
      <c r="Y315" s="53">
        <f t="shared" ref="Y315:Y320" si="46">IFERROR(IF(X315="",0,CEILING((X315/$H315),1)*$H315),"")</f>
        <v>0</v>
      </c>
      <c r="Z315" s="39" t="str">
        <f>IFERROR(IF(Y315=0,"",ROUNDUP(Y315/H315,0)*0.01898),"")</f>
        <v/>
      </c>
      <c r="AA315" s="65" t="s">
        <v>46</v>
      </c>
      <c r="AB315" s="66" t="s">
        <v>46</v>
      </c>
      <c r="AC315" s="395" t="s">
        <v>525</v>
      </c>
      <c r="AG315" s="75"/>
      <c r="AJ315" s="79" t="s">
        <v>46</v>
      </c>
      <c r="AK315" s="79">
        <v>0</v>
      </c>
      <c r="BB315" s="396" t="s">
        <v>67</v>
      </c>
      <c r="BM315" s="75">
        <f t="shared" ref="BM315:BM320" si="47">IFERROR(X315*I315/H315,"0")</f>
        <v>0</v>
      </c>
      <c r="BN315" s="75">
        <f t="shared" ref="BN315:BN320" si="48">IFERROR(Y315*I315/H315,"0")</f>
        <v>0</v>
      </c>
      <c r="BO315" s="75">
        <f t="shared" ref="BO315:BO320" si="49">IFERROR(1/J315*(X315/H315),"0")</f>
        <v>0</v>
      </c>
      <c r="BP315" s="75">
        <f t="shared" ref="BP315:BP320" si="50">IFERROR(1/J315*(Y315/H315),"0")</f>
        <v>0</v>
      </c>
    </row>
    <row r="316" spans="1:68" ht="27" hidden="1" customHeight="1" x14ac:dyDescent="0.25">
      <c r="A316" s="60" t="s">
        <v>526</v>
      </c>
      <c r="B316" s="60" t="s">
        <v>527</v>
      </c>
      <c r="C316" s="34">
        <v>4301012390</v>
      </c>
      <c r="D316" s="634">
        <v>4680115889637</v>
      </c>
      <c r="E316" s="634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124</v>
      </c>
      <c r="L316" s="35" t="s">
        <v>46</v>
      </c>
      <c r="M316" s="36" t="s">
        <v>123</v>
      </c>
      <c r="N316" s="36"/>
      <c r="O316" s="35">
        <v>55</v>
      </c>
      <c r="P316" s="75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36"/>
      <c r="R316" s="636"/>
      <c r="S316" s="636"/>
      <c r="T316" s="637"/>
      <c r="U316" s="37" t="s">
        <v>46</v>
      </c>
      <c r="V316" s="37" t="s">
        <v>46</v>
      </c>
      <c r="W316" s="38" t="s">
        <v>0</v>
      </c>
      <c r="X316" s="56">
        <v>0</v>
      </c>
      <c r="Y316" s="53">
        <f t="shared" si="46"/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528</v>
      </c>
      <c r="AG316" s="75"/>
      <c r="AJ316" s="79" t="s">
        <v>46</v>
      </c>
      <c r="AK316" s="79">
        <v>0</v>
      </c>
      <c r="BB316" s="398" t="s">
        <v>67</v>
      </c>
      <c r="BM316" s="75">
        <f t="shared" si="47"/>
        <v>0</v>
      </c>
      <c r="BN316" s="75">
        <f t="shared" si="48"/>
        <v>0</v>
      </c>
      <c r="BO316" s="75">
        <f t="shared" si="49"/>
        <v>0</v>
      </c>
      <c r="BP316" s="75">
        <f t="shared" si="50"/>
        <v>0</v>
      </c>
    </row>
    <row r="317" spans="1:68" ht="37.5" hidden="1" customHeight="1" x14ac:dyDescent="0.25">
      <c r="A317" s="60" t="s">
        <v>529</v>
      </c>
      <c r="B317" s="60" t="s">
        <v>530</v>
      </c>
      <c r="C317" s="34">
        <v>4301012234</v>
      </c>
      <c r="D317" s="634">
        <v>4680115887237</v>
      </c>
      <c r="E317" s="634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124</v>
      </c>
      <c r="L317" s="35" t="s">
        <v>46</v>
      </c>
      <c r="M317" s="36" t="s">
        <v>123</v>
      </c>
      <c r="N317" s="36"/>
      <c r="O317" s="35">
        <v>55</v>
      </c>
      <c r="P317" s="75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6"/>
      <c r="R317" s="636"/>
      <c r="S317" s="636"/>
      <c r="T317" s="637"/>
      <c r="U317" s="37" t="s">
        <v>46</v>
      </c>
      <c r="V317" s="37" t="s">
        <v>46</v>
      </c>
      <c r="W317" s="38" t="s">
        <v>0</v>
      </c>
      <c r="X317" s="56">
        <v>0</v>
      </c>
      <c r="Y317" s="53">
        <f t="shared" si="46"/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531</v>
      </c>
      <c r="AG317" s="75"/>
      <c r="AJ317" s="79" t="s">
        <v>46</v>
      </c>
      <c r="AK317" s="79">
        <v>0</v>
      </c>
      <c r="BB317" s="400" t="s">
        <v>67</v>
      </c>
      <c r="BM317" s="75">
        <f t="shared" si="47"/>
        <v>0</v>
      </c>
      <c r="BN317" s="75">
        <f t="shared" si="48"/>
        <v>0</v>
      </c>
      <c r="BO317" s="75">
        <f t="shared" si="49"/>
        <v>0</v>
      </c>
      <c r="BP317" s="75">
        <f t="shared" si="50"/>
        <v>0</v>
      </c>
    </row>
    <row r="318" spans="1:68" ht="27" hidden="1" customHeight="1" x14ac:dyDescent="0.25">
      <c r="A318" s="60" t="s">
        <v>532</v>
      </c>
      <c r="B318" s="60" t="s">
        <v>533</v>
      </c>
      <c r="C318" s="34">
        <v>4301011850</v>
      </c>
      <c r="D318" s="634">
        <v>4680115885806</v>
      </c>
      <c r="E318" s="634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124</v>
      </c>
      <c r="L318" s="35" t="s">
        <v>46</v>
      </c>
      <c r="M318" s="36" t="s">
        <v>123</v>
      </c>
      <c r="N318" s="36"/>
      <c r="O318" s="35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6"/>
      <c r="R318" s="636"/>
      <c r="S318" s="636"/>
      <c r="T318" s="637"/>
      <c r="U318" s="37" t="s">
        <v>46</v>
      </c>
      <c r="V318" s="37" t="s">
        <v>46</v>
      </c>
      <c r="W318" s="38" t="s">
        <v>0</v>
      </c>
      <c r="X318" s="56">
        <v>0</v>
      </c>
      <c r="Y318" s="53">
        <f t="shared" si="46"/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534</v>
      </c>
      <c r="AG318" s="75"/>
      <c r="AJ318" s="79" t="s">
        <v>46</v>
      </c>
      <c r="AK318" s="79">
        <v>0</v>
      </c>
      <c r="BB318" s="402" t="s">
        <v>67</v>
      </c>
      <c r="BM318" s="75">
        <f t="shared" si="47"/>
        <v>0</v>
      </c>
      <c r="BN318" s="75">
        <f t="shared" si="48"/>
        <v>0</v>
      </c>
      <c r="BO318" s="75">
        <f t="shared" si="49"/>
        <v>0</v>
      </c>
      <c r="BP318" s="75">
        <f t="shared" si="50"/>
        <v>0</v>
      </c>
    </row>
    <row r="319" spans="1:68" ht="27" hidden="1" customHeight="1" x14ac:dyDescent="0.25">
      <c r="A319" s="60" t="s">
        <v>535</v>
      </c>
      <c r="B319" s="60" t="s">
        <v>536</v>
      </c>
      <c r="C319" s="34">
        <v>4301011852</v>
      </c>
      <c r="D319" s="634">
        <v>4680115885844</v>
      </c>
      <c r="E319" s="634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131</v>
      </c>
      <c r="L319" s="35" t="s">
        <v>46</v>
      </c>
      <c r="M319" s="36" t="s">
        <v>123</v>
      </c>
      <c r="N319" s="36"/>
      <c r="O319" s="35">
        <v>55</v>
      </c>
      <c r="P319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6"/>
      <c r="R319" s="636"/>
      <c r="S319" s="636"/>
      <c r="T319" s="637"/>
      <c r="U319" s="37" t="s">
        <v>46</v>
      </c>
      <c r="V319" s="37" t="s">
        <v>46</v>
      </c>
      <c r="W319" s="38" t="s">
        <v>0</v>
      </c>
      <c r="X319" s="56">
        <v>0</v>
      </c>
      <c r="Y319" s="53">
        <f t="shared" si="46"/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537</v>
      </c>
      <c r="AG319" s="75"/>
      <c r="AJ319" s="79" t="s">
        <v>46</v>
      </c>
      <c r="AK319" s="79">
        <v>0</v>
      </c>
      <c r="BB319" s="404" t="s">
        <v>67</v>
      </c>
      <c r="BM319" s="75">
        <f t="shared" si="47"/>
        <v>0</v>
      </c>
      <c r="BN319" s="75">
        <f t="shared" si="48"/>
        <v>0</v>
      </c>
      <c r="BO319" s="75">
        <f t="shared" si="49"/>
        <v>0</v>
      </c>
      <c r="BP319" s="75">
        <f t="shared" si="50"/>
        <v>0</v>
      </c>
    </row>
    <row r="320" spans="1:68" ht="37.5" hidden="1" customHeight="1" x14ac:dyDescent="0.25">
      <c r="A320" s="60" t="s">
        <v>538</v>
      </c>
      <c r="B320" s="60" t="s">
        <v>539</v>
      </c>
      <c r="C320" s="34">
        <v>4301011851</v>
      </c>
      <c r="D320" s="634">
        <v>4680115885820</v>
      </c>
      <c r="E320" s="634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131</v>
      </c>
      <c r="L320" s="35" t="s">
        <v>46</v>
      </c>
      <c r="M320" s="36" t="s">
        <v>123</v>
      </c>
      <c r="N320" s="36"/>
      <c r="O320" s="35">
        <v>55</v>
      </c>
      <c r="P320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6"/>
      <c r="R320" s="636"/>
      <c r="S320" s="636"/>
      <c r="T320" s="637"/>
      <c r="U320" s="37" t="s">
        <v>46</v>
      </c>
      <c r="V320" s="37" t="s">
        <v>46</v>
      </c>
      <c r="W320" s="38" t="s">
        <v>0</v>
      </c>
      <c r="X320" s="56">
        <v>0</v>
      </c>
      <c r="Y320" s="53">
        <f t="shared" si="46"/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540</v>
      </c>
      <c r="AG320" s="75"/>
      <c r="AJ320" s="79" t="s">
        <v>46</v>
      </c>
      <c r="AK320" s="79">
        <v>0</v>
      </c>
      <c r="BB320" s="406" t="s">
        <v>67</v>
      </c>
      <c r="BM320" s="75">
        <f t="shared" si="47"/>
        <v>0</v>
      </c>
      <c r="BN320" s="75">
        <f t="shared" si="48"/>
        <v>0</v>
      </c>
      <c r="BO320" s="75">
        <f t="shared" si="49"/>
        <v>0</v>
      </c>
      <c r="BP320" s="75">
        <f t="shared" si="50"/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0" t="s">
        <v>39</v>
      </c>
      <c r="X321" s="41">
        <f>IFERROR(X315/H315,"0")+IFERROR(X316/H316,"0")+IFERROR(X317/H317,"0")+IFERROR(X318/H318,"0")+IFERROR(X319/H319,"0")+IFERROR(X320/H320,"0")</f>
        <v>0</v>
      </c>
      <c r="Y321" s="41">
        <f>IFERROR(Y315/H315,"0")+IFERROR(Y316/H316,"0")+IFERROR(Y317/H317,"0")+IFERROR(Y318/H318,"0")+IFERROR(Y319/H319,"0")+IFERROR(Y320/H320,"0")</f>
        <v>0</v>
      </c>
      <c r="Z321" s="41">
        <f>IFERROR(IF(Z315="",0,Z315),"0")+IFERROR(IF(Z316="",0,Z316),"0")+IFERROR(IF(Z317="",0,Z317),"0")+IFERROR(IF(Z318="",0,Z318),"0")+IFERROR(IF(Z319="",0,Z319),"0")+IFERROR(IF(Z320="",0,Z320),"0")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0" t="s">
        <v>0</v>
      </c>
      <c r="X322" s="41">
        <f>IFERROR(SUM(X315:X320),"0")</f>
        <v>0</v>
      </c>
      <c r="Y322" s="41">
        <f>IFERROR(SUM(Y315:Y320),"0")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38" t="s">
        <v>541</v>
      </c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8"/>
      <c r="P323" s="638"/>
      <c r="Q323" s="638"/>
      <c r="R323" s="638"/>
      <c r="S323" s="638"/>
      <c r="T323" s="638"/>
      <c r="U323" s="638"/>
      <c r="V323" s="638"/>
      <c r="W323" s="638"/>
      <c r="X323" s="638"/>
      <c r="Y323" s="638"/>
      <c r="Z323" s="638"/>
      <c r="AA323" s="62"/>
      <c r="AB323" s="62"/>
      <c r="AC323" s="62"/>
    </row>
    <row r="324" spans="1:68" ht="14.25" hidden="1" customHeight="1" x14ac:dyDescent="0.25">
      <c r="A324" s="639" t="s">
        <v>83</v>
      </c>
      <c r="B324" s="639"/>
      <c r="C324" s="639"/>
      <c r="D324" s="639"/>
      <c r="E324" s="639"/>
      <c r="F324" s="639"/>
      <c r="G324" s="639"/>
      <c r="H324" s="639"/>
      <c r="I324" s="639"/>
      <c r="J324" s="639"/>
      <c r="K324" s="639"/>
      <c r="L324" s="639"/>
      <c r="M324" s="639"/>
      <c r="N324" s="639"/>
      <c r="O324" s="639"/>
      <c r="P324" s="639"/>
      <c r="Q324" s="639"/>
      <c r="R324" s="639"/>
      <c r="S324" s="639"/>
      <c r="T324" s="639"/>
      <c r="U324" s="639"/>
      <c r="V324" s="639"/>
      <c r="W324" s="639"/>
      <c r="X324" s="639"/>
      <c r="Y324" s="639"/>
      <c r="Z324" s="639"/>
      <c r="AA324" s="63"/>
      <c r="AB324" s="63"/>
      <c r="AC324" s="63"/>
    </row>
    <row r="325" spans="1:68" ht="27" hidden="1" customHeight="1" x14ac:dyDescent="0.25">
      <c r="A325" s="60" t="s">
        <v>542</v>
      </c>
      <c r="B325" s="60" t="s">
        <v>543</v>
      </c>
      <c r="C325" s="34">
        <v>4301051893</v>
      </c>
      <c r="D325" s="634">
        <v>4680115886186</v>
      </c>
      <c r="E325" s="634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88</v>
      </c>
      <c r="L325" s="35" t="s">
        <v>46</v>
      </c>
      <c r="M325" s="36" t="s">
        <v>87</v>
      </c>
      <c r="N325" s="36"/>
      <c r="O325" s="35">
        <v>45</v>
      </c>
      <c r="P325" s="7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6"/>
      <c r="R325" s="636"/>
      <c r="S325" s="636"/>
      <c r="T325" s="63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544</v>
      </c>
      <c r="AG325" s="75"/>
      <c r="AJ325" s="79" t="s">
        <v>46</v>
      </c>
      <c r="AK325" s="79">
        <v>0</v>
      </c>
      <c r="BB325" s="408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545</v>
      </c>
      <c r="B326" s="60" t="s">
        <v>546</v>
      </c>
      <c r="C326" s="34">
        <v>4301051795</v>
      </c>
      <c r="D326" s="634">
        <v>4680115881228</v>
      </c>
      <c r="E326" s="634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88</v>
      </c>
      <c r="L326" s="35" t="s">
        <v>46</v>
      </c>
      <c r="M326" s="36" t="s">
        <v>94</v>
      </c>
      <c r="N326" s="36"/>
      <c r="O326" s="35">
        <v>40</v>
      </c>
      <c r="P326" s="7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6"/>
      <c r="R326" s="636"/>
      <c r="S326" s="636"/>
      <c r="T326" s="63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547</v>
      </c>
      <c r="AG326" s="75"/>
      <c r="AJ326" s="79" t="s">
        <v>46</v>
      </c>
      <c r="AK326" s="79">
        <v>0</v>
      </c>
      <c r="BB326" s="410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548</v>
      </c>
      <c r="B327" s="60" t="s">
        <v>549</v>
      </c>
      <c r="C327" s="34">
        <v>4301051388</v>
      </c>
      <c r="D327" s="634">
        <v>4680115881211</v>
      </c>
      <c r="E327" s="63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87</v>
      </c>
      <c r="N327" s="36"/>
      <c r="O327" s="35">
        <v>45</v>
      </c>
      <c r="P327" s="7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6"/>
      <c r="R327" s="636"/>
      <c r="S327" s="636"/>
      <c r="T327" s="63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544</v>
      </c>
      <c r="AG327" s="75"/>
      <c r="AJ327" s="79" t="s">
        <v>46</v>
      </c>
      <c r="AK327" s="79">
        <v>0</v>
      </c>
      <c r="BB327" s="412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38" t="s">
        <v>550</v>
      </c>
      <c r="B330" s="638"/>
      <c r="C330" s="638"/>
      <c r="D330" s="638"/>
      <c r="E330" s="638"/>
      <c r="F330" s="638"/>
      <c r="G330" s="638"/>
      <c r="H330" s="638"/>
      <c r="I330" s="638"/>
      <c r="J330" s="638"/>
      <c r="K330" s="638"/>
      <c r="L330" s="638"/>
      <c r="M330" s="638"/>
      <c r="N330" s="638"/>
      <c r="O330" s="638"/>
      <c r="P330" s="638"/>
      <c r="Q330" s="638"/>
      <c r="R330" s="638"/>
      <c r="S330" s="638"/>
      <c r="T330" s="638"/>
      <c r="U330" s="638"/>
      <c r="V330" s="638"/>
      <c r="W330" s="638"/>
      <c r="X330" s="638"/>
      <c r="Y330" s="638"/>
      <c r="Z330" s="638"/>
      <c r="AA330" s="62"/>
      <c r="AB330" s="62"/>
      <c r="AC330" s="62"/>
    </row>
    <row r="331" spans="1:68" ht="14.25" hidden="1" customHeight="1" x14ac:dyDescent="0.25">
      <c r="A331" s="639" t="s">
        <v>77</v>
      </c>
      <c r="B331" s="639"/>
      <c r="C331" s="639"/>
      <c r="D331" s="639"/>
      <c r="E331" s="639"/>
      <c r="F331" s="639"/>
      <c r="G331" s="639"/>
      <c r="H331" s="639"/>
      <c r="I331" s="639"/>
      <c r="J331" s="639"/>
      <c r="K331" s="639"/>
      <c r="L331" s="639"/>
      <c r="M331" s="639"/>
      <c r="N331" s="639"/>
      <c r="O331" s="639"/>
      <c r="P331" s="639"/>
      <c r="Q331" s="639"/>
      <c r="R331" s="639"/>
      <c r="S331" s="639"/>
      <c r="T331" s="639"/>
      <c r="U331" s="639"/>
      <c r="V331" s="639"/>
      <c r="W331" s="639"/>
      <c r="X331" s="639"/>
      <c r="Y331" s="639"/>
      <c r="Z331" s="639"/>
      <c r="AA331" s="63"/>
      <c r="AB331" s="63"/>
      <c r="AC331" s="63"/>
    </row>
    <row r="332" spans="1:68" ht="27" hidden="1" customHeight="1" x14ac:dyDescent="0.25">
      <c r="A332" s="60" t="s">
        <v>551</v>
      </c>
      <c r="B332" s="60" t="s">
        <v>552</v>
      </c>
      <c r="C332" s="34">
        <v>4301031445</v>
      </c>
      <c r="D332" s="634">
        <v>4680115888319</v>
      </c>
      <c r="E332" s="634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82</v>
      </c>
      <c r="L332" s="35" t="s">
        <v>46</v>
      </c>
      <c r="M332" s="36" t="s">
        <v>81</v>
      </c>
      <c r="N332" s="36"/>
      <c r="O332" s="35">
        <v>45</v>
      </c>
      <c r="P332" s="7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6"/>
      <c r="R332" s="636"/>
      <c r="S332" s="636"/>
      <c r="T332" s="63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553</v>
      </c>
      <c r="AG332" s="75"/>
      <c r="AJ332" s="79" t="s">
        <v>46</v>
      </c>
      <c r="AK332" s="79">
        <v>0</v>
      </c>
      <c r="BB332" s="414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4301031502</v>
      </c>
      <c r="D333" s="634">
        <v>4680115884700</v>
      </c>
      <c r="E333" s="634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82</v>
      </c>
      <c r="L333" s="35" t="s">
        <v>46</v>
      </c>
      <c r="M333" s="36" t="s">
        <v>81</v>
      </c>
      <c r="N333" s="36"/>
      <c r="O333" s="35">
        <v>40</v>
      </c>
      <c r="P333" s="74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6"/>
      <c r="R333" s="636"/>
      <c r="S333" s="636"/>
      <c r="T333" s="63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556</v>
      </c>
      <c r="AG333" s="75"/>
      <c r="AJ333" s="79" t="s">
        <v>46</v>
      </c>
      <c r="AK333" s="79">
        <v>0</v>
      </c>
      <c r="BB333" s="416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557</v>
      </c>
      <c r="B334" s="60" t="s">
        <v>558</v>
      </c>
      <c r="C334" s="34">
        <v>4301031307</v>
      </c>
      <c r="D334" s="634">
        <v>4680115880344</v>
      </c>
      <c r="E334" s="634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82</v>
      </c>
      <c r="L334" s="35" t="s">
        <v>46</v>
      </c>
      <c r="M334" s="36" t="s">
        <v>81</v>
      </c>
      <c r="N334" s="36"/>
      <c r="O334" s="35">
        <v>40</v>
      </c>
      <c r="P334" s="74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6"/>
      <c r="R334" s="636"/>
      <c r="S334" s="636"/>
      <c r="T334" s="637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559</v>
      </c>
      <c r="AG334" s="75"/>
      <c r="AJ334" s="79" t="s">
        <v>46</v>
      </c>
      <c r="AK334" s="79">
        <v>0</v>
      </c>
      <c r="BB334" s="418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560</v>
      </c>
      <c r="B335" s="60" t="s">
        <v>561</v>
      </c>
      <c r="C335" s="34">
        <v>4301031501</v>
      </c>
      <c r="D335" s="634">
        <v>4680115886919</v>
      </c>
      <c r="E335" s="634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88</v>
      </c>
      <c r="L335" s="35" t="s">
        <v>46</v>
      </c>
      <c r="M335" s="36" t="s">
        <v>81</v>
      </c>
      <c r="N335" s="36"/>
      <c r="O335" s="35">
        <v>40</v>
      </c>
      <c r="P335" s="74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6"/>
      <c r="R335" s="636"/>
      <c r="S335" s="636"/>
      <c r="T335" s="63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562</v>
      </c>
      <c r="AG335" s="75"/>
      <c r="AJ335" s="79" t="s">
        <v>46</v>
      </c>
      <c r="AK335" s="79">
        <v>0</v>
      </c>
      <c r="BB335" s="420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idden="1" x14ac:dyDescent="0.2">
      <c r="A336" s="628"/>
      <c r="B336" s="628"/>
      <c r="C336" s="628"/>
      <c r="D336" s="628"/>
      <c r="E336" s="628"/>
      <c r="F336" s="628"/>
      <c r="G336" s="628"/>
      <c r="H336" s="628"/>
      <c r="I336" s="628"/>
      <c r="J336" s="628"/>
      <c r="K336" s="628"/>
      <c r="L336" s="628"/>
      <c r="M336" s="628"/>
      <c r="N336" s="628"/>
      <c r="O336" s="629"/>
      <c r="P336" s="625" t="s">
        <v>40</v>
      </c>
      <c r="Q336" s="626"/>
      <c r="R336" s="626"/>
      <c r="S336" s="626"/>
      <c r="T336" s="626"/>
      <c r="U336" s="626"/>
      <c r="V336" s="627"/>
      <c r="W336" s="40" t="s">
        <v>39</v>
      </c>
      <c r="X336" s="41">
        <f>IFERROR(X332/H332,"0")+IFERROR(X333/H333,"0")+IFERROR(X334/H334,"0")+IFERROR(X335/H335,"0")</f>
        <v>0</v>
      </c>
      <c r="Y336" s="41">
        <f>IFERROR(Y332/H332,"0")+IFERROR(Y333/H333,"0")+IFERROR(Y334/H334,"0")+IFERROR(Y335/H335,"0")</f>
        <v>0</v>
      </c>
      <c r="Z336" s="41">
        <f>IFERROR(IF(Z332="",0,Z332),"0")+IFERROR(IF(Z333="",0,Z333),"0")+IFERROR(IF(Z334="",0,Z334),"0")+IFERROR(IF(Z335="",0,Z335),"0")</f>
        <v>0</v>
      </c>
      <c r="AA336" s="64"/>
      <c r="AB336" s="64"/>
      <c r="AC336" s="64"/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0" t="s">
        <v>0</v>
      </c>
      <c r="X337" s="41">
        <f>IFERROR(SUM(X332:X335),"0")</f>
        <v>0</v>
      </c>
      <c r="Y337" s="41">
        <f>IFERROR(SUM(Y332:Y335),"0")</f>
        <v>0</v>
      </c>
      <c r="Z337" s="40"/>
      <c r="AA337" s="64"/>
      <c r="AB337" s="64"/>
      <c r="AC337" s="64"/>
    </row>
    <row r="338" spans="1:68" ht="14.25" hidden="1" customHeight="1" x14ac:dyDescent="0.25">
      <c r="A338" s="639" t="s">
        <v>83</v>
      </c>
      <c r="B338" s="639"/>
      <c r="C338" s="639"/>
      <c r="D338" s="639"/>
      <c r="E338" s="639"/>
      <c r="F338" s="639"/>
      <c r="G338" s="639"/>
      <c r="H338" s="639"/>
      <c r="I338" s="639"/>
      <c r="J338" s="639"/>
      <c r="K338" s="639"/>
      <c r="L338" s="639"/>
      <c r="M338" s="639"/>
      <c r="N338" s="639"/>
      <c r="O338" s="639"/>
      <c r="P338" s="639"/>
      <c r="Q338" s="639"/>
      <c r="R338" s="639"/>
      <c r="S338" s="639"/>
      <c r="T338" s="639"/>
      <c r="U338" s="639"/>
      <c r="V338" s="639"/>
      <c r="W338" s="639"/>
      <c r="X338" s="639"/>
      <c r="Y338" s="639"/>
      <c r="Z338" s="639"/>
      <c r="AA338" s="63"/>
      <c r="AB338" s="63"/>
      <c r="AC338" s="63"/>
    </row>
    <row r="339" spans="1:68" ht="27" hidden="1" customHeight="1" x14ac:dyDescent="0.25">
      <c r="A339" s="60" t="s">
        <v>563</v>
      </c>
      <c r="B339" s="60" t="s">
        <v>564</v>
      </c>
      <c r="C339" s="34">
        <v>4301051782</v>
      </c>
      <c r="D339" s="634">
        <v>4680115884618</v>
      </c>
      <c r="E339" s="634"/>
      <c r="F339" s="59">
        <v>0.6</v>
      </c>
      <c r="G339" s="35">
        <v>6</v>
      </c>
      <c r="H339" s="59">
        <v>3.6</v>
      </c>
      <c r="I339" s="59">
        <v>3.79</v>
      </c>
      <c r="J339" s="35">
        <v>132</v>
      </c>
      <c r="K339" s="35" t="s">
        <v>131</v>
      </c>
      <c r="L339" s="35" t="s">
        <v>46</v>
      </c>
      <c r="M339" s="36" t="s">
        <v>87</v>
      </c>
      <c r="N339" s="36"/>
      <c r="O339" s="35">
        <v>45</v>
      </c>
      <c r="P339" s="73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36"/>
      <c r="R339" s="636"/>
      <c r="S339" s="636"/>
      <c r="T339" s="63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IFERROR(IF(Y339=0,"",ROUNDUP(Y339/H339,0)*0.00902),"")</f>
        <v/>
      </c>
      <c r="AA339" s="65" t="s">
        <v>46</v>
      </c>
      <c r="AB339" s="66" t="s">
        <v>46</v>
      </c>
      <c r="AC339" s="421" t="s">
        <v>565</v>
      </c>
      <c r="AG339" s="75"/>
      <c r="AJ339" s="79" t="s">
        <v>46</v>
      </c>
      <c r="AK339" s="79">
        <v>0</v>
      </c>
      <c r="BB339" s="422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566</v>
      </c>
      <c r="B340" s="60" t="s">
        <v>567</v>
      </c>
      <c r="C340" s="34">
        <v>4301052057</v>
      </c>
      <c r="D340" s="634">
        <v>4680115887114</v>
      </c>
      <c r="E340" s="634"/>
      <c r="F340" s="59">
        <v>0.55000000000000004</v>
      </c>
      <c r="G340" s="35">
        <v>6</v>
      </c>
      <c r="H340" s="59">
        <v>3.3</v>
      </c>
      <c r="I340" s="59">
        <v>3.49</v>
      </c>
      <c r="J340" s="35">
        <v>132</v>
      </c>
      <c r="K340" s="35" t="s">
        <v>131</v>
      </c>
      <c r="L340" s="35" t="s">
        <v>46</v>
      </c>
      <c r="M340" s="36" t="s">
        <v>87</v>
      </c>
      <c r="N340" s="36"/>
      <c r="O340" s="35">
        <v>45</v>
      </c>
      <c r="P340" s="73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36"/>
      <c r="R340" s="636"/>
      <c r="S340" s="636"/>
      <c r="T340" s="63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568</v>
      </c>
      <c r="AG340" s="75"/>
      <c r="AJ340" s="79" t="s">
        <v>46</v>
      </c>
      <c r="AK340" s="79">
        <v>0</v>
      </c>
      <c r="BB340" s="424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569</v>
      </c>
      <c r="B341" s="60" t="s">
        <v>570</v>
      </c>
      <c r="C341" s="34">
        <v>4301052066</v>
      </c>
      <c r="D341" s="634">
        <v>4680115887466</v>
      </c>
      <c r="E341" s="634"/>
      <c r="F341" s="59">
        <v>0.7</v>
      </c>
      <c r="G341" s="35">
        <v>6</v>
      </c>
      <c r="H341" s="59">
        <v>4.2</v>
      </c>
      <c r="I341" s="59">
        <v>4.6159999999999997</v>
      </c>
      <c r="J341" s="35">
        <v>104</v>
      </c>
      <c r="K341" s="35" t="s">
        <v>124</v>
      </c>
      <c r="L341" s="35" t="s">
        <v>46</v>
      </c>
      <c r="M341" s="36" t="s">
        <v>87</v>
      </c>
      <c r="N341" s="36"/>
      <c r="O341" s="35">
        <v>45</v>
      </c>
      <c r="P341" s="739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36"/>
      <c r="R341" s="636"/>
      <c r="S341" s="636"/>
      <c r="T341" s="63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IFERROR(IF(Y341=0,"",ROUNDUP(Y341/H341,0)*0.01196),"")</f>
        <v/>
      </c>
      <c r="AA341" s="65" t="s">
        <v>46</v>
      </c>
      <c r="AB341" s="66" t="s">
        <v>46</v>
      </c>
      <c r="AC341" s="425" t="s">
        <v>571</v>
      </c>
      <c r="AG341" s="75"/>
      <c r="AJ341" s="79" t="s">
        <v>46</v>
      </c>
      <c r="AK341" s="79">
        <v>0</v>
      </c>
      <c r="BB341" s="426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38" t="s">
        <v>572</v>
      </c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8"/>
      <c r="P344" s="638"/>
      <c r="Q344" s="638"/>
      <c r="R344" s="638"/>
      <c r="S344" s="638"/>
      <c r="T344" s="638"/>
      <c r="U344" s="638"/>
      <c r="V344" s="638"/>
      <c r="W344" s="638"/>
      <c r="X344" s="638"/>
      <c r="Y344" s="638"/>
      <c r="Z344" s="638"/>
      <c r="AA344" s="62"/>
      <c r="AB344" s="62"/>
      <c r="AC344" s="62"/>
    </row>
    <row r="345" spans="1:68" ht="14.25" hidden="1" customHeight="1" x14ac:dyDescent="0.25">
      <c r="A345" s="639" t="s">
        <v>119</v>
      </c>
      <c r="B345" s="639"/>
      <c r="C345" s="639"/>
      <c r="D345" s="639"/>
      <c r="E345" s="639"/>
      <c r="F345" s="639"/>
      <c r="G345" s="639"/>
      <c r="H345" s="639"/>
      <c r="I345" s="639"/>
      <c r="J345" s="639"/>
      <c r="K345" s="639"/>
      <c r="L345" s="639"/>
      <c r="M345" s="639"/>
      <c r="N345" s="639"/>
      <c r="O345" s="639"/>
      <c r="P345" s="639"/>
      <c r="Q345" s="639"/>
      <c r="R345" s="639"/>
      <c r="S345" s="639"/>
      <c r="T345" s="639"/>
      <c r="U345" s="639"/>
      <c r="V345" s="639"/>
      <c r="W345" s="639"/>
      <c r="X345" s="639"/>
      <c r="Y345" s="639"/>
      <c r="Z345" s="639"/>
      <c r="AA345" s="63"/>
      <c r="AB345" s="63"/>
      <c r="AC345" s="63"/>
    </row>
    <row r="346" spans="1:68" ht="27" hidden="1" customHeight="1" x14ac:dyDescent="0.25">
      <c r="A346" s="60" t="s">
        <v>573</v>
      </c>
      <c r="B346" s="60" t="s">
        <v>574</v>
      </c>
      <c r="C346" s="34">
        <v>4301012324</v>
      </c>
      <c r="D346" s="634">
        <v>4680115887947</v>
      </c>
      <c r="E346" s="634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124</v>
      </c>
      <c r="L346" s="35" t="s">
        <v>46</v>
      </c>
      <c r="M346" s="36" t="s">
        <v>87</v>
      </c>
      <c r="N346" s="36"/>
      <c r="O346" s="35">
        <v>60</v>
      </c>
      <c r="P346" s="73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6"/>
      <c r="R346" s="636"/>
      <c r="S346" s="636"/>
      <c r="T346" s="63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347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575</v>
      </c>
      <c r="B347" s="60" t="s">
        <v>576</v>
      </c>
      <c r="C347" s="34">
        <v>4301012325</v>
      </c>
      <c r="D347" s="634">
        <v>4680115887978</v>
      </c>
      <c r="E347" s="634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124</v>
      </c>
      <c r="L347" s="35" t="s">
        <v>46</v>
      </c>
      <c r="M347" s="36" t="s">
        <v>87</v>
      </c>
      <c r="N347" s="36"/>
      <c r="O347" s="35">
        <v>60</v>
      </c>
      <c r="P347" s="73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6"/>
      <c r="R347" s="636"/>
      <c r="S347" s="636"/>
      <c r="T347" s="63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577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578</v>
      </c>
      <c r="B348" s="60" t="s">
        <v>579</v>
      </c>
      <c r="C348" s="34">
        <v>4301012327</v>
      </c>
      <c r="D348" s="634">
        <v>4680115887992</v>
      </c>
      <c r="E348" s="634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124</v>
      </c>
      <c r="L348" s="35" t="s">
        <v>46</v>
      </c>
      <c r="M348" s="36" t="s">
        <v>87</v>
      </c>
      <c r="N348" s="36"/>
      <c r="O348" s="35">
        <v>60</v>
      </c>
      <c r="P348" s="7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6"/>
      <c r="R348" s="636"/>
      <c r="S348" s="636"/>
      <c r="T348" s="637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580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38" t="s">
        <v>581</v>
      </c>
      <c r="B351" s="638"/>
      <c r="C351" s="638"/>
      <c r="D351" s="638"/>
      <c r="E351" s="638"/>
      <c r="F351" s="638"/>
      <c r="G351" s="638"/>
      <c r="H351" s="638"/>
      <c r="I351" s="638"/>
      <c r="J351" s="638"/>
      <c r="K351" s="638"/>
      <c r="L351" s="638"/>
      <c r="M351" s="638"/>
      <c r="N351" s="638"/>
      <c r="O351" s="638"/>
      <c r="P351" s="638"/>
      <c r="Q351" s="638"/>
      <c r="R351" s="638"/>
      <c r="S351" s="638"/>
      <c r="T351" s="638"/>
      <c r="U351" s="638"/>
      <c r="V351" s="638"/>
      <c r="W351" s="638"/>
      <c r="X351" s="638"/>
      <c r="Y351" s="638"/>
      <c r="Z351" s="638"/>
      <c r="AA351" s="62"/>
      <c r="AB351" s="62"/>
      <c r="AC351" s="62"/>
    </row>
    <row r="352" spans="1:68" ht="14.25" hidden="1" customHeight="1" x14ac:dyDescent="0.25">
      <c r="A352" s="639" t="s">
        <v>119</v>
      </c>
      <c r="B352" s="639"/>
      <c r="C352" s="639"/>
      <c r="D352" s="639"/>
      <c r="E352" s="639"/>
      <c r="F352" s="639"/>
      <c r="G352" s="639"/>
      <c r="H352" s="639"/>
      <c r="I352" s="639"/>
      <c r="J352" s="639"/>
      <c r="K352" s="639"/>
      <c r="L352" s="639"/>
      <c r="M352" s="639"/>
      <c r="N352" s="639"/>
      <c r="O352" s="639"/>
      <c r="P352" s="639"/>
      <c r="Q352" s="639"/>
      <c r="R352" s="639"/>
      <c r="S352" s="639"/>
      <c r="T352" s="639"/>
      <c r="U352" s="639"/>
      <c r="V352" s="639"/>
      <c r="W352" s="639"/>
      <c r="X352" s="639"/>
      <c r="Y352" s="639"/>
      <c r="Z352" s="639"/>
      <c r="AA352" s="63"/>
      <c r="AB352" s="63"/>
      <c r="AC352" s="63"/>
    </row>
    <row r="353" spans="1:68" ht="27" hidden="1" customHeight="1" x14ac:dyDescent="0.25">
      <c r="A353" s="60" t="s">
        <v>582</v>
      </c>
      <c r="B353" s="60" t="s">
        <v>583</v>
      </c>
      <c r="C353" s="34">
        <v>4301012360</v>
      </c>
      <c r="D353" s="634">
        <v>4680115889293</v>
      </c>
      <c r="E353" s="634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124</v>
      </c>
      <c r="L353" s="35" t="s">
        <v>46</v>
      </c>
      <c r="M353" s="36" t="s">
        <v>123</v>
      </c>
      <c r="N353" s="36"/>
      <c r="O353" s="35">
        <v>55</v>
      </c>
      <c r="P353" s="73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36"/>
      <c r="R353" s="636"/>
      <c r="S353" s="636"/>
      <c r="T353" s="637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9" si="51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584</v>
      </c>
      <c r="AG353" s="75"/>
      <c r="AJ353" s="79" t="s">
        <v>46</v>
      </c>
      <c r="AK353" s="79">
        <v>0</v>
      </c>
      <c r="BB353" s="434" t="s">
        <v>67</v>
      </c>
      <c r="BM353" s="75">
        <f t="shared" ref="BM353:BM359" si="52">IFERROR(X353*I353/H353,"0")</f>
        <v>0</v>
      </c>
      <c r="BN353" s="75">
        <f t="shared" ref="BN353:BN359" si="53">IFERROR(Y353*I353/H353,"0")</f>
        <v>0</v>
      </c>
      <c r="BO353" s="75">
        <f t="shared" ref="BO353:BO359" si="54">IFERROR(1/J353*(X353/H353),"0")</f>
        <v>0</v>
      </c>
      <c r="BP353" s="75">
        <f t="shared" ref="BP353:BP359" si="55">IFERROR(1/J353*(Y353/H353),"0")</f>
        <v>0</v>
      </c>
    </row>
    <row r="354" spans="1:68" ht="27" hidden="1" customHeight="1" x14ac:dyDescent="0.25">
      <c r="A354" s="60" t="s">
        <v>585</v>
      </c>
      <c r="B354" s="60" t="s">
        <v>586</v>
      </c>
      <c r="C354" s="34">
        <v>4301012235</v>
      </c>
      <c r="D354" s="634">
        <v>4680115887190</v>
      </c>
      <c r="E354" s="634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124</v>
      </c>
      <c r="L354" s="35" t="s">
        <v>46</v>
      </c>
      <c r="M354" s="36" t="s">
        <v>123</v>
      </c>
      <c r="N354" s="36"/>
      <c r="O354" s="35">
        <v>55</v>
      </c>
      <c r="P354" s="72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6"/>
      <c r="R354" s="636"/>
      <c r="S354" s="636"/>
      <c r="T354" s="637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51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587</v>
      </c>
      <c r="AG354" s="75"/>
      <c r="AJ354" s="79" t="s">
        <v>46</v>
      </c>
      <c r="AK354" s="79">
        <v>0</v>
      </c>
      <c r="BB354" s="436" t="s">
        <v>67</v>
      </c>
      <c r="BM354" s="75">
        <f t="shared" si="52"/>
        <v>0</v>
      </c>
      <c r="BN354" s="75">
        <f t="shared" si="53"/>
        <v>0</v>
      </c>
      <c r="BO354" s="75">
        <f t="shared" si="54"/>
        <v>0</v>
      </c>
      <c r="BP354" s="75">
        <f t="shared" si="55"/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4301012400</v>
      </c>
      <c r="D355" s="634">
        <v>4680115889880</v>
      </c>
      <c r="E355" s="634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124</v>
      </c>
      <c r="L355" s="35" t="s">
        <v>46</v>
      </c>
      <c r="M355" s="36" t="s">
        <v>123</v>
      </c>
      <c r="N355" s="36"/>
      <c r="O355" s="35">
        <v>55</v>
      </c>
      <c r="P355" s="72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36"/>
      <c r="R355" s="636"/>
      <c r="S355" s="636"/>
      <c r="T355" s="637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51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504</v>
      </c>
      <c r="AG355" s="75"/>
      <c r="AJ355" s="79" t="s">
        <v>46</v>
      </c>
      <c r="AK355" s="79">
        <v>0</v>
      </c>
      <c r="BB355" s="438" t="s">
        <v>67</v>
      </c>
      <c r="BM355" s="75">
        <f t="shared" si="52"/>
        <v>0</v>
      </c>
      <c r="BN355" s="75">
        <f t="shared" si="53"/>
        <v>0</v>
      </c>
      <c r="BO355" s="75">
        <f t="shared" si="54"/>
        <v>0</v>
      </c>
      <c r="BP355" s="75">
        <f t="shared" si="55"/>
        <v>0</v>
      </c>
    </row>
    <row r="356" spans="1:68" ht="37.5" hidden="1" customHeight="1" x14ac:dyDescent="0.25">
      <c r="A356" s="60" t="s">
        <v>590</v>
      </c>
      <c r="B356" s="60" t="s">
        <v>591</v>
      </c>
      <c r="C356" s="34">
        <v>4301012233</v>
      </c>
      <c r="D356" s="634">
        <v>4680115887138</v>
      </c>
      <c r="E356" s="634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124</v>
      </c>
      <c r="L356" s="35" t="s">
        <v>46</v>
      </c>
      <c r="M356" s="36" t="s">
        <v>123</v>
      </c>
      <c r="N356" s="36"/>
      <c r="O356" s="35">
        <v>55</v>
      </c>
      <c r="P356" s="73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36"/>
      <c r="R356" s="636"/>
      <c r="S356" s="636"/>
      <c r="T356" s="637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1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592</v>
      </c>
      <c r="AG356" s="75"/>
      <c r="AJ356" s="79" t="s">
        <v>46</v>
      </c>
      <c r="AK356" s="79">
        <v>0</v>
      </c>
      <c r="BB356" s="440" t="s">
        <v>67</v>
      </c>
      <c r="BM356" s="75">
        <f t="shared" si="52"/>
        <v>0</v>
      </c>
      <c r="BN356" s="75">
        <f t="shared" si="53"/>
        <v>0</v>
      </c>
      <c r="BO356" s="75">
        <f t="shared" si="54"/>
        <v>0</v>
      </c>
      <c r="BP356" s="75">
        <f t="shared" si="55"/>
        <v>0</v>
      </c>
    </row>
    <row r="357" spans="1:68" ht="27" hidden="1" customHeight="1" x14ac:dyDescent="0.25">
      <c r="A357" s="60" t="s">
        <v>593</v>
      </c>
      <c r="B357" s="60" t="s">
        <v>594</v>
      </c>
      <c r="C357" s="34">
        <v>4301012016</v>
      </c>
      <c r="D357" s="634">
        <v>4680115885554</v>
      </c>
      <c r="E357" s="634"/>
      <c r="F357" s="59">
        <v>1.35</v>
      </c>
      <c r="G357" s="35">
        <v>8</v>
      </c>
      <c r="H357" s="59">
        <v>10.8</v>
      </c>
      <c r="I357" s="59">
        <v>11.21</v>
      </c>
      <c r="J357" s="35">
        <v>64</v>
      </c>
      <c r="K357" s="35" t="s">
        <v>124</v>
      </c>
      <c r="L357" s="35" t="s">
        <v>46</v>
      </c>
      <c r="M357" s="36" t="s">
        <v>87</v>
      </c>
      <c r="N357" s="36"/>
      <c r="O357" s="35">
        <v>55</v>
      </c>
      <c r="P357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36"/>
      <c r="R357" s="636"/>
      <c r="S357" s="636"/>
      <c r="T357" s="637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1"/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1" t="s">
        <v>595</v>
      </c>
      <c r="AG357" s="75"/>
      <c r="AJ357" s="79" t="s">
        <v>46</v>
      </c>
      <c r="AK357" s="79">
        <v>0</v>
      </c>
      <c r="BB357" s="442" t="s">
        <v>67</v>
      </c>
      <c r="BM357" s="75">
        <f t="shared" si="52"/>
        <v>0</v>
      </c>
      <c r="BN357" s="75">
        <f t="shared" si="53"/>
        <v>0</v>
      </c>
      <c r="BO357" s="75">
        <f t="shared" si="54"/>
        <v>0</v>
      </c>
      <c r="BP357" s="75">
        <f t="shared" si="55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4301012236</v>
      </c>
      <c r="D358" s="634">
        <v>4680115887220</v>
      </c>
      <c r="E358" s="634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131</v>
      </c>
      <c r="L358" s="35" t="s">
        <v>46</v>
      </c>
      <c r="M358" s="36" t="s">
        <v>123</v>
      </c>
      <c r="N358" s="36"/>
      <c r="O358" s="35">
        <v>55</v>
      </c>
      <c r="P358" s="73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36"/>
      <c r="R358" s="636"/>
      <c r="S358" s="636"/>
      <c r="T358" s="637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1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587</v>
      </c>
      <c r="AG358" s="75"/>
      <c r="AJ358" s="79" t="s">
        <v>46</v>
      </c>
      <c r="AK358" s="79">
        <v>0</v>
      </c>
      <c r="BB358" s="444" t="s">
        <v>67</v>
      </c>
      <c r="BM358" s="75">
        <f t="shared" si="52"/>
        <v>0</v>
      </c>
      <c r="BN358" s="75">
        <f t="shared" si="53"/>
        <v>0</v>
      </c>
      <c r="BO358" s="75">
        <f t="shared" si="54"/>
        <v>0</v>
      </c>
      <c r="BP358" s="75">
        <f t="shared" si="55"/>
        <v>0</v>
      </c>
    </row>
    <row r="359" spans="1:68" ht="27" hidden="1" customHeight="1" x14ac:dyDescent="0.25">
      <c r="A359" s="60" t="s">
        <v>598</v>
      </c>
      <c r="B359" s="60" t="s">
        <v>599</v>
      </c>
      <c r="C359" s="34">
        <v>4301011859</v>
      </c>
      <c r="D359" s="634">
        <v>4680115885608</v>
      </c>
      <c r="E359" s="634"/>
      <c r="F359" s="59">
        <v>0.4</v>
      </c>
      <c r="G359" s="35">
        <v>10</v>
      </c>
      <c r="H359" s="59">
        <v>4</v>
      </c>
      <c r="I359" s="59">
        <v>4.1900000000000004</v>
      </c>
      <c r="J359" s="35">
        <v>132</v>
      </c>
      <c r="K359" s="35" t="s">
        <v>131</v>
      </c>
      <c r="L359" s="35" t="s">
        <v>46</v>
      </c>
      <c r="M359" s="36" t="s">
        <v>123</v>
      </c>
      <c r="N359" s="36"/>
      <c r="O359" s="35">
        <v>55</v>
      </c>
      <c r="P359" s="7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36"/>
      <c r="R359" s="636"/>
      <c r="S359" s="636"/>
      <c r="T359" s="63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1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45" t="s">
        <v>600</v>
      </c>
      <c r="AG359" s="75"/>
      <c r="AJ359" s="79" t="s">
        <v>46</v>
      </c>
      <c r="AK359" s="79">
        <v>0</v>
      </c>
      <c r="BB359" s="446" t="s">
        <v>67</v>
      </c>
      <c r="BM359" s="75">
        <f t="shared" si="52"/>
        <v>0</v>
      </c>
      <c r="BN359" s="75">
        <f t="shared" si="53"/>
        <v>0</v>
      </c>
      <c r="BO359" s="75">
        <f t="shared" si="54"/>
        <v>0</v>
      </c>
      <c r="BP359" s="75">
        <f t="shared" si="55"/>
        <v>0</v>
      </c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0" t="s">
        <v>39</v>
      </c>
      <c r="X360" s="41">
        <f>IFERROR(X353/H353,"0")+IFERROR(X354/H354,"0")+IFERROR(X355/H355,"0")+IFERROR(X356/H356,"0")+IFERROR(X357/H357,"0")+IFERROR(X358/H358,"0")+IFERROR(X359/H359,"0")</f>
        <v>0</v>
      </c>
      <c r="Y360" s="41">
        <f>IFERROR(Y353/H353,"0")+IFERROR(Y354/H354,"0")+IFERROR(Y355/H355,"0")+IFERROR(Y356/H356,"0")+IFERROR(Y357/H357,"0")+IFERROR(Y358/H358,"0")+IFERROR(Y359/H359,"0")</f>
        <v>0</v>
      </c>
      <c r="Z360" s="41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628"/>
      <c r="B361" s="628"/>
      <c r="C361" s="628"/>
      <c r="D361" s="628"/>
      <c r="E361" s="628"/>
      <c r="F361" s="628"/>
      <c r="G361" s="628"/>
      <c r="H361" s="628"/>
      <c r="I361" s="628"/>
      <c r="J361" s="628"/>
      <c r="K361" s="628"/>
      <c r="L361" s="628"/>
      <c r="M361" s="628"/>
      <c r="N361" s="628"/>
      <c r="O361" s="629"/>
      <c r="P361" s="625" t="s">
        <v>40</v>
      </c>
      <c r="Q361" s="626"/>
      <c r="R361" s="626"/>
      <c r="S361" s="626"/>
      <c r="T361" s="626"/>
      <c r="U361" s="626"/>
      <c r="V361" s="627"/>
      <c r="W361" s="40" t="s">
        <v>0</v>
      </c>
      <c r="X361" s="41">
        <f>IFERROR(SUM(X353:X359),"0")</f>
        <v>0</v>
      </c>
      <c r="Y361" s="41">
        <f>IFERROR(SUM(Y353:Y359),"0")</f>
        <v>0</v>
      </c>
      <c r="Z361" s="40"/>
      <c r="AA361" s="64"/>
      <c r="AB361" s="64"/>
      <c r="AC361" s="64"/>
    </row>
    <row r="362" spans="1:68" ht="14.25" hidden="1" customHeight="1" x14ac:dyDescent="0.25">
      <c r="A362" s="639" t="s">
        <v>77</v>
      </c>
      <c r="B362" s="639"/>
      <c r="C362" s="639"/>
      <c r="D362" s="639"/>
      <c r="E362" s="639"/>
      <c r="F362" s="639"/>
      <c r="G362" s="639"/>
      <c r="H362" s="639"/>
      <c r="I362" s="639"/>
      <c r="J362" s="639"/>
      <c r="K362" s="639"/>
      <c r="L362" s="639"/>
      <c r="M362" s="639"/>
      <c r="N362" s="639"/>
      <c r="O362" s="639"/>
      <c r="P362" s="639"/>
      <c r="Q362" s="639"/>
      <c r="R362" s="639"/>
      <c r="S362" s="639"/>
      <c r="T362" s="639"/>
      <c r="U362" s="639"/>
      <c r="V362" s="639"/>
      <c r="W362" s="639"/>
      <c r="X362" s="639"/>
      <c r="Y362" s="639"/>
      <c r="Z362" s="639"/>
      <c r="AA362" s="63"/>
      <c r="AB362" s="63"/>
      <c r="AC362" s="63"/>
    </row>
    <row r="363" spans="1:68" ht="27" customHeight="1" x14ac:dyDescent="0.25">
      <c r="A363" s="60" t="s">
        <v>601</v>
      </c>
      <c r="B363" s="60" t="s">
        <v>602</v>
      </c>
      <c r="C363" s="34">
        <v>4301030878</v>
      </c>
      <c r="D363" s="634">
        <v>4607091387193</v>
      </c>
      <c r="E363" s="634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131</v>
      </c>
      <c r="L363" s="35" t="s">
        <v>46</v>
      </c>
      <c r="M363" s="36" t="s">
        <v>81</v>
      </c>
      <c r="N363" s="36"/>
      <c r="O363" s="35">
        <v>35</v>
      </c>
      <c r="P363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36"/>
      <c r="R363" s="636"/>
      <c r="S363" s="636"/>
      <c r="T363" s="637"/>
      <c r="U363" s="37" t="s">
        <v>46</v>
      </c>
      <c r="V363" s="37" t="s">
        <v>46</v>
      </c>
      <c r="W363" s="38" t="s">
        <v>0</v>
      </c>
      <c r="X363" s="56">
        <v>50</v>
      </c>
      <c r="Y363" s="53">
        <f t="shared" ref="Y363:Y369" si="56">IFERROR(IF(X363="",0,CEILING((X363/$H363),1)*$H363),"")</f>
        <v>50.400000000000006</v>
      </c>
      <c r="Z363" s="39">
        <f>IFERROR(IF(Y363=0,"",ROUNDUP(Y363/H363,0)*0.00902),"")</f>
        <v>0.10824</v>
      </c>
      <c r="AA363" s="65" t="s">
        <v>46</v>
      </c>
      <c r="AB363" s="66" t="s">
        <v>46</v>
      </c>
      <c r="AC363" s="447" t="s">
        <v>603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9" si="57">IFERROR(X363*I363/H363,"0")</f>
        <v>52.976190476190474</v>
      </c>
      <c r="BN363" s="75">
        <f t="shared" ref="BN363:BN369" si="58">IFERROR(Y363*I363/H363,"0")</f>
        <v>53.400000000000006</v>
      </c>
      <c r="BO363" s="75">
        <f t="shared" ref="BO363:BO369" si="59">IFERROR(1/J363*(X363/H363),"0")</f>
        <v>9.0187590187590191E-2</v>
      </c>
      <c r="BP363" s="75">
        <f t="shared" ref="BP363:BP369" si="60">IFERROR(1/J363*(Y363/H363),"0")</f>
        <v>9.0909090909090912E-2</v>
      </c>
    </row>
    <row r="364" spans="1:68" ht="27" customHeight="1" x14ac:dyDescent="0.25">
      <c r="A364" s="60" t="s">
        <v>604</v>
      </c>
      <c r="B364" s="60" t="s">
        <v>605</v>
      </c>
      <c r="C364" s="34">
        <v>4301031153</v>
      </c>
      <c r="D364" s="634">
        <v>4607091387230</v>
      </c>
      <c r="E364" s="634"/>
      <c r="F364" s="59">
        <v>0.7</v>
      </c>
      <c r="G364" s="35">
        <v>6</v>
      </c>
      <c r="H364" s="59">
        <v>4.2</v>
      </c>
      <c r="I364" s="59">
        <v>4.45</v>
      </c>
      <c r="J364" s="35">
        <v>132</v>
      </c>
      <c r="K364" s="35" t="s">
        <v>131</v>
      </c>
      <c r="L364" s="35" t="s">
        <v>46</v>
      </c>
      <c r="M364" s="36" t="s">
        <v>81</v>
      </c>
      <c r="N364" s="36"/>
      <c r="O364" s="35">
        <v>40</v>
      </c>
      <c r="P364" s="7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36"/>
      <c r="R364" s="636"/>
      <c r="S364" s="636"/>
      <c r="T364" s="637"/>
      <c r="U364" s="37" t="s">
        <v>46</v>
      </c>
      <c r="V364" s="37" t="s">
        <v>46</v>
      </c>
      <c r="W364" s="38" t="s">
        <v>0</v>
      </c>
      <c r="X364" s="56">
        <v>30</v>
      </c>
      <c r="Y364" s="53">
        <f t="shared" si="56"/>
        <v>33.6</v>
      </c>
      <c r="Z364" s="39">
        <f>IFERROR(IF(Y364=0,"",ROUNDUP(Y364/H364,0)*0.00902),"")</f>
        <v>7.2160000000000002E-2</v>
      </c>
      <c r="AA364" s="65" t="s">
        <v>46</v>
      </c>
      <c r="AB364" s="66" t="s">
        <v>46</v>
      </c>
      <c r="AC364" s="449" t="s">
        <v>606</v>
      </c>
      <c r="AG364" s="75"/>
      <c r="AJ364" s="79" t="s">
        <v>46</v>
      </c>
      <c r="AK364" s="79">
        <v>0</v>
      </c>
      <c r="BB364" s="450" t="s">
        <v>67</v>
      </c>
      <c r="BM364" s="75">
        <f t="shared" si="57"/>
        <v>31.785714285714285</v>
      </c>
      <c r="BN364" s="75">
        <f t="shared" si="58"/>
        <v>35.6</v>
      </c>
      <c r="BO364" s="75">
        <f t="shared" si="59"/>
        <v>5.4112554112554112E-2</v>
      </c>
      <c r="BP364" s="75">
        <f t="shared" si="60"/>
        <v>6.0606060606060608E-2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4301031154</v>
      </c>
      <c r="D365" s="634">
        <v>4607091387292</v>
      </c>
      <c r="E365" s="634"/>
      <c r="F365" s="59">
        <v>0.73</v>
      </c>
      <c r="G365" s="35">
        <v>6</v>
      </c>
      <c r="H365" s="59">
        <v>4.38</v>
      </c>
      <c r="I365" s="59">
        <v>4.63</v>
      </c>
      <c r="J365" s="35">
        <v>132</v>
      </c>
      <c r="K365" s="35" t="s">
        <v>131</v>
      </c>
      <c r="L365" s="35" t="s">
        <v>46</v>
      </c>
      <c r="M365" s="36" t="s">
        <v>81</v>
      </c>
      <c r="N365" s="36"/>
      <c r="O365" s="35">
        <v>45</v>
      </c>
      <c r="P365" s="7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36"/>
      <c r="R365" s="636"/>
      <c r="S365" s="636"/>
      <c r="T365" s="63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6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1" t="s">
        <v>609</v>
      </c>
      <c r="AG365" s="75"/>
      <c r="AJ365" s="79" t="s">
        <v>46</v>
      </c>
      <c r="AK365" s="79">
        <v>0</v>
      </c>
      <c r="BB365" s="452" t="s">
        <v>67</v>
      </c>
      <c r="BM365" s="75">
        <f t="shared" si="57"/>
        <v>0</v>
      </c>
      <c r="BN365" s="75">
        <f t="shared" si="58"/>
        <v>0</v>
      </c>
      <c r="BO365" s="75">
        <f t="shared" si="59"/>
        <v>0</v>
      </c>
      <c r="BP365" s="75">
        <f t="shared" si="60"/>
        <v>0</v>
      </c>
    </row>
    <row r="366" spans="1:68" ht="27" hidden="1" customHeight="1" x14ac:dyDescent="0.25">
      <c r="A366" s="60" t="s">
        <v>610</v>
      </c>
      <c r="B366" s="60" t="s">
        <v>611</v>
      </c>
      <c r="C366" s="34">
        <v>4301031152</v>
      </c>
      <c r="D366" s="634">
        <v>4607091387285</v>
      </c>
      <c r="E366" s="634"/>
      <c r="F366" s="59">
        <v>0.35</v>
      </c>
      <c r="G366" s="35">
        <v>6</v>
      </c>
      <c r="H366" s="59">
        <v>2.1</v>
      </c>
      <c r="I366" s="59">
        <v>2.23</v>
      </c>
      <c r="J366" s="35">
        <v>234</v>
      </c>
      <c r="K366" s="35" t="s">
        <v>82</v>
      </c>
      <c r="L366" s="35" t="s">
        <v>46</v>
      </c>
      <c r="M366" s="36" t="s">
        <v>81</v>
      </c>
      <c r="N366" s="36"/>
      <c r="O366" s="35">
        <v>40</v>
      </c>
      <c r="P366" s="72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36"/>
      <c r="R366" s="636"/>
      <c r="S366" s="636"/>
      <c r="T366" s="63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6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 t="shared" si="57"/>
        <v>0</v>
      </c>
      <c r="BN366" s="75">
        <f t="shared" si="58"/>
        <v>0</v>
      </c>
      <c r="BO366" s="75">
        <f t="shared" si="59"/>
        <v>0</v>
      </c>
      <c r="BP366" s="75">
        <f t="shared" si="60"/>
        <v>0</v>
      </c>
    </row>
    <row r="367" spans="1:68" ht="27" hidden="1" customHeight="1" x14ac:dyDescent="0.25">
      <c r="A367" s="60" t="s">
        <v>612</v>
      </c>
      <c r="B367" s="60" t="s">
        <v>613</v>
      </c>
      <c r="C367" s="34">
        <v>4301031305</v>
      </c>
      <c r="D367" s="634">
        <v>4607091389845</v>
      </c>
      <c r="E367" s="634"/>
      <c r="F367" s="59">
        <v>0.35</v>
      </c>
      <c r="G367" s="35">
        <v>6</v>
      </c>
      <c r="H367" s="59">
        <v>2.1</v>
      </c>
      <c r="I367" s="59">
        <v>2.2000000000000002</v>
      </c>
      <c r="J367" s="35">
        <v>234</v>
      </c>
      <c r="K367" s="35" t="s">
        <v>82</v>
      </c>
      <c r="L367" s="35" t="s">
        <v>46</v>
      </c>
      <c r="M367" s="36" t="s">
        <v>81</v>
      </c>
      <c r="N367" s="36"/>
      <c r="O367" s="35">
        <v>40</v>
      </c>
      <c r="P367" s="72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36"/>
      <c r="R367" s="636"/>
      <c r="S367" s="636"/>
      <c r="T367" s="63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6"/>
        <v>0</v>
      </c>
      <c r="Z367" s="39" t="str">
        <f>IFERROR(IF(Y367=0,"",ROUNDUP(Y367/H367,0)*0.00502),"")</f>
        <v/>
      </c>
      <c r="AA367" s="65" t="s">
        <v>46</v>
      </c>
      <c r="AB367" s="66" t="s">
        <v>46</v>
      </c>
      <c r="AC367" s="455" t="s">
        <v>614</v>
      </c>
      <c r="AG367" s="75"/>
      <c r="AJ367" s="79" t="s">
        <v>46</v>
      </c>
      <c r="AK367" s="79">
        <v>0</v>
      </c>
      <c r="BB367" s="456" t="s">
        <v>67</v>
      </c>
      <c r="BM367" s="75">
        <f t="shared" si="57"/>
        <v>0</v>
      </c>
      <c r="BN367" s="75">
        <f t="shared" si="58"/>
        <v>0</v>
      </c>
      <c r="BO367" s="75">
        <f t="shared" si="59"/>
        <v>0</v>
      </c>
      <c r="BP367" s="75">
        <f t="shared" si="60"/>
        <v>0</v>
      </c>
    </row>
    <row r="368" spans="1:68" ht="27" hidden="1" customHeight="1" x14ac:dyDescent="0.25">
      <c r="A368" s="60" t="s">
        <v>615</v>
      </c>
      <c r="B368" s="60" t="s">
        <v>616</v>
      </c>
      <c r="C368" s="34">
        <v>4301031460</v>
      </c>
      <c r="D368" s="634">
        <v>4680115887442</v>
      </c>
      <c r="E368" s="634"/>
      <c r="F368" s="59">
        <v>0.73</v>
      </c>
      <c r="G368" s="35">
        <v>6</v>
      </c>
      <c r="H368" s="59">
        <v>4.38</v>
      </c>
      <c r="I368" s="59">
        <v>4.63</v>
      </c>
      <c r="J368" s="35">
        <v>132</v>
      </c>
      <c r="K368" s="35" t="s">
        <v>131</v>
      </c>
      <c r="L368" s="35" t="s">
        <v>46</v>
      </c>
      <c r="M368" s="36" t="s">
        <v>81</v>
      </c>
      <c r="N368" s="36"/>
      <c r="O368" s="35">
        <v>45</v>
      </c>
      <c r="P368" s="72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36"/>
      <c r="R368" s="636"/>
      <c r="S368" s="636"/>
      <c r="T368" s="63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6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609</v>
      </c>
      <c r="AG368" s="75"/>
      <c r="AJ368" s="79" t="s">
        <v>46</v>
      </c>
      <c r="AK368" s="79">
        <v>0</v>
      </c>
      <c r="BB368" s="458" t="s">
        <v>67</v>
      </c>
      <c r="BM368" s="75">
        <f t="shared" si="57"/>
        <v>0</v>
      </c>
      <c r="BN368" s="75">
        <f t="shared" si="58"/>
        <v>0</v>
      </c>
      <c r="BO368" s="75">
        <f t="shared" si="59"/>
        <v>0</v>
      </c>
      <c r="BP368" s="75">
        <f t="shared" si="60"/>
        <v>0</v>
      </c>
    </row>
    <row r="369" spans="1:68" ht="27" hidden="1" customHeight="1" x14ac:dyDescent="0.25">
      <c r="A369" s="60" t="s">
        <v>617</v>
      </c>
      <c r="B369" s="60" t="s">
        <v>618</v>
      </c>
      <c r="C369" s="34">
        <v>4301031066</v>
      </c>
      <c r="D369" s="634">
        <v>4607091383836</v>
      </c>
      <c r="E369" s="634"/>
      <c r="F369" s="59">
        <v>0.3</v>
      </c>
      <c r="G369" s="35">
        <v>6</v>
      </c>
      <c r="H369" s="59">
        <v>1.8</v>
      </c>
      <c r="I369" s="59">
        <v>2.028</v>
      </c>
      <c r="J369" s="35">
        <v>182</v>
      </c>
      <c r="K369" s="35" t="s">
        <v>88</v>
      </c>
      <c r="L369" s="35" t="s">
        <v>46</v>
      </c>
      <c r="M369" s="36" t="s">
        <v>81</v>
      </c>
      <c r="N369" s="36"/>
      <c r="O369" s="35">
        <v>40</v>
      </c>
      <c r="P36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36"/>
      <c r="R369" s="636"/>
      <c r="S369" s="636"/>
      <c r="T369" s="63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6"/>
        <v>0</v>
      </c>
      <c r="Z369" s="39" t="str">
        <f>IFERROR(IF(Y369=0,"",ROUNDUP(Y369/H369,0)*0.00651),"")</f>
        <v/>
      </c>
      <c r="AA369" s="65" t="s">
        <v>46</v>
      </c>
      <c r="AB369" s="66" t="s">
        <v>46</v>
      </c>
      <c r="AC369" s="459" t="s">
        <v>619</v>
      </c>
      <c r="AG369" s="75"/>
      <c r="AJ369" s="79" t="s">
        <v>46</v>
      </c>
      <c r="AK369" s="79">
        <v>0</v>
      </c>
      <c r="BB369" s="460" t="s">
        <v>67</v>
      </c>
      <c r="BM369" s="75">
        <f t="shared" si="57"/>
        <v>0</v>
      </c>
      <c r="BN369" s="75">
        <f t="shared" si="58"/>
        <v>0</v>
      </c>
      <c r="BO369" s="75">
        <f t="shared" si="59"/>
        <v>0</v>
      </c>
      <c r="BP369" s="75">
        <f t="shared" si="60"/>
        <v>0</v>
      </c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0" t="s">
        <v>39</v>
      </c>
      <c r="X370" s="41">
        <f>IFERROR(X363/H363,"0")+IFERROR(X364/H364,"0")+IFERROR(X365/H365,"0")+IFERROR(X366/H366,"0")+IFERROR(X367/H367,"0")+IFERROR(X368/H368,"0")+IFERROR(X369/H369,"0")</f>
        <v>19.047619047619047</v>
      </c>
      <c r="Y370" s="41">
        <f>IFERROR(Y363/H363,"0")+IFERROR(Y364/H364,"0")+IFERROR(Y365/H365,"0")+IFERROR(Y366/H366,"0")+IFERROR(Y367/H367,"0")+IFERROR(Y368/H368,"0")+IFERROR(Y369/H369,"0")</f>
        <v>20</v>
      </c>
      <c r="Z370" s="41">
        <f>IFERROR(IF(Z363="",0,Z363),"0")+IFERROR(IF(Z364="",0,Z364),"0")+IFERROR(IF(Z365="",0,Z365),"0")+IFERROR(IF(Z366="",0,Z366),"0")+IFERROR(IF(Z367="",0,Z367),"0")+IFERROR(IF(Z368="",0,Z368),"0")+IFERROR(IF(Z369="",0,Z369),"0")</f>
        <v>0.1804</v>
      </c>
      <c r="AA370" s="64"/>
      <c r="AB370" s="64"/>
      <c r="AC370" s="64"/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0</v>
      </c>
      <c r="X371" s="41">
        <f>IFERROR(SUM(X363:X369),"0")</f>
        <v>80</v>
      </c>
      <c r="Y371" s="41">
        <f>IFERROR(SUM(Y363:Y369),"0")</f>
        <v>84</v>
      </c>
      <c r="Z371" s="40"/>
      <c r="AA371" s="64"/>
      <c r="AB371" s="64"/>
      <c r="AC371" s="64"/>
    </row>
    <row r="372" spans="1:68" ht="14.25" hidden="1" customHeight="1" x14ac:dyDescent="0.25">
      <c r="A372" s="639" t="s">
        <v>83</v>
      </c>
      <c r="B372" s="639"/>
      <c r="C372" s="639"/>
      <c r="D372" s="639"/>
      <c r="E372" s="639"/>
      <c r="F372" s="639"/>
      <c r="G372" s="639"/>
      <c r="H372" s="639"/>
      <c r="I372" s="639"/>
      <c r="J372" s="639"/>
      <c r="K372" s="639"/>
      <c r="L372" s="639"/>
      <c r="M372" s="639"/>
      <c r="N372" s="639"/>
      <c r="O372" s="639"/>
      <c r="P372" s="639"/>
      <c r="Q372" s="639"/>
      <c r="R372" s="639"/>
      <c r="S372" s="639"/>
      <c r="T372" s="639"/>
      <c r="U372" s="639"/>
      <c r="V372" s="639"/>
      <c r="W372" s="639"/>
      <c r="X372" s="639"/>
      <c r="Y372" s="639"/>
      <c r="Z372" s="639"/>
      <c r="AA372" s="63"/>
      <c r="AB372" s="63"/>
      <c r="AC372" s="63"/>
    </row>
    <row r="373" spans="1:68" ht="27" hidden="1" customHeight="1" x14ac:dyDescent="0.25">
      <c r="A373" s="60" t="s">
        <v>620</v>
      </c>
      <c r="B373" s="60" t="s">
        <v>621</v>
      </c>
      <c r="C373" s="34">
        <v>4301051100</v>
      </c>
      <c r="D373" s="634">
        <v>4607091387766</v>
      </c>
      <c r="E373" s="634"/>
      <c r="F373" s="59">
        <v>1.3</v>
      </c>
      <c r="G373" s="35">
        <v>6</v>
      </c>
      <c r="H373" s="59">
        <v>7.8</v>
      </c>
      <c r="I373" s="59">
        <v>8.2880000000000003</v>
      </c>
      <c r="J373" s="35">
        <v>64</v>
      </c>
      <c r="K373" s="35" t="s">
        <v>124</v>
      </c>
      <c r="L373" s="35" t="s">
        <v>46</v>
      </c>
      <c r="M373" s="36" t="s">
        <v>87</v>
      </c>
      <c r="N373" s="36"/>
      <c r="O373" s="35">
        <v>40</v>
      </c>
      <c r="P373" s="71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36"/>
      <c r="R373" s="636"/>
      <c r="S373" s="636"/>
      <c r="T373" s="637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622</v>
      </c>
      <c r="AG373" s="75"/>
      <c r="AJ373" s="79" t="s">
        <v>46</v>
      </c>
      <c r="AK373" s="79">
        <v>0</v>
      </c>
      <c r="BB373" s="462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623</v>
      </c>
      <c r="B374" s="60" t="s">
        <v>624</v>
      </c>
      <c r="C374" s="34">
        <v>4301051818</v>
      </c>
      <c r="D374" s="634">
        <v>4607091387957</v>
      </c>
      <c r="E374" s="634"/>
      <c r="F374" s="59">
        <v>1.3</v>
      </c>
      <c r="G374" s="35">
        <v>6</v>
      </c>
      <c r="H374" s="59">
        <v>7.8</v>
      </c>
      <c r="I374" s="59">
        <v>8.2940000000000005</v>
      </c>
      <c r="J374" s="35">
        <v>64</v>
      </c>
      <c r="K374" s="35" t="s">
        <v>124</v>
      </c>
      <c r="L374" s="35" t="s">
        <v>46</v>
      </c>
      <c r="M374" s="36" t="s">
        <v>87</v>
      </c>
      <c r="N374" s="36"/>
      <c r="O374" s="35">
        <v>40</v>
      </c>
      <c r="P374" s="71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36"/>
      <c r="R374" s="636"/>
      <c r="S374" s="636"/>
      <c r="T374" s="637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625</v>
      </c>
      <c r="AG374" s="75"/>
      <c r="AJ374" s="79" t="s">
        <v>46</v>
      </c>
      <c r="AK374" s="79">
        <v>0</v>
      </c>
      <c r="BB374" s="464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626</v>
      </c>
      <c r="B375" s="60" t="s">
        <v>627</v>
      </c>
      <c r="C375" s="34">
        <v>4301051819</v>
      </c>
      <c r="D375" s="634">
        <v>4607091387964</v>
      </c>
      <c r="E375" s="634"/>
      <c r="F375" s="59">
        <v>1.35</v>
      </c>
      <c r="G375" s="35">
        <v>6</v>
      </c>
      <c r="H375" s="59">
        <v>8.1</v>
      </c>
      <c r="I375" s="59">
        <v>8.5760000000000005</v>
      </c>
      <c r="J375" s="35">
        <v>64</v>
      </c>
      <c r="K375" s="35" t="s">
        <v>124</v>
      </c>
      <c r="L375" s="35" t="s">
        <v>46</v>
      </c>
      <c r="M375" s="36" t="s">
        <v>87</v>
      </c>
      <c r="N375" s="36"/>
      <c r="O375" s="35">
        <v>40</v>
      </c>
      <c r="P375" s="71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36"/>
      <c r="R375" s="636"/>
      <c r="S375" s="636"/>
      <c r="T375" s="637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46</v>
      </c>
      <c r="AB375" s="66" t="s">
        <v>46</v>
      </c>
      <c r="AC375" s="465" t="s">
        <v>628</v>
      </c>
      <c r="AG375" s="75"/>
      <c r="AJ375" s="79" t="s">
        <v>46</v>
      </c>
      <c r="AK375" s="79">
        <v>0</v>
      </c>
      <c r="BB375" s="466" t="s">
        <v>67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27" hidden="1" customHeight="1" x14ac:dyDescent="0.25">
      <c r="A376" s="60" t="s">
        <v>629</v>
      </c>
      <c r="B376" s="60" t="s">
        <v>630</v>
      </c>
      <c r="C376" s="34">
        <v>4301051734</v>
      </c>
      <c r="D376" s="634">
        <v>4680115884588</v>
      </c>
      <c r="E376" s="634"/>
      <c r="F376" s="59">
        <v>0.5</v>
      </c>
      <c r="G376" s="35">
        <v>6</v>
      </c>
      <c r="H376" s="59">
        <v>3</v>
      </c>
      <c r="I376" s="59">
        <v>3.246</v>
      </c>
      <c r="J376" s="35">
        <v>182</v>
      </c>
      <c r="K376" s="35" t="s">
        <v>88</v>
      </c>
      <c r="L376" s="35" t="s">
        <v>46</v>
      </c>
      <c r="M376" s="36" t="s">
        <v>87</v>
      </c>
      <c r="N376" s="36"/>
      <c r="O376" s="35">
        <v>40</v>
      </c>
      <c r="P376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36"/>
      <c r="R376" s="636"/>
      <c r="S376" s="636"/>
      <c r="T376" s="637"/>
      <c r="U376" s="37" t="s">
        <v>46</v>
      </c>
      <c r="V376" s="37" t="s">
        <v>46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IFERROR(IF(Y376=0,"",ROUNDUP(Y376/H376,0)*0.00651),"")</f>
        <v/>
      </c>
      <c r="AA376" s="65" t="s">
        <v>46</v>
      </c>
      <c r="AB376" s="66" t="s">
        <v>46</v>
      </c>
      <c r="AC376" s="467" t="s">
        <v>622</v>
      </c>
      <c r="AG376" s="75"/>
      <c r="AJ376" s="79" t="s">
        <v>46</v>
      </c>
      <c r="AK376" s="79">
        <v>0</v>
      </c>
      <c r="BB376" s="468" t="s">
        <v>67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IFERROR(X373/H373,"0")+IFERROR(X374/H374,"0")+IFERROR(X375/H375,"0")+IFERROR(X376/H376,"0")</f>
        <v>0</v>
      </c>
      <c r="Y377" s="41">
        <f>IFERROR(Y373/H373,"0")+IFERROR(Y374/H374,"0")+IFERROR(Y375/H375,"0")+IFERROR(Y376/H376,"0")</f>
        <v>0</v>
      </c>
      <c r="Z377" s="41">
        <f>IFERROR(IF(Z373="",0,Z373),"0")+IFERROR(IF(Z374="",0,Z374),"0")+IFERROR(IF(Z375="",0,Z375),"0")+IFERROR(IF(Z376="",0,Z376),"0")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IFERROR(SUM(X373:X376),"0")</f>
        <v>0</v>
      </c>
      <c r="Y378" s="41">
        <f>IFERROR(SUM(Y373:Y376),"0")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39" t="s">
        <v>172</v>
      </c>
      <c r="B379" s="639"/>
      <c r="C379" s="639"/>
      <c r="D379" s="639"/>
      <c r="E379" s="639"/>
      <c r="F379" s="639"/>
      <c r="G379" s="639"/>
      <c r="H379" s="639"/>
      <c r="I379" s="639"/>
      <c r="J379" s="639"/>
      <c r="K379" s="639"/>
      <c r="L379" s="639"/>
      <c r="M379" s="639"/>
      <c r="N379" s="639"/>
      <c r="O379" s="639"/>
      <c r="P379" s="639"/>
      <c r="Q379" s="639"/>
      <c r="R379" s="639"/>
      <c r="S379" s="639"/>
      <c r="T379" s="639"/>
      <c r="U379" s="639"/>
      <c r="V379" s="639"/>
      <c r="W379" s="639"/>
      <c r="X379" s="639"/>
      <c r="Y379" s="639"/>
      <c r="Z379" s="639"/>
      <c r="AA379" s="63"/>
      <c r="AB379" s="63"/>
      <c r="AC379" s="63"/>
    </row>
    <row r="380" spans="1:68" ht="27" hidden="1" customHeight="1" x14ac:dyDescent="0.25">
      <c r="A380" s="60" t="s">
        <v>631</v>
      </c>
      <c r="B380" s="60" t="s">
        <v>632</v>
      </c>
      <c r="C380" s="34">
        <v>4301060387</v>
      </c>
      <c r="D380" s="634">
        <v>4607091380880</v>
      </c>
      <c r="E380" s="634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124</v>
      </c>
      <c r="L380" s="35" t="s">
        <v>46</v>
      </c>
      <c r="M380" s="36" t="s">
        <v>87</v>
      </c>
      <c r="N380" s="36"/>
      <c r="O380" s="35">
        <v>30</v>
      </c>
      <c r="P380" s="71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36"/>
      <c r="R380" s="636"/>
      <c r="S380" s="636"/>
      <c r="T380" s="63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633</v>
      </c>
      <c r="AG380" s="75"/>
      <c r="AJ380" s="79" t="s">
        <v>46</v>
      </c>
      <c r="AK380" s="79">
        <v>0</v>
      </c>
      <c r="BB380" s="470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634</v>
      </c>
      <c r="B381" s="60" t="s">
        <v>635</v>
      </c>
      <c r="C381" s="34">
        <v>4301060406</v>
      </c>
      <c r="D381" s="634">
        <v>4607091384482</v>
      </c>
      <c r="E381" s="634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124</v>
      </c>
      <c r="L381" s="35" t="s">
        <v>46</v>
      </c>
      <c r="M381" s="36" t="s">
        <v>87</v>
      </c>
      <c r="N381" s="36"/>
      <c r="O381" s="35">
        <v>30</v>
      </c>
      <c r="P381" s="7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36"/>
      <c r="R381" s="636"/>
      <c r="S381" s="636"/>
      <c r="T381" s="63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636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637</v>
      </c>
      <c r="B382" s="60" t="s">
        <v>638</v>
      </c>
      <c r="C382" s="34">
        <v>4301060484</v>
      </c>
      <c r="D382" s="634">
        <v>4607091380897</v>
      </c>
      <c r="E382" s="634"/>
      <c r="F382" s="59">
        <v>1.4</v>
      </c>
      <c r="G382" s="35">
        <v>6</v>
      </c>
      <c r="H382" s="59">
        <v>8.4</v>
      </c>
      <c r="I382" s="59">
        <v>8.8940000000000001</v>
      </c>
      <c r="J382" s="35">
        <v>64</v>
      </c>
      <c r="K382" s="35" t="s">
        <v>124</v>
      </c>
      <c r="L382" s="35" t="s">
        <v>46</v>
      </c>
      <c r="M382" s="36" t="s">
        <v>94</v>
      </c>
      <c r="N382" s="36"/>
      <c r="O382" s="35">
        <v>30</v>
      </c>
      <c r="P382" s="71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36"/>
      <c r="R382" s="636"/>
      <c r="S382" s="636"/>
      <c r="T382" s="63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639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0" t="s">
        <v>39</v>
      </c>
      <c r="X383" s="41">
        <f>IFERROR(X380/H380,"0")+IFERROR(X381/H381,"0")+IFERROR(X382/H382,"0")</f>
        <v>0</v>
      </c>
      <c r="Y383" s="41">
        <f>IFERROR(Y380/H380,"0")+IFERROR(Y381/H381,"0")+IFERROR(Y382/H382,"0")</f>
        <v>0</v>
      </c>
      <c r="Z383" s="41">
        <f>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28"/>
      <c r="B384" s="628"/>
      <c r="C384" s="628"/>
      <c r="D384" s="628"/>
      <c r="E384" s="628"/>
      <c r="F384" s="628"/>
      <c r="G384" s="628"/>
      <c r="H384" s="628"/>
      <c r="I384" s="628"/>
      <c r="J384" s="628"/>
      <c r="K384" s="628"/>
      <c r="L384" s="628"/>
      <c r="M384" s="628"/>
      <c r="N384" s="628"/>
      <c r="O384" s="629"/>
      <c r="P384" s="625" t="s">
        <v>40</v>
      </c>
      <c r="Q384" s="626"/>
      <c r="R384" s="626"/>
      <c r="S384" s="626"/>
      <c r="T384" s="626"/>
      <c r="U384" s="626"/>
      <c r="V384" s="627"/>
      <c r="W384" s="40" t="s">
        <v>0</v>
      </c>
      <c r="X384" s="41">
        <f>IFERROR(SUM(X380:X382),"0")</f>
        <v>0</v>
      </c>
      <c r="Y384" s="41">
        <f>IFERROR(SUM(Y380:Y382),"0")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39" t="s">
        <v>274</v>
      </c>
      <c r="B385" s="639"/>
      <c r="C385" s="639"/>
      <c r="D385" s="639"/>
      <c r="E385" s="639"/>
      <c r="F385" s="639"/>
      <c r="G385" s="639"/>
      <c r="H385" s="639"/>
      <c r="I385" s="639"/>
      <c r="J385" s="639"/>
      <c r="K385" s="639"/>
      <c r="L385" s="639"/>
      <c r="M385" s="639"/>
      <c r="N385" s="639"/>
      <c r="O385" s="639"/>
      <c r="P385" s="639"/>
      <c r="Q385" s="639"/>
      <c r="R385" s="639"/>
      <c r="S385" s="639"/>
      <c r="T385" s="639"/>
      <c r="U385" s="639"/>
      <c r="V385" s="639"/>
      <c r="W385" s="639"/>
      <c r="X385" s="639"/>
      <c r="Y385" s="639"/>
      <c r="Z385" s="639"/>
      <c r="AA385" s="63"/>
      <c r="AB385" s="63"/>
      <c r="AC385" s="63"/>
    </row>
    <row r="386" spans="1:68" ht="27" hidden="1" customHeight="1" x14ac:dyDescent="0.25">
      <c r="A386" s="60" t="s">
        <v>640</v>
      </c>
      <c r="B386" s="60" t="s">
        <v>641</v>
      </c>
      <c r="C386" s="34">
        <v>4301030235</v>
      </c>
      <c r="D386" s="634">
        <v>4607091388381</v>
      </c>
      <c r="E386" s="634"/>
      <c r="F386" s="59">
        <v>0.38</v>
      </c>
      <c r="G386" s="35">
        <v>8</v>
      </c>
      <c r="H386" s="59">
        <v>3.04</v>
      </c>
      <c r="I386" s="59">
        <v>3.31</v>
      </c>
      <c r="J386" s="35">
        <v>132</v>
      </c>
      <c r="K386" s="35" t="s">
        <v>131</v>
      </c>
      <c r="L386" s="35" t="s">
        <v>46</v>
      </c>
      <c r="M386" s="36" t="s">
        <v>252</v>
      </c>
      <c r="N386" s="36"/>
      <c r="O386" s="35">
        <v>180</v>
      </c>
      <c r="P386" s="7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36"/>
      <c r="R386" s="636"/>
      <c r="S386" s="636"/>
      <c r="T386" s="63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642</v>
      </c>
      <c r="AG386" s="75"/>
      <c r="AJ386" s="79" t="s">
        <v>46</v>
      </c>
      <c r="AK386" s="79">
        <v>0</v>
      </c>
      <c r="BB386" s="476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643</v>
      </c>
      <c r="B387" s="60" t="s">
        <v>644</v>
      </c>
      <c r="C387" s="34">
        <v>4301030232</v>
      </c>
      <c r="D387" s="634">
        <v>4607091388374</v>
      </c>
      <c r="E387" s="634"/>
      <c r="F387" s="59">
        <v>0.38</v>
      </c>
      <c r="G387" s="35">
        <v>8</v>
      </c>
      <c r="H387" s="59">
        <v>3.04</v>
      </c>
      <c r="I387" s="59">
        <v>3.27</v>
      </c>
      <c r="J387" s="35">
        <v>132</v>
      </c>
      <c r="K387" s="35" t="s">
        <v>131</v>
      </c>
      <c r="L387" s="35" t="s">
        <v>46</v>
      </c>
      <c r="M387" s="36" t="s">
        <v>252</v>
      </c>
      <c r="N387" s="36"/>
      <c r="O387" s="35">
        <v>180</v>
      </c>
      <c r="P387" s="71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36"/>
      <c r="R387" s="636"/>
      <c r="S387" s="636"/>
      <c r="T387" s="637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7" t="s">
        <v>642</v>
      </c>
      <c r="AG387" s="75"/>
      <c r="AJ387" s="79" t="s">
        <v>46</v>
      </c>
      <c r="AK387" s="79">
        <v>0</v>
      </c>
      <c r="BB387" s="478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645</v>
      </c>
      <c r="B388" s="60" t="s">
        <v>646</v>
      </c>
      <c r="C388" s="34">
        <v>4301032015</v>
      </c>
      <c r="D388" s="634">
        <v>4607091383102</v>
      </c>
      <c r="E388" s="634"/>
      <c r="F388" s="59">
        <v>0.17</v>
      </c>
      <c r="G388" s="35">
        <v>15</v>
      </c>
      <c r="H388" s="59">
        <v>2.5499999999999998</v>
      </c>
      <c r="I388" s="59">
        <v>2.9550000000000001</v>
      </c>
      <c r="J388" s="35">
        <v>182</v>
      </c>
      <c r="K388" s="35" t="s">
        <v>88</v>
      </c>
      <c r="L388" s="35" t="s">
        <v>46</v>
      </c>
      <c r="M388" s="36" t="s">
        <v>252</v>
      </c>
      <c r="N388" s="36"/>
      <c r="O388" s="35">
        <v>180</v>
      </c>
      <c r="P388" s="7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36"/>
      <c r="R388" s="636"/>
      <c r="S388" s="636"/>
      <c r="T388" s="63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642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647</v>
      </c>
      <c r="B389" s="60" t="s">
        <v>648</v>
      </c>
      <c r="C389" s="34">
        <v>4301030233</v>
      </c>
      <c r="D389" s="634">
        <v>4607091388404</v>
      </c>
      <c r="E389" s="634"/>
      <c r="F389" s="59">
        <v>0.17</v>
      </c>
      <c r="G389" s="35">
        <v>15</v>
      </c>
      <c r="H389" s="59">
        <v>2.5499999999999998</v>
      </c>
      <c r="I389" s="59">
        <v>2.88</v>
      </c>
      <c r="J389" s="35">
        <v>182</v>
      </c>
      <c r="K389" s="35" t="s">
        <v>88</v>
      </c>
      <c r="L389" s="35" t="s">
        <v>46</v>
      </c>
      <c r="M389" s="36" t="s">
        <v>252</v>
      </c>
      <c r="N389" s="36"/>
      <c r="O389" s="35">
        <v>180</v>
      </c>
      <c r="P389" s="70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36"/>
      <c r="R389" s="636"/>
      <c r="S389" s="636"/>
      <c r="T389" s="637"/>
      <c r="U389" s="37" t="s">
        <v>46</v>
      </c>
      <c r="V389" s="37" t="s">
        <v>46</v>
      </c>
      <c r="W389" s="38" t="s">
        <v>0</v>
      </c>
      <c r="X389" s="56">
        <v>8</v>
      </c>
      <c r="Y389" s="53">
        <f>IFERROR(IF(X389="",0,CEILING((X389/$H389),1)*$H389),"")</f>
        <v>10.199999999999999</v>
      </c>
      <c r="Z389" s="39">
        <f>IFERROR(IF(Y389=0,"",ROUNDUP(Y389/H389,0)*0.00651),"")</f>
        <v>2.6040000000000001E-2</v>
      </c>
      <c r="AA389" s="65" t="s">
        <v>46</v>
      </c>
      <c r="AB389" s="66" t="s">
        <v>46</v>
      </c>
      <c r="AC389" s="481" t="s">
        <v>642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9.0352941176470587</v>
      </c>
      <c r="BN389" s="75">
        <f>IFERROR(Y389*I389/H389,"0")</f>
        <v>11.52</v>
      </c>
      <c r="BO389" s="75">
        <f>IFERROR(1/J389*(X389/H389),"0")</f>
        <v>1.7237664296487831E-2</v>
      </c>
      <c r="BP389" s="75">
        <f>IFERROR(1/J389*(Y389/H389),"0")</f>
        <v>2.197802197802198E-2</v>
      </c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0" t="s">
        <v>39</v>
      </c>
      <c r="X390" s="41">
        <f>IFERROR(X386/H386,"0")+IFERROR(X387/H387,"0")+IFERROR(X388/H388,"0")+IFERROR(X389/H389,"0")</f>
        <v>3.1372549019607847</v>
      </c>
      <c r="Y390" s="41">
        <f>IFERROR(Y386/H386,"0")+IFERROR(Y387/H387,"0")+IFERROR(Y388/H388,"0")+IFERROR(Y389/H389,"0")</f>
        <v>4</v>
      </c>
      <c r="Z390" s="41">
        <f>IFERROR(IF(Z386="",0,Z386),"0")+IFERROR(IF(Z387="",0,Z387),"0")+IFERROR(IF(Z388="",0,Z388),"0")+IFERROR(IF(Z389="",0,Z389),"0")</f>
        <v>2.6040000000000001E-2</v>
      </c>
      <c r="AA390" s="64"/>
      <c r="AB390" s="64"/>
      <c r="AC390" s="64"/>
    </row>
    <row r="391" spans="1:68" x14ac:dyDescent="0.2">
      <c r="A391" s="628"/>
      <c r="B391" s="628"/>
      <c r="C391" s="628"/>
      <c r="D391" s="628"/>
      <c r="E391" s="628"/>
      <c r="F391" s="628"/>
      <c r="G391" s="628"/>
      <c r="H391" s="628"/>
      <c r="I391" s="628"/>
      <c r="J391" s="628"/>
      <c r="K391" s="628"/>
      <c r="L391" s="628"/>
      <c r="M391" s="628"/>
      <c r="N391" s="628"/>
      <c r="O391" s="629"/>
      <c r="P391" s="625" t="s">
        <v>40</v>
      </c>
      <c r="Q391" s="626"/>
      <c r="R391" s="626"/>
      <c r="S391" s="626"/>
      <c r="T391" s="626"/>
      <c r="U391" s="626"/>
      <c r="V391" s="627"/>
      <c r="W391" s="40" t="s">
        <v>0</v>
      </c>
      <c r="X391" s="41">
        <f>IFERROR(SUM(X386:X389),"0")</f>
        <v>8</v>
      </c>
      <c r="Y391" s="41">
        <f>IFERROR(SUM(Y386:Y389),"0")</f>
        <v>10.199999999999999</v>
      </c>
      <c r="Z391" s="40"/>
      <c r="AA391" s="64"/>
      <c r="AB391" s="64"/>
      <c r="AC391" s="64"/>
    </row>
    <row r="392" spans="1:68" ht="14.25" hidden="1" customHeight="1" x14ac:dyDescent="0.25">
      <c r="A392" s="639" t="s">
        <v>649</v>
      </c>
      <c r="B392" s="639"/>
      <c r="C392" s="639"/>
      <c r="D392" s="639"/>
      <c r="E392" s="639"/>
      <c r="F392" s="639"/>
      <c r="G392" s="639"/>
      <c r="H392" s="639"/>
      <c r="I392" s="639"/>
      <c r="J392" s="639"/>
      <c r="K392" s="639"/>
      <c r="L392" s="639"/>
      <c r="M392" s="639"/>
      <c r="N392" s="639"/>
      <c r="O392" s="639"/>
      <c r="P392" s="639"/>
      <c r="Q392" s="639"/>
      <c r="R392" s="639"/>
      <c r="S392" s="639"/>
      <c r="T392" s="639"/>
      <c r="U392" s="639"/>
      <c r="V392" s="639"/>
      <c r="W392" s="639"/>
      <c r="X392" s="639"/>
      <c r="Y392" s="639"/>
      <c r="Z392" s="639"/>
      <c r="AA392" s="63"/>
      <c r="AB392" s="63"/>
      <c r="AC392" s="63"/>
    </row>
    <row r="393" spans="1:68" ht="16.5" hidden="1" customHeight="1" x14ac:dyDescent="0.25">
      <c r="A393" s="60" t="s">
        <v>650</v>
      </c>
      <c r="B393" s="60" t="s">
        <v>651</v>
      </c>
      <c r="C393" s="34">
        <v>4301180007</v>
      </c>
      <c r="D393" s="634">
        <v>4680115881808</v>
      </c>
      <c r="E393" s="634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88</v>
      </c>
      <c r="L393" s="35" t="s">
        <v>46</v>
      </c>
      <c r="M393" s="36" t="s">
        <v>653</v>
      </c>
      <c r="N393" s="36"/>
      <c r="O393" s="35">
        <v>731</v>
      </c>
      <c r="P393" s="71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36"/>
      <c r="R393" s="636"/>
      <c r="S393" s="636"/>
      <c r="T393" s="63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652</v>
      </c>
      <c r="AG393" s="75"/>
      <c r="AJ393" s="79" t="s">
        <v>46</v>
      </c>
      <c r="AK393" s="79">
        <v>0</v>
      </c>
      <c r="BB393" s="484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654</v>
      </c>
      <c r="B394" s="60" t="s">
        <v>655</v>
      </c>
      <c r="C394" s="34">
        <v>4301180006</v>
      </c>
      <c r="D394" s="634">
        <v>4680115881822</v>
      </c>
      <c r="E394" s="634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88</v>
      </c>
      <c r="L394" s="35" t="s">
        <v>46</v>
      </c>
      <c r="M394" s="36" t="s">
        <v>653</v>
      </c>
      <c r="N394" s="36"/>
      <c r="O394" s="35">
        <v>731</v>
      </c>
      <c r="P394" s="70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36"/>
      <c r="R394" s="636"/>
      <c r="S394" s="636"/>
      <c r="T394" s="63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652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656</v>
      </c>
      <c r="B395" s="60" t="s">
        <v>657</v>
      </c>
      <c r="C395" s="34">
        <v>4301180001</v>
      </c>
      <c r="D395" s="634">
        <v>4680115880016</v>
      </c>
      <c r="E395" s="634"/>
      <c r="F395" s="59">
        <v>0.1</v>
      </c>
      <c r="G395" s="35">
        <v>20</v>
      </c>
      <c r="H395" s="59">
        <v>2</v>
      </c>
      <c r="I395" s="59">
        <v>2.2400000000000002</v>
      </c>
      <c r="J395" s="35">
        <v>238</v>
      </c>
      <c r="K395" s="35" t="s">
        <v>88</v>
      </c>
      <c r="L395" s="35" t="s">
        <v>46</v>
      </c>
      <c r="M395" s="36" t="s">
        <v>653</v>
      </c>
      <c r="N395" s="36"/>
      <c r="O395" s="35">
        <v>731</v>
      </c>
      <c r="P395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36"/>
      <c r="R395" s="636"/>
      <c r="S395" s="636"/>
      <c r="T395" s="63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IFERROR(IF(Y395=0,"",ROUNDUP(Y395/H395,0)*0.00474),"")</f>
        <v/>
      </c>
      <c r="AA395" s="65" t="s">
        <v>46</v>
      </c>
      <c r="AB395" s="66" t="s">
        <v>46</v>
      </c>
      <c r="AC395" s="487" t="s">
        <v>652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0" t="s">
        <v>39</v>
      </c>
      <c r="X396" s="41">
        <f>IFERROR(X393/H393,"0")+IFERROR(X394/H394,"0")+IFERROR(X395/H395,"0")</f>
        <v>0</v>
      </c>
      <c r="Y396" s="41">
        <f>IFERROR(Y393/H393,"0")+IFERROR(Y394/H394,"0")+IFERROR(Y395/H395,"0")</f>
        <v>0</v>
      </c>
      <c r="Z396" s="41">
        <f>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28"/>
      <c r="B397" s="628"/>
      <c r="C397" s="628"/>
      <c r="D397" s="628"/>
      <c r="E397" s="628"/>
      <c r="F397" s="628"/>
      <c r="G397" s="628"/>
      <c r="H397" s="628"/>
      <c r="I397" s="628"/>
      <c r="J397" s="628"/>
      <c r="K397" s="628"/>
      <c r="L397" s="628"/>
      <c r="M397" s="628"/>
      <c r="N397" s="628"/>
      <c r="O397" s="629"/>
      <c r="P397" s="625" t="s">
        <v>40</v>
      </c>
      <c r="Q397" s="626"/>
      <c r="R397" s="626"/>
      <c r="S397" s="626"/>
      <c r="T397" s="626"/>
      <c r="U397" s="626"/>
      <c r="V397" s="627"/>
      <c r="W397" s="40" t="s">
        <v>0</v>
      </c>
      <c r="X397" s="41">
        <f>IFERROR(SUM(X393:X395),"0")</f>
        <v>0</v>
      </c>
      <c r="Y397" s="41">
        <f>IFERROR(SUM(Y393:Y395),"0")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39" t="s">
        <v>658</v>
      </c>
      <c r="B398" s="639"/>
      <c r="C398" s="639"/>
      <c r="D398" s="639"/>
      <c r="E398" s="639"/>
      <c r="F398" s="639"/>
      <c r="G398" s="639"/>
      <c r="H398" s="639"/>
      <c r="I398" s="639"/>
      <c r="J398" s="639"/>
      <c r="K398" s="639"/>
      <c r="L398" s="639"/>
      <c r="M398" s="639"/>
      <c r="N398" s="639"/>
      <c r="O398" s="639"/>
      <c r="P398" s="639"/>
      <c r="Q398" s="639"/>
      <c r="R398" s="639"/>
      <c r="S398" s="639"/>
      <c r="T398" s="639"/>
      <c r="U398" s="639"/>
      <c r="V398" s="639"/>
      <c r="W398" s="639"/>
      <c r="X398" s="639"/>
      <c r="Y398" s="639"/>
      <c r="Z398" s="639"/>
      <c r="AA398" s="63"/>
      <c r="AB398" s="63"/>
      <c r="AC398" s="63"/>
    </row>
    <row r="399" spans="1:68" ht="27" hidden="1" customHeight="1" x14ac:dyDescent="0.25">
      <c r="A399" s="60" t="s">
        <v>659</v>
      </c>
      <c r="B399" s="60" t="s">
        <v>660</v>
      </c>
      <c r="C399" s="34">
        <v>4301220003</v>
      </c>
      <c r="D399" s="634">
        <v>4680115888678</v>
      </c>
      <c r="E399" s="634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88</v>
      </c>
      <c r="L399" s="35" t="s">
        <v>46</v>
      </c>
      <c r="M399" s="36" t="s">
        <v>653</v>
      </c>
      <c r="N399" s="36"/>
      <c r="O399" s="35">
        <v>1096</v>
      </c>
      <c r="P399" s="70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36"/>
      <c r="R399" s="636"/>
      <c r="S399" s="636"/>
      <c r="T399" s="63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 t="s">
        <v>46</v>
      </c>
      <c r="AB399" s="66" t="s">
        <v>46</v>
      </c>
      <c r="AC399" s="489" t="s">
        <v>661</v>
      </c>
      <c r="AG399" s="75"/>
      <c r="AJ399" s="79" t="s">
        <v>46</v>
      </c>
      <c r="AK399" s="79">
        <v>0</v>
      </c>
      <c r="BB399" s="490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4301220001</v>
      </c>
      <c r="D400" s="634">
        <v>4680115888654</v>
      </c>
      <c r="E400" s="634"/>
      <c r="F400" s="59">
        <v>0.32500000000000001</v>
      </c>
      <c r="G400" s="35">
        <v>12</v>
      </c>
      <c r="H400" s="59">
        <v>3.9</v>
      </c>
      <c r="I400" s="59">
        <v>4.17</v>
      </c>
      <c r="J400" s="35">
        <v>144</v>
      </c>
      <c r="K400" s="35" t="s">
        <v>131</v>
      </c>
      <c r="L400" s="35" t="s">
        <v>46</v>
      </c>
      <c r="M400" s="36" t="s">
        <v>653</v>
      </c>
      <c r="N400" s="36"/>
      <c r="O400" s="35">
        <v>1096</v>
      </c>
      <c r="P400" s="70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36"/>
      <c r="R400" s="636"/>
      <c r="S400" s="636"/>
      <c r="T400" s="63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IFERROR(IF(Y400=0,"",ROUNDUP(Y400/H400,0)*0.006),"")</f>
        <v/>
      </c>
      <c r="AA400" s="65" t="s">
        <v>46</v>
      </c>
      <c r="AB400" s="66" t="s">
        <v>46</v>
      </c>
      <c r="AC400" s="491" t="s">
        <v>664</v>
      </c>
      <c r="AG400" s="75"/>
      <c r="AJ400" s="79" t="s">
        <v>46</v>
      </c>
      <c r="AK400" s="79">
        <v>0</v>
      </c>
      <c r="BB400" s="492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665</v>
      </c>
      <c r="B401" s="60" t="s">
        <v>666</v>
      </c>
      <c r="C401" s="34">
        <v>4301220002</v>
      </c>
      <c r="D401" s="634">
        <v>4680115888753</v>
      </c>
      <c r="E401" s="634"/>
      <c r="F401" s="59">
        <v>0.25</v>
      </c>
      <c r="G401" s="35">
        <v>12</v>
      </c>
      <c r="H401" s="59">
        <v>3</v>
      </c>
      <c r="I401" s="59">
        <v>3.22</v>
      </c>
      <c r="J401" s="35">
        <v>224</v>
      </c>
      <c r="K401" s="35" t="s">
        <v>88</v>
      </c>
      <c r="L401" s="35" t="s">
        <v>46</v>
      </c>
      <c r="M401" s="36" t="s">
        <v>653</v>
      </c>
      <c r="N401" s="36"/>
      <c r="O401" s="35">
        <v>1096</v>
      </c>
      <c r="P401" s="70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36"/>
      <c r="R401" s="636"/>
      <c r="S401" s="636"/>
      <c r="T401" s="63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IFERROR(IF(Y401=0,"",ROUNDUP(Y401/H401,0)*0.0045),"")</f>
        <v/>
      </c>
      <c r="AA401" s="65" t="s">
        <v>46</v>
      </c>
      <c r="AB401" s="66" t="s">
        <v>46</v>
      </c>
      <c r="AC401" s="493" t="s">
        <v>661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6.5" hidden="1" customHeight="1" x14ac:dyDescent="0.25">
      <c r="A404" s="638" t="s">
        <v>667</v>
      </c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8"/>
      <c r="P404" s="638"/>
      <c r="Q404" s="638"/>
      <c r="R404" s="638"/>
      <c r="S404" s="638"/>
      <c r="T404" s="638"/>
      <c r="U404" s="638"/>
      <c r="V404" s="638"/>
      <c r="W404" s="638"/>
      <c r="X404" s="638"/>
      <c r="Y404" s="638"/>
      <c r="Z404" s="638"/>
      <c r="AA404" s="62"/>
      <c r="AB404" s="62"/>
      <c r="AC404" s="62"/>
    </row>
    <row r="405" spans="1:68" ht="14.25" hidden="1" customHeight="1" x14ac:dyDescent="0.25">
      <c r="A405" s="639" t="s">
        <v>83</v>
      </c>
      <c r="B405" s="639"/>
      <c r="C405" s="639"/>
      <c r="D405" s="639"/>
      <c r="E405" s="639"/>
      <c r="F405" s="639"/>
      <c r="G405" s="639"/>
      <c r="H405" s="639"/>
      <c r="I405" s="639"/>
      <c r="J405" s="639"/>
      <c r="K405" s="639"/>
      <c r="L405" s="639"/>
      <c r="M405" s="639"/>
      <c r="N405" s="639"/>
      <c r="O405" s="639"/>
      <c r="P405" s="639"/>
      <c r="Q405" s="639"/>
      <c r="R405" s="639"/>
      <c r="S405" s="639"/>
      <c r="T405" s="639"/>
      <c r="U405" s="639"/>
      <c r="V405" s="639"/>
      <c r="W405" s="639"/>
      <c r="X405" s="639"/>
      <c r="Y405" s="639"/>
      <c r="Z405" s="639"/>
      <c r="AA405" s="63"/>
      <c r="AB405" s="63"/>
      <c r="AC405" s="63"/>
    </row>
    <row r="406" spans="1:68" ht="16.5" hidden="1" customHeight="1" x14ac:dyDescent="0.25">
      <c r="A406" s="60" t="s">
        <v>668</v>
      </c>
      <c r="B406" s="60" t="s">
        <v>669</v>
      </c>
      <c r="C406" s="34">
        <v>4301052235</v>
      </c>
      <c r="D406" s="634">
        <v>4680115889415</v>
      </c>
      <c r="E406" s="634"/>
      <c r="F406" s="59">
        <v>1.3</v>
      </c>
      <c r="G406" s="35">
        <v>6</v>
      </c>
      <c r="H406" s="59">
        <v>7.8</v>
      </c>
      <c r="I406" s="59">
        <v>8.2100000000000009</v>
      </c>
      <c r="J406" s="35">
        <v>64</v>
      </c>
      <c r="K406" s="35" t="s">
        <v>124</v>
      </c>
      <c r="L406" s="35" t="s">
        <v>46</v>
      </c>
      <c r="M406" s="36" t="s">
        <v>87</v>
      </c>
      <c r="N406" s="36"/>
      <c r="O406" s="35">
        <v>40</v>
      </c>
      <c r="P406" s="70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36"/>
      <c r="R406" s="636"/>
      <c r="S406" s="636"/>
      <c r="T406" s="63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46</v>
      </c>
      <c r="AB406" s="66" t="s">
        <v>46</v>
      </c>
      <c r="AC406" s="495" t="s">
        <v>670</v>
      </c>
      <c r="AG406" s="75"/>
      <c r="AJ406" s="79" t="s">
        <v>46</v>
      </c>
      <c r="AK406" s="79">
        <v>0</v>
      </c>
      <c r="BB406" s="49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16.5" hidden="1" customHeight="1" x14ac:dyDescent="0.25">
      <c r="A407" s="60" t="s">
        <v>671</v>
      </c>
      <c r="B407" s="60" t="s">
        <v>672</v>
      </c>
      <c r="C407" s="34">
        <v>4301052236</v>
      </c>
      <c r="D407" s="634">
        <v>4680115889422</v>
      </c>
      <c r="E407" s="634"/>
      <c r="F407" s="59">
        <v>1.3</v>
      </c>
      <c r="G407" s="35">
        <v>6</v>
      </c>
      <c r="H407" s="59">
        <v>7.8</v>
      </c>
      <c r="I407" s="59">
        <v>8.2100000000000009</v>
      </c>
      <c r="J407" s="35">
        <v>64</v>
      </c>
      <c r="K407" s="35" t="s">
        <v>124</v>
      </c>
      <c r="L407" s="35" t="s">
        <v>46</v>
      </c>
      <c r="M407" s="36" t="s">
        <v>87</v>
      </c>
      <c r="N407" s="36"/>
      <c r="O407" s="35">
        <v>40</v>
      </c>
      <c r="P407" s="70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36"/>
      <c r="R407" s="636"/>
      <c r="S407" s="636"/>
      <c r="T407" s="63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IFERROR(IF(Y407=0,"",ROUNDUP(Y407/H407,0)*0.01898),"")</f>
        <v/>
      </c>
      <c r="AA407" s="65" t="s">
        <v>46</v>
      </c>
      <c r="AB407" s="66" t="s">
        <v>46</v>
      </c>
      <c r="AC407" s="497" t="s">
        <v>673</v>
      </c>
      <c r="AG407" s="75"/>
      <c r="AJ407" s="79" t="s">
        <v>46</v>
      </c>
      <c r="AK407" s="79">
        <v>0</v>
      </c>
      <c r="BB407" s="498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28"/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9"/>
      <c r="P408" s="625" t="s">
        <v>40</v>
      </c>
      <c r="Q408" s="626"/>
      <c r="R408" s="626"/>
      <c r="S408" s="626"/>
      <c r="T408" s="626"/>
      <c r="U408" s="626"/>
      <c r="V408" s="627"/>
      <c r="W408" s="40" t="s">
        <v>39</v>
      </c>
      <c r="X408" s="41">
        <f>IFERROR(X406/H406,"0")+IFERROR(X407/H407,"0")</f>
        <v>0</v>
      </c>
      <c r="Y408" s="41">
        <f>IFERROR(Y406/H406,"0")+IFERROR(Y407/H407,"0")</f>
        <v>0</v>
      </c>
      <c r="Z408" s="41">
        <f>IFERROR(IF(Z406="",0,Z406),"0")+IFERROR(IF(Z407="",0,Z407),"0")</f>
        <v>0</v>
      </c>
      <c r="AA408" s="64"/>
      <c r="AB408" s="64"/>
      <c r="AC408" s="64"/>
    </row>
    <row r="409" spans="1:68" hidden="1" x14ac:dyDescent="0.2">
      <c r="A409" s="628"/>
      <c r="B409" s="628"/>
      <c r="C409" s="628"/>
      <c r="D409" s="628"/>
      <c r="E409" s="628"/>
      <c r="F409" s="628"/>
      <c r="G409" s="628"/>
      <c r="H409" s="628"/>
      <c r="I409" s="628"/>
      <c r="J409" s="628"/>
      <c r="K409" s="628"/>
      <c r="L409" s="628"/>
      <c r="M409" s="628"/>
      <c r="N409" s="628"/>
      <c r="O409" s="629"/>
      <c r="P409" s="625" t="s">
        <v>40</v>
      </c>
      <c r="Q409" s="626"/>
      <c r="R409" s="626"/>
      <c r="S409" s="626"/>
      <c r="T409" s="626"/>
      <c r="U409" s="626"/>
      <c r="V409" s="627"/>
      <c r="W409" s="40" t="s">
        <v>0</v>
      </c>
      <c r="X409" s="41">
        <f>IFERROR(SUM(X406:X407),"0")</f>
        <v>0</v>
      </c>
      <c r="Y409" s="41">
        <f>IFERROR(SUM(Y406:Y407),"0")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38" t="s">
        <v>674</v>
      </c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8"/>
      <c r="P410" s="638"/>
      <c r="Q410" s="638"/>
      <c r="R410" s="638"/>
      <c r="S410" s="638"/>
      <c r="T410" s="638"/>
      <c r="U410" s="638"/>
      <c r="V410" s="638"/>
      <c r="W410" s="638"/>
      <c r="X410" s="638"/>
      <c r="Y410" s="638"/>
      <c r="Z410" s="638"/>
      <c r="AA410" s="62"/>
      <c r="AB410" s="62"/>
      <c r="AC410" s="62"/>
    </row>
    <row r="411" spans="1:68" ht="14.25" hidden="1" customHeight="1" x14ac:dyDescent="0.25">
      <c r="A411" s="639" t="s">
        <v>83</v>
      </c>
      <c r="B411" s="639"/>
      <c r="C411" s="639"/>
      <c r="D411" s="639"/>
      <c r="E411" s="639"/>
      <c r="F411" s="639"/>
      <c r="G411" s="639"/>
      <c r="H411" s="639"/>
      <c r="I411" s="639"/>
      <c r="J411" s="639"/>
      <c r="K411" s="639"/>
      <c r="L411" s="639"/>
      <c r="M411" s="639"/>
      <c r="N411" s="639"/>
      <c r="O411" s="639"/>
      <c r="P411" s="639"/>
      <c r="Q411" s="639"/>
      <c r="R411" s="639"/>
      <c r="S411" s="639"/>
      <c r="T411" s="639"/>
      <c r="U411" s="639"/>
      <c r="V411" s="639"/>
      <c r="W411" s="639"/>
      <c r="X411" s="639"/>
      <c r="Y411" s="639"/>
      <c r="Z411" s="639"/>
      <c r="AA411" s="63"/>
      <c r="AB411" s="63"/>
      <c r="AC411" s="63"/>
    </row>
    <row r="412" spans="1:68" ht="27" hidden="1" customHeight="1" x14ac:dyDescent="0.25">
      <c r="A412" s="60" t="s">
        <v>675</v>
      </c>
      <c r="B412" s="60" t="s">
        <v>676</v>
      </c>
      <c r="C412" s="34">
        <v>4301051489</v>
      </c>
      <c r="D412" s="634">
        <v>4607091387919</v>
      </c>
      <c r="E412" s="634"/>
      <c r="F412" s="59">
        <v>1.35</v>
      </c>
      <c r="G412" s="35">
        <v>6</v>
      </c>
      <c r="H412" s="59">
        <v>8.1</v>
      </c>
      <c r="I412" s="59">
        <v>8.5939999999999994</v>
      </c>
      <c r="J412" s="35">
        <v>64</v>
      </c>
      <c r="K412" s="35" t="s">
        <v>124</v>
      </c>
      <c r="L412" s="35" t="s">
        <v>46</v>
      </c>
      <c r="M412" s="36" t="s">
        <v>94</v>
      </c>
      <c r="N412" s="36"/>
      <c r="O412" s="35">
        <v>45</v>
      </c>
      <c r="P412" s="6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36"/>
      <c r="R412" s="636"/>
      <c r="S412" s="636"/>
      <c r="T412" s="63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499" t="s">
        <v>677</v>
      </c>
      <c r="AG412" s="75"/>
      <c r="AJ412" s="79" t="s">
        <v>46</v>
      </c>
      <c r="AK412" s="79">
        <v>0</v>
      </c>
      <c r="BB412" s="500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678</v>
      </c>
      <c r="B413" s="60" t="s">
        <v>679</v>
      </c>
      <c r="C413" s="34">
        <v>4301051461</v>
      </c>
      <c r="D413" s="634">
        <v>4680115883604</v>
      </c>
      <c r="E413" s="634"/>
      <c r="F413" s="59">
        <v>0.35</v>
      </c>
      <c r="G413" s="35">
        <v>6</v>
      </c>
      <c r="H413" s="59">
        <v>2.1</v>
      </c>
      <c r="I413" s="59">
        <v>2.3519999999999999</v>
      </c>
      <c r="J413" s="35">
        <v>182</v>
      </c>
      <c r="K413" s="35" t="s">
        <v>88</v>
      </c>
      <c r="L413" s="35" t="s">
        <v>46</v>
      </c>
      <c r="M413" s="36" t="s">
        <v>87</v>
      </c>
      <c r="N413" s="36"/>
      <c r="O413" s="35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36"/>
      <c r="R413" s="636"/>
      <c r="S413" s="636"/>
      <c r="T413" s="63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IFERROR(IF(Y413=0,"",ROUNDUP(Y413/H413,0)*0.00651),"")</f>
        <v/>
      </c>
      <c r="AA413" s="65" t="s">
        <v>46</v>
      </c>
      <c r="AB413" s="66" t="s">
        <v>46</v>
      </c>
      <c r="AC413" s="501" t="s">
        <v>680</v>
      </c>
      <c r="AG413" s="75"/>
      <c r="AJ413" s="79" t="s">
        <v>46</v>
      </c>
      <c r="AK413" s="79">
        <v>0</v>
      </c>
      <c r="BB413" s="502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27" hidden="1" customHeight="1" x14ac:dyDescent="0.25">
      <c r="A414" s="60" t="s">
        <v>681</v>
      </c>
      <c r="B414" s="60" t="s">
        <v>682</v>
      </c>
      <c r="C414" s="34">
        <v>4301051864</v>
      </c>
      <c r="D414" s="634">
        <v>4680115883567</v>
      </c>
      <c r="E414" s="634"/>
      <c r="F414" s="59">
        <v>0.35</v>
      </c>
      <c r="G414" s="35">
        <v>6</v>
      </c>
      <c r="H414" s="59">
        <v>2.1</v>
      </c>
      <c r="I414" s="59">
        <v>2.34</v>
      </c>
      <c r="J414" s="35">
        <v>182</v>
      </c>
      <c r="K414" s="35" t="s">
        <v>88</v>
      </c>
      <c r="L414" s="35" t="s">
        <v>46</v>
      </c>
      <c r="M414" s="36" t="s">
        <v>94</v>
      </c>
      <c r="N414" s="36"/>
      <c r="O414" s="35">
        <v>40</v>
      </c>
      <c r="P414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36"/>
      <c r="R414" s="636"/>
      <c r="S414" s="636"/>
      <c r="T414" s="63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IFERROR(IF(Y414=0,"",ROUNDUP(Y414/H414,0)*0.00651),"")</f>
        <v/>
      </c>
      <c r="AA414" s="65" t="s">
        <v>46</v>
      </c>
      <c r="AB414" s="66" t="s">
        <v>46</v>
      </c>
      <c r="AC414" s="503" t="s">
        <v>683</v>
      </c>
      <c r="AG414" s="75"/>
      <c r="AJ414" s="79" t="s">
        <v>46</v>
      </c>
      <c r="AK414" s="79">
        <v>0</v>
      </c>
      <c r="BB414" s="504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0" t="s">
        <v>39</v>
      </c>
      <c r="X415" s="41">
        <f>IFERROR(X412/H412,"0")+IFERROR(X413/H413,"0")+IFERROR(X414/H414,"0")</f>
        <v>0</v>
      </c>
      <c r="Y415" s="41">
        <f>IFERROR(Y412/H412,"0")+IFERROR(Y413/H413,"0")+IFERROR(Y414/H414,"0")</f>
        <v>0</v>
      </c>
      <c r="Z415" s="41">
        <f>IFERROR(IF(Z412="",0,Z412),"0")+IFERROR(IF(Z413="",0,Z413),"0")+IFERROR(IF(Z414="",0,Z414),"0")</f>
        <v>0</v>
      </c>
      <c r="AA415" s="64"/>
      <c r="AB415" s="64"/>
      <c r="AC415" s="64"/>
    </row>
    <row r="416" spans="1:68" hidden="1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0" t="s">
        <v>0</v>
      </c>
      <c r="X416" s="41">
        <f>IFERROR(SUM(X412:X414),"0")</f>
        <v>0</v>
      </c>
      <c r="Y416" s="41">
        <f>IFERROR(SUM(Y412:Y414),"0")</f>
        <v>0</v>
      </c>
      <c r="Z416" s="40"/>
      <c r="AA416" s="64"/>
      <c r="AB416" s="64"/>
      <c r="AC416" s="64"/>
    </row>
    <row r="417" spans="1:68" ht="27.75" hidden="1" customHeight="1" x14ac:dyDescent="0.2">
      <c r="A417" s="645" t="s">
        <v>684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52"/>
      <c r="AB417" s="52"/>
      <c r="AC417" s="52"/>
    </row>
    <row r="418" spans="1:68" ht="16.5" hidden="1" customHeight="1" x14ac:dyDescent="0.25">
      <c r="A418" s="638" t="s">
        <v>685</v>
      </c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8"/>
      <c r="P418" s="638"/>
      <c r="Q418" s="638"/>
      <c r="R418" s="638"/>
      <c r="S418" s="638"/>
      <c r="T418" s="638"/>
      <c r="U418" s="638"/>
      <c r="V418" s="638"/>
      <c r="W418" s="638"/>
      <c r="X418" s="638"/>
      <c r="Y418" s="638"/>
      <c r="Z418" s="638"/>
      <c r="AA418" s="62"/>
      <c r="AB418" s="62"/>
      <c r="AC418" s="62"/>
    </row>
    <row r="419" spans="1:68" ht="14.25" hidden="1" customHeight="1" x14ac:dyDescent="0.25">
      <c r="A419" s="639" t="s">
        <v>119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63"/>
      <c r="AB419" s="63"/>
      <c r="AC419" s="63"/>
    </row>
    <row r="420" spans="1:68" ht="27" customHeight="1" x14ac:dyDescent="0.25">
      <c r="A420" s="60" t="s">
        <v>686</v>
      </c>
      <c r="B420" s="60" t="s">
        <v>687</v>
      </c>
      <c r="C420" s="34">
        <v>4301012332</v>
      </c>
      <c r="D420" s="634">
        <v>4680115888401</v>
      </c>
      <c r="E420" s="634"/>
      <c r="F420" s="59">
        <v>2.5</v>
      </c>
      <c r="G420" s="35">
        <v>6</v>
      </c>
      <c r="H420" s="59">
        <v>15</v>
      </c>
      <c r="I420" s="59">
        <v>15.47</v>
      </c>
      <c r="J420" s="35">
        <v>48</v>
      </c>
      <c r="K420" s="35" t="s">
        <v>124</v>
      </c>
      <c r="L420" s="35" t="s">
        <v>46</v>
      </c>
      <c r="M420" s="36" t="s">
        <v>94</v>
      </c>
      <c r="N420" s="36"/>
      <c r="O420" s="35">
        <v>60</v>
      </c>
      <c r="P420" s="69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36"/>
      <c r="R420" s="636"/>
      <c r="S420" s="636"/>
      <c r="T420" s="637"/>
      <c r="U420" s="37" t="s">
        <v>46</v>
      </c>
      <c r="V420" s="37" t="s">
        <v>46</v>
      </c>
      <c r="W420" s="38" t="s">
        <v>0</v>
      </c>
      <c r="X420" s="56">
        <v>30</v>
      </c>
      <c r="Y420" s="53">
        <f t="shared" ref="Y420:Y427" si="61">IFERROR(IF(X420="",0,CEILING((X420/$H420),1)*$H420),"")</f>
        <v>30</v>
      </c>
      <c r="Z420" s="39">
        <f>IFERROR(IF(Y420=0,"",ROUNDUP(Y420/H420,0)*0.02175),"")</f>
        <v>4.3499999999999997E-2</v>
      </c>
      <c r="AA420" s="65" t="s">
        <v>46</v>
      </c>
      <c r="AB420" s="66" t="s">
        <v>46</v>
      </c>
      <c r="AC420" s="505" t="s">
        <v>688</v>
      </c>
      <c r="AG420" s="75"/>
      <c r="AJ420" s="79" t="s">
        <v>46</v>
      </c>
      <c r="AK420" s="79">
        <v>0</v>
      </c>
      <c r="BB420" s="506" t="s">
        <v>67</v>
      </c>
      <c r="BM420" s="75">
        <f t="shared" ref="BM420:BM427" si="62">IFERROR(X420*I420/H420,"0")</f>
        <v>30.94</v>
      </c>
      <c r="BN420" s="75">
        <f t="shared" ref="BN420:BN427" si="63">IFERROR(Y420*I420/H420,"0")</f>
        <v>30.94</v>
      </c>
      <c r="BO420" s="75">
        <f t="shared" ref="BO420:BO427" si="64">IFERROR(1/J420*(X420/H420),"0")</f>
        <v>4.1666666666666664E-2</v>
      </c>
      <c r="BP420" s="75">
        <f t="shared" ref="BP420:BP427" si="65">IFERROR(1/J420*(Y420/H420),"0")</f>
        <v>4.1666666666666664E-2</v>
      </c>
    </row>
    <row r="421" spans="1:68" ht="37.5" customHeight="1" x14ac:dyDescent="0.25">
      <c r="A421" s="60" t="s">
        <v>689</v>
      </c>
      <c r="B421" s="60" t="s">
        <v>690</v>
      </c>
      <c r="C421" s="34">
        <v>4301011869</v>
      </c>
      <c r="D421" s="634">
        <v>4680115884847</v>
      </c>
      <c r="E421" s="634"/>
      <c r="F421" s="59">
        <v>2.5</v>
      </c>
      <c r="G421" s="35">
        <v>6</v>
      </c>
      <c r="H421" s="59">
        <v>15</v>
      </c>
      <c r="I421" s="59">
        <v>15.47</v>
      </c>
      <c r="J421" s="35">
        <v>48</v>
      </c>
      <c r="K421" s="35" t="s">
        <v>124</v>
      </c>
      <c r="L421" s="35" t="s">
        <v>46</v>
      </c>
      <c r="M421" s="36" t="s">
        <v>81</v>
      </c>
      <c r="N421" s="36"/>
      <c r="O421" s="35">
        <v>60</v>
      </c>
      <c r="P421" s="6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36"/>
      <c r="R421" s="636"/>
      <c r="S421" s="636"/>
      <c r="T421" s="637"/>
      <c r="U421" s="37" t="s">
        <v>46</v>
      </c>
      <c r="V421" s="37" t="s">
        <v>46</v>
      </c>
      <c r="W421" s="38" t="s">
        <v>0</v>
      </c>
      <c r="X421" s="56">
        <v>500</v>
      </c>
      <c r="Y421" s="53">
        <f t="shared" si="61"/>
        <v>510</v>
      </c>
      <c r="Z421" s="39">
        <f>IFERROR(IF(Y421=0,"",ROUNDUP(Y421/H421,0)*0.02175),"")</f>
        <v>0.73949999999999994</v>
      </c>
      <c r="AA421" s="65" t="s">
        <v>46</v>
      </c>
      <c r="AB421" s="66" t="s">
        <v>46</v>
      </c>
      <c r="AC421" s="507" t="s">
        <v>691</v>
      </c>
      <c r="AG421" s="75"/>
      <c r="AJ421" s="79" t="s">
        <v>46</v>
      </c>
      <c r="AK421" s="79">
        <v>0</v>
      </c>
      <c r="BB421" s="508" t="s">
        <v>67</v>
      </c>
      <c r="BM421" s="75">
        <f t="shared" si="62"/>
        <v>515.66666666666663</v>
      </c>
      <c r="BN421" s="75">
        <f t="shared" si="63"/>
        <v>525.98</v>
      </c>
      <c r="BO421" s="75">
        <f t="shared" si="64"/>
        <v>0.69444444444444442</v>
      </c>
      <c r="BP421" s="75">
        <f t="shared" si="65"/>
        <v>0.70833333333333326</v>
      </c>
    </row>
    <row r="422" spans="1:68" ht="27" customHeight="1" x14ac:dyDescent="0.25">
      <c r="A422" s="60" t="s">
        <v>692</v>
      </c>
      <c r="B422" s="60" t="s">
        <v>693</v>
      </c>
      <c r="C422" s="34">
        <v>4301012083</v>
      </c>
      <c r="D422" s="634">
        <v>4680115884854</v>
      </c>
      <c r="E422" s="63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124</v>
      </c>
      <c r="L422" s="35" t="s">
        <v>46</v>
      </c>
      <c r="M422" s="36" t="s">
        <v>123</v>
      </c>
      <c r="N422" s="36"/>
      <c r="O422" s="35">
        <v>60</v>
      </c>
      <c r="P422" s="6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36"/>
      <c r="R422" s="636"/>
      <c r="S422" s="636"/>
      <c r="T422" s="637"/>
      <c r="U422" s="37" t="s">
        <v>46</v>
      </c>
      <c r="V422" s="37" t="s">
        <v>46</v>
      </c>
      <c r="W422" s="38" t="s">
        <v>0</v>
      </c>
      <c r="X422" s="56">
        <v>500</v>
      </c>
      <c r="Y422" s="53">
        <f t="shared" si="61"/>
        <v>510</v>
      </c>
      <c r="Z422" s="39">
        <f>IFERROR(IF(Y422=0,"",ROUNDUP(Y422/H422,0)*0.02175),"")</f>
        <v>0.73949999999999994</v>
      </c>
      <c r="AA422" s="65" t="s">
        <v>46</v>
      </c>
      <c r="AB422" s="66" t="s">
        <v>46</v>
      </c>
      <c r="AC422" s="509" t="s">
        <v>694</v>
      </c>
      <c r="AG422" s="75"/>
      <c r="AJ422" s="79" t="s">
        <v>46</v>
      </c>
      <c r="AK422" s="79">
        <v>0</v>
      </c>
      <c r="BB422" s="510" t="s">
        <v>67</v>
      </c>
      <c r="BM422" s="75">
        <f t="shared" si="62"/>
        <v>515.66666666666663</v>
      </c>
      <c r="BN422" s="75">
        <f t="shared" si="63"/>
        <v>525.98</v>
      </c>
      <c r="BO422" s="75">
        <f t="shared" si="64"/>
        <v>0.69444444444444442</v>
      </c>
      <c r="BP422" s="75">
        <f t="shared" si="65"/>
        <v>0.70833333333333326</v>
      </c>
    </row>
    <row r="423" spans="1:68" ht="27" customHeight="1" x14ac:dyDescent="0.25">
      <c r="A423" s="60" t="s">
        <v>695</v>
      </c>
      <c r="B423" s="60" t="s">
        <v>696</v>
      </c>
      <c r="C423" s="34">
        <v>4301011867</v>
      </c>
      <c r="D423" s="634">
        <v>4680115884830</v>
      </c>
      <c r="E423" s="63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124</v>
      </c>
      <c r="L423" s="35" t="s">
        <v>46</v>
      </c>
      <c r="M423" s="36" t="s">
        <v>81</v>
      </c>
      <c r="N423" s="36"/>
      <c r="O423" s="35">
        <v>60</v>
      </c>
      <c r="P423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36"/>
      <c r="R423" s="636"/>
      <c r="S423" s="636"/>
      <c r="T423" s="637"/>
      <c r="U423" s="37" t="s">
        <v>46</v>
      </c>
      <c r="V423" s="37" t="s">
        <v>46</v>
      </c>
      <c r="W423" s="38" t="s">
        <v>0</v>
      </c>
      <c r="X423" s="56">
        <v>500</v>
      </c>
      <c r="Y423" s="53">
        <f t="shared" si="61"/>
        <v>510</v>
      </c>
      <c r="Z423" s="39">
        <f>IFERROR(IF(Y423=0,"",ROUNDUP(Y423/H423,0)*0.02175),"")</f>
        <v>0.73949999999999994</v>
      </c>
      <c r="AA423" s="65" t="s">
        <v>46</v>
      </c>
      <c r="AB423" s="66" t="s">
        <v>46</v>
      </c>
      <c r="AC423" s="511" t="s">
        <v>697</v>
      </c>
      <c r="AG423" s="75"/>
      <c r="AJ423" s="79" t="s">
        <v>46</v>
      </c>
      <c r="AK423" s="79">
        <v>0</v>
      </c>
      <c r="BB423" s="512" t="s">
        <v>67</v>
      </c>
      <c r="BM423" s="75">
        <f t="shared" si="62"/>
        <v>515.66666666666663</v>
      </c>
      <c r="BN423" s="75">
        <f t="shared" si="63"/>
        <v>525.98</v>
      </c>
      <c r="BO423" s="75">
        <f t="shared" si="64"/>
        <v>0.69444444444444442</v>
      </c>
      <c r="BP423" s="75">
        <f t="shared" si="65"/>
        <v>0.70833333333333326</v>
      </c>
    </row>
    <row r="424" spans="1:68" ht="27" hidden="1" customHeight="1" x14ac:dyDescent="0.25">
      <c r="A424" s="60" t="s">
        <v>698</v>
      </c>
      <c r="B424" s="60" t="s">
        <v>699</v>
      </c>
      <c r="C424" s="34">
        <v>4301012356</v>
      </c>
      <c r="D424" s="634">
        <v>4680115889231</v>
      </c>
      <c r="E424" s="63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124</v>
      </c>
      <c r="L424" s="35" t="s">
        <v>46</v>
      </c>
      <c r="M424" s="36" t="s">
        <v>94</v>
      </c>
      <c r="N424" s="36"/>
      <c r="O424" s="35">
        <v>60</v>
      </c>
      <c r="P424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36"/>
      <c r="R424" s="636"/>
      <c r="S424" s="636"/>
      <c r="T424" s="63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61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3" t="s">
        <v>700</v>
      </c>
      <c r="AG424" s="75"/>
      <c r="AJ424" s="79" t="s">
        <v>46</v>
      </c>
      <c r="AK424" s="79">
        <v>0</v>
      </c>
      <c r="BB424" s="514" t="s">
        <v>67</v>
      </c>
      <c r="BM424" s="75">
        <f t="shared" si="62"/>
        <v>0</v>
      </c>
      <c r="BN424" s="75">
        <f t="shared" si="63"/>
        <v>0</v>
      </c>
      <c r="BO424" s="75">
        <f t="shared" si="64"/>
        <v>0</v>
      </c>
      <c r="BP424" s="75">
        <f t="shared" si="65"/>
        <v>0</v>
      </c>
    </row>
    <row r="425" spans="1:68" ht="27" hidden="1" customHeight="1" x14ac:dyDescent="0.25">
      <c r="A425" s="60" t="s">
        <v>701</v>
      </c>
      <c r="B425" s="60" t="s">
        <v>702</v>
      </c>
      <c r="C425" s="34">
        <v>4301011433</v>
      </c>
      <c r="D425" s="634">
        <v>4680115882638</v>
      </c>
      <c r="E425" s="634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131</v>
      </c>
      <c r="L425" s="35" t="s">
        <v>46</v>
      </c>
      <c r="M425" s="36" t="s">
        <v>123</v>
      </c>
      <c r="N425" s="36"/>
      <c r="O425" s="35">
        <v>90</v>
      </c>
      <c r="P425" s="69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36"/>
      <c r="R425" s="636"/>
      <c r="S425" s="636"/>
      <c r="T425" s="63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61"/>
        <v>0</v>
      </c>
      <c r="Z425" s="39" t="str">
        <f>IFERROR(IF(Y425=0,"",ROUNDUP(Y425/H425,0)*0.00902),"")</f>
        <v/>
      </c>
      <c r="AA425" s="65" t="s">
        <v>46</v>
      </c>
      <c r="AB425" s="66" t="s">
        <v>46</v>
      </c>
      <c r="AC425" s="515" t="s">
        <v>703</v>
      </c>
      <c r="AG425" s="75"/>
      <c r="AJ425" s="79" t="s">
        <v>46</v>
      </c>
      <c r="AK425" s="79">
        <v>0</v>
      </c>
      <c r="BB425" s="516" t="s">
        <v>67</v>
      </c>
      <c r="BM425" s="75">
        <f t="shared" si="62"/>
        <v>0</v>
      </c>
      <c r="BN425" s="75">
        <f t="shared" si="63"/>
        <v>0</v>
      </c>
      <c r="BO425" s="75">
        <f t="shared" si="64"/>
        <v>0</v>
      </c>
      <c r="BP425" s="75">
        <f t="shared" si="65"/>
        <v>0</v>
      </c>
    </row>
    <row r="426" spans="1:68" ht="27" hidden="1" customHeight="1" x14ac:dyDescent="0.25">
      <c r="A426" s="60" t="s">
        <v>704</v>
      </c>
      <c r="B426" s="60" t="s">
        <v>705</v>
      </c>
      <c r="C426" s="34">
        <v>4301011952</v>
      </c>
      <c r="D426" s="634">
        <v>4680115884922</v>
      </c>
      <c r="E426" s="634"/>
      <c r="F426" s="59">
        <v>0.5</v>
      </c>
      <c r="G426" s="35">
        <v>10</v>
      </c>
      <c r="H426" s="59">
        <v>5</v>
      </c>
      <c r="I426" s="59">
        <v>5.19</v>
      </c>
      <c r="J426" s="35">
        <v>132</v>
      </c>
      <c r="K426" s="35" t="s">
        <v>131</v>
      </c>
      <c r="L426" s="35" t="s">
        <v>46</v>
      </c>
      <c r="M426" s="36" t="s">
        <v>81</v>
      </c>
      <c r="N426" s="36"/>
      <c r="O426" s="35">
        <v>60</v>
      </c>
      <c r="P426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36"/>
      <c r="R426" s="636"/>
      <c r="S426" s="636"/>
      <c r="T426" s="63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61"/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7" t="s">
        <v>706</v>
      </c>
      <c r="AG426" s="75"/>
      <c r="AJ426" s="79" t="s">
        <v>46</v>
      </c>
      <c r="AK426" s="79">
        <v>0</v>
      </c>
      <c r="BB426" s="518" t="s">
        <v>67</v>
      </c>
      <c r="BM426" s="75">
        <f t="shared" si="62"/>
        <v>0</v>
      </c>
      <c r="BN426" s="75">
        <f t="shared" si="63"/>
        <v>0</v>
      </c>
      <c r="BO426" s="75">
        <f t="shared" si="64"/>
        <v>0</v>
      </c>
      <c r="BP426" s="75">
        <f t="shared" si="65"/>
        <v>0</v>
      </c>
    </row>
    <row r="427" spans="1:68" ht="37.5" hidden="1" customHeight="1" x14ac:dyDescent="0.25">
      <c r="A427" s="60" t="s">
        <v>707</v>
      </c>
      <c r="B427" s="60" t="s">
        <v>708</v>
      </c>
      <c r="C427" s="34">
        <v>4301011868</v>
      </c>
      <c r="D427" s="634">
        <v>4680115884861</v>
      </c>
      <c r="E427" s="634"/>
      <c r="F427" s="59">
        <v>0.5</v>
      </c>
      <c r="G427" s="35">
        <v>10</v>
      </c>
      <c r="H427" s="59">
        <v>5</v>
      </c>
      <c r="I427" s="59">
        <v>5.19</v>
      </c>
      <c r="J427" s="35">
        <v>132</v>
      </c>
      <c r="K427" s="35" t="s">
        <v>131</v>
      </c>
      <c r="L427" s="35" t="s">
        <v>46</v>
      </c>
      <c r="M427" s="36" t="s">
        <v>81</v>
      </c>
      <c r="N427" s="36"/>
      <c r="O427" s="35">
        <v>60</v>
      </c>
      <c r="P427" s="6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36"/>
      <c r="R427" s="636"/>
      <c r="S427" s="636"/>
      <c r="T427" s="63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61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19" t="s">
        <v>709</v>
      </c>
      <c r="AG427" s="75"/>
      <c r="AJ427" s="79" t="s">
        <v>46</v>
      </c>
      <c r="AK427" s="79">
        <v>0</v>
      </c>
      <c r="BB427" s="520" t="s">
        <v>67</v>
      </c>
      <c r="BM427" s="75">
        <f t="shared" si="62"/>
        <v>0</v>
      </c>
      <c r="BN427" s="75">
        <f t="shared" si="63"/>
        <v>0</v>
      </c>
      <c r="BO427" s="75">
        <f t="shared" si="64"/>
        <v>0</v>
      </c>
      <c r="BP427" s="75">
        <f t="shared" si="65"/>
        <v>0</v>
      </c>
    </row>
    <row r="428" spans="1:68" x14ac:dyDescent="0.2">
      <c r="A428" s="628"/>
      <c r="B428" s="628"/>
      <c r="C428" s="628"/>
      <c r="D428" s="628"/>
      <c r="E428" s="628"/>
      <c r="F428" s="628"/>
      <c r="G428" s="628"/>
      <c r="H428" s="628"/>
      <c r="I428" s="628"/>
      <c r="J428" s="628"/>
      <c r="K428" s="628"/>
      <c r="L428" s="628"/>
      <c r="M428" s="628"/>
      <c r="N428" s="628"/>
      <c r="O428" s="629"/>
      <c r="P428" s="625" t="s">
        <v>40</v>
      </c>
      <c r="Q428" s="626"/>
      <c r="R428" s="626"/>
      <c r="S428" s="626"/>
      <c r="T428" s="626"/>
      <c r="U428" s="626"/>
      <c r="V428" s="627"/>
      <c r="W428" s="40" t="s">
        <v>39</v>
      </c>
      <c r="X428" s="41">
        <f>IFERROR(X420/H420,"0")+IFERROR(X421/H421,"0")+IFERROR(X422/H422,"0")+IFERROR(X423/H423,"0")+IFERROR(X424/H424,"0")+IFERROR(X425/H425,"0")+IFERROR(X426/H426,"0")+IFERROR(X427/H427,"0")</f>
        <v>102</v>
      </c>
      <c r="Y428" s="41">
        <f>IFERROR(Y420/H420,"0")+IFERROR(Y421/H421,"0")+IFERROR(Y422/H422,"0")+IFERROR(Y423/H423,"0")+IFERROR(Y424/H424,"0")+IFERROR(Y425/H425,"0")+IFERROR(Y426/H426,"0")+IFERROR(Y427/H427,"0")</f>
        <v>104</v>
      </c>
      <c r="Z428" s="41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2.262</v>
      </c>
      <c r="AA428" s="64"/>
      <c r="AB428" s="64"/>
      <c r="AC428" s="64"/>
    </row>
    <row r="429" spans="1:68" x14ac:dyDescent="0.2">
      <c r="A429" s="628"/>
      <c r="B429" s="628"/>
      <c r="C429" s="628"/>
      <c r="D429" s="628"/>
      <c r="E429" s="628"/>
      <c r="F429" s="628"/>
      <c r="G429" s="628"/>
      <c r="H429" s="628"/>
      <c r="I429" s="628"/>
      <c r="J429" s="628"/>
      <c r="K429" s="628"/>
      <c r="L429" s="628"/>
      <c r="M429" s="628"/>
      <c r="N429" s="628"/>
      <c r="O429" s="629"/>
      <c r="P429" s="625" t="s">
        <v>40</v>
      </c>
      <c r="Q429" s="626"/>
      <c r="R429" s="626"/>
      <c r="S429" s="626"/>
      <c r="T429" s="626"/>
      <c r="U429" s="626"/>
      <c r="V429" s="627"/>
      <c r="W429" s="40" t="s">
        <v>0</v>
      </c>
      <c r="X429" s="41">
        <f>IFERROR(SUM(X420:X427),"0")</f>
        <v>1530</v>
      </c>
      <c r="Y429" s="41">
        <f>IFERROR(SUM(Y420:Y427),"0")</f>
        <v>1560</v>
      </c>
      <c r="Z429" s="40"/>
      <c r="AA429" s="64"/>
      <c r="AB429" s="64"/>
      <c r="AC429" s="64"/>
    </row>
    <row r="430" spans="1:68" ht="14.25" hidden="1" customHeight="1" x14ac:dyDescent="0.25">
      <c r="A430" s="639" t="s">
        <v>154</v>
      </c>
      <c r="B430" s="639"/>
      <c r="C430" s="639"/>
      <c r="D430" s="639"/>
      <c r="E430" s="639"/>
      <c r="F430" s="639"/>
      <c r="G430" s="639"/>
      <c r="H430" s="639"/>
      <c r="I430" s="639"/>
      <c r="J430" s="639"/>
      <c r="K430" s="639"/>
      <c r="L430" s="639"/>
      <c r="M430" s="639"/>
      <c r="N430" s="639"/>
      <c r="O430" s="639"/>
      <c r="P430" s="639"/>
      <c r="Q430" s="639"/>
      <c r="R430" s="639"/>
      <c r="S430" s="639"/>
      <c r="T430" s="639"/>
      <c r="U430" s="639"/>
      <c r="V430" s="639"/>
      <c r="W430" s="639"/>
      <c r="X430" s="639"/>
      <c r="Y430" s="639"/>
      <c r="Z430" s="639"/>
      <c r="AA430" s="63"/>
      <c r="AB430" s="63"/>
      <c r="AC430" s="63"/>
    </row>
    <row r="431" spans="1:68" ht="27" customHeight="1" x14ac:dyDescent="0.25">
      <c r="A431" s="60" t="s">
        <v>710</v>
      </c>
      <c r="B431" s="60" t="s">
        <v>711</v>
      </c>
      <c r="C431" s="34">
        <v>4301020178</v>
      </c>
      <c r="D431" s="634">
        <v>4607091383980</v>
      </c>
      <c r="E431" s="634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124</v>
      </c>
      <c r="L431" s="35" t="s">
        <v>46</v>
      </c>
      <c r="M431" s="36" t="s">
        <v>123</v>
      </c>
      <c r="N431" s="36"/>
      <c r="O431" s="35">
        <v>50</v>
      </c>
      <c r="P431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36"/>
      <c r="R431" s="636"/>
      <c r="S431" s="636"/>
      <c r="T431" s="637"/>
      <c r="U431" s="37" t="s">
        <v>46</v>
      </c>
      <c r="V431" s="37" t="s">
        <v>46</v>
      </c>
      <c r="W431" s="38" t="s">
        <v>0</v>
      </c>
      <c r="X431" s="56">
        <v>500</v>
      </c>
      <c r="Y431" s="53">
        <f>IFERROR(IF(X431="",0,CEILING((X431/$H431),1)*$H431),"")</f>
        <v>510</v>
      </c>
      <c r="Z431" s="39">
        <f>IFERROR(IF(Y431=0,"",ROUNDUP(Y431/H431,0)*0.02175),"")</f>
        <v>0.73949999999999994</v>
      </c>
      <c r="AA431" s="65" t="s">
        <v>46</v>
      </c>
      <c r="AB431" s="66" t="s">
        <v>46</v>
      </c>
      <c r="AC431" s="521" t="s">
        <v>712</v>
      </c>
      <c r="AG431" s="75"/>
      <c r="AJ431" s="79" t="s">
        <v>46</v>
      </c>
      <c r="AK431" s="79">
        <v>0</v>
      </c>
      <c r="BB431" s="522" t="s">
        <v>67</v>
      </c>
      <c r="BM431" s="75">
        <f>IFERROR(X431*I431/H431,"0")</f>
        <v>515.66666666666663</v>
      </c>
      <c r="BN431" s="75">
        <f>IFERROR(Y431*I431/H431,"0")</f>
        <v>525.98</v>
      </c>
      <c r="BO431" s="75">
        <f>IFERROR(1/J431*(X431/H431),"0")</f>
        <v>0.69444444444444442</v>
      </c>
      <c r="BP431" s="75">
        <f>IFERROR(1/J431*(Y431/H431),"0")</f>
        <v>0.70833333333333326</v>
      </c>
    </row>
    <row r="432" spans="1:68" ht="27" hidden="1" customHeight="1" x14ac:dyDescent="0.25">
      <c r="A432" s="60" t="s">
        <v>713</v>
      </c>
      <c r="B432" s="60" t="s">
        <v>714</v>
      </c>
      <c r="C432" s="34">
        <v>4301020355</v>
      </c>
      <c r="D432" s="634">
        <v>4680115888425</v>
      </c>
      <c r="E432" s="634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124</v>
      </c>
      <c r="L432" s="35" t="s">
        <v>46</v>
      </c>
      <c r="M432" s="36" t="s">
        <v>123</v>
      </c>
      <c r="N432" s="36"/>
      <c r="O432" s="35">
        <v>50</v>
      </c>
      <c r="P432" s="6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36"/>
      <c r="R432" s="636"/>
      <c r="S432" s="636"/>
      <c r="T432" s="637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3" t="s">
        <v>715</v>
      </c>
      <c r="AG432" s="75"/>
      <c r="AJ432" s="79" t="s">
        <v>46</v>
      </c>
      <c r="AK432" s="79">
        <v>0</v>
      </c>
      <c r="BB432" s="524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t="27" hidden="1" customHeight="1" x14ac:dyDescent="0.25">
      <c r="A433" s="60" t="s">
        <v>716</v>
      </c>
      <c r="B433" s="60" t="s">
        <v>717</v>
      </c>
      <c r="C433" s="34">
        <v>4301020179</v>
      </c>
      <c r="D433" s="634">
        <v>4607091384178</v>
      </c>
      <c r="E433" s="634"/>
      <c r="F433" s="59">
        <v>0.4</v>
      </c>
      <c r="G433" s="35">
        <v>10</v>
      </c>
      <c r="H433" s="59">
        <v>4</v>
      </c>
      <c r="I433" s="59">
        <v>4.1900000000000004</v>
      </c>
      <c r="J433" s="35">
        <v>132</v>
      </c>
      <c r="K433" s="35" t="s">
        <v>131</v>
      </c>
      <c r="L433" s="35" t="s">
        <v>46</v>
      </c>
      <c r="M433" s="36" t="s">
        <v>123</v>
      </c>
      <c r="N433" s="36"/>
      <c r="O433" s="35">
        <v>50</v>
      </c>
      <c r="P433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36"/>
      <c r="R433" s="636"/>
      <c r="S433" s="636"/>
      <c r="T433" s="63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25" t="s">
        <v>718</v>
      </c>
      <c r="AG433" s="75"/>
      <c r="AJ433" s="79" t="s">
        <v>46</v>
      </c>
      <c r="AK433" s="79">
        <v>0</v>
      </c>
      <c r="BB433" s="526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x14ac:dyDescent="0.2">
      <c r="A434" s="628"/>
      <c r="B434" s="628"/>
      <c r="C434" s="628"/>
      <c r="D434" s="628"/>
      <c r="E434" s="628"/>
      <c r="F434" s="628"/>
      <c r="G434" s="628"/>
      <c r="H434" s="628"/>
      <c r="I434" s="628"/>
      <c r="J434" s="628"/>
      <c r="K434" s="628"/>
      <c r="L434" s="628"/>
      <c r="M434" s="628"/>
      <c r="N434" s="628"/>
      <c r="O434" s="629"/>
      <c r="P434" s="625" t="s">
        <v>40</v>
      </c>
      <c r="Q434" s="626"/>
      <c r="R434" s="626"/>
      <c r="S434" s="626"/>
      <c r="T434" s="626"/>
      <c r="U434" s="626"/>
      <c r="V434" s="627"/>
      <c r="W434" s="40" t="s">
        <v>39</v>
      </c>
      <c r="X434" s="41">
        <f>IFERROR(X431/H431,"0")+IFERROR(X432/H432,"0")+IFERROR(X433/H433,"0")</f>
        <v>33.333333333333336</v>
      </c>
      <c r="Y434" s="41">
        <f>IFERROR(Y431/H431,"0")+IFERROR(Y432/H432,"0")+IFERROR(Y433/H433,"0")</f>
        <v>34</v>
      </c>
      <c r="Z434" s="41">
        <f>IFERROR(IF(Z431="",0,Z431),"0")+IFERROR(IF(Z432="",0,Z432),"0")+IFERROR(IF(Z433="",0,Z433),"0")</f>
        <v>0.73949999999999994</v>
      </c>
      <c r="AA434" s="64"/>
      <c r="AB434" s="64"/>
      <c r="AC434" s="64"/>
    </row>
    <row r="435" spans="1:68" x14ac:dyDescent="0.2">
      <c r="A435" s="628"/>
      <c r="B435" s="628"/>
      <c r="C435" s="628"/>
      <c r="D435" s="628"/>
      <c r="E435" s="628"/>
      <c r="F435" s="628"/>
      <c r="G435" s="628"/>
      <c r="H435" s="628"/>
      <c r="I435" s="628"/>
      <c r="J435" s="628"/>
      <c r="K435" s="628"/>
      <c r="L435" s="628"/>
      <c r="M435" s="628"/>
      <c r="N435" s="628"/>
      <c r="O435" s="629"/>
      <c r="P435" s="625" t="s">
        <v>40</v>
      </c>
      <c r="Q435" s="626"/>
      <c r="R435" s="626"/>
      <c r="S435" s="626"/>
      <c r="T435" s="626"/>
      <c r="U435" s="626"/>
      <c r="V435" s="627"/>
      <c r="W435" s="40" t="s">
        <v>0</v>
      </c>
      <c r="X435" s="41">
        <f>IFERROR(SUM(X431:X433),"0")</f>
        <v>500</v>
      </c>
      <c r="Y435" s="41">
        <f>IFERROR(SUM(Y431:Y433),"0")</f>
        <v>510</v>
      </c>
      <c r="Z435" s="40"/>
      <c r="AA435" s="64"/>
      <c r="AB435" s="64"/>
      <c r="AC435" s="64"/>
    </row>
    <row r="436" spans="1:68" ht="14.25" hidden="1" customHeight="1" x14ac:dyDescent="0.25">
      <c r="A436" s="639" t="s">
        <v>83</v>
      </c>
      <c r="B436" s="639"/>
      <c r="C436" s="639"/>
      <c r="D436" s="639"/>
      <c r="E436" s="639"/>
      <c r="F436" s="639"/>
      <c r="G436" s="639"/>
      <c r="H436" s="639"/>
      <c r="I436" s="639"/>
      <c r="J436" s="639"/>
      <c r="K436" s="639"/>
      <c r="L436" s="639"/>
      <c r="M436" s="639"/>
      <c r="N436" s="639"/>
      <c r="O436" s="639"/>
      <c r="P436" s="639"/>
      <c r="Q436" s="639"/>
      <c r="R436" s="639"/>
      <c r="S436" s="639"/>
      <c r="T436" s="639"/>
      <c r="U436" s="639"/>
      <c r="V436" s="639"/>
      <c r="W436" s="639"/>
      <c r="X436" s="639"/>
      <c r="Y436" s="639"/>
      <c r="Z436" s="639"/>
      <c r="AA436" s="63"/>
      <c r="AB436" s="63"/>
      <c r="AC436" s="63"/>
    </row>
    <row r="437" spans="1:68" ht="27" hidden="1" customHeight="1" x14ac:dyDescent="0.25">
      <c r="A437" s="60" t="s">
        <v>719</v>
      </c>
      <c r="B437" s="60" t="s">
        <v>720</v>
      </c>
      <c r="C437" s="34">
        <v>4301051903</v>
      </c>
      <c r="D437" s="634">
        <v>4607091383928</v>
      </c>
      <c r="E437" s="634"/>
      <c r="F437" s="59">
        <v>1.5</v>
      </c>
      <c r="G437" s="35">
        <v>6</v>
      </c>
      <c r="H437" s="59">
        <v>9</v>
      </c>
      <c r="I437" s="59">
        <v>9.5</v>
      </c>
      <c r="J437" s="35">
        <v>64</v>
      </c>
      <c r="K437" s="35" t="s">
        <v>124</v>
      </c>
      <c r="L437" s="35" t="s">
        <v>46</v>
      </c>
      <c r="M437" s="36" t="s">
        <v>87</v>
      </c>
      <c r="N437" s="36"/>
      <c r="O437" s="35">
        <v>40</v>
      </c>
      <c r="P437" s="68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36"/>
      <c r="R437" s="636"/>
      <c r="S437" s="636"/>
      <c r="T437" s="637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7" t="s">
        <v>721</v>
      </c>
      <c r="AG437" s="75"/>
      <c r="AJ437" s="79" t="s">
        <v>46</v>
      </c>
      <c r="AK437" s="79">
        <v>0</v>
      </c>
      <c r="BB437" s="528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722</v>
      </c>
      <c r="B438" s="60" t="s">
        <v>723</v>
      </c>
      <c r="C438" s="34">
        <v>4301051897</v>
      </c>
      <c r="D438" s="634">
        <v>4607091384260</v>
      </c>
      <c r="E438" s="634"/>
      <c r="F438" s="59">
        <v>1.5</v>
      </c>
      <c r="G438" s="35">
        <v>6</v>
      </c>
      <c r="H438" s="59">
        <v>9</v>
      </c>
      <c r="I438" s="59">
        <v>9.4939999999999998</v>
      </c>
      <c r="J438" s="35">
        <v>64</v>
      </c>
      <c r="K438" s="35" t="s">
        <v>124</v>
      </c>
      <c r="L438" s="35" t="s">
        <v>46</v>
      </c>
      <c r="M438" s="36" t="s">
        <v>87</v>
      </c>
      <c r="N438" s="36"/>
      <c r="O438" s="35">
        <v>40</v>
      </c>
      <c r="P438" s="68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36"/>
      <c r="R438" s="636"/>
      <c r="S438" s="636"/>
      <c r="T438" s="63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IFERROR(IF(Y438=0,"",ROUNDUP(Y438/H438,0)*0.01898),"")</f>
        <v/>
      </c>
      <c r="AA438" s="65" t="s">
        <v>46</v>
      </c>
      <c r="AB438" s="66" t="s">
        <v>46</v>
      </c>
      <c r="AC438" s="529" t="s">
        <v>724</v>
      </c>
      <c r="AG438" s="75"/>
      <c r="AJ438" s="79" t="s">
        <v>46</v>
      </c>
      <c r="AK438" s="79">
        <v>0</v>
      </c>
      <c r="BB438" s="530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725</v>
      </c>
      <c r="B439" s="60" t="s">
        <v>726</v>
      </c>
      <c r="C439" s="34">
        <v>4301052220</v>
      </c>
      <c r="D439" s="634">
        <v>4680115889538</v>
      </c>
      <c r="E439" s="634"/>
      <c r="F439" s="59">
        <v>0.8</v>
      </c>
      <c r="G439" s="35">
        <v>6</v>
      </c>
      <c r="H439" s="59">
        <v>4.8</v>
      </c>
      <c r="I439" s="59">
        <v>5.2160000000000002</v>
      </c>
      <c r="J439" s="35">
        <v>104</v>
      </c>
      <c r="K439" s="35" t="s">
        <v>124</v>
      </c>
      <c r="L439" s="35" t="s">
        <v>46</v>
      </c>
      <c r="M439" s="36" t="s">
        <v>87</v>
      </c>
      <c r="N439" s="36"/>
      <c r="O439" s="35">
        <v>45</v>
      </c>
      <c r="P439" s="68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36"/>
      <c r="R439" s="636"/>
      <c r="S439" s="636"/>
      <c r="T439" s="63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IFERROR(IF(Y439=0,"",ROUNDUP(Y439/H439,0)*0.01196),"")</f>
        <v/>
      </c>
      <c r="AA439" s="65" t="s">
        <v>46</v>
      </c>
      <c r="AB439" s="66" t="s">
        <v>46</v>
      </c>
      <c r="AC439" s="531" t="s">
        <v>727</v>
      </c>
      <c r="AG439" s="75"/>
      <c r="AJ439" s="79" t="s">
        <v>46</v>
      </c>
      <c r="AK439" s="79">
        <v>0</v>
      </c>
      <c r="BB439" s="532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39</v>
      </c>
      <c r="X440" s="41">
        <f>IFERROR(X437/H437,"0")+IFERROR(X438/H438,"0")+IFERROR(X439/H439,"0")</f>
        <v>0</v>
      </c>
      <c r="Y440" s="41">
        <f>IFERROR(Y437/H437,"0")+IFERROR(Y438/H438,"0")+IFERROR(Y439/H439,"0")</f>
        <v>0</v>
      </c>
      <c r="Z440" s="41">
        <f>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0" t="s">
        <v>0</v>
      </c>
      <c r="X441" s="41">
        <f>IFERROR(SUM(X437:X439),"0")</f>
        <v>0</v>
      </c>
      <c r="Y441" s="41">
        <f>IFERROR(SUM(Y437:Y439),"0")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639" t="s">
        <v>172</v>
      </c>
      <c r="B442" s="639"/>
      <c r="C442" s="639"/>
      <c r="D442" s="639"/>
      <c r="E442" s="639"/>
      <c r="F442" s="639"/>
      <c r="G442" s="639"/>
      <c r="H442" s="639"/>
      <c r="I442" s="639"/>
      <c r="J442" s="639"/>
      <c r="K442" s="639"/>
      <c r="L442" s="639"/>
      <c r="M442" s="639"/>
      <c r="N442" s="639"/>
      <c r="O442" s="639"/>
      <c r="P442" s="639"/>
      <c r="Q442" s="639"/>
      <c r="R442" s="639"/>
      <c r="S442" s="639"/>
      <c r="T442" s="639"/>
      <c r="U442" s="639"/>
      <c r="V442" s="639"/>
      <c r="W442" s="639"/>
      <c r="X442" s="639"/>
      <c r="Y442" s="639"/>
      <c r="Z442" s="639"/>
      <c r="AA442" s="63"/>
      <c r="AB442" s="63"/>
      <c r="AC442" s="63"/>
    </row>
    <row r="443" spans="1:68" ht="27" hidden="1" customHeight="1" x14ac:dyDescent="0.25">
      <c r="A443" s="60" t="s">
        <v>728</v>
      </c>
      <c r="B443" s="60" t="s">
        <v>729</v>
      </c>
      <c r="C443" s="34">
        <v>4301060537</v>
      </c>
      <c r="D443" s="634">
        <v>4680115889545</v>
      </c>
      <c r="E443" s="634"/>
      <c r="F443" s="59">
        <v>0.7</v>
      </c>
      <c r="G443" s="35">
        <v>6</v>
      </c>
      <c r="H443" s="59">
        <v>4.2</v>
      </c>
      <c r="I443" s="59">
        <v>4.6159999999999997</v>
      </c>
      <c r="J443" s="35">
        <v>104</v>
      </c>
      <c r="K443" s="35" t="s">
        <v>124</v>
      </c>
      <c r="L443" s="35" t="s">
        <v>46</v>
      </c>
      <c r="M443" s="36" t="s">
        <v>87</v>
      </c>
      <c r="N443" s="36"/>
      <c r="O443" s="35">
        <v>30</v>
      </c>
      <c r="P443" s="68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36"/>
      <c r="R443" s="636"/>
      <c r="S443" s="636"/>
      <c r="T443" s="63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IFERROR(IF(Y443=0,"",ROUNDUP(Y443/H443,0)*0.01196),"")</f>
        <v/>
      </c>
      <c r="AA443" s="65" t="s">
        <v>46</v>
      </c>
      <c r="AB443" s="66" t="s">
        <v>46</v>
      </c>
      <c r="AC443" s="533" t="s">
        <v>730</v>
      </c>
      <c r="AG443" s="75"/>
      <c r="AJ443" s="79" t="s">
        <v>46</v>
      </c>
      <c r="AK443" s="79">
        <v>0</v>
      </c>
      <c r="BB443" s="534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731</v>
      </c>
      <c r="B444" s="60" t="s">
        <v>732</v>
      </c>
      <c r="C444" s="34">
        <v>4301060524</v>
      </c>
      <c r="D444" s="634">
        <v>4607091384673</v>
      </c>
      <c r="E444" s="63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124</v>
      </c>
      <c r="L444" s="35" t="s">
        <v>46</v>
      </c>
      <c r="M444" s="36" t="s">
        <v>87</v>
      </c>
      <c r="N444" s="36"/>
      <c r="O444" s="35">
        <v>40</v>
      </c>
      <c r="P444" s="6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36"/>
      <c r="R444" s="636"/>
      <c r="S444" s="636"/>
      <c r="T444" s="63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35" t="s">
        <v>733</v>
      </c>
      <c r="AG444" s="75"/>
      <c r="AJ444" s="79" t="s">
        <v>46</v>
      </c>
      <c r="AK444" s="79">
        <v>0</v>
      </c>
      <c r="BB444" s="536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IFERROR(X443/H443,"0")+IFERROR(X444/H444,"0")</f>
        <v>0</v>
      </c>
      <c r="Y445" s="41">
        <f>IFERROR(Y443/H443,"0")+IFERROR(Y444/H444,"0")</f>
        <v>0</v>
      </c>
      <c r="Z445" s="41">
        <f>IFERROR(IF(Z443="",0,Z443),"0")+IFERROR(IF(Z444="",0,Z444),"0")</f>
        <v>0</v>
      </c>
      <c r="AA445" s="64"/>
      <c r="AB445" s="64"/>
      <c r="AC445" s="64"/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IFERROR(SUM(X443:X444),"0")</f>
        <v>0</v>
      </c>
      <c r="Y446" s="41">
        <f>IFERROR(SUM(Y443:Y444),"0")</f>
        <v>0</v>
      </c>
      <c r="Z446" s="40"/>
      <c r="AA446" s="64"/>
      <c r="AB446" s="64"/>
      <c r="AC446" s="64"/>
    </row>
    <row r="447" spans="1:68" ht="16.5" hidden="1" customHeight="1" x14ac:dyDescent="0.25">
      <c r="A447" s="638" t="s">
        <v>734</v>
      </c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8"/>
      <c r="P447" s="638"/>
      <c r="Q447" s="638"/>
      <c r="R447" s="638"/>
      <c r="S447" s="638"/>
      <c r="T447" s="638"/>
      <c r="U447" s="638"/>
      <c r="V447" s="638"/>
      <c r="W447" s="638"/>
      <c r="X447" s="638"/>
      <c r="Y447" s="638"/>
      <c r="Z447" s="638"/>
      <c r="AA447" s="62"/>
      <c r="AB447" s="62"/>
      <c r="AC447" s="62"/>
    </row>
    <row r="448" spans="1:68" ht="14.25" hidden="1" customHeight="1" x14ac:dyDescent="0.25">
      <c r="A448" s="639" t="s">
        <v>119</v>
      </c>
      <c r="B448" s="639"/>
      <c r="C448" s="639"/>
      <c r="D448" s="639"/>
      <c r="E448" s="639"/>
      <c r="F448" s="639"/>
      <c r="G448" s="639"/>
      <c r="H448" s="639"/>
      <c r="I448" s="639"/>
      <c r="J448" s="639"/>
      <c r="K448" s="639"/>
      <c r="L448" s="639"/>
      <c r="M448" s="639"/>
      <c r="N448" s="639"/>
      <c r="O448" s="639"/>
      <c r="P448" s="639"/>
      <c r="Q448" s="639"/>
      <c r="R448" s="639"/>
      <c r="S448" s="639"/>
      <c r="T448" s="639"/>
      <c r="U448" s="639"/>
      <c r="V448" s="639"/>
      <c r="W448" s="639"/>
      <c r="X448" s="639"/>
      <c r="Y448" s="639"/>
      <c r="Z448" s="639"/>
      <c r="AA448" s="63"/>
      <c r="AB448" s="63"/>
      <c r="AC448" s="63"/>
    </row>
    <row r="449" spans="1:68" ht="27" hidden="1" customHeight="1" x14ac:dyDescent="0.25">
      <c r="A449" s="60" t="s">
        <v>735</v>
      </c>
      <c r="B449" s="60" t="s">
        <v>736</v>
      </c>
      <c r="C449" s="34">
        <v>4301011875</v>
      </c>
      <c r="D449" s="634">
        <v>4680115884885</v>
      </c>
      <c r="E449" s="634"/>
      <c r="F449" s="59">
        <v>0.8</v>
      </c>
      <c r="G449" s="35">
        <v>15</v>
      </c>
      <c r="H449" s="59">
        <v>12</v>
      </c>
      <c r="I449" s="59">
        <v>12.41</v>
      </c>
      <c r="J449" s="35">
        <v>64</v>
      </c>
      <c r="K449" s="35" t="s">
        <v>124</v>
      </c>
      <c r="L449" s="35" t="s">
        <v>46</v>
      </c>
      <c r="M449" s="36" t="s">
        <v>81</v>
      </c>
      <c r="N449" s="36"/>
      <c r="O449" s="35">
        <v>60</v>
      </c>
      <c r="P449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36"/>
      <c r="R449" s="636"/>
      <c r="S449" s="636"/>
      <c r="T449" s="63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37" t="s">
        <v>737</v>
      </c>
      <c r="AG449" s="75"/>
      <c r="AJ449" s="79" t="s">
        <v>46</v>
      </c>
      <c r="AK449" s="79">
        <v>0</v>
      </c>
      <c r="BB449" s="53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37.5" hidden="1" customHeight="1" x14ac:dyDescent="0.25">
      <c r="A450" s="60" t="s">
        <v>738</v>
      </c>
      <c r="B450" s="60" t="s">
        <v>739</v>
      </c>
      <c r="C450" s="34">
        <v>4301011871</v>
      </c>
      <c r="D450" s="634">
        <v>4680115884908</v>
      </c>
      <c r="E450" s="634"/>
      <c r="F450" s="59">
        <v>0.4</v>
      </c>
      <c r="G450" s="35">
        <v>10</v>
      </c>
      <c r="H450" s="59">
        <v>4</v>
      </c>
      <c r="I450" s="59">
        <v>4.1900000000000004</v>
      </c>
      <c r="J450" s="35">
        <v>132</v>
      </c>
      <c r="K450" s="35" t="s">
        <v>131</v>
      </c>
      <c r="L450" s="35" t="s">
        <v>46</v>
      </c>
      <c r="M450" s="36" t="s">
        <v>81</v>
      </c>
      <c r="N450" s="36"/>
      <c r="O450" s="35">
        <v>60</v>
      </c>
      <c r="P450" s="6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36"/>
      <c r="R450" s="636"/>
      <c r="S450" s="636"/>
      <c r="T450" s="63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IFERROR(IF(Y450=0,"",ROUNDUP(Y450/H450,0)*0.00902),"")</f>
        <v/>
      </c>
      <c r="AA450" s="65" t="s">
        <v>46</v>
      </c>
      <c r="AB450" s="66" t="s">
        <v>46</v>
      </c>
      <c r="AC450" s="539" t="s">
        <v>737</v>
      </c>
      <c r="AG450" s="75"/>
      <c r="AJ450" s="79" t="s">
        <v>46</v>
      </c>
      <c r="AK450" s="79">
        <v>0</v>
      </c>
      <c r="BB450" s="540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28"/>
      <c r="B451" s="628"/>
      <c r="C451" s="628"/>
      <c r="D451" s="628"/>
      <c r="E451" s="628"/>
      <c r="F451" s="628"/>
      <c r="G451" s="628"/>
      <c r="H451" s="628"/>
      <c r="I451" s="628"/>
      <c r="J451" s="628"/>
      <c r="K451" s="628"/>
      <c r="L451" s="628"/>
      <c r="M451" s="628"/>
      <c r="N451" s="628"/>
      <c r="O451" s="629"/>
      <c r="P451" s="625" t="s">
        <v>40</v>
      </c>
      <c r="Q451" s="626"/>
      <c r="R451" s="626"/>
      <c r="S451" s="626"/>
      <c r="T451" s="626"/>
      <c r="U451" s="626"/>
      <c r="V451" s="627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28"/>
      <c r="B452" s="628"/>
      <c r="C452" s="628"/>
      <c r="D452" s="628"/>
      <c r="E452" s="628"/>
      <c r="F452" s="628"/>
      <c r="G452" s="628"/>
      <c r="H452" s="628"/>
      <c r="I452" s="628"/>
      <c r="J452" s="628"/>
      <c r="K452" s="628"/>
      <c r="L452" s="628"/>
      <c r="M452" s="628"/>
      <c r="N452" s="628"/>
      <c r="O452" s="629"/>
      <c r="P452" s="625" t="s">
        <v>40</v>
      </c>
      <c r="Q452" s="626"/>
      <c r="R452" s="626"/>
      <c r="S452" s="626"/>
      <c r="T452" s="626"/>
      <c r="U452" s="626"/>
      <c r="V452" s="627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39" t="s">
        <v>77</v>
      </c>
      <c r="B453" s="639"/>
      <c r="C453" s="639"/>
      <c r="D453" s="639"/>
      <c r="E453" s="639"/>
      <c r="F453" s="639"/>
      <c r="G453" s="639"/>
      <c r="H453" s="639"/>
      <c r="I453" s="639"/>
      <c r="J453" s="639"/>
      <c r="K453" s="639"/>
      <c r="L453" s="639"/>
      <c r="M453" s="639"/>
      <c r="N453" s="639"/>
      <c r="O453" s="639"/>
      <c r="P453" s="639"/>
      <c r="Q453" s="639"/>
      <c r="R453" s="639"/>
      <c r="S453" s="639"/>
      <c r="T453" s="639"/>
      <c r="U453" s="639"/>
      <c r="V453" s="639"/>
      <c r="W453" s="639"/>
      <c r="X453" s="639"/>
      <c r="Y453" s="639"/>
      <c r="Z453" s="639"/>
      <c r="AA453" s="63"/>
      <c r="AB453" s="63"/>
      <c r="AC453" s="63"/>
    </row>
    <row r="454" spans="1:68" ht="27" hidden="1" customHeight="1" x14ac:dyDescent="0.25">
      <c r="A454" s="60" t="s">
        <v>740</v>
      </c>
      <c r="B454" s="60" t="s">
        <v>741</v>
      </c>
      <c r="C454" s="34">
        <v>4301031457</v>
      </c>
      <c r="D454" s="634">
        <v>4607091384802</v>
      </c>
      <c r="E454" s="634"/>
      <c r="F454" s="59">
        <v>0.7</v>
      </c>
      <c r="G454" s="35">
        <v>6</v>
      </c>
      <c r="H454" s="59">
        <v>4.2</v>
      </c>
      <c r="I454" s="59">
        <v>4.45</v>
      </c>
      <c r="J454" s="35">
        <v>132</v>
      </c>
      <c r="K454" s="35" t="s">
        <v>131</v>
      </c>
      <c r="L454" s="35" t="s">
        <v>46</v>
      </c>
      <c r="M454" s="36" t="s">
        <v>81</v>
      </c>
      <c r="N454" s="36"/>
      <c r="O454" s="35">
        <v>50</v>
      </c>
      <c r="P454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36"/>
      <c r="R454" s="636"/>
      <c r="S454" s="636"/>
      <c r="T454" s="637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41" t="s">
        <v>742</v>
      </c>
      <c r="AG454" s="75"/>
      <c r="AJ454" s="79" t="s">
        <v>46</v>
      </c>
      <c r="AK454" s="79">
        <v>0</v>
      </c>
      <c r="BB454" s="54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IFERROR(X454/H454,"0")</f>
        <v>0</v>
      </c>
      <c r="Y455" s="41">
        <f>IFERROR(Y454/H454,"0")</f>
        <v>0</v>
      </c>
      <c r="Z455" s="41">
        <f>IFERROR(IF(Z454="",0,Z454),"0")</f>
        <v>0</v>
      </c>
      <c r="AA455" s="64"/>
      <c r="AB455" s="64"/>
      <c r="AC455" s="64"/>
    </row>
    <row r="456" spans="1:68" hidden="1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IFERROR(SUM(X454:X454),"0")</f>
        <v>0</v>
      </c>
      <c r="Y456" s="41">
        <f>IFERROR(SUM(Y454:Y454),"0")</f>
        <v>0</v>
      </c>
      <c r="Z456" s="40"/>
      <c r="AA456" s="64"/>
      <c r="AB456" s="64"/>
      <c r="AC456" s="64"/>
    </row>
    <row r="457" spans="1:68" ht="14.25" hidden="1" customHeight="1" x14ac:dyDescent="0.25">
      <c r="A457" s="639" t="s">
        <v>83</v>
      </c>
      <c r="B457" s="639"/>
      <c r="C457" s="639"/>
      <c r="D457" s="639"/>
      <c r="E457" s="639"/>
      <c r="F457" s="639"/>
      <c r="G457" s="639"/>
      <c r="H457" s="639"/>
      <c r="I457" s="639"/>
      <c r="J457" s="639"/>
      <c r="K457" s="639"/>
      <c r="L457" s="639"/>
      <c r="M457" s="639"/>
      <c r="N457" s="639"/>
      <c r="O457" s="639"/>
      <c r="P457" s="639"/>
      <c r="Q457" s="639"/>
      <c r="R457" s="639"/>
      <c r="S457" s="639"/>
      <c r="T457" s="639"/>
      <c r="U457" s="639"/>
      <c r="V457" s="639"/>
      <c r="W457" s="639"/>
      <c r="X457" s="639"/>
      <c r="Y457" s="639"/>
      <c r="Z457" s="639"/>
      <c r="AA457" s="63"/>
      <c r="AB457" s="63"/>
      <c r="AC457" s="63"/>
    </row>
    <row r="458" spans="1:68" ht="27" customHeight="1" x14ac:dyDescent="0.25">
      <c r="A458" s="60" t="s">
        <v>743</v>
      </c>
      <c r="B458" s="60" t="s">
        <v>744</v>
      </c>
      <c r="C458" s="34">
        <v>4301051899</v>
      </c>
      <c r="D458" s="634">
        <v>4607091384246</v>
      </c>
      <c r="E458" s="634"/>
      <c r="F458" s="59">
        <v>1.5</v>
      </c>
      <c r="G458" s="35">
        <v>6</v>
      </c>
      <c r="H458" s="59">
        <v>9</v>
      </c>
      <c r="I458" s="59">
        <v>9.4939999999999998</v>
      </c>
      <c r="J458" s="35">
        <v>64</v>
      </c>
      <c r="K458" s="35" t="s">
        <v>124</v>
      </c>
      <c r="L458" s="35" t="s">
        <v>46</v>
      </c>
      <c r="M458" s="36" t="s">
        <v>87</v>
      </c>
      <c r="N458" s="36"/>
      <c r="O458" s="35">
        <v>40</v>
      </c>
      <c r="P458" s="6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36"/>
      <c r="R458" s="636"/>
      <c r="S458" s="636"/>
      <c r="T458" s="637"/>
      <c r="U458" s="37" t="s">
        <v>46</v>
      </c>
      <c r="V458" s="37" t="s">
        <v>46</v>
      </c>
      <c r="W458" s="38" t="s">
        <v>0</v>
      </c>
      <c r="X458" s="56">
        <v>200</v>
      </c>
      <c r="Y458" s="53">
        <f>IFERROR(IF(X458="",0,CEILING((X458/$H458),1)*$H458),"")</f>
        <v>207</v>
      </c>
      <c r="Z458" s="39">
        <f>IFERROR(IF(Y458=0,"",ROUNDUP(Y458/H458,0)*0.01898),"")</f>
        <v>0.43653999999999998</v>
      </c>
      <c r="AA458" s="65" t="s">
        <v>46</v>
      </c>
      <c r="AB458" s="66" t="s">
        <v>46</v>
      </c>
      <c r="AC458" s="543" t="s">
        <v>745</v>
      </c>
      <c r="AG458" s="75"/>
      <c r="AJ458" s="79" t="s">
        <v>46</v>
      </c>
      <c r="AK458" s="79">
        <v>0</v>
      </c>
      <c r="BB458" s="544" t="s">
        <v>67</v>
      </c>
      <c r="BM458" s="75">
        <f>IFERROR(X458*I458/H458,"0")</f>
        <v>210.97777777777776</v>
      </c>
      <c r="BN458" s="75">
        <f>IFERROR(Y458*I458/H458,"0")</f>
        <v>218.36199999999999</v>
      </c>
      <c r="BO458" s="75">
        <f>IFERROR(1/J458*(X458/H458),"0")</f>
        <v>0.34722222222222221</v>
      </c>
      <c r="BP458" s="75">
        <f>IFERROR(1/J458*(Y458/H458),"0")</f>
        <v>0.359375</v>
      </c>
    </row>
    <row r="459" spans="1:68" ht="27" hidden="1" customHeight="1" x14ac:dyDescent="0.25">
      <c r="A459" s="60" t="s">
        <v>746</v>
      </c>
      <c r="B459" s="60" t="s">
        <v>747</v>
      </c>
      <c r="C459" s="34">
        <v>4301051660</v>
      </c>
      <c r="D459" s="634">
        <v>4607091384253</v>
      </c>
      <c r="E459" s="634"/>
      <c r="F459" s="59">
        <v>0.4</v>
      </c>
      <c r="G459" s="35">
        <v>6</v>
      </c>
      <c r="H459" s="59">
        <v>2.4</v>
      </c>
      <c r="I459" s="59">
        <v>2.6640000000000001</v>
      </c>
      <c r="J459" s="35">
        <v>182</v>
      </c>
      <c r="K459" s="35" t="s">
        <v>88</v>
      </c>
      <c r="L459" s="35" t="s">
        <v>46</v>
      </c>
      <c r="M459" s="36" t="s">
        <v>87</v>
      </c>
      <c r="N459" s="36"/>
      <c r="O459" s="35">
        <v>40</v>
      </c>
      <c r="P459" s="6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36"/>
      <c r="R459" s="636"/>
      <c r="S459" s="636"/>
      <c r="T459" s="637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45" t="s">
        <v>745</v>
      </c>
      <c r="AG459" s="75"/>
      <c r="AJ459" s="79" t="s">
        <v>46</v>
      </c>
      <c r="AK459" s="79">
        <v>0</v>
      </c>
      <c r="BB459" s="54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746</v>
      </c>
      <c r="B460" s="60" t="s">
        <v>748</v>
      </c>
      <c r="C460" s="34">
        <v>4301052069</v>
      </c>
      <c r="D460" s="634">
        <v>4607091384253</v>
      </c>
      <c r="E460" s="634"/>
      <c r="F460" s="59">
        <v>0.4</v>
      </c>
      <c r="G460" s="35">
        <v>6</v>
      </c>
      <c r="H460" s="59">
        <v>2.4</v>
      </c>
      <c r="I460" s="59">
        <v>2.6640000000000001</v>
      </c>
      <c r="J460" s="35">
        <v>182</v>
      </c>
      <c r="K460" s="35" t="s">
        <v>88</v>
      </c>
      <c r="L460" s="35" t="s">
        <v>46</v>
      </c>
      <c r="M460" s="36" t="s">
        <v>87</v>
      </c>
      <c r="N460" s="36"/>
      <c r="O460" s="35">
        <v>40</v>
      </c>
      <c r="P460" s="6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36"/>
      <c r="R460" s="636"/>
      <c r="S460" s="636"/>
      <c r="T460" s="63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IFERROR(IF(Y460=0,"",ROUNDUP(Y460/H460,0)*0.00651),"")</f>
        <v/>
      </c>
      <c r="AA460" s="65" t="s">
        <v>46</v>
      </c>
      <c r="AB460" s="66" t="s">
        <v>46</v>
      </c>
      <c r="AC460" s="547" t="s">
        <v>749</v>
      </c>
      <c r="AG460" s="75"/>
      <c r="AJ460" s="79" t="s">
        <v>46</v>
      </c>
      <c r="AK460" s="79">
        <v>0</v>
      </c>
      <c r="BB460" s="54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28"/>
      <c r="B461" s="628"/>
      <c r="C461" s="628"/>
      <c r="D461" s="628"/>
      <c r="E461" s="628"/>
      <c r="F461" s="628"/>
      <c r="G461" s="628"/>
      <c r="H461" s="628"/>
      <c r="I461" s="628"/>
      <c r="J461" s="628"/>
      <c r="K461" s="628"/>
      <c r="L461" s="628"/>
      <c r="M461" s="628"/>
      <c r="N461" s="628"/>
      <c r="O461" s="629"/>
      <c r="P461" s="625" t="s">
        <v>40</v>
      </c>
      <c r="Q461" s="626"/>
      <c r="R461" s="626"/>
      <c r="S461" s="626"/>
      <c r="T461" s="626"/>
      <c r="U461" s="626"/>
      <c r="V461" s="627"/>
      <c r="W461" s="40" t="s">
        <v>39</v>
      </c>
      <c r="X461" s="41">
        <f>IFERROR(X458/H458,"0")+IFERROR(X459/H459,"0")+IFERROR(X460/H460,"0")</f>
        <v>22.222222222222221</v>
      </c>
      <c r="Y461" s="41">
        <f>IFERROR(Y458/H458,"0")+IFERROR(Y459/H459,"0")+IFERROR(Y460/H460,"0")</f>
        <v>23</v>
      </c>
      <c r="Z461" s="41">
        <f>IFERROR(IF(Z458="",0,Z458),"0")+IFERROR(IF(Z459="",0,Z459),"0")+IFERROR(IF(Z460="",0,Z460),"0")</f>
        <v>0.43653999999999998</v>
      </c>
      <c r="AA461" s="64"/>
      <c r="AB461" s="64"/>
      <c r="AC461" s="64"/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0" t="s">
        <v>0</v>
      </c>
      <c r="X462" s="41">
        <f>IFERROR(SUM(X458:X460),"0")</f>
        <v>200</v>
      </c>
      <c r="Y462" s="41">
        <f>IFERROR(SUM(Y458:Y460),"0")</f>
        <v>207</v>
      </c>
      <c r="Z462" s="40"/>
      <c r="AA462" s="64"/>
      <c r="AB462" s="64"/>
      <c r="AC462" s="64"/>
    </row>
    <row r="463" spans="1:68" ht="27.75" hidden="1" customHeight="1" x14ac:dyDescent="0.2">
      <c r="A463" s="645" t="s">
        <v>750</v>
      </c>
      <c r="B463" s="645"/>
      <c r="C463" s="645"/>
      <c r="D463" s="645"/>
      <c r="E463" s="645"/>
      <c r="F463" s="645"/>
      <c r="G463" s="645"/>
      <c r="H463" s="645"/>
      <c r="I463" s="645"/>
      <c r="J463" s="645"/>
      <c r="K463" s="645"/>
      <c r="L463" s="645"/>
      <c r="M463" s="645"/>
      <c r="N463" s="645"/>
      <c r="O463" s="645"/>
      <c r="P463" s="645"/>
      <c r="Q463" s="645"/>
      <c r="R463" s="645"/>
      <c r="S463" s="645"/>
      <c r="T463" s="645"/>
      <c r="U463" s="645"/>
      <c r="V463" s="645"/>
      <c r="W463" s="645"/>
      <c r="X463" s="645"/>
      <c r="Y463" s="645"/>
      <c r="Z463" s="645"/>
      <c r="AA463" s="52"/>
      <c r="AB463" s="52"/>
      <c r="AC463" s="52"/>
    </row>
    <row r="464" spans="1:68" ht="16.5" hidden="1" customHeight="1" x14ac:dyDescent="0.25">
      <c r="A464" s="638" t="s">
        <v>751</v>
      </c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8"/>
      <c r="P464" s="638"/>
      <c r="Q464" s="638"/>
      <c r="R464" s="638"/>
      <c r="S464" s="638"/>
      <c r="T464" s="638"/>
      <c r="U464" s="638"/>
      <c r="V464" s="638"/>
      <c r="W464" s="638"/>
      <c r="X464" s="638"/>
      <c r="Y464" s="638"/>
      <c r="Z464" s="638"/>
      <c r="AA464" s="62"/>
      <c r="AB464" s="62"/>
      <c r="AC464" s="62"/>
    </row>
    <row r="465" spans="1:68" ht="14.25" hidden="1" customHeight="1" x14ac:dyDescent="0.25">
      <c r="A465" s="639" t="s">
        <v>77</v>
      </c>
      <c r="B465" s="639"/>
      <c r="C465" s="639"/>
      <c r="D465" s="639"/>
      <c r="E465" s="639"/>
      <c r="F465" s="639"/>
      <c r="G465" s="639"/>
      <c r="H465" s="639"/>
      <c r="I465" s="639"/>
      <c r="J465" s="639"/>
      <c r="K465" s="639"/>
      <c r="L465" s="639"/>
      <c r="M465" s="639"/>
      <c r="N465" s="639"/>
      <c r="O465" s="639"/>
      <c r="P465" s="639"/>
      <c r="Q465" s="639"/>
      <c r="R465" s="639"/>
      <c r="S465" s="639"/>
      <c r="T465" s="639"/>
      <c r="U465" s="639"/>
      <c r="V465" s="639"/>
      <c r="W465" s="639"/>
      <c r="X465" s="639"/>
      <c r="Y465" s="639"/>
      <c r="Z465" s="639"/>
      <c r="AA465" s="63"/>
      <c r="AB465" s="63"/>
      <c r="AC465" s="63"/>
    </row>
    <row r="466" spans="1:68" ht="27" customHeight="1" x14ac:dyDescent="0.25">
      <c r="A466" s="60" t="s">
        <v>752</v>
      </c>
      <c r="B466" s="60" t="s">
        <v>753</v>
      </c>
      <c r="C466" s="34">
        <v>4301031405</v>
      </c>
      <c r="D466" s="634">
        <v>4680115886100</v>
      </c>
      <c r="E466" s="634"/>
      <c r="F466" s="59">
        <v>0.9</v>
      </c>
      <c r="G466" s="35">
        <v>6</v>
      </c>
      <c r="H466" s="59">
        <v>5.4</v>
      </c>
      <c r="I466" s="59">
        <v>5.59</v>
      </c>
      <c r="J466" s="35">
        <v>132</v>
      </c>
      <c r="K466" s="35" t="s">
        <v>131</v>
      </c>
      <c r="L466" s="35" t="s">
        <v>46</v>
      </c>
      <c r="M466" s="36" t="s">
        <v>81</v>
      </c>
      <c r="N466" s="36"/>
      <c r="O466" s="35">
        <v>50</v>
      </c>
      <c r="P466" s="6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36"/>
      <c r="R466" s="636"/>
      <c r="S466" s="636"/>
      <c r="T466" s="637"/>
      <c r="U466" s="37" t="s">
        <v>46</v>
      </c>
      <c r="V466" s="37" t="s">
        <v>46</v>
      </c>
      <c r="W466" s="38" t="s">
        <v>0</v>
      </c>
      <c r="X466" s="56">
        <v>50</v>
      </c>
      <c r="Y466" s="53">
        <f t="shared" ref="Y466:Y471" si="66">IFERROR(IF(X466="",0,CEILING((X466/$H466),1)*$H466),"")</f>
        <v>54</v>
      </c>
      <c r="Z466" s="39">
        <f>IFERROR(IF(Y466=0,"",ROUNDUP(Y466/H466,0)*0.00902),"")</f>
        <v>9.0200000000000002E-2</v>
      </c>
      <c r="AA466" s="65" t="s">
        <v>46</v>
      </c>
      <c r="AB466" s="66" t="s">
        <v>46</v>
      </c>
      <c r="AC466" s="549" t="s">
        <v>754</v>
      </c>
      <c r="AG466" s="75"/>
      <c r="AJ466" s="79" t="s">
        <v>46</v>
      </c>
      <c r="AK466" s="79">
        <v>0</v>
      </c>
      <c r="BB466" s="550" t="s">
        <v>67</v>
      </c>
      <c r="BM466" s="75">
        <f t="shared" ref="BM466:BM471" si="67">IFERROR(X466*I466/H466,"0")</f>
        <v>51.759259259259252</v>
      </c>
      <c r="BN466" s="75">
        <f t="shared" ref="BN466:BN471" si="68">IFERROR(Y466*I466/H466,"0")</f>
        <v>55.9</v>
      </c>
      <c r="BO466" s="75">
        <f t="shared" ref="BO466:BO471" si="69">IFERROR(1/J466*(X466/H466),"0")</f>
        <v>7.0145903479236812E-2</v>
      </c>
      <c r="BP466" s="75">
        <f t="shared" ref="BP466:BP471" si="70">IFERROR(1/J466*(Y466/H466),"0")</f>
        <v>7.575757575757576E-2</v>
      </c>
    </row>
    <row r="467" spans="1:68" ht="27" customHeight="1" x14ac:dyDescent="0.25">
      <c r="A467" s="60" t="s">
        <v>755</v>
      </c>
      <c r="B467" s="60" t="s">
        <v>756</v>
      </c>
      <c r="C467" s="34">
        <v>4301031402</v>
      </c>
      <c r="D467" s="634">
        <v>4680115886124</v>
      </c>
      <c r="E467" s="634"/>
      <c r="F467" s="59">
        <v>0.9</v>
      </c>
      <c r="G467" s="35">
        <v>6</v>
      </c>
      <c r="H467" s="59">
        <v>5.4</v>
      </c>
      <c r="I467" s="59">
        <v>5.59</v>
      </c>
      <c r="J467" s="35">
        <v>132</v>
      </c>
      <c r="K467" s="35" t="s">
        <v>131</v>
      </c>
      <c r="L467" s="35" t="s">
        <v>46</v>
      </c>
      <c r="M467" s="36" t="s">
        <v>81</v>
      </c>
      <c r="N467" s="36"/>
      <c r="O467" s="35">
        <v>50</v>
      </c>
      <c r="P467" s="6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36"/>
      <c r="R467" s="636"/>
      <c r="S467" s="636"/>
      <c r="T467" s="637"/>
      <c r="U467" s="37" t="s">
        <v>46</v>
      </c>
      <c r="V467" s="37" t="s">
        <v>46</v>
      </c>
      <c r="W467" s="38" t="s">
        <v>0</v>
      </c>
      <c r="X467" s="56">
        <v>100</v>
      </c>
      <c r="Y467" s="53">
        <f t="shared" si="66"/>
        <v>102.60000000000001</v>
      </c>
      <c r="Z467" s="39">
        <f>IFERROR(IF(Y467=0,"",ROUNDUP(Y467/H467,0)*0.00902),"")</f>
        <v>0.17138</v>
      </c>
      <c r="AA467" s="65" t="s">
        <v>46</v>
      </c>
      <c r="AB467" s="66" t="s">
        <v>46</v>
      </c>
      <c r="AC467" s="551" t="s">
        <v>757</v>
      </c>
      <c r="AG467" s="75"/>
      <c r="AJ467" s="79" t="s">
        <v>46</v>
      </c>
      <c r="AK467" s="79">
        <v>0</v>
      </c>
      <c r="BB467" s="552" t="s">
        <v>67</v>
      </c>
      <c r="BM467" s="75">
        <f t="shared" si="67"/>
        <v>103.5185185185185</v>
      </c>
      <c r="BN467" s="75">
        <f t="shared" si="68"/>
        <v>106.21</v>
      </c>
      <c r="BO467" s="75">
        <f t="shared" si="69"/>
        <v>0.14029180695847362</v>
      </c>
      <c r="BP467" s="75">
        <f t="shared" si="70"/>
        <v>0.14393939393939395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4301031362</v>
      </c>
      <c r="D468" s="634">
        <v>4607091384338</v>
      </c>
      <c r="E468" s="634"/>
      <c r="F468" s="59">
        <v>0.35</v>
      </c>
      <c r="G468" s="35">
        <v>6</v>
      </c>
      <c r="H468" s="59">
        <v>2.1</v>
      </c>
      <c r="I468" s="59">
        <v>2.23</v>
      </c>
      <c r="J468" s="35">
        <v>234</v>
      </c>
      <c r="K468" s="35" t="s">
        <v>82</v>
      </c>
      <c r="L468" s="35" t="s">
        <v>46</v>
      </c>
      <c r="M468" s="36" t="s">
        <v>81</v>
      </c>
      <c r="N468" s="36"/>
      <c r="O468" s="35">
        <v>50</v>
      </c>
      <c r="P468" s="6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36"/>
      <c r="R468" s="636"/>
      <c r="S468" s="636"/>
      <c r="T468" s="63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si="66"/>
        <v>0</v>
      </c>
      <c r="Z468" s="39" t="str">
        <f>IFERROR(IF(Y468=0,"",ROUNDUP(Y468/H468,0)*0.00502),"")</f>
        <v/>
      </c>
      <c r="AA468" s="65" t="s">
        <v>46</v>
      </c>
      <c r="AB468" s="66" t="s">
        <v>46</v>
      </c>
      <c r="AC468" s="553" t="s">
        <v>754</v>
      </c>
      <c r="AG468" s="75"/>
      <c r="AJ468" s="79" t="s">
        <v>46</v>
      </c>
      <c r="AK468" s="79">
        <v>0</v>
      </c>
      <c r="BB468" s="554" t="s">
        <v>67</v>
      </c>
      <c r="BM468" s="75">
        <f t="shared" si="67"/>
        <v>0</v>
      </c>
      <c r="BN468" s="75">
        <f t="shared" si="68"/>
        <v>0</v>
      </c>
      <c r="BO468" s="75">
        <f t="shared" si="69"/>
        <v>0</v>
      </c>
      <c r="BP468" s="75">
        <f t="shared" si="70"/>
        <v>0</v>
      </c>
    </row>
    <row r="469" spans="1:68" ht="27" hidden="1" customHeight="1" x14ac:dyDescent="0.25">
      <c r="A469" s="60" t="s">
        <v>760</v>
      </c>
      <c r="B469" s="60" t="s">
        <v>761</v>
      </c>
      <c r="C469" s="34">
        <v>4301031364</v>
      </c>
      <c r="D469" s="634">
        <v>4680115883161</v>
      </c>
      <c r="E469" s="634"/>
      <c r="F469" s="59">
        <v>0.28000000000000003</v>
      </c>
      <c r="G469" s="35">
        <v>6</v>
      </c>
      <c r="H469" s="59">
        <v>1.68</v>
      </c>
      <c r="I469" s="59">
        <v>1.81</v>
      </c>
      <c r="J469" s="35">
        <v>234</v>
      </c>
      <c r="K469" s="35" t="s">
        <v>82</v>
      </c>
      <c r="L469" s="35" t="s">
        <v>46</v>
      </c>
      <c r="M469" s="36" t="s">
        <v>81</v>
      </c>
      <c r="N469" s="36"/>
      <c r="O469" s="35">
        <v>50</v>
      </c>
      <c r="P469" s="6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36"/>
      <c r="R469" s="636"/>
      <c r="S469" s="636"/>
      <c r="T469" s="63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66"/>
        <v>0</v>
      </c>
      <c r="Z469" s="39" t="str">
        <f>IFERROR(IF(Y469=0,"",ROUNDUP(Y469/H469,0)*0.00502),"")</f>
        <v/>
      </c>
      <c r="AA469" s="65" t="s">
        <v>46</v>
      </c>
      <c r="AB469" s="66" t="s">
        <v>46</v>
      </c>
      <c r="AC469" s="555" t="s">
        <v>762</v>
      </c>
      <c r="AG469" s="75"/>
      <c r="AJ469" s="79" t="s">
        <v>46</v>
      </c>
      <c r="AK469" s="79">
        <v>0</v>
      </c>
      <c r="BB469" s="556" t="s">
        <v>67</v>
      </c>
      <c r="BM469" s="75">
        <f t="shared" si="67"/>
        <v>0</v>
      </c>
      <c r="BN469" s="75">
        <f t="shared" si="68"/>
        <v>0</v>
      </c>
      <c r="BO469" s="75">
        <f t="shared" si="69"/>
        <v>0</v>
      </c>
      <c r="BP469" s="75">
        <f t="shared" si="70"/>
        <v>0</v>
      </c>
    </row>
    <row r="470" spans="1:68" ht="27" hidden="1" customHeight="1" x14ac:dyDescent="0.25">
      <c r="A470" s="60" t="s">
        <v>763</v>
      </c>
      <c r="B470" s="60" t="s">
        <v>764</v>
      </c>
      <c r="C470" s="34">
        <v>4301031358</v>
      </c>
      <c r="D470" s="634">
        <v>4607091389531</v>
      </c>
      <c r="E470" s="63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36"/>
      <c r="R470" s="636"/>
      <c r="S470" s="636"/>
      <c r="T470" s="63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6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7" t="s">
        <v>765</v>
      </c>
      <c r="AG470" s="75"/>
      <c r="AJ470" s="79" t="s">
        <v>46</v>
      </c>
      <c r="AK470" s="79">
        <v>0</v>
      </c>
      <c r="BB470" s="558" t="s">
        <v>67</v>
      </c>
      <c r="BM470" s="75">
        <f t="shared" si="67"/>
        <v>0</v>
      </c>
      <c r="BN470" s="75">
        <f t="shared" si="68"/>
        <v>0</v>
      </c>
      <c r="BO470" s="75">
        <f t="shared" si="69"/>
        <v>0</v>
      </c>
      <c r="BP470" s="75">
        <f t="shared" si="70"/>
        <v>0</v>
      </c>
    </row>
    <row r="471" spans="1:68" ht="37.5" hidden="1" customHeight="1" x14ac:dyDescent="0.25">
      <c r="A471" s="60" t="s">
        <v>766</v>
      </c>
      <c r="B471" s="60" t="s">
        <v>767</v>
      </c>
      <c r="C471" s="34">
        <v>4301031360</v>
      </c>
      <c r="D471" s="634">
        <v>4607091384345</v>
      </c>
      <c r="E471" s="63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36"/>
      <c r="R471" s="636"/>
      <c r="S471" s="636"/>
      <c r="T471" s="63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6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59" t="s">
        <v>762</v>
      </c>
      <c r="AG471" s="75"/>
      <c r="AJ471" s="79" t="s">
        <v>46</v>
      </c>
      <c r="AK471" s="79">
        <v>0</v>
      </c>
      <c r="BB471" s="560" t="s">
        <v>67</v>
      </c>
      <c r="BM471" s="75">
        <f t="shared" si="67"/>
        <v>0</v>
      </c>
      <c r="BN471" s="75">
        <f t="shared" si="68"/>
        <v>0</v>
      </c>
      <c r="BO471" s="75">
        <f t="shared" si="69"/>
        <v>0</v>
      </c>
      <c r="BP471" s="75">
        <f t="shared" si="70"/>
        <v>0</v>
      </c>
    </row>
    <row r="472" spans="1:68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IFERROR(X466/H466,"0")+IFERROR(X467/H467,"0")+IFERROR(X468/H468,"0")+IFERROR(X469/H469,"0")+IFERROR(X470/H470,"0")+IFERROR(X471/H471,"0")</f>
        <v>27.777777777777779</v>
      </c>
      <c r="Y472" s="41">
        <f>IFERROR(Y466/H466,"0")+IFERROR(Y467/H467,"0")+IFERROR(Y468/H468,"0")+IFERROR(Y469/H469,"0")+IFERROR(Y470/H470,"0")+IFERROR(Y471/H471,"0")</f>
        <v>29</v>
      </c>
      <c r="Z472" s="41">
        <f>IFERROR(IF(Z466="",0,Z466),"0")+IFERROR(IF(Z467="",0,Z467),"0")+IFERROR(IF(Z468="",0,Z468),"0")+IFERROR(IF(Z469="",0,Z469),"0")+IFERROR(IF(Z470="",0,Z470),"0")+IFERROR(IF(Z471="",0,Z471),"0")</f>
        <v>0.26158000000000003</v>
      </c>
      <c r="AA472" s="64"/>
      <c r="AB472" s="64"/>
      <c r="AC472" s="64"/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IFERROR(SUM(X466:X471),"0")</f>
        <v>150</v>
      </c>
      <c r="Y473" s="41">
        <f>IFERROR(SUM(Y466:Y471),"0")</f>
        <v>156.60000000000002</v>
      </c>
      <c r="Z473" s="40"/>
      <c r="AA473" s="64"/>
      <c r="AB473" s="64"/>
      <c r="AC473" s="64"/>
    </row>
    <row r="474" spans="1:68" ht="14.25" hidden="1" customHeight="1" x14ac:dyDescent="0.25">
      <c r="A474" s="639" t="s">
        <v>83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63"/>
      <c r="AB474" s="63"/>
      <c r="AC474" s="63"/>
    </row>
    <row r="475" spans="1:68" ht="27" hidden="1" customHeight="1" x14ac:dyDescent="0.25">
      <c r="A475" s="60" t="s">
        <v>768</v>
      </c>
      <c r="B475" s="60" t="s">
        <v>769</v>
      </c>
      <c r="C475" s="34">
        <v>4301051284</v>
      </c>
      <c r="D475" s="634">
        <v>4607091384352</v>
      </c>
      <c r="E475" s="634"/>
      <c r="F475" s="59">
        <v>0.6</v>
      </c>
      <c r="G475" s="35">
        <v>4</v>
      </c>
      <c r="H475" s="59">
        <v>2.4</v>
      </c>
      <c r="I475" s="59">
        <v>2.6259999999999999</v>
      </c>
      <c r="J475" s="35">
        <v>132</v>
      </c>
      <c r="K475" s="35" t="s">
        <v>131</v>
      </c>
      <c r="L475" s="35" t="s">
        <v>46</v>
      </c>
      <c r="M475" s="36" t="s">
        <v>87</v>
      </c>
      <c r="N475" s="36"/>
      <c r="O475" s="35">
        <v>45</v>
      </c>
      <c r="P475" s="6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36"/>
      <c r="R475" s="636"/>
      <c r="S475" s="636"/>
      <c r="T475" s="637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1" t="s">
        <v>770</v>
      </c>
      <c r="AG475" s="75"/>
      <c r="AJ475" s="79" t="s">
        <v>46</v>
      </c>
      <c r="AK475" s="79">
        <v>0</v>
      </c>
      <c r="BB475" s="562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6.5" hidden="1" customHeight="1" x14ac:dyDescent="0.25">
      <c r="A478" s="638" t="s">
        <v>771</v>
      </c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8"/>
      <c r="P478" s="638"/>
      <c r="Q478" s="638"/>
      <c r="R478" s="638"/>
      <c r="S478" s="638"/>
      <c r="T478" s="638"/>
      <c r="U478" s="638"/>
      <c r="V478" s="638"/>
      <c r="W478" s="638"/>
      <c r="X478" s="638"/>
      <c r="Y478" s="638"/>
      <c r="Z478" s="638"/>
      <c r="AA478" s="62"/>
      <c r="AB478" s="62"/>
      <c r="AC478" s="62"/>
    </row>
    <row r="479" spans="1:68" ht="14.25" hidden="1" customHeight="1" x14ac:dyDescent="0.25">
      <c r="A479" s="639" t="s">
        <v>154</v>
      </c>
      <c r="B479" s="639"/>
      <c r="C479" s="639"/>
      <c r="D479" s="639"/>
      <c r="E479" s="639"/>
      <c r="F479" s="639"/>
      <c r="G479" s="639"/>
      <c r="H479" s="639"/>
      <c r="I479" s="639"/>
      <c r="J479" s="639"/>
      <c r="K479" s="639"/>
      <c r="L479" s="639"/>
      <c r="M479" s="639"/>
      <c r="N479" s="639"/>
      <c r="O479" s="639"/>
      <c r="P479" s="639"/>
      <c r="Q479" s="639"/>
      <c r="R479" s="639"/>
      <c r="S479" s="639"/>
      <c r="T479" s="639"/>
      <c r="U479" s="639"/>
      <c r="V479" s="639"/>
      <c r="W479" s="639"/>
      <c r="X479" s="639"/>
      <c r="Y479" s="639"/>
      <c r="Z479" s="639"/>
      <c r="AA479" s="63"/>
      <c r="AB479" s="63"/>
      <c r="AC479" s="63"/>
    </row>
    <row r="480" spans="1:68" ht="27" hidden="1" customHeight="1" x14ac:dyDescent="0.25">
      <c r="A480" s="60" t="s">
        <v>772</v>
      </c>
      <c r="B480" s="60" t="s">
        <v>773</v>
      </c>
      <c r="C480" s="34">
        <v>4301020416</v>
      </c>
      <c r="D480" s="634">
        <v>4680115885240</v>
      </c>
      <c r="E480" s="634"/>
      <c r="F480" s="59">
        <v>0.35</v>
      </c>
      <c r="G480" s="35">
        <v>6</v>
      </c>
      <c r="H480" s="59">
        <v>2.1</v>
      </c>
      <c r="I480" s="59">
        <v>2.31</v>
      </c>
      <c r="J480" s="35">
        <v>182</v>
      </c>
      <c r="K480" s="35" t="s">
        <v>88</v>
      </c>
      <c r="L480" s="35" t="s">
        <v>46</v>
      </c>
      <c r="M480" s="36" t="s">
        <v>81</v>
      </c>
      <c r="N480" s="36"/>
      <c r="O480" s="35">
        <v>40</v>
      </c>
      <c r="P480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36"/>
      <c r="R480" s="636"/>
      <c r="S480" s="636"/>
      <c r="T480" s="637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IFERROR(IF(Y480=0,"",ROUNDUP(Y480/H480,0)*0.00651),"")</f>
        <v/>
      </c>
      <c r="AA480" s="65" t="s">
        <v>46</v>
      </c>
      <c r="AB480" s="66" t="s">
        <v>46</v>
      </c>
      <c r="AC480" s="563" t="s">
        <v>774</v>
      </c>
      <c r="AG480" s="75"/>
      <c r="AJ480" s="79" t="s">
        <v>46</v>
      </c>
      <c r="AK480" s="79">
        <v>0</v>
      </c>
      <c r="BB480" s="564" t="s">
        <v>67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IFERROR(X480/H480,"0")</f>
        <v>0</v>
      </c>
      <c r="Y481" s="41">
        <f>IFERROR(Y480/H480,"0")</f>
        <v>0</v>
      </c>
      <c r="Z481" s="41">
        <f>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IFERROR(SUM(X480:X480),"0")</f>
        <v>0</v>
      </c>
      <c r="Y482" s="41">
        <f>IFERROR(SUM(Y480:Y480),"0")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39" t="s">
        <v>77</v>
      </c>
      <c r="B483" s="639"/>
      <c r="C483" s="639"/>
      <c r="D483" s="639"/>
      <c r="E483" s="639"/>
      <c r="F483" s="639"/>
      <c r="G483" s="639"/>
      <c r="H483" s="639"/>
      <c r="I483" s="639"/>
      <c r="J483" s="639"/>
      <c r="K483" s="639"/>
      <c r="L483" s="639"/>
      <c r="M483" s="639"/>
      <c r="N483" s="639"/>
      <c r="O483" s="639"/>
      <c r="P483" s="639"/>
      <c r="Q483" s="639"/>
      <c r="R483" s="639"/>
      <c r="S483" s="639"/>
      <c r="T483" s="639"/>
      <c r="U483" s="639"/>
      <c r="V483" s="639"/>
      <c r="W483" s="639"/>
      <c r="X483" s="639"/>
      <c r="Y483" s="639"/>
      <c r="Z483" s="639"/>
      <c r="AA483" s="63"/>
      <c r="AB483" s="63"/>
      <c r="AC483" s="63"/>
    </row>
    <row r="484" spans="1:68" ht="27" customHeight="1" x14ac:dyDescent="0.25">
      <c r="A484" s="60" t="s">
        <v>775</v>
      </c>
      <c r="B484" s="60" t="s">
        <v>776</v>
      </c>
      <c r="C484" s="34">
        <v>4301031407</v>
      </c>
      <c r="D484" s="634">
        <v>4680115886094</v>
      </c>
      <c r="E484" s="634"/>
      <c r="F484" s="59">
        <v>0.9</v>
      </c>
      <c r="G484" s="35">
        <v>6</v>
      </c>
      <c r="H484" s="59">
        <v>5.4</v>
      </c>
      <c r="I484" s="59">
        <v>5.59</v>
      </c>
      <c r="J484" s="35">
        <v>132</v>
      </c>
      <c r="K484" s="35" t="s">
        <v>131</v>
      </c>
      <c r="L484" s="35" t="s">
        <v>46</v>
      </c>
      <c r="M484" s="36" t="s">
        <v>81</v>
      </c>
      <c r="N484" s="36"/>
      <c r="O484" s="35">
        <v>50</v>
      </c>
      <c r="P484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36"/>
      <c r="R484" s="636"/>
      <c r="S484" s="636"/>
      <c r="T484" s="637"/>
      <c r="U484" s="37" t="s">
        <v>46</v>
      </c>
      <c r="V484" s="37" t="s">
        <v>46</v>
      </c>
      <c r="W484" s="38" t="s">
        <v>0</v>
      </c>
      <c r="X484" s="56">
        <v>100</v>
      </c>
      <c r="Y484" s="53">
        <f>IFERROR(IF(X484="",0,CEILING((X484/$H484),1)*$H484),"")</f>
        <v>102.60000000000001</v>
      </c>
      <c r="Z484" s="39">
        <f>IFERROR(IF(Y484=0,"",ROUNDUP(Y484/H484,0)*0.00902),"")</f>
        <v>0.17138</v>
      </c>
      <c r="AA484" s="65" t="s">
        <v>46</v>
      </c>
      <c r="AB484" s="66" t="s">
        <v>46</v>
      </c>
      <c r="AC484" s="565" t="s">
        <v>777</v>
      </c>
      <c r="AG484" s="75"/>
      <c r="AJ484" s="79" t="s">
        <v>46</v>
      </c>
      <c r="AK484" s="79">
        <v>0</v>
      </c>
      <c r="BB484" s="566" t="s">
        <v>67</v>
      </c>
      <c r="BM484" s="75">
        <f>IFERROR(X484*I484/H484,"0")</f>
        <v>103.5185185185185</v>
      </c>
      <c r="BN484" s="75">
        <f>IFERROR(Y484*I484/H484,"0")</f>
        <v>106.21</v>
      </c>
      <c r="BO484" s="75">
        <f>IFERROR(1/J484*(X484/H484),"0")</f>
        <v>0.14029180695847362</v>
      </c>
      <c r="BP484" s="75">
        <f>IFERROR(1/J484*(Y484/H484),"0")</f>
        <v>0.14393939393939395</v>
      </c>
    </row>
    <row r="485" spans="1:68" ht="27" hidden="1" customHeight="1" x14ac:dyDescent="0.25">
      <c r="A485" s="60" t="s">
        <v>778</v>
      </c>
      <c r="B485" s="60" t="s">
        <v>779</v>
      </c>
      <c r="C485" s="34">
        <v>4301031373</v>
      </c>
      <c r="D485" s="634">
        <v>4680115880771</v>
      </c>
      <c r="E485" s="634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66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36"/>
      <c r="R485" s="636"/>
      <c r="S485" s="636"/>
      <c r="T485" s="637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67" t="s">
        <v>780</v>
      </c>
      <c r="AG485" s="75"/>
      <c r="AJ485" s="79" t="s">
        <v>46</v>
      </c>
      <c r="AK485" s="79">
        <v>0</v>
      </c>
      <c r="BB485" s="568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t="27" hidden="1" customHeight="1" x14ac:dyDescent="0.25">
      <c r="A486" s="60" t="s">
        <v>781</v>
      </c>
      <c r="B486" s="60" t="s">
        <v>782</v>
      </c>
      <c r="C486" s="34">
        <v>4301031359</v>
      </c>
      <c r="D486" s="634">
        <v>4607091389500</v>
      </c>
      <c r="E486" s="634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6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36"/>
      <c r="R486" s="636"/>
      <c r="S486" s="636"/>
      <c r="T486" s="637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69" t="s">
        <v>780</v>
      </c>
      <c r="AG486" s="75"/>
      <c r="AJ486" s="79" t="s">
        <v>46</v>
      </c>
      <c r="AK486" s="79">
        <v>0</v>
      </c>
      <c r="BB486" s="570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39</v>
      </c>
      <c r="X487" s="41">
        <f>IFERROR(X484/H484,"0")+IFERROR(X485/H485,"0")+IFERROR(X486/H486,"0")</f>
        <v>18.518518518518519</v>
      </c>
      <c r="Y487" s="41">
        <f>IFERROR(Y484/H484,"0")+IFERROR(Y485/H485,"0")+IFERROR(Y486/H486,"0")</f>
        <v>19</v>
      </c>
      <c r="Z487" s="41">
        <f>IFERROR(IF(Z484="",0,Z484),"0")+IFERROR(IF(Z485="",0,Z485),"0")+IFERROR(IF(Z486="",0,Z486),"0")</f>
        <v>0.17138</v>
      </c>
      <c r="AA487" s="64"/>
      <c r="AB487" s="64"/>
      <c r="AC487" s="64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0" t="s">
        <v>0</v>
      </c>
      <c r="X488" s="41">
        <f>IFERROR(SUM(X484:X486),"0")</f>
        <v>100</v>
      </c>
      <c r="Y488" s="41">
        <f>IFERROR(SUM(Y484:Y486),"0")</f>
        <v>102.60000000000001</v>
      </c>
      <c r="Z488" s="40"/>
      <c r="AA488" s="64"/>
      <c r="AB488" s="64"/>
      <c r="AC488" s="64"/>
    </row>
    <row r="489" spans="1:68" ht="27.75" hidden="1" customHeight="1" x14ac:dyDescent="0.2">
      <c r="A489" s="645" t="s">
        <v>783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52"/>
      <c r="AB489" s="52"/>
      <c r="AC489" s="52"/>
    </row>
    <row r="490" spans="1:68" ht="16.5" hidden="1" customHeight="1" x14ac:dyDescent="0.25">
      <c r="A490" s="638" t="s">
        <v>783</v>
      </c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8"/>
      <c r="P490" s="638"/>
      <c r="Q490" s="638"/>
      <c r="R490" s="638"/>
      <c r="S490" s="638"/>
      <c r="T490" s="638"/>
      <c r="U490" s="638"/>
      <c r="V490" s="638"/>
      <c r="W490" s="638"/>
      <c r="X490" s="638"/>
      <c r="Y490" s="638"/>
      <c r="Z490" s="638"/>
      <c r="AA490" s="62"/>
      <c r="AB490" s="62"/>
      <c r="AC490" s="62"/>
    </row>
    <row r="491" spans="1:68" ht="14.25" hidden="1" customHeight="1" x14ac:dyDescent="0.25">
      <c r="A491" s="639" t="s">
        <v>119</v>
      </c>
      <c r="B491" s="639"/>
      <c r="C491" s="639"/>
      <c r="D491" s="639"/>
      <c r="E491" s="639"/>
      <c r="F491" s="639"/>
      <c r="G491" s="639"/>
      <c r="H491" s="639"/>
      <c r="I491" s="639"/>
      <c r="J491" s="639"/>
      <c r="K491" s="639"/>
      <c r="L491" s="639"/>
      <c r="M491" s="639"/>
      <c r="N491" s="639"/>
      <c r="O491" s="639"/>
      <c r="P491" s="639"/>
      <c r="Q491" s="639"/>
      <c r="R491" s="639"/>
      <c r="S491" s="639"/>
      <c r="T491" s="639"/>
      <c r="U491" s="639"/>
      <c r="V491" s="639"/>
      <c r="W491" s="639"/>
      <c r="X491" s="639"/>
      <c r="Y491" s="639"/>
      <c r="Z491" s="639"/>
      <c r="AA491" s="63"/>
      <c r="AB491" s="63"/>
      <c r="AC491" s="63"/>
    </row>
    <row r="492" spans="1:68" ht="27" hidden="1" customHeight="1" x14ac:dyDescent="0.25">
      <c r="A492" s="60" t="s">
        <v>784</v>
      </c>
      <c r="B492" s="60" t="s">
        <v>785</v>
      </c>
      <c r="C492" s="34">
        <v>4301011769</v>
      </c>
      <c r="D492" s="634">
        <v>4607091389067</v>
      </c>
      <c r="E492" s="634"/>
      <c r="F492" s="59">
        <v>0.88</v>
      </c>
      <c r="G492" s="35">
        <v>6</v>
      </c>
      <c r="H492" s="59">
        <v>5.28</v>
      </c>
      <c r="I492" s="59">
        <v>5.63</v>
      </c>
      <c r="J492" s="35">
        <v>104</v>
      </c>
      <c r="K492" s="35" t="s">
        <v>124</v>
      </c>
      <c r="L492" s="35" t="s">
        <v>46</v>
      </c>
      <c r="M492" s="36" t="s">
        <v>87</v>
      </c>
      <c r="N492" s="36"/>
      <c r="O492" s="35">
        <v>60</v>
      </c>
      <c r="P492" s="6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36"/>
      <c r="R492" s="636"/>
      <c r="S492" s="636"/>
      <c r="T492" s="637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ref="Y492:Y499" si="71">IFERROR(IF(X492="",0,CEILING((X492/$H492),1)*$H492),"")</f>
        <v>0</v>
      </c>
      <c r="Z492" s="39" t="str">
        <f>IFERROR(IF(Y492=0,"",ROUNDUP(Y492/H492,0)*0.01196),"")</f>
        <v/>
      </c>
      <c r="AA492" s="65" t="s">
        <v>46</v>
      </c>
      <c r="AB492" s="66" t="s">
        <v>46</v>
      </c>
      <c r="AC492" s="571" t="s">
        <v>122</v>
      </c>
      <c r="AG492" s="75"/>
      <c r="AJ492" s="79" t="s">
        <v>46</v>
      </c>
      <c r="AK492" s="79">
        <v>0</v>
      </c>
      <c r="BB492" s="572" t="s">
        <v>67</v>
      </c>
      <c r="BM492" s="75">
        <f t="shared" ref="BM492:BM499" si="72">IFERROR(X492*I492/H492,"0")</f>
        <v>0</v>
      </c>
      <c r="BN492" s="75">
        <f t="shared" ref="BN492:BN499" si="73">IFERROR(Y492*I492/H492,"0")</f>
        <v>0</v>
      </c>
      <c r="BO492" s="75">
        <f t="shared" ref="BO492:BO499" si="74">IFERROR(1/J492*(X492/H492),"0")</f>
        <v>0</v>
      </c>
      <c r="BP492" s="75">
        <f t="shared" ref="BP492:BP499" si="75">IFERROR(1/J492*(Y492/H492),"0")</f>
        <v>0</v>
      </c>
    </row>
    <row r="493" spans="1:68" ht="16.5" hidden="1" customHeight="1" x14ac:dyDescent="0.25">
      <c r="A493" s="60" t="s">
        <v>786</v>
      </c>
      <c r="B493" s="60" t="s">
        <v>787</v>
      </c>
      <c r="C493" s="34">
        <v>4301012380</v>
      </c>
      <c r="D493" s="634">
        <v>4680115889576</v>
      </c>
      <c r="E493" s="634"/>
      <c r="F493" s="59">
        <v>0.88</v>
      </c>
      <c r="G493" s="35">
        <v>6</v>
      </c>
      <c r="H493" s="59">
        <v>5.28</v>
      </c>
      <c r="I493" s="59">
        <v>5.63</v>
      </c>
      <c r="J493" s="35">
        <v>104</v>
      </c>
      <c r="K493" s="35" t="s">
        <v>124</v>
      </c>
      <c r="L493" s="35" t="s">
        <v>46</v>
      </c>
      <c r="M493" s="36" t="s">
        <v>123</v>
      </c>
      <c r="N493" s="36"/>
      <c r="O493" s="35">
        <v>60</v>
      </c>
      <c r="P493" s="6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36"/>
      <c r="R493" s="636"/>
      <c r="S493" s="636"/>
      <c r="T493" s="637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1"/>
        <v>0</v>
      </c>
      <c r="Z493" s="39" t="str">
        <f>IFERROR(IF(Y493=0,"",ROUNDUP(Y493/H493,0)*0.01196),"")</f>
        <v/>
      </c>
      <c r="AA493" s="65" t="s">
        <v>46</v>
      </c>
      <c r="AB493" s="66" t="s">
        <v>46</v>
      </c>
      <c r="AC493" s="573" t="s">
        <v>788</v>
      </c>
      <c r="AG493" s="75"/>
      <c r="AJ493" s="79" t="s">
        <v>46</v>
      </c>
      <c r="AK493" s="79">
        <v>0</v>
      </c>
      <c r="BB493" s="574" t="s">
        <v>67</v>
      </c>
      <c r="BM493" s="75">
        <f t="shared" si="72"/>
        <v>0</v>
      </c>
      <c r="BN493" s="75">
        <f t="shared" si="73"/>
        <v>0</v>
      </c>
      <c r="BO493" s="75">
        <f t="shared" si="74"/>
        <v>0</v>
      </c>
      <c r="BP493" s="75">
        <f t="shared" si="75"/>
        <v>0</v>
      </c>
    </row>
    <row r="494" spans="1:68" ht="27" customHeight="1" x14ac:dyDescent="0.25">
      <c r="A494" s="60" t="s">
        <v>789</v>
      </c>
      <c r="B494" s="60" t="s">
        <v>790</v>
      </c>
      <c r="C494" s="34">
        <v>4301011961</v>
      </c>
      <c r="D494" s="634">
        <v>4680115885271</v>
      </c>
      <c r="E494" s="634"/>
      <c r="F494" s="59">
        <v>0.88</v>
      </c>
      <c r="G494" s="35">
        <v>6</v>
      </c>
      <c r="H494" s="59">
        <v>5.28</v>
      </c>
      <c r="I494" s="59">
        <v>5.63</v>
      </c>
      <c r="J494" s="35">
        <v>104</v>
      </c>
      <c r="K494" s="35" t="s">
        <v>124</v>
      </c>
      <c r="L494" s="35" t="s">
        <v>46</v>
      </c>
      <c r="M494" s="36" t="s">
        <v>123</v>
      </c>
      <c r="N494" s="36"/>
      <c r="O494" s="35">
        <v>60</v>
      </c>
      <c r="P494" s="6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36"/>
      <c r="R494" s="636"/>
      <c r="S494" s="636"/>
      <c r="T494" s="637"/>
      <c r="U494" s="37" t="s">
        <v>46</v>
      </c>
      <c r="V494" s="37" t="s">
        <v>46</v>
      </c>
      <c r="W494" s="38" t="s">
        <v>0</v>
      </c>
      <c r="X494" s="56">
        <v>50</v>
      </c>
      <c r="Y494" s="53">
        <f t="shared" si="71"/>
        <v>52.800000000000004</v>
      </c>
      <c r="Z494" s="39">
        <f>IFERROR(IF(Y494=0,"",ROUNDUP(Y494/H494,0)*0.01196),"")</f>
        <v>0.1196</v>
      </c>
      <c r="AA494" s="65" t="s">
        <v>46</v>
      </c>
      <c r="AB494" s="66" t="s">
        <v>46</v>
      </c>
      <c r="AC494" s="575" t="s">
        <v>791</v>
      </c>
      <c r="AG494" s="75"/>
      <c r="AJ494" s="79" t="s">
        <v>46</v>
      </c>
      <c r="AK494" s="79">
        <v>0</v>
      </c>
      <c r="BB494" s="576" t="s">
        <v>67</v>
      </c>
      <c r="BM494" s="75">
        <f t="shared" si="72"/>
        <v>53.314393939393938</v>
      </c>
      <c r="BN494" s="75">
        <f t="shared" si="73"/>
        <v>56.3</v>
      </c>
      <c r="BO494" s="75">
        <f t="shared" si="74"/>
        <v>9.1054778554778545E-2</v>
      </c>
      <c r="BP494" s="75">
        <f t="shared" si="75"/>
        <v>9.6153846153846159E-2</v>
      </c>
    </row>
    <row r="495" spans="1:68" ht="27" customHeight="1" x14ac:dyDescent="0.25">
      <c r="A495" s="60" t="s">
        <v>792</v>
      </c>
      <c r="B495" s="60" t="s">
        <v>793</v>
      </c>
      <c r="C495" s="34">
        <v>4301011369</v>
      </c>
      <c r="D495" s="634">
        <v>4680115885226</v>
      </c>
      <c r="E495" s="63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124</v>
      </c>
      <c r="L495" s="35" t="s">
        <v>46</v>
      </c>
      <c r="M495" s="36" t="s">
        <v>123</v>
      </c>
      <c r="N495" s="36"/>
      <c r="O495" s="35">
        <v>60</v>
      </c>
      <c r="P495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36"/>
      <c r="R495" s="636"/>
      <c r="S495" s="636"/>
      <c r="T495" s="637"/>
      <c r="U495" s="37" t="s">
        <v>46</v>
      </c>
      <c r="V495" s="37" t="s">
        <v>46</v>
      </c>
      <c r="W495" s="38" t="s">
        <v>0</v>
      </c>
      <c r="X495" s="56">
        <v>100</v>
      </c>
      <c r="Y495" s="53">
        <f t="shared" si="71"/>
        <v>100.32000000000001</v>
      </c>
      <c r="Z495" s="39">
        <f>IFERROR(IF(Y495=0,"",ROUNDUP(Y495/H495,0)*0.01196),"")</f>
        <v>0.22724</v>
      </c>
      <c r="AA495" s="65" t="s">
        <v>46</v>
      </c>
      <c r="AB495" s="66" t="s">
        <v>46</v>
      </c>
      <c r="AC495" s="577" t="s">
        <v>794</v>
      </c>
      <c r="AG495" s="75"/>
      <c r="AJ495" s="79" t="s">
        <v>46</v>
      </c>
      <c r="AK495" s="79">
        <v>0</v>
      </c>
      <c r="BB495" s="578" t="s">
        <v>67</v>
      </c>
      <c r="BM495" s="75">
        <f t="shared" si="72"/>
        <v>106.62878787878788</v>
      </c>
      <c r="BN495" s="75">
        <f t="shared" si="73"/>
        <v>106.97</v>
      </c>
      <c r="BO495" s="75">
        <f t="shared" si="74"/>
        <v>0.18210955710955709</v>
      </c>
      <c r="BP495" s="75">
        <f t="shared" si="75"/>
        <v>0.18269230769230771</v>
      </c>
    </row>
    <row r="496" spans="1:68" ht="27" customHeight="1" x14ac:dyDescent="0.25">
      <c r="A496" s="60" t="s">
        <v>795</v>
      </c>
      <c r="B496" s="60" t="s">
        <v>796</v>
      </c>
      <c r="C496" s="34">
        <v>4301011771</v>
      </c>
      <c r="D496" s="634">
        <v>4607091389104</v>
      </c>
      <c r="E496" s="63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124</v>
      </c>
      <c r="L496" s="35" t="s">
        <v>46</v>
      </c>
      <c r="M496" s="36" t="s">
        <v>123</v>
      </c>
      <c r="N496" s="36"/>
      <c r="O496" s="35">
        <v>60</v>
      </c>
      <c r="P496" s="65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36"/>
      <c r="R496" s="636"/>
      <c r="S496" s="636"/>
      <c r="T496" s="637"/>
      <c r="U496" s="37" t="s">
        <v>46</v>
      </c>
      <c r="V496" s="37" t="s">
        <v>46</v>
      </c>
      <c r="W496" s="38" t="s">
        <v>0</v>
      </c>
      <c r="X496" s="56">
        <v>100</v>
      </c>
      <c r="Y496" s="53">
        <f t="shared" si="71"/>
        <v>100.32000000000001</v>
      </c>
      <c r="Z496" s="39">
        <f>IFERROR(IF(Y496=0,"",ROUNDUP(Y496/H496,0)*0.01196),"")</f>
        <v>0.22724</v>
      </c>
      <c r="AA496" s="65" t="s">
        <v>46</v>
      </c>
      <c r="AB496" s="66" t="s">
        <v>46</v>
      </c>
      <c r="AC496" s="579" t="s">
        <v>797</v>
      </c>
      <c r="AG496" s="75"/>
      <c r="AJ496" s="79" t="s">
        <v>46</v>
      </c>
      <c r="AK496" s="79">
        <v>0</v>
      </c>
      <c r="BB496" s="580" t="s">
        <v>67</v>
      </c>
      <c r="BM496" s="75">
        <f t="shared" si="72"/>
        <v>106.62878787878788</v>
      </c>
      <c r="BN496" s="75">
        <f t="shared" si="73"/>
        <v>106.97</v>
      </c>
      <c r="BO496" s="75">
        <f t="shared" si="74"/>
        <v>0.18210955710955709</v>
      </c>
      <c r="BP496" s="75">
        <f t="shared" si="75"/>
        <v>0.18269230769230771</v>
      </c>
    </row>
    <row r="497" spans="1:68" ht="27" hidden="1" customHeight="1" x14ac:dyDescent="0.25">
      <c r="A497" s="60" t="s">
        <v>798</v>
      </c>
      <c r="B497" s="60" t="s">
        <v>799</v>
      </c>
      <c r="C497" s="34">
        <v>4301012125</v>
      </c>
      <c r="D497" s="634">
        <v>4680115886391</v>
      </c>
      <c r="E497" s="634"/>
      <c r="F497" s="59">
        <v>0.4</v>
      </c>
      <c r="G497" s="35">
        <v>6</v>
      </c>
      <c r="H497" s="59">
        <v>2.4</v>
      </c>
      <c r="I497" s="59">
        <v>2.58</v>
      </c>
      <c r="J497" s="35">
        <v>182</v>
      </c>
      <c r="K497" s="35" t="s">
        <v>88</v>
      </c>
      <c r="L497" s="35" t="s">
        <v>46</v>
      </c>
      <c r="M497" s="36" t="s">
        <v>87</v>
      </c>
      <c r="N497" s="36"/>
      <c r="O497" s="35">
        <v>60</v>
      </c>
      <c r="P497" s="65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36"/>
      <c r="R497" s="636"/>
      <c r="S497" s="636"/>
      <c r="T497" s="63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71"/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81" t="s">
        <v>122</v>
      </c>
      <c r="AG497" s="75"/>
      <c r="AJ497" s="79" t="s">
        <v>46</v>
      </c>
      <c r="AK497" s="79">
        <v>0</v>
      </c>
      <c r="BB497" s="582" t="s">
        <v>67</v>
      </c>
      <c r="BM497" s="75">
        <f t="shared" si="72"/>
        <v>0</v>
      </c>
      <c r="BN497" s="75">
        <f t="shared" si="73"/>
        <v>0</v>
      </c>
      <c r="BO497" s="75">
        <f t="shared" si="74"/>
        <v>0</v>
      </c>
      <c r="BP497" s="75">
        <f t="shared" si="75"/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4301012048</v>
      </c>
      <c r="D498" s="634">
        <v>4680115880603</v>
      </c>
      <c r="E498" s="634"/>
      <c r="F498" s="59">
        <v>0.6</v>
      </c>
      <c r="G498" s="35">
        <v>8</v>
      </c>
      <c r="H498" s="59">
        <v>4.8</v>
      </c>
      <c r="I498" s="59">
        <v>6.91</v>
      </c>
      <c r="J498" s="35">
        <v>132</v>
      </c>
      <c r="K498" s="35" t="s">
        <v>131</v>
      </c>
      <c r="L498" s="35" t="s">
        <v>46</v>
      </c>
      <c r="M498" s="36" t="s">
        <v>87</v>
      </c>
      <c r="N498" s="36"/>
      <c r="O498" s="35">
        <v>60</v>
      </c>
      <c r="P498" s="66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36"/>
      <c r="R498" s="636"/>
      <c r="S498" s="636"/>
      <c r="T498" s="63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71"/>
        <v>0</v>
      </c>
      <c r="Z498" s="39" t="str">
        <f>IFERROR(IF(Y498=0,"",ROUNDUP(Y498/H498,0)*0.00902),"")</f>
        <v/>
      </c>
      <c r="AA498" s="65" t="s">
        <v>46</v>
      </c>
      <c r="AB498" s="66" t="s">
        <v>46</v>
      </c>
      <c r="AC498" s="583" t="s">
        <v>122</v>
      </c>
      <c r="AG498" s="75"/>
      <c r="AJ498" s="79" t="s">
        <v>46</v>
      </c>
      <c r="AK498" s="79">
        <v>0</v>
      </c>
      <c r="BB498" s="584" t="s">
        <v>67</v>
      </c>
      <c r="BM498" s="75">
        <f t="shared" si="72"/>
        <v>0</v>
      </c>
      <c r="BN498" s="75">
        <f t="shared" si="73"/>
        <v>0</v>
      </c>
      <c r="BO498" s="75">
        <f t="shared" si="74"/>
        <v>0</v>
      </c>
      <c r="BP498" s="75">
        <f t="shared" si="75"/>
        <v>0</v>
      </c>
    </row>
    <row r="499" spans="1:68" ht="27" hidden="1" customHeight="1" x14ac:dyDescent="0.25">
      <c r="A499" s="60" t="s">
        <v>802</v>
      </c>
      <c r="B499" s="60" t="s">
        <v>803</v>
      </c>
      <c r="C499" s="34">
        <v>4301012034</v>
      </c>
      <c r="D499" s="634">
        <v>4607091389982</v>
      </c>
      <c r="E499" s="634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131</v>
      </c>
      <c r="L499" s="35" t="s">
        <v>46</v>
      </c>
      <c r="M499" s="36" t="s">
        <v>123</v>
      </c>
      <c r="N499" s="36"/>
      <c r="O499" s="35">
        <v>60</v>
      </c>
      <c r="P499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36"/>
      <c r="R499" s="636"/>
      <c r="S499" s="636"/>
      <c r="T499" s="63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71"/>
        <v>0</v>
      </c>
      <c r="Z499" s="39" t="str">
        <f>IFERROR(IF(Y499=0,"",ROUNDUP(Y499/H499,0)*0.00902),"")</f>
        <v/>
      </c>
      <c r="AA499" s="65" t="s">
        <v>46</v>
      </c>
      <c r="AB499" s="66" t="s">
        <v>46</v>
      </c>
      <c r="AC499" s="585" t="s">
        <v>797</v>
      </c>
      <c r="AG499" s="75"/>
      <c r="AJ499" s="79" t="s">
        <v>46</v>
      </c>
      <c r="AK499" s="79">
        <v>0</v>
      </c>
      <c r="BB499" s="586" t="s">
        <v>67</v>
      </c>
      <c r="BM499" s="75">
        <f t="shared" si="72"/>
        <v>0</v>
      </c>
      <c r="BN499" s="75">
        <f t="shared" si="73"/>
        <v>0</v>
      </c>
      <c r="BO499" s="75">
        <f t="shared" si="74"/>
        <v>0</v>
      </c>
      <c r="BP499" s="75">
        <f t="shared" si="75"/>
        <v>0</v>
      </c>
    </row>
    <row r="500" spans="1:68" x14ac:dyDescent="0.2">
      <c r="A500" s="628"/>
      <c r="B500" s="628"/>
      <c r="C500" s="628"/>
      <c r="D500" s="628"/>
      <c r="E500" s="628"/>
      <c r="F500" s="628"/>
      <c r="G500" s="628"/>
      <c r="H500" s="628"/>
      <c r="I500" s="628"/>
      <c r="J500" s="628"/>
      <c r="K500" s="628"/>
      <c r="L500" s="628"/>
      <c r="M500" s="628"/>
      <c r="N500" s="628"/>
      <c r="O500" s="629"/>
      <c r="P500" s="625" t="s">
        <v>40</v>
      </c>
      <c r="Q500" s="626"/>
      <c r="R500" s="626"/>
      <c r="S500" s="626"/>
      <c r="T500" s="626"/>
      <c r="U500" s="626"/>
      <c r="V500" s="627"/>
      <c r="W500" s="40" t="s">
        <v>39</v>
      </c>
      <c r="X500" s="41">
        <f>IFERROR(X492/H492,"0")+IFERROR(X493/H493,"0")+IFERROR(X494/H494,"0")+IFERROR(X495/H495,"0")+IFERROR(X496/H496,"0")+IFERROR(X497/H497,"0")+IFERROR(X498/H498,"0")+IFERROR(X499/H499,"0")</f>
        <v>47.348484848484844</v>
      </c>
      <c r="Y500" s="41">
        <f>IFERROR(Y492/H492,"0")+IFERROR(Y493/H493,"0")+IFERROR(Y494/H494,"0")+IFERROR(Y495/H495,"0")+IFERROR(Y496/H496,"0")+IFERROR(Y497/H497,"0")+IFERROR(Y498/H498,"0")+IFERROR(Y499/H499,"0")</f>
        <v>48</v>
      </c>
      <c r="Z500" s="41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0.57407999999999992</v>
      </c>
      <c r="AA500" s="64"/>
      <c r="AB500" s="64"/>
      <c r="AC500" s="64"/>
    </row>
    <row r="501" spans="1:68" x14ac:dyDescent="0.2">
      <c r="A501" s="628"/>
      <c r="B501" s="628"/>
      <c r="C501" s="628"/>
      <c r="D501" s="628"/>
      <c r="E501" s="628"/>
      <c r="F501" s="628"/>
      <c r="G501" s="628"/>
      <c r="H501" s="628"/>
      <c r="I501" s="628"/>
      <c r="J501" s="628"/>
      <c r="K501" s="628"/>
      <c r="L501" s="628"/>
      <c r="M501" s="628"/>
      <c r="N501" s="628"/>
      <c r="O501" s="629"/>
      <c r="P501" s="625" t="s">
        <v>40</v>
      </c>
      <c r="Q501" s="626"/>
      <c r="R501" s="626"/>
      <c r="S501" s="626"/>
      <c r="T501" s="626"/>
      <c r="U501" s="626"/>
      <c r="V501" s="627"/>
      <c r="W501" s="40" t="s">
        <v>0</v>
      </c>
      <c r="X501" s="41">
        <f>IFERROR(SUM(X492:X499),"0")</f>
        <v>250</v>
      </c>
      <c r="Y501" s="41">
        <f>IFERROR(SUM(Y492:Y499),"0")</f>
        <v>253.44</v>
      </c>
      <c r="Z501" s="40"/>
      <c r="AA501" s="64"/>
      <c r="AB501" s="64"/>
      <c r="AC501" s="64"/>
    </row>
    <row r="502" spans="1:68" ht="14.25" hidden="1" customHeight="1" x14ac:dyDescent="0.25">
      <c r="A502" s="639" t="s">
        <v>154</v>
      </c>
      <c r="B502" s="639"/>
      <c r="C502" s="639"/>
      <c r="D502" s="639"/>
      <c r="E502" s="639"/>
      <c r="F502" s="639"/>
      <c r="G502" s="639"/>
      <c r="H502" s="639"/>
      <c r="I502" s="639"/>
      <c r="J502" s="639"/>
      <c r="K502" s="639"/>
      <c r="L502" s="639"/>
      <c r="M502" s="639"/>
      <c r="N502" s="639"/>
      <c r="O502" s="639"/>
      <c r="P502" s="639"/>
      <c r="Q502" s="639"/>
      <c r="R502" s="639"/>
      <c r="S502" s="639"/>
      <c r="T502" s="639"/>
      <c r="U502" s="639"/>
      <c r="V502" s="639"/>
      <c r="W502" s="639"/>
      <c r="X502" s="639"/>
      <c r="Y502" s="639"/>
      <c r="Z502" s="639"/>
      <c r="AA502" s="63"/>
      <c r="AB502" s="63"/>
      <c r="AC502" s="63"/>
    </row>
    <row r="503" spans="1:68" ht="16.5" customHeight="1" x14ac:dyDescent="0.25">
      <c r="A503" s="60" t="s">
        <v>804</v>
      </c>
      <c r="B503" s="60" t="s">
        <v>805</v>
      </c>
      <c r="C503" s="34">
        <v>4301020334</v>
      </c>
      <c r="D503" s="634">
        <v>4607091388930</v>
      </c>
      <c r="E503" s="63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124</v>
      </c>
      <c r="L503" s="35" t="s">
        <v>46</v>
      </c>
      <c r="M503" s="36" t="s">
        <v>87</v>
      </c>
      <c r="N503" s="36"/>
      <c r="O503" s="35">
        <v>70</v>
      </c>
      <c r="P503" s="6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36"/>
      <c r="R503" s="636"/>
      <c r="S503" s="636"/>
      <c r="T503" s="637"/>
      <c r="U503" s="37" t="s">
        <v>46</v>
      </c>
      <c r="V503" s="37" t="s">
        <v>46</v>
      </c>
      <c r="W503" s="38" t="s">
        <v>0</v>
      </c>
      <c r="X503" s="56">
        <v>200</v>
      </c>
      <c r="Y503" s="53">
        <f>IFERROR(IF(X503="",0,CEILING((X503/$H503),1)*$H503),"")</f>
        <v>200.64000000000001</v>
      </c>
      <c r="Z503" s="39">
        <f>IFERROR(IF(Y503=0,"",ROUNDUP(Y503/H503,0)*0.01196),"")</f>
        <v>0.45448</v>
      </c>
      <c r="AA503" s="65" t="s">
        <v>46</v>
      </c>
      <c r="AB503" s="66" t="s">
        <v>46</v>
      </c>
      <c r="AC503" s="587" t="s">
        <v>806</v>
      </c>
      <c r="AG503" s="75"/>
      <c r="AJ503" s="79" t="s">
        <v>46</v>
      </c>
      <c r="AK503" s="79">
        <v>0</v>
      </c>
      <c r="BB503" s="588" t="s">
        <v>67</v>
      </c>
      <c r="BM503" s="75">
        <f>IFERROR(X503*I503/H503,"0")</f>
        <v>213.25757575757575</v>
      </c>
      <c r="BN503" s="75">
        <f>IFERROR(Y503*I503/H503,"0")</f>
        <v>213.94</v>
      </c>
      <c r="BO503" s="75">
        <f>IFERROR(1/J503*(X503/H503),"0")</f>
        <v>0.36421911421911418</v>
      </c>
      <c r="BP503" s="75">
        <f>IFERROR(1/J503*(Y503/H503),"0")</f>
        <v>0.36538461538461542</v>
      </c>
    </row>
    <row r="504" spans="1:68" ht="16.5" hidden="1" customHeight="1" x14ac:dyDescent="0.25">
      <c r="A504" s="60" t="s">
        <v>807</v>
      </c>
      <c r="B504" s="60" t="s">
        <v>808</v>
      </c>
      <c r="C504" s="34">
        <v>4301020374</v>
      </c>
      <c r="D504" s="634">
        <v>4680115886407</v>
      </c>
      <c r="E504" s="634"/>
      <c r="F504" s="59">
        <v>0.4</v>
      </c>
      <c r="G504" s="35">
        <v>6</v>
      </c>
      <c r="H504" s="59">
        <v>2.4</v>
      </c>
      <c r="I504" s="59">
        <v>2.58</v>
      </c>
      <c r="J504" s="35">
        <v>182</v>
      </c>
      <c r="K504" s="35" t="s">
        <v>88</v>
      </c>
      <c r="L504" s="35" t="s">
        <v>46</v>
      </c>
      <c r="M504" s="36" t="s">
        <v>123</v>
      </c>
      <c r="N504" s="36"/>
      <c r="O504" s="35">
        <v>70</v>
      </c>
      <c r="P504" s="65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36"/>
      <c r="R504" s="636"/>
      <c r="S504" s="636"/>
      <c r="T504" s="63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IFERROR(IF(Y504=0,"",ROUNDUP(Y504/H504,0)*0.00651),"")</f>
        <v/>
      </c>
      <c r="AA504" s="65" t="s">
        <v>46</v>
      </c>
      <c r="AB504" s="66" t="s">
        <v>46</v>
      </c>
      <c r="AC504" s="589" t="s">
        <v>806</v>
      </c>
      <c r="AG504" s="75"/>
      <c r="AJ504" s="79" t="s">
        <v>46</v>
      </c>
      <c r="AK504" s="79">
        <v>0</v>
      </c>
      <c r="BB504" s="590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t="16.5" hidden="1" customHeight="1" x14ac:dyDescent="0.25">
      <c r="A505" s="60" t="s">
        <v>809</v>
      </c>
      <c r="B505" s="60" t="s">
        <v>810</v>
      </c>
      <c r="C505" s="34">
        <v>4301020385</v>
      </c>
      <c r="D505" s="634">
        <v>4680115880054</v>
      </c>
      <c r="E505" s="634"/>
      <c r="F505" s="59">
        <v>0.6</v>
      </c>
      <c r="G505" s="35">
        <v>8</v>
      </c>
      <c r="H505" s="59">
        <v>4.8</v>
      </c>
      <c r="I505" s="59">
        <v>6.91</v>
      </c>
      <c r="J505" s="35">
        <v>132</v>
      </c>
      <c r="K505" s="35" t="s">
        <v>131</v>
      </c>
      <c r="L505" s="35" t="s">
        <v>46</v>
      </c>
      <c r="M505" s="36" t="s">
        <v>123</v>
      </c>
      <c r="N505" s="36"/>
      <c r="O505" s="35">
        <v>70</v>
      </c>
      <c r="P505" s="65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36"/>
      <c r="R505" s="636"/>
      <c r="S505" s="636"/>
      <c r="T505" s="637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IFERROR(IF(Y505=0,"",ROUNDUP(Y505/H505,0)*0.00902),"")</f>
        <v/>
      </c>
      <c r="AA505" s="65" t="s">
        <v>46</v>
      </c>
      <c r="AB505" s="66" t="s">
        <v>46</v>
      </c>
      <c r="AC505" s="591" t="s">
        <v>806</v>
      </c>
      <c r="AG505" s="75"/>
      <c r="AJ505" s="79" t="s">
        <v>46</v>
      </c>
      <c r="AK505" s="79">
        <v>0</v>
      </c>
      <c r="BB505" s="592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x14ac:dyDescent="0.2">
      <c r="A506" s="628"/>
      <c r="B506" s="628"/>
      <c r="C506" s="628"/>
      <c r="D506" s="628"/>
      <c r="E506" s="628"/>
      <c r="F506" s="628"/>
      <c r="G506" s="628"/>
      <c r="H506" s="628"/>
      <c r="I506" s="628"/>
      <c r="J506" s="628"/>
      <c r="K506" s="628"/>
      <c r="L506" s="628"/>
      <c r="M506" s="628"/>
      <c r="N506" s="628"/>
      <c r="O506" s="629"/>
      <c r="P506" s="625" t="s">
        <v>40</v>
      </c>
      <c r="Q506" s="626"/>
      <c r="R506" s="626"/>
      <c r="S506" s="626"/>
      <c r="T506" s="626"/>
      <c r="U506" s="626"/>
      <c r="V506" s="627"/>
      <c r="W506" s="40" t="s">
        <v>39</v>
      </c>
      <c r="X506" s="41">
        <f>IFERROR(X503/H503,"0")+IFERROR(X504/H504,"0")+IFERROR(X505/H505,"0")</f>
        <v>37.878787878787875</v>
      </c>
      <c r="Y506" s="41">
        <f>IFERROR(Y503/H503,"0")+IFERROR(Y504/H504,"0")+IFERROR(Y505/H505,"0")</f>
        <v>38</v>
      </c>
      <c r="Z506" s="41">
        <f>IFERROR(IF(Z503="",0,Z503),"0")+IFERROR(IF(Z504="",0,Z504),"0")+IFERROR(IF(Z505="",0,Z505),"0")</f>
        <v>0.45448</v>
      </c>
      <c r="AA506" s="64"/>
      <c r="AB506" s="64"/>
      <c r="AC506" s="64"/>
    </row>
    <row r="507" spans="1:68" x14ac:dyDescent="0.2">
      <c r="A507" s="628"/>
      <c r="B507" s="628"/>
      <c r="C507" s="628"/>
      <c r="D507" s="628"/>
      <c r="E507" s="628"/>
      <c r="F507" s="628"/>
      <c r="G507" s="628"/>
      <c r="H507" s="628"/>
      <c r="I507" s="628"/>
      <c r="J507" s="628"/>
      <c r="K507" s="628"/>
      <c r="L507" s="628"/>
      <c r="M507" s="628"/>
      <c r="N507" s="628"/>
      <c r="O507" s="629"/>
      <c r="P507" s="625" t="s">
        <v>40</v>
      </c>
      <c r="Q507" s="626"/>
      <c r="R507" s="626"/>
      <c r="S507" s="626"/>
      <c r="T507" s="626"/>
      <c r="U507" s="626"/>
      <c r="V507" s="627"/>
      <c r="W507" s="40" t="s">
        <v>0</v>
      </c>
      <c r="X507" s="41">
        <f>IFERROR(SUM(X503:X505),"0")</f>
        <v>200</v>
      </c>
      <c r="Y507" s="41">
        <f>IFERROR(SUM(Y503:Y505),"0")</f>
        <v>200.64000000000001</v>
      </c>
      <c r="Z507" s="40"/>
      <c r="AA507" s="64"/>
      <c r="AB507" s="64"/>
      <c r="AC507" s="64"/>
    </row>
    <row r="508" spans="1:68" ht="14.25" hidden="1" customHeight="1" x14ac:dyDescent="0.25">
      <c r="A508" s="639" t="s">
        <v>77</v>
      </c>
      <c r="B508" s="639"/>
      <c r="C508" s="639"/>
      <c r="D508" s="639"/>
      <c r="E508" s="639"/>
      <c r="F508" s="639"/>
      <c r="G508" s="639"/>
      <c r="H508" s="639"/>
      <c r="I508" s="639"/>
      <c r="J508" s="639"/>
      <c r="K508" s="639"/>
      <c r="L508" s="639"/>
      <c r="M508" s="639"/>
      <c r="N508" s="639"/>
      <c r="O508" s="639"/>
      <c r="P508" s="639"/>
      <c r="Q508" s="639"/>
      <c r="R508" s="639"/>
      <c r="S508" s="639"/>
      <c r="T508" s="639"/>
      <c r="U508" s="639"/>
      <c r="V508" s="639"/>
      <c r="W508" s="639"/>
      <c r="X508" s="639"/>
      <c r="Y508" s="639"/>
      <c r="Z508" s="639"/>
      <c r="AA508" s="63"/>
      <c r="AB508" s="63"/>
      <c r="AC508" s="63"/>
    </row>
    <row r="509" spans="1:68" ht="27" customHeight="1" x14ac:dyDescent="0.25">
      <c r="A509" s="60" t="s">
        <v>811</v>
      </c>
      <c r="B509" s="60" t="s">
        <v>812</v>
      </c>
      <c r="C509" s="34">
        <v>4301031349</v>
      </c>
      <c r="D509" s="634">
        <v>4680115883116</v>
      </c>
      <c r="E509" s="634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124</v>
      </c>
      <c r="L509" s="35" t="s">
        <v>46</v>
      </c>
      <c r="M509" s="36" t="s">
        <v>123</v>
      </c>
      <c r="N509" s="36"/>
      <c r="O509" s="35">
        <v>70</v>
      </c>
      <c r="P509" s="6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36"/>
      <c r="R509" s="636"/>
      <c r="S509" s="636"/>
      <c r="T509" s="637"/>
      <c r="U509" s="37" t="s">
        <v>46</v>
      </c>
      <c r="V509" s="37" t="s">
        <v>46</v>
      </c>
      <c r="W509" s="38" t="s">
        <v>0</v>
      </c>
      <c r="X509" s="56">
        <v>100</v>
      </c>
      <c r="Y509" s="53">
        <f t="shared" ref="Y509:Y515" si="76">IFERROR(IF(X509="",0,CEILING((X509/$H509),1)*$H509),"")</f>
        <v>100.32000000000001</v>
      </c>
      <c r="Z509" s="39">
        <f>IFERROR(IF(Y509=0,"",ROUNDUP(Y509/H509,0)*0.01196),"")</f>
        <v>0.22724</v>
      </c>
      <c r="AA509" s="65" t="s">
        <v>46</v>
      </c>
      <c r="AB509" s="66" t="s">
        <v>46</v>
      </c>
      <c r="AC509" s="593" t="s">
        <v>813</v>
      </c>
      <c r="AG509" s="75"/>
      <c r="AJ509" s="79" t="s">
        <v>46</v>
      </c>
      <c r="AK509" s="79">
        <v>0</v>
      </c>
      <c r="BB509" s="594" t="s">
        <v>67</v>
      </c>
      <c r="BM509" s="75">
        <f t="shared" ref="BM509:BM515" si="77">IFERROR(X509*I509/H509,"0")</f>
        <v>106.62878787878788</v>
      </c>
      <c r="BN509" s="75">
        <f t="shared" ref="BN509:BN515" si="78">IFERROR(Y509*I509/H509,"0")</f>
        <v>106.97</v>
      </c>
      <c r="BO509" s="75">
        <f t="shared" ref="BO509:BO515" si="79">IFERROR(1/J509*(X509/H509),"0")</f>
        <v>0.18210955710955709</v>
      </c>
      <c r="BP509" s="75">
        <f t="shared" ref="BP509:BP515" si="80">IFERROR(1/J509*(Y509/H509),"0")</f>
        <v>0.18269230769230771</v>
      </c>
    </row>
    <row r="510" spans="1:68" ht="27" customHeight="1" x14ac:dyDescent="0.25">
      <c r="A510" s="60" t="s">
        <v>814</v>
      </c>
      <c r="B510" s="60" t="s">
        <v>815</v>
      </c>
      <c r="C510" s="34">
        <v>4301031350</v>
      </c>
      <c r="D510" s="634">
        <v>4680115883093</v>
      </c>
      <c r="E510" s="634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124</v>
      </c>
      <c r="L510" s="35" t="s">
        <v>46</v>
      </c>
      <c r="M510" s="36" t="s">
        <v>81</v>
      </c>
      <c r="N510" s="36"/>
      <c r="O510" s="35">
        <v>70</v>
      </c>
      <c r="P510" s="6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36"/>
      <c r="R510" s="636"/>
      <c r="S510" s="636"/>
      <c r="T510" s="637"/>
      <c r="U510" s="37" t="s">
        <v>46</v>
      </c>
      <c r="V510" s="37" t="s">
        <v>46</v>
      </c>
      <c r="W510" s="38" t="s">
        <v>0</v>
      </c>
      <c r="X510" s="56">
        <v>100</v>
      </c>
      <c r="Y510" s="53">
        <f t="shared" si="76"/>
        <v>100.32000000000001</v>
      </c>
      <c r="Z510" s="39">
        <f>IFERROR(IF(Y510=0,"",ROUNDUP(Y510/H510,0)*0.01196),"")</f>
        <v>0.22724</v>
      </c>
      <c r="AA510" s="65" t="s">
        <v>46</v>
      </c>
      <c r="AB510" s="66" t="s">
        <v>46</v>
      </c>
      <c r="AC510" s="595" t="s">
        <v>816</v>
      </c>
      <c r="AG510" s="75"/>
      <c r="AJ510" s="79" t="s">
        <v>46</v>
      </c>
      <c r="AK510" s="79">
        <v>0</v>
      </c>
      <c r="BB510" s="596" t="s">
        <v>67</v>
      </c>
      <c r="BM510" s="75">
        <f t="shared" si="77"/>
        <v>106.62878787878788</v>
      </c>
      <c r="BN510" s="75">
        <f t="shared" si="78"/>
        <v>106.97</v>
      </c>
      <c r="BO510" s="75">
        <f t="shared" si="79"/>
        <v>0.18210955710955709</v>
      </c>
      <c r="BP510" s="75">
        <f t="shared" si="80"/>
        <v>0.18269230769230771</v>
      </c>
    </row>
    <row r="511" spans="1:68" ht="27" customHeight="1" x14ac:dyDescent="0.25">
      <c r="A511" s="60" t="s">
        <v>817</v>
      </c>
      <c r="B511" s="60" t="s">
        <v>818</v>
      </c>
      <c r="C511" s="34">
        <v>4301031353</v>
      </c>
      <c r="D511" s="634">
        <v>4680115883109</v>
      </c>
      <c r="E511" s="63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124</v>
      </c>
      <c r="L511" s="35" t="s">
        <v>46</v>
      </c>
      <c r="M511" s="36" t="s">
        <v>81</v>
      </c>
      <c r="N511" s="36"/>
      <c r="O511" s="35">
        <v>70</v>
      </c>
      <c r="P511" s="6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36"/>
      <c r="R511" s="636"/>
      <c r="S511" s="636"/>
      <c r="T511" s="637"/>
      <c r="U511" s="37" t="s">
        <v>46</v>
      </c>
      <c r="V511" s="37" t="s">
        <v>46</v>
      </c>
      <c r="W511" s="38" t="s">
        <v>0</v>
      </c>
      <c r="X511" s="56">
        <v>30</v>
      </c>
      <c r="Y511" s="53">
        <f t="shared" si="76"/>
        <v>31.68</v>
      </c>
      <c r="Z511" s="39">
        <f>IFERROR(IF(Y511=0,"",ROUNDUP(Y511/H511,0)*0.01196),"")</f>
        <v>7.1760000000000004E-2</v>
      </c>
      <c r="AA511" s="65" t="s">
        <v>46</v>
      </c>
      <c r="AB511" s="66" t="s">
        <v>46</v>
      </c>
      <c r="AC511" s="597" t="s">
        <v>819</v>
      </c>
      <c r="AG511" s="75"/>
      <c r="AJ511" s="79" t="s">
        <v>46</v>
      </c>
      <c r="AK511" s="79">
        <v>0</v>
      </c>
      <c r="BB511" s="598" t="s">
        <v>67</v>
      </c>
      <c r="BM511" s="75">
        <f t="shared" si="77"/>
        <v>31.988636363636363</v>
      </c>
      <c r="BN511" s="75">
        <f t="shared" si="78"/>
        <v>33.779999999999994</v>
      </c>
      <c r="BO511" s="75">
        <f t="shared" si="79"/>
        <v>5.4632867132867136E-2</v>
      </c>
      <c r="BP511" s="75">
        <f t="shared" si="80"/>
        <v>5.7692307692307696E-2</v>
      </c>
    </row>
    <row r="512" spans="1:68" ht="27" hidden="1" customHeight="1" x14ac:dyDescent="0.25">
      <c r="A512" s="60" t="s">
        <v>820</v>
      </c>
      <c r="B512" s="60" t="s">
        <v>821</v>
      </c>
      <c r="C512" s="34">
        <v>4301031419</v>
      </c>
      <c r="D512" s="634">
        <v>4680115882072</v>
      </c>
      <c r="E512" s="634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131</v>
      </c>
      <c r="L512" s="35" t="s">
        <v>46</v>
      </c>
      <c r="M512" s="36" t="s">
        <v>123</v>
      </c>
      <c r="N512" s="36"/>
      <c r="O512" s="35">
        <v>70</v>
      </c>
      <c r="P512" s="6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36"/>
      <c r="R512" s="636"/>
      <c r="S512" s="636"/>
      <c r="T512" s="637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6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599" t="s">
        <v>813</v>
      </c>
      <c r="AG512" s="75"/>
      <c r="AJ512" s="79" t="s">
        <v>46</v>
      </c>
      <c r="AK512" s="79">
        <v>0</v>
      </c>
      <c r="BB512" s="600" t="s">
        <v>67</v>
      </c>
      <c r="BM512" s="75">
        <f t="shared" si="77"/>
        <v>0</v>
      </c>
      <c r="BN512" s="75">
        <f t="shared" si="78"/>
        <v>0</v>
      </c>
      <c r="BO512" s="75">
        <f t="shared" si="79"/>
        <v>0</v>
      </c>
      <c r="BP512" s="75">
        <f t="shared" si="80"/>
        <v>0</v>
      </c>
    </row>
    <row r="513" spans="1:68" ht="27" hidden="1" customHeight="1" x14ac:dyDescent="0.25">
      <c r="A513" s="60" t="s">
        <v>822</v>
      </c>
      <c r="B513" s="60" t="s">
        <v>823</v>
      </c>
      <c r="C513" s="34">
        <v>4301031352</v>
      </c>
      <c r="D513" s="634">
        <v>4680115882102</v>
      </c>
      <c r="E513" s="634"/>
      <c r="F513" s="59">
        <v>0.6</v>
      </c>
      <c r="G513" s="35">
        <v>6</v>
      </c>
      <c r="H513" s="59">
        <v>3.6</v>
      </c>
      <c r="I513" s="59">
        <v>3.79</v>
      </c>
      <c r="J513" s="35">
        <v>132</v>
      </c>
      <c r="K513" s="35" t="s">
        <v>131</v>
      </c>
      <c r="L513" s="35" t="s">
        <v>46</v>
      </c>
      <c r="M513" s="36" t="s">
        <v>81</v>
      </c>
      <c r="N513" s="36"/>
      <c r="O513" s="35">
        <v>70</v>
      </c>
      <c r="P513" s="64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36"/>
      <c r="R513" s="636"/>
      <c r="S513" s="636"/>
      <c r="T513" s="63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6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01" t="s">
        <v>816</v>
      </c>
      <c r="AG513" s="75"/>
      <c r="AJ513" s="79" t="s">
        <v>46</v>
      </c>
      <c r="AK513" s="79">
        <v>0</v>
      </c>
      <c r="BB513" s="602" t="s">
        <v>67</v>
      </c>
      <c r="BM513" s="75">
        <f t="shared" si="77"/>
        <v>0</v>
      </c>
      <c r="BN513" s="75">
        <f t="shared" si="78"/>
        <v>0</v>
      </c>
      <c r="BO513" s="75">
        <f t="shared" si="79"/>
        <v>0</v>
      </c>
      <c r="BP513" s="75">
        <f t="shared" si="80"/>
        <v>0</v>
      </c>
    </row>
    <row r="514" spans="1:68" ht="27" hidden="1" customHeight="1" x14ac:dyDescent="0.25">
      <c r="A514" s="60" t="s">
        <v>822</v>
      </c>
      <c r="B514" s="60" t="s">
        <v>824</v>
      </c>
      <c r="C514" s="34">
        <v>4301031418</v>
      </c>
      <c r="D514" s="634">
        <v>4680115882102</v>
      </c>
      <c r="E514" s="634"/>
      <c r="F514" s="59">
        <v>0.6</v>
      </c>
      <c r="G514" s="35">
        <v>8</v>
      </c>
      <c r="H514" s="59">
        <v>4.8</v>
      </c>
      <c r="I514" s="59">
        <v>6.67</v>
      </c>
      <c r="J514" s="35">
        <v>132</v>
      </c>
      <c r="K514" s="35" t="s">
        <v>131</v>
      </c>
      <c r="L514" s="35" t="s">
        <v>46</v>
      </c>
      <c r="M514" s="36" t="s">
        <v>81</v>
      </c>
      <c r="N514" s="36"/>
      <c r="O514" s="35">
        <v>70</v>
      </c>
      <c r="P514" s="64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36"/>
      <c r="R514" s="636"/>
      <c r="S514" s="636"/>
      <c r="T514" s="63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76"/>
        <v>0</v>
      </c>
      <c r="Z514" s="39" t="str">
        <f>IFERROR(IF(Y514=0,"",ROUNDUP(Y514/H514,0)*0.00902),"")</f>
        <v/>
      </c>
      <c r="AA514" s="65" t="s">
        <v>46</v>
      </c>
      <c r="AB514" s="66" t="s">
        <v>46</v>
      </c>
      <c r="AC514" s="603" t="s">
        <v>816</v>
      </c>
      <c r="AG514" s="75"/>
      <c r="AJ514" s="79" t="s">
        <v>46</v>
      </c>
      <c r="AK514" s="79">
        <v>0</v>
      </c>
      <c r="BB514" s="604" t="s">
        <v>67</v>
      </c>
      <c r="BM514" s="75">
        <f t="shared" si="77"/>
        <v>0</v>
      </c>
      <c r="BN514" s="75">
        <f t="shared" si="78"/>
        <v>0</v>
      </c>
      <c r="BO514" s="75">
        <f t="shared" si="79"/>
        <v>0</v>
      </c>
      <c r="BP514" s="75">
        <f t="shared" si="80"/>
        <v>0</v>
      </c>
    </row>
    <row r="515" spans="1:68" ht="27" hidden="1" customHeight="1" x14ac:dyDescent="0.25">
      <c r="A515" s="60" t="s">
        <v>825</v>
      </c>
      <c r="B515" s="60" t="s">
        <v>826</v>
      </c>
      <c r="C515" s="34">
        <v>4301031417</v>
      </c>
      <c r="D515" s="634">
        <v>4680115882096</v>
      </c>
      <c r="E515" s="634"/>
      <c r="F515" s="59">
        <v>0.6</v>
      </c>
      <c r="G515" s="35">
        <v>8</v>
      </c>
      <c r="H515" s="59">
        <v>4.8</v>
      </c>
      <c r="I515" s="59">
        <v>6.67</v>
      </c>
      <c r="J515" s="35">
        <v>132</v>
      </c>
      <c r="K515" s="35" t="s">
        <v>131</v>
      </c>
      <c r="L515" s="35" t="s">
        <v>46</v>
      </c>
      <c r="M515" s="36" t="s">
        <v>81</v>
      </c>
      <c r="N515" s="36"/>
      <c r="O515" s="35">
        <v>70</v>
      </c>
      <c r="P515" s="65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36"/>
      <c r="R515" s="636"/>
      <c r="S515" s="636"/>
      <c r="T515" s="63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76"/>
        <v>0</v>
      </c>
      <c r="Z515" s="39" t="str">
        <f>IFERROR(IF(Y515=0,"",ROUNDUP(Y515/H515,0)*0.00902),"")</f>
        <v/>
      </c>
      <c r="AA515" s="65" t="s">
        <v>46</v>
      </c>
      <c r="AB515" s="66" t="s">
        <v>46</v>
      </c>
      <c r="AC515" s="605" t="s">
        <v>819</v>
      </c>
      <c r="AG515" s="75"/>
      <c r="AJ515" s="79" t="s">
        <v>46</v>
      </c>
      <c r="AK515" s="79">
        <v>0</v>
      </c>
      <c r="BB515" s="606" t="s">
        <v>67</v>
      </c>
      <c r="BM515" s="75">
        <f t="shared" si="77"/>
        <v>0</v>
      </c>
      <c r="BN515" s="75">
        <f t="shared" si="78"/>
        <v>0</v>
      </c>
      <c r="BO515" s="75">
        <f t="shared" si="79"/>
        <v>0</v>
      </c>
      <c r="BP515" s="75">
        <f t="shared" si="80"/>
        <v>0</v>
      </c>
    </row>
    <row r="516" spans="1:68" x14ac:dyDescent="0.2">
      <c r="A516" s="628"/>
      <c r="B516" s="628"/>
      <c r="C516" s="628"/>
      <c r="D516" s="628"/>
      <c r="E516" s="628"/>
      <c r="F516" s="628"/>
      <c r="G516" s="628"/>
      <c r="H516" s="628"/>
      <c r="I516" s="628"/>
      <c r="J516" s="628"/>
      <c r="K516" s="628"/>
      <c r="L516" s="628"/>
      <c r="M516" s="628"/>
      <c r="N516" s="628"/>
      <c r="O516" s="629"/>
      <c r="P516" s="625" t="s">
        <v>40</v>
      </c>
      <c r="Q516" s="626"/>
      <c r="R516" s="626"/>
      <c r="S516" s="626"/>
      <c r="T516" s="626"/>
      <c r="U516" s="626"/>
      <c r="V516" s="627"/>
      <c r="W516" s="40" t="s">
        <v>39</v>
      </c>
      <c r="X516" s="41">
        <f>IFERROR(X509/H509,"0")+IFERROR(X510/H510,"0")+IFERROR(X511/H511,"0")+IFERROR(X512/H512,"0")+IFERROR(X513/H513,"0")+IFERROR(X514/H514,"0")+IFERROR(X515/H515,"0")</f>
        <v>43.560606060606055</v>
      </c>
      <c r="Y516" s="41">
        <f>IFERROR(Y509/H509,"0")+IFERROR(Y510/H510,"0")+IFERROR(Y511/H511,"0")+IFERROR(Y512/H512,"0")+IFERROR(Y513/H513,"0")+IFERROR(Y514/H514,"0")+IFERROR(Y515/H515,"0")</f>
        <v>44</v>
      </c>
      <c r="Z516" s="41">
        <f>IFERROR(IF(Z509="",0,Z509),"0")+IFERROR(IF(Z510="",0,Z510),"0")+IFERROR(IF(Z511="",0,Z511),"0")+IFERROR(IF(Z512="",0,Z512),"0")+IFERROR(IF(Z513="",0,Z513),"0")+IFERROR(IF(Z514="",0,Z514),"0")+IFERROR(IF(Z515="",0,Z515),"0")</f>
        <v>0.52624000000000004</v>
      </c>
      <c r="AA516" s="64"/>
      <c r="AB516" s="64"/>
      <c r="AC516" s="64"/>
    </row>
    <row r="517" spans="1:68" x14ac:dyDescent="0.2">
      <c r="A517" s="628"/>
      <c r="B517" s="628"/>
      <c r="C517" s="628"/>
      <c r="D517" s="628"/>
      <c r="E517" s="628"/>
      <c r="F517" s="628"/>
      <c r="G517" s="628"/>
      <c r="H517" s="628"/>
      <c r="I517" s="628"/>
      <c r="J517" s="628"/>
      <c r="K517" s="628"/>
      <c r="L517" s="628"/>
      <c r="M517" s="628"/>
      <c r="N517" s="628"/>
      <c r="O517" s="629"/>
      <c r="P517" s="625" t="s">
        <v>40</v>
      </c>
      <c r="Q517" s="626"/>
      <c r="R517" s="626"/>
      <c r="S517" s="626"/>
      <c r="T517" s="626"/>
      <c r="U517" s="626"/>
      <c r="V517" s="627"/>
      <c r="W517" s="40" t="s">
        <v>0</v>
      </c>
      <c r="X517" s="41">
        <f>IFERROR(SUM(X509:X515),"0")</f>
        <v>230</v>
      </c>
      <c r="Y517" s="41">
        <f>IFERROR(SUM(Y509:Y515),"0")</f>
        <v>232.32000000000002</v>
      </c>
      <c r="Z517" s="40"/>
      <c r="AA517" s="64"/>
      <c r="AB517" s="64"/>
      <c r="AC517" s="64"/>
    </row>
    <row r="518" spans="1:68" ht="27.75" hidden="1" customHeight="1" x14ac:dyDescent="0.2">
      <c r="A518" s="645" t="s">
        <v>827</v>
      </c>
      <c r="B518" s="645"/>
      <c r="C518" s="645"/>
      <c r="D518" s="645"/>
      <c r="E518" s="645"/>
      <c r="F518" s="645"/>
      <c r="G518" s="645"/>
      <c r="H518" s="645"/>
      <c r="I518" s="645"/>
      <c r="J518" s="645"/>
      <c r="K518" s="645"/>
      <c r="L518" s="645"/>
      <c r="M518" s="645"/>
      <c r="N518" s="645"/>
      <c r="O518" s="645"/>
      <c r="P518" s="645"/>
      <c r="Q518" s="645"/>
      <c r="R518" s="645"/>
      <c r="S518" s="645"/>
      <c r="T518" s="645"/>
      <c r="U518" s="645"/>
      <c r="V518" s="645"/>
      <c r="W518" s="645"/>
      <c r="X518" s="645"/>
      <c r="Y518" s="645"/>
      <c r="Z518" s="645"/>
      <c r="AA518" s="52"/>
      <c r="AB518" s="52"/>
      <c r="AC518" s="52"/>
    </row>
    <row r="519" spans="1:68" ht="16.5" hidden="1" customHeight="1" x14ac:dyDescent="0.25">
      <c r="A519" s="638" t="s">
        <v>827</v>
      </c>
      <c r="B519" s="638"/>
      <c r="C519" s="638"/>
      <c r="D519" s="638"/>
      <c r="E519" s="638"/>
      <c r="F519" s="638"/>
      <c r="G519" s="638"/>
      <c r="H519" s="638"/>
      <c r="I519" s="638"/>
      <c r="J519" s="638"/>
      <c r="K519" s="638"/>
      <c r="L519" s="638"/>
      <c r="M519" s="638"/>
      <c r="N519" s="638"/>
      <c r="O519" s="638"/>
      <c r="P519" s="638"/>
      <c r="Q519" s="638"/>
      <c r="R519" s="638"/>
      <c r="S519" s="638"/>
      <c r="T519" s="638"/>
      <c r="U519" s="638"/>
      <c r="V519" s="638"/>
      <c r="W519" s="638"/>
      <c r="X519" s="638"/>
      <c r="Y519" s="638"/>
      <c r="Z519" s="638"/>
      <c r="AA519" s="62"/>
      <c r="AB519" s="62"/>
      <c r="AC519" s="62"/>
    </row>
    <row r="520" spans="1:68" ht="14.25" hidden="1" customHeight="1" x14ac:dyDescent="0.25">
      <c r="A520" s="639" t="s">
        <v>119</v>
      </c>
      <c r="B520" s="639"/>
      <c r="C520" s="639"/>
      <c r="D520" s="639"/>
      <c r="E520" s="639"/>
      <c r="F520" s="639"/>
      <c r="G520" s="639"/>
      <c r="H520" s="639"/>
      <c r="I520" s="639"/>
      <c r="J520" s="639"/>
      <c r="K520" s="639"/>
      <c r="L520" s="639"/>
      <c r="M520" s="639"/>
      <c r="N520" s="639"/>
      <c r="O520" s="639"/>
      <c r="P520" s="639"/>
      <c r="Q520" s="639"/>
      <c r="R520" s="639"/>
      <c r="S520" s="639"/>
      <c r="T520" s="639"/>
      <c r="U520" s="639"/>
      <c r="V520" s="639"/>
      <c r="W520" s="639"/>
      <c r="X520" s="639"/>
      <c r="Y520" s="639"/>
      <c r="Z520" s="639"/>
      <c r="AA520" s="63"/>
      <c r="AB520" s="63"/>
      <c r="AC520" s="63"/>
    </row>
    <row r="521" spans="1:68" ht="27" hidden="1" customHeight="1" x14ac:dyDescent="0.25">
      <c r="A521" s="60" t="s">
        <v>828</v>
      </c>
      <c r="B521" s="60" t="s">
        <v>829</v>
      </c>
      <c r="C521" s="34">
        <v>4301012386</v>
      </c>
      <c r="D521" s="634">
        <v>4680115889736</v>
      </c>
      <c r="E521" s="634"/>
      <c r="F521" s="59">
        <v>1.5</v>
      </c>
      <c r="G521" s="35">
        <v>8</v>
      </c>
      <c r="H521" s="59">
        <v>12</v>
      </c>
      <c r="I521" s="59">
        <v>12.41</v>
      </c>
      <c r="J521" s="35">
        <v>64</v>
      </c>
      <c r="K521" s="35" t="s">
        <v>124</v>
      </c>
      <c r="L521" s="35" t="s">
        <v>46</v>
      </c>
      <c r="M521" s="36" t="s">
        <v>123</v>
      </c>
      <c r="N521" s="36"/>
      <c r="O521" s="35">
        <v>50</v>
      </c>
      <c r="P521" s="64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36"/>
      <c r="R521" s="636"/>
      <c r="S521" s="636"/>
      <c r="T521" s="637"/>
      <c r="U521" s="37" t="s">
        <v>46</v>
      </c>
      <c r="V521" s="37" t="s">
        <v>46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46</v>
      </c>
      <c r="AB521" s="66" t="s">
        <v>46</v>
      </c>
      <c r="AC521" s="607" t="s">
        <v>830</v>
      </c>
      <c r="AG521" s="75"/>
      <c r="AJ521" s="79" t="s">
        <v>46</v>
      </c>
      <c r="AK521" s="79">
        <v>0</v>
      </c>
      <c r="BB521" s="608" t="s">
        <v>67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0" t="s">
        <v>39</v>
      </c>
      <c r="X522" s="41">
        <f>IFERROR(X521/H521,"0")</f>
        <v>0</v>
      </c>
      <c r="Y522" s="41">
        <f>IFERROR(Y521/H521,"0")</f>
        <v>0</v>
      </c>
      <c r="Z522" s="41">
        <f>IFERROR(IF(Z521="",0,Z521),"0")</f>
        <v>0</v>
      </c>
      <c r="AA522" s="64"/>
      <c r="AB522" s="64"/>
      <c r="AC522" s="64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0" t="s">
        <v>0</v>
      </c>
      <c r="X523" s="41">
        <f>IFERROR(SUM(X521:X521),"0")</f>
        <v>0</v>
      </c>
      <c r="Y523" s="41">
        <f>IFERROR(SUM(Y521:Y521),"0")</f>
        <v>0</v>
      </c>
      <c r="Z523" s="40"/>
      <c r="AA523" s="64"/>
      <c r="AB523" s="64"/>
      <c r="AC523" s="64"/>
    </row>
    <row r="524" spans="1:68" ht="14.25" hidden="1" customHeight="1" x14ac:dyDescent="0.25">
      <c r="A524" s="639" t="s">
        <v>154</v>
      </c>
      <c r="B524" s="639"/>
      <c r="C524" s="639"/>
      <c r="D524" s="639"/>
      <c r="E524" s="639"/>
      <c r="F524" s="639"/>
      <c r="G524" s="639"/>
      <c r="H524" s="639"/>
      <c r="I524" s="639"/>
      <c r="J524" s="639"/>
      <c r="K524" s="639"/>
      <c r="L524" s="639"/>
      <c r="M524" s="639"/>
      <c r="N524" s="639"/>
      <c r="O524" s="639"/>
      <c r="P524" s="639"/>
      <c r="Q524" s="639"/>
      <c r="R524" s="639"/>
      <c r="S524" s="639"/>
      <c r="T524" s="639"/>
      <c r="U524" s="639"/>
      <c r="V524" s="639"/>
      <c r="W524" s="639"/>
      <c r="X524" s="639"/>
      <c r="Y524" s="639"/>
      <c r="Z524" s="639"/>
      <c r="AA524" s="63"/>
      <c r="AB524" s="63"/>
      <c r="AC524" s="63"/>
    </row>
    <row r="525" spans="1:68" ht="27" hidden="1" customHeight="1" x14ac:dyDescent="0.25">
      <c r="A525" s="60" t="s">
        <v>831</v>
      </c>
      <c r="B525" s="60" t="s">
        <v>832</v>
      </c>
      <c r="C525" s="34">
        <v>4301020444</v>
      </c>
      <c r="D525" s="634">
        <v>4680115889781</v>
      </c>
      <c r="E525" s="63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124</v>
      </c>
      <c r="L525" s="35" t="s">
        <v>46</v>
      </c>
      <c r="M525" s="36" t="s">
        <v>87</v>
      </c>
      <c r="N525" s="36"/>
      <c r="O525" s="35">
        <v>50</v>
      </c>
      <c r="P525" s="64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36"/>
      <c r="R525" s="636"/>
      <c r="S525" s="636"/>
      <c r="T525" s="63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09" t="s">
        <v>712</v>
      </c>
      <c r="AG525" s="75"/>
      <c r="AJ525" s="79" t="s">
        <v>46</v>
      </c>
      <c r="AK525" s="79">
        <v>0</v>
      </c>
      <c r="BB525" s="610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628"/>
      <c r="B526" s="628"/>
      <c r="C526" s="628"/>
      <c r="D526" s="628"/>
      <c r="E526" s="628"/>
      <c r="F526" s="628"/>
      <c r="G526" s="628"/>
      <c r="H526" s="628"/>
      <c r="I526" s="628"/>
      <c r="J526" s="628"/>
      <c r="K526" s="628"/>
      <c r="L526" s="628"/>
      <c r="M526" s="628"/>
      <c r="N526" s="628"/>
      <c r="O526" s="629"/>
      <c r="P526" s="625" t="s">
        <v>40</v>
      </c>
      <c r="Q526" s="626"/>
      <c r="R526" s="626"/>
      <c r="S526" s="626"/>
      <c r="T526" s="626"/>
      <c r="U526" s="626"/>
      <c r="V526" s="62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39" t="s">
        <v>77</v>
      </c>
      <c r="B528" s="639"/>
      <c r="C528" s="639"/>
      <c r="D528" s="639"/>
      <c r="E528" s="639"/>
      <c r="F528" s="639"/>
      <c r="G528" s="639"/>
      <c r="H528" s="639"/>
      <c r="I528" s="639"/>
      <c r="J528" s="639"/>
      <c r="K528" s="639"/>
      <c r="L528" s="639"/>
      <c r="M528" s="639"/>
      <c r="N528" s="639"/>
      <c r="O528" s="639"/>
      <c r="P528" s="639"/>
      <c r="Q528" s="639"/>
      <c r="R528" s="639"/>
      <c r="S528" s="639"/>
      <c r="T528" s="639"/>
      <c r="U528" s="639"/>
      <c r="V528" s="639"/>
      <c r="W528" s="639"/>
      <c r="X528" s="639"/>
      <c r="Y528" s="639"/>
      <c r="Z528" s="639"/>
      <c r="AA528" s="63"/>
      <c r="AB528" s="63"/>
      <c r="AC528" s="63"/>
    </row>
    <row r="529" spans="1:68" ht="27" hidden="1" customHeight="1" x14ac:dyDescent="0.25">
      <c r="A529" s="60" t="s">
        <v>833</v>
      </c>
      <c r="B529" s="60" t="s">
        <v>834</v>
      </c>
      <c r="C529" s="34">
        <v>4301031523</v>
      </c>
      <c r="D529" s="634">
        <v>4680115889774</v>
      </c>
      <c r="E529" s="634"/>
      <c r="F529" s="59">
        <v>0.7</v>
      </c>
      <c r="G529" s="35">
        <v>6</v>
      </c>
      <c r="H529" s="59">
        <v>4.2</v>
      </c>
      <c r="I529" s="59">
        <v>4.45</v>
      </c>
      <c r="J529" s="35">
        <v>132</v>
      </c>
      <c r="K529" s="35" t="s">
        <v>131</v>
      </c>
      <c r="L529" s="35" t="s">
        <v>46</v>
      </c>
      <c r="M529" s="36" t="s">
        <v>81</v>
      </c>
      <c r="N529" s="36"/>
      <c r="O529" s="35">
        <v>40</v>
      </c>
      <c r="P529" s="644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36"/>
      <c r="R529" s="636"/>
      <c r="S529" s="636"/>
      <c r="T529" s="63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11" t="s">
        <v>835</v>
      </c>
      <c r="AG529" s="75"/>
      <c r="AJ529" s="79" t="s">
        <v>46</v>
      </c>
      <c r="AK529" s="79">
        <v>0</v>
      </c>
      <c r="BB529" s="612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28"/>
      <c r="B530" s="628"/>
      <c r="C530" s="628"/>
      <c r="D530" s="628"/>
      <c r="E530" s="628"/>
      <c r="F530" s="628"/>
      <c r="G530" s="628"/>
      <c r="H530" s="628"/>
      <c r="I530" s="628"/>
      <c r="J530" s="628"/>
      <c r="K530" s="628"/>
      <c r="L530" s="628"/>
      <c r="M530" s="628"/>
      <c r="N530" s="628"/>
      <c r="O530" s="629"/>
      <c r="P530" s="625" t="s">
        <v>40</v>
      </c>
      <c r="Q530" s="626"/>
      <c r="R530" s="626"/>
      <c r="S530" s="626"/>
      <c r="T530" s="626"/>
      <c r="U530" s="626"/>
      <c r="V530" s="62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28"/>
      <c r="B531" s="628"/>
      <c r="C531" s="628"/>
      <c r="D531" s="628"/>
      <c r="E531" s="628"/>
      <c r="F531" s="628"/>
      <c r="G531" s="628"/>
      <c r="H531" s="628"/>
      <c r="I531" s="628"/>
      <c r="J531" s="628"/>
      <c r="K531" s="628"/>
      <c r="L531" s="628"/>
      <c r="M531" s="628"/>
      <c r="N531" s="628"/>
      <c r="O531" s="629"/>
      <c r="P531" s="625" t="s">
        <v>40</v>
      </c>
      <c r="Q531" s="626"/>
      <c r="R531" s="626"/>
      <c r="S531" s="626"/>
      <c r="T531" s="626"/>
      <c r="U531" s="626"/>
      <c r="V531" s="62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39" t="s">
        <v>83</v>
      </c>
      <c r="B532" s="639"/>
      <c r="C532" s="639"/>
      <c r="D532" s="639"/>
      <c r="E532" s="639"/>
      <c r="F532" s="639"/>
      <c r="G532" s="639"/>
      <c r="H532" s="639"/>
      <c r="I532" s="639"/>
      <c r="J532" s="639"/>
      <c r="K532" s="639"/>
      <c r="L532" s="639"/>
      <c r="M532" s="639"/>
      <c r="N532" s="639"/>
      <c r="O532" s="639"/>
      <c r="P532" s="639"/>
      <c r="Q532" s="639"/>
      <c r="R532" s="639"/>
      <c r="S532" s="639"/>
      <c r="T532" s="639"/>
      <c r="U532" s="639"/>
      <c r="V532" s="639"/>
      <c r="W532" s="639"/>
      <c r="X532" s="639"/>
      <c r="Y532" s="639"/>
      <c r="Z532" s="639"/>
      <c r="AA532" s="63"/>
      <c r="AB532" s="63"/>
      <c r="AC532" s="63"/>
    </row>
    <row r="533" spans="1:68" ht="27" hidden="1" customHeight="1" x14ac:dyDescent="0.25">
      <c r="A533" s="60" t="s">
        <v>836</v>
      </c>
      <c r="B533" s="60" t="s">
        <v>837</v>
      </c>
      <c r="C533" s="34">
        <v>4301052282</v>
      </c>
      <c r="D533" s="634">
        <v>4680115889811</v>
      </c>
      <c r="E533" s="634"/>
      <c r="F533" s="59">
        <v>1.5</v>
      </c>
      <c r="G533" s="35">
        <v>6</v>
      </c>
      <c r="H533" s="59">
        <v>9</v>
      </c>
      <c r="I533" s="59">
        <v>9.4939999999999998</v>
      </c>
      <c r="J533" s="35">
        <v>64</v>
      </c>
      <c r="K533" s="35" t="s">
        <v>124</v>
      </c>
      <c r="L533" s="35" t="s">
        <v>46</v>
      </c>
      <c r="M533" s="36" t="s">
        <v>87</v>
      </c>
      <c r="N533" s="36"/>
      <c r="O533" s="35">
        <v>45</v>
      </c>
      <c r="P533" s="64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36"/>
      <c r="R533" s="636"/>
      <c r="S533" s="636"/>
      <c r="T533" s="63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3" t="s">
        <v>838</v>
      </c>
      <c r="AG533" s="75"/>
      <c r="AJ533" s="79" t="s">
        <v>46</v>
      </c>
      <c r="AK533" s="79">
        <v>0</v>
      </c>
      <c r="BB533" s="614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29"/>
      <c r="P534" s="625" t="s">
        <v>40</v>
      </c>
      <c r="Q534" s="626"/>
      <c r="R534" s="626"/>
      <c r="S534" s="626"/>
      <c r="T534" s="626"/>
      <c r="U534" s="626"/>
      <c r="V534" s="62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29"/>
      <c r="P535" s="625" t="s">
        <v>40</v>
      </c>
      <c r="Q535" s="626"/>
      <c r="R535" s="626"/>
      <c r="S535" s="626"/>
      <c r="T535" s="626"/>
      <c r="U535" s="626"/>
      <c r="V535" s="62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39" t="s">
        <v>172</v>
      </c>
      <c r="B536" s="639"/>
      <c r="C536" s="639"/>
      <c r="D536" s="639"/>
      <c r="E536" s="639"/>
      <c r="F536" s="639"/>
      <c r="G536" s="639"/>
      <c r="H536" s="639"/>
      <c r="I536" s="639"/>
      <c r="J536" s="639"/>
      <c r="K536" s="639"/>
      <c r="L536" s="639"/>
      <c r="M536" s="639"/>
      <c r="N536" s="639"/>
      <c r="O536" s="639"/>
      <c r="P536" s="639"/>
      <c r="Q536" s="639"/>
      <c r="R536" s="639"/>
      <c r="S536" s="639"/>
      <c r="T536" s="639"/>
      <c r="U536" s="639"/>
      <c r="V536" s="639"/>
      <c r="W536" s="639"/>
      <c r="X536" s="639"/>
      <c r="Y536" s="639"/>
      <c r="Z536" s="639"/>
      <c r="AA536" s="63"/>
      <c r="AB536" s="63"/>
      <c r="AC536" s="63"/>
    </row>
    <row r="537" spans="1:68" ht="27" hidden="1" customHeight="1" x14ac:dyDescent="0.25">
      <c r="A537" s="60" t="s">
        <v>839</v>
      </c>
      <c r="B537" s="60" t="s">
        <v>840</v>
      </c>
      <c r="C537" s="34">
        <v>4301060543</v>
      </c>
      <c r="D537" s="634">
        <v>4680115889804</v>
      </c>
      <c r="E537" s="634"/>
      <c r="F537" s="59">
        <v>1.5</v>
      </c>
      <c r="G537" s="35">
        <v>6</v>
      </c>
      <c r="H537" s="59">
        <v>9</v>
      </c>
      <c r="I537" s="59">
        <v>9.41</v>
      </c>
      <c r="J537" s="35">
        <v>64</v>
      </c>
      <c r="K537" s="35" t="s">
        <v>124</v>
      </c>
      <c r="L537" s="35" t="s">
        <v>46</v>
      </c>
      <c r="M537" s="36" t="s">
        <v>87</v>
      </c>
      <c r="N537" s="36"/>
      <c r="O537" s="35">
        <v>40</v>
      </c>
      <c r="P537" s="64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36"/>
      <c r="R537" s="636"/>
      <c r="S537" s="636"/>
      <c r="T537" s="63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15" t="s">
        <v>841</v>
      </c>
      <c r="AG537" s="75"/>
      <c r="AJ537" s="79" t="s">
        <v>46</v>
      </c>
      <c r="AK537" s="79">
        <v>0</v>
      </c>
      <c r="BB537" s="616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t="27" hidden="1" customHeight="1" x14ac:dyDescent="0.25">
      <c r="A538" s="60" t="s">
        <v>842</v>
      </c>
      <c r="B538" s="60" t="s">
        <v>843</v>
      </c>
      <c r="C538" s="34">
        <v>4301060544</v>
      </c>
      <c r="D538" s="634">
        <v>4680115889828</v>
      </c>
      <c r="E538" s="634"/>
      <c r="F538" s="59">
        <v>1.5</v>
      </c>
      <c r="G538" s="35">
        <v>6</v>
      </c>
      <c r="H538" s="59">
        <v>9</v>
      </c>
      <c r="I538" s="59">
        <v>9.41</v>
      </c>
      <c r="J538" s="35">
        <v>64</v>
      </c>
      <c r="K538" s="35" t="s">
        <v>124</v>
      </c>
      <c r="L538" s="35" t="s">
        <v>46</v>
      </c>
      <c r="M538" s="36" t="s">
        <v>87</v>
      </c>
      <c r="N538" s="36"/>
      <c r="O538" s="35">
        <v>40</v>
      </c>
      <c r="P538" s="63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36"/>
      <c r="R538" s="636"/>
      <c r="S538" s="636"/>
      <c r="T538" s="63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17" t="s">
        <v>844</v>
      </c>
      <c r="AG538" s="75"/>
      <c r="AJ538" s="79" t="s">
        <v>46</v>
      </c>
      <c r="AK538" s="79">
        <v>0</v>
      </c>
      <c r="BB538" s="618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29"/>
      <c r="P539" s="625" t="s">
        <v>40</v>
      </c>
      <c r="Q539" s="626"/>
      <c r="R539" s="626"/>
      <c r="S539" s="626"/>
      <c r="T539" s="626"/>
      <c r="U539" s="626"/>
      <c r="V539" s="627"/>
      <c r="W539" s="40" t="s">
        <v>39</v>
      </c>
      <c r="X539" s="41">
        <f>IFERROR(X537/H537,"0")+IFERROR(X538/H538,"0")</f>
        <v>0</v>
      </c>
      <c r="Y539" s="41">
        <f>IFERROR(Y537/H537,"0")+IFERROR(Y538/H538,"0")</f>
        <v>0</v>
      </c>
      <c r="Z539" s="41">
        <f>IFERROR(IF(Z537="",0,Z537),"0")+IFERROR(IF(Z538="",0,Z538),"0")</f>
        <v>0</v>
      </c>
      <c r="AA539" s="64"/>
      <c r="AB539" s="64"/>
      <c r="AC539" s="64"/>
    </row>
    <row r="540" spans="1:68" hidden="1" x14ac:dyDescent="0.2">
      <c r="A540" s="628"/>
      <c r="B540" s="628"/>
      <c r="C540" s="628"/>
      <c r="D540" s="628"/>
      <c r="E540" s="628"/>
      <c r="F540" s="628"/>
      <c r="G540" s="628"/>
      <c r="H540" s="628"/>
      <c r="I540" s="628"/>
      <c r="J540" s="628"/>
      <c r="K540" s="628"/>
      <c r="L540" s="628"/>
      <c r="M540" s="628"/>
      <c r="N540" s="628"/>
      <c r="O540" s="629"/>
      <c r="P540" s="625" t="s">
        <v>40</v>
      </c>
      <c r="Q540" s="626"/>
      <c r="R540" s="626"/>
      <c r="S540" s="626"/>
      <c r="T540" s="626"/>
      <c r="U540" s="626"/>
      <c r="V540" s="627"/>
      <c r="W540" s="40" t="s">
        <v>0</v>
      </c>
      <c r="X540" s="41">
        <f>IFERROR(SUM(X537:X538),"0")</f>
        <v>0</v>
      </c>
      <c r="Y540" s="41">
        <f>IFERROR(SUM(Y537:Y538),"0")</f>
        <v>0</v>
      </c>
      <c r="Z540" s="40"/>
      <c r="AA540" s="64"/>
      <c r="AB540" s="64"/>
      <c r="AC540" s="64"/>
    </row>
    <row r="541" spans="1:68" ht="16.5" hidden="1" customHeight="1" x14ac:dyDescent="0.25">
      <c r="A541" s="638" t="s">
        <v>845</v>
      </c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8"/>
      <c r="P541" s="638"/>
      <c r="Q541" s="638"/>
      <c r="R541" s="638"/>
      <c r="S541" s="638"/>
      <c r="T541" s="638"/>
      <c r="U541" s="638"/>
      <c r="V541" s="638"/>
      <c r="W541" s="638"/>
      <c r="X541" s="638"/>
      <c r="Y541" s="638"/>
      <c r="Z541" s="638"/>
      <c r="AA541" s="62"/>
      <c r="AB541" s="62"/>
      <c r="AC541" s="62"/>
    </row>
    <row r="542" spans="1:68" ht="14.25" hidden="1" customHeight="1" x14ac:dyDescent="0.25">
      <c r="A542" s="639" t="s">
        <v>154</v>
      </c>
      <c r="B542" s="639"/>
      <c r="C542" s="639"/>
      <c r="D542" s="639"/>
      <c r="E542" s="639"/>
      <c r="F542" s="639"/>
      <c r="G542" s="639"/>
      <c r="H542" s="639"/>
      <c r="I542" s="639"/>
      <c r="J542" s="639"/>
      <c r="K542" s="639"/>
      <c r="L542" s="639"/>
      <c r="M542" s="639"/>
      <c r="N542" s="639"/>
      <c r="O542" s="639"/>
      <c r="P542" s="639"/>
      <c r="Q542" s="639"/>
      <c r="R542" s="639"/>
      <c r="S542" s="639"/>
      <c r="T542" s="639"/>
      <c r="U542" s="639"/>
      <c r="V542" s="639"/>
      <c r="W542" s="639"/>
      <c r="X542" s="639"/>
      <c r="Y542" s="639"/>
      <c r="Z542" s="639"/>
      <c r="AA542" s="63"/>
      <c r="AB542" s="63"/>
      <c r="AC542" s="63"/>
    </row>
    <row r="543" spans="1:68" ht="27" hidden="1" customHeight="1" x14ac:dyDescent="0.25">
      <c r="A543" s="60" t="s">
        <v>846</v>
      </c>
      <c r="B543" s="60" t="s">
        <v>847</v>
      </c>
      <c r="C543" s="34">
        <v>4301020441</v>
      </c>
      <c r="D543" s="634">
        <v>4680115889798</v>
      </c>
      <c r="E543" s="634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124</v>
      </c>
      <c r="L543" s="35" t="s">
        <v>46</v>
      </c>
      <c r="M543" s="36" t="s">
        <v>123</v>
      </c>
      <c r="N543" s="36"/>
      <c r="O543" s="35">
        <v>50</v>
      </c>
      <c r="P543" s="64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36"/>
      <c r="R543" s="636"/>
      <c r="S543" s="636"/>
      <c r="T543" s="63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19" t="s">
        <v>848</v>
      </c>
      <c r="AG543" s="75"/>
      <c r="AJ543" s="79" t="s">
        <v>46</v>
      </c>
      <c r="AK543" s="79">
        <v>0</v>
      </c>
      <c r="BB543" s="62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28"/>
      <c r="B544" s="628"/>
      <c r="C544" s="628"/>
      <c r="D544" s="628"/>
      <c r="E544" s="628"/>
      <c r="F544" s="628"/>
      <c r="G544" s="628"/>
      <c r="H544" s="628"/>
      <c r="I544" s="628"/>
      <c r="J544" s="628"/>
      <c r="K544" s="628"/>
      <c r="L544" s="628"/>
      <c r="M544" s="628"/>
      <c r="N544" s="628"/>
      <c r="O544" s="629"/>
      <c r="P544" s="625" t="s">
        <v>40</v>
      </c>
      <c r="Q544" s="626"/>
      <c r="R544" s="626"/>
      <c r="S544" s="626"/>
      <c r="T544" s="626"/>
      <c r="U544" s="626"/>
      <c r="V544" s="6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32" hidden="1" x14ac:dyDescent="0.2">
      <c r="A545" s="628"/>
      <c r="B545" s="628"/>
      <c r="C545" s="628"/>
      <c r="D545" s="628"/>
      <c r="E545" s="628"/>
      <c r="F545" s="628"/>
      <c r="G545" s="628"/>
      <c r="H545" s="628"/>
      <c r="I545" s="628"/>
      <c r="J545" s="628"/>
      <c r="K545" s="628"/>
      <c r="L545" s="628"/>
      <c r="M545" s="628"/>
      <c r="N545" s="628"/>
      <c r="O545" s="629"/>
      <c r="P545" s="625" t="s">
        <v>40</v>
      </c>
      <c r="Q545" s="626"/>
      <c r="R545" s="626"/>
      <c r="S545" s="626"/>
      <c r="T545" s="626"/>
      <c r="U545" s="626"/>
      <c r="V545" s="6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32" ht="15" customHeight="1" x14ac:dyDescent="0.2">
      <c r="A546" s="628"/>
      <c r="B546" s="628"/>
      <c r="C546" s="628"/>
      <c r="D546" s="628"/>
      <c r="E546" s="628"/>
      <c r="F546" s="628"/>
      <c r="G546" s="628"/>
      <c r="H546" s="628"/>
      <c r="I546" s="628"/>
      <c r="J546" s="628"/>
      <c r="K546" s="628"/>
      <c r="L546" s="628"/>
      <c r="M546" s="628"/>
      <c r="N546" s="628"/>
      <c r="O546" s="633"/>
      <c r="P546" s="630" t="s">
        <v>33</v>
      </c>
      <c r="Q546" s="631"/>
      <c r="R546" s="631"/>
      <c r="S546" s="631"/>
      <c r="T546" s="631"/>
      <c r="U546" s="631"/>
      <c r="V546" s="632"/>
      <c r="W546" s="40" t="s">
        <v>0</v>
      </c>
      <c r="X546" s="41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4366</v>
      </c>
      <c r="Y546" s="41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4495.2</v>
      </c>
      <c r="Z546" s="40"/>
      <c r="AA546" s="64"/>
      <c r="AB546" s="64"/>
      <c r="AC546" s="64"/>
    </row>
    <row r="547" spans="1:32" x14ac:dyDescent="0.2">
      <c r="A547" s="628"/>
      <c r="B547" s="628"/>
      <c r="C547" s="628"/>
      <c r="D547" s="628"/>
      <c r="E547" s="628"/>
      <c r="F547" s="628"/>
      <c r="G547" s="628"/>
      <c r="H547" s="628"/>
      <c r="I547" s="628"/>
      <c r="J547" s="628"/>
      <c r="K547" s="628"/>
      <c r="L547" s="628"/>
      <c r="M547" s="628"/>
      <c r="N547" s="628"/>
      <c r="O547" s="633"/>
      <c r="P547" s="630" t="s">
        <v>34</v>
      </c>
      <c r="Q547" s="631"/>
      <c r="R547" s="631"/>
      <c r="S547" s="631"/>
      <c r="T547" s="631"/>
      <c r="U547" s="631"/>
      <c r="V547" s="632"/>
      <c r="W547" s="40" t="s">
        <v>0</v>
      </c>
      <c r="X547" s="41">
        <f>IFERROR(SUM(BM22:BM543),"0")</f>
        <v>4555.7961486951681</v>
      </c>
      <c r="Y547" s="41">
        <f>IFERROR(SUM(BN22:BN543),"0")</f>
        <v>4690.496000000001</v>
      </c>
      <c r="Z547" s="40"/>
      <c r="AA547" s="64"/>
      <c r="AB547" s="64"/>
      <c r="AC547" s="64"/>
    </row>
    <row r="548" spans="1:32" x14ac:dyDescent="0.2">
      <c r="A548" s="628"/>
      <c r="B548" s="628"/>
      <c r="C548" s="628"/>
      <c r="D548" s="628"/>
      <c r="E548" s="628"/>
      <c r="F548" s="628"/>
      <c r="G548" s="628"/>
      <c r="H548" s="628"/>
      <c r="I548" s="628"/>
      <c r="J548" s="628"/>
      <c r="K548" s="628"/>
      <c r="L548" s="628"/>
      <c r="M548" s="628"/>
      <c r="N548" s="628"/>
      <c r="O548" s="633"/>
      <c r="P548" s="630" t="s">
        <v>35</v>
      </c>
      <c r="Q548" s="631"/>
      <c r="R548" s="631"/>
      <c r="S548" s="631"/>
      <c r="T548" s="631"/>
      <c r="U548" s="631"/>
      <c r="V548" s="632"/>
      <c r="W548" s="40" t="s">
        <v>20</v>
      </c>
      <c r="X548" s="42">
        <f>ROUNDUP(SUM(BO22:BO543),0)</f>
        <v>7</v>
      </c>
      <c r="Y548" s="42">
        <f>ROUNDUP(SUM(BP22:BP543),0)</f>
        <v>8</v>
      </c>
      <c r="Z548" s="40"/>
      <c r="AA548" s="64"/>
      <c r="AB548" s="64"/>
      <c r="AC548" s="64"/>
    </row>
    <row r="549" spans="1:32" x14ac:dyDescent="0.2">
      <c r="A549" s="628"/>
      <c r="B549" s="628"/>
      <c r="C549" s="628"/>
      <c r="D549" s="628"/>
      <c r="E549" s="628"/>
      <c r="F549" s="628"/>
      <c r="G549" s="628"/>
      <c r="H549" s="628"/>
      <c r="I549" s="628"/>
      <c r="J549" s="628"/>
      <c r="K549" s="628"/>
      <c r="L549" s="628"/>
      <c r="M549" s="628"/>
      <c r="N549" s="628"/>
      <c r="O549" s="633"/>
      <c r="P549" s="630" t="s">
        <v>36</v>
      </c>
      <c r="Q549" s="631"/>
      <c r="R549" s="631"/>
      <c r="S549" s="631"/>
      <c r="T549" s="631"/>
      <c r="U549" s="631"/>
      <c r="V549" s="632"/>
      <c r="W549" s="40" t="s">
        <v>0</v>
      </c>
      <c r="X549" s="41">
        <f>GrossWeightTotal+PalletQtyTotal*25</f>
        <v>4730.7961486951681</v>
      </c>
      <c r="Y549" s="41">
        <f>GrossWeightTotalR+PalletQtyTotalR*25</f>
        <v>4890.496000000001</v>
      </c>
      <c r="Z549" s="40"/>
      <c r="AA549" s="64"/>
      <c r="AB549" s="64"/>
      <c r="AC549" s="64"/>
    </row>
    <row r="550" spans="1:32" x14ac:dyDescent="0.2">
      <c r="A550" s="628"/>
      <c r="B550" s="628"/>
      <c r="C550" s="628"/>
      <c r="D550" s="628"/>
      <c r="E550" s="628"/>
      <c r="F550" s="628"/>
      <c r="G550" s="628"/>
      <c r="H550" s="628"/>
      <c r="I550" s="628"/>
      <c r="J550" s="628"/>
      <c r="K550" s="628"/>
      <c r="L550" s="628"/>
      <c r="M550" s="628"/>
      <c r="N550" s="628"/>
      <c r="O550" s="633"/>
      <c r="P550" s="630" t="s">
        <v>37</v>
      </c>
      <c r="Q550" s="631"/>
      <c r="R550" s="631"/>
      <c r="S550" s="631"/>
      <c r="T550" s="631"/>
      <c r="U550" s="631"/>
      <c r="V550" s="632"/>
      <c r="W550" s="40" t="s">
        <v>20</v>
      </c>
      <c r="X550" s="41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514.7064388044779</v>
      </c>
      <c r="Y550" s="41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532</v>
      </c>
      <c r="Z550" s="40"/>
      <c r="AA550" s="64"/>
      <c r="AB550" s="64"/>
      <c r="AC550" s="64"/>
    </row>
    <row r="551" spans="1:32" ht="14.25" hidden="1" x14ac:dyDescent="0.2">
      <c r="A551" s="628"/>
      <c r="B551" s="628"/>
      <c r="C551" s="628"/>
      <c r="D551" s="628"/>
      <c r="E551" s="628"/>
      <c r="F551" s="628"/>
      <c r="G551" s="628"/>
      <c r="H551" s="628"/>
      <c r="I551" s="628"/>
      <c r="J551" s="628"/>
      <c r="K551" s="628"/>
      <c r="L551" s="628"/>
      <c r="M551" s="628"/>
      <c r="N551" s="628"/>
      <c r="O551" s="633"/>
      <c r="P551" s="630" t="s">
        <v>38</v>
      </c>
      <c r="Q551" s="631"/>
      <c r="R551" s="631"/>
      <c r="S551" s="631"/>
      <c r="T551" s="631"/>
      <c r="U551" s="631"/>
      <c r="V551" s="632"/>
      <c r="W551" s="43" t="s">
        <v>52</v>
      </c>
      <c r="X551" s="40"/>
      <c r="Y551" s="40"/>
      <c r="Z551" s="40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8.0729399999999991</v>
      </c>
      <c r="AA551" s="64"/>
      <c r="AB551" s="64"/>
      <c r="AC551" s="64"/>
    </row>
    <row r="552" spans="1:32" ht="13.5" thickBot="1" x14ac:dyDescent="0.25"/>
    <row r="553" spans="1:32" ht="27" thickTop="1" thickBot="1" x14ac:dyDescent="0.25">
      <c r="A553" s="44" t="s">
        <v>9</v>
      </c>
      <c r="B553" s="80" t="s">
        <v>76</v>
      </c>
      <c r="C553" s="80" t="s">
        <v>45</v>
      </c>
      <c r="D553" s="621" t="s">
        <v>117</v>
      </c>
      <c r="E553" s="621" t="s">
        <v>117</v>
      </c>
      <c r="F553" s="621" t="s">
        <v>117</v>
      </c>
      <c r="G553" s="621" t="s">
        <v>117</v>
      </c>
      <c r="H553" s="621" t="s">
        <v>117</v>
      </c>
      <c r="I553" s="621" t="s">
        <v>117</v>
      </c>
      <c r="J553" s="621" t="s">
        <v>117</v>
      </c>
      <c r="K553" s="621" t="s">
        <v>338</v>
      </c>
      <c r="L553" s="621" t="s">
        <v>338</v>
      </c>
      <c r="M553" s="621" t="s">
        <v>338</v>
      </c>
      <c r="N553" s="622"/>
      <c r="O553" s="621" t="s">
        <v>338</v>
      </c>
      <c r="P553" s="621" t="s">
        <v>338</v>
      </c>
      <c r="Q553" s="621" t="s">
        <v>338</v>
      </c>
      <c r="R553" s="621" t="s">
        <v>338</v>
      </c>
      <c r="S553" s="621" t="s">
        <v>338</v>
      </c>
      <c r="T553" s="621" t="s">
        <v>338</v>
      </c>
      <c r="U553" s="621" t="s">
        <v>338</v>
      </c>
      <c r="V553" s="621" t="s">
        <v>338</v>
      </c>
      <c r="W553" s="621" t="s">
        <v>684</v>
      </c>
      <c r="X553" s="621" t="s">
        <v>684</v>
      </c>
      <c r="Y553" s="621" t="s">
        <v>750</v>
      </c>
      <c r="Z553" s="621" t="s">
        <v>750</v>
      </c>
      <c r="AA553" s="80" t="s">
        <v>783</v>
      </c>
      <c r="AB553" s="621" t="s">
        <v>827</v>
      </c>
      <c r="AC553" s="621" t="s">
        <v>827</v>
      </c>
      <c r="AF553" s="1"/>
    </row>
    <row r="554" spans="1:32" ht="14.25" customHeight="1" thickTop="1" x14ac:dyDescent="0.2">
      <c r="A554" s="623" t="s">
        <v>10</v>
      </c>
      <c r="B554" s="621" t="s">
        <v>76</v>
      </c>
      <c r="C554" s="621" t="s">
        <v>101</v>
      </c>
      <c r="D554" s="621" t="s">
        <v>118</v>
      </c>
      <c r="E554" s="621" t="s">
        <v>134</v>
      </c>
      <c r="F554" s="621" t="s">
        <v>180</v>
      </c>
      <c r="G554" s="621" t="s">
        <v>204</v>
      </c>
      <c r="H554" s="621" t="s">
        <v>248</v>
      </c>
      <c r="I554" s="621" t="s">
        <v>261</v>
      </c>
      <c r="J554" s="621" t="s">
        <v>117</v>
      </c>
      <c r="K554" s="621" t="s">
        <v>339</v>
      </c>
      <c r="L554" s="621" t="s">
        <v>360</v>
      </c>
      <c r="M554" s="621" t="s">
        <v>423</v>
      </c>
      <c r="N554" s="1"/>
      <c r="O554" s="621" t="s">
        <v>491</v>
      </c>
      <c r="P554" s="621" t="s">
        <v>522</v>
      </c>
      <c r="Q554" s="621" t="s">
        <v>541</v>
      </c>
      <c r="R554" s="621" t="s">
        <v>550</v>
      </c>
      <c r="S554" s="621" t="s">
        <v>572</v>
      </c>
      <c r="T554" s="621" t="s">
        <v>581</v>
      </c>
      <c r="U554" s="621" t="s">
        <v>667</v>
      </c>
      <c r="V554" s="621" t="s">
        <v>674</v>
      </c>
      <c r="W554" s="621" t="s">
        <v>685</v>
      </c>
      <c r="X554" s="621" t="s">
        <v>734</v>
      </c>
      <c r="Y554" s="621" t="s">
        <v>751</v>
      </c>
      <c r="Z554" s="621" t="s">
        <v>771</v>
      </c>
      <c r="AA554" s="621" t="s">
        <v>783</v>
      </c>
      <c r="AB554" s="621" t="s">
        <v>827</v>
      </c>
      <c r="AC554" s="621" t="s">
        <v>845</v>
      </c>
      <c r="AF554" s="1"/>
    </row>
    <row r="555" spans="1:32" ht="13.5" thickBot="1" x14ac:dyDescent="0.25">
      <c r="A555" s="624"/>
      <c r="B555" s="621"/>
      <c r="C555" s="621"/>
      <c r="D555" s="621"/>
      <c r="E555" s="621"/>
      <c r="F555" s="621"/>
      <c r="G555" s="621"/>
      <c r="H555" s="621"/>
      <c r="I555" s="621"/>
      <c r="J555" s="621"/>
      <c r="K555" s="621"/>
      <c r="L555" s="621"/>
      <c r="M555" s="621"/>
      <c r="N555" s="1"/>
      <c r="O555" s="621"/>
      <c r="P555" s="621"/>
      <c r="Q555" s="621"/>
      <c r="R555" s="621"/>
      <c r="S555" s="621"/>
      <c r="T555" s="621"/>
      <c r="U555" s="621"/>
      <c r="V555" s="621"/>
      <c r="W555" s="621"/>
      <c r="X555" s="621"/>
      <c r="Y555" s="621"/>
      <c r="Z555" s="621"/>
      <c r="AA555" s="621"/>
      <c r="AB555" s="621"/>
      <c r="AC555" s="621"/>
      <c r="AF555" s="1"/>
    </row>
    <row r="556" spans="1:32" ht="18" thickTop="1" thickBot="1" x14ac:dyDescent="0.25">
      <c r="A556" s="44" t="s">
        <v>13</v>
      </c>
      <c r="B556" s="50">
        <f>IFERROR(Y22*1,"0")+IFERROR(Y26*1,"0")+IFERROR(Y27*1,"0")+IFERROR(Y28*1,"0")+IFERROR(Y29*1,"0")+IFERROR(Y30*1,"0")</f>
        <v>0</v>
      </c>
      <c r="C556" s="50">
        <f>IFERROR(Y36*1,"0")+IFERROR(Y37*1,"0")+IFERROR(Y38*1,"0")+IFERROR(Y39*1,"0")+IFERROR(Y40*1,"0")</f>
        <v>0</v>
      </c>
      <c r="D556" s="50">
        <f>IFERROR(Y46*1,"0")+IFERROR(Y47*1,"0")+IFERROR(Y48*1,"0")+IFERROR(Y49*1,"0")</f>
        <v>21.6</v>
      </c>
      <c r="E556" s="50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165.6</v>
      </c>
      <c r="F556" s="50">
        <f>IFERROR(Y84*1,"0")+IFERROR(Y85*1,"0")+IFERROR(Y86*1,"0")+IFERROR(Y87*1,"0")+IFERROR(Y88*1,"0")+IFERROR(Y89*1,"0")+IFERROR(Y93*1,"0")+IFERROR(Y94*1,"0")+IFERROR(Y95*1,"0")+IFERROR(Y96*1,"0")</f>
        <v>337.5</v>
      </c>
      <c r="G556" s="50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388.8</v>
      </c>
      <c r="H556" s="50">
        <f>IFERROR(Y131*1,"0")+IFERROR(Y132*1,"0")+IFERROR(Y136*1,"0")+IFERROR(Y137*1,"0")+IFERROR(Y141*1,"0")+IFERROR(Y142*1,"0")</f>
        <v>0</v>
      </c>
      <c r="I556" s="50">
        <f>IFERROR(Y147*1,"0")+IFERROR(Y148*1,"0")+IFERROR(Y149*1,"0")+IFERROR(Y150*1,"0")+IFERROR(Y154*1,"0")</f>
        <v>0</v>
      </c>
      <c r="J556" s="50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52.5</v>
      </c>
      <c r="K556" s="50">
        <f>IFERROR(Y199*1,"0")+IFERROR(Y200*1,"0")+IFERROR(Y201*1,"0")+IFERROR(Y202*1,"0")+IFERROR(Y203*1,"0")+IFERROR(Y204*1,"0")+IFERROR(Y205*1,"0")</f>
        <v>0</v>
      </c>
      <c r="L556" s="50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50.400000000000006</v>
      </c>
      <c r="M556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162</v>
      </c>
      <c r="N556" s="1"/>
      <c r="O556" s="50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0">
        <f>IFERROR(Y315*1,"0")+IFERROR(Y316*1,"0")+IFERROR(Y317*1,"0")+IFERROR(Y318*1,"0")+IFERROR(Y319*1,"0")+IFERROR(Y320*1,"0")</f>
        <v>0</v>
      </c>
      <c r="Q556" s="50">
        <f>IFERROR(Y325*1,"0")+IFERROR(Y326*1,"0")+IFERROR(Y327*1,"0")</f>
        <v>0</v>
      </c>
      <c r="R556" s="50">
        <f>IFERROR(Y332*1,"0")+IFERROR(Y333*1,"0")+IFERROR(Y334*1,"0")+IFERROR(Y335*1,"0")+IFERROR(Y339*1,"0")+IFERROR(Y340*1,"0")+IFERROR(Y341*1,"0")</f>
        <v>0</v>
      </c>
      <c r="S556" s="50">
        <f>IFERROR(Y346*1,"0")+IFERROR(Y347*1,"0")+IFERROR(Y348*1,"0")</f>
        <v>0</v>
      </c>
      <c r="T556" s="50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94.2</v>
      </c>
      <c r="U556" s="50">
        <f>IFERROR(Y406*1,"0")+IFERROR(Y407*1,"0")</f>
        <v>0</v>
      </c>
      <c r="V556" s="50">
        <f>IFERROR(Y412*1,"0")+IFERROR(Y413*1,"0")+IFERROR(Y414*1,"0")</f>
        <v>0</v>
      </c>
      <c r="W556" s="50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2070</v>
      </c>
      <c r="X556" s="50">
        <f>IFERROR(Y449*1,"0")+IFERROR(Y450*1,"0")+IFERROR(Y454*1,"0")+IFERROR(Y458*1,"0")+IFERROR(Y459*1,"0")+IFERROR(Y460*1,"0")</f>
        <v>207</v>
      </c>
      <c r="Y556" s="50">
        <f>IFERROR(Y466*1,"0")+IFERROR(Y467*1,"0")+IFERROR(Y468*1,"0")+IFERROR(Y469*1,"0")+IFERROR(Y470*1,"0")+IFERROR(Y471*1,"0")+IFERROR(Y475*1,"0")</f>
        <v>156.60000000000002</v>
      </c>
      <c r="Z556" s="50">
        <f>IFERROR(Y480*1,"0")+IFERROR(Y484*1,"0")+IFERROR(Y485*1,"0")+IFERROR(Y486*1,"0")</f>
        <v>102.60000000000001</v>
      </c>
      <c r="AA556" s="50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686.40000000000009</v>
      </c>
      <c r="AB556" s="50">
        <f>IFERROR(Y521*1,"0")+IFERROR(Y525*1,"0")+IFERROR(Y529*1,"0")+IFERROR(Y533*1,"0")+IFERROR(Y537*1,"0")+IFERROR(Y538*1,"0")</f>
        <v>0</v>
      </c>
      <c r="AC556" s="50">
        <f>IFERROR(Y543*1,"0")</f>
        <v>0</v>
      </c>
      <c r="AF556" s="1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0,00"/>
        <filter val="1,85"/>
        <filter val="100,00"/>
        <filter val="102,00"/>
        <filter val="11,90"/>
        <filter val="123,00"/>
        <filter val="132,00"/>
        <filter val="14,29"/>
        <filter val="14,37"/>
        <filter val="150,00"/>
        <filter val="16,37"/>
        <filter val="18,52"/>
        <filter val="19,05"/>
        <filter val="20,00"/>
        <filter val="200,00"/>
        <filter val="22,22"/>
        <filter val="23,00"/>
        <filter val="230,00"/>
        <filter val="24,69"/>
        <filter val="250,00"/>
        <filter val="27,78"/>
        <filter val="3,14"/>
        <filter val="30,00"/>
        <filter val="300,00"/>
        <filter val="32,00"/>
        <filter val="33,33"/>
        <filter val="37,04"/>
        <filter val="37,88"/>
        <filter val="4 366,00"/>
        <filter val="4 555,80"/>
        <filter val="4 730,80"/>
        <filter val="43,56"/>
        <filter val="47,35"/>
        <filter val="50,00"/>
        <filter val="500,00"/>
        <filter val="514,71"/>
        <filter val="7"/>
        <filter val="73,00"/>
        <filter val="8,00"/>
        <filter val="80,00"/>
        <filter val="9,74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1" t="s">
        <v>850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852</v>
      </c>
      <c r="C6" s="51" t="s">
        <v>853</v>
      </c>
      <c r="D6" s="51" t="s">
        <v>854</v>
      </c>
      <c r="E6" s="51" t="s">
        <v>46</v>
      </c>
    </row>
    <row r="7" spans="2:8" x14ac:dyDescent="0.2">
      <c r="B7" s="51" t="s">
        <v>855</v>
      </c>
      <c r="C7" s="51" t="s">
        <v>856</v>
      </c>
      <c r="D7" s="51" t="s">
        <v>857</v>
      </c>
      <c r="E7" s="51" t="s">
        <v>46</v>
      </c>
    </row>
    <row r="8" spans="2:8" x14ac:dyDescent="0.2">
      <c r="B8" s="51" t="s">
        <v>858</v>
      </c>
      <c r="C8" s="51" t="s">
        <v>859</v>
      </c>
      <c r="D8" s="51" t="s">
        <v>860</v>
      </c>
      <c r="E8" s="51" t="s">
        <v>46</v>
      </c>
    </row>
    <row r="9" spans="2:8" x14ac:dyDescent="0.2">
      <c r="B9" s="51" t="s">
        <v>861</v>
      </c>
      <c r="C9" s="51" t="s">
        <v>862</v>
      </c>
      <c r="D9" s="51" t="s">
        <v>863</v>
      </c>
      <c r="E9" s="51" t="s">
        <v>46</v>
      </c>
    </row>
    <row r="10" spans="2:8" x14ac:dyDescent="0.2">
      <c r="B10" s="51" t="s">
        <v>864</v>
      </c>
      <c r="C10" s="51" t="s">
        <v>865</v>
      </c>
      <c r="D10" s="51" t="s">
        <v>866</v>
      </c>
      <c r="E10" s="51" t="s">
        <v>46</v>
      </c>
    </row>
    <row r="11" spans="2:8" x14ac:dyDescent="0.2">
      <c r="B11" s="51" t="s">
        <v>867</v>
      </c>
      <c r="C11" s="51" t="s">
        <v>868</v>
      </c>
      <c r="D11" s="51" t="s">
        <v>869</v>
      </c>
      <c r="E11" s="51" t="s">
        <v>46</v>
      </c>
    </row>
    <row r="12" spans="2:8" x14ac:dyDescent="0.2">
      <c r="B12" s="51" t="s">
        <v>870</v>
      </c>
      <c r="C12" s="51" t="s">
        <v>871</v>
      </c>
      <c r="D12" s="51" t="s">
        <v>872</v>
      </c>
      <c r="E12" s="51" t="s">
        <v>46</v>
      </c>
    </row>
    <row r="13" spans="2:8" x14ac:dyDescent="0.2">
      <c r="B13" s="51" t="s">
        <v>873</v>
      </c>
      <c r="C13" s="51" t="s">
        <v>874</v>
      </c>
      <c r="D13" s="51" t="s">
        <v>124</v>
      </c>
      <c r="E13" s="51" t="s">
        <v>46</v>
      </c>
    </row>
    <row r="15" spans="2:8" x14ac:dyDescent="0.2">
      <c r="B15" s="51" t="s">
        <v>875</v>
      </c>
      <c r="C15" s="51" t="s">
        <v>853</v>
      </c>
      <c r="D15" s="51" t="s">
        <v>46</v>
      </c>
      <c r="E15" s="51" t="s">
        <v>46</v>
      </c>
    </row>
    <row r="17" spans="2:5" x14ac:dyDescent="0.2">
      <c r="B17" s="51" t="s">
        <v>876</v>
      </c>
      <c r="C17" s="51" t="s">
        <v>856</v>
      </c>
      <c r="D17" s="51" t="s">
        <v>46</v>
      </c>
      <c r="E17" s="51" t="s">
        <v>46</v>
      </c>
    </row>
    <row r="19" spans="2:5" x14ac:dyDescent="0.2">
      <c r="B19" s="51" t="s">
        <v>877</v>
      </c>
      <c r="C19" s="51" t="s">
        <v>859</v>
      </c>
      <c r="D19" s="51" t="s">
        <v>46</v>
      </c>
      <c r="E19" s="51" t="s">
        <v>46</v>
      </c>
    </row>
    <row r="21" spans="2:5" x14ac:dyDescent="0.2">
      <c r="B21" s="51" t="s">
        <v>878</v>
      </c>
      <c r="C21" s="51" t="s">
        <v>862</v>
      </c>
      <c r="D21" s="51" t="s">
        <v>46</v>
      </c>
      <c r="E21" s="51" t="s">
        <v>46</v>
      </c>
    </row>
    <row r="23" spans="2:5" x14ac:dyDescent="0.2">
      <c r="B23" s="51" t="s">
        <v>879</v>
      </c>
      <c r="C23" s="51" t="s">
        <v>865</v>
      </c>
      <c r="D23" s="51" t="s">
        <v>46</v>
      </c>
      <c r="E23" s="51" t="s">
        <v>46</v>
      </c>
    </row>
    <row r="25" spans="2:5" x14ac:dyDescent="0.2">
      <c r="B25" s="51" t="s">
        <v>880</v>
      </c>
      <c r="C25" s="51" t="s">
        <v>868</v>
      </c>
      <c r="D25" s="51" t="s">
        <v>46</v>
      </c>
      <c r="E25" s="51" t="s">
        <v>46</v>
      </c>
    </row>
    <row r="27" spans="2:5" x14ac:dyDescent="0.2">
      <c r="B27" s="51" t="s">
        <v>881</v>
      </c>
      <c r="C27" s="51" t="s">
        <v>871</v>
      </c>
      <c r="D27" s="51" t="s">
        <v>46</v>
      </c>
      <c r="E27" s="51" t="s">
        <v>46</v>
      </c>
    </row>
    <row r="29" spans="2:5" x14ac:dyDescent="0.2">
      <c r="B29" s="51" t="s">
        <v>882</v>
      </c>
      <c r="C29" s="51" t="s">
        <v>874</v>
      </c>
      <c r="D29" s="51" t="s">
        <v>46</v>
      </c>
      <c r="E29" s="51" t="s">
        <v>46</v>
      </c>
    </row>
    <row r="31" spans="2:5" x14ac:dyDescent="0.2">
      <c r="B31" s="51" t="s">
        <v>883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884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885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886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887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888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889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890</v>
      </c>
      <c r="C38" s="51" t="s">
        <v>46</v>
      </c>
      <c r="D38" s="51" t="s">
        <v>46</v>
      </c>
      <c r="E38" s="51" t="s">
        <v>46</v>
      </c>
    </row>
    <row r="39" spans="2:5" x14ac:dyDescent="0.2">
      <c r="B39" s="51" t="s">
        <v>891</v>
      </c>
      <c r="C39" s="51" t="s">
        <v>46</v>
      </c>
      <c r="D39" s="51" t="s">
        <v>46</v>
      </c>
      <c r="E39" s="51" t="s">
        <v>46</v>
      </c>
    </row>
    <row r="40" spans="2:5" x14ac:dyDescent="0.2">
      <c r="B40" s="51" t="s">
        <v>892</v>
      </c>
      <c r="C40" s="51" t="s">
        <v>46</v>
      </c>
      <c r="D40" s="51" t="s">
        <v>46</v>
      </c>
      <c r="E40" s="51" t="s">
        <v>46</v>
      </c>
    </row>
    <row r="41" spans="2:5" x14ac:dyDescent="0.2">
      <c r="B41" s="51" t="s">
        <v>893</v>
      </c>
      <c r="C41" s="51" t="s">
        <v>46</v>
      </c>
      <c r="D41" s="51" t="s">
        <v>46</v>
      </c>
      <c r="E41" s="51" t="s">
        <v>46</v>
      </c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2026-10-16T16:21:34Z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