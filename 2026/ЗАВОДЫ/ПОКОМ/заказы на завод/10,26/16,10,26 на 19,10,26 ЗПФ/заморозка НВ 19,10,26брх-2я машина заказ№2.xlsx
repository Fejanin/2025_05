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B1F46E-058E-42C9-A0D0-96C5F76D728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BP275" i="1"/>
  <c r="BO275" i="1"/>
  <c r="BN275" i="1"/>
  <c r="BM275" i="1"/>
  <c r="Z275" i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X266" i="1"/>
  <c r="Y265" i="1"/>
  <c r="X265" i="1"/>
  <c r="BO264" i="1"/>
  <c r="BM264" i="1"/>
  <c r="Z264" i="1"/>
  <c r="Y264" i="1"/>
  <c r="BP264" i="1" s="1"/>
  <c r="BP263" i="1"/>
  <c r="BO263" i="1"/>
  <c r="BN263" i="1"/>
  <c r="BM263" i="1"/>
  <c r="Z263" i="1"/>
  <c r="Y263" i="1"/>
  <c r="BO262" i="1"/>
  <c r="BM262" i="1"/>
  <c r="Z262" i="1"/>
  <c r="Z265" i="1" s="1"/>
  <c r="Y262" i="1"/>
  <c r="Y266" i="1" s="1"/>
  <c r="X260" i="1"/>
  <c r="X259" i="1"/>
  <c r="BO258" i="1"/>
  <c r="BM258" i="1"/>
  <c r="Z258" i="1"/>
  <c r="Y258" i="1"/>
  <c r="P258" i="1"/>
  <c r="BO257" i="1"/>
  <c r="BM257" i="1"/>
  <c r="Z257" i="1"/>
  <c r="Y257" i="1"/>
  <c r="P257" i="1"/>
  <c r="X253" i="1"/>
  <c r="X252" i="1"/>
  <c r="BO251" i="1"/>
  <c r="BM251" i="1"/>
  <c r="Z251" i="1"/>
  <c r="Z252" i="1" s="1"/>
  <c r="Y251" i="1"/>
  <c r="P251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P231" i="1"/>
  <c r="X227" i="1"/>
  <c r="X226" i="1"/>
  <c r="BO225" i="1"/>
  <c r="BM225" i="1"/>
  <c r="Z225" i="1"/>
  <c r="Z226" i="1" s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Z219" i="1"/>
  <c r="Y219" i="1"/>
  <c r="P219" i="1"/>
  <c r="X216" i="1"/>
  <c r="X215" i="1"/>
  <c r="BO214" i="1"/>
  <c r="BM214" i="1"/>
  <c r="Z214" i="1"/>
  <c r="Y214" i="1"/>
  <c r="P214" i="1"/>
  <c r="BO213" i="1"/>
  <c r="BM213" i="1"/>
  <c r="Z213" i="1"/>
  <c r="Y213" i="1"/>
  <c r="P213" i="1"/>
  <c r="BO212" i="1"/>
  <c r="BM212" i="1"/>
  <c r="Z212" i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O202" i="1"/>
  <c r="BM202" i="1"/>
  <c r="Z202" i="1"/>
  <c r="Y202" i="1"/>
  <c r="P202" i="1"/>
  <c r="BO201" i="1"/>
  <c r="BM201" i="1"/>
  <c r="Z201" i="1"/>
  <c r="Y201" i="1"/>
  <c r="BN201" i="1" s="1"/>
  <c r="P201" i="1"/>
  <c r="BO200" i="1"/>
  <c r="BM200" i="1"/>
  <c r="Z200" i="1"/>
  <c r="Y200" i="1"/>
  <c r="P200" i="1"/>
  <c r="BP199" i="1"/>
  <c r="BO199" i="1"/>
  <c r="BN199" i="1"/>
  <c r="BM199" i="1"/>
  <c r="Z199" i="1"/>
  <c r="Z203" i="1" s="1"/>
  <c r="Y199" i="1"/>
  <c r="P199" i="1"/>
  <c r="X195" i="1"/>
  <c r="X194" i="1"/>
  <c r="BO193" i="1"/>
  <c r="BM193" i="1"/>
  <c r="Z193" i="1"/>
  <c r="Z194" i="1" s="1"/>
  <c r="Y193" i="1"/>
  <c r="Y195" i="1" s="1"/>
  <c r="P193" i="1"/>
  <c r="X190" i="1"/>
  <c r="X189" i="1"/>
  <c r="BO188" i="1"/>
  <c r="BM188" i="1"/>
  <c r="Z188" i="1"/>
  <c r="Y188" i="1"/>
  <c r="P188" i="1"/>
  <c r="BO187" i="1"/>
  <c r="BM187" i="1"/>
  <c r="Z187" i="1"/>
  <c r="Z189" i="1" s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Y180" i="1" s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O156" i="1"/>
  <c r="BN156" i="1"/>
  <c r="BM156" i="1"/>
  <c r="Z156" i="1"/>
  <c r="Z158" i="1" s="1"/>
  <c r="Y156" i="1"/>
  <c r="BP156" i="1" s="1"/>
  <c r="P156" i="1"/>
  <c r="X153" i="1"/>
  <c r="X152" i="1"/>
  <c r="BO151" i="1"/>
  <c r="BM151" i="1"/>
  <c r="Z151" i="1"/>
  <c r="Y151" i="1"/>
  <c r="P151" i="1"/>
  <c r="BO150" i="1"/>
  <c r="BM150" i="1"/>
  <c r="Z150" i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M144" i="1"/>
  <c r="Z144" i="1"/>
  <c r="Y144" i="1"/>
  <c r="BN144" i="1" s="1"/>
  <c r="P144" i="1"/>
  <c r="X141" i="1"/>
  <c r="X140" i="1"/>
  <c r="BO139" i="1"/>
  <c r="BM139" i="1"/>
  <c r="Z139" i="1"/>
  <c r="Y139" i="1"/>
  <c r="P139" i="1"/>
  <c r="BO138" i="1"/>
  <c r="BM138" i="1"/>
  <c r="Z138" i="1"/>
  <c r="Y138" i="1"/>
  <c r="BP138" i="1" s="1"/>
  <c r="P138" i="1"/>
  <c r="BO137" i="1"/>
  <c r="BM137" i="1"/>
  <c r="Z137" i="1"/>
  <c r="Y137" i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Y130" i="1"/>
  <c r="Y135" i="1" s="1"/>
  <c r="P130" i="1"/>
  <c r="X128" i="1"/>
  <c r="X127" i="1"/>
  <c r="BO126" i="1"/>
  <c r="BM126" i="1"/>
  <c r="Z126" i="1"/>
  <c r="Z127" i="1" s="1"/>
  <c r="Y126" i="1"/>
  <c r="Y127" i="1" s="1"/>
  <c r="P126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N101" i="1" s="1"/>
  <c r="P101" i="1"/>
  <c r="X98" i="1"/>
  <c r="X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BP93" i="1" s="1"/>
  <c r="P93" i="1"/>
  <c r="BO92" i="1"/>
  <c r="BM92" i="1"/>
  <c r="Z92" i="1"/>
  <c r="Y92" i="1"/>
  <c r="P92" i="1"/>
  <c r="BO91" i="1"/>
  <c r="BM91" i="1"/>
  <c r="Z91" i="1"/>
  <c r="Z97" i="1" s="1"/>
  <c r="Y91" i="1"/>
  <c r="P91" i="1"/>
  <c r="X88" i="1"/>
  <c r="X87" i="1"/>
  <c r="BO86" i="1"/>
  <c r="BM86" i="1"/>
  <c r="Z86" i="1"/>
  <c r="Y86" i="1"/>
  <c r="BP86" i="1" s="1"/>
  <c r="P86" i="1"/>
  <c r="BO85" i="1"/>
  <c r="BN85" i="1"/>
  <c r="BM85" i="1"/>
  <c r="Z85" i="1"/>
  <c r="Y85" i="1"/>
  <c r="BP85" i="1" s="1"/>
  <c r="P85" i="1"/>
  <c r="X82" i="1"/>
  <c r="X81" i="1"/>
  <c r="BP80" i="1"/>
  <c r="BO80" i="1"/>
  <c r="BM80" i="1"/>
  <c r="Z80" i="1"/>
  <c r="Z81" i="1" s="1"/>
  <c r="Y80" i="1"/>
  <c r="Y82" i="1" s="1"/>
  <c r="P80" i="1"/>
  <c r="X77" i="1"/>
  <c r="X76" i="1"/>
  <c r="BO75" i="1"/>
  <c r="BM75" i="1"/>
  <c r="Z75" i="1"/>
  <c r="Y75" i="1"/>
  <c r="P75" i="1"/>
  <c r="BO74" i="1"/>
  <c r="BM74" i="1"/>
  <c r="Z74" i="1"/>
  <c r="Y74" i="1"/>
  <c r="P74" i="1"/>
  <c r="X71" i="1"/>
  <c r="X70" i="1"/>
  <c r="BO69" i="1"/>
  <c r="BM69" i="1"/>
  <c r="Z69" i="1"/>
  <c r="Y69" i="1"/>
  <c r="BP69" i="1" s="1"/>
  <c r="P69" i="1"/>
  <c r="BP68" i="1"/>
  <c r="BO68" i="1"/>
  <c r="BM68" i="1"/>
  <c r="Z68" i="1"/>
  <c r="Y68" i="1"/>
  <c r="BN68" i="1" s="1"/>
  <c r="P68" i="1"/>
  <c r="BO67" i="1"/>
  <c r="BM67" i="1"/>
  <c r="Z67" i="1"/>
  <c r="Y67" i="1"/>
  <c r="BP67" i="1" s="1"/>
  <c r="P67" i="1"/>
  <c r="BO66" i="1"/>
  <c r="BN66" i="1"/>
  <c r="BM66" i="1"/>
  <c r="Z66" i="1"/>
  <c r="Y66" i="1"/>
  <c r="BP66" i="1" s="1"/>
  <c r="P66" i="1"/>
  <c r="BO65" i="1"/>
  <c r="BM65" i="1"/>
  <c r="Z65" i="1"/>
  <c r="Y65" i="1"/>
  <c r="P65" i="1"/>
  <c r="X62" i="1"/>
  <c r="X61" i="1"/>
  <c r="BO60" i="1"/>
  <c r="BM60" i="1"/>
  <c r="Z60" i="1"/>
  <c r="Y60" i="1"/>
  <c r="P60" i="1"/>
  <c r="BO59" i="1"/>
  <c r="BM59" i="1"/>
  <c r="Z59" i="1"/>
  <c r="Y59" i="1"/>
  <c r="P59" i="1"/>
  <c r="BO58" i="1"/>
  <c r="BM58" i="1"/>
  <c r="Z58" i="1"/>
  <c r="Y58" i="1"/>
  <c r="P58" i="1"/>
  <c r="BO57" i="1"/>
  <c r="BM57" i="1"/>
  <c r="Z57" i="1"/>
  <c r="Y57" i="1"/>
  <c r="P57" i="1"/>
  <c r="X54" i="1"/>
  <c r="X53" i="1"/>
  <c r="BP52" i="1"/>
  <c r="BO52" i="1"/>
  <c r="BM52" i="1"/>
  <c r="Z52" i="1"/>
  <c r="Y52" i="1"/>
  <c r="BN52" i="1" s="1"/>
  <c r="P52" i="1"/>
  <c r="BO51" i="1"/>
  <c r="BM51" i="1"/>
  <c r="Z51" i="1"/>
  <c r="Z53" i="1" s="1"/>
  <c r="Y51" i="1"/>
  <c r="BN51" i="1" s="1"/>
  <c r="P51" i="1"/>
  <c r="X48" i="1"/>
  <c r="X47" i="1"/>
  <c r="BO46" i="1"/>
  <c r="BM46" i="1"/>
  <c r="Z46" i="1"/>
  <c r="Y46" i="1"/>
  <c r="P46" i="1"/>
  <c r="BO45" i="1"/>
  <c r="BM45" i="1"/>
  <c r="Z45" i="1"/>
  <c r="Y45" i="1"/>
  <c r="P45" i="1"/>
  <c r="X41" i="1"/>
  <c r="X40" i="1"/>
  <c r="BO39" i="1"/>
  <c r="BM39" i="1"/>
  <c r="Z39" i="1"/>
  <c r="Y39" i="1"/>
  <c r="P39" i="1"/>
  <c r="BP38" i="1"/>
  <c r="BO38" i="1"/>
  <c r="BM38" i="1"/>
  <c r="Z38" i="1"/>
  <c r="Z40" i="1" s="1"/>
  <c r="Y38" i="1"/>
  <c r="BN38" i="1" s="1"/>
  <c r="P38" i="1"/>
  <c r="X35" i="1"/>
  <c r="Y34" i="1"/>
  <c r="X34" i="1"/>
  <c r="BO33" i="1"/>
  <c r="BM33" i="1"/>
  <c r="Z33" i="1"/>
  <c r="Z34" i="1" s="1"/>
  <c r="Y33" i="1"/>
  <c r="Y35" i="1" s="1"/>
  <c r="P33" i="1"/>
  <c r="X31" i="1"/>
  <c r="X30" i="1"/>
  <c r="X284" i="1" s="1"/>
  <c r="BO29" i="1"/>
  <c r="BM29" i="1"/>
  <c r="Z29" i="1"/>
  <c r="Y29" i="1"/>
  <c r="P29" i="1"/>
  <c r="BO28" i="1"/>
  <c r="BM28" i="1"/>
  <c r="Z28" i="1"/>
  <c r="Y28" i="1"/>
  <c r="BP28" i="1" s="1"/>
  <c r="P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Y30" i="1" s="1"/>
  <c r="P22" i="1"/>
  <c r="H10" i="1"/>
  <c r="A9" i="1"/>
  <c r="A10" i="1" s="1"/>
  <c r="D7" i="1"/>
  <c r="Q6" i="1"/>
  <c r="P2" i="1"/>
  <c r="Z152" i="1" l="1"/>
  <c r="Y194" i="1"/>
  <c r="BP201" i="1"/>
  <c r="BN33" i="1"/>
  <c r="Y81" i="1"/>
  <c r="Y279" i="1"/>
  <c r="Y41" i="1"/>
  <c r="BN23" i="1"/>
  <c r="BP33" i="1"/>
  <c r="Z47" i="1"/>
  <c r="Z76" i="1"/>
  <c r="BN262" i="1"/>
  <c r="Z87" i="1"/>
  <c r="Z114" i="1"/>
  <c r="BP262" i="1"/>
  <c r="Z146" i="1"/>
  <c r="Z103" i="1"/>
  <c r="BN264" i="1"/>
  <c r="BN193" i="1"/>
  <c r="BP101" i="1"/>
  <c r="X281" i="1"/>
  <c r="Z70" i="1"/>
  <c r="BN80" i="1"/>
  <c r="Z215" i="1"/>
  <c r="BP193" i="1"/>
  <c r="BP25" i="1"/>
  <c r="BN25" i="1"/>
  <c r="BP27" i="1"/>
  <c r="BN27" i="1"/>
  <c r="BP29" i="1"/>
  <c r="BN29" i="1"/>
  <c r="BP46" i="1"/>
  <c r="BN46" i="1"/>
  <c r="Y61" i="1"/>
  <c r="BP57" i="1"/>
  <c r="BN57" i="1"/>
  <c r="BP59" i="1"/>
  <c r="BN59" i="1"/>
  <c r="BP75" i="1"/>
  <c r="BN75" i="1"/>
  <c r="BP92" i="1"/>
  <c r="BN92" i="1"/>
  <c r="BP94" i="1"/>
  <c r="BN94" i="1"/>
  <c r="BP96" i="1"/>
  <c r="BN96" i="1"/>
  <c r="BP108" i="1"/>
  <c r="BN108" i="1"/>
  <c r="BP110" i="1"/>
  <c r="BN110" i="1"/>
  <c r="BP112" i="1"/>
  <c r="BN112" i="1"/>
  <c r="BP188" i="1"/>
  <c r="BN188" i="1"/>
  <c r="BP213" i="1"/>
  <c r="BN213" i="1"/>
  <c r="Y216" i="1"/>
  <c r="Y227" i="1"/>
  <c r="Y226" i="1"/>
  <c r="BP225" i="1"/>
  <c r="BN225" i="1"/>
  <c r="Y239" i="1"/>
  <c r="Y238" i="1"/>
  <c r="BP237" i="1"/>
  <c r="BN237" i="1"/>
  <c r="Y249" i="1"/>
  <c r="Y248" i="1"/>
  <c r="BP247" i="1"/>
  <c r="BN247" i="1"/>
  <c r="BP257" i="1"/>
  <c r="BN257" i="1"/>
  <c r="Z30" i="1"/>
  <c r="X282" i="1"/>
  <c r="X283" i="1" s="1"/>
  <c r="Y141" i="1"/>
  <c r="BP137" i="1"/>
  <c r="BN137" i="1"/>
  <c r="BP139" i="1"/>
  <c r="BN139" i="1"/>
  <c r="BP151" i="1"/>
  <c r="BN151" i="1"/>
  <c r="Y233" i="1"/>
  <c r="Y232" i="1"/>
  <c r="BP231" i="1"/>
  <c r="BN231" i="1"/>
  <c r="Y243" i="1"/>
  <c r="Y242" i="1"/>
  <c r="BP241" i="1"/>
  <c r="BN241" i="1"/>
  <c r="Y253" i="1"/>
  <c r="Y252" i="1"/>
  <c r="BP251" i="1"/>
  <c r="BN251" i="1"/>
  <c r="Z278" i="1"/>
  <c r="X280" i="1"/>
  <c r="Y40" i="1"/>
  <c r="Y47" i="1"/>
  <c r="Z61" i="1"/>
  <c r="Y62" i="1"/>
  <c r="Y77" i="1"/>
  <c r="Y87" i="1"/>
  <c r="Y98" i="1"/>
  <c r="Y103" i="1"/>
  <c r="Y114" i="1"/>
  <c r="Z134" i="1"/>
  <c r="Z140" i="1"/>
  <c r="Y146" i="1"/>
  <c r="Y158" i="1"/>
  <c r="Y159" i="1"/>
  <c r="Y203" i="1"/>
  <c r="Y204" i="1"/>
  <c r="Z259" i="1"/>
  <c r="F9" i="1"/>
  <c r="J9" i="1"/>
  <c r="F10" i="1"/>
  <c r="BN22" i="1"/>
  <c r="BP22" i="1"/>
  <c r="BN24" i="1"/>
  <c r="BN26" i="1"/>
  <c r="BN28" i="1"/>
  <c r="Y31" i="1"/>
  <c r="BN39" i="1"/>
  <c r="BP39" i="1"/>
  <c r="BN45" i="1"/>
  <c r="BP45" i="1"/>
  <c r="Y48" i="1"/>
  <c r="Y54" i="1"/>
  <c r="BP51" i="1"/>
  <c r="Y70" i="1"/>
  <c r="BP65" i="1"/>
  <c r="BN65" i="1"/>
  <c r="Y71" i="1"/>
  <c r="H9" i="1"/>
  <c r="Y53" i="1"/>
  <c r="BP58" i="1"/>
  <c r="BN58" i="1"/>
  <c r="BP60" i="1"/>
  <c r="BN60" i="1"/>
  <c r="Y76" i="1"/>
  <c r="Y88" i="1"/>
  <c r="Y97" i="1"/>
  <c r="Y104" i="1"/>
  <c r="Y115" i="1"/>
  <c r="Y119" i="1"/>
  <c r="Y123" i="1"/>
  <c r="Y128" i="1"/>
  <c r="Y134" i="1"/>
  <c r="Y140" i="1"/>
  <c r="Y147" i="1"/>
  <c r="Y153" i="1"/>
  <c r="BP150" i="1"/>
  <c r="Y163" i="1"/>
  <c r="BP162" i="1"/>
  <c r="BN162" i="1"/>
  <c r="Y173" i="1"/>
  <c r="BP172" i="1"/>
  <c r="BN172" i="1"/>
  <c r="Y183" i="1"/>
  <c r="BP182" i="1"/>
  <c r="BN182" i="1"/>
  <c r="Y209" i="1"/>
  <c r="BP208" i="1"/>
  <c r="BN208" i="1"/>
  <c r="Y222" i="1"/>
  <c r="BP219" i="1"/>
  <c r="BN219" i="1"/>
  <c r="Y221" i="1"/>
  <c r="BP258" i="1"/>
  <c r="BN258" i="1"/>
  <c r="BN67" i="1"/>
  <c r="BN69" i="1"/>
  <c r="BN74" i="1"/>
  <c r="BP74" i="1"/>
  <c r="BN86" i="1"/>
  <c r="BN91" i="1"/>
  <c r="BP91" i="1"/>
  <c r="BN93" i="1"/>
  <c r="BN95" i="1"/>
  <c r="BN102" i="1"/>
  <c r="BN107" i="1"/>
  <c r="BP107" i="1"/>
  <c r="BN109" i="1"/>
  <c r="BN111" i="1"/>
  <c r="BN113" i="1"/>
  <c r="BN117" i="1"/>
  <c r="BP117" i="1"/>
  <c r="BN121" i="1"/>
  <c r="BP121" i="1"/>
  <c r="BN126" i="1"/>
  <c r="BP126" i="1"/>
  <c r="BN130" i="1"/>
  <c r="BP130" i="1"/>
  <c r="BN132" i="1"/>
  <c r="BN138" i="1"/>
  <c r="BN145" i="1"/>
  <c r="BN150" i="1"/>
  <c r="Y152" i="1"/>
  <c r="BP157" i="1"/>
  <c r="BN157" i="1"/>
  <c r="Y164" i="1"/>
  <c r="Y168" i="1"/>
  <c r="BP167" i="1"/>
  <c r="BN167" i="1"/>
  <c r="Y174" i="1"/>
  <c r="Y179" i="1"/>
  <c r="BP178" i="1"/>
  <c r="BN178" i="1"/>
  <c r="Y184" i="1"/>
  <c r="Y190" i="1"/>
  <c r="BP187" i="1"/>
  <c r="BN187" i="1"/>
  <c r="Y189" i="1"/>
  <c r="BP200" i="1"/>
  <c r="BN200" i="1"/>
  <c r="BP202" i="1"/>
  <c r="BN202" i="1"/>
  <c r="Y210" i="1"/>
  <c r="Y215" i="1"/>
  <c r="BP212" i="1"/>
  <c r="BN212" i="1"/>
  <c r="BP214" i="1"/>
  <c r="BN214" i="1"/>
  <c r="Z221" i="1"/>
  <c r="Y259" i="1"/>
  <c r="Y260" i="1"/>
  <c r="Y278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4" i="1"/>
  <c r="BN274" i="1"/>
  <c r="BP277" i="1"/>
  <c r="BN277" i="1"/>
  <c r="Z285" i="1" l="1"/>
  <c r="Y284" i="1"/>
  <c r="Y281" i="1"/>
  <c r="Y280" i="1"/>
  <c r="Y282" i="1"/>
  <c r="Y283" i="1" l="1"/>
  <c r="B293" i="1" s="1"/>
  <c r="A293" i="1"/>
  <c r="C293" i="1" l="1"/>
</calcChain>
</file>

<file path=xl/sharedStrings.xml><?xml version="1.0" encoding="utf-8"?>
<sst xmlns="http://schemas.openxmlformats.org/spreadsheetml/2006/main" count="1312" uniqueCount="436">
  <si>
    <t xml:space="preserve">  БЛАНК ЗАКАЗА </t>
  </si>
  <si>
    <t>ЗПФ</t>
  </si>
  <si>
    <t>на отгрузку продукции с ООО Трейд-Сервис с</t>
  </si>
  <si>
    <t>14.10.2026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</si>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</sst>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9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4" fillId="24" borderId="0" xfId="39" applyFont="1" applyFill="1" applyAlignment="1">
      <alignment horizontal="center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1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34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8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07" t="s">
        <v>0</v>
      </c>
      <c r="E1" s="304"/>
      <c r="F1" s="304"/>
      <c r="G1" s="12" t="s">
        <v>1</v>
      </c>
      <c r="H1" s="307" t="s">
        <v>2</v>
      </c>
      <c r="I1" s="304"/>
      <c r="J1" s="304"/>
      <c r="K1" s="304"/>
      <c r="L1" s="304"/>
      <c r="M1" s="304"/>
      <c r="N1" s="304"/>
      <c r="O1" s="304"/>
      <c r="P1" s="304"/>
      <c r="Q1" s="304"/>
      <c r="R1" s="303" t="s">
        <v>3</v>
      </c>
      <c r="S1" s="304"/>
      <c r="T1" s="3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8"/>
      <c r="Q3" s="288"/>
      <c r="R3" s="288"/>
      <c r="S3" s="288"/>
      <c r="T3" s="288"/>
      <c r="U3" s="288"/>
      <c r="V3" s="288"/>
      <c r="W3" s="288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08" t="s">
        <v>7</v>
      </c>
      <c r="B5" s="309"/>
      <c r="C5" s="310"/>
      <c r="D5" s="355"/>
      <c r="E5" s="356"/>
      <c r="F5" s="452" t="s">
        <v>8</v>
      </c>
      <c r="G5" s="310"/>
      <c r="H5" s="355" t="s">
        <v>435</v>
      </c>
      <c r="I5" s="418"/>
      <c r="J5" s="418"/>
      <c r="K5" s="418"/>
      <c r="L5" s="418"/>
      <c r="M5" s="356"/>
      <c r="N5" s="61"/>
      <c r="P5" s="24" t="s">
        <v>9</v>
      </c>
      <c r="Q5" s="443">
        <v>46314</v>
      </c>
      <c r="R5" s="316"/>
      <c r="T5" s="313" t="s">
        <v>10</v>
      </c>
      <c r="U5" s="314"/>
      <c r="V5" s="315" t="s">
        <v>11</v>
      </c>
      <c r="W5" s="316"/>
      <c r="AB5" s="51"/>
      <c r="AC5" s="51"/>
      <c r="AD5" s="51"/>
      <c r="AE5" s="51"/>
    </row>
    <row r="6" spans="1:32" s="272" customFormat="1" ht="24" customHeight="1" x14ac:dyDescent="0.2">
      <c r="A6" s="308" t="s">
        <v>12</v>
      </c>
      <c r="B6" s="309"/>
      <c r="C6" s="310"/>
      <c r="D6" s="420" t="s">
        <v>400</v>
      </c>
      <c r="E6" s="421"/>
      <c r="F6" s="421"/>
      <c r="G6" s="421"/>
      <c r="H6" s="421"/>
      <c r="I6" s="421"/>
      <c r="J6" s="421"/>
      <c r="K6" s="421"/>
      <c r="L6" s="421"/>
      <c r="M6" s="316"/>
      <c r="N6" s="62"/>
      <c r="P6" s="24" t="s">
        <v>13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398" t="s">
        <v>14</v>
      </c>
      <c r="U6" s="314"/>
      <c r="V6" s="388" t="s">
        <v>15</v>
      </c>
      <c r="W6" s="306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34" t="str">
        <f>IFERROR(VLOOKUP(DeliveryAddress,Table,3,0),1)</f>
        <v>1</v>
      </c>
      <c r="E7" s="335"/>
      <c r="F7" s="335"/>
      <c r="G7" s="335"/>
      <c r="H7" s="335"/>
      <c r="I7" s="335"/>
      <c r="J7" s="335"/>
      <c r="K7" s="335"/>
      <c r="L7" s="335"/>
      <c r="M7" s="318"/>
      <c r="N7" s="63"/>
      <c r="P7" s="24"/>
      <c r="Q7" s="42"/>
      <c r="R7" s="42"/>
      <c r="T7" s="288"/>
      <c r="U7" s="314"/>
      <c r="V7" s="389"/>
      <c r="W7" s="390"/>
      <c r="AB7" s="51"/>
      <c r="AC7" s="51"/>
      <c r="AD7" s="51"/>
      <c r="AE7" s="51"/>
    </row>
    <row r="8" spans="1:32" s="272" customFormat="1" ht="25.5" customHeight="1" x14ac:dyDescent="0.2">
      <c r="A8" s="320" t="s">
        <v>16</v>
      </c>
      <c r="B8" s="285"/>
      <c r="C8" s="286"/>
      <c r="D8" s="340"/>
      <c r="E8" s="341"/>
      <c r="F8" s="341"/>
      <c r="G8" s="341"/>
      <c r="H8" s="341"/>
      <c r="I8" s="341"/>
      <c r="J8" s="341"/>
      <c r="K8" s="341"/>
      <c r="L8" s="341"/>
      <c r="M8" s="342"/>
      <c r="N8" s="64"/>
      <c r="P8" s="24" t="s">
        <v>17</v>
      </c>
      <c r="Q8" s="317">
        <v>0.41666666666666669</v>
      </c>
      <c r="R8" s="318"/>
      <c r="T8" s="288"/>
      <c r="U8" s="314"/>
      <c r="V8" s="389"/>
      <c r="W8" s="390"/>
      <c r="AB8" s="51"/>
      <c r="AC8" s="51"/>
      <c r="AD8" s="51"/>
      <c r="AE8" s="51"/>
    </row>
    <row r="9" spans="1:32" s="272" customFormat="1" ht="39.950000000000003" customHeight="1" x14ac:dyDescent="0.2">
      <c r="A9" s="3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8"/>
      <c r="C9" s="288"/>
      <c r="D9" s="368"/>
      <c r="E9" s="290"/>
      <c r="F9" s="3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8"/>
      <c r="H9" s="289" t="str">
        <f>IF(AND($A$9="Тип доверенности/получателя при получении в адресе перегруза:",$D$9="Разовая доверенность"),"Введите ФИО","")</f>
        <v/>
      </c>
      <c r="I9" s="290"/>
      <c r="J9" s="2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0"/>
      <c r="L9" s="290"/>
      <c r="M9" s="290"/>
      <c r="N9" s="270"/>
      <c r="P9" s="26" t="s">
        <v>18</v>
      </c>
      <c r="Q9" s="364"/>
      <c r="R9" s="365"/>
      <c r="T9" s="288"/>
      <c r="U9" s="314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8"/>
      <c r="C10" s="288"/>
      <c r="D10" s="368"/>
      <c r="E10" s="290"/>
      <c r="F10" s="3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8"/>
      <c r="H10" s="407" t="str">
        <f>IFERROR(VLOOKUP($D$10,Proxy,2,FALSE),"")</f>
        <v/>
      </c>
      <c r="I10" s="288"/>
      <c r="J10" s="288"/>
      <c r="K10" s="288"/>
      <c r="L10" s="288"/>
      <c r="M10" s="288"/>
      <c r="N10" s="271"/>
      <c r="P10" s="26" t="s">
        <v>19</v>
      </c>
      <c r="Q10" s="399"/>
      <c r="R10" s="400"/>
      <c r="U10" s="24" t="s">
        <v>20</v>
      </c>
      <c r="V10" s="305" t="s">
        <v>21</v>
      </c>
      <c r="W10" s="306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66"/>
      <c r="R11" s="316"/>
      <c r="U11" s="24" t="s">
        <v>24</v>
      </c>
      <c r="V11" s="426" t="s">
        <v>25</v>
      </c>
      <c r="W11" s="365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19" t="s">
        <v>26</v>
      </c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/>
      <c r="N12" s="65"/>
      <c r="P12" s="24" t="s">
        <v>27</v>
      </c>
      <c r="Q12" s="317"/>
      <c r="R12" s="318"/>
      <c r="S12" s="23"/>
      <c r="U12" s="24"/>
      <c r="V12" s="304"/>
      <c r="W12" s="288"/>
      <c r="AB12" s="51"/>
      <c r="AC12" s="51"/>
      <c r="AD12" s="51"/>
      <c r="AE12" s="51"/>
    </row>
    <row r="13" spans="1:32" s="272" customFormat="1" ht="23.25" customHeight="1" x14ac:dyDescent="0.2">
      <c r="A13" s="319" t="s">
        <v>28</v>
      </c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10"/>
      <c r="N13" s="65"/>
      <c r="O13" s="26"/>
      <c r="P13" s="26" t="s">
        <v>29</v>
      </c>
      <c r="Q13" s="426"/>
      <c r="R13" s="3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19" t="s">
        <v>30</v>
      </c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1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432" t="s">
        <v>31</v>
      </c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10"/>
      <c r="N15" s="66"/>
      <c r="P15" s="311" t="s">
        <v>32</v>
      </c>
      <c r="Q15" s="304"/>
      <c r="R15" s="304"/>
      <c r="S15" s="304"/>
      <c r="T15" s="3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12"/>
      <c r="Q16" s="312"/>
      <c r="R16" s="312"/>
      <c r="S16" s="312"/>
      <c r="T16" s="3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45" t="s">
        <v>33</v>
      </c>
      <c r="B17" s="345" t="s">
        <v>34</v>
      </c>
      <c r="C17" s="367" t="s">
        <v>35</v>
      </c>
      <c r="D17" s="345" t="s">
        <v>36</v>
      </c>
      <c r="E17" s="358"/>
      <c r="F17" s="345" t="s">
        <v>37</v>
      </c>
      <c r="G17" s="345" t="s">
        <v>38</v>
      </c>
      <c r="H17" s="345" t="s">
        <v>39</v>
      </c>
      <c r="I17" s="345" t="s">
        <v>40</v>
      </c>
      <c r="J17" s="345" t="s">
        <v>41</v>
      </c>
      <c r="K17" s="345" t="s">
        <v>42</v>
      </c>
      <c r="L17" s="345" t="s">
        <v>43</v>
      </c>
      <c r="M17" s="345" t="s">
        <v>44</v>
      </c>
      <c r="N17" s="345" t="s">
        <v>45</v>
      </c>
      <c r="O17" s="345" t="s">
        <v>46</v>
      </c>
      <c r="P17" s="345" t="s">
        <v>47</v>
      </c>
      <c r="Q17" s="357"/>
      <c r="R17" s="357"/>
      <c r="S17" s="357"/>
      <c r="T17" s="358"/>
      <c r="U17" s="471" t="s">
        <v>48</v>
      </c>
      <c r="V17" s="310"/>
      <c r="W17" s="345" t="s">
        <v>49</v>
      </c>
      <c r="X17" s="345" t="s">
        <v>50</v>
      </c>
      <c r="Y17" s="461" t="s">
        <v>51</v>
      </c>
      <c r="Z17" s="416" t="s">
        <v>52</v>
      </c>
      <c r="AA17" s="405" t="s">
        <v>53</v>
      </c>
      <c r="AB17" s="405" t="s">
        <v>54</v>
      </c>
      <c r="AC17" s="405" t="s">
        <v>55</v>
      </c>
      <c r="AD17" s="405" t="s">
        <v>56</v>
      </c>
      <c r="AE17" s="447"/>
      <c r="AF17" s="448"/>
      <c r="AG17" s="69"/>
      <c r="BD17" s="68" t="s">
        <v>57</v>
      </c>
    </row>
    <row r="18" spans="1:68" ht="14.25" customHeight="1" x14ac:dyDescent="0.2">
      <c r="A18" s="346"/>
      <c r="B18" s="346"/>
      <c r="C18" s="346"/>
      <c r="D18" s="359"/>
      <c r="E18" s="361"/>
      <c r="F18" s="346"/>
      <c r="G18" s="346"/>
      <c r="H18" s="346"/>
      <c r="I18" s="346"/>
      <c r="J18" s="346"/>
      <c r="K18" s="346"/>
      <c r="L18" s="346"/>
      <c r="M18" s="346"/>
      <c r="N18" s="346"/>
      <c r="O18" s="346"/>
      <c r="P18" s="359"/>
      <c r="Q18" s="360"/>
      <c r="R18" s="360"/>
      <c r="S18" s="360"/>
      <c r="T18" s="361"/>
      <c r="U18" s="70" t="s">
        <v>58</v>
      </c>
      <c r="V18" s="70" t="s">
        <v>59</v>
      </c>
      <c r="W18" s="346"/>
      <c r="X18" s="346"/>
      <c r="Y18" s="462"/>
      <c r="Z18" s="417"/>
      <c r="AA18" s="406"/>
      <c r="AB18" s="406"/>
      <c r="AC18" s="406"/>
      <c r="AD18" s="449"/>
      <c r="AE18" s="450"/>
      <c r="AF18" s="451"/>
      <c r="AG18" s="69"/>
      <c r="BD18" s="68"/>
    </row>
    <row r="19" spans="1:68" ht="27.75" hidden="1" customHeight="1" x14ac:dyDescent="0.2">
      <c r="A19" s="293" t="s">
        <v>60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48"/>
      <c r="AB19" s="48"/>
      <c r="AC19" s="48"/>
    </row>
    <row r="20" spans="1:68" ht="16.5" hidden="1" customHeight="1" x14ac:dyDescent="0.25">
      <c r="A20" s="287" t="s">
        <v>60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73"/>
      <c r="AB20" s="273"/>
      <c r="AC20" s="273"/>
    </row>
    <row r="21" spans="1:68" ht="14.25" hidden="1" customHeight="1" x14ac:dyDescent="0.25">
      <c r="A21" s="324" t="s">
        <v>61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91">
        <v>4620207491508</v>
      </c>
      <c r="E22" s="292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6"/>
      <c r="R22" s="296"/>
      <c r="S22" s="296"/>
      <c r="T22" s="297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4301071112</v>
      </c>
      <c r="D23" s="291">
        <v>4620207491256</v>
      </c>
      <c r="E23" s="292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2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6"/>
      <c r="R23" s="296"/>
      <c r="S23" s="296"/>
      <c r="T23" s="297"/>
      <c r="U23" s="34"/>
      <c r="V23" s="34"/>
      <c r="W23" s="35" t="s">
        <v>67</v>
      </c>
      <c r="X23" s="278">
        <v>24</v>
      </c>
      <c r="Y23" s="279">
        <f t="shared" si="0"/>
        <v>24</v>
      </c>
      <c r="Z23" s="36">
        <f t="shared" si="1"/>
        <v>0.372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hidden="1" customHeight="1" x14ac:dyDescent="0.25">
      <c r="A24" s="54" t="s">
        <v>72</v>
      </c>
      <c r="B24" s="54" t="s">
        <v>73</v>
      </c>
      <c r="C24" s="31">
        <v>4301071135</v>
      </c>
      <c r="D24" s="291">
        <v>4620207491713</v>
      </c>
      <c r="E24" s="292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38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6"/>
      <c r="R24" s="296"/>
      <c r="S24" s="296"/>
      <c r="T24" s="297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4301071134</v>
      </c>
      <c r="D25" s="291">
        <v>4620207491720</v>
      </c>
      <c r="E25" s="292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6"/>
      <c r="R25" s="296"/>
      <c r="S25" s="296"/>
      <c r="T25" s="297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91">
        <v>4607111035912</v>
      </c>
      <c r="E26" s="292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6"/>
      <c r="R26" s="296"/>
      <c r="S26" s="296"/>
      <c r="T26" s="297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4301071109</v>
      </c>
      <c r="D27" s="291">
        <v>4607111035929</v>
      </c>
      <c r="E27" s="292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8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6"/>
      <c r="R27" s="296"/>
      <c r="S27" s="296"/>
      <c r="T27" s="297"/>
      <c r="U27" s="34"/>
      <c r="V27" s="34"/>
      <c r="W27" s="35" t="s">
        <v>67</v>
      </c>
      <c r="X27" s="278">
        <v>36</v>
      </c>
      <c r="Y27" s="279">
        <f t="shared" si="0"/>
        <v>36</v>
      </c>
      <c r="Z27" s="36">
        <f t="shared" si="1"/>
        <v>0.55800000000000005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268.92</v>
      </c>
      <c r="BN27" s="67">
        <f t="shared" si="3"/>
        <v>268.92</v>
      </c>
      <c r="BO27" s="67">
        <f t="shared" si="4"/>
        <v>0.42857142857142855</v>
      </c>
      <c r="BP27" s="67">
        <f t="shared" si="5"/>
        <v>0.42857142857142855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91">
        <v>4607111035882</v>
      </c>
      <c r="E28" s="292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32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6"/>
      <c r="R28" s="296"/>
      <c r="S28" s="296"/>
      <c r="T28" s="297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4301071107</v>
      </c>
      <c r="D29" s="291">
        <v>4607111035905</v>
      </c>
      <c r="E29" s="292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3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6"/>
      <c r="R29" s="296"/>
      <c r="S29" s="296"/>
      <c r="T29" s="297"/>
      <c r="U29" s="34"/>
      <c r="V29" s="34"/>
      <c r="W29" s="35" t="s">
        <v>67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8"/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99"/>
      <c r="P30" s="284" t="s">
        <v>86</v>
      </c>
      <c r="Q30" s="285"/>
      <c r="R30" s="285"/>
      <c r="S30" s="285"/>
      <c r="T30" s="285"/>
      <c r="U30" s="285"/>
      <c r="V30" s="286"/>
      <c r="W30" s="37" t="s">
        <v>67</v>
      </c>
      <c r="X30" s="280">
        <f>IFERROR(SUM(X22:X29),"0")</f>
        <v>60</v>
      </c>
      <c r="Y30" s="280">
        <f>IFERROR(SUM(Y22:Y29),"0")</f>
        <v>60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0.93</v>
      </c>
      <c r="AA30" s="281"/>
      <c r="AB30" s="281"/>
      <c r="AC30" s="281"/>
    </row>
    <row r="31" spans="1:68" x14ac:dyDescent="0.2">
      <c r="A31" s="288"/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99"/>
      <c r="P31" s="284" t="s">
        <v>86</v>
      </c>
      <c r="Q31" s="285"/>
      <c r="R31" s="285"/>
      <c r="S31" s="285"/>
      <c r="T31" s="285"/>
      <c r="U31" s="285"/>
      <c r="V31" s="286"/>
      <c r="W31" s="37" t="s">
        <v>87</v>
      </c>
      <c r="X31" s="280">
        <f>IFERROR(SUMPRODUCT(X22:X29*H22:H29),"0")</f>
        <v>412.8</v>
      </c>
      <c r="Y31" s="280">
        <f>IFERROR(SUMPRODUCT(Y22:Y29*H22:H29),"0")</f>
        <v>412.8</v>
      </c>
      <c r="Z31" s="37"/>
      <c r="AA31" s="281"/>
      <c r="AB31" s="281"/>
      <c r="AC31" s="281"/>
    </row>
    <row r="32" spans="1:68" ht="14.25" hidden="1" customHeight="1" x14ac:dyDescent="0.25">
      <c r="A32" s="324" t="s">
        <v>88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74"/>
      <c r="AB32" s="274"/>
      <c r="AC32" s="274"/>
    </row>
    <row r="33" spans="1:68" ht="37.5" customHeight="1" x14ac:dyDescent="0.25">
      <c r="A33" s="54" t="s">
        <v>89</v>
      </c>
      <c r="B33" s="54" t="s">
        <v>90</v>
      </c>
      <c r="C33" s="31">
        <v>4301080162</v>
      </c>
      <c r="D33" s="291">
        <v>4620207492178</v>
      </c>
      <c r="E33" s="292"/>
      <c r="F33" s="277">
        <v>0.6</v>
      </c>
      <c r="G33" s="32">
        <v>10</v>
      </c>
      <c r="H33" s="277">
        <v>6</v>
      </c>
      <c r="I33" s="277">
        <v>6.23</v>
      </c>
      <c r="J33" s="32">
        <v>84</v>
      </c>
      <c r="K33" s="32" t="s">
        <v>64</v>
      </c>
      <c r="L33" s="32" t="s">
        <v>65</v>
      </c>
      <c r="M33" s="33" t="s">
        <v>66</v>
      </c>
      <c r="N33" s="33"/>
      <c r="O33" s="32">
        <v>180</v>
      </c>
      <c r="P33" s="423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96"/>
      <c r="R33" s="296"/>
      <c r="S33" s="296"/>
      <c r="T33" s="297"/>
      <c r="U33" s="34"/>
      <c r="V33" s="34"/>
      <c r="W33" s="35" t="s">
        <v>67</v>
      </c>
      <c r="X33" s="278">
        <v>24</v>
      </c>
      <c r="Y33" s="279">
        <f>IFERROR(IF(X33="","",X33),"")</f>
        <v>24</v>
      </c>
      <c r="Z33" s="36">
        <f>IFERROR(IF(X33="","",X33*0.0155),"")</f>
        <v>0.372</v>
      </c>
      <c r="AA33" s="56"/>
      <c r="AB33" s="57" t="s">
        <v>91</v>
      </c>
      <c r="AC33" s="88" t="s">
        <v>92</v>
      </c>
      <c r="AG33" s="67"/>
      <c r="AJ33" s="71" t="s">
        <v>69</v>
      </c>
      <c r="AK33" s="71">
        <v>1</v>
      </c>
      <c r="BB33" s="89" t="s">
        <v>1</v>
      </c>
      <c r="BM33" s="67">
        <f>IFERROR(X33*I33,"0")</f>
        <v>149.52000000000001</v>
      </c>
      <c r="BN33" s="67">
        <f>IFERROR(Y33*I33,"0")</f>
        <v>149.52000000000001</v>
      </c>
      <c r="BO33" s="67">
        <f>IFERROR(X33/J33,"0")</f>
        <v>0.2857142857142857</v>
      </c>
      <c r="BP33" s="67">
        <f>IFERROR(Y33/J33,"0")</f>
        <v>0.2857142857142857</v>
      </c>
    </row>
    <row r="34" spans="1:68" x14ac:dyDescent="0.2">
      <c r="A34" s="298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99"/>
      <c r="P34" s="284" t="s">
        <v>86</v>
      </c>
      <c r="Q34" s="285"/>
      <c r="R34" s="285"/>
      <c r="S34" s="285"/>
      <c r="T34" s="285"/>
      <c r="U34" s="285"/>
      <c r="V34" s="286"/>
      <c r="W34" s="37" t="s">
        <v>67</v>
      </c>
      <c r="X34" s="280">
        <f>IFERROR(SUM(X33:X33),"0")</f>
        <v>24</v>
      </c>
      <c r="Y34" s="280">
        <f>IFERROR(SUM(Y33:Y33),"0")</f>
        <v>24</v>
      </c>
      <c r="Z34" s="280">
        <f>IFERROR(IF(Z33="",0,Z33),"0")</f>
        <v>0.372</v>
      </c>
      <c r="AA34" s="281"/>
      <c r="AB34" s="281"/>
      <c r="AC34" s="281"/>
    </row>
    <row r="35" spans="1:68" x14ac:dyDescent="0.2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99"/>
      <c r="P35" s="284" t="s">
        <v>86</v>
      </c>
      <c r="Q35" s="285"/>
      <c r="R35" s="285"/>
      <c r="S35" s="285"/>
      <c r="T35" s="285"/>
      <c r="U35" s="285"/>
      <c r="V35" s="286"/>
      <c r="W35" s="37" t="s">
        <v>87</v>
      </c>
      <c r="X35" s="280">
        <f>IFERROR(SUMPRODUCT(X33:X33*H33:H33),"0")</f>
        <v>144</v>
      </c>
      <c r="Y35" s="280">
        <f>IFERROR(SUMPRODUCT(Y33:Y33*H33:H33),"0")</f>
        <v>144</v>
      </c>
      <c r="Z35" s="37"/>
      <c r="AA35" s="281"/>
      <c r="AB35" s="281"/>
      <c r="AC35" s="281"/>
    </row>
    <row r="36" spans="1:68" ht="16.5" hidden="1" customHeight="1" x14ac:dyDescent="0.25">
      <c r="A36" s="287" t="s">
        <v>93</v>
      </c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273"/>
      <c r="AB36" s="273"/>
      <c r="AC36" s="273"/>
    </row>
    <row r="37" spans="1:68" ht="14.25" hidden="1" customHeight="1" x14ac:dyDescent="0.25">
      <c r="A37" s="324" t="s">
        <v>61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74"/>
      <c r="AB37" s="274"/>
      <c r="AC37" s="274"/>
    </row>
    <row r="38" spans="1:68" ht="16.5" hidden="1" customHeight="1" x14ac:dyDescent="0.25">
      <c r="A38" s="54" t="s">
        <v>94</v>
      </c>
      <c r="B38" s="54" t="s">
        <v>95</v>
      </c>
      <c r="C38" s="31">
        <v>4301071099</v>
      </c>
      <c r="D38" s="291">
        <v>4607111039019</v>
      </c>
      <c r="E38" s="292"/>
      <c r="F38" s="277">
        <v>0.43</v>
      </c>
      <c r="G38" s="32">
        <v>16</v>
      </c>
      <c r="H38" s="277">
        <v>6.88</v>
      </c>
      <c r="I38" s="277">
        <v>7.2060000000000004</v>
      </c>
      <c r="J38" s="32">
        <v>84</v>
      </c>
      <c r="K38" s="32" t="s">
        <v>64</v>
      </c>
      <c r="L38" s="32" t="s">
        <v>65</v>
      </c>
      <c r="M38" s="33" t="s">
        <v>66</v>
      </c>
      <c r="N38" s="33"/>
      <c r="O38" s="32">
        <v>180</v>
      </c>
      <c r="P38" s="41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96"/>
      <c r="R38" s="296"/>
      <c r="S38" s="296"/>
      <c r="T38" s="297"/>
      <c r="U38" s="34"/>
      <c r="V38" s="34"/>
      <c r="W38" s="35" t="s">
        <v>67</v>
      </c>
      <c r="X38" s="278">
        <v>0</v>
      </c>
      <c r="Y38" s="279">
        <f>IFERROR(IF(X38="","",X38),"")</f>
        <v>0</v>
      </c>
      <c r="Z38" s="36">
        <f>IFERROR(IF(X38="","",X38*0.0155),"")</f>
        <v>0</v>
      </c>
      <c r="AA38" s="56"/>
      <c r="AB38" s="57"/>
      <c r="AC38" s="90" t="s">
        <v>96</v>
      </c>
      <c r="AG38" s="67"/>
      <c r="AJ38" s="71" t="s">
        <v>69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97</v>
      </c>
      <c r="B39" s="54" t="s">
        <v>98</v>
      </c>
      <c r="C39" s="31">
        <v>4301071100</v>
      </c>
      <c r="D39" s="291">
        <v>4607111038708</v>
      </c>
      <c r="E39" s="292"/>
      <c r="F39" s="277">
        <v>0.8</v>
      </c>
      <c r="G39" s="32">
        <v>8</v>
      </c>
      <c r="H39" s="277">
        <v>6.4</v>
      </c>
      <c r="I39" s="277">
        <v>6.67</v>
      </c>
      <c r="J39" s="32">
        <v>84</v>
      </c>
      <c r="K39" s="32" t="s">
        <v>64</v>
      </c>
      <c r="L39" s="32" t="s">
        <v>65</v>
      </c>
      <c r="M39" s="33" t="s">
        <v>66</v>
      </c>
      <c r="N39" s="33"/>
      <c r="O39" s="32">
        <v>180</v>
      </c>
      <c r="P39" s="38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96"/>
      <c r="R39" s="296"/>
      <c r="S39" s="296"/>
      <c r="T39" s="297"/>
      <c r="U39" s="34"/>
      <c r="V39" s="34"/>
      <c r="W39" s="35" t="s">
        <v>67</v>
      </c>
      <c r="X39" s="278">
        <v>0</v>
      </c>
      <c r="Y39" s="279">
        <f>IFERROR(IF(X39="","",X39),"")</f>
        <v>0</v>
      </c>
      <c r="Z39" s="36">
        <f>IFERROR(IF(X39="","",X39*0.0155),"")</f>
        <v>0</v>
      </c>
      <c r="AA39" s="56"/>
      <c r="AB39" s="57"/>
      <c r="AC39" s="92" t="s">
        <v>96</v>
      </c>
      <c r="AG39" s="67"/>
      <c r="AJ39" s="71" t="s">
        <v>69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298"/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99"/>
      <c r="P40" s="284" t="s">
        <v>86</v>
      </c>
      <c r="Q40" s="285"/>
      <c r="R40" s="285"/>
      <c r="S40" s="285"/>
      <c r="T40" s="285"/>
      <c r="U40" s="285"/>
      <c r="V40" s="286"/>
      <c r="W40" s="37" t="s">
        <v>67</v>
      </c>
      <c r="X40" s="280">
        <f>IFERROR(SUM(X38:X39),"0")</f>
        <v>0</v>
      </c>
      <c r="Y40" s="280">
        <f>IFERROR(SUM(Y38:Y39),"0")</f>
        <v>0</v>
      </c>
      <c r="Z40" s="280">
        <f>IFERROR(IF(Z38="",0,Z38),"0")+IFERROR(IF(Z39="",0,Z39),"0")</f>
        <v>0</v>
      </c>
      <c r="AA40" s="281"/>
      <c r="AB40" s="281"/>
      <c r="AC40" s="281"/>
    </row>
    <row r="41" spans="1:68" hidden="1" x14ac:dyDescent="0.2">
      <c r="A41" s="288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99"/>
      <c r="P41" s="284" t="s">
        <v>86</v>
      </c>
      <c r="Q41" s="285"/>
      <c r="R41" s="285"/>
      <c r="S41" s="285"/>
      <c r="T41" s="285"/>
      <c r="U41" s="285"/>
      <c r="V41" s="286"/>
      <c r="W41" s="37" t="s">
        <v>87</v>
      </c>
      <c r="X41" s="280">
        <f>IFERROR(SUMPRODUCT(X38:X39*H38:H39),"0")</f>
        <v>0</v>
      </c>
      <c r="Y41" s="280">
        <f>IFERROR(SUMPRODUCT(Y38:Y39*H38:H39),"0")</f>
        <v>0</v>
      </c>
      <c r="Z41" s="37"/>
      <c r="AA41" s="281"/>
      <c r="AB41" s="281"/>
      <c r="AC41" s="281"/>
    </row>
    <row r="42" spans="1:68" ht="27.75" hidden="1" customHeight="1" x14ac:dyDescent="0.2">
      <c r="A42" s="293" t="s">
        <v>99</v>
      </c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48"/>
      <c r="AB42" s="48"/>
      <c r="AC42" s="48"/>
    </row>
    <row r="43" spans="1:68" ht="16.5" hidden="1" customHeight="1" x14ac:dyDescent="0.25">
      <c r="A43" s="287" t="s">
        <v>100</v>
      </c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73"/>
      <c r="AB43" s="273"/>
      <c r="AC43" s="273"/>
    </row>
    <row r="44" spans="1:68" ht="14.25" hidden="1" customHeight="1" x14ac:dyDescent="0.25">
      <c r="A44" s="324" t="s">
        <v>101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74"/>
      <c r="AB44" s="274"/>
      <c r="AC44" s="274"/>
    </row>
    <row r="45" spans="1:68" ht="27" customHeight="1" x14ac:dyDescent="0.25">
      <c r="A45" s="54" t="s">
        <v>102</v>
      </c>
      <c r="B45" s="54" t="s">
        <v>103</v>
      </c>
      <c r="C45" s="31">
        <v>4301132190</v>
      </c>
      <c r="D45" s="291">
        <v>4607111036537</v>
      </c>
      <c r="E45" s="292"/>
      <c r="F45" s="277">
        <v>0.25</v>
      </c>
      <c r="G45" s="32">
        <v>6</v>
      </c>
      <c r="H45" s="277">
        <v>1.5</v>
      </c>
      <c r="I45" s="277">
        <v>1.9218</v>
      </c>
      <c r="J45" s="32">
        <v>140</v>
      </c>
      <c r="K45" s="32" t="s">
        <v>104</v>
      </c>
      <c r="L45" s="32" t="s">
        <v>105</v>
      </c>
      <c r="M45" s="33" t="s">
        <v>66</v>
      </c>
      <c r="N45" s="33"/>
      <c r="O45" s="32">
        <v>365</v>
      </c>
      <c r="P45" s="41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96"/>
      <c r="R45" s="296"/>
      <c r="S45" s="296"/>
      <c r="T45" s="297"/>
      <c r="U45" s="34"/>
      <c r="V45" s="34"/>
      <c r="W45" s="35" t="s">
        <v>67</v>
      </c>
      <c r="X45" s="278">
        <v>70</v>
      </c>
      <c r="Y45" s="279">
        <f>IFERROR(IF(X45="","",X45),"")</f>
        <v>70</v>
      </c>
      <c r="Z45" s="36">
        <f>IFERROR(IF(X45="","",X45*0.00941),"")</f>
        <v>0.65869999999999995</v>
      </c>
      <c r="AA45" s="56"/>
      <c r="AB45" s="57"/>
      <c r="AC45" s="94" t="s">
        <v>106</v>
      </c>
      <c r="AG45" s="67"/>
      <c r="AJ45" s="71" t="s">
        <v>107</v>
      </c>
      <c r="AK45" s="71">
        <v>14</v>
      </c>
      <c r="BB45" s="95" t="s">
        <v>108</v>
      </c>
      <c r="BM45" s="67">
        <f>IFERROR(X45*I45,"0")</f>
        <v>134.52600000000001</v>
      </c>
      <c r="BN45" s="67">
        <f>IFERROR(Y45*I45,"0")</f>
        <v>134.52600000000001</v>
      </c>
      <c r="BO45" s="67">
        <f>IFERROR(X45/J45,"0")</f>
        <v>0.5</v>
      </c>
      <c r="BP45" s="67">
        <f>IFERROR(Y45/J45,"0")</f>
        <v>0.5</v>
      </c>
    </row>
    <row r="46" spans="1:68" ht="27" customHeight="1" x14ac:dyDescent="0.25">
      <c r="A46" s="54" t="s">
        <v>109</v>
      </c>
      <c r="B46" s="54" t="s">
        <v>110</v>
      </c>
      <c r="C46" s="31">
        <v>4301132188</v>
      </c>
      <c r="D46" s="291">
        <v>4607111036605</v>
      </c>
      <c r="E46" s="292"/>
      <c r="F46" s="277">
        <v>0.25</v>
      </c>
      <c r="G46" s="32">
        <v>6</v>
      </c>
      <c r="H46" s="277">
        <v>1.5</v>
      </c>
      <c r="I46" s="277">
        <v>1.9218</v>
      </c>
      <c r="J46" s="32">
        <v>140</v>
      </c>
      <c r="K46" s="32" t="s">
        <v>104</v>
      </c>
      <c r="L46" s="32" t="s">
        <v>105</v>
      </c>
      <c r="M46" s="33" t="s">
        <v>66</v>
      </c>
      <c r="N46" s="33"/>
      <c r="O46" s="32">
        <v>365</v>
      </c>
      <c r="P46" s="39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96"/>
      <c r="R46" s="296"/>
      <c r="S46" s="296"/>
      <c r="T46" s="297"/>
      <c r="U46" s="34"/>
      <c r="V46" s="34"/>
      <c r="W46" s="35" t="s">
        <v>67</v>
      </c>
      <c r="X46" s="278">
        <v>14</v>
      </c>
      <c r="Y46" s="279">
        <f>IFERROR(IF(X46="","",X46),"")</f>
        <v>14</v>
      </c>
      <c r="Z46" s="36">
        <f>IFERROR(IF(X46="","",X46*0.00941),"")</f>
        <v>0.13174</v>
      </c>
      <c r="AA46" s="56"/>
      <c r="AB46" s="57"/>
      <c r="AC46" s="96" t="s">
        <v>106</v>
      </c>
      <c r="AG46" s="67"/>
      <c r="AJ46" s="71" t="s">
        <v>107</v>
      </c>
      <c r="AK46" s="71">
        <v>14</v>
      </c>
      <c r="BB46" s="97" t="s">
        <v>108</v>
      </c>
      <c r="BM46" s="67">
        <f>IFERROR(X46*I46,"0")</f>
        <v>26.905200000000001</v>
      </c>
      <c r="BN46" s="67">
        <f>IFERROR(Y46*I46,"0")</f>
        <v>26.905200000000001</v>
      </c>
      <c r="BO46" s="67">
        <f>IFERROR(X46/J46,"0")</f>
        <v>0.1</v>
      </c>
      <c r="BP46" s="67">
        <f>IFERROR(Y46/J46,"0")</f>
        <v>0.1</v>
      </c>
    </row>
    <row r="47" spans="1:68" x14ac:dyDescent="0.2">
      <c r="A47" s="298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99"/>
      <c r="P47" s="284" t="s">
        <v>86</v>
      </c>
      <c r="Q47" s="285"/>
      <c r="R47" s="285"/>
      <c r="S47" s="285"/>
      <c r="T47" s="285"/>
      <c r="U47" s="285"/>
      <c r="V47" s="286"/>
      <c r="W47" s="37" t="s">
        <v>67</v>
      </c>
      <c r="X47" s="280">
        <f>IFERROR(SUM(X45:X46),"0")</f>
        <v>84</v>
      </c>
      <c r="Y47" s="280">
        <f>IFERROR(SUM(Y45:Y46),"0")</f>
        <v>84</v>
      </c>
      <c r="Z47" s="280">
        <f>IFERROR(IF(Z45="",0,Z45),"0")+IFERROR(IF(Z46="",0,Z46),"0")</f>
        <v>0.79043999999999992</v>
      </c>
      <c r="AA47" s="281"/>
      <c r="AB47" s="281"/>
      <c r="AC47" s="281"/>
    </row>
    <row r="48" spans="1:68" x14ac:dyDescent="0.2">
      <c r="A48" s="288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99"/>
      <c r="P48" s="284" t="s">
        <v>86</v>
      </c>
      <c r="Q48" s="285"/>
      <c r="R48" s="285"/>
      <c r="S48" s="285"/>
      <c r="T48" s="285"/>
      <c r="U48" s="285"/>
      <c r="V48" s="286"/>
      <c r="W48" s="37" t="s">
        <v>87</v>
      </c>
      <c r="X48" s="280">
        <f>IFERROR(SUMPRODUCT(X45:X46*H45:H46),"0")</f>
        <v>126</v>
      </c>
      <c r="Y48" s="280">
        <f>IFERROR(SUMPRODUCT(Y45:Y46*H45:H46),"0")</f>
        <v>126</v>
      </c>
      <c r="Z48" s="37"/>
      <c r="AA48" s="281"/>
      <c r="AB48" s="281"/>
      <c r="AC48" s="281"/>
    </row>
    <row r="49" spans="1:68" ht="16.5" hidden="1" customHeight="1" x14ac:dyDescent="0.25">
      <c r="A49" s="287" t="s">
        <v>111</v>
      </c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  <c r="Z49" s="288"/>
      <c r="AA49" s="273"/>
      <c r="AB49" s="273"/>
      <c r="AC49" s="273"/>
    </row>
    <row r="50" spans="1:68" ht="14.25" hidden="1" customHeight="1" x14ac:dyDescent="0.25">
      <c r="A50" s="324" t="s">
        <v>61</v>
      </c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74"/>
      <c r="AB50" s="274"/>
      <c r="AC50" s="274"/>
    </row>
    <row r="51" spans="1:68" ht="27" customHeight="1" x14ac:dyDescent="0.25">
      <c r="A51" s="54" t="s">
        <v>112</v>
      </c>
      <c r="B51" s="54" t="s">
        <v>113</v>
      </c>
      <c r="C51" s="31">
        <v>4301071090</v>
      </c>
      <c r="D51" s="291">
        <v>4620207490075</v>
      </c>
      <c r="E51" s="292"/>
      <c r="F51" s="277">
        <v>0.7</v>
      </c>
      <c r="G51" s="32">
        <v>8</v>
      </c>
      <c r="H51" s="277">
        <v>5.6</v>
      </c>
      <c r="I51" s="277">
        <v>5.87</v>
      </c>
      <c r="J51" s="32">
        <v>84</v>
      </c>
      <c r="K51" s="32" t="s">
        <v>64</v>
      </c>
      <c r="L51" s="32" t="s">
        <v>105</v>
      </c>
      <c r="M51" s="33" t="s">
        <v>66</v>
      </c>
      <c r="N51" s="33"/>
      <c r="O51" s="32">
        <v>180</v>
      </c>
      <c r="P51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96"/>
      <c r="R51" s="296"/>
      <c r="S51" s="296"/>
      <c r="T51" s="297"/>
      <c r="U51" s="34"/>
      <c r="V51" s="34"/>
      <c r="W51" s="35" t="s">
        <v>67</v>
      </c>
      <c r="X51" s="278">
        <v>48</v>
      </c>
      <c r="Y51" s="279">
        <f>IFERROR(IF(X51="","",X51),"")</f>
        <v>48</v>
      </c>
      <c r="Z51" s="36">
        <f>IFERROR(IF(X51="","",X51*0.0155),"")</f>
        <v>0.74399999999999999</v>
      </c>
      <c r="AA51" s="56"/>
      <c r="AB51" s="57"/>
      <c r="AC51" s="98" t="s">
        <v>114</v>
      </c>
      <c r="AG51" s="67"/>
      <c r="AJ51" s="71" t="s">
        <v>107</v>
      </c>
      <c r="AK51" s="71">
        <v>12</v>
      </c>
      <c r="BB51" s="99" t="s">
        <v>1</v>
      </c>
      <c r="BM51" s="67">
        <f>IFERROR(X51*I51,"0")</f>
        <v>281.76</v>
      </c>
      <c r="BN51" s="67">
        <f>IFERROR(Y51*I51,"0")</f>
        <v>281.76</v>
      </c>
      <c r="BO51" s="67">
        <f>IFERROR(X51/J51,"0")</f>
        <v>0.5714285714285714</v>
      </c>
      <c r="BP51" s="67">
        <f>IFERROR(Y51/J51,"0")</f>
        <v>0.5714285714285714</v>
      </c>
    </row>
    <row r="52" spans="1:68" ht="27" customHeight="1" x14ac:dyDescent="0.25">
      <c r="A52" s="54" t="s">
        <v>115</v>
      </c>
      <c r="B52" s="54" t="s">
        <v>116</v>
      </c>
      <c r="C52" s="31">
        <v>4301071092</v>
      </c>
      <c r="D52" s="291">
        <v>4620207490174</v>
      </c>
      <c r="E52" s="292"/>
      <c r="F52" s="277">
        <v>0.7</v>
      </c>
      <c r="G52" s="32">
        <v>8</v>
      </c>
      <c r="H52" s="277">
        <v>5.6</v>
      </c>
      <c r="I52" s="277">
        <v>5.87</v>
      </c>
      <c r="J52" s="32">
        <v>84</v>
      </c>
      <c r="K52" s="32" t="s">
        <v>64</v>
      </c>
      <c r="L52" s="32" t="s">
        <v>105</v>
      </c>
      <c r="M52" s="33" t="s">
        <v>66</v>
      </c>
      <c r="N52" s="33"/>
      <c r="O52" s="32">
        <v>180</v>
      </c>
      <c r="P52" s="34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96"/>
      <c r="R52" s="296"/>
      <c r="S52" s="296"/>
      <c r="T52" s="297"/>
      <c r="U52" s="34"/>
      <c r="V52" s="34"/>
      <c r="W52" s="35" t="s">
        <v>67</v>
      </c>
      <c r="X52" s="278">
        <v>24</v>
      </c>
      <c r="Y52" s="279">
        <f>IFERROR(IF(X52="","",X52),"")</f>
        <v>24</v>
      </c>
      <c r="Z52" s="36">
        <f>IFERROR(IF(X52="","",X52*0.0155),"")</f>
        <v>0.372</v>
      </c>
      <c r="AA52" s="56"/>
      <c r="AB52" s="57"/>
      <c r="AC52" s="100" t="s">
        <v>117</v>
      </c>
      <c r="AG52" s="67"/>
      <c r="AJ52" s="71" t="s">
        <v>107</v>
      </c>
      <c r="AK52" s="71">
        <v>12</v>
      </c>
      <c r="BB52" s="101" t="s">
        <v>1</v>
      </c>
      <c r="BM52" s="67">
        <f>IFERROR(X52*I52,"0")</f>
        <v>140.88</v>
      </c>
      <c r="BN52" s="67">
        <f>IFERROR(Y52*I52,"0")</f>
        <v>140.88</v>
      </c>
      <c r="BO52" s="67">
        <f>IFERROR(X52/J52,"0")</f>
        <v>0.2857142857142857</v>
      </c>
      <c r="BP52" s="67">
        <f>IFERROR(Y52/J52,"0")</f>
        <v>0.2857142857142857</v>
      </c>
    </row>
    <row r="53" spans="1:68" x14ac:dyDescent="0.2">
      <c r="A53" s="298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99"/>
      <c r="P53" s="284" t="s">
        <v>86</v>
      </c>
      <c r="Q53" s="285"/>
      <c r="R53" s="285"/>
      <c r="S53" s="285"/>
      <c r="T53" s="285"/>
      <c r="U53" s="285"/>
      <c r="V53" s="286"/>
      <c r="W53" s="37" t="s">
        <v>67</v>
      </c>
      <c r="X53" s="280">
        <f>IFERROR(SUM(X51:X52),"0")</f>
        <v>72</v>
      </c>
      <c r="Y53" s="280">
        <f>IFERROR(SUM(Y51:Y52),"0")</f>
        <v>72</v>
      </c>
      <c r="Z53" s="280">
        <f>IFERROR(IF(Z51="",0,Z51),"0")+IFERROR(IF(Z52="",0,Z52),"0")</f>
        <v>1.1160000000000001</v>
      </c>
      <c r="AA53" s="281"/>
      <c r="AB53" s="281"/>
      <c r="AC53" s="281"/>
    </row>
    <row r="54" spans="1:68" x14ac:dyDescent="0.2">
      <c r="A54" s="288"/>
      <c r="B54" s="288"/>
      <c r="C54" s="288"/>
      <c r="D54" s="288"/>
      <c r="E54" s="288"/>
      <c r="F54" s="288"/>
      <c r="G54" s="288"/>
      <c r="H54" s="288"/>
      <c r="I54" s="288"/>
      <c r="J54" s="288"/>
      <c r="K54" s="288"/>
      <c r="L54" s="288"/>
      <c r="M54" s="288"/>
      <c r="N54" s="288"/>
      <c r="O54" s="299"/>
      <c r="P54" s="284" t="s">
        <v>86</v>
      </c>
      <c r="Q54" s="285"/>
      <c r="R54" s="285"/>
      <c r="S54" s="285"/>
      <c r="T54" s="285"/>
      <c r="U54" s="285"/>
      <c r="V54" s="286"/>
      <c r="W54" s="37" t="s">
        <v>87</v>
      </c>
      <c r="X54" s="280">
        <f>IFERROR(SUMPRODUCT(X51:X52*H51:H52),"0")</f>
        <v>403.19999999999993</v>
      </c>
      <c r="Y54" s="280">
        <f>IFERROR(SUMPRODUCT(Y51:Y52*H51:H52),"0")</f>
        <v>403.19999999999993</v>
      </c>
      <c r="Z54" s="37"/>
      <c r="AA54" s="281"/>
      <c r="AB54" s="281"/>
      <c r="AC54" s="281"/>
    </row>
    <row r="55" spans="1:68" ht="16.5" hidden="1" customHeight="1" x14ac:dyDescent="0.25">
      <c r="A55" s="287" t="s">
        <v>118</v>
      </c>
      <c r="B55" s="288"/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  <c r="AA55" s="273"/>
      <c r="AB55" s="273"/>
      <c r="AC55" s="273"/>
    </row>
    <row r="56" spans="1:68" ht="14.25" hidden="1" customHeight="1" x14ac:dyDescent="0.25">
      <c r="A56" s="324" t="s">
        <v>61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74"/>
      <c r="AB56" s="274"/>
      <c r="AC56" s="274"/>
    </row>
    <row r="57" spans="1:68" ht="27" customHeight="1" x14ac:dyDescent="0.25">
      <c r="A57" s="54" t="s">
        <v>119</v>
      </c>
      <c r="B57" s="54" t="s">
        <v>120</v>
      </c>
      <c r="C57" s="31">
        <v>4301071044</v>
      </c>
      <c r="D57" s="291">
        <v>4607111039385</v>
      </c>
      <c r="E57" s="292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105</v>
      </c>
      <c r="M57" s="33" t="s">
        <v>66</v>
      </c>
      <c r="N57" s="33"/>
      <c r="O57" s="32">
        <v>180</v>
      </c>
      <c r="P57" s="45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96"/>
      <c r="R57" s="296"/>
      <c r="S57" s="296"/>
      <c r="T57" s="297"/>
      <c r="U57" s="34"/>
      <c r="V57" s="34"/>
      <c r="W57" s="35" t="s">
        <v>67</v>
      </c>
      <c r="X57" s="278">
        <v>24</v>
      </c>
      <c r="Y57" s="279">
        <f>IFERROR(IF(X57="","",X57),"")</f>
        <v>24</v>
      </c>
      <c r="Z57" s="36">
        <f>IFERROR(IF(X57="","",X57*0.0155),"")</f>
        <v>0.372</v>
      </c>
      <c r="AA57" s="56"/>
      <c r="AB57" s="57"/>
      <c r="AC57" s="102" t="s">
        <v>121</v>
      </c>
      <c r="AG57" s="67"/>
      <c r="AJ57" s="71" t="s">
        <v>107</v>
      </c>
      <c r="AK57" s="71">
        <v>12</v>
      </c>
      <c r="BB57" s="103" t="s">
        <v>1</v>
      </c>
      <c r="BM57" s="67">
        <f>IFERROR(X57*I57,"0")</f>
        <v>175.2</v>
      </c>
      <c r="BN57" s="67">
        <f>IFERROR(Y57*I57,"0")</f>
        <v>175.2</v>
      </c>
      <c r="BO57" s="67">
        <f>IFERROR(X57/J57,"0")</f>
        <v>0.2857142857142857</v>
      </c>
      <c r="BP57" s="67">
        <f>IFERROR(Y57/J57,"0")</f>
        <v>0.2857142857142857</v>
      </c>
    </row>
    <row r="58" spans="1:68" ht="27" customHeight="1" x14ac:dyDescent="0.25">
      <c r="A58" s="54" t="s">
        <v>122</v>
      </c>
      <c r="B58" s="54" t="s">
        <v>123</v>
      </c>
      <c r="C58" s="31">
        <v>4301071031</v>
      </c>
      <c r="D58" s="291">
        <v>4607111038982</v>
      </c>
      <c r="E58" s="292"/>
      <c r="F58" s="277">
        <v>0.7</v>
      </c>
      <c r="G58" s="32">
        <v>10</v>
      </c>
      <c r="H58" s="277">
        <v>7</v>
      </c>
      <c r="I58" s="277">
        <v>7.2859999999999996</v>
      </c>
      <c r="J58" s="32">
        <v>84</v>
      </c>
      <c r="K58" s="32" t="s">
        <v>64</v>
      </c>
      <c r="L58" s="32" t="s">
        <v>105</v>
      </c>
      <c r="M58" s="33" t="s">
        <v>66</v>
      </c>
      <c r="N58" s="33"/>
      <c r="O58" s="32">
        <v>180</v>
      </c>
      <c r="P58" s="4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96"/>
      <c r="R58" s="296"/>
      <c r="S58" s="296"/>
      <c r="T58" s="297"/>
      <c r="U58" s="34"/>
      <c r="V58" s="34"/>
      <c r="W58" s="35" t="s">
        <v>67</v>
      </c>
      <c r="X58" s="278">
        <v>60</v>
      </c>
      <c r="Y58" s="279">
        <f>IFERROR(IF(X58="","",X58),"")</f>
        <v>60</v>
      </c>
      <c r="Z58" s="36">
        <f>IFERROR(IF(X58="","",X58*0.0155),"")</f>
        <v>0.92999999999999994</v>
      </c>
      <c r="AA58" s="56"/>
      <c r="AB58" s="57"/>
      <c r="AC58" s="104" t="s">
        <v>124</v>
      </c>
      <c r="AG58" s="67"/>
      <c r="AJ58" s="71" t="s">
        <v>107</v>
      </c>
      <c r="AK58" s="71">
        <v>12</v>
      </c>
      <c r="BB58" s="105" t="s">
        <v>1</v>
      </c>
      <c r="BM58" s="67">
        <f>IFERROR(X58*I58,"0")</f>
        <v>437.15999999999997</v>
      </c>
      <c r="BN58" s="67">
        <f>IFERROR(Y58*I58,"0")</f>
        <v>437.15999999999997</v>
      </c>
      <c r="BO58" s="67">
        <f>IFERROR(X58/J58,"0")</f>
        <v>0.7142857142857143</v>
      </c>
      <c r="BP58" s="67">
        <f>IFERROR(Y58/J58,"0")</f>
        <v>0.7142857142857143</v>
      </c>
    </row>
    <row r="59" spans="1:68" ht="27" hidden="1" customHeight="1" x14ac:dyDescent="0.25">
      <c r="A59" s="54" t="s">
        <v>125</v>
      </c>
      <c r="B59" s="54" t="s">
        <v>126</v>
      </c>
      <c r="C59" s="31">
        <v>4301071046</v>
      </c>
      <c r="D59" s="291">
        <v>4607111039354</v>
      </c>
      <c r="E59" s="292"/>
      <c r="F59" s="277">
        <v>0.4</v>
      </c>
      <c r="G59" s="32">
        <v>16</v>
      </c>
      <c r="H59" s="277">
        <v>6.4</v>
      </c>
      <c r="I59" s="277">
        <v>6.7195999999999998</v>
      </c>
      <c r="J59" s="32">
        <v>84</v>
      </c>
      <c r="K59" s="32" t="s">
        <v>64</v>
      </c>
      <c r="L59" s="32" t="s">
        <v>105</v>
      </c>
      <c r="M59" s="33" t="s">
        <v>66</v>
      </c>
      <c r="N59" s="33"/>
      <c r="O59" s="32">
        <v>180</v>
      </c>
      <c r="P59" s="39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96"/>
      <c r="R59" s="296"/>
      <c r="S59" s="296"/>
      <c r="T59" s="297"/>
      <c r="U59" s="34"/>
      <c r="V59" s="34"/>
      <c r="W59" s="35" t="s">
        <v>67</v>
      </c>
      <c r="X59" s="278">
        <v>0</v>
      </c>
      <c r="Y59" s="279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124</v>
      </c>
      <c r="AG59" s="67"/>
      <c r="AJ59" s="71" t="s">
        <v>107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customHeight="1" x14ac:dyDescent="0.25">
      <c r="A60" s="54" t="s">
        <v>127</v>
      </c>
      <c r="B60" s="54" t="s">
        <v>128</v>
      </c>
      <c r="C60" s="31">
        <v>4301071047</v>
      </c>
      <c r="D60" s="291">
        <v>4607111039330</v>
      </c>
      <c r="E60" s="292"/>
      <c r="F60" s="277">
        <v>0.7</v>
      </c>
      <c r="G60" s="32">
        <v>10</v>
      </c>
      <c r="H60" s="277">
        <v>7</v>
      </c>
      <c r="I60" s="277">
        <v>7.3</v>
      </c>
      <c r="J60" s="32">
        <v>84</v>
      </c>
      <c r="K60" s="32" t="s">
        <v>64</v>
      </c>
      <c r="L60" s="32" t="s">
        <v>105</v>
      </c>
      <c r="M60" s="33" t="s">
        <v>66</v>
      </c>
      <c r="N60" s="33"/>
      <c r="O60" s="32">
        <v>180</v>
      </c>
      <c r="P60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96"/>
      <c r="R60" s="296"/>
      <c r="S60" s="296"/>
      <c r="T60" s="297"/>
      <c r="U60" s="34"/>
      <c r="V60" s="34"/>
      <c r="W60" s="35" t="s">
        <v>67</v>
      </c>
      <c r="X60" s="278">
        <v>12</v>
      </c>
      <c r="Y60" s="279">
        <f>IFERROR(IF(X60="","",X60),"")</f>
        <v>12</v>
      </c>
      <c r="Z60" s="36">
        <f>IFERROR(IF(X60="","",X60*0.0155),"")</f>
        <v>0.186</v>
      </c>
      <c r="AA60" s="56"/>
      <c r="AB60" s="57"/>
      <c r="AC60" s="108" t="s">
        <v>124</v>
      </c>
      <c r="AG60" s="67"/>
      <c r="AJ60" s="71" t="s">
        <v>107</v>
      </c>
      <c r="AK60" s="71">
        <v>12</v>
      </c>
      <c r="BB60" s="109" t="s">
        <v>1</v>
      </c>
      <c r="BM60" s="67">
        <f>IFERROR(X60*I60,"0")</f>
        <v>87.6</v>
      </c>
      <c r="BN60" s="67">
        <f>IFERROR(Y60*I60,"0")</f>
        <v>87.6</v>
      </c>
      <c r="BO60" s="67">
        <f>IFERROR(X60/J60,"0")</f>
        <v>0.14285714285714285</v>
      </c>
      <c r="BP60" s="67">
        <f>IFERROR(Y60/J60,"0")</f>
        <v>0.14285714285714285</v>
      </c>
    </row>
    <row r="61" spans="1:68" x14ac:dyDescent="0.2">
      <c r="A61" s="298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99"/>
      <c r="P61" s="284" t="s">
        <v>86</v>
      </c>
      <c r="Q61" s="285"/>
      <c r="R61" s="285"/>
      <c r="S61" s="285"/>
      <c r="T61" s="285"/>
      <c r="U61" s="285"/>
      <c r="V61" s="286"/>
      <c r="W61" s="37" t="s">
        <v>67</v>
      </c>
      <c r="X61" s="280">
        <f>IFERROR(SUM(X57:X60),"0")</f>
        <v>96</v>
      </c>
      <c r="Y61" s="280">
        <f>IFERROR(SUM(Y57:Y60),"0")</f>
        <v>96</v>
      </c>
      <c r="Z61" s="280">
        <f>IFERROR(IF(Z57="",0,Z57),"0")+IFERROR(IF(Z58="",0,Z58),"0")+IFERROR(IF(Z59="",0,Z59),"0")+IFERROR(IF(Z60="",0,Z60),"0")</f>
        <v>1.488</v>
      </c>
      <c r="AA61" s="281"/>
      <c r="AB61" s="281"/>
      <c r="AC61" s="281"/>
    </row>
    <row r="62" spans="1:68" x14ac:dyDescent="0.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99"/>
      <c r="P62" s="284" t="s">
        <v>86</v>
      </c>
      <c r="Q62" s="285"/>
      <c r="R62" s="285"/>
      <c r="S62" s="285"/>
      <c r="T62" s="285"/>
      <c r="U62" s="285"/>
      <c r="V62" s="286"/>
      <c r="W62" s="37" t="s">
        <v>87</v>
      </c>
      <c r="X62" s="280">
        <f>IFERROR(SUMPRODUCT(X57:X60*H57:H60),"0")</f>
        <v>672</v>
      </c>
      <c r="Y62" s="280">
        <f>IFERROR(SUMPRODUCT(Y57:Y60*H57:H60),"0")</f>
        <v>672</v>
      </c>
      <c r="Z62" s="37"/>
      <c r="AA62" s="281"/>
      <c r="AB62" s="281"/>
      <c r="AC62" s="281"/>
    </row>
    <row r="63" spans="1:68" ht="16.5" hidden="1" customHeight="1" x14ac:dyDescent="0.25">
      <c r="A63" s="287" t="s">
        <v>129</v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73"/>
      <c r="AB63" s="273"/>
      <c r="AC63" s="273"/>
    </row>
    <row r="64" spans="1:68" ht="14.25" hidden="1" customHeight="1" x14ac:dyDescent="0.25">
      <c r="A64" s="324" t="s">
        <v>130</v>
      </c>
      <c r="B64" s="288"/>
      <c r="C64" s="288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  <c r="AA64" s="274"/>
      <c r="AB64" s="274"/>
      <c r="AC64" s="274"/>
    </row>
    <row r="65" spans="1:68" ht="27" hidden="1" customHeight="1" x14ac:dyDescent="0.25">
      <c r="A65" s="54" t="s">
        <v>131</v>
      </c>
      <c r="B65" s="54" t="s">
        <v>132</v>
      </c>
      <c r="C65" s="31">
        <v>4301132194</v>
      </c>
      <c r="D65" s="291">
        <v>4607111039712</v>
      </c>
      <c r="E65" s="292"/>
      <c r="F65" s="277">
        <v>0.2</v>
      </c>
      <c r="G65" s="32">
        <v>6</v>
      </c>
      <c r="H65" s="277">
        <v>1.2</v>
      </c>
      <c r="I65" s="277">
        <v>1.56</v>
      </c>
      <c r="J65" s="32">
        <v>140</v>
      </c>
      <c r="K65" s="32" t="s">
        <v>104</v>
      </c>
      <c r="L65" s="32" t="s">
        <v>65</v>
      </c>
      <c r="M65" s="33" t="s">
        <v>66</v>
      </c>
      <c r="N65" s="33"/>
      <c r="O65" s="32">
        <v>365</v>
      </c>
      <c r="P65" s="457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96"/>
      <c r="R65" s="296"/>
      <c r="S65" s="296"/>
      <c r="T65" s="297"/>
      <c r="U65" s="34"/>
      <c r="V65" s="34"/>
      <c r="W65" s="35" t="s">
        <v>67</v>
      </c>
      <c r="X65" s="278">
        <v>0</v>
      </c>
      <c r="Y65" s="279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133</v>
      </c>
      <c r="AG65" s="67"/>
      <c r="AJ65" s="71" t="s">
        <v>69</v>
      </c>
      <c r="AK65" s="71">
        <v>1</v>
      </c>
      <c r="BB65" s="111" t="s">
        <v>108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134</v>
      </c>
      <c r="B66" s="54" t="s">
        <v>135</v>
      </c>
      <c r="C66" s="31">
        <v>4301135664</v>
      </c>
      <c r="D66" s="291">
        <v>4607111039705</v>
      </c>
      <c r="E66" s="292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104</v>
      </c>
      <c r="L66" s="32" t="s">
        <v>65</v>
      </c>
      <c r="M66" s="33" t="s">
        <v>66</v>
      </c>
      <c r="N66" s="33"/>
      <c r="O66" s="32">
        <v>365</v>
      </c>
      <c r="P66" s="373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96"/>
      <c r="R66" s="296"/>
      <c r="S66" s="296"/>
      <c r="T66" s="297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136</v>
      </c>
      <c r="AG66" s="67"/>
      <c r="AJ66" s="71" t="s">
        <v>69</v>
      </c>
      <c r="AK66" s="71">
        <v>1</v>
      </c>
      <c r="BB66" s="113" t="s">
        <v>108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137</v>
      </c>
      <c r="B67" s="54" t="s">
        <v>138</v>
      </c>
      <c r="C67" s="31">
        <v>4301135665</v>
      </c>
      <c r="D67" s="291">
        <v>4607111039729</v>
      </c>
      <c r="E67" s="292"/>
      <c r="F67" s="277">
        <v>0.2</v>
      </c>
      <c r="G67" s="32">
        <v>6</v>
      </c>
      <c r="H67" s="277">
        <v>1.2</v>
      </c>
      <c r="I67" s="277">
        <v>1.56</v>
      </c>
      <c r="J67" s="32">
        <v>140</v>
      </c>
      <c r="K67" s="32" t="s">
        <v>104</v>
      </c>
      <c r="L67" s="32" t="s">
        <v>65</v>
      </c>
      <c r="M67" s="33" t="s">
        <v>66</v>
      </c>
      <c r="N67" s="33"/>
      <c r="O67" s="32">
        <v>365</v>
      </c>
      <c r="P67" s="453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96"/>
      <c r="R67" s="296"/>
      <c r="S67" s="296"/>
      <c r="T67" s="297"/>
      <c r="U67" s="34"/>
      <c r="V67" s="34"/>
      <c r="W67" s="35" t="s">
        <v>67</v>
      </c>
      <c r="X67" s="278">
        <v>0</v>
      </c>
      <c r="Y67" s="279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139</v>
      </c>
      <c r="AG67" s="67"/>
      <c r="AJ67" s="71" t="s">
        <v>69</v>
      </c>
      <c r="AK67" s="71">
        <v>1</v>
      </c>
      <c r="BB67" s="115" t="s">
        <v>108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140</v>
      </c>
      <c r="B68" s="54" t="s">
        <v>141</v>
      </c>
      <c r="C68" s="31">
        <v>4301135702</v>
      </c>
      <c r="D68" s="291">
        <v>4620207490228</v>
      </c>
      <c r="E68" s="292"/>
      <c r="F68" s="277">
        <v>0.2</v>
      </c>
      <c r="G68" s="32">
        <v>6</v>
      </c>
      <c r="H68" s="277">
        <v>1.2</v>
      </c>
      <c r="I68" s="277">
        <v>1.56</v>
      </c>
      <c r="J68" s="32">
        <v>140</v>
      </c>
      <c r="K68" s="32" t="s">
        <v>104</v>
      </c>
      <c r="L68" s="32" t="s">
        <v>65</v>
      </c>
      <c r="M68" s="33" t="s">
        <v>66</v>
      </c>
      <c r="N68" s="33"/>
      <c r="O68" s="32">
        <v>365</v>
      </c>
      <c r="P68" s="376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96"/>
      <c r="R68" s="296"/>
      <c r="S68" s="296"/>
      <c r="T68" s="297"/>
      <c r="U68" s="34"/>
      <c r="V68" s="34"/>
      <c r="W68" s="35" t="s">
        <v>67</v>
      </c>
      <c r="X68" s="278">
        <v>14</v>
      </c>
      <c r="Y68" s="279">
        <f>IFERROR(IF(X68="","",X68),"")</f>
        <v>14</v>
      </c>
      <c r="Z68" s="36">
        <f>IFERROR(IF(X68="","",X68*0.00941),"")</f>
        <v>0.13174</v>
      </c>
      <c r="AA68" s="56"/>
      <c r="AB68" s="57"/>
      <c r="AC68" s="116" t="s">
        <v>139</v>
      </c>
      <c r="AG68" s="67"/>
      <c r="AJ68" s="71" t="s">
        <v>69</v>
      </c>
      <c r="AK68" s="71">
        <v>1</v>
      </c>
      <c r="BB68" s="117" t="s">
        <v>108</v>
      </c>
      <c r="BM68" s="67">
        <f>IFERROR(X68*I68,"0")</f>
        <v>21.84</v>
      </c>
      <c r="BN68" s="67">
        <f>IFERROR(Y68*I68,"0")</f>
        <v>21.84</v>
      </c>
      <c r="BO68" s="67">
        <f>IFERROR(X68/J68,"0")</f>
        <v>0.1</v>
      </c>
      <c r="BP68" s="67">
        <f>IFERROR(Y68/J68,"0")</f>
        <v>0.1</v>
      </c>
    </row>
    <row r="69" spans="1:68" ht="16.5" hidden="1" customHeight="1" x14ac:dyDescent="0.25">
      <c r="A69" s="54" t="s">
        <v>142</v>
      </c>
      <c r="B69" s="54" t="s">
        <v>143</v>
      </c>
      <c r="C69" s="31">
        <v>4301136015</v>
      </c>
      <c r="D69" s="291">
        <v>4607111037398</v>
      </c>
      <c r="E69" s="292"/>
      <c r="F69" s="277">
        <v>0.09</v>
      </c>
      <c r="G69" s="32">
        <v>24</v>
      </c>
      <c r="H69" s="277">
        <v>2.16</v>
      </c>
      <c r="I69" s="277">
        <v>4.0199999999999996</v>
      </c>
      <c r="J69" s="32">
        <v>126</v>
      </c>
      <c r="K69" s="32" t="s">
        <v>104</v>
      </c>
      <c r="L69" s="32" t="s">
        <v>65</v>
      </c>
      <c r="M69" s="33" t="s">
        <v>66</v>
      </c>
      <c r="N69" s="33"/>
      <c r="O69" s="32">
        <v>365</v>
      </c>
      <c r="P69" s="379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6"/>
      <c r="R69" s="296"/>
      <c r="S69" s="296"/>
      <c r="T69" s="297"/>
      <c r="U69" s="34"/>
      <c r="V69" s="34"/>
      <c r="W69" s="35" t="s">
        <v>67</v>
      </c>
      <c r="X69" s="278">
        <v>0</v>
      </c>
      <c r="Y69" s="279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136</v>
      </c>
      <c r="AG69" s="67"/>
      <c r="AJ69" s="71" t="s">
        <v>69</v>
      </c>
      <c r="AK69" s="71">
        <v>1</v>
      </c>
      <c r="BB69" s="119" t="s">
        <v>108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8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99"/>
      <c r="P70" s="284" t="s">
        <v>86</v>
      </c>
      <c r="Q70" s="285"/>
      <c r="R70" s="285"/>
      <c r="S70" s="285"/>
      <c r="T70" s="285"/>
      <c r="U70" s="285"/>
      <c r="V70" s="286"/>
      <c r="W70" s="37" t="s">
        <v>67</v>
      </c>
      <c r="X70" s="280">
        <f>IFERROR(SUM(X65:X69),"0")</f>
        <v>14</v>
      </c>
      <c r="Y70" s="280">
        <f>IFERROR(SUM(Y65:Y69),"0")</f>
        <v>14</v>
      </c>
      <c r="Z70" s="280">
        <f>IFERROR(IF(Z65="",0,Z65),"0")+IFERROR(IF(Z66="",0,Z66),"0")+IFERROR(IF(Z67="",0,Z67),"0")+IFERROR(IF(Z68="",0,Z68),"0")+IFERROR(IF(Z69="",0,Z69),"0")</f>
        <v>0.13174</v>
      </c>
      <c r="AA70" s="281"/>
      <c r="AB70" s="281"/>
      <c r="AC70" s="281"/>
    </row>
    <row r="71" spans="1:68" x14ac:dyDescent="0.2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99"/>
      <c r="P71" s="284" t="s">
        <v>86</v>
      </c>
      <c r="Q71" s="285"/>
      <c r="R71" s="285"/>
      <c r="S71" s="285"/>
      <c r="T71" s="285"/>
      <c r="U71" s="285"/>
      <c r="V71" s="286"/>
      <c r="W71" s="37" t="s">
        <v>87</v>
      </c>
      <c r="X71" s="280">
        <f>IFERROR(SUMPRODUCT(X65:X69*H65:H69),"0")</f>
        <v>16.8</v>
      </c>
      <c r="Y71" s="280">
        <f>IFERROR(SUMPRODUCT(Y65:Y69*H65:H69),"0")</f>
        <v>16.8</v>
      </c>
      <c r="Z71" s="37"/>
      <c r="AA71" s="281"/>
      <c r="AB71" s="281"/>
      <c r="AC71" s="281"/>
    </row>
    <row r="72" spans="1:68" ht="16.5" hidden="1" customHeight="1" x14ac:dyDescent="0.25">
      <c r="A72" s="287" t="s">
        <v>144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73"/>
      <c r="AB72" s="273"/>
      <c r="AC72" s="273"/>
    </row>
    <row r="73" spans="1:68" ht="14.25" hidden="1" customHeight="1" x14ac:dyDescent="0.25">
      <c r="A73" s="324" t="s">
        <v>61</v>
      </c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  <c r="Z73" s="288"/>
      <c r="AA73" s="274"/>
      <c r="AB73" s="274"/>
      <c r="AC73" s="274"/>
    </row>
    <row r="74" spans="1:68" ht="27" hidden="1" customHeight="1" x14ac:dyDescent="0.25">
      <c r="A74" s="54" t="s">
        <v>145</v>
      </c>
      <c r="B74" s="54" t="s">
        <v>146</v>
      </c>
      <c r="C74" s="31">
        <v>4301070977</v>
      </c>
      <c r="D74" s="291">
        <v>4607111037411</v>
      </c>
      <c r="E74" s="292"/>
      <c r="F74" s="277">
        <v>2.7</v>
      </c>
      <c r="G74" s="32">
        <v>1</v>
      </c>
      <c r="H74" s="277">
        <v>2.7</v>
      </c>
      <c r="I74" s="277">
        <v>2.8132000000000001</v>
      </c>
      <c r="J74" s="32">
        <v>234</v>
      </c>
      <c r="K74" s="32" t="s">
        <v>147</v>
      </c>
      <c r="L74" s="32" t="s">
        <v>65</v>
      </c>
      <c r="M74" s="33" t="s">
        <v>66</v>
      </c>
      <c r="N74" s="33"/>
      <c r="O74" s="32">
        <v>180</v>
      </c>
      <c r="P74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96"/>
      <c r="R74" s="296"/>
      <c r="S74" s="296"/>
      <c r="T74" s="297"/>
      <c r="U74" s="34"/>
      <c r="V74" s="34"/>
      <c r="W74" s="35" t="s">
        <v>67</v>
      </c>
      <c r="X74" s="278">
        <v>0</v>
      </c>
      <c r="Y74" s="279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148</v>
      </c>
      <c r="AG74" s="67"/>
      <c r="AJ74" s="71" t="s">
        <v>69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149</v>
      </c>
      <c r="B75" s="54" t="s">
        <v>150</v>
      </c>
      <c r="C75" s="31">
        <v>4301070981</v>
      </c>
      <c r="D75" s="291">
        <v>4607111036728</v>
      </c>
      <c r="E75" s="292"/>
      <c r="F75" s="277">
        <v>5</v>
      </c>
      <c r="G75" s="32">
        <v>1</v>
      </c>
      <c r="H75" s="277">
        <v>5</v>
      </c>
      <c r="I75" s="277">
        <v>5.2131999999999996</v>
      </c>
      <c r="J75" s="32">
        <v>144</v>
      </c>
      <c r="K75" s="32" t="s">
        <v>64</v>
      </c>
      <c r="L75" s="32" t="s">
        <v>105</v>
      </c>
      <c r="M75" s="33" t="s">
        <v>66</v>
      </c>
      <c r="N75" s="33"/>
      <c r="O75" s="32">
        <v>180</v>
      </c>
      <c r="P75" s="45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96"/>
      <c r="R75" s="296"/>
      <c r="S75" s="296"/>
      <c r="T75" s="297"/>
      <c r="U75" s="34"/>
      <c r="V75" s="34"/>
      <c r="W75" s="35" t="s">
        <v>67</v>
      </c>
      <c r="X75" s="278">
        <v>36</v>
      </c>
      <c r="Y75" s="279">
        <f>IFERROR(IF(X75="","",X75),"")</f>
        <v>36</v>
      </c>
      <c r="Z75" s="36">
        <f>IFERROR(IF(X75="","",X75*0.00866),"")</f>
        <v>0.31175999999999998</v>
      </c>
      <c r="AA75" s="56"/>
      <c r="AB75" s="57"/>
      <c r="AC75" s="122" t="s">
        <v>148</v>
      </c>
      <c r="AG75" s="67"/>
      <c r="AJ75" s="71" t="s">
        <v>107</v>
      </c>
      <c r="AK75" s="71">
        <v>12</v>
      </c>
      <c r="BB75" s="123" t="s">
        <v>1</v>
      </c>
      <c r="BM75" s="67">
        <f>IFERROR(X75*I75,"0")</f>
        <v>187.67519999999999</v>
      </c>
      <c r="BN75" s="67">
        <f>IFERROR(Y75*I75,"0")</f>
        <v>187.67519999999999</v>
      </c>
      <c r="BO75" s="67">
        <f>IFERROR(X75/J75,"0")</f>
        <v>0.25</v>
      </c>
      <c r="BP75" s="67">
        <f>IFERROR(Y75/J75,"0")</f>
        <v>0.25</v>
      </c>
    </row>
    <row r="76" spans="1:68" x14ac:dyDescent="0.2">
      <c r="A76" s="298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99"/>
      <c r="P76" s="284" t="s">
        <v>86</v>
      </c>
      <c r="Q76" s="285"/>
      <c r="R76" s="285"/>
      <c r="S76" s="285"/>
      <c r="T76" s="285"/>
      <c r="U76" s="285"/>
      <c r="V76" s="286"/>
      <c r="W76" s="37" t="s">
        <v>67</v>
      </c>
      <c r="X76" s="280">
        <f>IFERROR(SUM(X74:X75),"0")</f>
        <v>36</v>
      </c>
      <c r="Y76" s="280">
        <f>IFERROR(SUM(Y74:Y75),"0")</f>
        <v>36</v>
      </c>
      <c r="Z76" s="280">
        <f>IFERROR(IF(Z74="",0,Z74),"0")+IFERROR(IF(Z75="",0,Z75),"0")</f>
        <v>0.31175999999999998</v>
      </c>
      <c r="AA76" s="281"/>
      <c r="AB76" s="281"/>
      <c r="AC76" s="281"/>
    </row>
    <row r="77" spans="1:68" x14ac:dyDescent="0.2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99"/>
      <c r="P77" s="284" t="s">
        <v>86</v>
      </c>
      <c r="Q77" s="285"/>
      <c r="R77" s="285"/>
      <c r="S77" s="285"/>
      <c r="T77" s="285"/>
      <c r="U77" s="285"/>
      <c r="V77" s="286"/>
      <c r="W77" s="37" t="s">
        <v>87</v>
      </c>
      <c r="X77" s="280">
        <f>IFERROR(SUMPRODUCT(X74:X75*H74:H75),"0")</f>
        <v>180</v>
      </c>
      <c r="Y77" s="280">
        <f>IFERROR(SUMPRODUCT(Y74:Y75*H74:H75),"0")</f>
        <v>180</v>
      </c>
      <c r="Z77" s="37"/>
      <c r="AA77" s="281"/>
      <c r="AB77" s="281"/>
      <c r="AC77" s="281"/>
    </row>
    <row r="78" spans="1:68" ht="16.5" hidden="1" customHeight="1" x14ac:dyDescent="0.25">
      <c r="A78" s="287" t="s">
        <v>151</v>
      </c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73"/>
      <c r="AB78" s="273"/>
      <c r="AC78" s="273"/>
    </row>
    <row r="79" spans="1:68" ht="14.25" hidden="1" customHeight="1" x14ac:dyDescent="0.25">
      <c r="A79" s="324" t="s">
        <v>152</v>
      </c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74"/>
      <c r="AB79" s="274"/>
      <c r="AC79" s="274"/>
    </row>
    <row r="80" spans="1:68" ht="27" customHeight="1" x14ac:dyDescent="0.25">
      <c r="A80" s="54" t="s">
        <v>153</v>
      </c>
      <c r="B80" s="54" t="s">
        <v>154</v>
      </c>
      <c r="C80" s="31">
        <v>4301135910</v>
      </c>
      <c r="D80" s="291">
        <v>4620207491638</v>
      </c>
      <c r="E80" s="292"/>
      <c r="F80" s="277">
        <v>0.3</v>
      </c>
      <c r="G80" s="32">
        <v>12</v>
      </c>
      <c r="H80" s="277">
        <v>3.6</v>
      </c>
      <c r="I80" s="277">
        <v>4.3036000000000003</v>
      </c>
      <c r="J80" s="32">
        <v>70</v>
      </c>
      <c r="K80" s="32" t="s">
        <v>104</v>
      </c>
      <c r="L80" s="32" t="s">
        <v>65</v>
      </c>
      <c r="M80" s="33" t="s">
        <v>66</v>
      </c>
      <c r="N80" s="33"/>
      <c r="O80" s="32">
        <v>180</v>
      </c>
      <c r="P80" s="415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96"/>
      <c r="R80" s="296"/>
      <c r="S80" s="296"/>
      <c r="T80" s="297"/>
      <c r="U80" s="34"/>
      <c r="V80" s="34"/>
      <c r="W80" s="35" t="s">
        <v>67</v>
      </c>
      <c r="X80" s="278">
        <v>14</v>
      </c>
      <c r="Y80" s="279">
        <f>IFERROR(IF(X80="","",X80),"")</f>
        <v>14</v>
      </c>
      <c r="Z80" s="36">
        <f>IFERROR(IF(X80="","",X80*0.01788),"")</f>
        <v>0.25031999999999999</v>
      </c>
      <c r="AA80" s="56"/>
      <c r="AB80" s="57"/>
      <c r="AC80" s="124" t="s">
        <v>155</v>
      </c>
      <c r="AG80" s="67"/>
      <c r="AJ80" s="71" t="s">
        <v>69</v>
      </c>
      <c r="AK80" s="71">
        <v>1</v>
      </c>
      <c r="BB80" s="125" t="s">
        <v>108</v>
      </c>
      <c r="BM80" s="67">
        <f>IFERROR(X80*I80,"0")</f>
        <v>60.250400000000006</v>
      </c>
      <c r="BN80" s="67">
        <f>IFERROR(Y80*I80,"0")</f>
        <v>60.250400000000006</v>
      </c>
      <c r="BO80" s="67">
        <f>IFERROR(X80/J80,"0")</f>
        <v>0.2</v>
      </c>
      <c r="BP80" s="67">
        <f>IFERROR(Y80/J80,"0")</f>
        <v>0.2</v>
      </c>
    </row>
    <row r="81" spans="1:68" x14ac:dyDescent="0.2">
      <c r="A81" s="29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99"/>
      <c r="P81" s="284" t="s">
        <v>86</v>
      </c>
      <c r="Q81" s="285"/>
      <c r="R81" s="285"/>
      <c r="S81" s="285"/>
      <c r="T81" s="285"/>
      <c r="U81" s="285"/>
      <c r="V81" s="286"/>
      <c r="W81" s="37" t="s">
        <v>67</v>
      </c>
      <c r="X81" s="280">
        <f>IFERROR(SUM(X80:X80),"0")</f>
        <v>14</v>
      </c>
      <c r="Y81" s="280">
        <f>IFERROR(SUM(Y80:Y80),"0")</f>
        <v>14</v>
      </c>
      <c r="Z81" s="280">
        <f>IFERROR(IF(Z80="",0,Z80),"0")</f>
        <v>0.25031999999999999</v>
      </c>
      <c r="AA81" s="281"/>
      <c r="AB81" s="281"/>
      <c r="AC81" s="281"/>
    </row>
    <row r="82" spans="1:68" x14ac:dyDescent="0.2">
      <c r="A82" s="288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99"/>
      <c r="P82" s="284" t="s">
        <v>86</v>
      </c>
      <c r="Q82" s="285"/>
      <c r="R82" s="285"/>
      <c r="S82" s="285"/>
      <c r="T82" s="285"/>
      <c r="U82" s="285"/>
      <c r="V82" s="286"/>
      <c r="W82" s="37" t="s">
        <v>87</v>
      </c>
      <c r="X82" s="280">
        <f>IFERROR(SUMPRODUCT(X80:X80*H80:H80),"0")</f>
        <v>50.4</v>
      </c>
      <c r="Y82" s="280">
        <f>IFERROR(SUMPRODUCT(Y80:Y80*H80:H80),"0")</f>
        <v>50.4</v>
      </c>
      <c r="Z82" s="37"/>
      <c r="AA82" s="281"/>
      <c r="AB82" s="281"/>
      <c r="AC82" s="281"/>
    </row>
    <row r="83" spans="1:68" ht="16.5" hidden="1" customHeight="1" x14ac:dyDescent="0.25">
      <c r="A83" s="287" t="s">
        <v>156</v>
      </c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  <c r="AA83" s="273"/>
      <c r="AB83" s="273"/>
      <c r="AC83" s="273"/>
    </row>
    <row r="84" spans="1:68" ht="14.25" hidden="1" customHeight="1" x14ac:dyDescent="0.25">
      <c r="A84" s="324" t="s">
        <v>157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74"/>
      <c r="AB84" s="274"/>
      <c r="AC84" s="274"/>
    </row>
    <row r="85" spans="1:68" ht="27" hidden="1" customHeight="1" x14ac:dyDescent="0.25">
      <c r="A85" s="54" t="s">
        <v>158</v>
      </c>
      <c r="B85" s="54" t="s">
        <v>159</v>
      </c>
      <c r="C85" s="31">
        <v>4301131047</v>
      </c>
      <c r="D85" s="291">
        <v>4607111034120</v>
      </c>
      <c r="E85" s="292"/>
      <c r="F85" s="277">
        <v>0.3</v>
      </c>
      <c r="G85" s="32">
        <v>12</v>
      </c>
      <c r="H85" s="277">
        <v>3.6</v>
      </c>
      <c r="I85" s="277">
        <v>4.3036000000000003</v>
      </c>
      <c r="J85" s="32">
        <v>70</v>
      </c>
      <c r="K85" s="32" t="s">
        <v>104</v>
      </c>
      <c r="L85" s="32" t="s">
        <v>105</v>
      </c>
      <c r="M85" s="33" t="s">
        <v>66</v>
      </c>
      <c r="N85" s="33"/>
      <c r="O85" s="32">
        <v>180</v>
      </c>
      <c r="P85" s="46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96"/>
      <c r="R85" s="296"/>
      <c r="S85" s="296"/>
      <c r="T85" s="297"/>
      <c r="U85" s="34"/>
      <c r="V85" s="34"/>
      <c r="W85" s="35" t="s">
        <v>67</v>
      </c>
      <c r="X85" s="278">
        <v>0</v>
      </c>
      <c r="Y85" s="279">
        <f>IFERROR(IF(X85="","",X85),"")</f>
        <v>0</v>
      </c>
      <c r="Z85" s="36">
        <f>IFERROR(IF(X85="","",X85*0.01788),"")</f>
        <v>0</v>
      </c>
      <c r="AA85" s="56"/>
      <c r="AB85" s="57"/>
      <c r="AC85" s="126" t="s">
        <v>160</v>
      </c>
      <c r="AG85" s="67"/>
      <c r="AJ85" s="71" t="s">
        <v>107</v>
      </c>
      <c r="AK85" s="71">
        <v>14</v>
      </c>
      <c r="BB85" s="127" t="s">
        <v>108</v>
      </c>
      <c r="BM85" s="67">
        <f>IFERROR(X85*I85,"0")</f>
        <v>0</v>
      </c>
      <c r="BN85" s="67">
        <f>IFERROR(Y85*I85,"0")</f>
        <v>0</v>
      </c>
      <c r="BO85" s="67">
        <f>IFERROR(X85/J85,"0")</f>
        <v>0</v>
      </c>
      <c r="BP85" s="67">
        <f>IFERROR(Y85/J85,"0")</f>
        <v>0</v>
      </c>
    </row>
    <row r="86" spans="1:68" ht="27" customHeight="1" x14ac:dyDescent="0.25">
      <c r="A86" s="54" t="s">
        <v>161</v>
      </c>
      <c r="B86" s="54" t="s">
        <v>162</v>
      </c>
      <c r="C86" s="31">
        <v>4301131046</v>
      </c>
      <c r="D86" s="291">
        <v>4607111034137</v>
      </c>
      <c r="E86" s="292"/>
      <c r="F86" s="277">
        <v>0.3</v>
      </c>
      <c r="G86" s="32">
        <v>12</v>
      </c>
      <c r="H86" s="277">
        <v>3.6</v>
      </c>
      <c r="I86" s="277">
        <v>4.3036000000000003</v>
      </c>
      <c r="J86" s="32">
        <v>70</v>
      </c>
      <c r="K86" s="32" t="s">
        <v>104</v>
      </c>
      <c r="L86" s="32" t="s">
        <v>105</v>
      </c>
      <c r="M86" s="33" t="s">
        <v>66</v>
      </c>
      <c r="N86" s="33"/>
      <c r="O86" s="32">
        <v>180</v>
      </c>
      <c r="P86" s="3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96"/>
      <c r="R86" s="296"/>
      <c r="S86" s="296"/>
      <c r="T86" s="297"/>
      <c r="U86" s="34"/>
      <c r="V86" s="34"/>
      <c r="W86" s="35" t="s">
        <v>67</v>
      </c>
      <c r="X86" s="278">
        <v>42</v>
      </c>
      <c r="Y86" s="279">
        <f>IFERROR(IF(X86="","",X86),"")</f>
        <v>42</v>
      </c>
      <c r="Z86" s="36">
        <f>IFERROR(IF(X86="","",X86*0.01788),"")</f>
        <v>0.75095999999999996</v>
      </c>
      <c r="AA86" s="56"/>
      <c r="AB86" s="57"/>
      <c r="AC86" s="128" t="s">
        <v>163</v>
      </c>
      <c r="AG86" s="67"/>
      <c r="AJ86" s="71" t="s">
        <v>107</v>
      </c>
      <c r="AK86" s="71">
        <v>14</v>
      </c>
      <c r="BB86" s="129" t="s">
        <v>108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298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99"/>
      <c r="P87" s="284" t="s">
        <v>86</v>
      </c>
      <c r="Q87" s="285"/>
      <c r="R87" s="285"/>
      <c r="S87" s="285"/>
      <c r="T87" s="285"/>
      <c r="U87" s="285"/>
      <c r="V87" s="286"/>
      <c r="W87" s="37" t="s">
        <v>67</v>
      </c>
      <c r="X87" s="280">
        <f>IFERROR(SUM(X85:X86),"0")</f>
        <v>42</v>
      </c>
      <c r="Y87" s="280">
        <f>IFERROR(SUM(Y85:Y86),"0")</f>
        <v>42</v>
      </c>
      <c r="Z87" s="280">
        <f>IFERROR(IF(Z85="",0,Z85),"0")+IFERROR(IF(Z86="",0,Z86),"0")</f>
        <v>0.75095999999999996</v>
      </c>
      <c r="AA87" s="281"/>
      <c r="AB87" s="281"/>
      <c r="AC87" s="281"/>
    </row>
    <row r="88" spans="1:68" x14ac:dyDescent="0.2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99"/>
      <c r="P88" s="284" t="s">
        <v>86</v>
      </c>
      <c r="Q88" s="285"/>
      <c r="R88" s="285"/>
      <c r="S88" s="285"/>
      <c r="T88" s="285"/>
      <c r="U88" s="285"/>
      <c r="V88" s="286"/>
      <c r="W88" s="37" t="s">
        <v>87</v>
      </c>
      <c r="X88" s="280">
        <f>IFERROR(SUMPRODUCT(X85:X86*H85:H86),"0")</f>
        <v>151.20000000000002</v>
      </c>
      <c r="Y88" s="280">
        <f>IFERROR(SUMPRODUCT(Y85:Y86*H85:H86),"0")</f>
        <v>151.20000000000002</v>
      </c>
      <c r="Z88" s="37"/>
      <c r="AA88" s="281"/>
      <c r="AB88" s="281"/>
      <c r="AC88" s="281"/>
    </row>
    <row r="89" spans="1:68" ht="16.5" hidden="1" customHeight="1" x14ac:dyDescent="0.25">
      <c r="A89" s="287" t="s">
        <v>164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73"/>
      <c r="AB89" s="273"/>
      <c r="AC89" s="273"/>
    </row>
    <row r="90" spans="1:68" ht="14.25" hidden="1" customHeight="1" x14ac:dyDescent="0.25">
      <c r="A90" s="324" t="s">
        <v>152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74"/>
      <c r="AB90" s="274"/>
      <c r="AC90" s="274"/>
    </row>
    <row r="91" spans="1:68" ht="27" customHeight="1" x14ac:dyDescent="0.25">
      <c r="A91" s="54" t="s">
        <v>165</v>
      </c>
      <c r="B91" s="54" t="s">
        <v>166</v>
      </c>
      <c r="C91" s="31">
        <v>4301135763</v>
      </c>
      <c r="D91" s="291">
        <v>4620207491027</v>
      </c>
      <c r="E91" s="292"/>
      <c r="F91" s="277">
        <v>0.24</v>
      </c>
      <c r="G91" s="32">
        <v>12</v>
      </c>
      <c r="H91" s="277">
        <v>2.88</v>
      </c>
      <c r="I91" s="277">
        <v>3.5836000000000001</v>
      </c>
      <c r="J91" s="32">
        <v>70</v>
      </c>
      <c r="K91" s="32" t="s">
        <v>104</v>
      </c>
      <c r="L91" s="32" t="s">
        <v>105</v>
      </c>
      <c r="M91" s="33" t="s">
        <v>66</v>
      </c>
      <c r="N91" s="33"/>
      <c r="O91" s="32">
        <v>180</v>
      </c>
      <c r="P91" s="43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96"/>
      <c r="R91" s="296"/>
      <c r="S91" s="296"/>
      <c r="T91" s="297"/>
      <c r="U91" s="34"/>
      <c r="V91" s="34"/>
      <c r="W91" s="35" t="s">
        <v>67</v>
      </c>
      <c r="X91" s="278">
        <v>14</v>
      </c>
      <c r="Y91" s="279">
        <f t="shared" ref="Y91:Y96" si="6">IFERROR(IF(X91="","",X91),"")</f>
        <v>14</v>
      </c>
      <c r="Z91" s="36">
        <f t="shared" ref="Z91:Z96" si="7">IFERROR(IF(X91="","",X91*0.01788),"")</f>
        <v>0.25031999999999999</v>
      </c>
      <c r="AA91" s="56"/>
      <c r="AB91" s="57"/>
      <c r="AC91" s="130" t="s">
        <v>167</v>
      </c>
      <c r="AG91" s="67"/>
      <c r="AJ91" s="71" t="s">
        <v>107</v>
      </c>
      <c r="AK91" s="71">
        <v>14</v>
      </c>
      <c r="BB91" s="131" t="s">
        <v>108</v>
      </c>
      <c r="BM91" s="67">
        <f t="shared" ref="BM91:BM96" si="8">IFERROR(X91*I91,"0")</f>
        <v>50.170400000000001</v>
      </c>
      <c r="BN91" s="67">
        <f t="shared" ref="BN91:BN96" si="9">IFERROR(Y91*I91,"0")</f>
        <v>50.170400000000001</v>
      </c>
      <c r="BO91" s="67">
        <f t="shared" ref="BO91:BO96" si="10">IFERROR(X91/J91,"0")</f>
        <v>0.2</v>
      </c>
      <c r="BP91" s="67">
        <f t="shared" ref="BP91:BP96" si="11">IFERROR(Y91/J91,"0")</f>
        <v>0.2</v>
      </c>
    </row>
    <row r="92" spans="1:68" ht="27" customHeight="1" x14ac:dyDescent="0.25">
      <c r="A92" s="54" t="s">
        <v>168</v>
      </c>
      <c r="B92" s="54" t="s">
        <v>169</v>
      </c>
      <c r="C92" s="31">
        <v>4301135914</v>
      </c>
      <c r="D92" s="291">
        <v>4620207491621</v>
      </c>
      <c r="E92" s="292"/>
      <c r="F92" s="277">
        <v>0.24</v>
      </c>
      <c r="G92" s="32">
        <v>12</v>
      </c>
      <c r="H92" s="277">
        <v>2.88</v>
      </c>
      <c r="I92" s="277">
        <v>3.5836000000000001</v>
      </c>
      <c r="J92" s="32">
        <v>70</v>
      </c>
      <c r="K92" s="32" t="s">
        <v>104</v>
      </c>
      <c r="L92" s="32" t="s">
        <v>65</v>
      </c>
      <c r="M92" s="33" t="s">
        <v>66</v>
      </c>
      <c r="N92" s="33"/>
      <c r="O92" s="32">
        <v>180</v>
      </c>
      <c r="P92" s="33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96"/>
      <c r="R92" s="296"/>
      <c r="S92" s="296"/>
      <c r="T92" s="297"/>
      <c r="U92" s="34"/>
      <c r="V92" s="34"/>
      <c r="W92" s="35" t="s">
        <v>67</v>
      </c>
      <c r="X92" s="278">
        <v>14</v>
      </c>
      <c r="Y92" s="279">
        <f t="shared" si="6"/>
        <v>14</v>
      </c>
      <c r="Z92" s="36">
        <f t="shared" si="7"/>
        <v>0.25031999999999999</v>
      </c>
      <c r="AA92" s="56"/>
      <c r="AB92" s="57"/>
      <c r="AC92" s="132" t="s">
        <v>170</v>
      </c>
      <c r="AG92" s="67"/>
      <c r="AJ92" s="71" t="s">
        <v>69</v>
      </c>
      <c r="AK92" s="71">
        <v>1</v>
      </c>
      <c r="BB92" s="133" t="s">
        <v>108</v>
      </c>
      <c r="BM92" s="67">
        <f t="shared" si="8"/>
        <v>50.170400000000001</v>
      </c>
      <c r="BN92" s="67">
        <f t="shared" si="9"/>
        <v>50.170400000000001</v>
      </c>
      <c r="BO92" s="67">
        <f t="shared" si="10"/>
        <v>0.2</v>
      </c>
      <c r="BP92" s="67">
        <f t="shared" si="11"/>
        <v>0.2</v>
      </c>
    </row>
    <row r="93" spans="1:68" ht="27" hidden="1" customHeight="1" x14ac:dyDescent="0.25">
      <c r="A93" s="54" t="s">
        <v>171</v>
      </c>
      <c r="B93" s="54" t="s">
        <v>172</v>
      </c>
      <c r="C93" s="31">
        <v>4301135990</v>
      </c>
      <c r="D93" s="291">
        <v>4620207491881</v>
      </c>
      <c r="E93" s="292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104</v>
      </c>
      <c r="L93" s="32" t="s">
        <v>65</v>
      </c>
      <c r="M93" s="33" t="s">
        <v>66</v>
      </c>
      <c r="N93" s="33"/>
      <c r="O93" s="32">
        <v>180</v>
      </c>
      <c r="P93" s="4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96"/>
      <c r="R93" s="296"/>
      <c r="S93" s="296"/>
      <c r="T93" s="297"/>
      <c r="U93" s="34"/>
      <c r="V93" s="34"/>
      <c r="W93" s="35" t="s">
        <v>67</v>
      </c>
      <c r="X93" s="278">
        <v>0</v>
      </c>
      <c r="Y93" s="279">
        <f t="shared" si="6"/>
        <v>0</v>
      </c>
      <c r="Z93" s="36">
        <f t="shared" si="7"/>
        <v>0</v>
      </c>
      <c r="AA93" s="56"/>
      <c r="AB93" s="57"/>
      <c r="AC93" s="134" t="s">
        <v>170</v>
      </c>
      <c r="AG93" s="67"/>
      <c r="AJ93" s="71" t="s">
        <v>69</v>
      </c>
      <c r="AK93" s="71">
        <v>1</v>
      </c>
      <c r="BB93" s="135" t="s">
        <v>108</v>
      </c>
      <c r="BM93" s="67">
        <f t="shared" si="8"/>
        <v>0</v>
      </c>
      <c r="BN93" s="67">
        <f t="shared" si="9"/>
        <v>0</v>
      </c>
      <c r="BO93" s="67">
        <f t="shared" si="10"/>
        <v>0</v>
      </c>
      <c r="BP93" s="67">
        <f t="shared" si="11"/>
        <v>0</v>
      </c>
    </row>
    <row r="94" spans="1:68" ht="27" hidden="1" customHeight="1" x14ac:dyDescent="0.25">
      <c r="A94" s="54" t="s">
        <v>173</v>
      </c>
      <c r="B94" s="54" t="s">
        <v>174</v>
      </c>
      <c r="C94" s="31">
        <v>4301135920</v>
      </c>
      <c r="D94" s="291">
        <v>4620207491577</v>
      </c>
      <c r="E94" s="292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104</v>
      </c>
      <c r="L94" s="32" t="s">
        <v>65</v>
      </c>
      <c r="M94" s="33" t="s">
        <v>66</v>
      </c>
      <c r="N94" s="33"/>
      <c r="O94" s="32">
        <v>180</v>
      </c>
      <c r="P94" s="339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96"/>
      <c r="R94" s="296"/>
      <c r="S94" s="296"/>
      <c r="T94" s="297"/>
      <c r="U94" s="34"/>
      <c r="V94" s="34"/>
      <c r="W94" s="35" t="s">
        <v>67</v>
      </c>
      <c r="X94" s="278">
        <v>0</v>
      </c>
      <c r="Y94" s="279">
        <f t="shared" si="6"/>
        <v>0</v>
      </c>
      <c r="Z94" s="36">
        <f t="shared" si="7"/>
        <v>0</v>
      </c>
      <c r="AA94" s="56"/>
      <c r="AB94" s="57"/>
      <c r="AC94" s="136" t="s">
        <v>170</v>
      </c>
      <c r="AG94" s="67"/>
      <c r="AJ94" s="71" t="s">
        <v>69</v>
      </c>
      <c r="AK94" s="71">
        <v>1</v>
      </c>
      <c r="BB94" s="137" t="s">
        <v>108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customHeight="1" x14ac:dyDescent="0.25">
      <c r="A95" s="54" t="s">
        <v>175</v>
      </c>
      <c r="B95" s="54" t="s">
        <v>176</v>
      </c>
      <c r="C95" s="31">
        <v>4301135984</v>
      </c>
      <c r="D95" s="291">
        <v>4620207491874</v>
      </c>
      <c r="E95" s="292"/>
      <c r="F95" s="277">
        <v>0.48</v>
      </c>
      <c r="G95" s="32">
        <v>8</v>
      </c>
      <c r="H95" s="277">
        <v>3.84</v>
      </c>
      <c r="I95" s="277">
        <v>4.4488000000000003</v>
      </c>
      <c r="J95" s="32">
        <v>70</v>
      </c>
      <c r="K95" s="32" t="s">
        <v>104</v>
      </c>
      <c r="L95" s="32" t="s">
        <v>65</v>
      </c>
      <c r="M95" s="33" t="s">
        <v>66</v>
      </c>
      <c r="N95" s="33"/>
      <c r="O95" s="32">
        <v>180</v>
      </c>
      <c r="P95" s="34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96"/>
      <c r="R95" s="296"/>
      <c r="S95" s="296"/>
      <c r="T95" s="297"/>
      <c r="U95" s="34"/>
      <c r="V95" s="34"/>
      <c r="W95" s="35" t="s">
        <v>67</v>
      </c>
      <c r="X95" s="278">
        <v>14</v>
      </c>
      <c r="Y95" s="279">
        <f t="shared" si="6"/>
        <v>14</v>
      </c>
      <c r="Z95" s="36">
        <f t="shared" si="7"/>
        <v>0.25031999999999999</v>
      </c>
      <c r="AA95" s="56"/>
      <c r="AB95" s="57"/>
      <c r="AC95" s="138" t="s">
        <v>170</v>
      </c>
      <c r="AG95" s="67"/>
      <c r="AJ95" s="71" t="s">
        <v>69</v>
      </c>
      <c r="AK95" s="71">
        <v>1</v>
      </c>
      <c r="BB95" s="139" t="s">
        <v>108</v>
      </c>
      <c r="BM95" s="67">
        <f t="shared" si="8"/>
        <v>62.283200000000008</v>
      </c>
      <c r="BN95" s="67">
        <f t="shared" si="9"/>
        <v>62.283200000000008</v>
      </c>
      <c r="BO95" s="67">
        <f t="shared" si="10"/>
        <v>0.2</v>
      </c>
      <c r="BP95" s="67">
        <f t="shared" si="11"/>
        <v>0.2</v>
      </c>
    </row>
    <row r="96" spans="1:68" ht="27" hidden="1" customHeight="1" x14ac:dyDescent="0.25">
      <c r="A96" s="54" t="s">
        <v>177</v>
      </c>
      <c r="B96" s="54" t="s">
        <v>178</v>
      </c>
      <c r="C96" s="31">
        <v>4301137008</v>
      </c>
      <c r="D96" s="291">
        <v>4620207491782</v>
      </c>
      <c r="E96" s="292"/>
      <c r="F96" s="277">
        <v>0.3</v>
      </c>
      <c r="G96" s="32">
        <v>14</v>
      </c>
      <c r="H96" s="277">
        <v>4.2</v>
      </c>
      <c r="I96" s="277">
        <v>4.5292000000000003</v>
      </c>
      <c r="J96" s="32">
        <v>70</v>
      </c>
      <c r="K96" s="32" t="s">
        <v>104</v>
      </c>
      <c r="L96" s="32" t="s">
        <v>65</v>
      </c>
      <c r="M96" s="33" t="s">
        <v>66</v>
      </c>
      <c r="N96" s="33"/>
      <c r="O96" s="32">
        <v>180</v>
      </c>
      <c r="P96" s="43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96"/>
      <c r="R96" s="296"/>
      <c r="S96" s="296"/>
      <c r="T96" s="297"/>
      <c r="U96" s="34"/>
      <c r="V96" s="34"/>
      <c r="W96" s="35" t="s">
        <v>67</v>
      </c>
      <c r="X96" s="278">
        <v>0</v>
      </c>
      <c r="Y96" s="279">
        <f t="shared" si="6"/>
        <v>0</v>
      </c>
      <c r="Z96" s="36">
        <f t="shared" si="7"/>
        <v>0</v>
      </c>
      <c r="AA96" s="56"/>
      <c r="AB96" s="57"/>
      <c r="AC96" s="140" t="s">
        <v>170</v>
      </c>
      <c r="AG96" s="67"/>
      <c r="AJ96" s="71" t="s">
        <v>69</v>
      </c>
      <c r="AK96" s="71">
        <v>1</v>
      </c>
      <c r="BB96" s="141" t="s">
        <v>108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x14ac:dyDescent="0.2">
      <c r="A97" s="298"/>
      <c r="B97" s="288"/>
      <c r="C97" s="288"/>
      <c r="D97" s="288"/>
      <c r="E97" s="288"/>
      <c r="F97" s="288"/>
      <c r="G97" s="288"/>
      <c r="H97" s="288"/>
      <c r="I97" s="288"/>
      <c r="J97" s="288"/>
      <c r="K97" s="288"/>
      <c r="L97" s="288"/>
      <c r="M97" s="288"/>
      <c r="N97" s="288"/>
      <c r="O97" s="299"/>
      <c r="P97" s="284" t="s">
        <v>86</v>
      </c>
      <c r="Q97" s="285"/>
      <c r="R97" s="285"/>
      <c r="S97" s="285"/>
      <c r="T97" s="285"/>
      <c r="U97" s="285"/>
      <c r="V97" s="286"/>
      <c r="W97" s="37" t="s">
        <v>67</v>
      </c>
      <c r="X97" s="280">
        <f>IFERROR(SUM(X91:X96),"0")</f>
        <v>42</v>
      </c>
      <c r="Y97" s="280">
        <f>IFERROR(SUM(Y91:Y96),"0")</f>
        <v>42</v>
      </c>
      <c r="Z97" s="280">
        <f>IFERROR(IF(Z91="",0,Z91),"0")+IFERROR(IF(Z92="",0,Z92),"0")+IFERROR(IF(Z93="",0,Z93),"0")+IFERROR(IF(Z94="",0,Z94),"0")+IFERROR(IF(Z95="",0,Z95),"0")+IFERROR(IF(Z96="",0,Z96),"0")</f>
        <v>0.75095999999999996</v>
      </c>
      <c r="AA97" s="281"/>
      <c r="AB97" s="281"/>
      <c r="AC97" s="281"/>
    </row>
    <row r="98" spans="1:68" x14ac:dyDescent="0.2">
      <c r="A98" s="288"/>
      <c r="B98" s="288"/>
      <c r="C98" s="288"/>
      <c r="D98" s="288"/>
      <c r="E98" s="288"/>
      <c r="F98" s="288"/>
      <c r="G98" s="288"/>
      <c r="H98" s="288"/>
      <c r="I98" s="288"/>
      <c r="J98" s="288"/>
      <c r="K98" s="288"/>
      <c r="L98" s="288"/>
      <c r="M98" s="288"/>
      <c r="N98" s="288"/>
      <c r="O98" s="299"/>
      <c r="P98" s="284" t="s">
        <v>86</v>
      </c>
      <c r="Q98" s="285"/>
      <c r="R98" s="285"/>
      <c r="S98" s="285"/>
      <c r="T98" s="285"/>
      <c r="U98" s="285"/>
      <c r="V98" s="286"/>
      <c r="W98" s="37" t="s">
        <v>87</v>
      </c>
      <c r="X98" s="280">
        <f>IFERROR(SUMPRODUCT(X91:X96*H91:H96),"0")</f>
        <v>134.4</v>
      </c>
      <c r="Y98" s="280">
        <f>IFERROR(SUMPRODUCT(Y91:Y96*H91:H96),"0")</f>
        <v>134.4</v>
      </c>
      <c r="Z98" s="37"/>
      <c r="AA98" s="281"/>
      <c r="AB98" s="281"/>
      <c r="AC98" s="281"/>
    </row>
    <row r="99" spans="1:68" ht="16.5" hidden="1" customHeight="1" x14ac:dyDescent="0.25">
      <c r="A99" s="287" t="s">
        <v>179</v>
      </c>
      <c r="B99" s="28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  <c r="AA99" s="273"/>
      <c r="AB99" s="273"/>
      <c r="AC99" s="273"/>
    </row>
    <row r="100" spans="1:68" ht="14.25" hidden="1" customHeight="1" x14ac:dyDescent="0.25">
      <c r="A100" s="324" t="s">
        <v>180</v>
      </c>
      <c r="B100" s="288"/>
      <c r="C100" s="288"/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288"/>
      <c r="AA100" s="274"/>
      <c r="AB100" s="274"/>
      <c r="AC100" s="274"/>
    </row>
    <row r="101" spans="1:68" ht="27" hidden="1" customHeight="1" x14ac:dyDescent="0.25">
      <c r="A101" s="54" t="s">
        <v>181</v>
      </c>
      <c r="B101" s="54" t="s">
        <v>182</v>
      </c>
      <c r="C101" s="31">
        <v>4301136101</v>
      </c>
      <c r="D101" s="291">
        <v>4620207491652</v>
      </c>
      <c r="E101" s="292"/>
      <c r="F101" s="277">
        <v>0.09</v>
      </c>
      <c r="G101" s="32">
        <v>24</v>
      </c>
      <c r="H101" s="277">
        <v>2.16</v>
      </c>
      <c r="I101" s="277">
        <v>2.4912000000000001</v>
      </c>
      <c r="J101" s="32">
        <v>126</v>
      </c>
      <c r="K101" s="32" t="s">
        <v>104</v>
      </c>
      <c r="L101" s="32" t="s">
        <v>65</v>
      </c>
      <c r="M101" s="33" t="s">
        <v>66</v>
      </c>
      <c r="N101" s="33"/>
      <c r="O101" s="32">
        <v>180</v>
      </c>
      <c r="P101" s="43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96"/>
      <c r="R101" s="296"/>
      <c r="S101" s="296"/>
      <c r="T101" s="297"/>
      <c r="U101" s="34"/>
      <c r="V101" s="34"/>
      <c r="W101" s="35" t="s">
        <v>67</v>
      </c>
      <c r="X101" s="278">
        <v>0</v>
      </c>
      <c r="Y101" s="279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183</v>
      </c>
      <c r="AG101" s="67"/>
      <c r="AJ101" s="71" t="s">
        <v>69</v>
      </c>
      <c r="AK101" s="71">
        <v>1</v>
      </c>
      <c r="BB101" s="143" t="s">
        <v>108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184</v>
      </c>
      <c r="B102" s="54" t="s">
        <v>185</v>
      </c>
      <c r="C102" s="31">
        <v>4301136103</v>
      </c>
      <c r="D102" s="291">
        <v>4620207491645</v>
      </c>
      <c r="E102" s="292"/>
      <c r="F102" s="277">
        <v>0.36</v>
      </c>
      <c r="G102" s="32">
        <v>10</v>
      </c>
      <c r="H102" s="277">
        <v>3.6</v>
      </c>
      <c r="I102" s="277">
        <v>4.2439999999999998</v>
      </c>
      <c r="J102" s="32">
        <v>70</v>
      </c>
      <c r="K102" s="32" t="s">
        <v>104</v>
      </c>
      <c r="L102" s="32" t="s">
        <v>65</v>
      </c>
      <c r="M102" s="33" t="s">
        <v>66</v>
      </c>
      <c r="N102" s="33"/>
      <c r="O102" s="32">
        <v>180</v>
      </c>
      <c r="P102" s="42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96"/>
      <c r="R102" s="296"/>
      <c r="S102" s="296"/>
      <c r="T102" s="297"/>
      <c r="U102" s="34"/>
      <c r="V102" s="34"/>
      <c r="W102" s="35" t="s">
        <v>67</v>
      </c>
      <c r="X102" s="278">
        <v>0</v>
      </c>
      <c r="Y102" s="279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183</v>
      </c>
      <c r="AG102" s="67"/>
      <c r="AJ102" s="71" t="s">
        <v>69</v>
      </c>
      <c r="AK102" s="71">
        <v>1</v>
      </c>
      <c r="BB102" s="145" t="s">
        <v>108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">
      <c r="A103" s="298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99"/>
      <c r="P103" s="284" t="s">
        <v>86</v>
      </c>
      <c r="Q103" s="285"/>
      <c r="R103" s="285"/>
      <c r="S103" s="285"/>
      <c r="T103" s="285"/>
      <c r="U103" s="285"/>
      <c r="V103" s="286"/>
      <c r="W103" s="37" t="s">
        <v>67</v>
      </c>
      <c r="X103" s="280">
        <f>IFERROR(SUM(X101:X102),"0")</f>
        <v>0</v>
      </c>
      <c r="Y103" s="280">
        <f>IFERROR(SUM(Y101:Y102),"0")</f>
        <v>0</v>
      </c>
      <c r="Z103" s="280">
        <f>IFERROR(IF(Z101="",0,Z101),"0")+IFERROR(IF(Z102="",0,Z102),"0")</f>
        <v>0</v>
      </c>
      <c r="AA103" s="281"/>
      <c r="AB103" s="281"/>
      <c r="AC103" s="281"/>
    </row>
    <row r="104" spans="1:68" hidden="1" x14ac:dyDescent="0.2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99"/>
      <c r="P104" s="284" t="s">
        <v>86</v>
      </c>
      <c r="Q104" s="285"/>
      <c r="R104" s="285"/>
      <c r="S104" s="285"/>
      <c r="T104" s="285"/>
      <c r="U104" s="285"/>
      <c r="V104" s="286"/>
      <c r="W104" s="37" t="s">
        <v>87</v>
      </c>
      <c r="X104" s="280">
        <f>IFERROR(SUMPRODUCT(X101:X102*H101:H102),"0")</f>
        <v>0</v>
      </c>
      <c r="Y104" s="280">
        <f>IFERROR(SUMPRODUCT(Y101:Y102*H101:H102),"0")</f>
        <v>0</v>
      </c>
      <c r="Z104" s="37"/>
      <c r="AA104" s="281"/>
      <c r="AB104" s="281"/>
      <c r="AC104" s="281"/>
    </row>
    <row r="105" spans="1:68" ht="16.5" hidden="1" customHeight="1" x14ac:dyDescent="0.25">
      <c r="A105" s="287" t="s">
        <v>186</v>
      </c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73"/>
      <c r="AB105" s="273"/>
      <c r="AC105" s="273"/>
    </row>
    <row r="106" spans="1:68" ht="14.25" hidden="1" customHeight="1" x14ac:dyDescent="0.25">
      <c r="A106" s="324" t="s">
        <v>61</v>
      </c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74"/>
      <c r="AB106" s="274"/>
      <c r="AC106" s="274"/>
    </row>
    <row r="107" spans="1:68" ht="27" customHeight="1" x14ac:dyDescent="0.25">
      <c r="A107" s="54" t="s">
        <v>187</v>
      </c>
      <c r="B107" s="54" t="s">
        <v>188</v>
      </c>
      <c r="C107" s="31">
        <v>4301071074</v>
      </c>
      <c r="D107" s="291">
        <v>4620207491157</v>
      </c>
      <c r="E107" s="292"/>
      <c r="F107" s="277">
        <v>0.7</v>
      </c>
      <c r="G107" s="32">
        <v>10</v>
      </c>
      <c r="H107" s="277">
        <v>7</v>
      </c>
      <c r="I107" s="277">
        <v>7.28</v>
      </c>
      <c r="J107" s="32">
        <v>84</v>
      </c>
      <c r="K107" s="32" t="s">
        <v>64</v>
      </c>
      <c r="L107" s="32" t="s">
        <v>105</v>
      </c>
      <c r="M107" s="33" t="s">
        <v>66</v>
      </c>
      <c r="N107" s="33"/>
      <c r="O107" s="32">
        <v>180</v>
      </c>
      <c r="P107" s="43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96"/>
      <c r="R107" s="296"/>
      <c r="S107" s="296"/>
      <c r="T107" s="297"/>
      <c r="U107" s="34"/>
      <c r="V107" s="34"/>
      <c r="W107" s="35" t="s">
        <v>67</v>
      </c>
      <c r="X107" s="278">
        <v>24</v>
      </c>
      <c r="Y107" s="279">
        <f t="shared" ref="Y107:Y113" si="12">IFERROR(IF(X107="","",X107),"")</f>
        <v>24</v>
      </c>
      <c r="Z107" s="36">
        <f t="shared" ref="Z107:Z113" si="13">IFERROR(IF(X107="","",X107*0.0155),"")</f>
        <v>0.372</v>
      </c>
      <c r="AA107" s="56"/>
      <c r="AB107" s="57"/>
      <c r="AC107" s="146" t="s">
        <v>189</v>
      </c>
      <c r="AG107" s="67"/>
      <c r="AJ107" s="71" t="s">
        <v>107</v>
      </c>
      <c r="AK107" s="71">
        <v>12</v>
      </c>
      <c r="BB107" s="147" t="s">
        <v>1</v>
      </c>
      <c r="BM107" s="67">
        <f t="shared" ref="BM107:BM113" si="14">IFERROR(X107*I107,"0")</f>
        <v>174.72</v>
      </c>
      <c r="BN107" s="67">
        <f t="shared" ref="BN107:BN113" si="15">IFERROR(Y107*I107,"0")</f>
        <v>174.72</v>
      </c>
      <c r="BO107" s="67">
        <f t="shared" ref="BO107:BO113" si="16">IFERROR(X107/J107,"0")</f>
        <v>0.2857142857142857</v>
      </c>
      <c r="BP107" s="67">
        <f t="shared" ref="BP107:BP113" si="17">IFERROR(Y107/J107,"0")</f>
        <v>0.2857142857142857</v>
      </c>
    </row>
    <row r="108" spans="1:68" ht="27" hidden="1" customHeight="1" x14ac:dyDescent="0.25">
      <c r="A108" s="54" t="s">
        <v>190</v>
      </c>
      <c r="B108" s="54" t="s">
        <v>191</v>
      </c>
      <c r="C108" s="31">
        <v>4301071121</v>
      </c>
      <c r="D108" s="291">
        <v>4620207491393</v>
      </c>
      <c r="E108" s="292"/>
      <c r="F108" s="277">
        <v>0.4</v>
      </c>
      <c r="G108" s="32">
        <v>16</v>
      </c>
      <c r="H108" s="277">
        <v>6.4</v>
      </c>
      <c r="I108" s="277">
        <v>6.71</v>
      </c>
      <c r="J108" s="32">
        <v>84</v>
      </c>
      <c r="K108" s="32" t="s">
        <v>64</v>
      </c>
      <c r="L108" s="32" t="s">
        <v>65</v>
      </c>
      <c r="M108" s="33" t="s">
        <v>66</v>
      </c>
      <c r="N108" s="33"/>
      <c r="O108" s="32">
        <v>180</v>
      </c>
      <c r="P108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96"/>
      <c r="R108" s="296"/>
      <c r="S108" s="296"/>
      <c r="T108" s="297"/>
      <c r="U108" s="34"/>
      <c r="V108" s="34"/>
      <c r="W108" s="35" t="s">
        <v>67</v>
      </c>
      <c r="X108" s="278">
        <v>0</v>
      </c>
      <c r="Y108" s="279">
        <f t="shared" si="12"/>
        <v>0</v>
      </c>
      <c r="Z108" s="36">
        <f t="shared" si="13"/>
        <v>0</v>
      </c>
      <c r="AA108" s="56"/>
      <c r="AB108" s="57"/>
      <c r="AC108" s="148" t="s">
        <v>192</v>
      </c>
      <c r="AG108" s="67"/>
      <c r="AJ108" s="71" t="s">
        <v>69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193</v>
      </c>
      <c r="B109" s="54" t="s">
        <v>194</v>
      </c>
      <c r="C109" s="31">
        <v>4301071051</v>
      </c>
      <c r="D109" s="291">
        <v>4607111039262</v>
      </c>
      <c r="E109" s="292"/>
      <c r="F109" s="277">
        <v>0.4</v>
      </c>
      <c r="G109" s="32">
        <v>16</v>
      </c>
      <c r="H109" s="277">
        <v>6.4</v>
      </c>
      <c r="I109" s="277">
        <v>6.7195999999999998</v>
      </c>
      <c r="J109" s="32">
        <v>84</v>
      </c>
      <c r="K109" s="32" t="s">
        <v>64</v>
      </c>
      <c r="L109" s="32" t="s">
        <v>105</v>
      </c>
      <c r="M109" s="33" t="s">
        <v>66</v>
      </c>
      <c r="N109" s="33"/>
      <c r="O109" s="32">
        <v>180</v>
      </c>
      <c r="P109" s="41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96"/>
      <c r="R109" s="296"/>
      <c r="S109" s="296"/>
      <c r="T109" s="297"/>
      <c r="U109" s="34"/>
      <c r="V109" s="34"/>
      <c r="W109" s="35" t="s">
        <v>67</v>
      </c>
      <c r="X109" s="278">
        <v>36</v>
      </c>
      <c r="Y109" s="279">
        <f t="shared" si="12"/>
        <v>36</v>
      </c>
      <c r="Z109" s="36">
        <f t="shared" si="13"/>
        <v>0.55800000000000005</v>
      </c>
      <c r="AA109" s="56"/>
      <c r="AB109" s="57"/>
      <c r="AC109" s="150" t="s">
        <v>148</v>
      </c>
      <c r="AG109" s="67"/>
      <c r="AJ109" s="71" t="s">
        <v>107</v>
      </c>
      <c r="AK109" s="71">
        <v>12</v>
      </c>
      <c r="BB109" s="151" t="s">
        <v>1</v>
      </c>
      <c r="BM109" s="67">
        <f t="shared" si="14"/>
        <v>241.90559999999999</v>
      </c>
      <c r="BN109" s="67">
        <f t="shared" si="15"/>
        <v>241.90559999999999</v>
      </c>
      <c r="BO109" s="67">
        <f t="shared" si="16"/>
        <v>0.42857142857142855</v>
      </c>
      <c r="BP109" s="67">
        <f t="shared" si="17"/>
        <v>0.42857142857142855</v>
      </c>
    </row>
    <row r="110" spans="1:68" ht="27" customHeight="1" x14ac:dyDescent="0.25">
      <c r="A110" s="54" t="s">
        <v>195</v>
      </c>
      <c r="B110" s="54" t="s">
        <v>196</v>
      </c>
      <c r="C110" s="31">
        <v>4301071038</v>
      </c>
      <c r="D110" s="291">
        <v>4607111039248</v>
      </c>
      <c r="E110" s="292"/>
      <c r="F110" s="277">
        <v>0.7</v>
      </c>
      <c r="G110" s="32">
        <v>10</v>
      </c>
      <c r="H110" s="277">
        <v>7</v>
      </c>
      <c r="I110" s="277">
        <v>7.3</v>
      </c>
      <c r="J110" s="32">
        <v>84</v>
      </c>
      <c r="K110" s="32" t="s">
        <v>64</v>
      </c>
      <c r="L110" s="32" t="s">
        <v>105</v>
      </c>
      <c r="M110" s="33" t="s">
        <v>66</v>
      </c>
      <c r="N110" s="33"/>
      <c r="O110" s="32">
        <v>180</v>
      </c>
      <c r="P110" s="44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96"/>
      <c r="R110" s="296"/>
      <c r="S110" s="296"/>
      <c r="T110" s="297"/>
      <c r="U110" s="34"/>
      <c r="V110" s="34"/>
      <c r="W110" s="35" t="s">
        <v>67</v>
      </c>
      <c r="X110" s="278">
        <v>72</v>
      </c>
      <c r="Y110" s="279">
        <f t="shared" si="12"/>
        <v>72</v>
      </c>
      <c r="Z110" s="36">
        <f t="shared" si="13"/>
        <v>1.1160000000000001</v>
      </c>
      <c r="AA110" s="56"/>
      <c r="AB110" s="57"/>
      <c r="AC110" s="152" t="s">
        <v>148</v>
      </c>
      <c r="AG110" s="67"/>
      <c r="AJ110" s="71" t="s">
        <v>107</v>
      </c>
      <c r="AK110" s="71">
        <v>12</v>
      </c>
      <c r="BB110" s="153" t="s">
        <v>1</v>
      </c>
      <c r="BM110" s="67">
        <f t="shared" si="14"/>
        <v>525.6</v>
      </c>
      <c r="BN110" s="67">
        <f t="shared" si="15"/>
        <v>525.6</v>
      </c>
      <c r="BO110" s="67">
        <f t="shared" si="16"/>
        <v>0.8571428571428571</v>
      </c>
      <c r="BP110" s="67">
        <f t="shared" si="17"/>
        <v>0.8571428571428571</v>
      </c>
    </row>
    <row r="111" spans="1:68" ht="27" hidden="1" customHeight="1" x14ac:dyDescent="0.25">
      <c r="A111" s="54" t="s">
        <v>197</v>
      </c>
      <c r="B111" s="54" t="s">
        <v>198</v>
      </c>
      <c r="C111" s="31">
        <v>4301070979</v>
      </c>
      <c r="D111" s="291">
        <v>4607111037145</v>
      </c>
      <c r="E111" s="292"/>
      <c r="F111" s="277">
        <v>0.8</v>
      </c>
      <c r="G111" s="32">
        <v>8</v>
      </c>
      <c r="H111" s="277">
        <v>6.4</v>
      </c>
      <c r="I111" s="277">
        <v>6.6748000000000003</v>
      </c>
      <c r="J111" s="32">
        <v>84</v>
      </c>
      <c r="K111" s="32" t="s">
        <v>64</v>
      </c>
      <c r="L111" s="32" t="s">
        <v>65</v>
      </c>
      <c r="M111" s="33" t="s">
        <v>66</v>
      </c>
      <c r="N111" s="33"/>
      <c r="O111" s="32">
        <v>180</v>
      </c>
      <c r="P111" s="39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96"/>
      <c r="R111" s="296"/>
      <c r="S111" s="296"/>
      <c r="T111" s="297"/>
      <c r="U111" s="34"/>
      <c r="V111" s="34"/>
      <c r="W111" s="35" t="s">
        <v>67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54" t="s">
        <v>199</v>
      </c>
      <c r="AG111" s="67"/>
      <c r="AJ111" s="71" t="s">
        <v>69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200</v>
      </c>
      <c r="B112" s="54" t="s">
        <v>201</v>
      </c>
      <c r="C112" s="31">
        <v>4301071139</v>
      </c>
      <c r="D112" s="291">
        <v>4607111039293</v>
      </c>
      <c r="E112" s="292"/>
      <c r="F112" s="277">
        <v>0.4</v>
      </c>
      <c r="G112" s="32">
        <v>16</v>
      </c>
      <c r="H112" s="277">
        <v>6.4</v>
      </c>
      <c r="I112" s="277">
        <v>6.7195999999999998</v>
      </c>
      <c r="J112" s="32">
        <v>84</v>
      </c>
      <c r="K112" s="32" t="s">
        <v>64</v>
      </c>
      <c r="L112" s="32" t="s">
        <v>65</v>
      </c>
      <c r="M112" s="33" t="s">
        <v>66</v>
      </c>
      <c r="N112" s="33"/>
      <c r="O112" s="32">
        <v>180</v>
      </c>
      <c r="P112" s="46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96"/>
      <c r="R112" s="296"/>
      <c r="S112" s="296"/>
      <c r="T112" s="297"/>
      <c r="U112" s="34"/>
      <c r="V112" s="34"/>
      <c r="W112" s="35" t="s">
        <v>67</v>
      </c>
      <c r="X112" s="278">
        <v>36</v>
      </c>
      <c r="Y112" s="279">
        <f t="shared" si="12"/>
        <v>36</v>
      </c>
      <c r="Z112" s="36">
        <f t="shared" si="13"/>
        <v>0.55800000000000005</v>
      </c>
      <c r="AA112" s="56"/>
      <c r="AB112" s="57"/>
      <c r="AC112" s="156" t="s">
        <v>202</v>
      </c>
      <c r="AG112" s="67"/>
      <c r="AJ112" s="71" t="s">
        <v>69</v>
      </c>
      <c r="AK112" s="71">
        <v>1</v>
      </c>
      <c r="BB112" s="157" t="s">
        <v>1</v>
      </c>
      <c r="BM112" s="67">
        <f t="shared" si="14"/>
        <v>241.90559999999999</v>
      </c>
      <c r="BN112" s="67">
        <f t="shared" si="15"/>
        <v>241.90559999999999</v>
      </c>
      <c r="BO112" s="67">
        <f t="shared" si="16"/>
        <v>0.42857142857142855</v>
      </c>
      <c r="BP112" s="67">
        <f t="shared" si="17"/>
        <v>0.42857142857142855</v>
      </c>
    </row>
    <row r="113" spans="1:68" ht="27" customHeight="1" x14ac:dyDescent="0.25">
      <c r="A113" s="54" t="s">
        <v>203</v>
      </c>
      <c r="B113" s="54" t="s">
        <v>204</v>
      </c>
      <c r="C113" s="31">
        <v>4301071138</v>
      </c>
      <c r="D113" s="291">
        <v>4607111039279</v>
      </c>
      <c r="E113" s="292"/>
      <c r="F113" s="277">
        <v>0.7</v>
      </c>
      <c r="G113" s="32">
        <v>10</v>
      </c>
      <c r="H113" s="277">
        <v>7</v>
      </c>
      <c r="I113" s="277">
        <v>7.3</v>
      </c>
      <c r="J113" s="32">
        <v>84</v>
      </c>
      <c r="K113" s="32" t="s">
        <v>64</v>
      </c>
      <c r="L113" s="32" t="s">
        <v>65</v>
      </c>
      <c r="M113" s="33" t="s">
        <v>66</v>
      </c>
      <c r="N113" s="33"/>
      <c r="O113" s="32">
        <v>180</v>
      </c>
      <c r="P113" s="352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96"/>
      <c r="R113" s="296"/>
      <c r="S113" s="296"/>
      <c r="T113" s="297"/>
      <c r="U113" s="34"/>
      <c r="V113" s="34"/>
      <c r="W113" s="35" t="s">
        <v>67</v>
      </c>
      <c r="X113" s="278">
        <v>36</v>
      </c>
      <c r="Y113" s="279">
        <f t="shared" si="12"/>
        <v>36</v>
      </c>
      <c r="Z113" s="36">
        <f t="shared" si="13"/>
        <v>0.55800000000000005</v>
      </c>
      <c r="AA113" s="56"/>
      <c r="AB113" s="57"/>
      <c r="AC113" s="158" t="s">
        <v>202</v>
      </c>
      <c r="AG113" s="67"/>
      <c r="AJ113" s="71" t="s">
        <v>69</v>
      </c>
      <c r="AK113" s="71">
        <v>1</v>
      </c>
      <c r="BB113" s="159" t="s">
        <v>1</v>
      </c>
      <c r="BM113" s="67">
        <f t="shared" si="14"/>
        <v>262.8</v>
      </c>
      <c r="BN113" s="67">
        <f t="shared" si="15"/>
        <v>262.8</v>
      </c>
      <c r="BO113" s="67">
        <f t="shared" si="16"/>
        <v>0.42857142857142855</v>
      </c>
      <c r="BP113" s="67">
        <f t="shared" si="17"/>
        <v>0.42857142857142855</v>
      </c>
    </row>
    <row r="114" spans="1:68" x14ac:dyDescent="0.2">
      <c r="A114" s="298"/>
      <c r="B114" s="288"/>
      <c r="C114" s="288"/>
      <c r="D114" s="288"/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  <c r="O114" s="299"/>
      <c r="P114" s="284" t="s">
        <v>86</v>
      </c>
      <c r="Q114" s="285"/>
      <c r="R114" s="285"/>
      <c r="S114" s="285"/>
      <c r="T114" s="285"/>
      <c r="U114" s="285"/>
      <c r="V114" s="286"/>
      <c r="W114" s="37" t="s">
        <v>67</v>
      </c>
      <c r="X114" s="280">
        <f>IFERROR(SUM(X107:X113),"0")</f>
        <v>204</v>
      </c>
      <c r="Y114" s="280">
        <f>IFERROR(SUM(Y107:Y113),"0")</f>
        <v>204</v>
      </c>
      <c r="Z114" s="280">
        <f>IFERROR(IF(Z107="",0,Z107),"0")+IFERROR(IF(Z108="",0,Z108),"0")+IFERROR(IF(Z109="",0,Z109),"0")+IFERROR(IF(Z110="",0,Z110),"0")+IFERROR(IF(Z111="",0,Z111),"0")+IFERROR(IF(Z112="",0,Z112),"0")+IFERROR(IF(Z113="",0,Z113),"0")</f>
        <v>3.1619999999999999</v>
      </c>
      <c r="AA114" s="281"/>
      <c r="AB114" s="281"/>
      <c r="AC114" s="281"/>
    </row>
    <row r="115" spans="1:68" x14ac:dyDescent="0.2">
      <c r="A115" s="288"/>
      <c r="B115" s="288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99"/>
      <c r="P115" s="284" t="s">
        <v>86</v>
      </c>
      <c r="Q115" s="285"/>
      <c r="R115" s="285"/>
      <c r="S115" s="285"/>
      <c r="T115" s="285"/>
      <c r="U115" s="285"/>
      <c r="V115" s="286"/>
      <c r="W115" s="37" t="s">
        <v>87</v>
      </c>
      <c r="X115" s="280">
        <f>IFERROR(SUMPRODUCT(X107:X113*H107:H113),"0")</f>
        <v>1384.8</v>
      </c>
      <c r="Y115" s="280">
        <f>IFERROR(SUMPRODUCT(Y107:Y113*H107:H113),"0")</f>
        <v>1384.8</v>
      </c>
      <c r="Z115" s="37"/>
      <c r="AA115" s="281"/>
      <c r="AB115" s="281"/>
      <c r="AC115" s="281"/>
    </row>
    <row r="116" spans="1:68" ht="14.25" hidden="1" customHeight="1" x14ac:dyDescent="0.25">
      <c r="A116" s="324" t="s">
        <v>152</v>
      </c>
      <c r="B116" s="288"/>
      <c r="C116" s="288"/>
      <c r="D116" s="288"/>
      <c r="E116" s="288"/>
      <c r="F116" s="288"/>
      <c r="G116" s="288"/>
      <c r="H116" s="288"/>
      <c r="I116" s="288"/>
      <c r="J116" s="288"/>
      <c r="K116" s="288"/>
      <c r="L116" s="288"/>
      <c r="M116" s="288"/>
      <c r="N116" s="288"/>
      <c r="O116" s="288"/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288"/>
      <c r="AA116" s="274"/>
      <c r="AB116" s="274"/>
      <c r="AC116" s="274"/>
    </row>
    <row r="117" spans="1:68" ht="27" hidden="1" customHeight="1" x14ac:dyDescent="0.25">
      <c r="A117" s="54" t="s">
        <v>205</v>
      </c>
      <c r="B117" s="54" t="s">
        <v>206</v>
      </c>
      <c r="C117" s="31">
        <v>4301135826</v>
      </c>
      <c r="D117" s="291">
        <v>4620207490983</v>
      </c>
      <c r="E117" s="292"/>
      <c r="F117" s="277">
        <v>0.22</v>
      </c>
      <c r="G117" s="32">
        <v>12</v>
      </c>
      <c r="H117" s="277">
        <v>2.64</v>
      </c>
      <c r="I117" s="277">
        <v>3.3435999999999999</v>
      </c>
      <c r="J117" s="32">
        <v>70</v>
      </c>
      <c r="K117" s="32" t="s">
        <v>104</v>
      </c>
      <c r="L117" s="32" t="s">
        <v>65</v>
      </c>
      <c r="M117" s="33" t="s">
        <v>66</v>
      </c>
      <c r="N117" s="33"/>
      <c r="O117" s="32">
        <v>180</v>
      </c>
      <c r="P117" s="37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96"/>
      <c r="R117" s="296"/>
      <c r="S117" s="296"/>
      <c r="T117" s="297"/>
      <c r="U117" s="34"/>
      <c r="V117" s="34"/>
      <c r="W117" s="35" t="s">
        <v>67</v>
      </c>
      <c r="X117" s="278">
        <v>0</v>
      </c>
      <c r="Y117" s="279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207</v>
      </c>
      <c r="AG117" s="67"/>
      <c r="AJ117" s="71" t="s">
        <v>69</v>
      </c>
      <c r="AK117" s="71">
        <v>1</v>
      </c>
      <c r="BB117" s="161" t="s">
        <v>108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98"/>
      <c r="B118" s="288"/>
      <c r="C118" s="288"/>
      <c r="D118" s="288"/>
      <c r="E118" s="288"/>
      <c r="F118" s="288"/>
      <c r="G118" s="288"/>
      <c r="H118" s="288"/>
      <c r="I118" s="288"/>
      <c r="J118" s="288"/>
      <c r="K118" s="288"/>
      <c r="L118" s="288"/>
      <c r="M118" s="288"/>
      <c r="N118" s="288"/>
      <c r="O118" s="299"/>
      <c r="P118" s="284" t="s">
        <v>86</v>
      </c>
      <c r="Q118" s="285"/>
      <c r="R118" s="285"/>
      <c r="S118" s="285"/>
      <c r="T118" s="285"/>
      <c r="U118" s="285"/>
      <c r="V118" s="286"/>
      <c r="W118" s="37" t="s">
        <v>67</v>
      </c>
      <c r="X118" s="280">
        <f>IFERROR(SUM(X117:X117),"0")</f>
        <v>0</v>
      </c>
      <c r="Y118" s="280">
        <f>IFERROR(SUM(Y117:Y117),"0")</f>
        <v>0</v>
      </c>
      <c r="Z118" s="280">
        <f>IFERROR(IF(Z117="",0,Z117),"0")</f>
        <v>0</v>
      </c>
      <c r="AA118" s="281"/>
      <c r="AB118" s="281"/>
      <c r="AC118" s="281"/>
    </row>
    <row r="119" spans="1:68" hidden="1" x14ac:dyDescent="0.2">
      <c r="A119" s="288"/>
      <c r="B119" s="288"/>
      <c r="C119" s="288"/>
      <c r="D119" s="288"/>
      <c r="E119" s="288"/>
      <c r="F119" s="288"/>
      <c r="G119" s="288"/>
      <c r="H119" s="288"/>
      <c r="I119" s="288"/>
      <c r="J119" s="288"/>
      <c r="K119" s="288"/>
      <c r="L119" s="288"/>
      <c r="M119" s="288"/>
      <c r="N119" s="288"/>
      <c r="O119" s="299"/>
      <c r="P119" s="284" t="s">
        <v>86</v>
      </c>
      <c r="Q119" s="285"/>
      <c r="R119" s="285"/>
      <c r="S119" s="285"/>
      <c r="T119" s="285"/>
      <c r="U119" s="285"/>
      <c r="V119" s="286"/>
      <c r="W119" s="37" t="s">
        <v>87</v>
      </c>
      <c r="X119" s="280">
        <f>IFERROR(SUMPRODUCT(X117:X117*H117:H117),"0")</f>
        <v>0</v>
      </c>
      <c r="Y119" s="280">
        <f>IFERROR(SUMPRODUCT(Y117:Y117*H117:H117),"0")</f>
        <v>0</v>
      </c>
      <c r="Z119" s="37"/>
      <c r="AA119" s="281"/>
      <c r="AB119" s="281"/>
      <c r="AC119" s="281"/>
    </row>
    <row r="120" spans="1:68" ht="14.25" hidden="1" customHeight="1" x14ac:dyDescent="0.25">
      <c r="A120" s="324" t="s">
        <v>208</v>
      </c>
      <c r="B120" s="288"/>
      <c r="C120" s="288"/>
      <c r="D120" s="288"/>
      <c r="E120" s="288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288"/>
      <c r="AA120" s="274"/>
      <c r="AB120" s="274"/>
      <c r="AC120" s="274"/>
    </row>
    <row r="121" spans="1:68" ht="27" hidden="1" customHeight="1" x14ac:dyDescent="0.25">
      <c r="A121" s="54" t="s">
        <v>209</v>
      </c>
      <c r="B121" s="54" t="s">
        <v>210</v>
      </c>
      <c r="C121" s="31">
        <v>4301071094</v>
      </c>
      <c r="D121" s="291">
        <v>4620207491140</v>
      </c>
      <c r="E121" s="292"/>
      <c r="F121" s="277">
        <v>0.6</v>
      </c>
      <c r="G121" s="32">
        <v>10</v>
      </c>
      <c r="H121" s="277">
        <v>6</v>
      </c>
      <c r="I121" s="277">
        <v>6.28</v>
      </c>
      <c r="J121" s="32">
        <v>84</v>
      </c>
      <c r="K121" s="32" t="s">
        <v>64</v>
      </c>
      <c r="L121" s="32" t="s">
        <v>65</v>
      </c>
      <c r="M121" s="33" t="s">
        <v>66</v>
      </c>
      <c r="N121" s="33"/>
      <c r="O121" s="32">
        <v>180</v>
      </c>
      <c r="P121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96"/>
      <c r="R121" s="296"/>
      <c r="S121" s="296"/>
      <c r="T121" s="297"/>
      <c r="U121" s="34"/>
      <c r="V121" s="34"/>
      <c r="W121" s="35" t="s">
        <v>67</v>
      </c>
      <c r="X121" s="278">
        <v>0</v>
      </c>
      <c r="Y121" s="279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211</v>
      </c>
      <c r="AG121" s="67"/>
      <c r="AJ121" s="71" t="s">
        <v>69</v>
      </c>
      <c r="AK121" s="71">
        <v>1</v>
      </c>
      <c r="BB121" s="163" t="s">
        <v>108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98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99"/>
      <c r="P122" s="284" t="s">
        <v>86</v>
      </c>
      <c r="Q122" s="285"/>
      <c r="R122" s="285"/>
      <c r="S122" s="285"/>
      <c r="T122" s="285"/>
      <c r="U122" s="285"/>
      <c r="V122" s="286"/>
      <c r="W122" s="37" t="s">
        <v>67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99"/>
      <c r="P123" s="284" t="s">
        <v>86</v>
      </c>
      <c r="Q123" s="285"/>
      <c r="R123" s="285"/>
      <c r="S123" s="285"/>
      <c r="T123" s="285"/>
      <c r="U123" s="285"/>
      <c r="V123" s="286"/>
      <c r="W123" s="37" t="s">
        <v>87</v>
      </c>
      <c r="X123" s="280">
        <f>IFERROR(SUMPRODUCT(X121:X121*H121:H121),"0")</f>
        <v>0</v>
      </c>
      <c r="Y123" s="280">
        <f>IFERROR(SUMPRODUCT(Y121:Y121*H121:H121),"0")</f>
        <v>0</v>
      </c>
      <c r="Z123" s="37"/>
      <c r="AA123" s="281"/>
      <c r="AB123" s="281"/>
      <c r="AC123" s="281"/>
    </row>
    <row r="124" spans="1:68" ht="16.5" hidden="1" customHeight="1" x14ac:dyDescent="0.25">
      <c r="A124" s="287" t="s">
        <v>212</v>
      </c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73"/>
      <c r="AB124" s="273"/>
      <c r="AC124" s="273"/>
    </row>
    <row r="125" spans="1:68" ht="14.25" hidden="1" customHeight="1" x14ac:dyDescent="0.25">
      <c r="A125" s="324" t="s">
        <v>61</v>
      </c>
      <c r="B125" s="288"/>
      <c r="C125" s="288"/>
      <c r="D125" s="288"/>
      <c r="E125" s="288"/>
      <c r="F125" s="288"/>
      <c r="G125" s="288"/>
      <c r="H125" s="288"/>
      <c r="I125" s="288"/>
      <c r="J125" s="288"/>
      <c r="K125" s="288"/>
      <c r="L125" s="288"/>
      <c r="M125" s="288"/>
      <c r="N125" s="288"/>
      <c r="O125" s="288"/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288"/>
      <c r="AA125" s="274"/>
      <c r="AB125" s="274"/>
      <c r="AC125" s="274"/>
    </row>
    <row r="126" spans="1:68" ht="27" hidden="1" customHeight="1" x14ac:dyDescent="0.25">
      <c r="A126" s="54" t="s">
        <v>213</v>
      </c>
      <c r="B126" s="54" t="s">
        <v>214</v>
      </c>
      <c r="C126" s="31">
        <v>4301071142</v>
      </c>
      <c r="D126" s="291">
        <v>4620207491904</v>
      </c>
      <c r="E126" s="292"/>
      <c r="F126" s="277">
        <v>0.56999999999999995</v>
      </c>
      <c r="G126" s="32">
        <v>10</v>
      </c>
      <c r="H126" s="277">
        <v>5.7</v>
      </c>
      <c r="I126" s="277">
        <v>5.98</v>
      </c>
      <c r="J126" s="32">
        <v>84</v>
      </c>
      <c r="K126" s="32" t="s">
        <v>64</v>
      </c>
      <c r="L126" s="32" t="s">
        <v>65</v>
      </c>
      <c r="M126" s="33" t="s">
        <v>66</v>
      </c>
      <c r="N126" s="33"/>
      <c r="O126" s="32">
        <v>180</v>
      </c>
      <c r="P126" s="46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96"/>
      <c r="R126" s="296"/>
      <c r="S126" s="296"/>
      <c r="T126" s="297"/>
      <c r="U126" s="34"/>
      <c r="V126" s="34"/>
      <c r="W126" s="35" t="s">
        <v>67</v>
      </c>
      <c r="X126" s="278">
        <v>0</v>
      </c>
      <c r="Y126" s="279">
        <f>IFERROR(IF(X126="","",X126),"")</f>
        <v>0</v>
      </c>
      <c r="Z126" s="36">
        <f>IFERROR(IF(X126="","",X126*0.0155),"")</f>
        <v>0</v>
      </c>
      <c r="AA126" s="56"/>
      <c r="AB126" s="57" t="s">
        <v>91</v>
      </c>
      <c r="AC126" s="164" t="s">
        <v>215</v>
      </c>
      <c r="AG126" s="67"/>
      <c r="AJ126" s="71" t="s">
        <v>69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9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99"/>
      <c r="P127" s="284" t="s">
        <v>86</v>
      </c>
      <c r="Q127" s="285"/>
      <c r="R127" s="285"/>
      <c r="S127" s="285"/>
      <c r="T127" s="285"/>
      <c r="U127" s="285"/>
      <c r="V127" s="286"/>
      <c r="W127" s="37" t="s">
        <v>67</v>
      </c>
      <c r="X127" s="280">
        <f>IFERROR(SUM(X126:X126),"0")</f>
        <v>0</v>
      </c>
      <c r="Y127" s="280">
        <f>IFERROR(SUM(Y126:Y126),"0")</f>
        <v>0</v>
      </c>
      <c r="Z127" s="280">
        <f>IFERROR(IF(Z126="",0,Z126),"0")</f>
        <v>0</v>
      </c>
      <c r="AA127" s="281"/>
      <c r="AB127" s="281"/>
      <c r="AC127" s="281"/>
    </row>
    <row r="128" spans="1:68" hidden="1" x14ac:dyDescent="0.2">
      <c r="A128" s="288"/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99"/>
      <c r="P128" s="284" t="s">
        <v>86</v>
      </c>
      <c r="Q128" s="285"/>
      <c r="R128" s="285"/>
      <c r="S128" s="285"/>
      <c r="T128" s="285"/>
      <c r="U128" s="285"/>
      <c r="V128" s="286"/>
      <c r="W128" s="37" t="s">
        <v>87</v>
      </c>
      <c r="X128" s="280">
        <f>IFERROR(SUMPRODUCT(X126:X126*H126:H126),"0")</f>
        <v>0</v>
      </c>
      <c r="Y128" s="280">
        <f>IFERROR(SUMPRODUCT(Y126:Y126*H126:H126),"0")</f>
        <v>0</v>
      </c>
      <c r="Z128" s="37"/>
      <c r="AA128" s="281"/>
      <c r="AB128" s="281"/>
      <c r="AC128" s="281"/>
    </row>
    <row r="129" spans="1:68" ht="14.25" hidden="1" customHeight="1" x14ac:dyDescent="0.25">
      <c r="A129" s="324" t="s">
        <v>152</v>
      </c>
      <c r="B129" s="288"/>
      <c r="C129" s="288"/>
      <c r="D129" s="288"/>
      <c r="E129" s="288"/>
      <c r="F129" s="288"/>
      <c r="G129" s="288"/>
      <c r="H129" s="288"/>
      <c r="I129" s="288"/>
      <c r="J129" s="288"/>
      <c r="K129" s="288"/>
      <c r="L129" s="288"/>
      <c r="M129" s="288"/>
      <c r="N129" s="288"/>
      <c r="O129" s="288"/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288"/>
      <c r="AA129" s="274"/>
      <c r="AB129" s="274"/>
      <c r="AC129" s="274"/>
    </row>
    <row r="130" spans="1:68" ht="27" customHeight="1" x14ac:dyDescent="0.25">
      <c r="A130" s="54" t="s">
        <v>216</v>
      </c>
      <c r="B130" s="54" t="s">
        <v>217</v>
      </c>
      <c r="C130" s="31">
        <v>4301135850</v>
      </c>
      <c r="D130" s="291">
        <v>4620207491492</v>
      </c>
      <c r="E130" s="292"/>
      <c r="F130" s="277">
        <v>0.23</v>
      </c>
      <c r="G130" s="32">
        <v>6</v>
      </c>
      <c r="H130" s="277">
        <v>1.38</v>
      </c>
      <c r="I130" s="277">
        <v>1.8</v>
      </c>
      <c r="J130" s="32">
        <v>140</v>
      </c>
      <c r="K130" s="32" t="s">
        <v>104</v>
      </c>
      <c r="L130" s="32" t="s">
        <v>65</v>
      </c>
      <c r="M130" s="33" t="s">
        <v>66</v>
      </c>
      <c r="N130" s="33"/>
      <c r="O130" s="32">
        <v>180</v>
      </c>
      <c r="P130" s="39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96"/>
      <c r="R130" s="296"/>
      <c r="S130" s="296"/>
      <c r="T130" s="297"/>
      <c r="U130" s="34"/>
      <c r="V130" s="34"/>
      <c r="W130" s="35" t="s">
        <v>67</v>
      </c>
      <c r="X130" s="278">
        <v>56</v>
      </c>
      <c r="Y130" s="279">
        <f>IFERROR(IF(X130="","",X130),"")</f>
        <v>56</v>
      </c>
      <c r="Z130" s="36">
        <f>IFERROR(IF(X130="","",X130*0.00941),"")</f>
        <v>0.52695999999999998</v>
      </c>
      <c r="AA130" s="56"/>
      <c r="AB130" s="57"/>
      <c r="AC130" s="166" t="s">
        <v>218</v>
      </c>
      <c r="AG130" s="67"/>
      <c r="AJ130" s="71" t="s">
        <v>69</v>
      </c>
      <c r="AK130" s="71">
        <v>1</v>
      </c>
      <c r="BB130" s="167" t="s">
        <v>108</v>
      </c>
      <c r="BM130" s="67">
        <f>IFERROR(X130*I130,"0")</f>
        <v>100.8</v>
      </c>
      <c r="BN130" s="67">
        <f>IFERROR(Y130*I130,"0")</f>
        <v>100.8</v>
      </c>
      <c r="BO130" s="67">
        <f>IFERROR(X130/J130,"0")</f>
        <v>0.4</v>
      </c>
      <c r="BP130" s="67">
        <f>IFERROR(Y130/J130,"0")</f>
        <v>0.4</v>
      </c>
    </row>
    <row r="131" spans="1:68" ht="27" customHeight="1" x14ac:dyDescent="0.25">
      <c r="A131" s="54" t="s">
        <v>219</v>
      </c>
      <c r="B131" s="54" t="s">
        <v>220</v>
      </c>
      <c r="C131" s="31">
        <v>4301190118</v>
      </c>
      <c r="D131" s="291">
        <v>4620207491461</v>
      </c>
      <c r="E131" s="292"/>
      <c r="F131" s="277">
        <v>0.22</v>
      </c>
      <c r="G131" s="32">
        <v>6</v>
      </c>
      <c r="H131" s="277">
        <v>1.32</v>
      </c>
      <c r="I131" s="277">
        <v>1.74</v>
      </c>
      <c r="J131" s="32">
        <v>140</v>
      </c>
      <c r="K131" s="32" t="s">
        <v>104</v>
      </c>
      <c r="L131" s="32" t="s">
        <v>65</v>
      </c>
      <c r="M131" s="33" t="s">
        <v>66</v>
      </c>
      <c r="N131" s="33"/>
      <c r="O131" s="32">
        <v>180</v>
      </c>
      <c r="P131" s="3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96"/>
      <c r="R131" s="296"/>
      <c r="S131" s="296"/>
      <c r="T131" s="297"/>
      <c r="U131" s="34"/>
      <c r="V131" s="34"/>
      <c r="W131" s="35" t="s">
        <v>67</v>
      </c>
      <c r="X131" s="278">
        <v>28</v>
      </c>
      <c r="Y131" s="279">
        <f>IFERROR(IF(X131="","",X131),"")</f>
        <v>28</v>
      </c>
      <c r="Z131" s="36">
        <f>IFERROR(IF(X131="","",X131*0.00941),"")</f>
        <v>0.26347999999999999</v>
      </c>
      <c r="AA131" s="56"/>
      <c r="AB131" s="57"/>
      <c r="AC131" s="168" t="s">
        <v>218</v>
      </c>
      <c r="AG131" s="67"/>
      <c r="AJ131" s="71" t="s">
        <v>69</v>
      </c>
      <c r="AK131" s="71">
        <v>1</v>
      </c>
      <c r="BB131" s="169" t="s">
        <v>108</v>
      </c>
      <c r="BM131" s="67">
        <f>IFERROR(X131*I131,"0")</f>
        <v>48.72</v>
      </c>
      <c r="BN131" s="67">
        <f>IFERROR(Y131*I131,"0")</f>
        <v>48.72</v>
      </c>
      <c r="BO131" s="67">
        <f>IFERROR(X131/J131,"0")</f>
        <v>0.2</v>
      </c>
      <c r="BP131" s="67">
        <f>IFERROR(Y131/J131,"0")</f>
        <v>0.2</v>
      </c>
    </row>
    <row r="132" spans="1:68" ht="27" customHeight="1" x14ac:dyDescent="0.25">
      <c r="A132" s="54" t="s">
        <v>221</v>
      </c>
      <c r="B132" s="54" t="s">
        <v>222</v>
      </c>
      <c r="C132" s="31">
        <v>4301135865</v>
      </c>
      <c r="D132" s="291">
        <v>4620207491485</v>
      </c>
      <c r="E132" s="292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104</v>
      </c>
      <c r="L132" s="32" t="s">
        <v>65</v>
      </c>
      <c r="M132" s="33" t="s">
        <v>66</v>
      </c>
      <c r="N132" s="33"/>
      <c r="O132" s="32">
        <v>180</v>
      </c>
      <c r="P132" s="36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96"/>
      <c r="R132" s="296"/>
      <c r="S132" s="296"/>
      <c r="T132" s="297"/>
      <c r="U132" s="34"/>
      <c r="V132" s="34"/>
      <c r="W132" s="35" t="s">
        <v>67</v>
      </c>
      <c r="X132" s="278">
        <v>42</v>
      </c>
      <c r="Y132" s="279">
        <f>IFERROR(IF(X132="","",X132),"")</f>
        <v>42</v>
      </c>
      <c r="Z132" s="36">
        <f>IFERROR(IF(X132="","",X132*0.00941),"")</f>
        <v>0.39522000000000002</v>
      </c>
      <c r="AA132" s="56"/>
      <c r="AB132" s="57"/>
      <c r="AC132" s="170" t="s">
        <v>218</v>
      </c>
      <c r="AG132" s="67"/>
      <c r="AJ132" s="71" t="s">
        <v>69</v>
      </c>
      <c r="AK132" s="71">
        <v>1</v>
      </c>
      <c r="BB132" s="171" t="s">
        <v>108</v>
      </c>
      <c r="BM132" s="67">
        <f>IFERROR(X132*I132,"0")</f>
        <v>75.600000000000009</v>
      </c>
      <c r="BN132" s="67">
        <f>IFERROR(Y132*I132,"0")</f>
        <v>75.600000000000009</v>
      </c>
      <c r="BO132" s="67">
        <f>IFERROR(X132/J132,"0")</f>
        <v>0.3</v>
      </c>
      <c r="BP132" s="67">
        <f>IFERROR(Y132/J132,"0")</f>
        <v>0.3</v>
      </c>
    </row>
    <row r="133" spans="1:68" ht="27" customHeight="1" x14ac:dyDescent="0.25">
      <c r="A133" s="54" t="s">
        <v>223</v>
      </c>
      <c r="B133" s="54" t="s">
        <v>224</v>
      </c>
      <c r="C133" s="31">
        <v>4301135848</v>
      </c>
      <c r="D133" s="291">
        <v>4620207491799</v>
      </c>
      <c r="E133" s="292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104</v>
      </c>
      <c r="L133" s="32" t="s">
        <v>65</v>
      </c>
      <c r="M133" s="33" t="s">
        <v>66</v>
      </c>
      <c r="N133" s="33"/>
      <c r="O133" s="32">
        <v>180</v>
      </c>
      <c r="P133" s="44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96"/>
      <c r="R133" s="296"/>
      <c r="S133" s="296"/>
      <c r="T133" s="297"/>
      <c r="U133" s="34"/>
      <c r="V133" s="34"/>
      <c r="W133" s="35" t="s">
        <v>67</v>
      </c>
      <c r="X133" s="278">
        <v>42</v>
      </c>
      <c r="Y133" s="279">
        <f>IFERROR(IF(X133="","",X133),"")</f>
        <v>42</v>
      </c>
      <c r="Z133" s="36">
        <f>IFERROR(IF(X133="","",X133*0.00941),"")</f>
        <v>0.39522000000000002</v>
      </c>
      <c r="AA133" s="56"/>
      <c r="AB133" s="57"/>
      <c r="AC133" s="172" t="s">
        <v>218</v>
      </c>
      <c r="AG133" s="67"/>
      <c r="AJ133" s="71" t="s">
        <v>69</v>
      </c>
      <c r="AK133" s="71">
        <v>1</v>
      </c>
      <c r="BB133" s="173" t="s">
        <v>108</v>
      </c>
      <c r="BM133" s="67">
        <f>IFERROR(X133*I133,"0")</f>
        <v>75.600000000000009</v>
      </c>
      <c r="BN133" s="67">
        <f>IFERROR(Y133*I133,"0")</f>
        <v>75.600000000000009</v>
      </c>
      <c r="BO133" s="67">
        <f>IFERROR(X133/J133,"0")</f>
        <v>0.3</v>
      </c>
      <c r="BP133" s="67">
        <f>IFERROR(Y133/J133,"0")</f>
        <v>0.3</v>
      </c>
    </row>
    <row r="134" spans="1:68" x14ac:dyDescent="0.2">
      <c r="A134" s="298"/>
      <c r="B134" s="288"/>
      <c r="C134" s="288"/>
      <c r="D134" s="288"/>
      <c r="E134" s="288"/>
      <c r="F134" s="288"/>
      <c r="G134" s="288"/>
      <c r="H134" s="288"/>
      <c r="I134" s="288"/>
      <c r="J134" s="288"/>
      <c r="K134" s="288"/>
      <c r="L134" s="288"/>
      <c r="M134" s="288"/>
      <c r="N134" s="288"/>
      <c r="O134" s="299"/>
      <c r="P134" s="284" t="s">
        <v>86</v>
      </c>
      <c r="Q134" s="285"/>
      <c r="R134" s="285"/>
      <c r="S134" s="285"/>
      <c r="T134" s="285"/>
      <c r="U134" s="285"/>
      <c r="V134" s="286"/>
      <c r="W134" s="37" t="s">
        <v>67</v>
      </c>
      <c r="X134" s="280">
        <f>IFERROR(SUM(X130:X133),"0")</f>
        <v>168</v>
      </c>
      <c r="Y134" s="280">
        <f>IFERROR(SUM(Y130:Y133),"0")</f>
        <v>168</v>
      </c>
      <c r="Z134" s="280">
        <f>IFERROR(IF(Z130="",0,Z130),"0")+IFERROR(IF(Z131="",0,Z131),"0")+IFERROR(IF(Z132="",0,Z132),"0")+IFERROR(IF(Z133="",0,Z133),"0")</f>
        <v>1.5808800000000001</v>
      </c>
      <c r="AA134" s="281"/>
      <c r="AB134" s="281"/>
      <c r="AC134" s="281"/>
    </row>
    <row r="135" spans="1:68" x14ac:dyDescent="0.2">
      <c r="A135" s="288"/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88"/>
      <c r="M135" s="288"/>
      <c r="N135" s="288"/>
      <c r="O135" s="299"/>
      <c r="P135" s="284" t="s">
        <v>86</v>
      </c>
      <c r="Q135" s="285"/>
      <c r="R135" s="285"/>
      <c r="S135" s="285"/>
      <c r="T135" s="285"/>
      <c r="U135" s="285"/>
      <c r="V135" s="286"/>
      <c r="W135" s="37" t="s">
        <v>87</v>
      </c>
      <c r="X135" s="280">
        <f>IFERROR(SUMPRODUCT(X130:X133*H130:H133),"0")</f>
        <v>230.15999999999997</v>
      </c>
      <c r="Y135" s="280">
        <f>IFERROR(SUMPRODUCT(Y130:Y133*H130:H133),"0")</f>
        <v>230.15999999999997</v>
      </c>
      <c r="Z135" s="37"/>
      <c r="AA135" s="281"/>
      <c r="AB135" s="281"/>
      <c r="AC135" s="281"/>
    </row>
    <row r="136" spans="1:68" ht="14.25" hidden="1" customHeight="1" x14ac:dyDescent="0.25">
      <c r="A136" s="324" t="s">
        <v>225</v>
      </c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8"/>
      <c r="P136" s="288"/>
      <c r="Q136" s="288"/>
      <c r="R136" s="288"/>
      <c r="S136" s="288"/>
      <c r="T136" s="288"/>
      <c r="U136" s="288"/>
      <c r="V136" s="288"/>
      <c r="W136" s="288"/>
      <c r="X136" s="288"/>
      <c r="Y136" s="288"/>
      <c r="Z136" s="288"/>
      <c r="AA136" s="274"/>
      <c r="AB136" s="274"/>
      <c r="AC136" s="274"/>
    </row>
    <row r="137" spans="1:68" ht="27" hidden="1" customHeight="1" x14ac:dyDescent="0.25">
      <c r="A137" s="54" t="s">
        <v>226</v>
      </c>
      <c r="B137" s="54" t="s">
        <v>227</v>
      </c>
      <c r="C137" s="31">
        <v>4301190117</v>
      </c>
      <c r="D137" s="291">
        <v>4620207491386</v>
      </c>
      <c r="E137" s="292"/>
      <c r="F137" s="277">
        <v>0.18</v>
      </c>
      <c r="G137" s="32">
        <v>6</v>
      </c>
      <c r="H137" s="277">
        <v>1.08</v>
      </c>
      <c r="I137" s="277">
        <v>1.3979999999999999</v>
      </c>
      <c r="J137" s="32">
        <v>140</v>
      </c>
      <c r="K137" s="32" t="s">
        <v>104</v>
      </c>
      <c r="L137" s="32" t="s">
        <v>65</v>
      </c>
      <c r="M137" s="33" t="s">
        <v>66</v>
      </c>
      <c r="N137" s="33"/>
      <c r="O137" s="32">
        <v>180</v>
      </c>
      <c r="P137" s="37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6"/>
      <c r="R137" s="296"/>
      <c r="S137" s="296"/>
      <c r="T137" s="297"/>
      <c r="U137" s="34"/>
      <c r="V137" s="34"/>
      <c r="W137" s="35" t="s">
        <v>67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228</v>
      </c>
      <c r="AG137" s="67"/>
      <c r="AJ137" s="71" t="s">
        <v>69</v>
      </c>
      <c r="AK137" s="71">
        <v>1</v>
      </c>
      <c r="BB137" s="175" t="s">
        <v>108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229</v>
      </c>
      <c r="B138" s="54" t="s">
        <v>230</v>
      </c>
      <c r="C138" s="31">
        <v>4301190115</v>
      </c>
      <c r="D138" s="291">
        <v>4620207491362</v>
      </c>
      <c r="E138" s="292"/>
      <c r="F138" s="277">
        <v>0.18</v>
      </c>
      <c r="G138" s="32">
        <v>6</v>
      </c>
      <c r="H138" s="277">
        <v>1.08</v>
      </c>
      <c r="I138" s="277">
        <v>1.3979999999999999</v>
      </c>
      <c r="J138" s="32">
        <v>140</v>
      </c>
      <c r="K138" s="32" t="s">
        <v>104</v>
      </c>
      <c r="L138" s="32" t="s">
        <v>65</v>
      </c>
      <c r="M138" s="33" t="s">
        <v>66</v>
      </c>
      <c r="N138" s="33"/>
      <c r="O138" s="32">
        <v>180</v>
      </c>
      <c r="P138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6"/>
      <c r="R138" s="296"/>
      <c r="S138" s="296"/>
      <c r="T138" s="297"/>
      <c r="U138" s="34"/>
      <c r="V138" s="34"/>
      <c r="W138" s="35" t="s">
        <v>67</v>
      </c>
      <c r="X138" s="278">
        <v>0</v>
      </c>
      <c r="Y138" s="279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228</v>
      </c>
      <c r="AG138" s="67"/>
      <c r="AJ138" s="71" t="s">
        <v>69</v>
      </c>
      <c r="AK138" s="71">
        <v>1</v>
      </c>
      <c r="BB138" s="177" t="s">
        <v>108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231</v>
      </c>
      <c r="B139" s="54" t="s">
        <v>232</v>
      </c>
      <c r="C139" s="31">
        <v>4301190116</v>
      </c>
      <c r="D139" s="291">
        <v>4620207491379</v>
      </c>
      <c r="E139" s="292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104</v>
      </c>
      <c r="L139" s="32" t="s">
        <v>65</v>
      </c>
      <c r="M139" s="33" t="s">
        <v>66</v>
      </c>
      <c r="N139" s="33"/>
      <c r="O139" s="32">
        <v>180</v>
      </c>
      <c r="P139" s="42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6"/>
      <c r="R139" s="296"/>
      <c r="S139" s="296"/>
      <c r="T139" s="297"/>
      <c r="U139" s="34"/>
      <c r="V139" s="34"/>
      <c r="W139" s="35" t="s">
        <v>67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228</v>
      </c>
      <c r="AG139" s="67"/>
      <c r="AJ139" s="71" t="s">
        <v>69</v>
      </c>
      <c r="AK139" s="71">
        <v>1</v>
      </c>
      <c r="BB139" s="179" t="s">
        <v>108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98"/>
      <c r="B140" s="288"/>
      <c r="C140" s="288"/>
      <c r="D140" s="288"/>
      <c r="E140" s="288"/>
      <c r="F140" s="288"/>
      <c r="G140" s="288"/>
      <c r="H140" s="288"/>
      <c r="I140" s="288"/>
      <c r="J140" s="288"/>
      <c r="K140" s="288"/>
      <c r="L140" s="288"/>
      <c r="M140" s="288"/>
      <c r="N140" s="288"/>
      <c r="O140" s="299"/>
      <c r="P140" s="284" t="s">
        <v>86</v>
      </c>
      <c r="Q140" s="285"/>
      <c r="R140" s="285"/>
      <c r="S140" s="285"/>
      <c r="T140" s="285"/>
      <c r="U140" s="285"/>
      <c r="V140" s="286"/>
      <c r="W140" s="37" t="s">
        <v>67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88"/>
      <c r="B141" s="28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99"/>
      <c r="P141" s="284" t="s">
        <v>86</v>
      </c>
      <c r="Q141" s="285"/>
      <c r="R141" s="285"/>
      <c r="S141" s="285"/>
      <c r="T141" s="285"/>
      <c r="U141" s="285"/>
      <c r="V141" s="286"/>
      <c r="W141" s="37" t="s">
        <v>87</v>
      </c>
      <c r="X141" s="280">
        <f>IFERROR(SUMPRODUCT(X137:X139*H137:H139),"0")</f>
        <v>0</v>
      </c>
      <c r="Y141" s="280">
        <f>IFERROR(SUMPRODUCT(Y137:Y139*H137:H139),"0")</f>
        <v>0</v>
      </c>
      <c r="Z141" s="37"/>
      <c r="AA141" s="281"/>
      <c r="AB141" s="281"/>
      <c r="AC141" s="281"/>
    </row>
    <row r="142" spans="1:68" ht="16.5" hidden="1" customHeight="1" x14ac:dyDescent="0.25">
      <c r="A142" s="287" t="s">
        <v>233</v>
      </c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8"/>
      <c r="P142" s="288"/>
      <c r="Q142" s="288"/>
      <c r="R142" s="288"/>
      <c r="S142" s="288"/>
      <c r="T142" s="288"/>
      <c r="U142" s="288"/>
      <c r="V142" s="288"/>
      <c r="W142" s="288"/>
      <c r="X142" s="288"/>
      <c r="Y142" s="288"/>
      <c r="Z142" s="288"/>
      <c r="AA142" s="273"/>
      <c r="AB142" s="273"/>
      <c r="AC142" s="273"/>
    </row>
    <row r="143" spans="1:68" ht="14.25" hidden="1" customHeight="1" x14ac:dyDescent="0.25">
      <c r="A143" s="324" t="s">
        <v>152</v>
      </c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8"/>
      <c r="P143" s="288"/>
      <c r="Q143" s="288"/>
      <c r="R143" s="288"/>
      <c r="S143" s="288"/>
      <c r="T143" s="288"/>
      <c r="U143" s="288"/>
      <c r="V143" s="288"/>
      <c r="W143" s="288"/>
      <c r="X143" s="288"/>
      <c r="Y143" s="288"/>
      <c r="Z143" s="288"/>
      <c r="AA143" s="274"/>
      <c r="AB143" s="274"/>
      <c r="AC143" s="274"/>
    </row>
    <row r="144" spans="1:68" ht="27" customHeight="1" x14ac:dyDescent="0.25">
      <c r="A144" s="54" t="s">
        <v>234</v>
      </c>
      <c r="B144" s="54" t="s">
        <v>235</v>
      </c>
      <c r="C144" s="31">
        <v>4301135956</v>
      </c>
      <c r="D144" s="291">
        <v>4620207491560</v>
      </c>
      <c r="E144" s="292"/>
      <c r="F144" s="277">
        <v>0.25</v>
      </c>
      <c r="G144" s="32">
        <v>12</v>
      </c>
      <c r="H144" s="277">
        <v>3</v>
      </c>
      <c r="I144" s="277">
        <v>3.7035999999999998</v>
      </c>
      <c r="J144" s="32">
        <v>70</v>
      </c>
      <c r="K144" s="32" t="s">
        <v>104</v>
      </c>
      <c r="L144" s="32" t="s">
        <v>65</v>
      </c>
      <c r="M144" s="33" t="s">
        <v>66</v>
      </c>
      <c r="N144" s="33"/>
      <c r="O144" s="32">
        <v>180</v>
      </c>
      <c r="P144" s="328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96"/>
      <c r="R144" s="296"/>
      <c r="S144" s="296"/>
      <c r="T144" s="297"/>
      <c r="U144" s="34"/>
      <c r="V144" s="34"/>
      <c r="W144" s="35" t="s">
        <v>67</v>
      </c>
      <c r="X144" s="278">
        <v>42</v>
      </c>
      <c r="Y144" s="279">
        <f>IFERROR(IF(X144="","",X144),"")</f>
        <v>42</v>
      </c>
      <c r="Z144" s="36">
        <f>IFERROR(IF(X144="","",X144*0.01788),"")</f>
        <v>0.75095999999999996</v>
      </c>
      <c r="AA144" s="56"/>
      <c r="AB144" s="57"/>
      <c r="AC144" s="180" t="s">
        <v>236</v>
      </c>
      <c r="AG144" s="67"/>
      <c r="AJ144" s="71" t="s">
        <v>69</v>
      </c>
      <c r="AK144" s="71">
        <v>1</v>
      </c>
      <c r="BB144" s="181" t="s">
        <v>108</v>
      </c>
      <c r="BM144" s="67">
        <f>IFERROR(X144*I144,"0")</f>
        <v>155.55119999999999</v>
      </c>
      <c r="BN144" s="67">
        <f>IFERROR(Y144*I144,"0")</f>
        <v>155.55119999999999</v>
      </c>
      <c r="BO144" s="67">
        <f>IFERROR(X144/J144,"0")</f>
        <v>0.6</v>
      </c>
      <c r="BP144" s="67">
        <f>IFERROR(Y144/J144,"0")</f>
        <v>0.6</v>
      </c>
    </row>
    <row r="145" spans="1:68" ht="27" customHeight="1" x14ac:dyDescent="0.25">
      <c r="A145" s="54" t="s">
        <v>237</v>
      </c>
      <c r="B145" s="54" t="s">
        <v>238</v>
      </c>
      <c r="C145" s="31">
        <v>4301135962</v>
      </c>
      <c r="D145" s="291">
        <v>4620207491584</v>
      </c>
      <c r="E145" s="292"/>
      <c r="F145" s="277">
        <v>0.25</v>
      </c>
      <c r="G145" s="32">
        <v>12</v>
      </c>
      <c r="H145" s="277">
        <v>3</v>
      </c>
      <c r="I145" s="277">
        <v>3.7035999999999998</v>
      </c>
      <c r="J145" s="32">
        <v>70</v>
      </c>
      <c r="K145" s="32" t="s">
        <v>104</v>
      </c>
      <c r="L145" s="32" t="s">
        <v>65</v>
      </c>
      <c r="M145" s="33" t="s">
        <v>66</v>
      </c>
      <c r="N145" s="33"/>
      <c r="O145" s="32">
        <v>180</v>
      </c>
      <c r="P145" s="331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96"/>
      <c r="R145" s="296"/>
      <c r="S145" s="296"/>
      <c r="T145" s="297"/>
      <c r="U145" s="34"/>
      <c r="V145" s="34"/>
      <c r="W145" s="35" t="s">
        <v>67</v>
      </c>
      <c r="X145" s="278">
        <v>42</v>
      </c>
      <c r="Y145" s="279">
        <f>IFERROR(IF(X145="","",X145),"")</f>
        <v>42</v>
      </c>
      <c r="Z145" s="36">
        <f>IFERROR(IF(X145="","",X145*0.01788),"")</f>
        <v>0.75095999999999996</v>
      </c>
      <c r="AA145" s="56"/>
      <c r="AB145" s="57"/>
      <c r="AC145" s="182" t="s">
        <v>236</v>
      </c>
      <c r="AG145" s="67"/>
      <c r="AJ145" s="71" t="s">
        <v>69</v>
      </c>
      <c r="AK145" s="71">
        <v>1</v>
      </c>
      <c r="BB145" s="183" t="s">
        <v>108</v>
      </c>
      <c r="BM145" s="67">
        <f>IFERROR(X145*I145,"0")</f>
        <v>155.55119999999999</v>
      </c>
      <c r="BN145" s="67">
        <f>IFERROR(Y145*I145,"0")</f>
        <v>155.55119999999999</v>
      </c>
      <c r="BO145" s="67">
        <f>IFERROR(X145/J145,"0")</f>
        <v>0.6</v>
      </c>
      <c r="BP145" s="67">
        <f>IFERROR(Y145/J145,"0")</f>
        <v>0.6</v>
      </c>
    </row>
    <row r="146" spans="1:68" x14ac:dyDescent="0.2">
      <c r="A146" s="298"/>
      <c r="B146" s="288"/>
      <c r="C146" s="288"/>
      <c r="D146" s="288"/>
      <c r="E146" s="288"/>
      <c r="F146" s="288"/>
      <c r="G146" s="288"/>
      <c r="H146" s="288"/>
      <c r="I146" s="288"/>
      <c r="J146" s="288"/>
      <c r="K146" s="288"/>
      <c r="L146" s="288"/>
      <c r="M146" s="288"/>
      <c r="N146" s="288"/>
      <c r="O146" s="299"/>
      <c r="P146" s="284" t="s">
        <v>86</v>
      </c>
      <c r="Q146" s="285"/>
      <c r="R146" s="285"/>
      <c r="S146" s="285"/>
      <c r="T146" s="285"/>
      <c r="U146" s="285"/>
      <c r="V146" s="286"/>
      <c r="W146" s="37" t="s">
        <v>67</v>
      </c>
      <c r="X146" s="280">
        <f>IFERROR(SUM(X144:X145),"0")</f>
        <v>84</v>
      </c>
      <c r="Y146" s="280">
        <f>IFERROR(SUM(Y144:Y145),"0")</f>
        <v>84</v>
      </c>
      <c r="Z146" s="280">
        <f>IFERROR(IF(Z144="",0,Z144),"0")+IFERROR(IF(Z145="",0,Z145),"0")</f>
        <v>1.5019199999999999</v>
      </c>
      <c r="AA146" s="281"/>
      <c r="AB146" s="281"/>
      <c r="AC146" s="281"/>
    </row>
    <row r="147" spans="1:68" x14ac:dyDescent="0.2">
      <c r="A147" s="288"/>
      <c r="B147" s="288"/>
      <c r="C147" s="288"/>
      <c r="D147" s="288"/>
      <c r="E147" s="288"/>
      <c r="F147" s="288"/>
      <c r="G147" s="288"/>
      <c r="H147" s="288"/>
      <c r="I147" s="288"/>
      <c r="J147" s="288"/>
      <c r="K147" s="288"/>
      <c r="L147" s="288"/>
      <c r="M147" s="288"/>
      <c r="N147" s="288"/>
      <c r="O147" s="299"/>
      <c r="P147" s="284" t="s">
        <v>86</v>
      </c>
      <c r="Q147" s="285"/>
      <c r="R147" s="285"/>
      <c r="S147" s="285"/>
      <c r="T147" s="285"/>
      <c r="U147" s="285"/>
      <c r="V147" s="286"/>
      <c r="W147" s="37" t="s">
        <v>87</v>
      </c>
      <c r="X147" s="280">
        <f>IFERROR(SUMPRODUCT(X144:X145*H144:H145),"0")</f>
        <v>252</v>
      </c>
      <c r="Y147" s="280">
        <f>IFERROR(SUMPRODUCT(Y144:Y145*H144:H145),"0")</f>
        <v>252</v>
      </c>
      <c r="Z147" s="37"/>
      <c r="AA147" s="281"/>
      <c r="AB147" s="281"/>
      <c r="AC147" s="281"/>
    </row>
    <row r="148" spans="1:68" ht="16.5" hidden="1" customHeight="1" x14ac:dyDescent="0.25">
      <c r="A148" s="287" t="s">
        <v>239</v>
      </c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  <c r="AA148" s="273"/>
      <c r="AB148" s="273"/>
      <c r="AC148" s="273"/>
    </row>
    <row r="149" spans="1:68" ht="14.25" hidden="1" customHeight="1" x14ac:dyDescent="0.25">
      <c r="A149" s="324" t="s">
        <v>152</v>
      </c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8"/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288"/>
      <c r="AA149" s="274"/>
      <c r="AB149" s="274"/>
      <c r="AC149" s="274"/>
    </row>
    <row r="150" spans="1:68" ht="27" hidden="1" customHeight="1" x14ac:dyDescent="0.25">
      <c r="A150" s="54" t="s">
        <v>240</v>
      </c>
      <c r="B150" s="54" t="s">
        <v>241</v>
      </c>
      <c r="C150" s="31">
        <v>4301135954</v>
      </c>
      <c r="D150" s="291">
        <v>4620207491768</v>
      </c>
      <c r="E150" s="292"/>
      <c r="F150" s="277">
        <v>0.25</v>
      </c>
      <c r="G150" s="32">
        <v>12</v>
      </c>
      <c r="H150" s="277">
        <v>3</v>
      </c>
      <c r="I150" s="277">
        <v>3.7480000000000002</v>
      </c>
      <c r="J150" s="32">
        <v>70</v>
      </c>
      <c r="K150" s="32" t="s">
        <v>104</v>
      </c>
      <c r="L150" s="32" t="s">
        <v>65</v>
      </c>
      <c r="M150" s="33" t="s">
        <v>66</v>
      </c>
      <c r="N150" s="33"/>
      <c r="O150" s="32">
        <v>180</v>
      </c>
      <c r="P150" s="32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96"/>
      <c r="R150" s="296"/>
      <c r="S150" s="296"/>
      <c r="T150" s="297"/>
      <c r="U150" s="34"/>
      <c r="V150" s="34"/>
      <c r="W150" s="35" t="s">
        <v>67</v>
      </c>
      <c r="X150" s="278">
        <v>0</v>
      </c>
      <c r="Y150" s="279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242</v>
      </c>
      <c r="AG150" s="67"/>
      <c r="AJ150" s="71" t="s">
        <v>69</v>
      </c>
      <c r="AK150" s="71">
        <v>1</v>
      </c>
      <c r="BB150" s="185" t="s">
        <v>108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hidden="1" customHeight="1" x14ac:dyDescent="0.25">
      <c r="A151" s="54" t="s">
        <v>243</v>
      </c>
      <c r="B151" s="54" t="s">
        <v>244</v>
      </c>
      <c r="C151" s="31">
        <v>4301135946</v>
      </c>
      <c r="D151" s="291">
        <v>4620207491553</v>
      </c>
      <c r="E151" s="292"/>
      <c r="F151" s="277">
        <v>0.25</v>
      </c>
      <c r="G151" s="32">
        <v>12</v>
      </c>
      <c r="H151" s="277">
        <v>3</v>
      </c>
      <c r="I151" s="277">
        <v>3.7035999999999998</v>
      </c>
      <c r="J151" s="32">
        <v>70</v>
      </c>
      <c r="K151" s="32" t="s">
        <v>104</v>
      </c>
      <c r="L151" s="32" t="s">
        <v>65</v>
      </c>
      <c r="M151" s="33" t="s">
        <v>66</v>
      </c>
      <c r="N151" s="33"/>
      <c r="O151" s="32">
        <v>180</v>
      </c>
      <c r="P151" s="46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6"/>
      <c r="R151" s="296"/>
      <c r="S151" s="296"/>
      <c r="T151" s="297"/>
      <c r="U151" s="34"/>
      <c r="V151" s="34"/>
      <c r="W151" s="35" t="s">
        <v>67</v>
      </c>
      <c r="X151" s="278">
        <v>0</v>
      </c>
      <c r="Y151" s="279">
        <f>IFERROR(IF(X151="","",X151),"")</f>
        <v>0</v>
      </c>
      <c r="Z151" s="36">
        <f>IFERROR(IF(X151="","",X151*0.01788),"")</f>
        <v>0</v>
      </c>
      <c r="AA151" s="56"/>
      <c r="AB151" s="57"/>
      <c r="AC151" s="186" t="s">
        <v>242</v>
      </c>
      <c r="AG151" s="67"/>
      <c r="AJ151" s="71" t="s">
        <v>69</v>
      </c>
      <c r="AK151" s="71">
        <v>1</v>
      </c>
      <c r="BB151" s="187" t="s">
        <v>108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8"/>
      <c r="B152" s="288"/>
      <c r="C152" s="288"/>
      <c r="D152" s="288"/>
      <c r="E152" s="288"/>
      <c r="F152" s="288"/>
      <c r="G152" s="288"/>
      <c r="H152" s="288"/>
      <c r="I152" s="288"/>
      <c r="J152" s="288"/>
      <c r="K152" s="288"/>
      <c r="L152" s="288"/>
      <c r="M152" s="288"/>
      <c r="N152" s="288"/>
      <c r="O152" s="299"/>
      <c r="P152" s="284" t="s">
        <v>86</v>
      </c>
      <c r="Q152" s="285"/>
      <c r="R152" s="285"/>
      <c r="S152" s="285"/>
      <c r="T152" s="285"/>
      <c r="U152" s="285"/>
      <c r="V152" s="286"/>
      <c r="W152" s="37" t="s">
        <v>67</v>
      </c>
      <c r="X152" s="280">
        <f>IFERROR(SUM(X150:X151),"0")</f>
        <v>0</v>
      </c>
      <c r="Y152" s="280">
        <f>IFERROR(SUM(Y150:Y151),"0")</f>
        <v>0</v>
      </c>
      <c r="Z152" s="280">
        <f>IFERROR(IF(Z150="",0,Z150),"0")+IFERROR(IF(Z151="",0,Z151),"0")</f>
        <v>0</v>
      </c>
      <c r="AA152" s="281"/>
      <c r="AB152" s="281"/>
      <c r="AC152" s="281"/>
    </row>
    <row r="153" spans="1:68" hidden="1" x14ac:dyDescent="0.2">
      <c r="A153" s="288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99"/>
      <c r="P153" s="284" t="s">
        <v>86</v>
      </c>
      <c r="Q153" s="285"/>
      <c r="R153" s="285"/>
      <c r="S153" s="285"/>
      <c r="T153" s="285"/>
      <c r="U153" s="285"/>
      <c r="V153" s="286"/>
      <c r="W153" s="37" t="s">
        <v>87</v>
      </c>
      <c r="X153" s="280">
        <f>IFERROR(SUMPRODUCT(X150:X151*H150:H151),"0")</f>
        <v>0</v>
      </c>
      <c r="Y153" s="280">
        <f>IFERROR(SUMPRODUCT(Y150:Y151*H150:H151),"0")</f>
        <v>0</v>
      </c>
      <c r="Z153" s="37"/>
      <c r="AA153" s="281"/>
      <c r="AB153" s="281"/>
      <c r="AC153" s="281"/>
    </row>
    <row r="154" spans="1:68" ht="16.5" hidden="1" customHeight="1" x14ac:dyDescent="0.25">
      <c r="A154" s="287" t="s">
        <v>245</v>
      </c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  <c r="AA154" s="273"/>
      <c r="AB154" s="273"/>
      <c r="AC154" s="273"/>
    </row>
    <row r="155" spans="1:68" ht="14.25" hidden="1" customHeight="1" x14ac:dyDescent="0.25">
      <c r="A155" s="324" t="s">
        <v>152</v>
      </c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74"/>
      <c r="AB155" s="274"/>
      <c r="AC155" s="274"/>
    </row>
    <row r="156" spans="1:68" ht="27" hidden="1" customHeight="1" x14ac:dyDescent="0.25">
      <c r="A156" s="54" t="s">
        <v>246</v>
      </c>
      <c r="B156" s="54" t="s">
        <v>247</v>
      </c>
      <c r="C156" s="31">
        <v>4301135926</v>
      </c>
      <c r="D156" s="291">
        <v>4620207491669</v>
      </c>
      <c r="E156" s="292"/>
      <c r="F156" s="277">
        <v>0.2</v>
      </c>
      <c r="G156" s="32">
        <v>12</v>
      </c>
      <c r="H156" s="277">
        <v>2.4</v>
      </c>
      <c r="I156" s="277">
        <v>2.68</v>
      </c>
      <c r="J156" s="32">
        <v>70</v>
      </c>
      <c r="K156" s="32" t="s">
        <v>104</v>
      </c>
      <c r="L156" s="32" t="s">
        <v>65</v>
      </c>
      <c r="M156" s="33" t="s">
        <v>66</v>
      </c>
      <c r="N156" s="33"/>
      <c r="O156" s="32">
        <v>180</v>
      </c>
      <c r="P156" s="401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96"/>
      <c r="R156" s="296"/>
      <c r="S156" s="296"/>
      <c r="T156" s="297"/>
      <c r="U156" s="34"/>
      <c r="V156" s="34"/>
      <c r="W156" s="35" t="s">
        <v>67</v>
      </c>
      <c r="X156" s="278">
        <v>0</v>
      </c>
      <c r="Y156" s="279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248</v>
      </c>
      <c r="AG156" s="67"/>
      <c r="AJ156" s="71" t="s">
        <v>69</v>
      </c>
      <c r="AK156" s="71">
        <v>1</v>
      </c>
      <c r="BB156" s="189" t="s">
        <v>108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249</v>
      </c>
      <c r="B157" s="54" t="s">
        <v>250</v>
      </c>
      <c r="C157" s="31">
        <v>4301135932</v>
      </c>
      <c r="D157" s="291">
        <v>4620207491676</v>
      </c>
      <c r="E157" s="292"/>
      <c r="F157" s="277">
        <v>0.2</v>
      </c>
      <c r="G157" s="32">
        <v>12</v>
      </c>
      <c r="H157" s="277">
        <v>2.4</v>
      </c>
      <c r="I157" s="277">
        <v>2.68</v>
      </c>
      <c r="J157" s="32">
        <v>70</v>
      </c>
      <c r="K157" s="32" t="s">
        <v>104</v>
      </c>
      <c r="L157" s="32" t="s">
        <v>65</v>
      </c>
      <c r="M157" s="33" t="s">
        <v>66</v>
      </c>
      <c r="N157" s="33"/>
      <c r="O157" s="32">
        <v>180</v>
      </c>
      <c r="P157" s="30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96"/>
      <c r="R157" s="296"/>
      <c r="S157" s="296"/>
      <c r="T157" s="297"/>
      <c r="U157" s="34"/>
      <c r="V157" s="34"/>
      <c r="W157" s="35" t="s">
        <v>67</v>
      </c>
      <c r="X157" s="278">
        <v>0</v>
      </c>
      <c r="Y157" s="279">
        <f>IFERROR(IF(X157="","",X157),"")</f>
        <v>0</v>
      </c>
      <c r="Z157" s="36">
        <f>IFERROR(IF(X157="","",X157*0.01788),"")</f>
        <v>0</v>
      </c>
      <c r="AA157" s="56"/>
      <c r="AB157" s="57"/>
      <c r="AC157" s="190" t="s">
        <v>248</v>
      </c>
      <c r="AG157" s="67"/>
      <c r="AJ157" s="71" t="s">
        <v>69</v>
      </c>
      <c r="AK157" s="71">
        <v>1</v>
      </c>
      <c r="BB157" s="191" t="s">
        <v>108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98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99"/>
      <c r="P158" s="284" t="s">
        <v>86</v>
      </c>
      <c r="Q158" s="285"/>
      <c r="R158" s="285"/>
      <c r="S158" s="285"/>
      <c r="T158" s="285"/>
      <c r="U158" s="285"/>
      <c r="V158" s="286"/>
      <c r="W158" s="37" t="s">
        <v>67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hidden="1" x14ac:dyDescent="0.2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99"/>
      <c r="P159" s="284" t="s">
        <v>86</v>
      </c>
      <c r="Q159" s="285"/>
      <c r="R159" s="285"/>
      <c r="S159" s="285"/>
      <c r="T159" s="285"/>
      <c r="U159" s="285"/>
      <c r="V159" s="286"/>
      <c r="W159" s="37" t="s">
        <v>87</v>
      </c>
      <c r="X159" s="280">
        <f>IFERROR(SUMPRODUCT(X156:X157*H156:H157),"0")</f>
        <v>0</v>
      </c>
      <c r="Y159" s="280">
        <f>IFERROR(SUMPRODUCT(Y156:Y157*H156:H157),"0")</f>
        <v>0</v>
      </c>
      <c r="Z159" s="37"/>
      <c r="AA159" s="281"/>
      <c r="AB159" s="281"/>
      <c r="AC159" s="281"/>
    </row>
    <row r="160" spans="1:68" ht="16.5" hidden="1" customHeight="1" x14ac:dyDescent="0.25">
      <c r="A160" s="287" t="s">
        <v>251</v>
      </c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73"/>
      <c r="AB160" s="273"/>
      <c r="AC160" s="273"/>
    </row>
    <row r="161" spans="1:68" ht="14.25" hidden="1" customHeight="1" x14ac:dyDescent="0.25">
      <c r="A161" s="324" t="s">
        <v>152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74"/>
      <c r="AB161" s="274"/>
      <c r="AC161" s="274"/>
    </row>
    <row r="162" spans="1:68" ht="27" customHeight="1" x14ac:dyDescent="0.25">
      <c r="A162" s="54" t="s">
        <v>252</v>
      </c>
      <c r="B162" s="54" t="s">
        <v>253</v>
      </c>
      <c r="C162" s="31">
        <v>4301135940</v>
      </c>
      <c r="D162" s="291">
        <v>4620207491614</v>
      </c>
      <c r="E162" s="292"/>
      <c r="F162" s="277">
        <v>0.25</v>
      </c>
      <c r="G162" s="32">
        <v>12</v>
      </c>
      <c r="H162" s="277">
        <v>3</v>
      </c>
      <c r="I162" s="277">
        <v>3.7035999999999998</v>
      </c>
      <c r="J162" s="32">
        <v>70</v>
      </c>
      <c r="K162" s="32" t="s">
        <v>104</v>
      </c>
      <c r="L162" s="32" t="s">
        <v>65</v>
      </c>
      <c r="M162" s="33" t="s">
        <v>66</v>
      </c>
      <c r="N162" s="33"/>
      <c r="O162" s="32">
        <v>180</v>
      </c>
      <c r="P162" s="42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96"/>
      <c r="R162" s="296"/>
      <c r="S162" s="296"/>
      <c r="T162" s="297"/>
      <c r="U162" s="34"/>
      <c r="V162" s="34"/>
      <c r="W162" s="35" t="s">
        <v>67</v>
      </c>
      <c r="X162" s="278">
        <v>14</v>
      </c>
      <c r="Y162" s="279">
        <f>IFERROR(IF(X162="","",X162),"")</f>
        <v>14</v>
      </c>
      <c r="Z162" s="36">
        <f>IFERROR(IF(X162="","",X162*0.01788),"")</f>
        <v>0.25031999999999999</v>
      </c>
      <c r="AA162" s="56"/>
      <c r="AB162" s="57"/>
      <c r="AC162" s="192" t="s">
        <v>155</v>
      </c>
      <c r="AG162" s="67"/>
      <c r="AJ162" s="71" t="s">
        <v>69</v>
      </c>
      <c r="AK162" s="71">
        <v>1</v>
      </c>
      <c r="BB162" s="193" t="s">
        <v>108</v>
      </c>
      <c r="BM162" s="67">
        <f>IFERROR(X162*I162,"0")</f>
        <v>51.850399999999993</v>
      </c>
      <c r="BN162" s="67">
        <f>IFERROR(Y162*I162,"0")</f>
        <v>51.850399999999993</v>
      </c>
      <c r="BO162" s="67">
        <f>IFERROR(X162/J162,"0")</f>
        <v>0.2</v>
      </c>
      <c r="BP162" s="67">
        <f>IFERROR(Y162/J162,"0")</f>
        <v>0.2</v>
      </c>
    </row>
    <row r="163" spans="1:68" x14ac:dyDescent="0.2">
      <c r="A163" s="298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99"/>
      <c r="P163" s="284" t="s">
        <v>86</v>
      </c>
      <c r="Q163" s="285"/>
      <c r="R163" s="285"/>
      <c r="S163" s="285"/>
      <c r="T163" s="285"/>
      <c r="U163" s="285"/>
      <c r="V163" s="286"/>
      <c r="W163" s="37" t="s">
        <v>67</v>
      </c>
      <c r="X163" s="280">
        <f>IFERROR(SUM(X162:X162),"0")</f>
        <v>14</v>
      </c>
      <c r="Y163" s="280">
        <f>IFERROR(SUM(Y162:Y162),"0")</f>
        <v>14</v>
      </c>
      <c r="Z163" s="280">
        <f>IFERROR(IF(Z162="",0,Z162),"0")</f>
        <v>0.25031999999999999</v>
      </c>
      <c r="AA163" s="281"/>
      <c r="AB163" s="281"/>
      <c r="AC163" s="281"/>
    </row>
    <row r="164" spans="1:68" x14ac:dyDescent="0.2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99"/>
      <c r="P164" s="284" t="s">
        <v>86</v>
      </c>
      <c r="Q164" s="285"/>
      <c r="R164" s="285"/>
      <c r="S164" s="285"/>
      <c r="T164" s="285"/>
      <c r="U164" s="285"/>
      <c r="V164" s="286"/>
      <c r="W164" s="37" t="s">
        <v>87</v>
      </c>
      <c r="X164" s="280">
        <f>IFERROR(SUMPRODUCT(X162:X162*H162:H162),"0")</f>
        <v>42</v>
      </c>
      <c r="Y164" s="280">
        <f>IFERROR(SUMPRODUCT(Y162:Y162*H162:H162),"0")</f>
        <v>42</v>
      </c>
      <c r="Z164" s="37"/>
      <c r="AA164" s="281"/>
      <c r="AB164" s="281"/>
      <c r="AC164" s="281"/>
    </row>
    <row r="165" spans="1:68" ht="16.5" hidden="1" customHeight="1" x14ac:dyDescent="0.25">
      <c r="A165" s="287" t="s">
        <v>254</v>
      </c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73"/>
      <c r="AB165" s="273"/>
      <c r="AC165" s="273"/>
    </row>
    <row r="166" spans="1:68" ht="14.25" hidden="1" customHeight="1" x14ac:dyDescent="0.25">
      <c r="A166" s="324" t="s">
        <v>152</v>
      </c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74"/>
      <c r="AB166" s="274"/>
      <c r="AC166" s="274"/>
    </row>
    <row r="167" spans="1:68" ht="16.5" hidden="1" customHeight="1" x14ac:dyDescent="0.25">
      <c r="A167" s="54" t="s">
        <v>255</v>
      </c>
      <c r="B167" s="54" t="s">
        <v>256</v>
      </c>
      <c r="C167" s="31">
        <v>4301135607</v>
      </c>
      <c r="D167" s="291">
        <v>4607111039613</v>
      </c>
      <c r="E167" s="292"/>
      <c r="F167" s="277">
        <v>0.09</v>
      </c>
      <c r="G167" s="32">
        <v>30</v>
      </c>
      <c r="H167" s="277">
        <v>2.7</v>
      </c>
      <c r="I167" s="277">
        <v>3.09</v>
      </c>
      <c r="J167" s="32">
        <v>126</v>
      </c>
      <c r="K167" s="32" t="s">
        <v>104</v>
      </c>
      <c r="L167" s="32" t="s">
        <v>105</v>
      </c>
      <c r="M167" s="33" t="s">
        <v>66</v>
      </c>
      <c r="N167" s="33"/>
      <c r="O167" s="32">
        <v>180</v>
      </c>
      <c r="P167" s="38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6"/>
      <c r="R167" s="296"/>
      <c r="S167" s="296"/>
      <c r="T167" s="297"/>
      <c r="U167" s="34"/>
      <c r="V167" s="34"/>
      <c r="W167" s="35" t="s">
        <v>67</v>
      </c>
      <c r="X167" s="278">
        <v>0</v>
      </c>
      <c r="Y167" s="279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257</v>
      </c>
      <c r="AG167" s="67"/>
      <c r="AJ167" s="71" t="s">
        <v>107</v>
      </c>
      <c r="AK167" s="71">
        <v>14</v>
      </c>
      <c r="BB167" s="195" t="s">
        <v>108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8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99"/>
      <c r="P168" s="284" t="s">
        <v>86</v>
      </c>
      <c r="Q168" s="285"/>
      <c r="R168" s="285"/>
      <c r="S168" s="285"/>
      <c r="T168" s="285"/>
      <c r="U168" s="285"/>
      <c r="V168" s="286"/>
      <c r="W168" s="37" t="s">
        <v>67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99"/>
      <c r="P169" s="284" t="s">
        <v>86</v>
      </c>
      <c r="Q169" s="285"/>
      <c r="R169" s="285"/>
      <c r="S169" s="285"/>
      <c r="T169" s="285"/>
      <c r="U169" s="285"/>
      <c r="V169" s="286"/>
      <c r="W169" s="37" t="s">
        <v>87</v>
      </c>
      <c r="X169" s="280">
        <f>IFERROR(SUMPRODUCT(X167:X167*H167:H167),"0")</f>
        <v>0</v>
      </c>
      <c r="Y169" s="280">
        <f>IFERROR(SUMPRODUCT(Y167:Y167*H167:H167),"0")</f>
        <v>0</v>
      </c>
      <c r="Z169" s="37"/>
      <c r="AA169" s="281"/>
      <c r="AB169" s="281"/>
      <c r="AC169" s="281"/>
    </row>
    <row r="170" spans="1:68" ht="16.5" hidden="1" customHeight="1" x14ac:dyDescent="0.25">
      <c r="A170" s="287" t="s">
        <v>258</v>
      </c>
      <c r="B170" s="288"/>
      <c r="C170" s="288"/>
      <c r="D170" s="288"/>
      <c r="E170" s="288"/>
      <c r="F170" s="288"/>
      <c r="G170" s="288"/>
      <c r="H170" s="288"/>
      <c r="I170" s="288"/>
      <c r="J170" s="288"/>
      <c r="K170" s="288"/>
      <c r="L170" s="288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  <c r="AA170" s="273"/>
      <c r="AB170" s="273"/>
      <c r="AC170" s="273"/>
    </row>
    <row r="171" spans="1:68" ht="14.25" hidden="1" customHeight="1" x14ac:dyDescent="0.25">
      <c r="A171" s="324" t="s">
        <v>152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74"/>
      <c r="AB171" s="274"/>
      <c r="AC171" s="274"/>
    </row>
    <row r="172" spans="1:68" ht="27" hidden="1" customHeight="1" x14ac:dyDescent="0.25">
      <c r="A172" s="54" t="s">
        <v>259</v>
      </c>
      <c r="B172" s="54" t="s">
        <v>260</v>
      </c>
      <c r="C172" s="31">
        <v>4301135912</v>
      </c>
      <c r="D172" s="291">
        <v>4620207491751</v>
      </c>
      <c r="E172" s="292"/>
      <c r="F172" s="277">
        <v>0.28000000000000003</v>
      </c>
      <c r="G172" s="32">
        <v>6</v>
      </c>
      <c r="H172" s="277">
        <v>1.68</v>
      </c>
      <c r="I172" s="277">
        <v>2.1017999999999999</v>
      </c>
      <c r="J172" s="32">
        <v>140</v>
      </c>
      <c r="K172" s="32" t="s">
        <v>104</v>
      </c>
      <c r="L172" s="32" t="s">
        <v>65</v>
      </c>
      <c r="M172" s="33" t="s">
        <v>66</v>
      </c>
      <c r="N172" s="33"/>
      <c r="O172" s="32">
        <v>180</v>
      </c>
      <c r="P172" s="32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96"/>
      <c r="R172" s="296"/>
      <c r="S172" s="296"/>
      <c r="T172" s="297"/>
      <c r="U172" s="34"/>
      <c r="V172" s="34"/>
      <c r="W172" s="35" t="s">
        <v>67</v>
      </c>
      <c r="X172" s="278">
        <v>0</v>
      </c>
      <c r="Y172" s="279">
        <f>IFERROR(IF(X172="","",X172),"")</f>
        <v>0</v>
      </c>
      <c r="Z172" s="36">
        <f>IFERROR(IF(X172="","",X172*0.00941),"")</f>
        <v>0</v>
      </c>
      <c r="AA172" s="56"/>
      <c r="AB172" s="57"/>
      <c r="AC172" s="196" t="s">
        <v>155</v>
      </c>
      <c r="AG172" s="67"/>
      <c r="AJ172" s="71" t="s">
        <v>69</v>
      </c>
      <c r="AK172" s="71">
        <v>1</v>
      </c>
      <c r="BB172" s="197" t="s">
        <v>108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298"/>
      <c r="B173" s="288"/>
      <c r="C173" s="288"/>
      <c r="D173" s="288"/>
      <c r="E173" s="288"/>
      <c r="F173" s="288"/>
      <c r="G173" s="288"/>
      <c r="H173" s="288"/>
      <c r="I173" s="288"/>
      <c r="J173" s="288"/>
      <c r="K173" s="288"/>
      <c r="L173" s="288"/>
      <c r="M173" s="288"/>
      <c r="N173" s="288"/>
      <c r="O173" s="299"/>
      <c r="P173" s="284" t="s">
        <v>86</v>
      </c>
      <c r="Q173" s="285"/>
      <c r="R173" s="285"/>
      <c r="S173" s="285"/>
      <c r="T173" s="285"/>
      <c r="U173" s="285"/>
      <c r="V173" s="286"/>
      <c r="W173" s="37" t="s">
        <v>67</v>
      </c>
      <c r="X173" s="280">
        <f>IFERROR(SUM(X172:X172),"0")</f>
        <v>0</v>
      </c>
      <c r="Y173" s="280">
        <f>IFERROR(SUM(Y172:Y172),"0")</f>
        <v>0</v>
      </c>
      <c r="Z173" s="280">
        <f>IFERROR(IF(Z172="",0,Z172),"0")</f>
        <v>0</v>
      </c>
      <c r="AA173" s="281"/>
      <c r="AB173" s="281"/>
      <c r="AC173" s="281"/>
    </row>
    <row r="174" spans="1:68" hidden="1" x14ac:dyDescent="0.2">
      <c r="A174" s="288"/>
      <c r="B174" s="288"/>
      <c r="C174" s="288"/>
      <c r="D174" s="288"/>
      <c r="E174" s="288"/>
      <c r="F174" s="288"/>
      <c r="G174" s="288"/>
      <c r="H174" s="288"/>
      <c r="I174" s="288"/>
      <c r="J174" s="288"/>
      <c r="K174" s="288"/>
      <c r="L174" s="288"/>
      <c r="M174" s="288"/>
      <c r="N174" s="288"/>
      <c r="O174" s="299"/>
      <c r="P174" s="284" t="s">
        <v>86</v>
      </c>
      <c r="Q174" s="285"/>
      <c r="R174" s="285"/>
      <c r="S174" s="285"/>
      <c r="T174" s="285"/>
      <c r="U174" s="285"/>
      <c r="V174" s="286"/>
      <c r="W174" s="37" t="s">
        <v>87</v>
      </c>
      <c r="X174" s="280">
        <f>IFERROR(SUMPRODUCT(X172:X172*H172:H172),"0")</f>
        <v>0</v>
      </c>
      <c r="Y174" s="280">
        <f>IFERROR(SUMPRODUCT(Y172:Y172*H172:H172),"0")</f>
        <v>0</v>
      </c>
      <c r="Z174" s="37"/>
      <c r="AA174" s="281"/>
      <c r="AB174" s="281"/>
      <c r="AC174" s="281"/>
    </row>
    <row r="175" spans="1:68" ht="27.75" hidden="1" customHeight="1" x14ac:dyDescent="0.2">
      <c r="A175" s="293" t="s">
        <v>261</v>
      </c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48"/>
      <c r="AB175" s="48"/>
      <c r="AC175" s="48"/>
    </row>
    <row r="176" spans="1:68" ht="16.5" hidden="1" customHeight="1" x14ac:dyDescent="0.25">
      <c r="A176" s="287" t="s">
        <v>262</v>
      </c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8"/>
      <c r="P176" s="288"/>
      <c r="Q176" s="288"/>
      <c r="R176" s="288"/>
      <c r="S176" s="288"/>
      <c r="T176" s="288"/>
      <c r="U176" s="288"/>
      <c r="V176" s="288"/>
      <c r="W176" s="288"/>
      <c r="X176" s="288"/>
      <c r="Y176" s="288"/>
      <c r="Z176" s="288"/>
      <c r="AA176" s="273"/>
      <c r="AB176" s="273"/>
      <c r="AC176" s="273"/>
    </row>
    <row r="177" spans="1:68" ht="14.25" hidden="1" customHeight="1" x14ac:dyDescent="0.25">
      <c r="A177" s="324" t="s">
        <v>101</v>
      </c>
      <c r="B177" s="288"/>
      <c r="C177" s="288"/>
      <c r="D177" s="288"/>
      <c r="E177" s="288"/>
      <c r="F177" s="288"/>
      <c r="G177" s="288"/>
      <c r="H177" s="288"/>
      <c r="I177" s="288"/>
      <c r="J177" s="288"/>
      <c r="K177" s="288"/>
      <c r="L177" s="288"/>
      <c r="M177" s="288"/>
      <c r="N177" s="288"/>
      <c r="O177" s="288"/>
      <c r="P177" s="288"/>
      <c r="Q177" s="288"/>
      <c r="R177" s="288"/>
      <c r="S177" s="288"/>
      <c r="T177" s="288"/>
      <c r="U177" s="288"/>
      <c r="V177" s="288"/>
      <c r="W177" s="288"/>
      <c r="X177" s="288"/>
      <c r="Y177" s="288"/>
      <c r="Z177" s="288"/>
      <c r="AA177" s="274"/>
      <c r="AB177" s="274"/>
      <c r="AC177" s="274"/>
    </row>
    <row r="178" spans="1:68" ht="27" customHeight="1" x14ac:dyDescent="0.25">
      <c r="A178" s="54" t="s">
        <v>263</v>
      </c>
      <c r="B178" s="54" t="s">
        <v>264</v>
      </c>
      <c r="C178" s="31">
        <v>4301132226</v>
      </c>
      <c r="D178" s="291">
        <v>4620207490631</v>
      </c>
      <c r="E178" s="292"/>
      <c r="F178" s="277">
        <v>6</v>
      </c>
      <c r="G178" s="32">
        <v>1</v>
      </c>
      <c r="H178" s="277">
        <v>6</v>
      </c>
      <c r="I178" s="277">
        <v>6.2350000000000003</v>
      </c>
      <c r="J178" s="32">
        <v>84</v>
      </c>
      <c r="K178" s="32" t="s">
        <v>64</v>
      </c>
      <c r="L178" s="32" t="s">
        <v>65</v>
      </c>
      <c r="M178" s="33" t="s">
        <v>66</v>
      </c>
      <c r="N178" s="33"/>
      <c r="O178" s="32">
        <v>180</v>
      </c>
      <c r="P178" s="433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96"/>
      <c r="R178" s="296"/>
      <c r="S178" s="296"/>
      <c r="T178" s="297"/>
      <c r="U178" s="34"/>
      <c r="V178" s="34"/>
      <c r="W178" s="35" t="s">
        <v>67</v>
      </c>
      <c r="X178" s="278">
        <v>24</v>
      </c>
      <c r="Y178" s="279">
        <f>IFERROR(IF(X178="","",X178),"")</f>
        <v>24</v>
      </c>
      <c r="Z178" s="36">
        <f>IFERROR(IF(X178="","",X178*0.0155),"")</f>
        <v>0.372</v>
      </c>
      <c r="AA178" s="56"/>
      <c r="AB178" s="57"/>
      <c r="AC178" s="198" t="s">
        <v>265</v>
      </c>
      <c r="AG178" s="67"/>
      <c r="AJ178" s="71" t="s">
        <v>69</v>
      </c>
      <c r="AK178" s="71">
        <v>1</v>
      </c>
      <c r="BB178" s="199" t="s">
        <v>108</v>
      </c>
      <c r="BM178" s="67">
        <f>IFERROR(X178*I178,"0")</f>
        <v>149.64000000000001</v>
      </c>
      <c r="BN178" s="67">
        <f>IFERROR(Y178*I178,"0")</f>
        <v>149.64000000000001</v>
      </c>
      <c r="BO178" s="67">
        <f>IFERROR(X178/J178,"0")</f>
        <v>0.2857142857142857</v>
      </c>
      <c r="BP178" s="67">
        <f>IFERROR(Y178/J178,"0")</f>
        <v>0.2857142857142857</v>
      </c>
    </row>
    <row r="179" spans="1:68" x14ac:dyDescent="0.2">
      <c r="A179" s="298"/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99"/>
      <c r="P179" s="284" t="s">
        <v>86</v>
      </c>
      <c r="Q179" s="285"/>
      <c r="R179" s="285"/>
      <c r="S179" s="285"/>
      <c r="T179" s="285"/>
      <c r="U179" s="285"/>
      <c r="V179" s="286"/>
      <c r="W179" s="37" t="s">
        <v>67</v>
      </c>
      <c r="X179" s="280">
        <f>IFERROR(SUM(X178:X178),"0")</f>
        <v>24</v>
      </c>
      <c r="Y179" s="280">
        <f>IFERROR(SUM(Y178:Y178),"0")</f>
        <v>24</v>
      </c>
      <c r="Z179" s="280">
        <f>IFERROR(IF(Z178="",0,Z178),"0")</f>
        <v>0.372</v>
      </c>
      <c r="AA179" s="281"/>
      <c r="AB179" s="281"/>
      <c r="AC179" s="281"/>
    </row>
    <row r="180" spans="1:68" x14ac:dyDescent="0.2">
      <c r="A180" s="288"/>
      <c r="B180" s="288"/>
      <c r="C180" s="288"/>
      <c r="D180" s="288"/>
      <c r="E180" s="288"/>
      <c r="F180" s="288"/>
      <c r="G180" s="288"/>
      <c r="H180" s="288"/>
      <c r="I180" s="288"/>
      <c r="J180" s="288"/>
      <c r="K180" s="288"/>
      <c r="L180" s="288"/>
      <c r="M180" s="288"/>
      <c r="N180" s="288"/>
      <c r="O180" s="299"/>
      <c r="P180" s="284" t="s">
        <v>86</v>
      </c>
      <c r="Q180" s="285"/>
      <c r="R180" s="285"/>
      <c r="S180" s="285"/>
      <c r="T180" s="285"/>
      <c r="U180" s="285"/>
      <c r="V180" s="286"/>
      <c r="W180" s="37" t="s">
        <v>87</v>
      </c>
      <c r="X180" s="280">
        <f>IFERROR(SUMPRODUCT(X178:X178*H178:H178),"0")</f>
        <v>144</v>
      </c>
      <c r="Y180" s="280">
        <f>IFERROR(SUMPRODUCT(Y178:Y178*H178:H178),"0")</f>
        <v>144</v>
      </c>
      <c r="Z180" s="37"/>
      <c r="AA180" s="281"/>
      <c r="AB180" s="281"/>
      <c r="AC180" s="281"/>
    </row>
    <row r="181" spans="1:68" ht="14.25" hidden="1" customHeight="1" x14ac:dyDescent="0.25">
      <c r="A181" s="324" t="s">
        <v>152</v>
      </c>
      <c r="B181" s="288"/>
      <c r="C181" s="288"/>
      <c r="D181" s="288"/>
      <c r="E181" s="288"/>
      <c r="F181" s="288"/>
      <c r="G181" s="288"/>
      <c r="H181" s="288"/>
      <c r="I181" s="288"/>
      <c r="J181" s="288"/>
      <c r="K181" s="288"/>
      <c r="L181" s="288"/>
      <c r="M181" s="288"/>
      <c r="N181" s="288"/>
      <c r="O181" s="288"/>
      <c r="P181" s="288"/>
      <c r="Q181" s="288"/>
      <c r="R181" s="288"/>
      <c r="S181" s="288"/>
      <c r="T181" s="288"/>
      <c r="U181" s="288"/>
      <c r="V181" s="288"/>
      <c r="W181" s="288"/>
      <c r="X181" s="288"/>
      <c r="Y181" s="288"/>
      <c r="Z181" s="288"/>
      <c r="AA181" s="274"/>
      <c r="AB181" s="274"/>
      <c r="AC181" s="274"/>
    </row>
    <row r="182" spans="1:68" ht="27" hidden="1" customHeight="1" x14ac:dyDescent="0.25">
      <c r="A182" s="54" t="s">
        <v>266</v>
      </c>
      <c r="B182" s="54" t="s">
        <v>267</v>
      </c>
      <c r="C182" s="31">
        <v>4301135392</v>
      </c>
      <c r="D182" s="291">
        <v>4607111039132</v>
      </c>
      <c r="E182" s="292"/>
      <c r="F182" s="277">
        <v>3.7</v>
      </c>
      <c r="G182" s="32">
        <v>1</v>
      </c>
      <c r="H182" s="277">
        <v>3.7</v>
      </c>
      <c r="I182" s="277">
        <v>3.8919999999999999</v>
      </c>
      <c r="J182" s="32">
        <v>126</v>
      </c>
      <c r="K182" s="32" t="s">
        <v>104</v>
      </c>
      <c r="L182" s="32" t="s">
        <v>65</v>
      </c>
      <c r="M182" s="33" t="s">
        <v>66</v>
      </c>
      <c r="N182" s="33"/>
      <c r="O182" s="32">
        <v>180</v>
      </c>
      <c r="P182" s="372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96"/>
      <c r="R182" s="296"/>
      <c r="S182" s="296"/>
      <c r="T182" s="297"/>
      <c r="U182" s="34"/>
      <c r="V182" s="34"/>
      <c r="W182" s="35" t="s">
        <v>67</v>
      </c>
      <c r="X182" s="278">
        <v>0</v>
      </c>
      <c r="Y182" s="279">
        <f>IFERROR(IF(X182="","",X182),"")</f>
        <v>0</v>
      </c>
      <c r="Z182" s="36">
        <f>IFERROR(IF(X182="","",X182*0.00936),"")</f>
        <v>0</v>
      </c>
      <c r="AA182" s="56"/>
      <c r="AB182" s="57"/>
      <c r="AC182" s="200" t="s">
        <v>268</v>
      </c>
      <c r="AG182" s="67"/>
      <c r="AJ182" s="71" t="s">
        <v>69</v>
      </c>
      <c r="AK182" s="71">
        <v>1</v>
      </c>
      <c r="BB182" s="201" t="s">
        <v>108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298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99"/>
      <c r="P183" s="284" t="s">
        <v>86</v>
      </c>
      <c r="Q183" s="285"/>
      <c r="R183" s="285"/>
      <c r="S183" s="285"/>
      <c r="T183" s="285"/>
      <c r="U183" s="285"/>
      <c r="V183" s="286"/>
      <c r="W183" s="37" t="s">
        <v>67</v>
      </c>
      <c r="X183" s="280">
        <f>IFERROR(SUM(X182:X182),"0")</f>
        <v>0</v>
      </c>
      <c r="Y183" s="280">
        <f>IFERROR(SUM(Y182:Y182),"0")</f>
        <v>0</v>
      </c>
      <c r="Z183" s="280">
        <f>IFERROR(IF(Z182="",0,Z182),"0")</f>
        <v>0</v>
      </c>
      <c r="AA183" s="281"/>
      <c r="AB183" s="281"/>
      <c r="AC183" s="281"/>
    </row>
    <row r="184" spans="1:68" hidden="1" x14ac:dyDescent="0.2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99"/>
      <c r="P184" s="284" t="s">
        <v>86</v>
      </c>
      <c r="Q184" s="285"/>
      <c r="R184" s="285"/>
      <c r="S184" s="285"/>
      <c r="T184" s="285"/>
      <c r="U184" s="285"/>
      <c r="V184" s="286"/>
      <c r="W184" s="37" t="s">
        <v>87</v>
      </c>
      <c r="X184" s="280">
        <f>IFERROR(SUMPRODUCT(X182:X182*H182:H182),"0")</f>
        <v>0</v>
      </c>
      <c r="Y184" s="280">
        <f>IFERROR(SUMPRODUCT(Y182:Y182*H182:H182),"0")</f>
        <v>0</v>
      </c>
      <c r="Z184" s="37"/>
      <c r="AA184" s="281"/>
      <c r="AB184" s="281"/>
      <c r="AC184" s="281"/>
    </row>
    <row r="185" spans="1:68" ht="16.5" hidden="1" customHeight="1" x14ac:dyDescent="0.25">
      <c r="A185" s="287" t="s">
        <v>269</v>
      </c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73"/>
      <c r="AB185" s="273"/>
      <c r="AC185" s="273"/>
    </row>
    <row r="186" spans="1:68" ht="14.25" hidden="1" customHeight="1" x14ac:dyDescent="0.25">
      <c r="A186" s="324" t="s">
        <v>61</v>
      </c>
      <c r="B186" s="288"/>
      <c r="C186" s="288"/>
      <c r="D186" s="288"/>
      <c r="E186" s="288"/>
      <c r="F186" s="288"/>
      <c r="G186" s="288"/>
      <c r="H186" s="288"/>
      <c r="I186" s="288"/>
      <c r="J186" s="288"/>
      <c r="K186" s="288"/>
      <c r="L186" s="288"/>
      <c r="M186" s="288"/>
      <c r="N186" s="288"/>
      <c r="O186" s="288"/>
      <c r="P186" s="288"/>
      <c r="Q186" s="288"/>
      <c r="R186" s="288"/>
      <c r="S186" s="288"/>
      <c r="T186" s="288"/>
      <c r="U186" s="288"/>
      <c r="V186" s="288"/>
      <c r="W186" s="288"/>
      <c r="X186" s="288"/>
      <c r="Y186" s="288"/>
      <c r="Z186" s="288"/>
      <c r="AA186" s="274"/>
      <c r="AB186" s="274"/>
      <c r="AC186" s="274"/>
    </row>
    <row r="187" spans="1:68" ht="16.5" hidden="1" customHeight="1" x14ac:dyDescent="0.25">
      <c r="A187" s="54" t="s">
        <v>270</v>
      </c>
      <c r="B187" s="54" t="s">
        <v>271</v>
      </c>
      <c r="C187" s="31">
        <v>4301071062</v>
      </c>
      <c r="D187" s="291">
        <v>4607111036384</v>
      </c>
      <c r="E187" s="292"/>
      <c r="F187" s="277">
        <v>5</v>
      </c>
      <c r="G187" s="32">
        <v>1</v>
      </c>
      <c r="H187" s="277">
        <v>5</v>
      </c>
      <c r="I187" s="277">
        <v>5.2106000000000003</v>
      </c>
      <c r="J187" s="32">
        <v>144</v>
      </c>
      <c r="K187" s="32" t="s">
        <v>64</v>
      </c>
      <c r="L187" s="32" t="s">
        <v>65</v>
      </c>
      <c r="M187" s="33" t="s">
        <v>66</v>
      </c>
      <c r="N187" s="33"/>
      <c r="O187" s="32">
        <v>180</v>
      </c>
      <c r="P187" s="36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96"/>
      <c r="R187" s="296"/>
      <c r="S187" s="296"/>
      <c r="T187" s="297"/>
      <c r="U187" s="34"/>
      <c r="V187" s="34"/>
      <c r="W187" s="35" t="s">
        <v>67</v>
      </c>
      <c r="X187" s="278">
        <v>0</v>
      </c>
      <c r="Y187" s="279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272</v>
      </c>
      <c r="AG187" s="67"/>
      <c r="AJ187" s="71" t="s">
        <v>69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273</v>
      </c>
      <c r="B188" s="54" t="s">
        <v>274</v>
      </c>
      <c r="C188" s="31">
        <v>4301071050</v>
      </c>
      <c r="D188" s="291">
        <v>4607111036216</v>
      </c>
      <c r="E188" s="292"/>
      <c r="F188" s="277">
        <v>5</v>
      </c>
      <c r="G188" s="32">
        <v>1</v>
      </c>
      <c r="H188" s="277">
        <v>5</v>
      </c>
      <c r="I188" s="277">
        <v>5.2131999999999996</v>
      </c>
      <c r="J188" s="32">
        <v>144</v>
      </c>
      <c r="K188" s="32" t="s">
        <v>64</v>
      </c>
      <c r="L188" s="32" t="s">
        <v>105</v>
      </c>
      <c r="M188" s="33" t="s">
        <v>66</v>
      </c>
      <c r="N188" s="33"/>
      <c r="O188" s="32">
        <v>180</v>
      </c>
      <c r="P188" s="39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96"/>
      <c r="R188" s="296"/>
      <c r="S188" s="296"/>
      <c r="T188" s="297"/>
      <c r="U188" s="34"/>
      <c r="V188" s="34"/>
      <c r="W188" s="35" t="s">
        <v>67</v>
      </c>
      <c r="X188" s="278">
        <v>0</v>
      </c>
      <c r="Y188" s="279">
        <f>IFERROR(IF(X188="","",X188),"")</f>
        <v>0</v>
      </c>
      <c r="Z188" s="36">
        <f>IFERROR(IF(X188="","",X188*0.00866),"")</f>
        <v>0</v>
      </c>
      <c r="AA188" s="56"/>
      <c r="AB188" s="57"/>
      <c r="AC188" s="204" t="s">
        <v>275</v>
      </c>
      <c r="AG188" s="67"/>
      <c r="AJ188" s="71" t="s">
        <v>107</v>
      </c>
      <c r="AK188" s="71">
        <v>12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298"/>
      <c r="B189" s="288"/>
      <c r="C189" s="288"/>
      <c r="D189" s="288"/>
      <c r="E189" s="288"/>
      <c r="F189" s="288"/>
      <c r="G189" s="288"/>
      <c r="H189" s="288"/>
      <c r="I189" s="288"/>
      <c r="J189" s="288"/>
      <c r="K189" s="288"/>
      <c r="L189" s="288"/>
      <c r="M189" s="288"/>
      <c r="N189" s="288"/>
      <c r="O189" s="299"/>
      <c r="P189" s="284" t="s">
        <v>86</v>
      </c>
      <c r="Q189" s="285"/>
      <c r="R189" s="285"/>
      <c r="S189" s="285"/>
      <c r="T189" s="285"/>
      <c r="U189" s="285"/>
      <c r="V189" s="286"/>
      <c r="W189" s="37" t="s">
        <v>67</v>
      </c>
      <c r="X189" s="280">
        <f>IFERROR(SUM(X187:X188),"0")</f>
        <v>0</v>
      </c>
      <c r="Y189" s="280">
        <f>IFERROR(SUM(Y187:Y188),"0")</f>
        <v>0</v>
      </c>
      <c r="Z189" s="280">
        <f>IFERROR(IF(Z187="",0,Z187),"0")+IFERROR(IF(Z188="",0,Z188),"0")</f>
        <v>0</v>
      </c>
      <c r="AA189" s="281"/>
      <c r="AB189" s="281"/>
      <c r="AC189" s="281"/>
    </row>
    <row r="190" spans="1:68" hidden="1" x14ac:dyDescent="0.2">
      <c r="A190" s="288"/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99"/>
      <c r="P190" s="284" t="s">
        <v>86</v>
      </c>
      <c r="Q190" s="285"/>
      <c r="R190" s="285"/>
      <c r="S190" s="285"/>
      <c r="T190" s="285"/>
      <c r="U190" s="285"/>
      <c r="V190" s="286"/>
      <c r="W190" s="37" t="s">
        <v>87</v>
      </c>
      <c r="X190" s="280">
        <f>IFERROR(SUMPRODUCT(X187:X188*H187:H188),"0")</f>
        <v>0</v>
      </c>
      <c r="Y190" s="280">
        <f>IFERROR(SUMPRODUCT(Y187:Y188*H187:H188),"0")</f>
        <v>0</v>
      </c>
      <c r="Z190" s="37"/>
      <c r="AA190" s="281"/>
      <c r="AB190" s="281"/>
      <c r="AC190" s="281"/>
    </row>
    <row r="191" spans="1:68" ht="16.5" hidden="1" customHeight="1" x14ac:dyDescent="0.25">
      <c r="A191" s="287" t="s">
        <v>276</v>
      </c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73"/>
      <c r="AB191" s="273"/>
      <c r="AC191" s="273"/>
    </row>
    <row r="192" spans="1:68" ht="14.25" hidden="1" customHeight="1" x14ac:dyDescent="0.25">
      <c r="A192" s="324" t="s">
        <v>61</v>
      </c>
      <c r="B192" s="288"/>
      <c r="C192" s="288"/>
      <c r="D192" s="288"/>
      <c r="E192" s="288"/>
      <c r="F192" s="288"/>
      <c r="G192" s="288"/>
      <c r="H192" s="288"/>
      <c r="I192" s="288"/>
      <c r="J192" s="288"/>
      <c r="K192" s="288"/>
      <c r="L192" s="288"/>
      <c r="M192" s="288"/>
      <c r="N192" s="288"/>
      <c r="O192" s="288"/>
      <c r="P192" s="288"/>
      <c r="Q192" s="288"/>
      <c r="R192" s="288"/>
      <c r="S192" s="288"/>
      <c r="T192" s="288"/>
      <c r="U192" s="288"/>
      <c r="V192" s="288"/>
      <c r="W192" s="288"/>
      <c r="X192" s="288"/>
      <c r="Y192" s="288"/>
      <c r="Z192" s="288"/>
      <c r="AA192" s="274"/>
      <c r="AB192" s="274"/>
      <c r="AC192" s="274"/>
    </row>
    <row r="193" spans="1:68" ht="27" customHeight="1" x14ac:dyDescent="0.25">
      <c r="A193" s="54" t="s">
        <v>277</v>
      </c>
      <c r="B193" s="54" t="s">
        <v>278</v>
      </c>
      <c r="C193" s="31">
        <v>4301071117</v>
      </c>
      <c r="D193" s="291">
        <v>4620207491737</v>
      </c>
      <c r="E193" s="292"/>
      <c r="F193" s="277">
        <v>1</v>
      </c>
      <c r="G193" s="32">
        <v>5</v>
      </c>
      <c r="H193" s="277">
        <v>5</v>
      </c>
      <c r="I193" s="277">
        <v>5.2619999999999996</v>
      </c>
      <c r="J193" s="32">
        <v>84</v>
      </c>
      <c r="K193" s="32" t="s">
        <v>64</v>
      </c>
      <c r="L193" s="32" t="s">
        <v>65</v>
      </c>
      <c r="M193" s="33" t="s">
        <v>66</v>
      </c>
      <c r="N193" s="33"/>
      <c r="O193" s="32">
        <v>180</v>
      </c>
      <c r="P193" s="41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96"/>
      <c r="R193" s="296"/>
      <c r="S193" s="296"/>
      <c r="T193" s="297"/>
      <c r="U193" s="34"/>
      <c r="V193" s="34"/>
      <c r="W193" s="35" t="s">
        <v>67</v>
      </c>
      <c r="X193" s="278">
        <v>84</v>
      </c>
      <c r="Y193" s="279">
        <f>IFERROR(IF(X193="","",X193),"")</f>
        <v>84</v>
      </c>
      <c r="Z193" s="36">
        <f>IFERROR(IF(X193="","",X193*0.0155),"")</f>
        <v>1.302</v>
      </c>
      <c r="AA193" s="56"/>
      <c r="AB193" s="57"/>
      <c r="AC193" s="206" t="s">
        <v>275</v>
      </c>
      <c r="AG193" s="67"/>
      <c r="AJ193" s="71" t="s">
        <v>69</v>
      </c>
      <c r="AK193" s="71">
        <v>1</v>
      </c>
      <c r="BB193" s="207" t="s">
        <v>1</v>
      </c>
      <c r="BM193" s="67">
        <f>IFERROR(X193*I193,"0")</f>
        <v>442.00799999999998</v>
      </c>
      <c r="BN193" s="67">
        <f>IFERROR(Y193*I193,"0")</f>
        <v>442.00799999999998</v>
      </c>
      <c r="BO193" s="67">
        <f>IFERROR(X193/J193,"0")</f>
        <v>1</v>
      </c>
      <c r="BP193" s="67">
        <f>IFERROR(Y193/J193,"0")</f>
        <v>1</v>
      </c>
    </row>
    <row r="194" spans="1:68" x14ac:dyDescent="0.2">
      <c r="A194" s="29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99"/>
      <c r="P194" s="284" t="s">
        <v>86</v>
      </c>
      <c r="Q194" s="285"/>
      <c r="R194" s="285"/>
      <c r="S194" s="285"/>
      <c r="T194" s="285"/>
      <c r="U194" s="285"/>
      <c r="V194" s="286"/>
      <c r="W194" s="37" t="s">
        <v>67</v>
      </c>
      <c r="X194" s="280">
        <f>IFERROR(SUM(X193:X193),"0")</f>
        <v>84</v>
      </c>
      <c r="Y194" s="280">
        <f>IFERROR(SUM(Y193:Y193),"0")</f>
        <v>84</v>
      </c>
      <c r="Z194" s="280">
        <f>IFERROR(IF(Z193="",0,Z193),"0")</f>
        <v>1.302</v>
      </c>
      <c r="AA194" s="281"/>
      <c r="AB194" s="281"/>
      <c r="AC194" s="281"/>
    </row>
    <row r="195" spans="1:68" x14ac:dyDescent="0.2">
      <c r="A195" s="288"/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99"/>
      <c r="P195" s="284" t="s">
        <v>86</v>
      </c>
      <c r="Q195" s="285"/>
      <c r="R195" s="285"/>
      <c r="S195" s="285"/>
      <c r="T195" s="285"/>
      <c r="U195" s="285"/>
      <c r="V195" s="286"/>
      <c r="W195" s="37" t="s">
        <v>87</v>
      </c>
      <c r="X195" s="280">
        <f>IFERROR(SUMPRODUCT(X193:X193*H193:H193),"0")</f>
        <v>420</v>
      </c>
      <c r="Y195" s="280">
        <f>IFERROR(SUMPRODUCT(Y193:Y193*H193:H193),"0")</f>
        <v>420</v>
      </c>
      <c r="Z195" s="37"/>
      <c r="AA195" s="281"/>
      <c r="AB195" s="281"/>
      <c r="AC195" s="281"/>
    </row>
    <row r="196" spans="1:68" ht="27.75" hidden="1" customHeight="1" x14ac:dyDescent="0.2">
      <c r="A196" s="293" t="s">
        <v>279</v>
      </c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48"/>
      <c r="AB196" s="48"/>
      <c r="AC196" s="48"/>
    </row>
    <row r="197" spans="1:68" ht="16.5" hidden="1" customHeight="1" x14ac:dyDescent="0.25">
      <c r="A197" s="287" t="s">
        <v>280</v>
      </c>
      <c r="B197" s="288"/>
      <c r="C197" s="288"/>
      <c r="D197" s="288"/>
      <c r="E197" s="288"/>
      <c r="F197" s="288"/>
      <c r="G197" s="288"/>
      <c r="H197" s="288"/>
      <c r="I197" s="288"/>
      <c r="J197" s="288"/>
      <c r="K197" s="288"/>
      <c r="L197" s="288"/>
      <c r="M197" s="288"/>
      <c r="N197" s="288"/>
      <c r="O197" s="288"/>
      <c r="P197" s="288"/>
      <c r="Q197" s="288"/>
      <c r="R197" s="288"/>
      <c r="S197" s="288"/>
      <c r="T197" s="288"/>
      <c r="U197" s="288"/>
      <c r="V197" s="288"/>
      <c r="W197" s="288"/>
      <c r="X197" s="288"/>
      <c r="Y197" s="288"/>
      <c r="Z197" s="288"/>
      <c r="AA197" s="273"/>
      <c r="AB197" s="273"/>
      <c r="AC197" s="273"/>
    </row>
    <row r="198" spans="1:68" ht="14.25" hidden="1" customHeight="1" x14ac:dyDescent="0.25">
      <c r="A198" s="324" t="s">
        <v>101</v>
      </c>
      <c r="B198" s="288"/>
      <c r="C198" s="288"/>
      <c r="D198" s="288"/>
      <c r="E198" s="288"/>
      <c r="F198" s="288"/>
      <c r="G198" s="288"/>
      <c r="H198" s="288"/>
      <c r="I198" s="288"/>
      <c r="J198" s="288"/>
      <c r="K198" s="288"/>
      <c r="L198" s="288"/>
      <c r="M198" s="288"/>
      <c r="N198" s="288"/>
      <c r="O198" s="288"/>
      <c r="P198" s="288"/>
      <c r="Q198" s="288"/>
      <c r="R198" s="288"/>
      <c r="S198" s="288"/>
      <c r="T198" s="288"/>
      <c r="U198" s="288"/>
      <c r="V198" s="288"/>
      <c r="W198" s="288"/>
      <c r="X198" s="288"/>
      <c r="Y198" s="288"/>
      <c r="Z198" s="288"/>
      <c r="AA198" s="274"/>
      <c r="AB198" s="274"/>
      <c r="AC198" s="274"/>
    </row>
    <row r="199" spans="1:68" ht="16.5" customHeight="1" x14ac:dyDescent="0.25">
      <c r="A199" s="54" t="s">
        <v>281</v>
      </c>
      <c r="B199" s="54" t="s">
        <v>282</v>
      </c>
      <c r="C199" s="31">
        <v>4301132179</v>
      </c>
      <c r="D199" s="291">
        <v>4607111035691</v>
      </c>
      <c r="E199" s="292"/>
      <c r="F199" s="277">
        <v>0.25</v>
      </c>
      <c r="G199" s="32">
        <v>12</v>
      </c>
      <c r="H199" s="277">
        <v>3</v>
      </c>
      <c r="I199" s="277">
        <v>3.3879999999999999</v>
      </c>
      <c r="J199" s="32">
        <v>70</v>
      </c>
      <c r="K199" s="32" t="s">
        <v>104</v>
      </c>
      <c r="L199" s="32" t="s">
        <v>105</v>
      </c>
      <c r="M199" s="33" t="s">
        <v>66</v>
      </c>
      <c r="N199" s="33"/>
      <c r="O199" s="32">
        <v>365</v>
      </c>
      <c r="P199" s="44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96"/>
      <c r="R199" s="296"/>
      <c r="S199" s="296"/>
      <c r="T199" s="297"/>
      <c r="U199" s="34"/>
      <c r="V199" s="34"/>
      <c r="W199" s="35" t="s">
        <v>67</v>
      </c>
      <c r="X199" s="278">
        <v>56</v>
      </c>
      <c r="Y199" s="279">
        <f>IFERROR(IF(X199="","",X199),"")</f>
        <v>56</v>
      </c>
      <c r="Z199" s="36">
        <f>IFERROR(IF(X199="","",X199*0.01788),"")</f>
        <v>1.0012799999999999</v>
      </c>
      <c r="AA199" s="56"/>
      <c r="AB199" s="57"/>
      <c r="AC199" s="208" t="s">
        <v>283</v>
      </c>
      <c r="AG199" s="67"/>
      <c r="AJ199" s="71" t="s">
        <v>107</v>
      </c>
      <c r="AK199" s="71">
        <v>14</v>
      </c>
      <c r="BB199" s="209" t="s">
        <v>108</v>
      </c>
      <c r="BM199" s="67">
        <f>IFERROR(X199*I199,"0")</f>
        <v>189.72800000000001</v>
      </c>
      <c r="BN199" s="67">
        <f>IFERROR(Y199*I199,"0")</f>
        <v>189.72800000000001</v>
      </c>
      <c r="BO199" s="67">
        <f>IFERROR(X199/J199,"0")</f>
        <v>0.8</v>
      </c>
      <c r="BP199" s="67">
        <f>IFERROR(Y199/J199,"0")</f>
        <v>0.8</v>
      </c>
    </row>
    <row r="200" spans="1:68" ht="27" customHeight="1" x14ac:dyDescent="0.25">
      <c r="A200" s="54" t="s">
        <v>284</v>
      </c>
      <c r="B200" s="54" t="s">
        <v>285</v>
      </c>
      <c r="C200" s="31">
        <v>4301132182</v>
      </c>
      <c r="D200" s="291">
        <v>4607111035721</v>
      </c>
      <c r="E200" s="292"/>
      <c r="F200" s="277">
        <v>0.25</v>
      </c>
      <c r="G200" s="32">
        <v>12</v>
      </c>
      <c r="H200" s="277">
        <v>3</v>
      </c>
      <c r="I200" s="277">
        <v>3.3879999999999999</v>
      </c>
      <c r="J200" s="32">
        <v>70</v>
      </c>
      <c r="K200" s="32" t="s">
        <v>104</v>
      </c>
      <c r="L200" s="32" t="s">
        <v>105</v>
      </c>
      <c r="M200" s="33" t="s">
        <v>66</v>
      </c>
      <c r="N200" s="33"/>
      <c r="O200" s="32">
        <v>365</v>
      </c>
      <c r="P200" s="46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96"/>
      <c r="R200" s="296"/>
      <c r="S200" s="296"/>
      <c r="T200" s="297"/>
      <c r="U200" s="34"/>
      <c r="V200" s="34"/>
      <c r="W200" s="35" t="s">
        <v>67</v>
      </c>
      <c r="X200" s="278">
        <v>14</v>
      </c>
      <c r="Y200" s="279">
        <f>IFERROR(IF(X200="","",X200),"")</f>
        <v>14</v>
      </c>
      <c r="Z200" s="36">
        <f>IFERROR(IF(X200="","",X200*0.01788),"")</f>
        <v>0.25031999999999999</v>
      </c>
      <c r="AA200" s="56"/>
      <c r="AB200" s="57"/>
      <c r="AC200" s="210" t="s">
        <v>286</v>
      </c>
      <c r="AG200" s="67"/>
      <c r="AJ200" s="71" t="s">
        <v>107</v>
      </c>
      <c r="AK200" s="71">
        <v>14</v>
      </c>
      <c r="BB200" s="211" t="s">
        <v>108</v>
      </c>
      <c r="BM200" s="67">
        <f>IFERROR(X200*I200,"0")</f>
        <v>47.432000000000002</v>
      </c>
      <c r="BN200" s="67">
        <f>IFERROR(Y200*I200,"0")</f>
        <v>47.432000000000002</v>
      </c>
      <c r="BO200" s="67">
        <f>IFERROR(X200/J200,"0")</f>
        <v>0.2</v>
      </c>
      <c r="BP200" s="67">
        <f>IFERROR(Y200/J200,"0")</f>
        <v>0.2</v>
      </c>
    </row>
    <row r="201" spans="1:68" ht="27" customHeight="1" x14ac:dyDescent="0.25">
      <c r="A201" s="54" t="s">
        <v>287</v>
      </c>
      <c r="B201" s="54" t="s">
        <v>288</v>
      </c>
      <c r="C201" s="31">
        <v>4301132170</v>
      </c>
      <c r="D201" s="291">
        <v>4607111038487</v>
      </c>
      <c r="E201" s="292"/>
      <c r="F201" s="277">
        <v>0.25</v>
      </c>
      <c r="G201" s="32">
        <v>12</v>
      </c>
      <c r="H201" s="277">
        <v>3</v>
      </c>
      <c r="I201" s="277">
        <v>3.7360000000000002</v>
      </c>
      <c r="J201" s="32">
        <v>70</v>
      </c>
      <c r="K201" s="32" t="s">
        <v>104</v>
      </c>
      <c r="L201" s="32" t="s">
        <v>105</v>
      </c>
      <c r="M201" s="33" t="s">
        <v>66</v>
      </c>
      <c r="N201" s="33"/>
      <c r="O201" s="32">
        <v>180</v>
      </c>
      <c r="P201" s="42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96"/>
      <c r="R201" s="296"/>
      <c r="S201" s="296"/>
      <c r="T201" s="297"/>
      <c r="U201" s="34"/>
      <c r="V201" s="34"/>
      <c r="W201" s="35" t="s">
        <v>67</v>
      </c>
      <c r="X201" s="278">
        <v>42</v>
      </c>
      <c r="Y201" s="279">
        <f>IFERROR(IF(X201="","",X201),"")</f>
        <v>42</v>
      </c>
      <c r="Z201" s="36">
        <f>IFERROR(IF(X201="","",X201*0.01788),"")</f>
        <v>0.75095999999999996</v>
      </c>
      <c r="AA201" s="56"/>
      <c r="AB201" s="57"/>
      <c r="AC201" s="212" t="s">
        <v>289</v>
      </c>
      <c r="AG201" s="67"/>
      <c r="AJ201" s="71" t="s">
        <v>107</v>
      </c>
      <c r="AK201" s="71">
        <v>14</v>
      </c>
      <c r="BB201" s="213" t="s">
        <v>108</v>
      </c>
      <c r="BM201" s="67">
        <f>IFERROR(X201*I201,"0")</f>
        <v>156.91200000000001</v>
      </c>
      <c r="BN201" s="67">
        <f>IFERROR(Y201*I201,"0")</f>
        <v>156.91200000000001</v>
      </c>
      <c r="BO201" s="67">
        <f>IFERROR(X201/J201,"0")</f>
        <v>0.6</v>
      </c>
      <c r="BP201" s="67">
        <f>IFERROR(Y201/J201,"0")</f>
        <v>0.6</v>
      </c>
    </row>
    <row r="202" spans="1:68" ht="27" customHeight="1" x14ac:dyDescent="0.25">
      <c r="A202" s="54" t="s">
        <v>290</v>
      </c>
      <c r="B202" s="54" t="s">
        <v>291</v>
      </c>
      <c r="C202" s="31">
        <v>4301132243</v>
      </c>
      <c r="D202" s="291">
        <v>4620207491195</v>
      </c>
      <c r="E202" s="292"/>
      <c r="F202" s="277">
        <v>0.23</v>
      </c>
      <c r="G202" s="32">
        <v>12</v>
      </c>
      <c r="H202" s="277">
        <v>2.76</v>
      </c>
      <c r="I202" s="277">
        <v>3.1480000000000001</v>
      </c>
      <c r="J202" s="32">
        <v>70</v>
      </c>
      <c r="K202" s="32" t="s">
        <v>104</v>
      </c>
      <c r="L202" s="32" t="s">
        <v>65</v>
      </c>
      <c r="M202" s="33" t="s">
        <v>66</v>
      </c>
      <c r="N202" s="33"/>
      <c r="O202" s="32">
        <v>180</v>
      </c>
      <c r="P202" s="46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96"/>
      <c r="R202" s="296"/>
      <c r="S202" s="296"/>
      <c r="T202" s="297"/>
      <c r="U202" s="34"/>
      <c r="V202" s="34"/>
      <c r="W202" s="35" t="s">
        <v>67</v>
      </c>
      <c r="X202" s="278">
        <v>28</v>
      </c>
      <c r="Y202" s="279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14" t="s">
        <v>292</v>
      </c>
      <c r="AG202" s="67"/>
      <c r="AJ202" s="71" t="s">
        <v>69</v>
      </c>
      <c r="AK202" s="71">
        <v>1</v>
      </c>
      <c r="BB202" s="215" t="s">
        <v>108</v>
      </c>
      <c r="BM202" s="67">
        <f>IFERROR(X202*I202,"0")</f>
        <v>88.144000000000005</v>
      </c>
      <c r="BN202" s="67">
        <f>IFERROR(Y202*I202,"0")</f>
        <v>88.144000000000005</v>
      </c>
      <c r="BO202" s="67">
        <f>IFERROR(X202/J202,"0")</f>
        <v>0.4</v>
      </c>
      <c r="BP202" s="67">
        <f>IFERROR(Y202/J202,"0")</f>
        <v>0.4</v>
      </c>
    </row>
    <row r="203" spans="1:68" x14ac:dyDescent="0.2">
      <c r="A203" s="298"/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99"/>
      <c r="P203" s="284" t="s">
        <v>86</v>
      </c>
      <c r="Q203" s="285"/>
      <c r="R203" s="285"/>
      <c r="S203" s="285"/>
      <c r="T203" s="285"/>
      <c r="U203" s="285"/>
      <c r="V203" s="286"/>
      <c r="W203" s="37" t="s">
        <v>67</v>
      </c>
      <c r="X203" s="280">
        <f>IFERROR(SUM(X199:X202),"0")</f>
        <v>140</v>
      </c>
      <c r="Y203" s="280">
        <f>IFERROR(SUM(Y199:Y202),"0")</f>
        <v>140</v>
      </c>
      <c r="Z203" s="280">
        <f>IFERROR(IF(Z199="",0,Z199),"0")+IFERROR(IF(Z200="",0,Z200),"0")+IFERROR(IF(Z201="",0,Z201),"0")+IFERROR(IF(Z202="",0,Z202),"0")</f>
        <v>2.5031999999999996</v>
      </c>
      <c r="AA203" s="281"/>
      <c r="AB203" s="281"/>
      <c r="AC203" s="281"/>
    </row>
    <row r="204" spans="1:68" x14ac:dyDescent="0.2">
      <c r="A204" s="288"/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99"/>
      <c r="P204" s="284" t="s">
        <v>86</v>
      </c>
      <c r="Q204" s="285"/>
      <c r="R204" s="285"/>
      <c r="S204" s="285"/>
      <c r="T204" s="285"/>
      <c r="U204" s="285"/>
      <c r="V204" s="286"/>
      <c r="W204" s="37" t="s">
        <v>87</v>
      </c>
      <c r="X204" s="280">
        <f>IFERROR(SUMPRODUCT(X199:X202*H199:H202),"0")</f>
        <v>413.28</v>
      </c>
      <c r="Y204" s="280">
        <f>IFERROR(SUMPRODUCT(Y199:Y202*H199:H202),"0")</f>
        <v>413.28</v>
      </c>
      <c r="Z204" s="37"/>
      <c r="AA204" s="281"/>
      <c r="AB204" s="281"/>
      <c r="AC204" s="281"/>
    </row>
    <row r="205" spans="1:68" ht="27.75" hidden="1" customHeight="1" x14ac:dyDescent="0.2">
      <c r="A205" s="293" t="s">
        <v>293</v>
      </c>
      <c r="B205" s="294"/>
      <c r="C205" s="294"/>
      <c r="D205" s="294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  <c r="AA205" s="48"/>
      <c r="AB205" s="48"/>
      <c r="AC205" s="48"/>
    </row>
    <row r="206" spans="1:68" ht="16.5" hidden="1" customHeight="1" x14ac:dyDescent="0.25">
      <c r="A206" s="287" t="s">
        <v>294</v>
      </c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8"/>
      <c r="P206" s="288"/>
      <c r="Q206" s="288"/>
      <c r="R206" s="288"/>
      <c r="S206" s="288"/>
      <c r="T206" s="288"/>
      <c r="U206" s="288"/>
      <c r="V206" s="288"/>
      <c r="W206" s="288"/>
      <c r="X206" s="288"/>
      <c r="Y206" s="288"/>
      <c r="Z206" s="288"/>
      <c r="AA206" s="273"/>
      <c r="AB206" s="273"/>
      <c r="AC206" s="273"/>
    </row>
    <row r="207" spans="1:68" ht="14.25" hidden="1" customHeight="1" x14ac:dyDescent="0.25">
      <c r="A207" s="324" t="s">
        <v>101</v>
      </c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8"/>
      <c r="P207" s="288"/>
      <c r="Q207" s="288"/>
      <c r="R207" s="288"/>
      <c r="S207" s="288"/>
      <c r="T207" s="288"/>
      <c r="U207" s="288"/>
      <c r="V207" s="288"/>
      <c r="W207" s="288"/>
      <c r="X207" s="288"/>
      <c r="Y207" s="288"/>
      <c r="Z207" s="288"/>
      <c r="AA207" s="274"/>
      <c r="AB207" s="274"/>
      <c r="AC207" s="274"/>
    </row>
    <row r="208" spans="1:68" ht="27" hidden="1" customHeight="1" x14ac:dyDescent="0.25">
      <c r="A208" s="54" t="s">
        <v>295</v>
      </c>
      <c r="B208" s="54" t="s">
        <v>296</v>
      </c>
      <c r="C208" s="31">
        <v>4301132227</v>
      </c>
      <c r="D208" s="291">
        <v>4620207491133</v>
      </c>
      <c r="E208" s="292"/>
      <c r="F208" s="277">
        <v>0.23</v>
      </c>
      <c r="G208" s="32">
        <v>12</v>
      </c>
      <c r="H208" s="277">
        <v>2.76</v>
      </c>
      <c r="I208" s="277">
        <v>2.98</v>
      </c>
      <c r="J208" s="32">
        <v>70</v>
      </c>
      <c r="K208" s="32" t="s">
        <v>104</v>
      </c>
      <c r="L208" s="32" t="s">
        <v>105</v>
      </c>
      <c r="M208" s="33" t="s">
        <v>66</v>
      </c>
      <c r="N208" s="33"/>
      <c r="O208" s="32">
        <v>180</v>
      </c>
      <c r="P208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96"/>
      <c r="R208" s="296"/>
      <c r="S208" s="296"/>
      <c r="T208" s="297"/>
      <c r="U208" s="34"/>
      <c r="V208" s="34"/>
      <c r="W208" s="35" t="s">
        <v>67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6" t="s">
        <v>297</v>
      </c>
      <c r="AG208" s="67"/>
      <c r="AJ208" s="71" t="s">
        <v>107</v>
      </c>
      <c r="AK208" s="71">
        <v>14</v>
      </c>
      <c r="BB208" s="217" t="s">
        <v>108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idden="1" x14ac:dyDescent="0.2">
      <c r="A209" s="298"/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99"/>
      <c r="P209" s="284" t="s">
        <v>86</v>
      </c>
      <c r="Q209" s="285"/>
      <c r="R209" s="285"/>
      <c r="S209" s="285"/>
      <c r="T209" s="285"/>
      <c r="U209" s="285"/>
      <c r="V209" s="286"/>
      <c r="W209" s="37" t="s">
        <v>67</v>
      </c>
      <c r="X209" s="280">
        <f>IFERROR(SUM(X208:X208),"0")</f>
        <v>0</v>
      </c>
      <c r="Y209" s="280">
        <f>IFERROR(SUM(Y208:Y208),"0")</f>
        <v>0</v>
      </c>
      <c r="Z209" s="280">
        <f>IFERROR(IF(Z208="",0,Z208),"0")</f>
        <v>0</v>
      </c>
      <c r="AA209" s="281"/>
      <c r="AB209" s="281"/>
      <c r="AC209" s="281"/>
    </row>
    <row r="210" spans="1:68" hidden="1" x14ac:dyDescent="0.2">
      <c r="A210" s="288"/>
      <c r="B210" s="288"/>
      <c r="C210" s="288"/>
      <c r="D210" s="288"/>
      <c r="E210" s="288"/>
      <c r="F210" s="288"/>
      <c r="G210" s="288"/>
      <c r="H210" s="288"/>
      <c r="I210" s="288"/>
      <c r="J210" s="288"/>
      <c r="K210" s="288"/>
      <c r="L210" s="288"/>
      <c r="M210" s="288"/>
      <c r="N210" s="288"/>
      <c r="O210" s="299"/>
      <c r="P210" s="284" t="s">
        <v>86</v>
      </c>
      <c r="Q210" s="285"/>
      <c r="R210" s="285"/>
      <c r="S210" s="285"/>
      <c r="T210" s="285"/>
      <c r="U210" s="285"/>
      <c r="V210" s="286"/>
      <c r="W210" s="37" t="s">
        <v>87</v>
      </c>
      <c r="X210" s="280">
        <f>IFERROR(SUMPRODUCT(X208:X208*H208:H208),"0")</f>
        <v>0</v>
      </c>
      <c r="Y210" s="280">
        <f>IFERROR(SUMPRODUCT(Y208:Y208*H208:H208),"0")</f>
        <v>0</v>
      </c>
      <c r="Z210" s="37"/>
      <c r="AA210" s="281"/>
      <c r="AB210" s="281"/>
      <c r="AC210" s="281"/>
    </row>
    <row r="211" spans="1:68" ht="14.25" hidden="1" customHeight="1" x14ac:dyDescent="0.25">
      <c r="A211" s="324" t="s">
        <v>152</v>
      </c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8"/>
      <c r="P211" s="288"/>
      <c r="Q211" s="288"/>
      <c r="R211" s="288"/>
      <c r="S211" s="288"/>
      <c r="T211" s="288"/>
      <c r="U211" s="288"/>
      <c r="V211" s="288"/>
      <c r="W211" s="288"/>
      <c r="X211" s="288"/>
      <c r="Y211" s="288"/>
      <c r="Z211" s="288"/>
      <c r="AA211" s="274"/>
      <c r="AB211" s="274"/>
      <c r="AC211" s="274"/>
    </row>
    <row r="212" spans="1:68" ht="27" hidden="1" customHeight="1" x14ac:dyDescent="0.25">
      <c r="A212" s="54" t="s">
        <v>298</v>
      </c>
      <c r="B212" s="54" t="s">
        <v>299</v>
      </c>
      <c r="C212" s="31">
        <v>4301135834</v>
      </c>
      <c r="D212" s="291">
        <v>4620207491188</v>
      </c>
      <c r="E212" s="292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104</v>
      </c>
      <c r="L212" s="32" t="s">
        <v>65</v>
      </c>
      <c r="M212" s="33" t="s">
        <v>66</v>
      </c>
      <c r="N212" s="33"/>
      <c r="O212" s="32">
        <v>180</v>
      </c>
      <c r="P212" s="40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96"/>
      <c r="R212" s="296"/>
      <c r="S212" s="296"/>
      <c r="T212" s="297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300</v>
      </c>
      <c r="AG212" s="67"/>
      <c r="AJ212" s="71" t="s">
        <v>69</v>
      </c>
      <c r="AK212" s="71">
        <v>1</v>
      </c>
      <c r="BB212" s="219" t="s">
        <v>108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301</v>
      </c>
      <c r="B213" s="54" t="s">
        <v>302</v>
      </c>
      <c r="C213" s="31">
        <v>4301135696</v>
      </c>
      <c r="D213" s="291">
        <v>4620207490235</v>
      </c>
      <c r="E213" s="292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104</v>
      </c>
      <c r="L213" s="32" t="s">
        <v>105</v>
      </c>
      <c r="M213" s="33" t="s">
        <v>66</v>
      </c>
      <c r="N213" s="33"/>
      <c r="O213" s="32">
        <v>180</v>
      </c>
      <c r="P213" s="30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3" s="296"/>
      <c r="R213" s="296"/>
      <c r="S213" s="296"/>
      <c r="T213" s="297"/>
      <c r="U213" s="34"/>
      <c r="V213" s="34"/>
      <c r="W213" s="35" t="s">
        <v>67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303</v>
      </c>
      <c r="AG213" s="67"/>
      <c r="AJ213" s="71" t="s">
        <v>107</v>
      </c>
      <c r="AK213" s="71">
        <v>14</v>
      </c>
      <c r="BB213" s="221" t="s">
        <v>108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304</v>
      </c>
      <c r="B214" s="54" t="s">
        <v>305</v>
      </c>
      <c r="C214" s="31">
        <v>4301135697</v>
      </c>
      <c r="D214" s="291">
        <v>4620207490259</v>
      </c>
      <c r="E214" s="292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104</v>
      </c>
      <c r="L214" s="32" t="s">
        <v>105</v>
      </c>
      <c r="M214" s="33" t="s">
        <v>66</v>
      </c>
      <c r="N214" s="33"/>
      <c r="O214" s="32">
        <v>180</v>
      </c>
      <c r="P214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96"/>
      <c r="R214" s="296"/>
      <c r="S214" s="296"/>
      <c r="T214" s="297"/>
      <c r="U214" s="34"/>
      <c r="V214" s="34"/>
      <c r="W214" s="35" t="s">
        <v>67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306</v>
      </c>
      <c r="AG214" s="67"/>
      <c r="AJ214" s="71" t="s">
        <v>107</v>
      </c>
      <c r="AK214" s="71">
        <v>14</v>
      </c>
      <c r="BB214" s="223" t="s">
        <v>108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8"/>
      <c r="B215" s="288"/>
      <c r="C215" s="288"/>
      <c r="D215" s="288"/>
      <c r="E215" s="288"/>
      <c r="F215" s="288"/>
      <c r="G215" s="288"/>
      <c r="H215" s="288"/>
      <c r="I215" s="288"/>
      <c r="J215" s="288"/>
      <c r="K215" s="288"/>
      <c r="L215" s="288"/>
      <c r="M215" s="288"/>
      <c r="N215" s="288"/>
      <c r="O215" s="299"/>
      <c r="P215" s="284" t="s">
        <v>86</v>
      </c>
      <c r="Q215" s="285"/>
      <c r="R215" s="285"/>
      <c r="S215" s="285"/>
      <c r="T215" s="285"/>
      <c r="U215" s="285"/>
      <c r="V215" s="286"/>
      <c r="W215" s="37" t="s">
        <v>67</v>
      </c>
      <c r="X215" s="280">
        <f>IFERROR(SUM(X212:X214),"0")</f>
        <v>0</v>
      </c>
      <c r="Y215" s="280">
        <f>IFERROR(SUM(Y212:Y214),"0")</f>
        <v>0</v>
      </c>
      <c r="Z215" s="280">
        <f>IFERROR(IF(Z212="",0,Z212),"0")+IFERROR(IF(Z213="",0,Z213),"0")+IFERROR(IF(Z214="",0,Z214),"0")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88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99"/>
      <c r="P216" s="284" t="s">
        <v>86</v>
      </c>
      <c r="Q216" s="285"/>
      <c r="R216" s="285"/>
      <c r="S216" s="285"/>
      <c r="T216" s="285"/>
      <c r="U216" s="285"/>
      <c r="V216" s="286"/>
      <c r="W216" s="37" t="s">
        <v>87</v>
      </c>
      <c r="X216" s="280">
        <f>IFERROR(SUMPRODUCT(X212:X214*H212:H214),"0")</f>
        <v>0</v>
      </c>
      <c r="Y216" s="280">
        <f>IFERROR(SUMPRODUCT(Y212:Y214*H212:H214),"0")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287" t="s">
        <v>307</v>
      </c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8"/>
      <c r="P217" s="288"/>
      <c r="Q217" s="288"/>
      <c r="R217" s="288"/>
      <c r="S217" s="288"/>
      <c r="T217" s="288"/>
      <c r="U217" s="288"/>
      <c r="V217" s="288"/>
      <c r="W217" s="288"/>
      <c r="X217" s="288"/>
      <c r="Y217" s="288"/>
      <c r="Z217" s="288"/>
      <c r="AA217" s="273"/>
      <c r="AB217" s="273"/>
      <c r="AC217" s="273"/>
    </row>
    <row r="218" spans="1:68" ht="14.25" hidden="1" customHeight="1" x14ac:dyDescent="0.25">
      <c r="A218" s="324" t="s">
        <v>152</v>
      </c>
      <c r="B218" s="288"/>
      <c r="C218" s="288"/>
      <c r="D218" s="288"/>
      <c r="E218" s="288"/>
      <c r="F218" s="288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74"/>
      <c r="AB218" s="274"/>
      <c r="AC218" s="274"/>
    </row>
    <row r="219" spans="1:68" ht="27" hidden="1" customHeight="1" x14ac:dyDescent="0.25">
      <c r="A219" s="54" t="s">
        <v>308</v>
      </c>
      <c r="B219" s="54" t="s">
        <v>309</v>
      </c>
      <c r="C219" s="31">
        <v>4301135854</v>
      </c>
      <c r="D219" s="291">
        <v>4620207491706</v>
      </c>
      <c r="E219" s="292"/>
      <c r="F219" s="277">
        <v>0.2</v>
      </c>
      <c r="G219" s="32">
        <v>12</v>
      </c>
      <c r="H219" s="277">
        <v>2.4</v>
      </c>
      <c r="I219" s="277">
        <v>3.1036000000000001</v>
      </c>
      <c r="J219" s="32">
        <v>70</v>
      </c>
      <c r="K219" s="32" t="s">
        <v>104</v>
      </c>
      <c r="L219" s="32" t="s">
        <v>65</v>
      </c>
      <c r="M219" s="33" t="s">
        <v>66</v>
      </c>
      <c r="N219" s="33"/>
      <c r="O219" s="32">
        <v>180</v>
      </c>
      <c r="P219" s="33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96"/>
      <c r="R219" s="296"/>
      <c r="S219" s="296"/>
      <c r="T219" s="297"/>
      <c r="U219" s="34"/>
      <c r="V219" s="34"/>
      <c r="W219" s="35" t="s">
        <v>67</v>
      </c>
      <c r="X219" s="278">
        <v>0</v>
      </c>
      <c r="Y219" s="279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310</v>
      </c>
      <c r="AG219" s="67"/>
      <c r="AJ219" s="71" t="s">
        <v>69</v>
      </c>
      <c r="AK219" s="71">
        <v>1</v>
      </c>
      <c r="BB219" s="225" t="s">
        <v>108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4301135895</v>
      </c>
      <c r="D220" s="291">
        <v>4620207491522</v>
      </c>
      <c r="E220" s="292"/>
      <c r="F220" s="277">
        <v>0.28000000000000003</v>
      </c>
      <c r="G220" s="32">
        <v>12</v>
      </c>
      <c r="H220" s="277">
        <v>3.36</v>
      </c>
      <c r="I220" s="277">
        <v>4.0636000000000001</v>
      </c>
      <c r="J220" s="32">
        <v>70</v>
      </c>
      <c r="K220" s="32" t="s">
        <v>104</v>
      </c>
      <c r="L220" s="32" t="s">
        <v>65</v>
      </c>
      <c r="M220" s="33" t="s">
        <v>66</v>
      </c>
      <c r="N220" s="33"/>
      <c r="O220" s="32">
        <v>180</v>
      </c>
      <c r="P220" s="2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96"/>
      <c r="R220" s="296"/>
      <c r="S220" s="296"/>
      <c r="T220" s="297"/>
      <c r="U220" s="34"/>
      <c r="V220" s="34"/>
      <c r="W220" s="35" t="s">
        <v>67</v>
      </c>
      <c r="X220" s="278">
        <v>0</v>
      </c>
      <c r="Y220" s="279">
        <f>IFERROR(IF(X220="","",X220),"")</f>
        <v>0</v>
      </c>
      <c r="Z220" s="36">
        <f>IFERROR(IF(X220="","",X220*0.01788),"")</f>
        <v>0</v>
      </c>
      <c r="AA220" s="56"/>
      <c r="AB220" s="57"/>
      <c r="AC220" s="226" t="s">
        <v>313</v>
      </c>
      <c r="AG220" s="67"/>
      <c r="AJ220" s="71" t="s">
        <v>69</v>
      </c>
      <c r="AK220" s="71">
        <v>1</v>
      </c>
      <c r="BB220" s="227" t="s">
        <v>108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8"/>
      <c r="B221" s="288"/>
      <c r="C221" s="288"/>
      <c r="D221" s="288"/>
      <c r="E221" s="288"/>
      <c r="F221" s="288"/>
      <c r="G221" s="288"/>
      <c r="H221" s="288"/>
      <c r="I221" s="288"/>
      <c r="J221" s="288"/>
      <c r="K221" s="288"/>
      <c r="L221" s="288"/>
      <c r="M221" s="288"/>
      <c r="N221" s="288"/>
      <c r="O221" s="299"/>
      <c r="P221" s="284" t="s">
        <v>86</v>
      </c>
      <c r="Q221" s="285"/>
      <c r="R221" s="285"/>
      <c r="S221" s="285"/>
      <c r="T221" s="285"/>
      <c r="U221" s="285"/>
      <c r="V221" s="286"/>
      <c r="W221" s="37" t="s">
        <v>67</v>
      </c>
      <c r="X221" s="280">
        <f>IFERROR(SUM(X219:X220),"0")</f>
        <v>0</v>
      </c>
      <c r="Y221" s="280">
        <f>IFERROR(SUM(Y219:Y220),"0")</f>
        <v>0</v>
      </c>
      <c r="Z221" s="280">
        <f>IFERROR(IF(Z219="",0,Z219),"0")+IFERROR(IF(Z220="",0,Z220),"0")</f>
        <v>0</v>
      </c>
      <c r="AA221" s="281"/>
      <c r="AB221" s="281"/>
      <c r="AC221" s="281"/>
    </row>
    <row r="222" spans="1:68" hidden="1" x14ac:dyDescent="0.2">
      <c r="A222" s="288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99"/>
      <c r="P222" s="284" t="s">
        <v>86</v>
      </c>
      <c r="Q222" s="285"/>
      <c r="R222" s="285"/>
      <c r="S222" s="285"/>
      <c r="T222" s="285"/>
      <c r="U222" s="285"/>
      <c r="V222" s="286"/>
      <c r="W222" s="37" t="s">
        <v>87</v>
      </c>
      <c r="X222" s="280">
        <f>IFERROR(SUMPRODUCT(X219:X220*H219:H220),"0")</f>
        <v>0</v>
      </c>
      <c r="Y222" s="280">
        <f>IFERROR(SUMPRODUCT(Y219:Y220*H219:H220),"0")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287" t="s">
        <v>314</v>
      </c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8"/>
      <c r="P223" s="288"/>
      <c r="Q223" s="288"/>
      <c r="R223" s="288"/>
      <c r="S223" s="288"/>
      <c r="T223" s="288"/>
      <c r="U223" s="288"/>
      <c r="V223" s="288"/>
      <c r="W223" s="288"/>
      <c r="X223" s="288"/>
      <c r="Y223" s="288"/>
      <c r="Z223" s="288"/>
      <c r="AA223" s="273"/>
      <c r="AB223" s="273"/>
      <c r="AC223" s="273"/>
    </row>
    <row r="224" spans="1:68" ht="14.25" hidden="1" customHeight="1" x14ac:dyDescent="0.25">
      <c r="A224" s="324" t="s">
        <v>61</v>
      </c>
      <c r="B224" s="288"/>
      <c r="C224" s="288"/>
      <c r="D224" s="288"/>
      <c r="E224" s="288"/>
      <c r="F224" s="288"/>
      <c r="G224" s="288"/>
      <c r="H224" s="288"/>
      <c r="I224" s="288"/>
      <c r="J224" s="288"/>
      <c r="K224" s="288"/>
      <c r="L224" s="288"/>
      <c r="M224" s="288"/>
      <c r="N224" s="288"/>
      <c r="O224" s="288"/>
      <c r="P224" s="288"/>
      <c r="Q224" s="288"/>
      <c r="R224" s="288"/>
      <c r="S224" s="288"/>
      <c r="T224" s="288"/>
      <c r="U224" s="288"/>
      <c r="V224" s="288"/>
      <c r="W224" s="288"/>
      <c r="X224" s="288"/>
      <c r="Y224" s="288"/>
      <c r="Z224" s="288"/>
      <c r="AA224" s="274"/>
      <c r="AB224" s="274"/>
      <c r="AC224" s="274"/>
    </row>
    <row r="225" spans="1:68" ht="27" customHeight="1" x14ac:dyDescent="0.25">
      <c r="A225" s="54" t="s">
        <v>315</v>
      </c>
      <c r="B225" s="54" t="s">
        <v>316</v>
      </c>
      <c r="C225" s="31">
        <v>4301071097</v>
      </c>
      <c r="D225" s="291">
        <v>4620207491096</v>
      </c>
      <c r="E225" s="292"/>
      <c r="F225" s="277">
        <v>1</v>
      </c>
      <c r="G225" s="32">
        <v>5</v>
      </c>
      <c r="H225" s="277">
        <v>5</v>
      </c>
      <c r="I225" s="277">
        <v>5.23</v>
      </c>
      <c r="J225" s="32">
        <v>84</v>
      </c>
      <c r="K225" s="32" t="s">
        <v>64</v>
      </c>
      <c r="L225" s="32" t="s">
        <v>105</v>
      </c>
      <c r="M225" s="33" t="s">
        <v>66</v>
      </c>
      <c r="N225" s="33"/>
      <c r="O225" s="32">
        <v>180</v>
      </c>
      <c r="P225" s="41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96"/>
      <c r="R225" s="296"/>
      <c r="S225" s="296"/>
      <c r="T225" s="297"/>
      <c r="U225" s="34"/>
      <c r="V225" s="34"/>
      <c r="W225" s="35" t="s">
        <v>67</v>
      </c>
      <c r="X225" s="278">
        <v>36</v>
      </c>
      <c r="Y225" s="279">
        <f>IFERROR(IF(X225="","",X225),"")</f>
        <v>36</v>
      </c>
      <c r="Z225" s="36">
        <f>IFERROR(IF(X225="","",X225*0.0155),"")</f>
        <v>0.55800000000000005</v>
      </c>
      <c r="AA225" s="56"/>
      <c r="AB225" s="57"/>
      <c r="AC225" s="228" t="s">
        <v>317</v>
      </c>
      <c r="AG225" s="67"/>
      <c r="AJ225" s="71" t="s">
        <v>107</v>
      </c>
      <c r="AK225" s="71">
        <v>12</v>
      </c>
      <c r="BB225" s="229" t="s">
        <v>1</v>
      </c>
      <c r="BM225" s="67">
        <f>IFERROR(X225*I225,"0")</f>
        <v>188.28000000000003</v>
      </c>
      <c r="BN225" s="67">
        <f>IFERROR(Y225*I225,"0")</f>
        <v>188.28000000000003</v>
      </c>
      <c r="BO225" s="67">
        <f>IFERROR(X225/J225,"0")</f>
        <v>0.42857142857142855</v>
      </c>
      <c r="BP225" s="67">
        <f>IFERROR(Y225/J225,"0")</f>
        <v>0.42857142857142855</v>
      </c>
    </row>
    <row r="226" spans="1:68" x14ac:dyDescent="0.2">
      <c r="A226" s="298"/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99"/>
      <c r="P226" s="284" t="s">
        <v>86</v>
      </c>
      <c r="Q226" s="285"/>
      <c r="R226" s="285"/>
      <c r="S226" s="285"/>
      <c r="T226" s="285"/>
      <c r="U226" s="285"/>
      <c r="V226" s="286"/>
      <c r="W226" s="37" t="s">
        <v>67</v>
      </c>
      <c r="X226" s="280">
        <f>IFERROR(SUM(X225:X225),"0")</f>
        <v>36</v>
      </c>
      <c r="Y226" s="280">
        <f>IFERROR(SUM(Y225:Y225),"0")</f>
        <v>36</v>
      </c>
      <c r="Z226" s="280">
        <f>IFERROR(IF(Z225="",0,Z225),"0")</f>
        <v>0.55800000000000005</v>
      </c>
      <c r="AA226" s="281"/>
      <c r="AB226" s="281"/>
      <c r="AC226" s="281"/>
    </row>
    <row r="227" spans="1:68" x14ac:dyDescent="0.2">
      <c r="A227" s="288"/>
      <c r="B227" s="288"/>
      <c r="C227" s="288"/>
      <c r="D227" s="288"/>
      <c r="E227" s="288"/>
      <c r="F227" s="288"/>
      <c r="G227" s="288"/>
      <c r="H227" s="288"/>
      <c r="I227" s="288"/>
      <c r="J227" s="288"/>
      <c r="K227" s="288"/>
      <c r="L227" s="288"/>
      <c r="M227" s="288"/>
      <c r="N227" s="288"/>
      <c r="O227" s="299"/>
      <c r="P227" s="284" t="s">
        <v>86</v>
      </c>
      <c r="Q227" s="285"/>
      <c r="R227" s="285"/>
      <c r="S227" s="285"/>
      <c r="T227" s="285"/>
      <c r="U227" s="285"/>
      <c r="V227" s="286"/>
      <c r="W227" s="37" t="s">
        <v>87</v>
      </c>
      <c r="X227" s="280">
        <f>IFERROR(SUMPRODUCT(X225:X225*H225:H225),"0")</f>
        <v>180</v>
      </c>
      <c r="Y227" s="280">
        <f>IFERROR(SUMPRODUCT(Y225:Y225*H225:H225),"0")</f>
        <v>180</v>
      </c>
      <c r="Z227" s="37"/>
      <c r="AA227" s="281"/>
      <c r="AB227" s="281"/>
      <c r="AC227" s="281"/>
    </row>
    <row r="228" spans="1:68" ht="27.75" hidden="1" customHeight="1" x14ac:dyDescent="0.2">
      <c r="A228" s="293" t="s">
        <v>318</v>
      </c>
      <c r="B228" s="294"/>
      <c r="C228" s="294"/>
      <c r="D228" s="294"/>
      <c r="E228" s="294"/>
      <c r="F228" s="294"/>
      <c r="G228" s="294"/>
      <c r="H228" s="294"/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  <c r="AA228" s="48"/>
      <c r="AB228" s="48"/>
      <c r="AC228" s="48"/>
    </row>
    <row r="229" spans="1:68" ht="16.5" hidden="1" customHeight="1" x14ac:dyDescent="0.25">
      <c r="A229" s="287" t="s">
        <v>319</v>
      </c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8"/>
      <c r="P229" s="288"/>
      <c r="Q229" s="288"/>
      <c r="R229" s="288"/>
      <c r="S229" s="288"/>
      <c r="T229" s="288"/>
      <c r="U229" s="288"/>
      <c r="V229" s="288"/>
      <c r="W229" s="288"/>
      <c r="X229" s="288"/>
      <c r="Y229" s="288"/>
      <c r="Z229" s="288"/>
      <c r="AA229" s="273"/>
      <c r="AB229" s="273"/>
      <c r="AC229" s="273"/>
    </row>
    <row r="230" spans="1:68" ht="14.25" hidden="1" customHeight="1" x14ac:dyDescent="0.25">
      <c r="A230" s="324" t="s">
        <v>61</v>
      </c>
      <c r="B230" s="288"/>
      <c r="C230" s="288"/>
      <c r="D230" s="288"/>
      <c r="E230" s="288"/>
      <c r="F230" s="288"/>
      <c r="G230" s="288"/>
      <c r="H230" s="288"/>
      <c r="I230" s="288"/>
      <c r="J230" s="288"/>
      <c r="K230" s="288"/>
      <c r="L230" s="288"/>
      <c r="M230" s="288"/>
      <c r="N230" s="288"/>
      <c r="O230" s="288"/>
      <c r="P230" s="288"/>
      <c r="Q230" s="288"/>
      <c r="R230" s="288"/>
      <c r="S230" s="288"/>
      <c r="T230" s="288"/>
      <c r="U230" s="288"/>
      <c r="V230" s="288"/>
      <c r="W230" s="288"/>
      <c r="X230" s="288"/>
      <c r="Y230" s="288"/>
      <c r="Z230" s="288"/>
      <c r="AA230" s="274"/>
      <c r="AB230" s="274"/>
      <c r="AC230" s="274"/>
    </row>
    <row r="231" spans="1:68" ht="27" hidden="1" customHeight="1" x14ac:dyDescent="0.25">
      <c r="A231" s="54" t="s">
        <v>320</v>
      </c>
      <c r="B231" s="54" t="s">
        <v>321</v>
      </c>
      <c r="C231" s="31">
        <v>4301071036</v>
      </c>
      <c r="D231" s="291">
        <v>4607111036162</v>
      </c>
      <c r="E231" s="292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64</v>
      </c>
      <c r="L231" s="32" t="s">
        <v>65</v>
      </c>
      <c r="M231" s="33" t="s">
        <v>66</v>
      </c>
      <c r="N231" s="33"/>
      <c r="O231" s="32">
        <v>90</v>
      </c>
      <c r="P231" s="3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6"/>
      <c r="R231" s="296"/>
      <c r="S231" s="296"/>
      <c r="T231" s="297"/>
      <c r="U231" s="34"/>
      <c r="V231" s="34"/>
      <c r="W231" s="35" t="s">
        <v>67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322</v>
      </c>
      <c r="AG231" s="67"/>
      <c r="AJ231" s="71" t="s">
        <v>69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298"/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99"/>
      <c r="P232" s="284" t="s">
        <v>86</v>
      </c>
      <c r="Q232" s="285"/>
      <c r="R232" s="285"/>
      <c r="S232" s="285"/>
      <c r="T232" s="285"/>
      <c r="U232" s="285"/>
      <c r="V232" s="286"/>
      <c r="W232" s="37" t="s">
        <v>67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288"/>
      <c r="B233" s="288"/>
      <c r="C233" s="288"/>
      <c r="D233" s="288"/>
      <c r="E233" s="288"/>
      <c r="F233" s="288"/>
      <c r="G233" s="288"/>
      <c r="H233" s="288"/>
      <c r="I233" s="288"/>
      <c r="J233" s="288"/>
      <c r="K233" s="288"/>
      <c r="L233" s="288"/>
      <c r="M233" s="288"/>
      <c r="N233" s="288"/>
      <c r="O233" s="299"/>
      <c r="P233" s="284" t="s">
        <v>86</v>
      </c>
      <c r="Q233" s="285"/>
      <c r="R233" s="285"/>
      <c r="S233" s="285"/>
      <c r="T233" s="285"/>
      <c r="U233" s="285"/>
      <c r="V233" s="286"/>
      <c r="W233" s="37" t="s">
        <v>87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293" t="s">
        <v>323</v>
      </c>
      <c r="B234" s="294"/>
      <c r="C234" s="294"/>
      <c r="D234" s="294"/>
      <c r="E234" s="294"/>
      <c r="F234" s="294"/>
      <c r="G234" s="294"/>
      <c r="H234" s="294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48"/>
      <c r="AB234" s="48"/>
      <c r="AC234" s="48"/>
    </row>
    <row r="235" spans="1:68" ht="16.5" hidden="1" customHeight="1" x14ac:dyDescent="0.25">
      <c r="A235" s="287" t="s">
        <v>324</v>
      </c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8"/>
      <c r="P235" s="288"/>
      <c r="Q235" s="288"/>
      <c r="R235" s="288"/>
      <c r="S235" s="288"/>
      <c r="T235" s="288"/>
      <c r="U235" s="288"/>
      <c r="V235" s="288"/>
      <c r="W235" s="288"/>
      <c r="X235" s="288"/>
      <c r="Y235" s="288"/>
      <c r="Z235" s="288"/>
      <c r="AA235" s="273"/>
      <c r="AB235" s="273"/>
      <c r="AC235" s="273"/>
    </row>
    <row r="236" spans="1:68" ht="14.25" hidden="1" customHeight="1" x14ac:dyDescent="0.25">
      <c r="A236" s="324" t="s">
        <v>325</v>
      </c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74"/>
      <c r="AB236" s="274"/>
      <c r="AC236" s="274"/>
    </row>
    <row r="237" spans="1:68" ht="27" hidden="1" customHeight="1" x14ac:dyDescent="0.25">
      <c r="A237" s="54" t="s">
        <v>326</v>
      </c>
      <c r="B237" s="54" t="s">
        <v>327</v>
      </c>
      <c r="C237" s="31">
        <v>4301133004</v>
      </c>
      <c r="D237" s="291">
        <v>4607111039774</v>
      </c>
      <c r="E237" s="292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104</v>
      </c>
      <c r="L237" s="32" t="s">
        <v>65</v>
      </c>
      <c r="M237" s="33" t="s">
        <v>66</v>
      </c>
      <c r="N237" s="33"/>
      <c r="O237" s="32">
        <v>180</v>
      </c>
      <c r="P237" s="3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6"/>
      <c r="R237" s="296"/>
      <c r="S237" s="296"/>
      <c r="T237" s="297"/>
      <c r="U237" s="34"/>
      <c r="V237" s="34"/>
      <c r="W237" s="35" t="s">
        <v>67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328</v>
      </c>
      <c r="AG237" s="67"/>
      <c r="AJ237" s="71" t="s">
        <v>69</v>
      </c>
      <c r="AK237" s="71">
        <v>1</v>
      </c>
      <c r="BB237" s="233" t="s">
        <v>108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98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99"/>
      <c r="P238" s="284" t="s">
        <v>86</v>
      </c>
      <c r="Q238" s="285"/>
      <c r="R238" s="285"/>
      <c r="S238" s="285"/>
      <c r="T238" s="285"/>
      <c r="U238" s="285"/>
      <c r="V238" s="286"/>
      <c r="W238" s="37" t="s">
        <v>67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99"/>
      <c r="P239" s="284" t="s">
        <v>86</v>
      </c>
      <c r="Q239" s="285"/>
      <c r="R239" s="285"/>
      <c r="S239" s="285"/>
      <c r="T239" s="285"/>
      <c r="U239" s="285"/>
      <c r="V239" s="286"/>
      <c r="W239" s="37" t="s">
        <v>87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24" t="s">
        <v>152</v>
      </c>
      <c r="B240" s="288"/>
      <c r="C240" s="288"/>
      <c r="D240" s="288"/>
      <c r="E240" s="288"/>
      <c r="F240" s="288"/>
      <c r="G240" s="288"/>
      <c r="H240" s="288"/>
      <c r="I240" s="288"/>
      <c r="J240" s="288"/>
      <c r="K240" s="288"/>
      <c r="L240" s="288"/>
      <c r="M240" s="288"/>
      <c r="N240" s="288"/>
      <c r="O240" s="288"/>
      <c r="P240" s="288"/>
      <c r="Q240" s="288"/>
      <c r="R240" s="288"/>
      <c r="S240" s="288"/>
      <c r="T240" s="288"/>
      <c r="U240" s="288"/>
      <c r="V240" s="288"/>
      <c r="W240" s="288"/>
      <c r="X240" s="288"/>
      <c r="Y240" s="288"/>
      <c r="Z240" s="288"/>
      <c r="AA240" s="274"/>
      <c r="AB240" s="274"/>
      <c r="AC240" s="274"/>
    </row>
    <row r="241" spans="1:68" ht="37.5" hidden="1" customHeight="1" x14ac:dyDescent="0.25">
      <c r="A241" s="54" t="s">
        <v>329</v>
      </c>
      <c r="B241" s="54" t="s">
        <v>330</v>
      </c>
      <c r="C241" s="31">
        <v>4301135400</v>
      </c>
      <c r="D241" s="291">
        <v>4607111039361</v>
      </c>
      <c r="E241" s="292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104</v>
      </c>
      <c r="L241" s="32" t="s">
        <v>65</v>
      </c>
      <c r="M241" s="33" t="s">
        <v>66</v>
      </c>
      <c r="N241" s="33"/>
      <c r="O241" s="32">
        <v>180</v>
      </c>
      <c r="P241" s="44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6"/>
      <c r="R241" s="296"/>
      <c r="S241" s="296"/>
      <c r="T241" s="297"/>
      <c r="U241" s="34"/>
      <c r="V241" s="34"/>
      <c r="W241" s="35" t="s">
        <v>67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328</v>
      </c>
      <c r="AG241" s="67"/>
      <c r="AJ241" s="71" t="s">
        <v>69</v>
      </c>
      <c r="AK241" s="71">
        <v>1</v>
      </c>
      <c r="BB241" s="235" t="s">
        <v>108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298"/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99"/>
      <c r="P242" s="284" t="s">
        <v>86</v>
      </c>
      <c r="Q242" s="285"/>
      <c r="R242" s="285"/>
      <c r="S242" s="285"/>
      <c r="T242" s="285"/>
      <c r="U242" s="285"/>
      <c r="V242" s="286"/>
      <c r="W242" s="37" t="s">
        <v>67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288"/>
      <c r="B243" s="288"/>
      <c r="C243" s="288"/>
      <c r="D243" s="288"/>
      <c r="E243" s="288"/>
      <c r="F243" s="288"/>
      <c r="G243" s="288"/>
      <c r="H243" s="288"/>
      <c r="I243" s="288"/>
      <c r="J243" s="288"/>
      <c r="K243" s="288"/>
      <c r="L243" s="288"/>
      <c r="M243" s="288"/>
      <c r="N243" s="288"/>
      <c r="O243" s="299"/>
      <c r="P243" s="284" t="s">
        <v>86</v>
      </c>
      <c r="Q243" s="285"/>
      <c r="R243" s="285"/>
      <c r="S243" s="285"/>
      <c r="T243" s="285"/>
      <c r="U243" s="285"/>
      <c r="V243" s="286"/>
      <c r="W243" s="37" t="s">
        <v>87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293" t="s">
        <v>331</v>
      </c>
      <c r="B244" s="294"/>
      <c r="C244" s="294"/>
      <c r="D244" s="294"/>
      <c r="E244" s="294"/>
      <c r="F244" s="294"/>
      <c r="G244" s="294"/>
      <c r="H244" s="294"/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48"/>
      <c r="AB244" s="48"/>
      <c r="AC244" s="48"/>
    </row>
    <row r="245" spans="1:68" ht="16.5" hidden="1" customHeight="1" x14ac:dyDescent="0.25">
      <c r="A245" s="287" t="s">
        <v>331</v>
      </c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8"/>
      <c r="P245" s="288"/>
      <c r="Q245" s="288"/>
      <c r="R245" s="288"/>
      <c r="S245" s="288"/>
      <c r="T245" s="288"/>
      <c r="U245" s="288"/>
      <c r="V245" s="288"/>
      <c r="W245" s="288"/>
      <c r="X245" s="288"/>
      <c r="Y245" s="288"/>
      <c r="Z245" s="288"/>
      <c r="AA245" s="273"/>
      <c r="AB245" s="273"/>
      <c r="AC245" s="273"/>
    </row>
    <row r="246" spans="1:68" ht="14.25" hidden="1" customHeight="1" x14ac:dyDescent="0.25">
      <c r="A246" s="324" t="s">
        <v>101</v>
      </c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8"/>
      <c r="P246" s="288"/>
      <c r="Q246" s="288"/>
      <c r="R246" s="288"/>
      <c r="S246" s="288"/>
      <c r="T246" s="288"/>
      <c r="U246" s="288"/>
      <c r="V246" s="288"/>
      <c r="W246" s="288"/>
      <c r="X246" s="288"/>
      <c r="Y246" s="288"/>
      <c r="Z246" s="288"/>
      <c r="AA246" s="274"/>
      <c r="AB246" s="274"/>
      <c r="AC246" s="274"/>
    </row>
    <row r="247" spans="1:68" ht="27" hidden="1" customHeight="1" x14ac:dyDescent="0.25">
      <c r="A247" s="54" t="s">
        <v>332</v>
      </c>
      <c r="B247" s="54" t="s">
        <v>333</v>
      </c>
      <c r="C247" s="31">
        <v>4301132228</v>
      </c>
      <c r="D247" s="291">
        <v>4640242181950</v>
      </c>
      <c r="E247" s="292"/>
      <c r="F247" s="277">
        <v>0.23</v>
      </c>
      <c r="G247" s="32">
        <v>12</v>
      </c>
      <c r="H247" s="277">
        <v>2.76</v>
      </c>
      <c r="I247" s="277">
        <v>3.22</v>
      </c>
      <c r="J247" s="32">
        <v>70</v>
      </c>
      <c r="K247" s="32" t="s">
        <v>104</v>
      </c>
      <c r="L247" s="32" t="s">
        <v>65</v>
      </c>
      <c r="M247" s="33" t="s">
        <v>66</v>
      </c>
      <c r="N247" s="33"/>
      <c r="O247" s="32">
        <v>365</v>
      </c>
      <c r="P247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96"/>
      <c r="R247" s="296"/>
      <c r="S247" s="296"/>
      <c r="T247" s="297"/>
      <c r="U247" s="34"/>
      <c r="V247" s="34"/>
      <c r="W247" s="35" t="s">
        <v>67</v>
      </c>
      <c r="X247" s="278">
        <v>0</v>
      </c>
      <c r="Y247" s="279">
        <f>IFERROR(IF(X247="","",X247),"")</f>
        <v>0</v>
      </c>
      <c r="Z247" s="36">
        <f>IFERROR(IF(X247="","",X247*0.01788),"")</f>
        <v>0</v>
      </c>
      <c r="AA247" s="56"/>
      <c r="AB247" s="57"/>
      <c r="AC247" s="236" t="s">
        <v>334</v>
      </c>
      <c r="AG247" s="67"/>
      <c r="AJ247" s="71" t="s">
        <v>69</v>
      </c>
      <c r="AK247" s="71">
        <v>1</v>
      </c>
      <c r="BB247" s="237" t="s">
        <v>108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98"/>
      <c r="B248" s="288"/>
      <c r="C248" s="288"/>
      <c r="D248" s="288"/>
      <c r="E248" s="288"/>
      <c r="F248" s="288"/>
      <c r="G248" s="288"/>
      <c r="H248" s="288"/>
      <c r="I248" s="288"/>
      <c r="J248" s="288"/>
      <c r="K248" s="288"/>
      <c r="L248" s="288"/>
      <c r="M248" s="288"/>
      <c r="N248" s="288"/>
      <c r="O248" s="299"/>
      <c r="P248" s="284" t="s">
        <v>86</v>
      </c>
      <c r="Q248" s="285"/>
      <c r="R248" s="285"/>
      <c r="S248" s="285"/>
      <c r="T248" s="285"/>
      <c r="U248" s="285"/>
      <c r="V248" s="286"/>
      <c r="W248" s="37" t="s">
        <v>67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88"/>
      <c r="B249" s="288"/>
      <c r="C249" s="288"/>
      <c r="D249" s="288"/>
      <c r="E249" s="288"/>
      <c r="F249" s="288"/>
      <c r="G249" s="288"/>
      <c r="H249" s="288"/>
      <c r="I249" s="288"/>
      <c r="J249" s="288"/>
      <c r="K249" s="288"/>
      <c r="L249" s="288"/>
      <c r="M249" s="288"/>
      <c r="N249" s="288"/>
      <c r="O249" s="299"/>
      <c r="P249" s="284" t="s">
        <v>86</v>
      </c>
      <c r="Q249" s="285"/>
      <c r="R249" s="285"/>
      <c r="S249" s="285"/>
      <c r="T249" s="285"/>
      <c r="U249" s="285"/>
      <c r="V249" s="286"/>
      <c r="W249" s="37" t="s">
        <v>87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14.25" hidden="1" customHeight="1" x14ac:dyDescent="0.25">
      <c r="A250" s="324" t="s">
        <v>180</v>
      </c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8"/>
      <c r="P250" s="288"/>
      <c r="Q250" s="288"/>
      <c r="R250" s="288"/>
      <c r="S250" s="288"/>
      <c r="T250" s="288"/>
      <c r="U250" s="288"/>
      <c r="V250" s="288"/>
      <c r="W250" s="288"/>
      <c r="X250" s="288"/>
      <c r="Y250" s="288"/>
      <c r="Z250" s="288"/>
      <c r="AA250" s="274"/>
      <c r="AB250" s="274"/>
      <c r="AC250" s="274"/>
    </row>
    <row r="251" spans="1:68" ht="27" hidden="1" customHeight="1" x14ac:dyDescent="0.25">
      <c r="A251" s="54" t="s">
        <v>335</v>
      </c>
      <c r="B251" s="54" t="s">
        <v>336</v>
      </c>
      <c r="C251" s="31">
        <v>4301136098</v>
      </c>
      <c r="D251" s="291">
        <v>4640242181943</v>
      </c>
      <c r="E251" s="292"/>
      <c r="F251" s="277">
        <v>0.09</v>
      </c>
      <c r="G251" s="32">
        <v>24</v>
      </c>
      <c r="H251" s="277">
        <v>2.16</v>
      </c>
      <c r="I251" s="277">
        <v>2.34</v>
      </c>
      <c r="J251" s="32">
        <v>126</v>
      </c>
      <c r="K251" s="32" t="s">
        <v>104</v>
      </c>
      <c r="L251" s="32" t="s">
        <v>65</v>
      </c>
      <c r="M251" s="33" t="s">
        <v>66</v>
      </c>
      <c r="N251" s="33"/>
      <c r="O251" s="32">
        <v>180</v>
      </c>
      <c r="P251" s="40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96"/>
      <c r="R251" s="296"/>
      <c r="S251" s="296"/>
      <c r="T251" s="297"/>
      <c r="U251" s="34"/>
      <c r="V251" s="34"/>
      <c r="W251" s="35" t="s">
        <v>67</v>
      </c>
      <c r="X251" s="278">
        <v>0</v>
      </c>
      <c r="Y251" s="27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337</v>
      </c>
      <c r="AG251" s="67"/>
      <c r="AJ251" s="71" t="s">
        <v>69</v>
      </c>
      <c r="AK251" s="71">
        <v>1</v>
      </c>
      <c r="BB251" s="239" t="s">
        <v>108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298"/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99"/>
      <c r="P252" s="284" t="s">
        <v>86</v>
      </c>
      <c r="Q252" s="285"/>
      <c r="R252" s="285"/>
      <c r="S252" s="285"/>
      <c r="T252" s="285"/>
      <c r="U252" s="285"/>
      <c r="V252" s="286"/>
      <c r="W252" s="37" t="s">
        <v>67</v>
      </c>
      <c r="X252" s="280">
        <f>IFERROR(SUM(X251:X251),"0")</f>
        <v>0</v>
      </c>
      <c r="Y252" s="280">
        <f>IFERROR(SUM(Y251:Y251),"0")</f>
        <v>0</v>
      </c>
      <c r="Z252" s="280">
        <f>IFERROR(IF(Z251="",0,Z251),"0")</f>
        <v>0</v>
      </c>
      <c r="AA252" s="281"/>
      <c r="AB252" s="281"/>
      <c r="AC252" s="281"/>
    </row>
    <row r="253" spans="1:68" hidden="1" x14ac:dyDescent="0.2">
      <c r="A253" s="288"/>
      <c r="B253" s="288"/>
      <c r="C253" s="288"/>
      <c r="D253" s="288"/>
      <c r="E253" s="288"/>
      <c r="F253" s="288"/>
      <c r="G253" s="288"/>
      <c r="H253" s="288"/>
      <c r="I253" s="288"/>
      <c r="J253" s="288"/>
      <c r="K253" s="288"/>
      <c r="L253" s="288"/>
      <c r="M253" s="288"/>
      <c r="N253" s="288"/>
      <c r="O253" s="299"/>
      <c r="P253" s="284" t="s">
        <v>86</v>
      </c>
      <c r="Q253" s="285"/>
      <c r="R253" s="285"/>
      <c r="S253" s="285"/>
      <c r="T253" s="285"/>
      <c r="U253" s="285"/>
      <c r="V253" s="286"/>
      <c r="W253" s="37" t="s">
        <v>87</v>
      </c>
      <c r="X253" s="280">
        <f>IFERROR(SUMPRODUCT(X251:X251*H251:H251),"0")</f>
        <v>0</v>
      </c>
      <c r="Y253" s="280">
        <f>IFERROR(SUMPRODUCT(Y251:Y251*H251:H251),"0")</f>
        <v>0</v>
      </c>
      <c r="Z253" s="37"/>
      <c r="AA253" s="281"/>
      <c r="AB253" s="281"/>
      <c r="AC253" s="281"/>
    </row>
    <row r="254" spans="1:68" ht="27.75" hidden="1" customHeight="1" x14ac:dyDescent="0.2">
      <c r="A254" s="293" t="s">
        <v>262</v>
      </c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48"/>
      <c r="AB254" s="48"/>
      <c r="AC254" s="48"/>
    </row>
    <row r="255" spans="1:68" ht="16.5" hidden="1" customHeight="1" x14ac:dyDescent="0.25">
      <c r="A255" s="287" t="s">
        <v>262</v>
      </c>
      <c r="B255" s="288"/>
      <c r="C255" s="288"/>
      <c r="D255" s="288"/>
      <c r="E255" s="288"/>
      <c r="F255" s="288"/>
      <c r="G255" s="288"/>
      <c r="H255" s="288"/>
      <c r="I255" s="288"/>
      <c r="J255" s="288"/>
      <c r="K255" s="288"/>
      <c r="L255" s="288"/>
      <c r="M255" s="288"/>
      <c r="N255" s="288"/>
      <c r="O255" s="288"/>
      <c r="P255" s="288"/>
      <c r="Q255" s="288"/>
      <c r="R255" s="288"/>
      <c r="S255" s="288"/>
      <c r="T255" s="288"/>
      <c r="U255" s="288"/>
      <c r="V255" s="288"/>
      <c r="W255" s="288"/>
      <c r="X255" s="288"/>
      <c r="Y255" s="288"/>
      <c r="Z255" s="288"/>
      <c r="AA255" s="273"/>
      <c r="AB255" s="273"/>
      <c r="AC255" s="273"/>
    </row>
    <row r="256" spans="1:68" ht="14.25" hidden="1" customHeight="1" x14ac:dyDescent="0.25">
      <c r="A256" s="324" t="s">
        <v>61</v>
      </c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8"/>
      <c r="P256" s="288"/>
      <c r="Q256" s="288"/>
      <c r="R256" s="288"/>
      <c r="S256" s="288"/>
      <c r="T256" s="288"/>
      <c r="U256" s="288"/>
      <c r="V256" s="288"/>
      <c r="W256" s="288"/>
      <c r="X256" s="288"/>
      <c r="Y256" s="288"/>
      <c r="Z256" s="288"/>
      <c r="AA256" s="274"/>
      <c r="AB256" s="274"/>
      <c r="AC256" s="274"/>
    </row>
    <row r="257" spans="1:68" ht="27" hidden="1" customHeight="1" x14ac:dyDescent="0.25">
      <c r="A257" s="54" t="s">
        <v>338</v>
      </c>
      <c r="B257" s="54" t="s">
        <v>339</v>
      </c>
      <c r="C257" s="31">
        <v>4301071014</v>
      </c>
      <c r="D257" s="291">
        <v>4640242181264</v>
      </c>
      <c r="E257" s="292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65</v>
      </c>
      <c r="M257" s="33" t="s">
        <v>66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96"/>
      <c r="R257" s="296"/>
      <c r="S257" s="296"/>
      <c r="T257" s="297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340</v>
      </c>
      <c r="AG257" s="67"/>
      <c r="AJ257" s="71" t="s">
        <v>69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341</v>
      </c>
      <c r="B258" s="54" t="s">
        <v>342</v>
      </c>
      <c r="C258" s="31">
        <v>4301071141</v>
      </c>
      <c r="D258" s="291">
        <v>4620207491980</v>
      </c>
      <c r="E258" s="292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64</v>
      </c>
      <c r="L258" s="32" t="s">
        <v>65</v>
      </c>
      <c r="M258" s="33" t="s">
        <v>66</v>
      </c>
      <c r="N258" s="33"/>
      <c r="O258" s="32">
        <v>180</v>
      </c>
      <c r="P258" s="34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96"/>
      <c r="R258" s="296"/>
      <c r="S258" s="296"/>
      <c r="T258" s="297"/>
      <c r="U258" s="34"/>
      <c r="V258" s="34"/>
      <c r="W258" s="35" t="s">
        <v>67</v>
      </c>
      <c r="X258" s="278">
        <v>36</v>
      </c>
      <c r="Y258" s="279">
        <f>IFERROR(IF(X258="","",X258),"")</f>
        <v>36</v>
      </c>
      <c r="Z258" s="36">
        <f>IFERROR(IF(X258="","",X258*0.0155),"")</f>
        <v>0.55800000000000005</v>
      </c>
      <c r="AA258" s="56"/>
      <c r="AB258" s="57"/>
      <c r="AC258" s="242" t="s">
        <v>343</v>
      </c>
      <c r="AG258" s="67"/>
      <c r="AJ258" s="71" t="s">
        <v>69</v>
      </c>
      <c r="AK258" s="71">
        <v>1</v>
      </c>
      <c r="BB258" s="243" t="s">
        <v>1</v>
      </c>
      <c r="BM258" s="67">
        <f>IFERROR(X258*I258,"0")</f>
        <v>262.08</v>
      </c>
      <c r="BN258" s="67">
        <f>IFERROR(Y258*I258,"0")</f>
        <v>262.08</v>
      </c>
      <c r="BO258" s="67">
        <f>IFERROR(X258/J258,"0")</f>
        <v>0.42857142857142855</v>
      </c>
      <c r="BP258" s="67">
        <f>IFERROR(Y258/J258,"0")</f>
        <v>0.42857142857142855</v>
      </c>
    </row>
    <row r="259" spans="1:68" x14ac:dyDescent="0.2">
      <c r="A259" s="298"/>
      <c r="B259" s="288"/>
      <c r="C259" s="288"/>
      <c r="D259" s="288"/>
      <c r="E259" s="288"/>
      <c r="F259" s="288"/>
      <c r="G259" s="288"/>
      <c r="H259" s="288"/>
      <c r="I259" s="288"/>
      <c r="J259" s="288"/>
      <c r="K259" s="288"/>
      <c r="L259" s="288"/>
      <c r="M259" s="288"/>
      <c r="N259" s="288"/>
      <c r="O259" s="299"/>
      <c r="P259" s="284" t="s">
        <v>86</v>
      </c>
      <c r="Q259" s="285"/>
      <c r="R259" s="285"/>
      <c r="S259" s="285"/>
      <c r="T259" s="285"/>
      <c r="U259" s="285"/>
      <c r="V259" s="286"/>
      <c r="W259" s="37" t="s">
        <v>67</v>
      </c>
      <c r="X259" s="280">
        <f>IFERROR(SUM(X257:X258),"0")</f>
        <v>36</v>
      </c>
      <c r="Y259" s="280">
        <f>IFERROR(SUM(Y257:Y258),"0")</f>
        <v>36</v>
      </c>
      <c r="Z259" s="280">
        <f>IFERROR(IF(Z257="",0,Z257),"0")+IFERROR(IF(Z258="",0,Z258),"0")</f>
        <v>0.55800000000000005</v>
      </c>
      <c r="AA259" s="281"/>
      <c r="AB259" s="281"/>
      <c r="AC259" s="281"/>
    </row>
    <row r="260" spans="1:68" x14ac:dyDescent="0.2">
      <c r="A260" s="288"/>
      <c r="B260" s="288"/>
      <c r="C260" s="288"/>
      <c r="D260" s="288"/>
      <c r="E260" s="288"/>
      <c r="F260" s="288"/>
      <c r="G260" s="288"/>
      <c r="H260" s="288"/>
      <c r="I260" s="288"/>
      <c r="J260" s="288"/>
      <c r="K260" s="288"/>
      <c r="L260" s="288"/>
      <c r="M260" s="288"/>
      <c r="N260" s="288"/>
      <c r="O260" s="299"/>
      <c r="P260" s="284" t="s">
        <v>86</v>
      </c>
      <c r="Q260" s="285"/>
      <c r="R260" s="285"/>
      <c r="S260" s="285"/>
      <c r="T260" s="285"/>
      <c r="U260" s="285"/>
      <c r="V260" s="286"/>
      <c r="W260" s="37" t="s">
        <v>87</v>
      </c>
      <c r="X260" s="280">
        <f>IFERROR(SUMPRODUCT(X257:X258*H257:H258),"0")</f>
        <v>252</v>
      </c>
      <c r="Y260" s="280">
        <f>IFERROR(SUMPRODUCT(Y257:Y258*H257:H258),"0")</f>
        <v>252</v>
      </c>
      <c r="Z260" s="37"/>
      <c r="AA260" s="281"/>
      <c r="AB260" s="281"/>
      <c r="AC260" s="281"/>
    </row>
    <row r="261" spans="1:68" ht="14.25" hidden="1" customHeight="1" x14ac:dyDescent="0.25">
      <c r="A261" s="324" t="s">
        <v>180</v>
      </c>
      <c r="B261" s="288"/>
      <c r="C261" s="288"/>
      <c r="D261" s="288"/>
      <c r="E261" s="288"/>
      <c r="F261" s="288"/>
      <c r="G261" s="288"/>
      <c r="H261" s="288"/>
      <c r="I261" s="288"/>
      <c r="J261" s="288"/>
      <c r="K261" s="288"/>
      <c r="L261" s="288"/>
      <c r="M261" s="288"/>
      <c r="N261" s="288"/>
      <c r="O261" s="288"/>
      <c r="P261" s="288"/>
      <c r="Q261" s="288"/>
      <c r="R261" s="288"/>
      <c r="S261" s="288"/>
      <c r="T261" s="288"/>
      <c r="U261" s="288"/>
      <c r="V261" s="288"/>
      <c r="W261" s="288"/>
      <c r="X261" s="288"/>
      <c r="Y261" s="288"/>
      <c r="Z261" s="288"/>
      <c r="AA261" s="274"/>
      <c r="AB261" s="274"/>
      <c r="AC261" s="274"/>
    </row>
    <row r="262" spans="1:68" ht="27" customHeight="1" x14ac:dyDescent="0.25">
      <c r="A262" s="54" t="s">
        <v>344</v>
      </c>
      <c r="B262" s="54" t="s">
        <v>345</v>
      </c>
      <c r="C262" s="31">
        <v>4301136116</v>
      </c>
      <c r="D262" s="291">
        <v>4620207492147</v>
      </c>
      <c r="E262" s="292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104</v>
      </c>
      <c r="L262" s="32" t="s">
        <v>65</v>
      </c>
      <c r="M262" s="33" t="s">
        <v>66</v>
      </c>
      <c r="N262" s="33"/>
      <c r="O262" s="32">
        <v>180</v>
      </c>
      <c r="P262" s="442" t="s">
        <v>346</v>
      </c>
      <c r="Q262" s="296"/>
      <c r="R262" s="296"/>
      <c r="S262" s="296"/>
      <c r="T262" s="297"/>
      <c r="U262" s="34"/>
      <c r="V262" s="34"/>
      <c r="W262" s="35" t="s">
        <v>67</v>
      </c>
      <c r="X262" s="278">
        <v>56</v>
      </c>
      <c r="Y262" s="279">
        <f>IFERROR(IF(X262="","",X262),"")</f>
        <v>56</v>
      </c>
      <c r="Z262" s="36">
        <f>IFERROR(IF(X262="","",X262*0.00936),"")</f>
        <v>0.52415999999999996</v>
      </c>
      <c r="AA262" s="56"/>
      <c r="AB262" s="57"/>
      <c r="AC262" s="244" t="s">
        <v>183</v>
      </c>
      <c r="AG262" s="67"/>
      <c r="AJ262" s="71" t="s">
        <v>69</v>
      </c>
      <c r="AK262" s="71">
        <v>1</v>
      </c>
      <c r="BB262" s="245" t="s">
        <v>108</v>
      </c>
      <c r="BM262" s="67">
        <f>IFERROR(X262*I262,"0")</f>
        <v>161.87360000000001</v>
      </c>
      <c r="BN262" s="67">
        <f>IFERROR(Y262*I262,"0")</f>
        <v>161.87360000000001</v>
      </c>
      <c r="BO262" s="67">
        <f>IFERROR(X262/J262,"0")</f>
        <v>0.44444444444444442</v>
      </c>
      <c r="BP262" s="67">
        <f>IFERROR(Y262/J262,"0")</f>
        <v>0.44444444444444442</v>
      </c>
    </row>
    <row r="263" spans="1:68" ht="27" hidden="1" customHeight="1" x14ac:dyDescent="0.25">
      <c r="A263" s="54" t="s">
        <v>347</v>
      </c>
      <c r="B263" s="54" t="s">
        <v>348</v>
      </c>
      <c r="C263" s="31">
        <v>4301136112</v>
      </c>
      <c r="D263" s="291">
        <v>4620207492154</v>
      </c>
      <c r="E263" s="292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64</v>
      </c>
      <c r="L263" s="32" t="s">
        <v>65</v>
      </c>
      <c r="M263" s="33" t="s">
        <v>66</v>
      </c>
      <c r="N263" s="33"/>
      <c r="O263" s="32">
        <v>180</v>
      </c>
      <c r="P263" s="458" t="s">
        <v>349</v>
      </c>
      <c r="Q263" s="296"/>
      <c r="R263" s="296"/>
      <c r="S263" s="296"/>
      <c r="T263" s="297"/>
      <c r="U263" s="34"/>
      <c r="V263" s="34"/>
      <c r="W263" s="35" t="s">
        <v>67</v>
      </c>
      <c r="X263" s="278">
        <v>0</v>
      </c>
      <c r="Y263" s="279">
        <f>IFERROR(IF(X263="","",X263),"")</f>
        <v>0</v>
      </c>
      <c r="Z263" s="36">
        <f>IFERROR(IF(X263="","",X263*0.0155),"")</f>
        <v>0</v>
      </c>
      <c r="AA263" s="56"/>
      <c r="AB263" s="57"/>
      <c r="AC263" s="246" t="s">
        <v>183</v>
      </c>
      <c r="AG263" s="67"/>
      <c r="AJ263" s="71" t="s">
        <v>69</v>
      </c>
      <c r="AK263" s="71">
        <v>1</v>
      </c>
      <c r="BB263" s="247" t="s">
        <v>108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4301136114</v>
      </c>
      <c r="D264" s="291">
        <v>4620207492086</v>
      </c>
      <c r="E264" s="292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104</v>
      </c>
      <c r="L264" s="32" t="s">
        <v>65</v>
      </c>
      <c r="M264" s="33" t="s">
        <v>66</v>
      </c>
      <c r="N264" s="33"/>
      <c r="O264" s="32">
        <v>180</v>
      </c>
      <c r="P264" s="375" t="s">
        <v>352</v>
      </c>
      <c r="Q264" s="296"/>
      <c r="R264" s="296"/>
      <c r="S264" s="296"/>
      <c r="T264" s="297"/>
      <c r="U264" s="34"/>
      <c r="V264" s="34"/>
      <c r="W264" s="35" t="s">
        <v>67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183</v>
      </c>
      <c r="AG264" s="67"/>
      <c r="AJ264" s="71" t="s">
        <v>69</v>
      </c>
      <c r="AK264" s="71">
        <v>1</v>
      </c>
      <c r="BB264" s="249" t="s">
        <v>108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8"/>
      <c r="B265" s="288"/>
      <c r="C265" s="288"/>
      <c r="D265" s="288"/>
      <c r="E265" s="288"/>
      <c r="F265" s="288"/>
      <c r="G265" s="288"/>
      <c r="H265" s="288"/>
      <c r="I265" s="288"/>
      <c r="J265" s="288"/>
      <c r="K265" s="288"/>
      <c r="L265" s="288"/>
      <c r="M265" s="288"/>
      <c r="N265" s="288"/>
      <c r="O265" s="299"/>
      <c r="P265" s="284" t="s">
        <v>86</v>
      </c>
      <c r="Q265" s="285"/>
      <c r="R265" s="285"/>
      <c r="S265" s="285"/>
      <c r="T265" s="285"/>
      <c r="U265" s="285"/>
      <c r="V265" s="286"/>
      <c r="W265" s="37" t="s">
        <v>67</v>
      </c>
      <c r="X265" s="280">
        <f>IFERROR(SUM(X262:X264),"0")</f>
        <v>56</v>
      </c>
      <c r="Y265" s="280">
        <f>IFERROR(SUM(Y262:Y264),"0")</f>
        <v>56</v>
      </c>
      <c r="Z265" s="280">
        <f>IFERROR(IF(Z262="",0,Z262),"0")+IFERROR(IF(Z263="",0,Z263),"0")+IFERROR(IF(Z264="",0,Z264),"0")</f>
        <v>0.52415999999999996</v>
      </c>
      <c r="AA265" s="281"/>
      <c r="AB265" s="281"/>
      <c r="AC265" s="281"/>
    </row>
    <row r="266" spans="1:68" x14ac:dyDescent="0.2">
      <c r="A266" s="288"/>
      <c r="B266" s="288"/>
      <c r="C266" s="288"/>
      <c r="D266" s="288"/>
      <c r="E266" s="288"/>
      <c r="F266" s="288"/>
      <c r="G266" s="288"/>
      <c r="H266" s="288"/>
      <c r="I266" s="288"/>
      <c r="J266" s="288"/>
      <c r="K266" s="288"/>
      <c r="L266" s="288"/>
      <c r="M266" s="288"/>
      <c r="N266" s="288"/>
      <c r="O266" s="299"/>
      <c r="P266" s="284" t="s">
        <v>86</v>
      </c>
      <c r="Q266" s="285"/>
      <c r="R266" s="285"/>
      <c r="S266" s="285"/>
      <c r="T266" s="285"/>
      <c r="U266" s="285"/>
      <c r="V266" s="286"/>
      <c r="W266" s="37" t="s">
        <v>87</v>
      </c>
      <c r="X266" s="280">
        <f>IFERROR(SUMPRODUCT(X262:X264*H262:H264),"0")</f>
        <v>151.20000000000002</v>
      </c>
      <c r="Y266" s="280">
        <f>IFERROR(SUMPRODUCT(Y262:Y264*H262:H264),"0")</f>
        <v>151.20000000000002</v>
      </c>
      <c r="Z266" s="37"/>
      <c r="AA266" s="281"/>
      <c r="AB266" s="281"/>
      <c r="AC266" s="281"/>
    </row>
    <row r="267" spans="1:68" ht="14.25" hidden="1" customHeight="1" x14ac:dyDescent="0.25">
      <c r="A267" s="324" t="s">
        <v>152</v>
      </c>
      <c r="B267" s="288"/>
      <c r="C267" s="288"/>
      <c r="D267" s="288"/>
      <c r="E267" s="288"/>
      <c r="F267" s="288"/>
      <c r="G267" s="288"/>
      <c r="H267" s="288"/>
      <c r="I267" s="288"/>
      <c r="J267" s="288"/>
      <c r="K267" s="288"/>
      <c r="L267" s="288"/>
      <c r="M267" s="288"/>
      <c r="N267" s="288"/>
      <c r="O267" s="288"/>
      <c r="P267" s="288"/>
      <c r="Q267" s="288"/>
      <c r="R267" s="288"/>
      <c r="S267" s="288"/>
      <c r="T267" s="288"/>
      <c r="U267" s="288"/>
      <c r="V267" s="288"/>
      <c r="W267" s="288"/>
      <c r="X267" s="288"/>
      <c r="Y267" s="288"/>
      <c r="Z267" s="288"/>
      <c r="AA267" s="274"/>
      <c r="AB267" s="274"/>
      <c r="AC267" s="274"/>
    </row>
    <row r="268" spans="1:68" ht="16.5" hidden="1" customHeight="1" x14ac:dyDescent="0.25">
      <c r="A268" s="54" t="s">
        <v>353</v>
      </c>
      <c r="B268" s="54" t="s">
        <v>354</v>
      </c>
      <c r="C268" s="31">
        <v>4301137066</v>
      </c>
      <c r="D268" s="291">
        <v>4620207492109</v>
      </c>
      <c r="E268" s="292"/>
      <c r="F268" s="277">
        <v>5.5</v>
      </c>
      <c r="G268" s="32">
        <v>1</v>
      </c>
      <c r="H268" s="277">
        <v>5.5</v>
      </c>
      <c r="I268" s="277">
        <v>5.7350000000000003</v>
      </c>
      <c r="J268" s="32">
        <v>84</v>
      </c>
      <c r="K268" s="32" t="s">
        <v>64</v>
      </c>
      <c r="L268" s="32" t="s">
        <v>65</v>
      </c>
      <c r="M268" s="33" t="s">
        <v>66</v>
      </c>
      <c r="N268" s="33"/>
      <c r="O268" s="32">
        <v>180</v>
      </c>
      <c r="P268" s="386" t="s">
        <v>355</v>
      </c>
      <c r="Q268" s="296"/>
      <c r="R268" s="296"/>
      <c r="S268" s="296"/>
      <c r="T268" s="297"/>
      <c r="U268" s="34"/>
      <c r="V268" s="34"/>
      <c r="W268" s="35" t="s">
        <v>67</v>
      </c>
      <c r="X268" s="278">
        <v>0</v>
      </c>
      <c r="Y268" s="279">
        <f t="shared" ref="Y268:Y277" si="18">IFERROR(IF(X268="","",X268),"")</f>
        <v>0</v>
      </c>
      <c r="Z268" s="36">
        <f>IFERROR(IF(X268="","",X268*0.0155),"")</f>
        <v>0</v>
      </c>
      <c r="AA268" s="56"/>
      <c r="AB268" s="57"/>
      <c r="AC268" s="250" t="s">
        <v>356</v>
      </c>
      <c r="AG268" s="67"/>
      <c r="AJ268" s="71" t="s">
        <v>69</v>
      </c>
      <c r="AK268" s="71">
        <v>1</v>
      </c>
      <c r="BB268" s="251" t="s">
        <v>108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37.5" hidden="1" customHeight="1" x14ac:dyDescent="0.25">
      <c r="A269" s="54" t="s">
        <v>357</v>
      </c>
      <c r="B269" s="54" t="s">
        <v>358</v>
      </c>
      <c r="C269" s="31">
        <v>4301137068</v>
      </c>
      <c r="D269" s="291">
        <v>4620207492161</v>
      </c>
      <c r="E269" s="292"/>
      <c r="F269" s="277">
        <v>3</v>
      </c>
      <c r="G269" s="32">
        <v>1</v>
      </c>
      <c r="H269" s="277">
        <v>3</v>
      </c>
      <c r="I269" s="277">
        <v>3.1920000000000002</v>
      </c>
      <c r="J269" s="32">
        <v>126</v>
      </c>
      <c r="K269" s="32" t="s">
        <v>104</v>
      </c>
      <c r="L269" s="32" t="s">
        <v>65</v>
      </c>
      <c r="M269" s="33" t="s">
        <v>66</v>
      </c>
      <c r="N269" s="33"/>
      <c r="O269" s="32">
        <v>180</v>
      </c>
      <c r="P269" s="425" t="s">
        <v>359</v>
      </c>
      <c r="Q269" s="296"/>
      <c r="R269" s="296"/>
      <c r="S269" s="296"/>
      <c r="T269" s="297"/>
      <c r="U269" s="34"/>
      <c r="V269" s="34"/>
      <c r="W269" s="35" t="s">
        <v>67</v>
      </c>
      <c r="X269" s="278">
        <v>0</v>
      </c>
      <c r="Y269" s="279">
        <f t="shared" si="18"/>
        <v>0</v>
      </c>
      <c r="Z269" s="36">
        <f>IFERROR(IF(X269="","",X269*0.00936),"")</f>
        <v>0</v>
      </c>
      <c r="AA269" s="56"/>
      <c r="AB269" s="57"/>
      <c r="AC269" s="252" t="s">
        <v>360</v>
      </c>
      <c r="AG269" s="67"/>
      <c r="AJ269" s="71" t="s">
        <v>69</v>
      </c>
      <c r="AK269" s="71">
        <v>1</v>
      </c>
      <c r="BB269" s="253" t="s">
        <v>108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361</v>
      </c>
      <c r="B270" s="54" t="s">
        <v>362</v>
      </c>
      <c r="C270" s="31">
        <v>4301137046</v>
      </c>
      <c r="D270" s="291">
        <v>4620207492093</v>
      </c>
      <c r="E270" s="292"/>
      <c r="F270" s="277">
        <v>3.7</v>
      </c>
      <c r="G270" s="32">
        <v>1</v>
      </c>
      <c r="H270" s="277">
        <v>3.7</v>
      </c>
      <c r="I270" s="277">
        <v>3.8919999999999999</v>
      </c>
      <c r="J270" s="32">
        <v>126</v>
      </c>
      <c r="K270" s="32" t="s">
        <v>104</v>
      </c>
      <c r="L270" s="32" t="s">
        <v>65</v>
      </c>
      <c r="M270" s="33" t="s">
        <v>66</v>
      </c>
      <c r="N270" s="33"/>
      <c r="O270" s="32">
        <v>180</v>
      </c>
      <c r="P270" s="435" t="s">
        <v>363</v>
      </c>
      <c r="Q270" s="296"/>
      <c r="R270" s="296"/>
      <c r="S270" s="296"/>
      <c r="T270" s="297"/>
      <c r="U270" s="34"/>
      <c r="V270" s="34"/>
      <c r="W270" s="35" t="s">
        <v>67</v>
      </c>
      <c r="X270" s="278">
        <v>0</v>
      </c>
      <c r="Y270" s="279">
        <f t="shared" si="18"/>
        <v>0</v>
      </c>
      <c r="Z270" s="36">
        <f>IFERROR(IF(X270="","",X270*0.00936),"")</f>
        <v>0</v>
      </c>
      <c r="AA270" s="56"/>
      <c r="AB270" s="57"/>
      <c r="AC270" s="254" t="s">
        <v>364</v>
      </c>
      <c r="AG270" s="67"/>
      <c r="AJ270" s="71" t="s">
        <v>69</v>
      </c>
      <c r="AK270" s="71">
        <v>1</v>
      </c>
      <c r="BB270" s="255" t="s">
        <v>108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4301137072</v>
      </c>
      <c r="D271" s="291">
        <v>4620207492222</v>
      </c>
      <c r="E271" s="292"/>
      <c r="F271" s="277">
        <v>5</v>
      </c>
      <c r="G271" s="32">
        <v>1</v>
      </c>
      <c r="H271" s="277">
        <v>5</v>
      </c>
      <c r="I271" s="277">
        <v>5.23</v>
      </c>
      <c r="J271" s="32">
        <v>84</v>
      </c>
      <c r="K271" s="32" t="s">
        <v>64</v>
      </c>
      <c r="L271" s="32" t="s">
        <v>65</v>
      </c>
      <c r="M271" s="33" t="s">
        <v>66</v>
      </c>
      <c r="N271" s="33"/>
      <c r="O271" s="32">
        <v>180</v>
      </c>
      <c r="P271" s="338" t="s">
        <v>367</v>
      </c>
      <c r="Q271" s="296"/>
      <c r="R271" s="296"/>
      <c r="S271" s="296"/>
      <c r="T271" s="297"/>
      <c r="U271" s="34"/>
      <c r="V271" s="34"/>
      <c r="W271" s="35" t="s">
        <v>67</v>
      </c>
      <c r="X271" s="278">
        <v>0</v>
      </c>
      <c r="Y271" s="279">
        <f t="shared" si="18"/>
        <v>0</v>
      </c>
      <c r="Z271" s="36">
        <f>IFERROR(IF(X271="","",X271*0.0155),"")</f>
        <v>0</v>
      </c>
      <c r="AA271" s="56"/>
      <c r="AB271" s="57"/>
      <c r="AC271" s="256" t="s">
        <v>364</v>
      </c>
      <c r="AG271" s="67"/>
      <c r="AJ271" s="71" t="s">
        <v>69</v>
      </c>
      <c r="AK271" s="71">
        <v>1</v>
      </c>
      <c r="BB271" s="257" t="s">
        <v>108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368</v>
      </c>
      <c r="B272" s="54" t="s">
        <v>369</v>
      </c>
      <c r="C272" s="31">
        <v>4301137074</v>
      </c>
      <c r="D272" s="291">
        <v>4620207492116</v>
      </c>
      <c r="E272" s="292"/>
      <c r="F272" s="277">
        <v>3</v>
      </c>
      <c r="G272" s="32">
        <v>1</v>
      </c>
      <c r="H272" s="277">
        <v>3</v>
      </c>
      <c r="I272" s="277">
        <v>3.1920000000000002</v>
      </c>
      <c r="J272" s="32">
        <v>126</v>
      </c>
      <c r="K272" s="32" t="s">
        <v>104</v>
      </c>
      <c r="L272" s="32" t="s">
        <v>65</v>
      </c>
      <c r="M272" s="33" t="s">
        <v>66</v>
      </c>
      <c r="N272" s="33"/>
      <c r="O272" s="32">
        <v>180</v>
      </c>
      <c r="P272" s="323" t="s">
        <v>370</v>
      </c>
      <c r="Q272" s="296"/>
      <c r="R272" s="296"/>
      <c r="S272" s="296"/>
      <c r="T272" s="297"/>
      <c r="U272" s="34"/>
      <c r="V272" s="34"/>
      <c r="W272" s="35" t="s">
        <v>67</v>
      </c>
      <c r="X272" s="278">
        <v>28</v>
      </c>
      <c r="Y272" s="279">
        <f t="shared" si="18"/>
        <v>28</v>
      </c>
      <c r="Z272" s="36">
        <f t="shared" ref="Z272:Z277" si="23">IFERROR(IF(X272="","",X272*0.00936),"")</f>
        <v>0.26207999999999998</v>
      </c>
      <c r="AA272" s="56"/>
      <c r="AB272" s="57"/>
      <c r="AC272" s="258" t="s">
        <v>356</v>
      </c>
      <c r="AG272" s="67"/>
      <c r="AJ272" s="71" t="s">
        <v>69</v>
      </c>
      <c r="AK272" s="71">
        <v>1</v>
      </c>
      <c r="BB272" s="259" t="s">
        <v>108</v>
      </c>
      <c r="BM272" s="67">
        <f t="shared" si="19"/>
        <v>89.376000000000005</v>
      </c>
      <c r="BN272" s="67">
        <f t="shared" si="20"/>
        <v>89.376000000000005</v>
      </c>
      <c r="BO272" s="67">
        <f t="shared" si="21"/>
        <v>0.22222222222222221</v>
      </c>
      <c r="BP272" s="67">
        <f t="shared" si="22"/>
        <v>0.22222222222222221</v>
      </c>
    </row>
    <row r="273" spans="1:68" ht="37.5" hidden="1" customHeight="1" x14ac:dyDescent="0.25">
      <c r="A273" s="54" t="s">
        <v>371</v>
      </c>
      <c r="B273" s="54" t="s">
        <v>372</v>
      </c>
      <c r="C273" s="31">
        <v>4301137070</v>
      </c>
      <c r="D273" s="291">
        <v>4620207492123</v>
      </c>
      <c r="E273" s="292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104</v>
      </c>
      <c r="L273" s="32" t="s">
        <v>65</v>
      </c>
      <c r="M273" s="33" t="s">
        <v>66</v>
      </c>
      <c r="N273" s="33"/>
      <c r="O273" s="32">
        <v>180</v>
      </c>
      <c r="P273" s="370" t="s">
        <v>373</v>
      </c>
      <c r="Q273" s="296"/>
      <c r="R273" s="296"/>
      <c r="S273" s="296"/>
      <c r="T273" s="297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360</v>
      </c>
      <c r="AG273" s="67"/>
      <c r="AJ273" s="71" t="s">
        <v>69</v>
      </c>
      <c r="AK273" s="71">
        <v>1</v>
      </c>
      <c r="BB273" s="261" t="s">
        <v>108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374</v>
      </c>
      <c r="B274" s="54" t="s">
        <v>375</v>
      </c>
      <c r="C274" s="31">
        <v>4301137078</v>
      </c>
      <c r="D274" s="291">
        <v>4620207492130</v>
      </c>
      <c r="E274" s="292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104</v>
      </c>
      <c r="L274" s="32" t="s">
        <v>65</v>
      </c>
      <c r="M274" s="33" t="s">
        <v>66</v>
      </c>
      <c r="N274" s="33"/>
      <c r="O274" s="32">
        <v>180</v>
      </c>
      <c r="P274" s="403" t="s">
        <v>376</v>
      </c>
      <c r="Q274" s="296"/>
      <c r="R274" s="296"/>
      <c r="S274" s="296"/>
      <c r="T274" s="297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360</v>
      </c>
      <c r="AG274" s="67"/>
      <c r="AJ274" s="71" t="s">
        <v>69</v>
      </c>
      <c r="AK274" s="71">
        <v>1</v>
      </c>
      <c r="BB274" s="263" t="s">
        <v>108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4301137092</v>
      </c>
      <c r="D275" s="291">
        <v>4620207491942</v>
      </c>
      <c r="E275" s="292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104</v>
      </c>
      <c r="L275" s="32" t="s">
        <v>65</v>
      </c>
      <c r="M275" s="33" t="s">
        <v>66</v>
      </c>
      <c r="N275" s="33"/>
      <c r="O275" s="32">
        <v>180</v>
      </c>
      <c r="P275" s="351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296"/>
      <c r="R275" s="296"/>
      <c r="S275" s="296"/>
      <c r="T275" s="297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360</v>
      </c>
      <c r="AG275" s="67"/>
      <c r="AJ275" s="71" t="s">
        <v>69</v>
      </c>
      <c r="AK275" s="71">
        <v>1</v>
      </c>
      <c r="BB275" s="265" t="s">
        <v>108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379</v>
      </c>
      <c r="B276" s="54" t="s">
        <v>380</v>
      </c>
      <c r="C276" s="31">
        <v>4301137014</v>
      </c>
      <c r="D276" s="291">
        <v>4620207491911</v>
      </c>
      <c r="E276" s="292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104</v>
      </c>
      <c r="L276" s="32" t="s">
        <v>65</v>
      </c>
      <c r="M276" s="33" t="s">
        <v>66</v>
      </c>
      <c r="N276" s="33"/>
      <c r="O276" s="32">
        <v>180</v>
      </c>
      <c r="P276" s="434" t="s">
        <v>381</v>
      </c>
      <c r="Q276" s="296"/>
      <c r="R276" s="296"/>
      <c r="S276" s="296"/>
      <c r="T276" s="297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364</v>
      </c>
      <c r="AG276" s="67"/>
      <c r="AJ276" s="71" t="s">
        <v>69</v>
      </c>
      <c r="AK276" s="71">
        <v>1</v>
      </c>
      <c r="BB276" s="267" t="s">
        <v>108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382</v>
      </c>
      <c r="B277" s="54" t="s">
        <v>383</v>
      </c>
      <c r="C277" s="31">
        <v>4301137012</v>
      </c>
      <c r="D277" s="291">
        <v>4620207491935</v>
      </c>
      <c r="E277" s="292"/>
      <c r="F277" s="277">
        <v>0.3</v>
      </c>
      <c r="G277" s="32">
        <v>9</v>
      </c>
      <c r="H277" s="277">
        <v>2.7</v>
      </c>
      <c r="I277" s="277">
        <v>2.9249999999999998</v>
      </c>
      <c r="J277" s="32">
        <v>126</v>
      </c>
      <c r="K277" s="32" t="s">
        <v>104</v>
      </c>
      <c r="L277" s="32" t="s">
        <v>65</v>
      </c>
      <c r="M277" s="33" t="s">
        <v>66</v>
      </c>
      <c r="N277" s="33"/>
      <c r="O277" s="32">
        <v>180</v>
      </c>
      <c r="P277" s="384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296"/>
      <c r="R277" s="296"/>
      <c r="S277" s="296"/>
      <c r="T277" s="297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8" t="s">
        <v>356</v>
      </c>
      <c r="AG277" s="67"/>
      <c r="AJ277" s="71" t="s">
        <v>69</v>
      </c>
      <c r="AK277" s="71">
        <v>1</v>
      </c>
      <c r="BB277" s="269" t="s">
        <v>108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8"/>
      <c r="B278" s="288"/>
      <c r="C278" s="288"/>
      <c r="D278" s="288"/>
      <c r="E278" s="288"/>
      <c r="F278" s="288"/>
      <c r="G278" s="288"/>
      <c r="H278" s="288"/>
      <c r="I278" s="288"/>
      <c r="J278" s="288"/>
      <c r="K278" s="288"/>
      <c r="L278" s="288"/>
      <c r="M278" s="288"/>
      <c r="N278" s="288"/>
      <c r="O278" s="299"/>
      <c r="P278" s="284" t="s">
        <v>86</v>
      </c>
      <c r="Q278" s="285"/>
      <c r="R278" s="285"/>
      <c r="S278" s="285"/>
      <c r="T278" s="285"/>
      <c r="U278" s="285"/>
      <c r="V278" s="286"/>
      <c r="W278" s="37" t="s">
        <v>67</v>
      </c>
      <c r="X278" s="280">
        <f>IFERROR(SUM(X268:X277),"0")</f>
        <v>28</v>
      </c>
      <c r="Y278" s="280">
        <f>IFERROR(SUM(Y268:Y277),"0")</f>
        <v>28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0.26207999999999998</v>
      </c>
      <c r="AA278" s="281"/>
      <c r="AB278" s="281"/>
      <c r="AC278" s="281"/>
    </row>
    <row r="279" spans="1:68" x14ac:dyDescent="0.2">
      <c r="A279" s="288"/>
      <c r="B279" s="288"/>
      <c r="C279" s="288"/>
      <c r="D279" s="288"/>
      <c r="E279" s="288"/>
      <c r="F279" s="288"/>
      <c r="G279" s="288"/>
      <c r="H279" s="288"/>
      <c r="I279" s="288"/>
      <c r="J279" s="288"/>
      <c r="K279" s="288"/>
      <c r="L279" s="288"/>
      <c r="M279" s="288"/>
      <c r="N279" s="288"/>
      <c r="O279" s="299"/>
      <c r="P279" s="284" t="s">
        <v>86</v>
      </c>
      <c r="Q279" s="285"/>
      <c r="R279" s="285"/>
      <c r="S279" s="285"/>
      <c r="T279" s="285"/>
      <c r="U279" s="285"/>
      <c r="V279" s="286"/>
      <c r="W279" s="37" t="s">
        <v>87</v>
      </c>
      <c r="X279" s="280">
        <f>IFERROR(SUMPRODUCT(X268:X277*H268:H277),"0")</f>
        <v>84</v>
      </c>
      <c r="Y279" s="280">
        <f>IFERROR(SUMPRODUCT(Y268:Y277*H268:H277),"0")</f>
        <v>84</v>
      </c>
      <c r="Z279" s="37"/>
      <c r="AA279" s="281"/>
      <c r="AB279" s="281"/>
      <c r="AC279" s="281"/>
    </row>
    <row r="280" spans="1:68" ht="15" customHeight="1" x14ac:dyDescent="0.2">
      <c r="A280" s="472"/>
      <c r="B280" s="288"/>
      <c r="C280" s="288"/>
      <c r="D280" s="288"/>
      <c r="E280" s="288"/>
      <c r="F280" s="288"/>
      <c r="G280" s="288"/>
      <c r="H280" s="288"/>
      <c r="I280" s="288"/>
      <c r="J280" s="288"/>
      <c r="K280" s="288"/>
      <c r="L280" s="288"/>
      <c r="M280" s="288"/>
      <c r="N280" s="288"/>
      <c r="O280" s="314"/>
      <c r="P280" s="350" t="s">
        <v>384</v>
      </c>
      <c r="Q280" s="309"/>
      <c r="R280" s="309"/>
      <c r="S280" s="309"/>
      <c r="T280" s="309"/>
      <c r="U280" s="309"/>
      <c r="V280" s="310"/>
      <c r="W280" s="37" t="s">
        <v>87</v>
      </c>
      <c r="X280" s="280">
        <f>IFERROR(X31+X35+X41+X48+X54+X62+X71+X77+X82+X88+X98+X104+X115+X119+X123+X128+X135+X141+X147+X153+X159+X164+X169+X174+X180+X184+X190+X195+X204+X210+X216+X222+X227+X233+X239+X243+X249+X253+X260+X266+X279,"0")</f>
        <v>5844.24</v>
      </c>
      <c r="Y280" s="280">
        <f>IFERROR(Y31+Y35+Y41+Y48+Y54+Y62+Y71+Y77+Y82+Y88+Y98+Y104+Y115+Y119+Y123+Y128+Y135+Y141+Y147+Y153+Y159+Y164+Y169+Y174+Y180+Y184+Y190+Y195+Y204+Y210+Y216+Y222+Y227+Y233+Y239+Y243+Y249+Y253+Y260+Y266+Y279,"0")</f>
        <v>5844.24</v>
      </c>
      <c r="Z280" s="37"/>
      <c r="AA280" s="281"/>
      <c r="AB280" s="281"/>
      <c r="AC280" s="281"/>
    </row>
    <row r="281" spans="1:68" x14ac:dyDescent="0.2">
      <c r="A281" s="288"/>
      <c r="B281" s="288"/>
      <c r="C281" s="288"/>
      <c r="D281" s="288"/>
      <c r="E281" s="288"/>
      <c r="F281" s="288"/>
      <c r="G281" s="288"/>
      <c r="H281" s="288"/>
      <c r="I281" s="288"/>
      <c r="J281" s="288"/>
      <c r="K281" s="288"/>
      <c r="L281" s="288"/>
      <c r="M281" s="288"/>
      <c r="N281" s="288"/>
      <c r="O281" s="314"/>
      <c r="P281" s="350" t="s">
        <v>385</v>
      </c>
      <c r="Q281" s="309"/>
      <c r="R281" s="309"/>
      <c r="S281" s="309"/>
      <c r="T281" s="309"/>
      <c r="U281" s="309"/>
      <c r="V281" s="310"/>
      <c r="W281" s="37" t="s">
        <v>87</v>
      </c>
      <c r="X281" s="280">
        <f>IFERROR(SUM(BM22:BM277),"0")</f>
        <v>6360.8096000000005</v>
      </c>
      <c r="Y281" s="280">
        <f>IFERROR(SUM(BN22:BN277),"0")</f>
        <v>6360.8096000000005</v>
      </c>
      <c r="Z281" s="37"/>
      <c r="AA281" s="281"/>
      <c r="AB281" s="281"/>
      <c r="AC281" s="281"/>
    </row>
    <row r="282" spans="1:68" x14ac:dyDescent="0.2">
      <c r="A282" s="288"/>
      <c r="B282" s="288"/>
      <c r="C282" s="288"/>
      <c r="D282" s="288"/>
      <c r="E282" s="288"/>
      <c r="F282" s="288"/>
      <c r="G282" s="288"/>
      <c r="H282" s="288"/>
      <c r="I282" s="288"/>
      <c r="J282" s="288"/>
      <c r="K282" s="288"/>
      <c r="L282" s="288"/>
      <c r="M282" s="288"/>
      <c r="N282" s="288"/>
      <c r="O282" s="314"/>
      <c r="P282" s="350" t="s">
        <v>386</v>
      </c>
      <c r="Q282" s="309"/>
      <c r="R282" s="309"/>
      <c r="S282" s="309"/>
      <c r="T282" s="309"/>
      <c r="U282" s="309"/>
      <c r="V282" s="310"/>
      <c r="W282" s="37" t="s">
        <v>387</v>
      </c>
      <c r="X282" s="38">
        <f>ROUNDUP(SUM(BO22:BO277),0)</f>
        <v>16</v>
      </c>
      <c r="Y282" s="38">
        <f>ROUNDUP(SUM(BP22:BP277),0)</f>
        <v>16</v>
      </c>
      <c r="Z282" s="37"/>
      <c r="AA282" s="281"/>
      <c r="AB282" s="281"/>
      <c r="AC282" s="281"/>
    </row>
    <row r="283" spans="1:68" x14ac:dyDescent="0.2">
      <c r="A283" s="288"/>
      <c r="B283" s="288"/>
      <c r="C283" s="288"/>
      <c r="D283" s="288"/>
      <c r="E283" s="288"/>
      <c r="F283" s="288"/>
      <c r="G283" s="288"/>
      <c r="H283" s="288"/>
      <c r="I283" s="288"/>
      <c r="J283" s="288"/>
      <c r="K283" s="288"/>
      <c r="L283" s="288"/>
      <c r="M283" s="288"/>
      <c r="N283" s="288"/>
      <c r="O283" s="314"/>
      <c r="P283" s="350" t="s">
        <v>388</v>
      </c>
      <c r="Q283" s="309"/>
      <c r="R283" s="309"/>
      <c r="S283" s="309"/>
      <c r="T283" s="309"/>
      <c r="U283" s="309"/>
      <c r="V283" s="310"/>
      <c r="W283" s="37" t="s">
        <v>87</v>
      </c>
      <c r="X283" s="280">
        <f>GrossWeightTotal+PalletQtyTotal*25</f>
        <v>6760.8096000000005</v>
      </c>
      <c r="Y283" s="280">
        <f>GrossWeightTotalR+PalletQtyTotalR*25</f>
        <v>6760.8096000000005</v>
      </c>
      <c r="Z283" s="37"/>
      <c r="AA283" s="281"/>
      <c r="AB283" s="281"/>
      <c r="AC283" s="281"/>
    </row>
    <row r="284" spans="1:68" x14ac:dyDescent="0.2">
      <c r="A284" s="288"/>
      <c r="B284" s="288"/>
      <c r="C284" s="288"/>
      <c r="D284" s="288"/>
      <c r="E284" s="288"/>
      <c r="F284" s="288"/>
      <c r="G284" s="288"/>
      <c r="H284" s="288"/>
      <c r="I284" s="288"/>
      <c r="J284" s="288"/>
      <c r="K284" s="288"/>
      <c r="L284" s="288"/>
      <c r="M284" s="288"/>
      <c r="N284" s="288"/>
      <c r="O284" s="314"/>
      <c r="P284" s="350" t="s">
        <v>389</v>
      </c>
      <c r="Q284" s="309"/>
      <c r="R284" s="309"/>
      <c r="S284" s="309"/>
      <c r="T284" s="309"/>
      <c r="U284" s="309"/>
      <c r="V284" s="310"/>
      <c r="W284" s="37" t="s">
        <v>387</v>
      </c>
      <c r="X284" s="280">
        <f>IFERROR(X30+X34+X40+X47+X53+X61+X70+X76+X81+X87+X97+X103+X114+X118+X122+X127+X134+X140+X146+X152+X158+X163+X168+X173+X179+X183+X189+X194+X203+X209+X215+X221+X226+X232+X238+X242+X248+X252+X259+X265+X278,"0")</f>
        <v>1358</v>
      </c>
      <c r="Y284" s="280">
        <f>IFERROR(Y30+Y34+Y40+Y47+Y53+Y61+Y70+Y76+Y81+Y87+Y97+Y103+Y114+Y118+Y122+Y127+Y134+Y140+Y146+Y152+Y158+Y163+Y168+Y173+Y179+Y183+Y189+Y194+Y203+Y209+Y215+Y221+Y226+Y232+Y238+Y242+Y248+Y252+Y259+Y265+Y278,"0")</f>
        <v>1358</v>
      </c>
      <c r="Z284" s="37"/>
      <c r="AA284" s="281"/>
      <c r="AB284" s="281"/>
      <c r="AC284" s="281"/>
    </row>
    <row r="285" spans="1:68" ht="14.25" hidden="1" customHeight="1" x14ac:dyDescent="0.2">
      <c r="A285" s="288"/>
      <c r="B285" s="288"/>
      <c r="C285" s="288"/>
      <c r="D285" s="288"/>
      <c r="E285" s="288"/>
      <c r="F285" s="288"/>
      <c r="G285" s="288"/>
      <c r="H285" s="288"/>
      <c r="I285" s="288"/>
      <c r="J285" s="288"/>
      <c r="K285" s="288"/>
      <c r="L285" s="288"/>
      <c r="M285" s="288"/>
      <c r="N285" s="288"/>
      <c r="O285" s="314"/>
      <c r="P285" s="350" t="s">
        <v>390</v>
      </c>
      <c r="Q285" s="309"/>
      <c r="R285" s="309"/>
      <c r="S285" s="309"/>
      <c r="T285" s="309"/>
      <c r="U285" s="309"/>
      <c r="V285" s="310"/>
      <c r="W285" s="39" t="s">
        <v>391</v>
      </c>
      <c r="X285" s="37"/>
      <c r="Y285" s="37"/>
      <c r="Z285" s="37">
        <f>IFERROR(Z30+Z34+Z40+Z47+Z53+Z61+Z70+Z76+Z81+Z87+Z97+Z103+Z114+Z118+Z122+Z127+Z134+Z140+Z146+Z152+Z158+Z163+Z168+Z173+Z179+Z183+Z189+Z194+Z203+Z209+Z215+Z221+Z226+Z232+Z238+Z242+Z248+Z252+Z259+Z265+Z278,"0")</f>
        <v>19.466739999999998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392</v>
      </c>
      <c r="B287" s="282" t="s">
        <v>60</v>
      </c>
      <c r="C287" s="330"/>
      <c r="D287" s="282" t="s">
        <v>99</v>
      </c>
      <c r="E287" s="349"/>
      <c r="F287" s="349"/>
      <c r="G287" s="349"/>
      <c r="H287" s="349"/>
      <c r="I287" s="349"/>
      <c r="J287" s="349"/>
      <c r="K287" s="349"/>
      <c r="L287" s="349"/>
      <c r="M287" s="349"/>
      <c r="N287" s="349"/>
      <c r="O287" s="349"/>
      <c r="P287" s="349"/>
      <c r="Q287" s="349"/>
      <c r="R287" s="349"/>
      <c r="S287" s="349"/>
      <c r="T287" s="349"/>
      <c r="U287" s="330"/>
      <c r="V287" s="282" t="s">
        <v>261</v>
      </c>
      <c r="W287" s="349"/>
      <c r="X287" s="330"/>
      <c r="Y287" s="275" t="s">
        <v>279</v>
      </c>
      <c r="Z287" s="282" t="s">
        <v>293</v>
      </c>
      <c r="AA287" s="349"/>
      <c r="AB287" s="330"/>
      <c r="AC287" s="275" t="s">
        <v>318</v>
      </c>
      <c r="AD287" s="275" t="s">
        <v>323</v>
      </c>
      <c r="AE287" s="275" t="s">
        <v>331</v>
      </c>
      <c r="AF287" s="275" t="s">
        <v>262</v>
      </c>
    </row>
    <row r="288" spans="1:68" ht="14.25" customHeight="1" thickTop="1" x14ac:dyDescent="0.2">
      <c r="A288" s="353" t="s">
        <v>393</v>
      </c>
      <c r="B288" s="282" t="s">
        <v>60</v>
      </c>
      <c r="C288" s="282" t="s">
        <v>93</v>
      </c>
      <c r="D288" s="282" t="s">
        <v>100</v>
      </c>
      <c r="E288" s="282" t="s">
        <v>111</v>
      </c>
      <c r="F288" s="282" t="s">
        <v>118</v>
      </c>
      <c r="G288" s="282" t="s">
        <v>129</v>
      </c>
      <c r="H288" s="282" t="s">
        <v>144</v>
      </c>
      <c r="I288" s="282" t="s">
        <v>151</v>
      </c>
      <c r="J288" s="282" t="s">
        <v>156</v>
      </c>
      <c r="K288" s="282" t="s">
        <v>164</v>
      </c>
      <c r="L288" s="282" t="s">
        <v>179</v>
      </c>
      <c r="M288" s="282" t="s">
        <v>186</v>
      </c>
      <c r="N288" s="276"/>
      <c r="O288" s="282" t="s">
        <v>212</v>
      </c>
      <c r="P288" s="282" t="s">
        <v>233</v>
      </c>
      <c r="Q288" s="282" t="s">
        <v>239</v>
      </c>
      <c r="R288" s="282" t="s">
        <v>245</v>
      </c>
      <c r="S288" s="282" t="s">
        <v>251</v>
      </c>
      <c r="T288" s="282" t="s">
        <v>254</v>
      </c>
      <c r="U288" s="282" t="s">
        <v>258</v>
      </c>
      <c r="V288" s="282" t="s">
        <v>262</v>
      </c>
      <c r="W288" s="282" t="s">
        <v>269</v>
      </c>
      <c r="X288" s="282" t="s">
        <v>276</v>
      </c>
      <c r="Y288" s="282" t="s">
        <v>280</v>
      </c>
      <c r="Z288" s="282" t="s">
        <v>294</v>
      </c>
      <c r="AA288" s="282" t="s">
        <v>307</v>
      </c>
      <c r="AB288" s="282" t="s">
        <v>314</v>
      </c>
      <c r="AC288" s="282" t="s">
        <v>319</v>
      </c>
      <c r="AD288" s="282" t="s">
        <v>324</v>
      </c>
      <c r="AE288" s="282" t="s">
        <v>331</v>
      </c>
      <c r="AF288" s="282" t="s">
        <v>262</v>
      </c>
    </row>
    <row r="289" spans="1:32" ht="13.5" customHeight="1" thickBot="1" x14ac:dyDescent="0.25">
      <c r="A289" s="354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76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</row>
    <row r="290" spans="1:32" ht="18" customHeight="1" thickTop="1" thickBot="1" x14ac:dyDescent="0.25">
      <c r="A290" s="40" t="s">
        <v>394</v>
      </c>
      <c r="B290" s="46">
        <f>IFERROR(X22*H22,"0")+IFERROR(X23*H23,"0")+IFERROR(X24*H24,"0")+IFERROR(X25*H25,"0")+IFERROR(X26*H26,"0")+IFERROR(X27*H27,"0")+IFERROR(X28*H28,"0")+IFERROR(X29*H29,"0")+IFERROR(X33*H33,"0")</f>
        <v>556.79999999999995</v>
      </c>
      <c r="C290" s="46">
        <f>IFERROR(X38*H38,"0")+IFERROR(X39*H39,"0")</f>
        <v>0</v>
      </c>
      <c r="D290" s="46">
        <f>IFERROR(X45*H45,"0")+IFERROR(X46*H46,"0")</f>
        <v>126</v>
      </c>
      <c r="E290" s="46">
        <f>IFERROR(X51*H51,"0")+IFERROR(X52*H52,"0")</f>
        <v>403.19999999999993</v>
      </c>
      <c r="F290" s="46">
        <f>IFERROR(X57*H57,"0")+IFERROR(X58*H58,"0")+IFERROR(X59*H59,"0")+IFERROR(X60*H60,"0")</f>
        <v>672</v>
      </c>
      <c r="G290" s="46">
        <f>IFERROR(X65*H65,"0")+IFERROR(X66*H66,"0")+IFERROR(X67*H67,"0")+IFERROR(X68*H68,"0")+IFERROR(X69*H69,"0")</f>
        <v>16.8</v>
      </c>
      <c r="H290" s="46">
        <f>IFERROR(X74*H74,"0")+IFERROR(X75*H75,"0")</f>
        <v>180</v>
      </c>
      <c r="I290" s="46">
        <f>IFERROR(X80*H80,"0")</f>
        <v>50.4</v>
      </c>
      <c r="J290" s="46">
        <f>IFERROR(X85*H85,"0")+IFERROR(X86*H86,"0")</f>
        <v>151.20000000000002</v>
      </c>
      <c r="K290" s="46">
        <f>IFERROR(X91*H91,"0")+IFERROR(X92*H92,"0")+IFERROR(X93*H93,"0")+IFERROR(X94*H94,"0")+IFERROR(X95*H95,"0")+IFERROR(X96*H96,"0")</f>
        <v>134.4</v>
      </c>
      <c r="L290" s="46">
        <f>IFERROR(X101*H101,"0")+IFERROR(X102*H102,"0")</f>
        <v>0</v>
      </c>
      <c r="M290" s="46">
        <f>IFERROR(X107*H107,"0")+IFERROR(X108*H108,"0")+IFERROR(X109*H109,"0")+IFERROR(X110*H110,"0")+IFERROR(X111*H111,"0")+IFERROR(X112*H112,"0")+IFERROR(X113*H113,"0")+IFERROR(X117*H117,"0")+IFERROR(X121*H121,"0")</f>
        <v>1384.8</v>
      </c>
      <c r="N290" s="276"/>
      <c r="O290" s="46">
        <f>IFERROR(X126*H126,"0")+IFERROR(X130*H130,"0")+IFERROR(X131*H131,"0")+IFERROR(X132*H132,"0")+IFERROR(X133*H133,"0")+IFERROR(X137*H137,"0")+IFERROR(X138*H138,"0")+IFERROR(X139*H139,"0")</f>
        <v>230.15999999999997</v>
      </c>
      <c r="P290" s="46">
        <f>IFERROR(X144*H144,"0")+IFERROR(X145*H145,"0")</f>
        <v>252</v>
      </c>
      <c r="Q290" s="46">
        <f>IFERROR(X150*H150,"0")+IFERROR(X151*H151,"0")</f>
        <v>0</v>
      </c>
      <c r="R290" s="46">
        <f>IFERROR(X156*H156,"0")+IFERROR(X157*H157,"0")</f>
        <v>0</v>
      </c>
      <c r="S290" s="46">
        <f>IFERROR(X162*H162,"0")</f>
        <v>42</v>
      </c>
      <c r="T290" s="46">
        <f>IFERROR(X167*H167,"0")</f>
        <v>0</v>
      </c>
      <c r="U290" s="46">
        <f>IFERROR(X172*H172,"0")</f>
        <v>0</v>
      </c>
      <c r="V290" s="46">
        <f>IFERROR(X178*H178,"0")+IFERROR(X182*H182,"0")</f>
        <v>144</v>
      </c>
      <c r="W290" s="46">
        <f>IFERROR(X187*H187,"0")+IFERROR(X188*H188,"0")</f>
        <v>0</v>
      </c>
      <c r="X290" s="46">
        <f>IFERROR(X193*H193,"0")</f>
        <v>420</v>
      </c>
      <c r="Y290" s="46">
        <f>IFERROR(X199*H199,"0")+IFERROR(X200*H200,"0")+IFERROR(X201*H201,"0")+IFERROR(X202*H202,"0")</f>
        <v>413.28</v>
      </c>
      <c r="Z290" s="46">
        <f>IFERROR(X208*H208,"0")+IFERROR(X212*H212,"0")+IFERROR(X213*H213,"0")+IFERROR(X214*H214,"0")</f>
        <v>0</v>
      </c>
      <c r="AA290" s="46">
        <f>IFERROR(X219*H219,"0")+IFERROR(X220*H220,"0")</f>
        <v>0</v>
      </c>
      <c r="AB290" s="46">
        <f>IFERROR(X225*H225,"0")</f>
        <v>180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IFERROR(X247*H247,"0")+IFERROR(X251*H251,"0")</f>
        <v>0</v>
      </c>
      <c r="AF290" s="46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487.20000000000005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395</v>
      </c>
      <c r="B292" s="58" t="s">
        <v>396</v>
      </c>
      <c r="C292" s="58" t="s">
        <v>397</v>
      </c>
    </row>
    <row r="293" spans="1:32" x14ac:dyDescent="0.2">
      <c r="A293" s="59">
        <f>SUMPRODUCT(--(BB:BB="ЗПФ"),--(W:W="кор"),H:H,Y:Y)+SUMPRODUCT(--(BB:BB="ЗПФ"),--(W:W="кг"),Y:Y)</f>
        <v>4048.8</v>
      </c>
      <c r="B293" s="60">
        <f>SUMPRODUCT(--(BB:BB="ПГП"),--(W:W="кор"),H:H,Y:Y)+SUMPRODUCT(--(BB:BB="ПГП"),--(W:W="кг"),Y:Y)</f>
        <v>1795.44</v>
      </c>
      <c r="C293" s="60">
        <f>SUMPRODUCT(--(BB:BB="КИЗ"),--(W:W="кор"),H:H,Y:Y)+SUMPRODUCT(--(BB:BB="КИЗ"),--(W:W="кг"),Y:Y)</f>
        <v>0</v>
      </c>
    </row>
  </sheetData>
  <sheetProtection algorithmName="SHA-512" hashValue="zElYoTSDOUyNMSmCZmLX5uatS3wubCkPt4WwgtIS/bzwLtEy4/l4Cp0hciWEyHtzSwlrMNtP2uFCxqV1RAzRgQ==" saltValue="KdV7Ksu8lFWvRy7UrUeY5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58,00"/>
        <filter val="1 384,80"/>
        <filter val="12,00"/>
        <filter val="126,00"/>
        <filter val="134,40"/>
        <filter val="14,00"/>
        <filter val="140,00"/>
        <filter val="144,00"/>
        <filter val="151,20"/>
        <filter val="16"/>
        <filter val="16,80"/>
        <filter val="168,00"/>
        <filter val="180,00"/>
        <filter val="204,00"/>
        <filter val="230,16"/>
        <filter val="24,00"/>
        <filter val="252,00"/>
        <filter val="28,00"/>
        <filter val="36,00"/>
        <filter val="403,20"/>
        <filter val="412,80"/>
        <filter val="413,28"/>
        <filter val="42,00"/>
        <filter val="420,00"/>
        <filter val="48,00"/>
        <filter val="5 844,24"/>
        <filter val="50,40"/>
        <filter val="56,00"/>
        <filter val="6 360,81"/>
        <filter val="6 760,81"/>
        <filter val="60,00"/>
        <filter val="672,00"/>
        <filter val="70,00"/>
        <filter val="72,00"/>
        <filter val="84,00"/>
        <filter val="96,00"/>
      </filters>
    </filterColumn>
    <filterColumn colId="29" showButton="0"/>
    <filterColumn colId="30" showButton="0"/>
  </autoFilter>
  <mergeCells count="509">
    <mergeCell ref="P285:V285"/>
    <mergeCell ref="P25:T25"/>
    <mergeCell ref="A215:O216"/>
    <mergeCell ref="P85:T85"/>
    <mergeCell ref="P60:T60"/>
    <mergeCell ref="D95:E95"/>
    <mergeCell ref="U17:V17"/>
    <mergeCell ref="P281:V281"/>
    <mergeCell ref="D276:E276"/>
    <mergeCell ref="A280:O285"/>
    <mergeCell ref="P103:V103"/>
    <mergeCell ref="A155:Z155"/>
    <mergeCell ref="P134:V134"/>
    <mergeCell ref="P97:V97"/>
    <mergeCell ref="P265:V265"/>
    <mergeCell ref="D277:E277"/>
    <mergeCell ref="A252:O253"/>
    <mergeCell ref="A244:Z244"/>
    <mergeCell ref="P112:T112"/>
    <mergeCell ref="D58:E58"/>
    <mergeCell ref="A116:Z116"/>
    <mergeCell ref="D231:E231"/>
    <mergeCell ref="P70:V70"/>
    <mergeCell ref="P202:T202"/>
    <mergeCell ref="X17:X18"/>
    <mergeCell ref="A163:O164"/>
    <mergeCell ref="P58:T58"/>
    <mergeCell ref="D110:E110"/>
    <mergeCell ref="P216:V216"/>
    <mergeCell ref="P288:P289"/>
    <mergeCell ref="F17:F18"/>
    <mergeCell ref="D107:E107"/>
    <mergeCell ref="P65:T65"/>
    <mergeCell ref="P263:T263"/>
    <mergeCell ref="Q6:R6"/>
    <mergeCell ref="A267:Z267"/>
    <mergeCell ref="P200:T200"/>
    <mergeCell ref="A118:O119"/>
    <mergeCell ref="A189:O190"/>
    <mergeCell ref="D102:E102"/>
    <mergeCell ref="P81:V81"/>
    <mergeCell ref="D25:E25"/>
    <mergeCell ref="Z287:AB287"/>
    <mergeCell ref="D133:E133"/>
    <mergeCell ref="P210:V210"/>
    <mergeCell ref="A206:Z206"/>
    <mergeCell ref="P283:V283"/>
    <mergeCell ref="D271:E271"/>
    <mergeCell ref="V12:W12"/>
    <mergeCell ref="D262:E262"/>
    <mergeCell ref="P122:V122"/>
    <mergeCell ref="A265:O266"/>
    <mergeCell ref="A245:Z245"/>
    <mergeCell ref="AD17:AF18"/>
    <mergeCell ref="D101:E101"/>
    <mergeCell ref="F5:G5"/>
    <mergeCell ref="E288:E289"/>
    <mergeCell ref="G288:G289"/>
    <mergeCell ref="P169:V169"/>
    <mergeCell ref="P67:T67"/>
    <mergeCell ref="P119:V119"/>
    <mergeCell ref="A236:Z236"/>
    <mergeCell ref="A223:Z223"/>
    <mergeCell ref="V11:W11"/>
    <mergeCell ref="P57:T57"/>
    <mergeCell ref="P75:T75"/>
    <mergeCell ref="A254:Z254"/>
    <mergeCell ref="P121:T121"/>
    <mergeCell ref="D29:E29"/>
    <mergeCell ref="D23:E23"/>
    <mergeCell ref="Z288:Z289"/>
    <mergeCell ref="P195:V195"/>
    <mergeCell ref="AB288:AB289"/>
    <mergeCell ref="A194:O195"/>
    <mergeCell ref="A134:O135"/>
    <mergeCell ref="A125:Z125"/>
    <mergeCell ref="A20:Z20"/>
    <mergeCell ref="P2:W3"/>
    <mergeCell ref="P133:T133"/>
    <mergeCell ref="D241:E241"/>
    <mergeCell ref="A43:Z43"/>
    <mergeCell ref="A170:Z170"/>
    <mergeCell ref="D10:E10"/>
    <mergeCell ref="F10:G10"/>
    <mergeCell ref="D270:E270"/>
    <mergeCell ref="P110:T110"/>
    <mergeCell ref="D247:E247"/>
    <mergeCell ref="P53:V53"/>
    <mergeCell ref="A176:Z176"/>
    <mergeCell ref="P239:V239"/>
    <mergeCell ref="A64:Z64"/>
    <mergeCell ref="A191:Z191"/>
    <mergeCell ref="P262:T262"/>
    <mergeCell ref="N17:N18"/>
    <mergeCell ref="Q5:R5"/>
    <mergeCell ref="P199:T199"/>
    <mergeCell ref="D237:E237"/>
    <mergeCell ref="P247:T247"/>
    <mergeCell ref="P241:T241"/>
    <mergeCell ref="A9:C9"/>
    <mergeCell ref="D202:E202"/>
    <mergeCell ref="AA288:AA289"/>
    <mergeCell ref="D22:E22"/>
    <mergeCell ref="AC288:AC289"/>
    <mergeCell ref="A127:O128"/>
    <mergeCell ref="P178:T178"/>
    <mergeCell ref="P276:T276"/>
    <mergeCell ref="D257:E257"/>
    <mergeCell ref="P270:T270"/>
    <mergeCell ref="P214:T214"/>
    <mergeCell ref="D213:E213"/>
    <mergeCell ref="D86:E86"/>
    <mergeCell ref="D151:E151"/>
    <mergeCell ref="P284:V284"/>
    <mergeCell ref="D150:E150"/>
    <mergeCell ref="P107:T107"/>
    <mergeCell ref="P101:T101"/>
    <mergeCell ref="P194:V194"/>
    <mergeCell ref="A246:Z246"/>
    <mergeCell ref="A103:O104"/>
    <mergeCell ref="A168:O169"/>
    <mergeCell ref="P174:V174"/>
    <mergeCell ref="A175:Z175"/>
    <mergeCell ref="D225:E225"/>
    <mergeCell ref="D200:E200"/>
    <mergeCell ref="A15:M15"/>
    <mergeCell ref="A61:O62"/>
    <mergeCell ref="D201:E201"/>
    <mergeCell ref="D68:E68"/>
    <mergeCell ref="D188:E188"/>
    <mergeCell ref="P61:V61"/>
    <mergeCell ref="P48:V48"/>
    <mergeCell ref="A100:Z100"/>
    <mergeCell ref="A171:Z171"/>
    <mergeCell ref="Y17:Y18"/>
    <mergeCell ref="D57:E57"/>
    <mergeCell ref="P163:V163"/>
    <mergeCell ref="P151:T151"/>
    <mergeCell ref="P76:V76"/>
    <mergeCell ref="P126:T126"/>
    <mergeCell ref="P140:V140"/>
    <mergeCell ref="A136:Z136"/>
    <mergeCell ref="A192:Z192"/>
    <mergeCell ref="A21:Z21"/>
    <mergeCell ref="A129:Z129"/>
    <mergeCell ref="D121:E121"/>
    <mergeCell ref="A181:Z181"/>
    <mergeCell ref="D17:E18"/>
    <mergeCell ref="A106:Z106"/>
    <mergeCell ref="H5:M5"/>
    <mergeCell ref="A56:Z56"/>
    <mergeCell ref="P31:V31"/>
    <mergeCell ref="S288:S289"/>
    <mergeCell ref="A154:Z154"/>
    <mergeCell ref="P158:V158"/>
    <mergeCell ref="U288:U289"/>
    <mergeCell ref="K288:K289"/>
    <mergeCell ref="P225:T225"/>
    <mergeCell ref="D212:E212"/>
    <mergeCell ref="D6:M6"/>
    <mergeCell ref="P266:V266"/>
    <mergeCell ref="P162:T162"/>
    <mergeCell ref="P33:T33"/>
    <mergeCell ref="P93:T93"/>
    <mergeCell ref="D85:E85"/>
    <mergeCell ref="P269:T269"/>
    <mergeCell ref="A230:Z230"/>
    <mergeCell ref="G17:G18"/>
    <mergeCell ref="A81:O82"/>
    <mergeCell ref="P184:V184"/>
    <mergeCell ref="A152:O153"/>
    <mergeCell ref="R288:R289"/>
    <mergeCell ref="D51:E51"/>
    <mergeCell ref="AA17:AA18"/>
    <mergeCell ref="H10:M10"/>
    <mergeCell ref="AC17:AC18"/>
    <mergeCell ref="P108:T108"/>
    <mergeCell ref="A224:Z224"/>
    <mergeCell ref="P209:V209"/>
    <mergeCell ref="A72:Z72"/>
    <mergeCell ref="P147:V147"/>
    <mergeCell ref="P251:T251"/>
    <mergeCell ref="P45:T45"/>
    <mergeCell ref="D199:E199"/>
    <mergeCell ref="P38:T38"/>
    <mergeCell ref="P109:T109"/>
    <mergeCell ref="A226:O227"/>
    <mergeCell ref="P193:T193"/>
    <mergeCell ref="D65:E65"/>
    <mergeCell ref="P22:T22"/>
    <mergeCell ref="P54:V54"/>
    <mergeCell ref="P80:T80"/>
    <mergeCell ref="Z17:Z18"/>
    <mergeCell ref="P173:V173"/>
    <mergeCell ref="AB17:AB18"/>
    <mergeCell ref="A143:Z143"/>
    <mergeCell ref="P242:V242"/>
    <mergeCell ref="T288:T289"/>
    <mergeCell ref="P249:V249"/>
    <mergeCell ref="P221:V221"/>
    <mergeCell ref="D138:E138"/>
    <mergeCell ref="P215:V215"/>
    <mergeCell ref="A211:Z211"/>
    <mergeCell ref="D287:U287"/>
    <mergeCell ref="A186:Z186"/>
    <mergeCell ref="P152:V152"/>
    <mergeCell ref="D269:E269"/>
    <mergeCell ref="A221:O222"/>
    <mergeCell ref="D273:E273"/>
    <mergeCell ref="P156:T156"/>
    <mergeCell ref="P252:V252"/>
    <mergeCell ref="A160:Z160"/>
    <mergeCell ref="P212:T212"/>
    <mergeCell ref="P274:T274"/>
    <mergeCell ref="P257:T257"/>
    <mergeCell ref="A196:Z196"/>
    <mergeCell ref="A256:Z256"/>
    <mergeCell ref="A232:O233"/>
    <mergeCell ref="A198:Z198"/>
    <mergeCell ref="A207:Z207"/>
    <mergeCell ref="D288:D289"/>
    <mergeCell ref="D39:E39"/>
    <mergeCell ref="V6:W9"/>
    <mergeCell ref="D80:E80"/>
    <mergeCell ref="P188:T188"/>
    <mergeCell ref="P123:V123"/>
    <mergeCell ref="P59:T59"/>
    <mergeCell ref="P130:T130"/>
    <mergeCell ref="P46:T46"/>
    <mergeCell ref="A114:O115"/>
    <mergeCell ref="P111:T111"/>
    <mergeCell ref="T6:U9"/>
    <mergeCell ref="A30:O31"/>
    <mergeCell ref="Q10:R10"/>
    <mergeCell ref="A37:Z37"/>
    <mergeCell ref="D137:E137"/>
    <mergeCell ref="D74:E74"/>
    <mergeCell ref="D130:E130"/>
    <mergeCell ref="Q13:R13"/>
    <mergeCell ref="P139:T139"/>
    <mergeCell ref="P47:V47"/>
    <mergeCell ref="M17:M18"/>
    <mergeCell ref="O17:O18"/>
    <mergeCell ref="P102:T102"/>
    <mergeCell ref="A185:Z185"/>
    <mergeCell ref="I288:I289"/>
    <mergeCell ref="P24:T24"/>
    <mergeCell ref="D132:E132"/>
    <mergeCell ref="D59:E59"/>
    <mergeCell ref="A63:Z63"/>
    <mergeCell ref="D178:E178"/>
    <mergeCell ref="D172:E172"/>
    <mergeCell ref="P51:T51"/>
    <mergeCell ref="P26:T26"/>
    <mergeCell ref="A261:Z261"/>
    <mergeCell ref="P227:V227"/>
    <mergeCell ref="P277:T277"/>
    <mergeCell ref="D93:E93"/>
    <mergeCell ref="J288:J289"/>
    <mergeCell ref="X288:X289"/>
    <mergeCell ref="D272:E272"/>
    <mergeCell ref="P39:T39"/>
    <mergeCell ref="A89:Z89"/>
    <mergeCell ref="D274:E274"/>
    <mergeCell ref="A105:Z105"/>
    <mergeCell ref="P268:T268"/>
    <mergeCell ref="P190:V190"/>
    <mergeCell ref="P282:V282"/>
    <mergeCell ref="A234:Z234"/>
    <mergeCell ref="AE288:AE289"/>
    <mergeCell ref="D220:E220"/>
    <mergeCell ref="A42:Z42"/>
    <mergeCell ref="D157:E157"/>
    <mergeCell ref="D251:E251"/>
    <mergeCell ref="A12:M12"/>
    <mergeCell ref="A240:Z240"/>
    <mergeCell ref="P74:T74"/>
    <mergeCell ref="P243:V243"/>
    <mergeCell ref="A19:Z19"/>
    <mergeCell ref="D182:E182"/>
    <mergeCell ref="A14:M14"/>
    <mergeCell ref="D109:E109"/>
    <mergeCell ref="P138:T138"/>
    <mergeCell ref="D46:E46"/>
    <mergeCell ref="D111:E111"/>
    <mergeCell ref="A34:O35"/>
    <mergeCell ref="A142:Z142"/>
    <mergeCell ref="P69:T69"/>
    <mergeCell ref="D219:E219"/>
    <mergeCell ref="D275:E275"/>
    <mergeCell ref="L288:L289"/>
    <mergeCell ref="AD288:AD289"/>
    <mergeCell ref="P167:T167"/>
    <mergeCell ref="AF288:AF289"/>
    <mergeCell ref="A161:Z161"/>
    <mergeCell ref="D26:E26"/>
    <mergeCell ref="A259:O260"/>
    <mergeCell ref="P117:T117"/>
    <mergeCell ref="P182:T182"/>
    <mergeCell ref="A203:O204"/>
    <mergeCell ref="P183:V183"/>
    <mergeCell ref="P62:V62"/>
    <mergeCell ref="P127:V127"/>
    <mergeCell ref="A250:Z250"/>
    <mergeCell ref="P135:V135"/>
    <mergeCell ref="P128:V128"/>
    <mergeCell ref="M288:M289"/>
    <mergeCell ref="P66:T66"/>
    <mergeCell ref="P137:T137"/>
    <mergeCell ref="A183:O184"/>
    <mergeCell ref="D167:E167"/>
    <mergeCell ref="A248:O249"/>
    <mergeCell ref="P238:V238"/>
    <mergeCell ref="P264:T264"/>
    <mergeCell ref="P68:T68"/>
    <mergeCell ref="B288:B289"/>
    <mergeCell ref="P34:V34"/>
    <mergeCell ref="P253:V253"/>
    <mergeCell ref="P204:V204"/>
    <mergeCell ref="P82:V82"/>
    <mergeCell ref="P132:T132"/>
    <mergeCell ref="A122:O123"/>
    <mergeCell ref="A44:Z44"/>
    <mergeCell ref="P146:V146"/>
    <mergeCell ref="P273:T273"/>
    <mergeCell ref="D145:E145"/>
    <mergeCell ref="A218:Z218"/>
    <mergeCell ref="D112:E112"/>
    <mergeCell ref="D193:E193"/>
    <mergeCell ref="P201:T201"/>
    <mergeCell ref="A235:Z235"/>
    <mergeCell ref="P189:V189"/>
    <mergeCell ref="A90:Z90"/>
    <mergeCell ref="P96:T96"/>
    <mergeCell ref="P104:V104"/>
    <mergeCell ref="D75:E75"/>
    <mergeCell ref="P91:T91"/>
    <mergeCell ref="D268:E268"/>
    <mergeCell ref="A255:Z255"/>
    <mergeCell ref="A217:Z217"/>
    <mergeCell ref="A242:O243"/>
    <mergeCell ref="A288:A289"/>
    <mergeCell ref="D5:E5"/>
    <mergeCell ref="C288:C289"/>
    <mergeCell ref="A238:O239"/>
    <mergeCell ref="D94:E94"/>
    <mergeCell ref="P98:V98"/>
    <mergeCell ref="A278:O279"/>
    <mergeCell ref="D69:E69"/>
    <mergeCell ref="A47:O48"/>
    <mergeCell ref="P226:V226"/>
    <mergeCell ref="P164:V164"/>
    <mergeCell ref="V288:V289"/>
    <mergeCell ref="P35:V35"/>
    <mergeCell ref="J17:J18"/>
    <mergeCell ref="L17:L18"/>
    <mergeCell ref="P17:T18"/>
    <mergeCell ref="P131:T131"/>
    <mergeCell ref="P187:T187"/>
    <mergeCell ref="Q9:R9"/>
    <mergeCell ref="A32:Z32"/>
    <mergeCell ref="P278:V278"/>
    <mergeCell ref="D24:E24"/>
    <mergeCell ref="Q11:R11"/>
    <mergeCell ref="A6:C6"/>
    <mergeCell ref="V287:X287"/>
    <mergeCell ref="I17:I18"/>
    <mergeCell ref="P114:V114"/>
    <mergeCell ref="W288:W289"/>
    <mergeCell ref="W17:W18"/>
    <mergeCell ref="Y288:Y289"/>
    <mergeCell ref="F288:F289"/>
    <mergeCell ref="H288:H289"/>
    <mergeCell ref="P279:V279"/>
    <mergeCell ref="P280:V280"/>
    <mergeCell ref="P275:T275"/>
    <mergeCell ref="A73:Z73"/>
    <mergeCell ref="D131:E131"/>
    <mergeCell ref="D258:E258"/>
    <mergeCell ref="A197:Z197"/>
    <mergeCell ref="A50:Z50"/>
    <mergeCell ref="P40:V40"/>
    <mergeCell ref="D28:E28"/>
    <mergeCell ref="D52:E52"/>
    <mergeCell ref="A40:O41"/>
    <mergeCell ref="D27:E27"/>
    <mergeCell ref="A165:Z165"/>
    <mergeCell ref="P113:T113"/>
    <mergeCell ref="A229:Z229"/>
    <mergeCell ref="P271:T271"/>
    <mergeCell ref="P94:T94"/>
    <mergeCell ref="D208:E208"/>
    <mergeCell ref="D8:M8"/>
    <mergeCell ref="P237:T237"/>
    <mergeCell ref="P180:V180"/>
    <mergeCell ref="D139:E139"/>
    <mergeCell ref="P118:V118"/>
    <mergeCell ref="A228:Z228"/>
    <mergeCell ref="P95:T95"/>
    <mergeCell ref="A99:Z99"/>
    <mergeCell ref="P179:V179"/>
    <mergeCell ref="P141:V141"/>
    <mergeCell ref="A140:O141"/>
    <mergeCell ref="P233:V233"/>
    <mergeCell ref="P168:V168"/>
    <mergeCell ref="B17:B18"/>
    <mergeCell ref="P248:V248"/>
    <mergeCell ref="D108:E108"/>
    <mergeCell ref="P258:T258"/>
    <mergeCell ref="P52:T52"/>
    <mergeCell ref="A148:Z148"/>
    <mergeCell ref="A53:O54"/>
    <mergeCell ref="A166:Z166"/>
    <mergeCell ref="A120:Z120"/>
    <mergeCell ref="D96:E96"/>
    <mergeCell ref="P208:T208"/>
    <mergeCell ref="A177:Z177"/>
    <mergeCell ref="P219:T219"/>
    <mergeCell ref="D91:E91"/>
    <mergeCell ref="D162:E162"/>
    <mergeCell ref="D7:M7"/>
    <mergeCell ref="P92:T92"/>
    <mergeCell ref="D144:E144"/>
    <mergeCell ref="A209:O210"/>
    <mergeCell ref="P29:T29"/>
    <mergeCell ref="A97:O98"/>
    <mergeCell ref="D113:E113"/>
    <mergeCell ref="Q12:R12"/>
    <mergeCell ref="A17:A18"/>
    <mergeCell ref="K17:K18"/>
    <mergeCell ref="C17:C18"/>
    <mergeCell ref="D9:E9"/>
    <mergeCell ref="F9:G9"/>
    <mergeCell ref="D38:E38"/>
    <mergeCell ref="J9:M9"/>
    <mergeCell ref="P30:V30"/>
    <mergeCell ref="H17:H18"/>
    <mergeCell ref="P172:T172"/>
    <mergeCell ref="A158:O159"/>
    <mergeCell ref="P150:T150"/>
    <mergeCell ref="P28:T28"/>
    <mergeCell ref="D187:E187"/>
    <mergeCell ref="P144:T144"/>
    <mergeCell ref="P231:T231"/>
    <mergeCell ref="B287:C287"/>
    <mergeCell ref="A173:O174"/>
    <mergeCell ref="A124:Z124"/>
    <mergeCell ref="P145:T145"/>
    <mergeCell ref="D66:E66"/>
    <mergeCell ref="D126:E126"/>
    <mergeCell ref="P232:V232"/>
    <mergeCell ref="A84:Z84"/>
    <mergeCell ref="P159:V159"/>
    <mergeCell ref="A149:Z149"/>
    <mergeCell ref="D214:E214"/>
    <mergeCell ref="P222:V222"/>
    <mergeCell ref="A179:O180"/>
    <mergeCell ref="D117:E117"/>
    <mergeCell ref="D92:E92"/>
    <mergeCell ref="D67:E67"/>
    <mergeCell ref="P203:V203"/>
    <mergeCell ref="R1:T1"/>
    <mergeCell ref="P115:V115"/>
    <mergeCell ref="P77:V77"/>
    <mergeCell ref="A76:O77"/>
    <mergeCell ref="V10:W10"/>
    <mergeCell ref="H1:Q1"/>
    <mergeCell ref="D1:F1"/>
    <mergeCell ref="A5:C5"/>
    <mergeCell ref="P15:T16"/>
    <mergeCell ref="T5:U5"/>
    <mergeCell ref="V5:W5"/>
    <mergeCell ref="Q8:R8"/>
    <mergeCell ref="P71:V71"/>
    <mergeCell ref="A13:M13"/>
    <mergeCell ref="D33:E33"/>
    <mergeCell ref="A8:C8"/>
    <mergeCell ref="A10:C10"/>
    <mergeCell ref="D60:E60"/>
    <mergeCell ref="P23:T23"/>
    <mergeCell ref="A79:Z79"/>
    <mergeCell ref="A55:Z55"/>
    <mergeCell ref="A87:O88"/>
    <mergeCell ref="P27:T27"/>
    <mergeCell ref="P41:V41"/>
    <mergeCell ref="O288:O289"/>
    <mergeCell ref="Q288:Q289"/>
    <mergeCell ref="P87:V87"/>
    <mergeCell ref="A83:Z83"/>
    <mergeCell ref="H9:I9"/>
    <mergeCell ref="D45:E45"/>
    <mergeCell ref="A49:Z49"/>
    <mergeCell ref="P260:V260"/>
    <mergeCell ref="A36:Z36"/>
    <mergeCell ref="P259:V259"/>
    <mergeCell ref="P88:V88"/>
    <mergeCell ref="A78:Z78"/>
    <mergeCell ref="P153:V153"/>
    <mergeCell ref="A205:Z205"/>
    <mergeCell ref="D263:E263"/>
    <mergeCell ref="P220:T220"/>
    <mergeCell ref="A70:O71"/>
    <mergeCell ref="P86:T86"/>
    <mergeCell ref="P157:T157"/>
    <mergeCell ref="P213:T213"/>
    <mergeCell ref="P272:T272"/>
    <mergeCell ref="D156:E156"/>
    <mergeCell ref="A146:O147"/>
    <mergeCell ref="D264:E264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9:X220 X231 X237 X241 X247 X251 X257:X258 X262:X264 X268: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:X214 X225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tvLsYflxAqvy4q9RLtOn09Ux/6rtAbBRDSQ2H1gSSPvY0iCLF4T+VctxVOOiODyLxXZfqwSFlO/bLE0VEHj18A==" saltValue="GOaTcPq2Y4txgnTGaQDt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