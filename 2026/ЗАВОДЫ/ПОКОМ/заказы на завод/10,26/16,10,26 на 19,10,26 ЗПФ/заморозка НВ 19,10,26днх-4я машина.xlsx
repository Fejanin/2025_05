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9FBC93-0FEF-459A-82D0-859954FADF7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X266" i="1"/>
  <c r="Y265" i="1"/>
  <c r="X265" i="1"/>
  <c r="BO264" i="1"/>
  <c r="BN264" i="1"/>
  <c r="BM264" i="1"/>
  <c r="Z264" i="1"/>
  <c r="Y264" i="1"/>
  <c r="BP264" i="1" s="1"/>
  <c r="BO263" i="1"/>
  <c r="BN263" i="1"/>
  <c r="BM263" i="1"/>
  <c r="Z263" i="1"/>
  <c r="Y263" i="1"/>
  <c r="BP263" i="1" s="1"/>
  <c r="BO262" i="1"/>
  <c r="BN262" i="1"/>
  <c r="BM262" i="1"/>
  <c r="Z262" i="1"/>
  <c r="Y262" i="1"/>
  <c r="Y266" i="1" s="1"/>
  <c r="X260" i="1"/>
  <c r="X259" i="1"/>
  <c r="BO258" i="1"/>
  <c r="BM258" i="1"/>
  <c r="Z258" i="1"/>
  <c r="Z259" i="1" s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Y210" i="1" s="1"/>
  <c r="P208" i="1"/>
  <c r="X204" i="1"/>
  <c r="X203" i="1"/>
  <c r="BO202" i="1"/>
  <c r="BM202" i="1"/>
  <c r="Z202" i="1"/>
  <c r="Y202" i="1"/>
  <c r="P202" i="1"/>
  <c r="BO201" i="1"/>
  <c r="BM201" i="1"/>
  <c r="Z201" i="1"/>
  <c r="Y201" i="1"/>
  <c r="P201" i="1"/>
  <c r="BO200" i="1"/>
  <c r="BM200" i="1"/>
  <c r="Z200" i="1"/>
  <c r="Y200" i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O188" i="1"/>
  <c r="BN188" i="1"/>
  <c r="BM188" i="1"/>
  <c r="Z188" i="1"/>
  <c r="Y188" i="1"/>
  <c r="BP188" i="1" s="1"/>
  <c r="P188" i="1"/>
  <c r="BO187" i="1"/>
  <c r="BM187" i="1"/>
  <c r="Z187" i="1"/>
  <c r="Y187" i="1"/>
  <c r="P187" i="1"/>
  <c r="Y184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Y174" i="1" s="1"/>
  <c r="P172" i="1"/>
  <c r="X169" i="1"/>
  <c r="X168" i="1"/>
  <c r="BO167" i="1"/>
  <c r="BM167" i="1"/>
  <c r="Z167" i="1"/>
  <c r="Z168" i="1" s="1"/>
  <c r="Y167" i="1"/>
  <c r="P167" i="1"/>
  <c r="Y164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N156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Z152" i="1" s="1"/>
  <c r="Y150" i="1"/>
  <c r="Y152" i="1" s="1"/>
  <c r="P150" i="1"/>
  <c r="X147" i="1"/>
  <c r="X146" i="1"/>
  <c r="BO145" i="1"/>
  <c r="BM145" i="1"/>
  <c r="Z145" i="1"/>
  <c r="Y145" i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Z140" i="1" s="1"/>
  <c r="Y138" i="1"/>
  <c r="BP138" i="1" s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P132" i="1"/>
  <c r="BO131" i="1"/>
  <c r="BM131" i="1"/>
  <c r="Z131" i="1"/>
  <c r="Y131" i="1"/>
  <c r="BP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P126" i="1"/>
  <c r="X123" i="1"/>
  <c r="X122" i="1"/>
  <c r="BO121" i="1"/>
  <c r="BM121" i="1"/>
  <c r="Z121" i="1"/>
  <c r="Z122" i="1" s="1"/>
  <c r="Y121" i="1"/>
  <c r="P121" i="1"/>
  <c r="X119" i="1"/>
  <c r="X118" i="1"/>
  <c r="BO117" i="1"/>
  <c r="BM117" i="1"/>
  <c r="Z117" i="1"/>
  <c r="Z118" i="1" s="1"/>
  <c r="Y117" i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P110" i="1" s="1"/>
  <c r="P110" i="1"/>
  <c r="BO109" i="1"/>
  <c r="BN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P101" i="1"/>
  <c r="X98" i="1"/>
  <c r="X97" i="1"/>
  <c r="BO96" i="1"/>
  <c r="BM96" i="1"/>
  <c r="Z96" i="1"/>
  <c r="Y96" i="1"/>
  <c r="BP96" i="1" s="1"/>
  <c r="P96" i="1"/>
  <c r="BP95" i="1"/>
  <c r="BO95" i="1"/>
  <c r="BM95" i="1"/>
  <c r="Z95" i="1"/>
  <c r="Y95" i="1"/>
  <c r="BN95" i="1" s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Z92" i="1"/>
  <c r="Y92" i="1"/>
  <c r="BP92" i="1" s="1"/>
  <c r="P92" i="1"/>
  <c r="BP91" i="1"/>
  <c r="BO91" i="1"/>
  <c r="BN91" i="1"/>
  <c r="BM91" i="1"/>
  <c r="Z91" i="1"/>
  <c r="Y91" i="1"/>
  <c r="P91" i="1"/>
  <c r="X88" i="1"/>
  <c r="X87" i="1"/>
  <c r="BO86" i="1"/>
  <c r="BM86" i="1"/>
  <c r="Z86" i="1"/>
  <c r="Y86" i="1"/>
  <c r="P86" i="1"/>
  <c r="BO85" i="1"/>
  <c r="BM85" i="1"/>
  <c r="Z85" i="1"/>
  <c r="Z87" i="1" s="1"/>
  <c r="Y85" i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O74" i="1"/>
  <c r="BN74" i="1"/>
  <c r="BM74" i="1"/>
  <c r="Z74" i="1"/>
  <c r="Y74" i="1"/>
  <c r="BP74" i="1" s="1"/>
  <c r="P74" i="1"/>
  <c r="X71" i="1"/>
  <c r="X70" i="1"/>
  <c r="BO69" i="1"/>
  <c r="BM69" i="1"/>
  <c r="Z69" i="1"/>
  <c r="Y69" i="1"/>
  <c r="P69" i="1"/>
  <c r="BO68" i="1"/>
  <c r="BM68" i="1"/>
  <c r="Z68" i="1"/>
  <c r="Y68" i="1"/>
  <c r="BP68" i="1" s="1"/>
  <c r="P68" i="1"/>
  <c r="BO67" i="1"/>
  <c r="BM67" i="1"/>
  <c r="Z67" i="1"/>
  <c r="Y67" i="1"/>
  <c r="P67" i="1"/>
  <c r="BO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P60" i="1"/>
  <c r="BO60" i="1"/>
  <c r="BN60" i="1"/>
  <c r="BM60" i="1"/>
  <c r="Z60" i="1"/>
  <c r="Y60" i="1"/>
  <c r="P60" i="1"/>
  <c r="BO59" i="1"/>
  <c r="BM59" i="1"/>
  <c r="Z59" i="1"/>
  <c r="Y59" i="1"/>
  <c r="BP59" i="1" s="1"/>
  <c r="P59" i="1"/>
  <c r="BP58" i="1"/>
  <c r="BO58" i="1"/>
  <c r="BM58" i="1"/>
  <c r="Z58" i="1"/>
  <c r="Y58" i="1"/>
  <c r="BN58" i="1" s="1"/>
  <c r="P58" i="1"/>
  <c r="BO57" i="1"/>
  <c r="BM57" i="1"/>
  <c r="Z57" i="1"/>
  <c r="Y57" i="1"/>
  <c r="Y62" i="1" s="1"/>
  <c r="P57" i="1"/>
  <c r="X54" i="1"/>
  <c r="X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BP156" i="1" l="1"/>
  <c r="Z114" i="1"/>
  <c r="Z265" i="1"/>
  <c r="BP23" i="1"/>
  <c r="BN150" i="1"/>
  <c r="BP262" i="1"/>
  <c r="BN46" i="1"/>
  <c r="BN111" i="1"/>
  <c r="Y140" i="1"/>
  <c r="Z146" i="1"/>
  <c r="BN151" i="1"/>
  <c r="Z103" i="1"/>
  <c r="Y31" i="1"/>
  <c r="BN25" i="1"/>
  <c r="X281" i="1"/>
  <c r="Z97" i="1"/>
  <c r="Z278" i="1"/>
  <c r="BN138" i="1"/>
  <c r="Z158" i="1"/>
  <c r="X280" i="1"/>
  <c r="Y48" i="1"/>
  <c r="Z76" i="1"/>
  <c r="Y35" i="1"/>
  <c r="Y34" i="1"/>
  <c r="BP33" i="1"/>
  <c r="BN33" i="1"/>
  <c r="Y123" i="1"/>
  <c r="Y122" i="1"/>
  <c r="BP121" i="1"/>
  <c r="BN121" i="1"/>
  <c r="Y134" i="1"/>
  <c r="BP130" i="1"/>
  <c r="BN130" i="1"/>
  <c r="BP132" i="1"/>
  <c r="BN132" i="1"/>
  <c r="BP145" i="1"/>
  <c r="BN145" i="1"/>
  <c r="BP199" i="1"/>
  <c r="BN199" i="1"/>
  <c r="BP201" i="1"/>
  <c r="BN201" i="1"/>
  <c r="BP213" i="1"/>
  <c r="BN213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Y259" i="1"/>
  <c r="BP257" i="1"/>
  <c r="BN257" i="1"/>
  <c r="Y260" i="1"/>
  <c r="Y40" i="1"/>
  <c r="BP38" i="1"/>
  <c r="BN38" i="1"/>
  <c r="Y53" i="1"/>
  <c r="BP51" i="1"/>
  <c r="BN51" i="1"/>
  <c r="Y71" i="1"/>
  <c r="BP65" i="1"/>
  <c r="BN65" i="1"/>
  <c r="BP67" i="1"/>
  <c r="BN67" i="1"/>
  <c r="BP69" i="1"/>
  <c r="BN69" i="1"/>
  <c r="BP86" i="1"/>
  <c r="BN86" i="1"/>
  <c r="BP102" i="1"/>
  <c r="BN102" i="1"/>
  <c r="Y119" i="1"/>
  <c r="Y118" i="1"/>
  <c r="BP117" i="1"/>
  <c r="BN117" i="1"/>
  <c r="Y128" i="1"/>
  <c r="Y127" i="1"/>
  <c r="BP126" i="1"/>
  <c r="BN126" i="1"/>
  <c r="Y195" i="1"/>
  <c r="Y194" i="1"/>
  <c r="BP193" i="1"/>
  <c r="BN193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30" i="1"/>
  <c r="X282" i="1"/>
  <c r="X283" i="1" s="1"/>
  <c r="Z40" i="1"/>
  <c r="Z47" i="1"/>
  <c r="Z53" i="1"/>
  <c r="Z61" i="1"/>
  <c r="Z70" i="1"/>
  <c r="Y76" i="1"/>
  <c r="Y88" i="1"/>
  <c r="Y97" i="1"/>
  <c r="Y104" i="1"/>
  <c r="Y115" i="1"/>
  <c r="Z134" i="1"/>
  <c r="Y147" i="1"/>
  <c r="Z203" i="1"/>
  <c r="Z215" i="1"/>
  <c r="Z221" i="1"/>
  <c r="H9" i="1"/>
  <c r="A10" i="1"/>
  <c r="Y30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6" i="1"/>
  <c r="BP157" i="1"/>
  <c r="BN157" i="1"/>
  <c r="Y168" i="1"/>
  <c r="BP167" i="1"/>
  <c r="BN167" i="1"/>
  <c r="Y179" i="1"/>
  <c r="BP178" i="1"/>
  <c r="BN178" i="1"/>
  <c r="Y190" i="1"/>
  <c r="BP187" i="1"/>
  <c r="BN187" i="1"/>
  <c r="Y189" i="1"/>
  <c r="BP200" i="1"/>
  <c r="BN200" i="1"/>
  <c r="BP202" i="1"/>
  <c r="BN202" i="1"/>
  <c r="Y215" i="1"/>
  <c r="BP212" i="1"/>
  <c r="BN212" i="1"/>
  <c r="BP214" i="1"/>
  <c r="BN214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F9" i="1"/>
  <c r="J9" i="1"/>
  <c r="BN22" i="1"/>
  <c r="BP22" i="1"/>
  <c r="BN24" i="1"/>
  <c r="BN26" i="1"/>
  <c r="BN28" i="1"/>
  <c r="X284" i="1"/>
  <c r="BN39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BN144" i="1"/>
  <c r="BP144" i="1"/>
  <c r="Y153" i="1"/>
  <c r="BP150" i="1"/>
  <c r="Y158" i="1"/>
  <c r="Y159" i="1"/>
  <c r="Y163" i="1"/>
  <c r="BP162" i="1"/>
  <c r="BN162" i="1"/>
  <c r="Y169" i="1"/>
  <c r="Y173" i="1"/>
  <c r="BP172" i="1"/>
  <c r="BN172" i="1"/>
  <c r="Y180" i="1"/>
  <c r="Y183" i="1"/>
  <c r="BP182" i="1"/>
  <c r="BN182" i="1"/>
  <c r="Z189" i="1"/>
  <c r="Y203" i="1"/>
  <c r="Y204" i="1"/>
  <c r="Y209" i="1"/>
  <c r="BP208" i="1"/>
  <c r="BN208" i="1"/>
  <c r="Y216" i="1"/>
  <c r="Y222" i="1"/>
  <c r="BP219" i="1"/>
  <c r="BN219" i="1"/>
  <c r="Y221" i="1"/>
  <c r="BP258" i="1"/>
  <c r="BN258" i="1"/>
  <c r="Y279" i="1"/>
  <c r="Z285" i="1" l="1"/>
  <c r="Y280" i="1"/>
  <c r="Y281" i="1"/>
  <c r="Y282" i="1"/>
  <c r="Y284" i="1"/>
  <c r="Y283" i="1" l="1"/>
  <c r="C293" i="1" s="1"/>
  <c r="B293" i="1"/>
  <c r="A293" i="1"/>
</calcChain>
</file>

<file path=xl/sharedStrings.xml><?xml version="1.0" encoding="utf-8"?>
<sst xmlns="http://schemas.openxmlformats.org/spreadsheetml/2006/main" count="1312" uniqueCount="436">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</sst>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4" fillId="24" borderId="0" xfId="39" applyFont="1" applyFill="1" applyAlignment="1">
      <alignment horizontal="center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07" t="s">
        <v>0</v>
      </c>
      <c r="E1" s="304"/>
      <c r="F1" s="304"/>
      <c r="G1" s="12" t="s">
        <v>1</v>
      </c>
      <c r="H1" s="307" t="s">
        <v>2</v>
      </c>
      <c r="I1" s="304"/>
      <c r="J1" s="304"/>
      <c r="K1" s="304"/>
      <c r="L1" s="304"/>
      <c r="M1" s="304"/>
      <c r="N1" s="304"/>
      <c r="O1" s="304"/>
      <c r="P1" s="304"/>
      <c r="Q1" s="304"/>
      <c r="R1" s="303" t="s">
        <v>3</v>
      </c>
      <c r="S1" s="304"/>
      <c r="T1" s="3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08" t="s">
        <v>7</v>
      </c>
      <c r="B5" s="309"/>
      <c r="C5" s="310"/>
      <c r="D5" s="355"/>
      <c r="E5" s="356"/>
      <c r="F5" s="452" t="s">
        <v>8</v>
      </c>
      <c r="G5" s="310"/>
      <c r="H5" s="355" t="s">
        <v>435</v>
      </c>
      <c r="I5" s="418"/>
      <c r="J5" s="418"/>
      <c r="K5" s="418"/>
      <c r="L5" s="418"/>
      <c r="M5" s="356"/>
      <c r="N5" s="61"/>
      <c r="P5" s="24" t="s">
        <v>9</v>
      </c>
      <c r="Q5" s="443">
        <v>46314</v>
      </c>
      <c r="R5" s="316"/>
      <c r="T5" s="313" t="s">
        <v>10</v>
      </c>
      <c r="U5" s="314"/>
      <c r="V5" s="315" t="s">
        <v>11</v>
      </c>
      <c r="W5" s="316"/>
      <c r="AB5" s="51"/>
      <c r="AC5" s="51"/>
      <c r="AD5" s="51"/>
      <c r="AE5" s="51"/>
    </row>
    <row r="6" spans="1:32" s="272" customFormat="1" ht="24" customHeight="1" x14ac:dyDescent="0.2">
      <c r="A6" s="308" t="s">
        <v>12</v>
      </c>
      <c r="B6" s="309"/>
      <c r="C6" s="310"/>
      <c r="D6" s="420" t="s">
        <v>406</v>
      </c>
      <c r="E6" s="421"/>
      <c r="F6" s="421"/>
      <c r="G6" s="421"/>
      <c r="H6" s="421"/>
      <c r="I6" s="421"/>
      <c r="J6" s="421"/>
      <c r="K6" s="421"/>
      <c r="L6" s="421"/>
      <c r="M6" s="316"/>
      <c r="N6" s="62"/>
      <c r="P6" s="24" t="s">
        <v>13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98" t="s">
        <v>14</v>
      </c>
      <c r="U6" s="314"/>
      <c r="V6" s="388" t="s">
        <v>15</v>
      </c>
      <c r="W6" s="306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4" t="str">
        <f>IFERROR(VLOOKUP(DeliveryAddress,Table,3,0),1)</f>
        <v>3</v>
      </c>
      <c r="E7" s="335"/>
      <c r="F7" s="335"/>
      <c r="G7" s="335"/>
      <c r="H7" s="335"/>
      <c r="I7" s="335"/>
      <c r="J7" s="335"/>
      <c r="K7" s="335"/>
      <c r="L7" s="335"/>
      <c r="M7" s="318"/>
      <c r="N7" s="63"/>
      <c r="P7" s="24"/>
      <c r="Q7" s="42"/>
      <c r="R7" s="42"/>
      <c r="T7" s="288"/>
      <c r="U7" s="314"/>
      <c r="V7" s="389"/>
      <c r="W7" s="390"/>
      <c r="AB7" s="51"/>
      <c r="AC7" s="51"/>
      <c r="AD7" s="51"/>
      <c r="AE7" s="51"/>
    </row>
    <row r="8" spans="1:32" s="272" customFormat="1" ht="25.5" customHeight="1" x14ac:dyDescent="0.2">
      <c r="A8" s="320" t="s">
        <v>16</v>
      </c>
      <c r="B8" s="285"/>
      <c r="C8" s="286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17</v>
      </c>
      <c r="Q8" s="317">
        <v>0.5</v>
      </c>
      <c r="R8" s="318"/>
      <c r="T8" s="288"/>
      <c r="U8" s="314"/>
      <c r="V8" s="389"/>
      <c r="W8" s="390"/>
      <c r="AB8" s="51"/>
      <c r="AC8" s="51"/>
      <c r="AD8" s="51"/>
      <c r="AE8" s="51"/>
    </row>
    <row r="9" spans="1:32" s="272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8"/>
      <c r="E9" s="290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70"/>
      <c r="P9" s="26" t="s">
        <v>18</v>
      </c>
      <c r="Q9" s="364"/>
      <c r="R9" s="365"/>
      <c r="T9" s="288"/>
      <c r="U9" s="314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8"/>
      <c r="E10" s="290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407" t="str">
        <f>IFERROR(VLOOKUP($D$10,Proxy,2,FALSE),"")</f>
        <v/>
      </c>
      <c r="I10" s="288"/>
      <c r="J10" s="288"/>
      <c r="K10" s="288"/>
      <c r="L10" s="288"/>
      <c r="M10" s="288"/>
      <c r="N10" s="271"/>
      <c r="P10" s="26" t="s">
        <v>19</v>
      </c>
      <c r="Q10" s="399"/>
      <c r="R10" s="400"/>
      <c r="U10" s="24" t="s">
        <v>20</v>
      </c>
      <c r="V10" s="305" t="s">
        <v>21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66"/>
      <c r="R11" s="316"/>
      <c r="U11" s="24" t="s">
        <v>24</v>
      </c>
      <c r="V11" s="426" t="s">
        <v>25</v>
      </c>
      <c r="W11" s="365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19" t="s">
        <v>26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27</v>
      </c>
      <c r="Q12" s="317"/>
      <c r="R12" s="318"/>
      <c r="S12" s="23"/>
      <c r="U12" s="24"/>
      <c r="V12" s="304"/>
      <c r="W12" s="288"/>
      <c r="AB12" s="51"/>
      <c r="AC12" s="51"/>
      <c r="AD12" s="51"/>
      <c r="AE12" s="51"/>
    </row>
    <row r="13" spans="1:32" s="272" customFormat="1" ht="23.25" customHeight="1" x14ac:dyDescent="0.2">
      <c r="A13" s="319" t="s">
        <v>28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29</v>
      </c>
      <c r="Q13" s="426"/>
      <c r="R13" s="3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19" t="s">
        <v>30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432" t="s">
        <v>31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11" t="s">
        <v>32</v>
      </c>
      <c r="Q15" s="304"/>
      <c r="R15" s="304"/>
      <c r="S15" s="304"/>
      <c r="T15" s="3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12"/>
      <c r="Q16" s="312"/>
      <c r="R16" s="312"/>
      <c r="S16" s="312"/>
      <c r="T16" s="3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33</v>
      </c>
      <c r="B17" s="345" t="s">
        <v>34</v>
      </c>
      <c r="C17" s="367" t="s">
        <v>35</v>
      </c>
      <c r="D17" s="345" t="s">
        <v>36</v>
      </c>
      <c r="E17" s="358"/>
      <c r="F17" s="345" t="s">
        <v>37</v>
      </c>
      <c r="G17" s="345" t="s">
        <v>38</v>
      </c>
      <c r="H17" s="345" t="s">
        <v>39</v>
      </c>
      <c r="I17" s="345" t="s">
        <v>40</v>
      </c>
      <c r="J17" s="345" t="s">
        <v>41</v>
      </c>
      <c r="K17" s="345" t="s">
        <v>42</v>
      </c>
      <c r="L17" s="345" t="s">
        <v>43</v>
      </c>
      <c r="M17" s="345" t="s">
        <v>44</v>
      </c>
      <c r="N17" s="345" t="s">
        <v>45</v>
      </c>
      <c r="O17" s="345" t="s">
        <v>46</v>
      </c>
      <c r="P17" s="345" t="s">
        <v>47</v>
      </c>
      <c r="Q17" s="357"/>
      <c r="R17" s="357"/>
      <c r="S17" s="357"/>
      <c r="T17" s="358"/>
      <c r="U17" s="471" t="s">
        <v>48</v>
      </c>
      <c r="V17" s="310"/>
      <c r="W17" s="345" t="s">
        <v>49</v>
      </c>
      <c r="X17" s="345" t="s">
        <v>50</v>
      </c>
      <c r="Y17" s="461" t="s">
        <v>51</v>
      </c>
      <c r="Z17" s="416" t="s">
        <v>52</v>
      </c>
      <c r="AA17" s="405" t="s">
        <v>53</v>
      </c>
      <c r="AB17" s="405" t="s">
        <v>54</v>
      </c>
      <c r="AC17" s="405" t="s">
        <v>55</v>
      </c>
      <c r="AD17" s="405" t="s">
        <v>56</v>
      </c>
      <c r="AE17" s="447"/>
      <c r="AF17" s="448"/>
      <c r="AG17" s="69"/>
      <c r="BD17" s="68" t="s">
        <v>57</v>
      </c>
    </row>
    <row r="18" spans="1:68" ht="14.25" customHeight="1" x14ac:dyDescent="0.2">
      <c r="A18" s="346"/>
      <c r="B18" s="346"/>
      <c r="C18" s="346"/>
      <c r="D18" s="359"/>
      <c r="E18" s="361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59"/>
      <c r="Q18" s="360"/>
      <c r="R18" s="360"/>
      <c r="S18" s="360"/>
      <c r="T18" s="361"/>
      <c r="U18" s="70" t="s">
        <v>58</v>
      </c>
      <c r="V18" s="70" t="s">
        <v>59</v>
      </c>
      <c r="W18" s="346"/>
      <c r="X18" s="346"/>
      <c r="Y18" s="462"/>
      <c r="Z18" s="417"/>
      <c r="AA18" s="406"/>
      <c r="AB18" s="406"/>
      <c r="AC18" s="406"/>
      <c r="AD18" s="449"/>
      <c r="AE18" s="450"/>
      <c r="AF18" s="451"/>
      <c r="AG18" s="69"/>
      <c r="BD18" s="68"/>
    </row>
    <row r="19" spans="1:68" ht="27.75" hidden="1" customHeight="1" x14ac:dyDescent="0.2">
      <c r="A19" s="293" t="s">
        <v>60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hidden="1" customHeight="1" x14ac:dyDescent="0.25">
      <c r="A20" s="287" t="s">
        <v>60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73"/>
      <c r="AB20" s="273"/>
      <c r="AC20" s="273"/>
    </row>
    <row r="21" spans="1:68" ht="14.25" hidden="1" customHeight="1" x14ac:dyDescent="0.25">
      <c r="A21" s="324" t="s">
        <v>61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91">
        <v>4620207491508</v>
      </c>
      <c r="E22" s="292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91">
        <v>4620207491256</v>
      </c>
      <c r="E23" s="292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2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91">
        <v>4620207491713</v>
      </c>
      <c r="E24" s="292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91">
        <v>4620207491720</v>
      </c>
      <c r="E25" s="292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91">
        <v>4607111035912</v>
      </c>
      <c r="E26" s="292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91">
        <v>4607111035929</v>
      </c>
      <c r="E27" s="292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67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91">
        <v>4607111035882</v>
      </c>
      <c r="E28" s="292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2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91">
        <v>4607111035905</v>
      </c>
      <c r="E29" s="292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3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99"/>
      <c r="P30" s="284" t="s">
        <v>86</v>
      </c>
      <c r="Q30" s="285"/>
      <c r="R30" s="285"/>
      <c r="S30" s="285"/>
      <c r="T30" s="285"/>
      <c r="U30" s="285"/>
      <c r="V30" s="286"/>
      <c r="W30" s="37" t="s">
        <v>67</v>
      </c>
      <c r="X30" s="280">
        <f>IFERROR(SUM(X22:X29),"0")</f>
        <v>12</v>
      </c>
      <c r="Y30" s="280">
        <f>IFERROR(SUM(Y22:Y29),"0")</f>
        <v>12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81"/>
      <c r="AB30" s="281"/>
      <c r="AC30" s="281"/>
    </row>
    <row r="31" spans="1:68" x14ac:dyDescent="0.2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99"/>
      <c r="P31" s="284" t="s">
        <v>86</v>
      </c>
      <c r="Q31" s="285"/>
      <c r="R31" s="285"/>
      <c r="S31" s="285"/>
      <c r="T31" s="285"/>
      <c r="U31" s="285"/>
      <c r="V31" s="286"/>
      <c r="W31" s="37" t="s">
        <v>87</v>
      </c>
      <c r="X31" s="280">
        <f>IFERROR(SUMPRODUCT(X22:X29*H22:H29),"0")</f>
        <v>86.4</v>
      </c>
      <c r="Y31" s="280">
        <f>IFERROR(SUMPRODUCT(Y22:Y29*H22:H29),"0")</f>
        <v>86.4</v>
      </c>
      <c r="Z31" s="37"/>
      <c r="AA31" s="281"/>
      <c r="AB31" s="281"/>
      <c r="AC31" s="281"/>
    </row>
    <row r="32" spans="1:68" ht="14.25" hidden="1" customHeight="1" x14ac:dyDescent="0.25">
      <c r="A32" s="324" t="s">
        <v>88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91">
        <v>4620207492178</v>
      </c>
      <c r="E33" s="292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29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99"/>
      <c r="P34" s="284" t="s">
        <v>86</v>
      </c>
      <c r="Q34" s="285"/>
      <c r="R34" s="285"/>
      <c r="S34" s="285"/>
      <c r="T34" s="285"/>
      <c r="U34" s="285"/>
      <c r="V34" s="286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99"/>
      <c r="P35" s="284" t="s">
        <v>86</v>
      </c>
      <c r="Q35" s="285"/>
      <c r="R35" s="285"/>
      <c r="S35" s="285"/>
      <c r="T35" s="285"/>
      <c r="U35" s="285"/>
      <c r="V35" s="286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287" t="s">
        <v>93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73"/>
      <c r="AB36" s="273"/>
      <c r="AC36" s="273"/>
    </row>
    <row r="37" spans="1:68" ht="14.25" hidden="1" customHeight="1" x14ac:dyDescent="0.25">
      <c r="A37" s="324" t="s">
        <v>61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91">
        <v>4607111039019</v>
      </c>
      <c r="E38" s="292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1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91">
        <v>4607111038708</v>
      </c>
      <c r="E39" s="292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99"/>
      <c r="P40" s="284" t="s">
        <v>86</v>
      </c>
      <c r="Q40" s="285"/>
      <c r="R40" s="285"/>
      <c r="S40" s="285"/>
      <c r="T40" s="285"/>
      <c r="U40" s="285"/>
      <c r="V40" s="286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99"/>
      <c r="P41" s="284" t="s">
        <v>86</v>
      </c>
      <c r="Q41" s="285"/>
      <c r="R41" s="285"/>
      <c r="S41" s="285"/>
      <c r="T41" s="285"/>
      <c r="U41" s="285"/>
      <c r="V41" s="286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3" t="s">
        <v>99</v>
      </c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48"/>
      <c r="AB42" s="48"/>
      <c r="AC42" s="48"/>
    </row>
    <row r="43" spans="1:68" ht="16.5" hidden="1" customHeight="1" x14ac:dyDescent="0.25">
      <c r="A43" s="287" t="s">
        <v>100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73"/>
      <c r="AB43" s="273"/>
      <c r="AC43" s="273"/>
    </row>
    <row r="44" spans="1:68" ht="14.25" hidden="1" customHeight="1" x14ac:dyDescent="0.25">
      <c r="A44" s="324" t="s">
        <v>101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91">
        <v>4607111036537</v>
      </c>
      <c r="E45" s="292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4"/>
      <c r="V45" s="34"/>
      <c r="W45" s="35" t="s">
        <v>67</v>
      </c>
      <c r="X45" s="278">
        <v>168</v>
      </c>
      <c r="Y45" s="279">
        <f>IFERROR(IF(X45="","",X45),"")</f>
        <v>168</v>
      </c>
      <c r="Z45" s="36">
        <f>IFERROR(IF(X45="","",X45*0.00941),"")</f>
        <v>1.5808800000000001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322.86239999999998</v>
      </c>
      <c r="BN45" s="67">
        <f>IFERROR(Y45*I45,"0")</f>
        <v>322.86239999999998</v>
      </c>
      <c r="BO45" s="67">
        <f>IFERROR(X45/J45,"0")</f>
        <v>1.2</v>
      </c>
      <c r="BP45" s="67">
        <f>IFERROR(Y45/J45,"0")</f>
        <v>1.2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91">
        <v>4607111036605</v>
      </c>
      <c r="E46" s="292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39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4"/>
      <c r="V46" s="34"/>
      <c r="W46" s="35" t="s">
        <v>67</v>
      </c>
      <c r="X46" s="278">
        <v>56</v>
      </c>
      <c r="Y46" s="279">
        <f>IFERROR(IF(X46="","",X46),"")</f>
        <v>56</v>
      </c>
      <c r="Z46" s="36">
        <f>IFERROR(IF(X46="","",X46*0.00941),"")</f>
        <v>0.52695999999999998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107.6208</v>
      </c>
      <c r="BN46" s="67">
        <f>IFERROR(Y46*I46,"0")</f>
        <v>107.6208</v>
      </c>
      <c r="BO46" s="67">
        <f>IFERROR(X46/J46,"0")</f>
        <v>0.4</v>
      </c>
      <c r="BP46" s="67">
        <f>IFERROR(Y46/J46,"0")</f>
        <v>0.4</v>
      </c>
    </row>
    <row r="47" spans="1:68" x14ac:dyDescent="0.2">
      <c r="A47" s="29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99"/>
      <c r="P47" s="284" t="s">
        <v>86</v>
      </c>
      <c r="Q47" s="285"/>
      <c r="R47" s="285"/>
      <c r="S47" s="285"/>
      <c r="T47" s="285"/>
      <c r="U47" s="285"/>
      <c r="V47" s="286"/>
      <c r="W47" s="37" t="s">
        <v>67</v>
      </c>
      <c r="X47" s="280">
        <f>IFERROR(SUM(X45:X46),"0")</f>
        <v>224</v>
      </c>
      <c r="Y47" s="280">
        <f>IFERROR(SUM(Y45:Y46),"0")</f>
        <v>224</v>
      </c>
      <c r="Z47" s="280">
        <f>IFERROR(IF(Z45="",0,Z45),"0")+IFERROR(IF(Z46="",0,Z46),"0")</f>
        <v>2.1078399999999999</v>
      </c>
      <c r="AA47" s="281"/>
      <c r="AB47" s="281"/>
      <c r="AC47" s="281"/>
    </row>
    <row r="48" spans="1:68" x14ac:dyDescent="0.2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99"/>
      <c r="P48" s="284" t="s">
        <v>86</v>
      </c>
      <c r="Q48" s="285"/>
      <c r="R48" s="285"/>
      <c r="S48" s="285"/>
      <c r="T48" s="285"/>
      <c r="U48" s="285"/>
      <c r="V48" s="286"/>
      <c r="W48" s="37" t="s">
        <v>87</v>
      </c>
      <c r="X48" s="280">
        <f>IFERROR(SUMPRODUCT(X45:X46*H45:H46),"0")</f>
        <v>336</v>
      </c>
      <c r="Y48" s="280">
        <f>IFERROR(SUMPRODUCT(Y45:Y46*H45:H46),"0")</f>
        <v>336</v>
      </c>
      <c r="Z48" s="37"/>
      <c r="AA48" s="281"/>
      <c r="AB48" s="281"/>
      <c r="AC48" s="281"/>
    </row>
    <row r="49" spans="1:68" ht="16.5" hidden="1" customHeight="1" x14ac:dyDescent="0.25">
      <c r="A49" s="287" t="s">
        <v>111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73"/>
      <c r="AB49" s="273"/>
      <c r="AC49" s="273"/>
    </row>
    <row r="50" spans="1:68" ht="14.25" hidden="1" customHeight="1" x14ac:dyDescent="0.25">
      <c r="A50" s="324" t="s">
        <v>61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74"/>
      <c r="AB50" s="274"/>
      <c r="AC50" s="274"/>
    </row>
    <row r="51" spans="1:68" ht="27" customHeight="1" x14ac:dyDescent="0.25">
      <c r="A51" s="54" t="s">
        <v>112</v>
      </c>
      <c r="B51" s="54" t="s">
        <v>113</v>
      </c>
      <c r="C51" s="31">
        <v>4301071090</v>
      </c>
      <c r="D51" s="291">
        <v>4620207490075</v>
      </c>
      <c r="E51" s="292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4"/>
      <c r="V51" s="34"/>
      <c r="W51" s="35" t="s">
        <v>67</v>
      </c>
      <c r="X51" s="278">
        <v>60</v>
      </c>
      <c r="Y51" s="279">
        <f>IFERROR(IF(X51="","",X51),"")</f>
        <v>60</v>
      </c>
      <c r="Z51" s="36">
        <f>IFERROR(IF(X51="","",X51*0.0155),"")</f>
        <v>0.92999999999999994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352.2</v>
      </c>
      <c r="BN51" s="67">
        <f>IFERROR(Y51*I51,"0")</f>
        <v>352.2</v>
      </c>
      <c r="BO51" s="67">
        <f>IFERROR(X51/J51,"0")</f>
        <v>0.7142857142857143</v>
      </c>
      <c r="BP51" s="67">
        <f>IFERROR(Y51/J51,"0")</f>
        <v>0.7142857142857143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91">
        <v>4620207490174</v>
      </c>
      <c r="E52" s="292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4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4"/>
      <c r="V52" s="34"/>
      <c r="W52" s="35" t="s">
        <v>67</v>
      </c>
      <c r="X52" s="278">
        <v>36</v>
      </c>
      <c r="Y52" s="279">
        <f>IFERROR(IF(X52="","",X52),"")</f>
        <v>36</v>
      </c>
      <c r="Z52" s="36">
        <f>IFERROR(IF(X52="","",X52*0.0155),"")</f>
        <v>0.55800000000000005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211.32</v>
      </c>
      <c r="BN52" s="67">
        <f>IFERROR(Y52*I52,"0")</f>
        <v>211.32</v>
      </c>
      <c r="BO52" s="67">
        <f>IFERROR(X52/J52,"0")</f>
        <v>0.42857142857142855</v>
      </c>
      <c r="BP52" s="67">
        <f>IFERROR(Y52/J52,"0")</f>
        <v>0.42857142857142855</v>
      </c>
    </row>
    <row r="53" spans="1:68" x14ac:dyDescent="0.2">
      <c r="A53" s="29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99"/>
      <c r="P53" s="284" t="s">
        <v>86</v>
      </c>
      <c r="Q53" s="285"/>
      <c r="R53" s="285"/>
      <c r="S53" s="285"/>
      <c r="T53" s="285"/>
      <c r="U53" s="285"/>
      <c r="V53" s="286"/>
      <c r="W53" s="37" t="s">
        <v>67</v>
      </c>
      <c r="X53" s="280">
        <f>IFERROR(SUM(X51:X52),"0")</f>
        <v>96</v>
      </c>
      <c r="Y53" s="280">
        <f>IFERROR(SUM(Y51:Y52),"0")</f>
        <v>96</v>
      </c>
      <c r="Z53" s="280">
        <f>IFERROR(IF(Z51="",0,Z51),"0")+IFERROR(IF(Z52="",0,Z52),"0")</f>
        <v>1.488</v>
      </c>
      <c r="AA53" s="281"/>
      <c r="AB53" s="281"/>
      <c r="AC53" s="281"/>
    </row>
    <row r="54" spans="1:68" x14ac:dyDescent="0.2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99"/>
      <c r="P54" s="284" t="s">
        <v>86</v>
      </c>
      <c r="Q54" s="285"/>
      <c r="R54" s="285"/>
      <c r="S54" s="285"/>
      <c r="T54" s="285"/>
      <c r="U54" s="285"/>
      <c r="V54" s="286"/>
      <c r="W54" s="37" t="s">
        <v>87</v>
      </c>
      <c r="X54" s="280">
        <f>IFERROR(SUMPRODUCT(X51:X52*H51:H52),"0")</f>
        <v>537.6</v>
      </c>
      <c r="Y54" s="280">
        <f>IFERROR(SUMPRODUCT(Y51:Y52*H51:H52),"0")</f>
        <v>537.6</v>
      </c>
      <c r="Z54" s="37"/>
      <c r="AA54" s="281"/>
      <c r="AB54" s="281"/>
      <c r="AC54" s="281"/>
    </row>
    <row r="55" spans="1:68" ht="16.5" hidden="1" customHeight="1" x14ac:dyDescent="0.25">
      <c r="A55" s="287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73"/>
      <c r="AB55" s="273"/>
      <c r="AC55" s="273"/>
    </row>
    <row r="56" spans="1:68" ht="14.25" hidden="1" customHeight="1" x14ac:dyDescent="0.25">
      <c r="A56" s="324" t="s">
        <v>61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74"/>
      <c r="AB56" s="274"/>
      <c r="AC56" s="274"/>
    </row>
    <row r="57" spans="1:68" ht="27" customHeight="1" x14ac:dyDescent="0.25">
      <c r="A57" s="54" t="s">
        <v>119</v>
      </c>
      <c r="B57" s="54" t="s">
        <v>120</v>
      </c>
      <c r="C57" s="31">
        <v>4301071044</v>
      </c>
      <c r="D57" s="291">
        <v>4607111039385</v>
      </c>
      <c r="E57" s="292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4"/>
      <c r="V57" s="34"/>
      <c r="W57" s="35" t="s">
        <v>67</v>
      </c>
      <c r="X57" s="278">
        <v>48</v>
      </c>
      <c r="Y57" s="279">
        <f>IFERROR(IF(X57="","",X57),"")</f>
        <v>48</v>
      </c>
      <c r="Z57" s="36">
        <f>IFERROR(IF(X57="","",X57*0.0155),"")</f>
        <v>0.74399999999999999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350.4</v>
      </c>
      <c r="BN57" s="67">
        <f>IFERROR(Y57*I57,"0")</f>
        <v>350.4</v>
      </c>
      <c r="BO57" s="67">
        <f>IFERROR(X57/J57,"0")</f>
        <v>0.5714285714285714</v>
      </c>
      <c r="BP57" s="67">
        <f>IFERROR(Y57/J57,"0")</f>
        <v>0.5714285714285714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91">
        <v>4607111038982</v>
      </c>
      <c r="E58" s="292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4"/>
      <c r="V58" s="34"/>
      <c r="W58" s="35" t="s">
        <v>67</v>
      </c>
      <c r="X58" s="278">
        <v>72</v>
      </c>
      <c r="Y58" s="279">
        <f>IFERROR(IF(X58="","",X58),"")</f>
        <v>72</v>
      </c>
      <c r="Z58" s="36">
        <f>IFERROR(IF(X58="","",X58*0.0155),"")</f>
        <v>1.1160000000000001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524.59199999999998</v>
      </c>
      <c r="BN58" s="67">
        <f>IFERROR(Y58*I58,"0")</f>
        <v>524.59199999999998</v>
      </c>
      <c r="BO58" s="67">
        <f>IFERROR(X58/J58,"0")</f>
        <v>0.8571428571428571</v>
      </c>
      <c r="BP58" s="67">
        <f>IFERROR(Y58/J58,"0")</f>
        <v>0.8571428571428571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91">
        <v>4607111039354</v>
      </c>
      <c r="E59" s="292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39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91">
        <v>4607111039330</v>
      </c>
      <c r="E60" s="292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99"/>
      <c r="P61" s="284" t="s">
        <v>86</v>
      </c>
      <c r="Q61" s="285"/>
      <c r="R61" s="285"/>
      <c r="S61" s="285"/>
      <c r="T61" s="285"/>
      <c r="U61" s="285"/>
      <c r="V61" s="286"/>
      <c r="W61" s="37" t="s">
        <v>67</v>
      </c>
      <c r="X61" s="280">
        <f>IFERROR(SUM(X57:X60),"0")</f>
        <v>120</v>
      </c>
      <c r="Y61" s="280">
        <f>IFERROR(SUM(Y57:Y60),"0")</f>
        <v>120</v>
      </c>
      <c r="Z61" s="280">
        <f>IFERROR(IF(Z57="",0,Z57),"0")+IFERROR(IF(Z58="",0,Z58),"0")+IFERROR(IF(Z59="",0,Z59),"0")+IFERROR(IF(Z60="",0,Z60),"0")</f>
        <v>1.86</v>
      </c>
      <c r="AA61" s="281"/>
      <c r="AB61" s="281"/>
      <c r="AC61" s="281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99"/>
      <c r="P62" s="284" t="s">
        <v>86</v>
      </c>
      <c r="Q62" s="285"/>
      <c r="R62" s="285"/>
      <c r="S62" s="285"/>
      <c r="T62" s="285"/>
      <c r="U62" s="285"/>
      <c r="V62" s="286"/>
      <c r="W62" s="37" t="s">
        <v>87</v>
      </c>
      <c r="X62" s="280">
        <f>IFERROR(SUMPRODUCT(X57:X60*H57:H60),"0")</f>
        <v>840</v>
      </c>
      <c r="Y62" s="280">
        <f>IFERROR(SUMPRODUCT(Y57:Y60*H57:H60),"0")</f>
        <v>840</v>
      </c>
      <c r="Z62" s="37"/>
      <c r="AA62" s="281"/>
      <c r="AB62" s="281"/>
      <c r="AC62" s="281"/>
    </row>
    <row r="63" spans="1:68" ht="16.5" hidden="1" customHeight="1" x14ac:dyDescent="0.25">
      <c r="A63" s="287" t="s">
        <v>129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73"/>
      <c r="AB63" s="273"/>
      <c r="AC63" s="273"/>
    </row>
    <row r="64" spans="1:68" ht="14.25" hidden="1" customHeight="1" x14ac:dyDescent="0.25">
      <c r="A64" s="324" t="s">
        <v>130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91">
        <v>4607111039712</v>
      </c>
      <c r="E65" s="292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91">
        <v>4607111039705</v>
      </c>
      <c r="E66" s="292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91">
        <v>4607111039729</v>
      </c>
      <c r="E67" s="292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53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140</v>
      </c>
      <c r="B68" s="54" t="s">
        <v>141</v>
      </c>
      <c r="C68" s="31">
        <v>4301135702</v>
      </c>
      <c r="D68" s="291">
        <v>4620207490228</v>
      </c>
      <c r="E68" s="292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4"/>
      <c r="V68" s="34"/>
      <c r="W68" s="35" t="s">
        <v>67</v>
      </c>
      <c r="X68" s="278">
        <v>98</v>
      </c>
      <c r="Y68" s="279">
        <f>IFERROR(IF(X68="","",X68),"")</f>
        <v>98</v>
      </c>
      <c r="Z68" s="36">
        <f>IFERROR(IF(X68="","",X68*0.00941),"")</f>
        <v>0.92218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152.88</v>
      </c>
      <c r="BN68" s="67">
        <f>IFERROR(Y68*I68,"0")</f>
        <v>152.88</v>
      </c>
      <c r="BO68" s="67">
        <f>IFERROR(X68/J68,"0")</f>
        <v>0.7</v>
      </c>
      <c r="BP68" s="67">
        <f>IFERROR(Y68/J68,"0")</f>
        <v>0.7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91">
        <v>4607111037398</v>
      </c>
      <c r="E69" s="292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79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99"/>
      <c r="P70" s="284" t="s">
        <v>86</v>
      </c>
      <c r="Q70" s="285"/>
      <c r="R70" s="285"/>
      <c r="S70" s="285"/>
      <c r="T70" s="285"/>
      <c r="U70" s="285"/>
      <c r="V70" s="286"/>
      <c r="W70" s="37" t="s">
        <v>67</v>
      </c>
      <c r="X70" s="280">
        <f>IFERROR(SUM(X65:X69),"0")</f>
        <v>98</v>
      </c>
      <c r="Y70" s="280">
        <f>IFERROR(SUM(Y65:Y69),"0")</f>
        <v>98</v>
      </c>
      <c r="Z70" s="280">
        <f>IFERROR(IF(Z65="",0,Z65),"0")+IFERROR(IF(Z66="",0,Z66),"0")+IFERROR(IF(Z67="",0,Z67),"0")+IFERROR(IF(Z68="",0,Z68),"0")+IFERROR(IF(Z69="",0,Z69),"0")</f>
        <v>0.92218</v>
      </c>
      <c r="AA70" s="281"/>
      <c r="AB70" s="281"/>
      <c r="AC70" s="281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99"/>
      <c r="P71" s="284" t="s">
        <v>86</v>
      </c>
      <c r="Q71" s="285"/>
      <c r="R71" s="285"/>
      <c r="S71" s="285"/>
      <c r="T71" s="285"/>
      <c r="U71" s="285"/>
      <c r="V71" s="286"/>
      <c r="W71" s="37" t="s">
        <v>87</v>
      </c>
      <c r="X71" s="280">
        <f>IFERROR(SUMPRODUCT(X65:X69*H65:H69),"0")</f>
        <v>117.6</v>
      </c>
      <c r="Y71" s="280">
        <f>IFERROR(SUMPRODUCT(Y65:Y69*H65:H69),"0")</f>
        <v>117.6</v>
      </c>
      <c r="Z71" s="37"/>
      <c r="AA71" s="281"/>
      <c r="AB71" s="281"/>
      <c r="AC71" s="281"/>
    </row>
    <row r="72" spans="1:68" ht="16.5" hidden="1" customHeight="1" x14ac:dyDescent="0.25">
      <c r="A72" s="287" t="s">
        <v>144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73"/>
      <c r="AB72" s="273"/>
      <c r="AC72" s="273"/>
    </row>
    <row r="73" spans="1:68" ht="14.25" hidden="1" customHeight="1" x14ac:dyDescent="0.25">
      <c r="A73" s="324" t="s">
        <v>61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91">
        <v>4607111037411</v>
      </c>
      <c r="E74" s="292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91">
        <v>4607111036728</v>
      </c>
      <c r="E75" s="292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4"/>
      <c r="V75" s="34"/>
      <c r="W75" s="35" t="s">
        <v>67</v>
      </c>
      <c r="X75" s="278">
        <v>84</v>
      </c>
      <c r="Y75" s="279">
        <f>IFERROR(IF(X75="","",X75),"")</f>
        <v>84</v>
      </c>
      <c r="Z75" s="36">
        <f>IFERROR(IF(X75="","",X75*0.00866),"")</f>
        <v>0.72743999999999998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437.90879999999999</v>
      </c>
      <c r="BN75" s="67">
        <f>IFERROR(Y75*I75,"0")</f>
        <v>437.90879999999999</v>
      </c>
      <c r="BO75" s="67">
        <f>IFERROR(X75/J75,"0")</f>
        <v>0.58333333333333337</v>
      </c>
      <c r="BP75" s="67">
        <f>IFERROR(Y75/J75,"0")</f>
        <v>0.58333333333333337</v>
      </c>
    </row>
    <row r="76" spans="1:68" x14ac:dyDescent="0.2">
      <c r="A76" s="29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99"/>
      <c r="P76" s="284" t="s">
        <v>86</v>
      </c>
      <c r="Q76" s="285"/>
      <c r="R76" s="285"/>
      <c r="S76" s="285"/>
      <c r="T76" s="285"/>
      <c r="U76" s="285"/>
      <c r="V76" s="286"/>
      <c r="W76" s="37" t="s">
        <v>67</v>
      </c>
      <c r="X76" s="280">
        <f>IFERROR(SUM(X74:X75),"0")</f>
        <v>84</v>
      </c>
      <c r="Y76" s="280">
        <f>IFERROR(SUM(Y74:Y75),"0")</f>
        <v>84</v>
      </c>
      <c r="Z76" s="280">
        <f>IFERROR(IF(Z74="",0,Z74),"0")+IFERROR(IF(Z75="",0,Z75),"0")</f>
        <v>0.72743999999999998</v>
      </c>
      <c r="AA76" s="281"/>
      <c r="AB76" s="281"/>
      <c r="AC76" s="281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99"/>
      <c r="P77" s="284" t="s">
        <v>86</v>
      </c>
      <c r="Q77" s="285"/>
      <c r="R77" s="285"/>
      <c r="S77" s="285"/>
      <c r="T77" s="285"/>
      <c r="U77" s="285"/>
      <c r="V77" s="286"/>
      <c r="W77" s="37" t="s">
        <v>87</v>
      </c>
      <c r="X77" s="280">
        <f>IFERROR(SUMPRODUCT(X74:X75*H74:H75),"0")</f>
        <v>420</v>
      </c>
      <c r="Y77" s="280">
        <f>IFERROR(SUMPRODUCT(Y74:Y75*H74:H75),"0")</f>
        <v>420</v>
      </c>
      <c r="Z77" s="37"/>
      <c r="AA77" s="281"/>
      <c r="AB77" s="281"/>
      <c r="AC77" s="281"/>
    </row>
    <row r="78" spans="1:68" ht="16.5" hidden="1" customHeight="1" x14ac:dyDescent="0.25">
      <c r="A78" s="287" t="s">
        <v>151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73"/>
      <c r="AB78" s="273"/>
      <c r="AC78" s="273"/>
    </row>
    <row r="79" spans="1:68" ht="14.25" hidden="1" customHeight="1" x14ac:dyDescent="0.25">
      <c r="A79" s="324" t="s">
        <v>152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74"/>
      <c r="AB79" s="274"/>
      <c r="AC79" s="274"/>
    </row>
    <row r="80" spans="1:68" ht="27" customHeight="1" x14ac:dyDescent="0.25">
      <c r="A80" s="54" t="s">
        <v>153</v>
      </c>
      <c r="B80" s="54" t="s">
        <v>154</v>
      </c>
      <c r="C80" s="31">
        <v>4301135910</v>
      </c>
      <c r="D80" s="291">
        <v>4620207491638</v>
      </c>
      <c r="E80" s="292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4"/>
      <c r="V80" s="34"/>
      <c r="W80" s="35" t="s">
        <v>67</v>
      </c>
      <c r="X80" s="278">
        <v>84</v>
      </c>
      <c r="Y80" s="279">
        <f>IFERROR(IF(X80="","",X80),"")</f>
        <v>84</v>
      </c>
      <c r="Z80" s="36">
        <f>IFERROR(IF(X80="","",X80*0.01788),"")</f>
        <v>1.5019199999999999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361.50240000000002</v>
      </c>
      <c r="BN80" s="67">
        <f>IFERROR(Y80*I80,"0")</f>
        <v>361.50240000000002</v>
      </c>
      <c r="BO80" s="67">
        <f>IFERROR(X80/J80,"0")</f>
        <v>1.2</v>
      </c>
      <c r="BP80" s="67">
        <f>IFERROR(Y80/J80,"0")</f>
        <v>1.2</v>
      </c>
    </row>
    <row r="81" spans="1:68" x14ac:dyDescent="0.2">
      <c r="A81" s="29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99"/>
      <c r="P81" s="284" t="s">
        <v>86</v>
      </c>
      <c r="Q81" s="285"/>
      <c r="R81" s="285"/>
      <c r="S81" s="285"/>
      <c r="T81" s="285"/>
      <c r="U81" s="285"/>
      <c r="V81" s="286"/>
      <c r="W81" s="37" t="s">
        <v>67</v>
      </c>
      <c r="X81" s="280">
        <f>IFERROR(SUM(X80:X80),"0")</f>
        <v>84</v>
      </c>
      <c r="Y81" s="280">
        <f>IFERROR(SUM(Y80:Y80),"0")</f>
        <v>84</v>
      </c>
      <c r="Z81" s="280">
        <f>IFERROR(IF(Z80="",0,Z80),"0")</f>
        <v>1.5019199999999999</v>
      </c>
      <c r="AA81" s="281"/>
      <c r="AB81" s="281"/>
      <c r="AC81" s="281"/>
    </row>
    <row r="82" spans="1:68" x14ac:dyDescent="0.2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99"/>
      <c r="P82" s="284" t="s">
        <v>86</v>
      </c>
      <c r="Q82" s="285"/>
      <c r="R82" s="285"/>
      <c r="S82" s="285"/>
      <c r="T82" s="285"/>
      <c r="U82" s="285"/>
      <c r="V82" s="286"/>
      <c r="W82" s="37" t="s">
        <v>87</v>
      </c>
      <c r="X82" s="280">
        <f>IFERROR(SUMPRODUCT(X80:X80*H80:H80),"0")</f>
        <v>302.40000000000003</v>
      </c>
      <c r="Y82" s="280">
        <f>IFERROR(SUMPRODUCT(Y80:Y80*H80:H80),"0")</f>
        <v>302.40000000000003</v>
      </c>
      <c r="Z82" s="37"/>
      <c r="AA82" s="281"/>
      <c r="AB82" s="281"/>
      <c r="AC82" s="281"/>
    </row>
    <row r="83" spans="1:68" ht="16.5" hidden="1" customHeight="1" x14ac:dyDescent="0.25">
      <c r="A83" s="287" t="s">
        <v>156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73"/>
      <c r="AB83" s="273"/>
      <c r="AC83" s="273"/>
    </row>
    <row r="84" spans="1:68" ht="14.25" hidden="1" customHeight="1" x14ac:dyDescent="0.25">
      <c r="A84" s="324" t="s">
        <v>157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74"/>
      <c r="AB84" s="274"/>
      <c r="AC84" s="274"/>
    </row>
    <row r="85" spans="1:68" ht="27" customHeight="1" x14ac:dyDescent="0.25">
      <c r="A85" s="54" t="s">
        <v>158</v>
      </c>
      <c r="B85" s="54" t="s">
        <v>159</v>
      </c>
      <c r="C85" s="31">
        <v>4301131047</v>
      </c>
      <c r="D85" s="291">
        <v>4607111034120</v>
      </c>
      <c r="E85" s="292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4"/>
      <c r="V85" s="34"/>
      <c r="W85" s="35" t="s">
        <v>67</v>
      </c>
      <c r="X85" s="278">
        <v>140</v>
      </c>
      <c r="Y85" s="279">
        <f>IFERROR(IF(X85="","",X85),"")</f>
        <v>140</v>
      </c>
      <c r="Z85" s="36">
        <f>IFERROR(IF(X85="","",X85*0.01788),"")</f>
        <v>2.5032000000000001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602.50400000000002</v>
      </c>
      <c r="BN85" s="67">
        <f>IFERROR(Y85*I85,"0")</f>
        <v>602.50400000000002</v>
      </c>
      <c r="BO85" s="67">
        <f>IFERROR(X85/J85,"0")</f>
        <v>2</v>
      </c>
      <c r="BP85" s="67">
        <f>IFERROR(Y85/J85,"0")</f>
        <v>2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91">
        <v>4607111034137</v>
      </c>
      <c r="E86" s="292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67</v>
      </c>
      <c r="X86" s="278">
        <v>70</v>
      </c>
      <c r="Y86" s="279">
        <f>IFERROR(IF(X86="","",X86),"")</f>
        <v>70</v>
      </c>
      <c r="Z86" s="36">
        <f>IFERROR(IF(X86="","",X86*0.01788),"")</f>
        <v>1.2516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301.25200000000001</v>
      </c>
      <c r="BN86" s="67">
        <f>IFERROR(Y86*I86,"0")</f>
        <v>301.25200000000001</v>
      </c>
      <c r="BO86" s="67">
        <f>IFERROR(X86/J86,"0")</f>
        <v>1</v>
      </c>
      <c r="BP86" s="67">
        <f>IFERROR(Y86/J86,"0")</f>
        <v>1</v>
      </c>
    </row>
    <row r="87" spans="1:68" x14ac:dyDescent="0.2">
      <c r="A87" s="29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99"/>
      <c r="P87" s="284" t="s">
        <v>86</v>
      </c>
      <c r="Q87" s="285"/>
      <c r="R87" s="285"/>
      <c r="S87" s="285"/>
      <c r="T87" s="285"/>
      <c r="U87" s="285"/>
      <c r="V87" s="286"/>
      <c r="W87" s="37" t="s">
        <v>67</v>
      </c>
      <c r="X87" s="280">
        <f>IFERROR(SUM(X85:X86),"0")</f>
        <v>210</v>
      </c>
      <c r="Y87" s="280">
        <f>IFERROR(SUM(Y85:Y86),"0")</f>
        <v>210</v>
      </c>
      <c r="Z87" s="280">
        <f>IFERROR(IF(Z85="",0,Z85),"0")+IFERROR(IF(Z86="",0,Z86),"0")</f>
        <v>3.7548000000000004</v>
      </c>
      <c r="AA87" s="281"/>
      <c r="AB87" s="281"/>
      <c r="AC87" s="281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99"/>
      <c r="P88" s="284" t="s">
        <v>86</v>
      </c>
      <c r="Q88" s="285"/>
      <c r="R88" s="285"/>
      <c r="S88" s="285"/>
      <c r="T88" s="285"/>
      <c r="U88" s="285"/>
      <c r="V88" s="286"/>
      <c r="W88" s="37" t="s">
        <v>87</v>
      </c>
      <c r="X88" s="280">
        <f>IFERROR(SUMPRODUCT(X85:X86*H85:H86),"0")</f>
        <v>756</v>
      </c>
      <c r="Y88" s="280">
        <f>IFERROR(SUMPRODUCT(Y85:Y86*H85:H86),"0")</f>
        <v>756</v>
      </c>
      <c r="Z88" s="37"/>
      <c r="AA88" s="281"/>
      <c r="AB88" s="281"/>
      <c r="AC88" s="281"/>
    </row>
    <row r="89" spans="1:68" ht="16.5" hidden="1" customHeight="1" x14ac:dyDescent="0.25">
      <c r="A89" s="287" t="s">
        <v>164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73"/>
      <c r="AB89" s="273"/>
      <c r="AC89" s="273"/>
    </row>
    <row r="90" spans="1:68" ht="14.25" hidden="1" customHeight="1" x14ac:dyDescent="0.25">
      <c r="A90" s="324" t="s">
        <v>152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91">
        <v>4620207491027</v>
      </c>
      <c r="E91" s="292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4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4"/>
      <c r="V91" s="34"/>
      <c r="W91" s="35" t="s">
        <v>67</v>
      </c>
      <c r="X91" s="278">
        <v>70</v>
      </c>
      <c r="Y91" s="279">
        <f t="shared" ref="Y91:Y96" si="6">IFERROR(IF(X91="","",X91),"")</f>
        <v>70</v>
      </c>
      <c r="Z91" s="36">
        <f t="shared" ref="Z91:Z96" si="7">IFERROR(IF(X91="","",X91*0.01788),"")</f>
        <v>1.2516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250.852</v>
      </c>
      <c r="BN91" s="67">
        <f t="shared" ref="BN91:BN96" si="9">IFERROR(Y91*I91,"0")</f>
        <v>250.852</v>
      </c>
      <c r="BO91" s="67">
        <f t="shared" ref="BO91:BO96" si="10">IFERROR(X91/J91,"0")</f>
        <v>1</v>
      </c>
      <c r="BP91" s="67">
        <f t="shared" ref="BP91:BP96" si="11">IFERROR(Y91/J91,"0")</f>
        <v>1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91">
        <v>4620207491621</v>
      </c>
      <c r="E92" s="292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3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4"/>
      <c r="V92" s="34"/>
      <c r="W92" s="35" t="s">
        <v>67</v>
      </c>
      <c r="X92" s="278">
        <v>84</v>
      </c>
      <c r="Y92" s="279">
        <f t="shared" si="6"/>
        <v>84</v>
      </c>
      <c r="Z92" s="36">
        <f t="shared" si="7"/>
        <v>1.5019199999999999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301.0224</v>
      </c>
      <c r="BN92" s="67">
        <f t="shared" si="9"/>
        <v>301.0224</v>
      </c>
      <c r="BO92" s="67">
        <f t="shared" si="10"/>
        <v>1.2</v>
      </c>
      <c r="BP92" s="67">
        <f t="shared" si="11"/>
        <v>1.2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91">
        <v>4620207491881</v>
      </c>
      <c r="E93" s="292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91">
        <v>4620207491577</v>
      </c>
      <c r="E94" s="292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3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67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91">
        <v>4620207491874</v>
      </c>
      <c r="E95" s="292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4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4"/>
      <c r="V95" s="34"/>
      <c r="W95" s="35" t="s">
        <v>67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91">
        <v>4620207491782</v>
      </c>
      <c r="E96" s="292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43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29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99"/>
      <c r="P97" s="284" t="s">
        <v>86</v>
      </c>
      <c r="Q97" s="285"/>
      <c r="R97" s="285"/>
      <c r="S97" s="285"/>
      <c r="T97" s="285"/>
      <c r="U97" s="285"/>
      <c r="V97" s="286"/>
      <c r="W97" s="37" t="s">
        <v>67</v>
      </c>
      <c r="X97" s="280">
        <f>IFERROR(SUM(X91:X96),"0")</f>
        <v>210</v>
      </c>
      <c r="Y97" s="280">
        <f>IFERROR(SUM(Y91:Y96),"0")</f>
        <v>210</v>
      </c>
      <c r="Z97" s="280">
        <f>IFERROR(IF(Z91="",0,Z91),"0")+IFERROR(IF(Z92="",0,Z92),"0")+IFERROR(IF(Z93="",0,Z93),"0")+IFERROR(IF(Z94="",0,Z94),"0")+IFERROR(IF(Z95="",0,Z95),"0")+IFERROR(IF(Z96="",0,Z96),"0")</f>
        <v>3.7547999999999999</v>
      </c>
      <c r="AA97" s="281"/>
      <c r="AB97" s="281"/>
      <c r="AC97" s="281"/>
    </row>
    <row r="98" spans="1:68" x14ac:dyDescent="0.2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99"/>
      <c r="P98" s="284" t="s">
        <v>86</v>
      </c>
      <c r="Q98" s="285"/>
      <c r="R98" s="285"/>
      <c r="S98" s="285"/>
      <c r="T98" s="285"/>
      <c r="U98" s="285"/>
      <c r="V98" s="286"/>
      <c r="W98" s="37" t="s">
        <v>87</v>
      </c>
      <c r="X98" s="280">
        <f>IFERROR(SUMPRODUCT(X91:X96*H91:H96),"0")</f>
        <v>645.12</v>
      </c>
      <c r="Y98" s="280">
        <f>IFERROR(SUMPRODUCT(Y91:Y96*H91:H96),"0")</f>
        <v>645.12</v>
      </c>
      <c r="Z98" s="37"/>
      <c r="AA98" s="281"/>
      <c r="AB98" s="281"/>
      <c r="AC98" s="281"/>
    </row>
    <row r="99" spans="1:68" ht="16.5" hidden="1" customHeight="1" x14ac:dyDescent="0.25">
      <c r="A99" s="287" t="s">
        <v>179</v>
      </c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73"/>
      <c r="AB99" s="273"/>
      <c r="AC99" s="273"/>
    </row>
    <row r="100" spans="1:68" ht="14.25" hidden="1" customHeight="1" x14ac:dyDescent="0.25">
      <c r="A100" s="324" t="s">
        <v>180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74"/>
      <c r="AB100" s="274"/>
      <c r="AC100" s="274"/>
    </row>
    <row r="101" spans="1:68" ht="27" customHeight="1" x14ac:dyDescent="0.25">
      <c r="A101" s="54" t="s">
        <v>181</v>
      </c>
      <c r="B101" s="54" t="s">
        <v>182</v>
      </c>
      <c r="C101" s="31">
        <v>4301136101</v>
      </c>
      <c r="D101" s="291">
        <v>4620207491652</v>
      </c>
      <c r="E101" s="292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4"/>
      <c r="V101" s="34"/>
      <c r="W101" s="35" t="s">
        <v>67</v>
      </c>
      <c r="X101" s="278">
        <v>84</v>
      </c>
      <c r="Y101" s="279">
        <f>IFERROR(IF(X101="","",X101),"")</f>
        <v>84</v>
      </c>
      <c r="Z101" s="36">
        <f>IFERROR(IF(X101="","",X101*0.00936),"")</f>
        <v>0.78624000000000005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209.26080000000002</v>
      </c>
      <c r="BN101" s="67">
        <f>IFERROR(Y101*I101,"0")</f>
        <v>209.26080000000002</v>
      </c>
      <c r="BO101" s="67">
        <f>IFERROR(X101/J101,"0")</f>
        <v>0.66666666666666663</v>
      </c>
      <c r="BP101" s="67">
        <f>IFERROR(Y101/J101,"0")</f>
        <v>0.66666666666666663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91">
        <v>4620207491645</v>
      </c>
      <c r="E102" s="292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29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99"/>
      <c r="P103" s="284" t="s">
        <v>86</v>
      </c>
      <c r="Q103" s="285"/>
      <c r="R103" s="285"/>
      <c r="S103" s="285"/>
      <c r="T103" s="285"/>
      <c r="U103" s="285"/>
      <c r="V103" s="286"/>
      <c r="W103" s="37" t="s">
        <v>67</v>
      </c>
      <c r="X103" s="280">
        <f>IFERROR(SUM(X101:X102),"0")</f>
        <v>84</v>
      </c>
      <c r="Y103" s="280">
        <f>IFERROR(SUM(Y101:Y102),"0")</f>
        <v>84</v>
      </c>
      <c r="Z103" s="280">
        <f>IFERROR(IF(Z101="",0,Z101),"0")+IFERROR(IF(Z102="",0,Z102),"0")</f>
        <v>0.78624000000000005</v>
      </c>
      <c r="AA103" s="281"/>
      <c r="AB103" s="281"/>
      <c r="AC103" s="281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99"/>
      <c r="P104" s="284" t="s">
        <v>86</v>
      </c>
      <c r="Q104" s="285"/>
      <c r="R104" s="285"/>
      <c r="S104" s="285"/>
      <c r="T104" s="285"/>
      <c r="U104" s="285"/>
      <c r="V104" s="286"/>
      <c r="W104" s="37" t="s">
        <v>87</v>
      </c>
      <c r="X104" s="280">
        <f>IFERROR(SUMPRODUCT(X101:X102*H101:H102),"0")</f>
        <v>181.44</v>
      </c>
      <c r="Y104" s="280">
        <f>IFERROR(SUMPRODUCT(Y101:Y102*H101:H102),"0")</f>
        <v>181.44</v>
      </c>
      <c r="Z104" s="37"/>
      <c r="AA104" s="281"/>
      <c r="AB104" s="281"/>
      <c r="AC104" s="281"/>
    </row>
    <row r="105" spans="1:68" ht="16.5" hidden="1" customHeight="1" x14ac:dyDescent="0.25">
      <c r="A105" s="287" t="s">
        <v>186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73"/>
      <c r="AB105" s="273"/>
      <c r="AC105" s="273"/>
    </row>
    <row r="106" spans="1:68" ht="14.25" hidden="1" customHeight="1" x14ac:dyDescent="0.25">
      <c r="A106" s="324" t="s">
        <v>61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91">
        <v>4620207491157</v>
      </c>
      <c r="E107" s="292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4"/>
      <c r="V107" s="34"/>
      <c r="W107" s="35" t="s">
        <v>67</v>
      </c>
      <c r="X107" s="278">
        <v>84</v>
      </c>
      <c r="Y107" s="279">
        <f t="shared" ref="Y107:Y113" si="12">IFERROR(IF(X107="","",X107),"")</f>
        <v>84</v>
      </c>
      <c r="Z107" s="36">
        <f t="shared" ref="Z107:Z113" si="13">IFERROR(IF(X107="","",X107*0.0155),"")</f>
        <v>1.302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611.52</v>
      </c>
      <c r="BN107" s="67">
        <f t="shared" ref="BN107:BN113" si="15">IFERROR(Y107*I107,"0")</f>
        <v>611.52</v>
      </c>
      <c r="BO107" s="67">
        <f t="shared" ref="BO107:BO113" si="16">IFERROR(X107/J107,"0")</f>
        <v>1</v>
      </c>
      <c r="BP107" s="67">
        <f t="shared" ref="BP107:BP113" si="17">IFERROR(Y107/J107,"0")</f>
        <v>1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91">
        <v>4620207491393</v>
      </c>
      <c r="E108" s="292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91">
        <v>4607111039262</v>
      </c>
      <c r="E109" s="292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91">
        <v>4607111039248</v>
      </c>
      <c r="E110" s="292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4"/>
      <c r="V110" s="34"/>
      <c r="W110" s="35" t="s">
        <v>67</v>
      </c>
      <c r="X110" s="278">
        <v>120</v>
      </c>
      <c r="Y110" s="279">
        <f t="shared" si="12"/>
        <v>120</v>
      </c>
      <c r="Z110" s="36">
        <f t="shared" si="13"/>
        <v>1.8599999999999999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876</v>
      </c>
      <c r="BN110" s="67">
        <f t="shared" si="15"/>
        <v>876</v>
      </c>
      <c r="BO110" s="67">
        <f t="shared" si="16"/>
        <v>1.4285714285714286</v>
      </c>
      <c r="BP110" s="67">
        <f t="shared" si="17"/>
        <v>1.4285714285714286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91">
        <v>4607111037145</v>
      </c>
      <c r="E111" s="292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91">
        <v>4607111039293</v>
      </c>
      <c r="E112" s="292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4"/>
      <c r="V112" s="34"/>
      <c r="W112" s="35" t="s">
        <v>67</v>
      </c>
      <c r="X112" s="278">
        <v>12</v>
      </c>
      <c r="Y112" s="279">
        <f t="shared" si="12"/>
        <v>12</v>
      </c>
      <c r="Z112" s="36">
        <f t="shared" si="13"/>
        <v>0.186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91">
        <v>4607111039279</v>
      </c>
      <c r="E113" s="292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5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4"/>
      <c r="V113" s="34"/>
      <c r="W113" s="35" t="s">
        <v>67</v>
      </c>
      <c r="X113" s="278">
        <v>108</v>
      </c>
      <c r="Y113" s="279">
        <f t="shared" si="12"/>
        <v>108</v>
      </c>
      <c r="Z113" s="36">
        <f t="shared" si="13"/>
        <v>1.6739999999999999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788.4</v>
      </c>
      <c r="BN113" s="67">
        <f t="shared" si="15"/>
        <v>788.4</v>
      </c>
      <c r="BO113" s="67">
        <f t="shared" si="16"/>
        <v>1.2857142857142858</v>
      </c>
      <c r="BP113" s="67">
        <f t="shared" si="17"/>
        <v>1.2857142857142858</v>
      </c>
    </row>
    <row r="114" spans="1:68" x14ac:dyDescent="0.2">
      <c r="A114" s="29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99"/>
      <c r="P114" s="284" t="s">
        <v>86</v>
      </c>
      <c r="Q114" s="285"/>
      <c r="R114" s="285"/>
      <c r="S114" s="285"/>
      <c r="T114" s="285"/>
      <c r="U114" s="285"/>
      <c r="V114" s="286"/>
      <c r="W114" s="37" t="s">
        <v>67</v>
      </c>
      <c r="X114" s="280">
        <f>IFERROR(SUM(X107:X113),"0")</f>
        <v>324</v>
      </c>
      <c r="Y114" s="280">
        <f>IFERROR(SUM(Y107:Y113),"0")</f>
        <v>324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5.0220000000000002</v>
      </c>
      <c r="AA114" s="281"/>
      <c r="AB114" s="281"/>
      <c r="AC114" s="281"/>
    </row>
    <row r="115" spans="1:68" x14ac:dyDescent="0.2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99"/>
      <c r="P115" s="284" t="s">
        <v>86</v>
      </c>
      <c r="Q115" s="285"/>
      <c r="R115" s="285"/>
      <c r="S115" s="285"/>
      <c r="T115" s="285"/>
      <c r="U115" s="285"/>
      <c r="V115" s="286"/>
      <c r="W115" s="37" t="s">
        <v>87</v>
      </c>
      <c r="X115" s="280">
        <f>IFERROR(SUMPRODUCT(X107:X113*H107:H113),"0")</f>
        <v>2260.8000000000002</v>
      </c>
      <c r="Y115" s="280">
        <f>IFERROR(SUMPRODUCT(Y107:Y113*H107:H113),"0")</f>
        <v>2260.8000000000002</v>
      </c>
      <c r="Z115" s="37"/>
      <c r="AA115" s="281"/>
      <c r="AB115" s="281"/>
      <c r="AC115" s="281"/>
    </row>
    <row r="116" spans="1:68" ht="14.25" hidden="1" customHeight="1" x14ac:dyDescent="0.25">
      <c r="A116" s="324" t="s">
        <v>152</v>
      </c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91">
        <v>4620207490983</v>
      </c>
      <c r="E117" s="292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99"/>
      <c r="P118" s="284" t="s">
        <v>86</v>
      </c>
      <c r="Q118" s="285"/>
      <c r="R118" s="285"/>
      <c r="S118" s="285"/>
      <c r="T118" s="285"/>
      <c r="U118" s="285"/>
      <c r="V118" s="286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99"/>
      <c r="P119" s="284" t="s">
        <v>86</v>
      </c>
      <c r="Q119" s="285"/>
      <c r="R119" s="285"/>
      <c r="S119" s="285"/>
      <c r="T119" s="285"/>
      <c r="U119" s="285"/>
      <c r="V119" s="286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24" t="s">
        <v>208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91">
        <v>4620207491140</v>
      </c>
      <c r="E121" s="292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99"/>
      <c r="P122" s="284" t="s">
        <v>86</v>
      </c>
      <c r="Q122" s="285"/>
      <c r="R122" s="285"/>
      <c r="S122" s="285"/>
      <c r="T122" s="285"/>
      <c r="U122" s="285"/>
      <c r="V122" s="286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99"/>
      <c r="P123" s="284" t="s">
        <v>86</v>
      </c>
      <c r="Q123" s="285"/>
      <c r="R123" s="285"/>
      <c r="S123" s="285"/>
      <c r="T123" s="285"/>
      <c r="U123" s="285"/>
      <c r="V123" s="286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87" t="s">
        <v>212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73"/>
      <c r="AB124" s="273"/>
      <c r="AC124" s="273"/>
    </row>
    <row r="125" spans="1:68" ht="14.25" hidden="1" customHeight="1" x14ac:dyDescent="0.25">
      <c r="A125" s="324" t="s">
        <v>61</v>
      </c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91">
        <v>4620207491904</v>
      </c>
      <c r="E126" s="292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99"/>
      <c r="P127" s="284" t="s">
        <v>86</v>
      </c>
      <c r="Q127" s="285"/>
      <c r="R127" s="285"/>
      <c r="S127" s="285"/>
      <c r="T127" s="285"/>
      <c r="U127" s="285"/>
      <c r="V127" s="286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99"/>
      <c r="P128" s="284" t="s">
        <v>86</v>
      </c>
      <c r="Q128" s="285"/>
      <c r="R128" s="285"/>
      <c r="S128" s="285"/>
      <c r="T128" s="285"/>
      <c r="U128" s="285"/>
      <c r="V128" s="286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24" t="s">
        <v>152</v>
      </c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91">
        <v>4620207491492</v>
      </c>
      <c r="E130" s="292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39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4"/>
      <c r="V130" s="34"/>
      <c r="W130" s="35" t="s">
        <v>67</v>
      </c>
      <c r="X130" s="278">
        <v>56</v>
      </c>
      <c r="Y130" s="279">
        <f>IFERROR(IF(X130="","",X130),"")</f>
        <v>56</v>
      </c>
      <c r="Z130" s="36">
        <f>IFERROR(IF(X130="","",X130*0.00941),"")</f>
        <v>0.52695999999999998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100.8</v>
      </c>
      <c r="BN130" s="67">
        <f>IFERROR(Y130*I130,"0")</f>
        <v>100.8</v>
      </c>
      <c r="BO130" s="67">
        <f>IFERROR(X130/J130,"0")</f>
        <v>0.4</v>
      </c>
      <c r="BP130" s="67">
        <f>IFERROR(Y130/J130,"0")</f>
        <v>0.4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91">
        <v>4620207491461</v>
      </c>
      <c r="E131" s="292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4"/>
      <c r="V131" s="34"/>
      <c r="W131" s="35" t="s">
        <v>67</v>
      </c>
      <c r="X131" s="278">
        <v>28</v>
      </c>
      <c r="Y131" s="279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91">
        <v>4620207491485</v>
      </c>
      <c r="E132" s="292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4"/>
      <c r="V132" s="34"/>
      <c r="W132" s="35" t="s">
        <v>67</v>
      </c>
      <c r="X132" s="278">
        <v>140</v>
      </c>
      <c r="Y132" s="279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91">
        <v>4620207491799</v>
      </c>
      <c r="E133" s="292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4"/>
      <c r="V133" s="34"/>
      <c r="W133" s="35" t="s">
        <v>67</v>
      </c>
      <c r="X133" s="278">
        <v>28</v>
      </c>
      <c r="Y133" s="279">
        <f>IFERROR(IF(X133="","",X133),"")</f>
        <v>28</v>
      </c>
      <c r="Z133" s="36">
        <f>IFERROR(IF(X133="","",X133*0.00941),"")</f>
        <v>0.26347999999999999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50.4</v>
      </c>
      <c r="BN133" s="67">
        <f>IFERROR(Y133*I133,"0")</f>
        <v>50.4</v>
      </c>
      <c r="BO133" s="67">
        <f>IFERROR(X133/J133,"0")</f>
        <v>0.2</v>
      </c>
      <c r="BP133" s="67">
        <f>IFERROR(Y133/J133,"0")</f>
        <v>0.2</v>
      </c>
    </row>
    <row r="134" spans="1:68" x14ac:dyDescent="0.2">
      <c r="A134" s="29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99"/>
      <c r="P134" s="284" t="s">
        <v>86</v>
      </c>
      <c r="Q134" s="285"/>
      <c r="R134" s="285"/>
      <c r="S134" s="285"/>
      <c r="T134" s="285"/>
      <c r="U134" s="285"/>
      <c r="V134" s="286"/>
      <c r="W134" s="37" t="s">
        <v>67</v>
      </c>
      <c r="X134" s="280">
        <f>IFERROR(SUM(X130:X133),"0")</f>
        <v>252</v>
      </c>
      <c r="Y134" s="280">
        <f>IFERROR(SUM(Y130:Y133),"0")</f>
        <v>252</v>
      </c>
      <c r="Z134" s="280">
        <f>IFERROR(IF(Z130="",0,Z130),"0")+IFERROR(IF(Z131="",0,Z131),"0")+IFERROR(IF(Z132="",0,Z132),"0")+IFERROR(IF(Z133="",0,Z133),"0")</f>
        <v>2.3713199999999999</v>
      </c>
      <c r="AA134" s="281"/>
      <c r="AB134" s="281"/>
      <c r="AC134" s="281"/>
    </row>
    <row r="135" spans="1:68" x14ac:dyDescent="0.2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99"/>
      <c r="P135" s="284" t="s">
        <v>86</v>
      </c>
      <c r="Q135" s="285"/>
      <c r="R135" s="285"/>
      <c r="S135" s="285"/>
      <c r="T135" s="285"/>
      <c r="U135" s="285"/>
      <c r="V135" s="286"/>
      <c r="W135" s="37" t="s">
        <v>87</v>
      </c>
      <c r="X135" s="280">
        <f>IFERROR(SUMPRODUCT(X130:X133*H130:H133),"0")</f>
        <v>346.08</v>
      </c>
      <c r="Y135" s="280">
        <f>IFERROR(SUMPRODUCT(Y130:Y133*H130:H133),"0")</f>
        <v>346.08</v>
      </c>
      <c r="Z135" s="37"/>
      <c r="AA135" s="281"/>
      <c r="AB135" s="281"/>
      <c r="AC135" s="281"/>
    </row>
    <row r="136" spans="1:68" ht="14.25" hidden="1" customHeight="1" x14ac:dyDescent="0.25">
      <c r="A136" s="324" t="s">
        <v>225</v>
      </c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91">
        <v>4620207491386</v>
      </c>
      <c r="E137" s="292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4301190115</v>
      </c>
      <c r="D138" s="291">
        <v>4620207491362</v>
      </c>
      <c r="E138" s="292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4"/>
      <c r="V138" s="34"/>
      <c r="W138" s="35" t="s">
        <v>67</v>
      </c>
      <c r="X138" s="278">
        <v>14</v>
      </c>
      <c r="Y138" s="279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91">
        <v>4620207491379</v>
      </c>
      <c r="E139" s="292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2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99"/>
      <c r="P140" s="284" t="s">
        <v>86</v>
      </c>
      <c r="Q140" s="285"/>
      <c r="R140" s="285"/>
      <c r="S140" s="285"/>
      <c r="T140" s="285"/>
      <c r="U140" s="285"/>
      <c r="V140" s="286"/>
      <c r="W140" s="37" t="s">
        <v>67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99"/>
      <c r="P141" s="284" t="s">
        <v>86</v>
      </c>
      <c r="Q141" s="285"/>
      <c r="R141" s="285"/>
      <c r="S141" s="285"/>
      <c r="T141" s="285"/>
      <c r="U141" s="285"/>
      <c r="V141" s="286"/>
      <c r="W141" s="37" t="s">
        <v>87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7"/>
      <c r="AA141" s="281"/>
      <c r="AB141" s="281"/>
      <c r="AC141" s="281"/>
    </row>
    <row r="142" spans="1:68" ht="16.5" hidden="1" customHeight="1" x14ac:dyDescent="0.25">
      <c r="A142" s="287" t="s">
        <v>233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73"/>
      <c r="AB142" s="273"/>
      <c r="AC142" s="273"/>
    </row>
    <row r="143" spans="1:68" ht="14.25" hidden="1" customHeight="1" x14ac:dyDescent="0.25">
      <c r="A143" s="324" t="s">
        <v>152</v>
      </c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91">
        <v>4620207491560</v>
      </c>
      <c r="E144" s="292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32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4"/>
      <c r="V144" s="34"/>
      <c r="W144" s="35" t="s">
        <v>67</v>
      </c>
      <c r="X144" s="278">
        <v>168</v>
      </c>
      <c r="Y144" s="279">
        <f>IFERROR(IF(X144="","",X144),"")</f>
        <v>168</v>
      </c>
      <c r="Z144" s="36">
        <f>IFERROR(IF(X144="","",X144*0.01788),"")</f>
        <v>3.0038399999999998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622.20479999999998</v>
      </c>
      <c r="BN144" s="67">
        <f>IFERROR(Y144*I144,"0")</f>
        <v>622.20479999999998</v>
      </c>
      <c r="BO144" s="67">
        <f>IFERROR(X144/J144,"0")</f>
        <v>2.4</v>
      </c>
      <c r="BP144" s="67">
        <f>IFERROR(Y144/J144,"0")</f>
        <v>2.4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91">
        <v>4620207491584</v>
      </c>
      <c r="E145" s="292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3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4"/>
      <c r="V145" s="34"/>
      <c r="W145" s="35" t="s">
        <v>67</v>
      </c>
      <c r="X145" s="278">
        <v>182</v>
      </c>
      <c r="Y145" s="279">
        <f>IFERROR(IF(X145="","",X145),"")</f>
        <v>182</v>
      </c>
      <c r="Z145" s="36">
        <f>IFERROR(IF(X145="","",X145*0.01788),"")</f>
        <v>3.2541600000000002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674.05520000000001</v>
      </c>
      <c r="BN145" s="67">
        <f>IFERROR(Y145*I145,"0")</f>
        <v>674.05520000000001</v>
      </c>
      <c r="BO145" s="67">
        <f>IFERROR(X145/J145,"0")</f>
        <v>2.6</v>
      </c>
      <c r="BP145" s="67">
        <f>IFERROR(Y145/J145,"0")</f>
        <v>2.6</v>
      </c>
    </row>
    <row r="146" spans="1:68" x14ac:dyDescent="0.2">
      <c r="A146" s="29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99"/>
      <c r="P146" s="284" t="s">
        <v>86</v>
      </c>
      <c r="Q146" s="285"/>
      <c r="R146" s="285"/>
      <c r="S146" s="285"/>
      <c r="T146" s="285"/>
      <c r="U146" s="285"/>
      <c r="V146" s="286"/>
      <c r="W146" s="37" t="s">
        <v>67</v>
      </c>
      <c r="X146" s="280">
        <f>IFERROR(SUM(X144:X145),"0")</f>
        <v>350</v>
      </c>
      <c r="Y146" s="280">
        <f>IFERROR(SUM(Y144:Y145),"0")</f>
        <v>350</v>
      </c>
      <c r="Z146" s="280">
        <f>IFERROR(IF(Z144="",0,Z144),"0")+IFERROR(IF(Z145="",0,Z145),"0")</f>
        <v>6.258</v>
      </c>
      <c r="AA146" s="281"/>
      <c r="AB146" s="281"/>
      <c r="AC146" s="281"/>
    </row>
    <row r="147" spans="1:68" x14ac:dyDescent="0.2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99"/>
      <c r="P147" s="284" t="s">
        <v>86</v>
      </c>
      <c r="Q147" s="285"/>
      <c r="R147" s="285"/>
      <c r="S147" s="285"/>
      <c r="T147" s="285"/>
      <c r="U147" s="285"/>
      <c r="V147" s="286"/>
      <c r="W147" s="37" t="s">
        <v>87</v>
      </c>
      <c r="X147" s="280">
        <f>IFERROR(SUMPRODUCT(X144:X145*H144:H145),"0")</f>
        <v>1050</v>
      </c>
      <c r="Y147" s="280">
        <f>IFERROR(SUMPRODUCT(Y144:Y145*H144:H145),"0")</f>
        <v>1050</v>
      </c>
      <c r="Z147" s="37"/>
      <c r="AA147" s="281"/>
      <c r="AB147" s="281"/>
      <c r="AC147" s="281"/>
    </row>
    <row r="148" spans="1:68" ht="16.5" hidden="1" customHeight="1" x14ac:dyDescent="0.25">
      <c r="A148" s="287" t="s">
        <v>239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73"/>
      <c r="AB148" s="273"/>
      <c r="AC148" s="273"/>
    </row>
    <row r="149" spans="1:68" ht="14.25" hidden="1" customHeight="1" x14ac:dyDescent="0.25">
      <c r="A149" s="324" t="s">
        <v>152</v>
      </c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74"/>
      <c r="AB149" s="274"/>
      <c r="AC149" s="274"/>
    </row>
    <row r="150" spans="1:68" ht="27" customHeight="1" x14ac:dyDescent="0.25">
      <c r="A150" s="54" t="s">
        <v>240</v>
      </c>
      <c r="B150" s="54" t="s">
        <v>241</v>
      </c>
      <c r="C150" s="31">
        <v>4301135954</v>
      </c>
      <c r="D150" s="291">
        <v>4620207491768</v>
      </c>
      <c r="E150" s="292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2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67</v>
      </c>
      <c r="X150" s="278">
        <v>84</v>
      </c>
      <c r="Y150" s="279">
        <f>IFERROR(IF(X150="","",X150),"")</f>
        <v>84</v>
      </c>
      <c r="Z150" s="36">
        <f>IFERROR(IF(X150="","",X150*0.01788),"")</f>
        <v>1.5019199999999999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314.83199999999999</v>
      </c>
      <c r="BN150" s="67">
        <f>IFERROR(Y150*I150,"0")</f>
        <v>314.83199999999999</v>
      </c>
      <c r="BO150" s="67">
        <f>IFERROR(X150/J150,"0")</f>
        <v>1.2</v>
      </c>
      <c r="BP150" s="67">
        <f>IFERROR(Y150/J150,"0")</f>
        <v>1.2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91">
        <v>4620207491553</v>
      </c>
      <c r="E151" s="292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9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99"/>
      <c r="P152" s="284" t="s">
        <v>86</v>
      </c>
      <c r="Q152" s="285"/>
      <c r="R152" s="285"/>
      <c r="S152" s="285"/>
      <c r="T152" s="285"/>
      <c r="U152" s="285"/>
      <c r="V152" s="286"/>
      <c r="W152" s="37" t="s">
        <v>67</v>
      </c>
      <c r="X152" s="280">
        <f>IFERROR(SUM(X150:X151),"0")</f>
        <v>84</v>
      </c>
      <c r="Y152" s="280">
        <f>IFERROR(SUM(Y150:Y151),"0")</f>
        <v>84</v>
      </c>
      <c r="Z152" s="280">
        <f>IFERROR(IF(Z150="",0,Z150),"0")+IFERROR(IF(Z151="",0,Z151),"0")</f>
        <v>1.5019199999999999</v>
      </c>
      <c r="AA152" s="281"/>
      <c r="AB152" s="281"/>
      <c r="AC152" s="281"/>
    </row>
    <row r="153" spans="1:68" x14ac:dyDescent="0.2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99"/>
      <c r="P153" s="284" t="s">
        <v>86</v>
      </c>
      <c r="Q153" s="285"/>
      <c r="R153" s="285"/>
      <c r="S153" s="285"/>
      <c r="T153" s="285"/>
      <c r="U153" s="285"/>
      <c r="V153" s="286"/>
      <c r="W153" s="37" t="s">
        <v>87</v>
      </c>
      <c r="X153" s="280">
        <f>IFERROR(SUMPRODUCT(X150:X151*H150:H151),"0")</f>
        <v>252</v>
      </c>
      <c r="Y153" s="280">
        <f>IFERROR(SUMPRODUCT(Y150:Y151*H150:H151),"0")</f>
        <v>252</v>
      </c>
      <c r="Z153" s="37"/>
      <c r="AA153" s="281"/>
      <c r="AB153" s="281"/>
      <c r="AC153" s="281"/>
    </row>
    <row r="154" spans="1:68" ht="16.5" hidden="1" customHeight="1" x14ac:dyDescent="0.25">
      <c r="A154" s="287" t="s">
        <v>245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73"/>
      <c r="AB154" s="273"/>
      <c r="AC154" s="273"/>
    </row>
    <row r="155" spans="1:68" ht="14.25" hidden="1" customHeight="1" x14ac:dyDescent="0.25">
      <c r="A155" s="324" t="s">
        <v>152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74"/>
      <c r="AB155" s="274"/>
      <c r="AC155" s="274"/>
    </row>
    <row r="156" spans="1:68" ht="27" customHeight="1" x14ac:dyDescent="0.25">
      <c r="A156" s="54" t="s">
        <v>246</v>
      </c>
      <c r="B156" s="54" t="s">
        <v>247</v>
      </c>
      <c r="C156" s="31">
        <v>4301135926</v>
      </c>
      <c r="D156" s="291">
        <v>4620207491669</v>
      </c>
      <c r="E156" s="292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40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67</v>
      </c>
      <c r="X156" s="278">
        <v>56</v>
      </c>
      <c r="Y156" s="279">
        <f>IFERROR(IF(X156="","",X156),"")</f>
        <v>56</v>
      </c>
      <c r="Z156" s="36">
        <f>IFERROR(IF(X156="","",X156*0.01788),"")</f>
        <v>1.0012799999999999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150.08000000000001</v>
      </c>
      <c r="BN156" s="67">
        <f>IFERROR(Y156*I156,"0")</f>
        <v>150.08000000000001</v>
      </c>
      <c r="BO156" s="67">
        <f>IFERROR(X156/J156,"0")</f>
        <v>0.8</v>
      </c>
      <c r="BP156" s="67">
        <f>IFERROR(Y156/J156,"0")</f>
        <v>0.8</v>
      </c>
    </row>
    <row r="157" spans="1:68" ht="27" customHeight="1" x14ac:dyDescent="0.25">
      <c r="A157" s="54" t="s">
        <v>249</v>
      </c>
      <c r="B157" s="54" t="s">
        <v>250</v>
      </c>
      <c r="C157" s="31">
        <v>4301135932</v>
      </c>
      <c r="D157" s="291">
        <v>4620207491676</v>
      </c>
      <c r="E157" s="292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4"/>
      <c r="V157" s="34"/>
      <c r="W157" s="35" t="s">
        <v>67</v>
      </c>
      <c r="X157" s="278">
        <v>56</v>
      </c>
      <c r="Y157" s="279">
        <f>IFERROR(IF(X157="","",X157),"")</f>
        <v>56</v>
      </c>
      <c r="Z157" s="36">
        <f>IFERROR(IF(X157="","",X157*0.01788),"")</f>
        <v>1.0012799999999999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9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99"/>
      <c r="P158" s="284" t="s">
        <v>86</v>
      </c>
      <c r="Q158" s="285"/>
      <c r="R158" s="285"/>
      <c r="S158" s="285"/>
      <c r="T158" s="285"/>
      <c r="U158" s="285"/>
      <c r="V158" s="286"/>
      <c r="W158" s="37" t="s">
        <v>67</v>
      </c>
      <c r="X158" s="280">
        <f>IFERROR(SUM(X156:X157),"0")</f>
        <v>112</v>
      </c>
      <c r="Y158" s="280">
        <f>IFERROR(SUM(Y156:Y157),"0")</f>
        <v>112</v>
      </c>
      <c r="Z158" s="280">
        <f>IFERROR(IF(Z156="",0,Z156),"0")+IFERROR(IF(Z157="",0,Z157),"0")</f>
        <v>2.0025599999999999</v>
      </c>
      <c r="AA158" s="281"/>
      <c r="AB158" s="281"/>
      <c r="AC158" s="281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99"/>
      <c r="P159" s="284" t="s">
        <v>86</v>
      </c>
      <c r="Q159" s="285"/>
      <c r="R159" s="285"/>
      <c r="S159" s="285"/>
      <c r="T159" s="285"/>
      <c r="U159" s="285"/>
      <c r="V159" s="286"/>
      <c r="W159" s="37" t="s">
        <v>87</v>
      </c>
      <c r="X159" s="280">
        <f>IFERROR(SUMPRODUCT(X156:X157*H156:H157),"0")</f>
        <v>268.8</v>
      </c>
      <c r="Y159" s="280">
        <f>IFERROR(SUMPRODUCT(Y156:Y157*H156:H157),"0")</f>
        <v>268.8</v>
      </c>
      <c r="Z159" s="37"/>
      <c r="AA159" s="281"/>
      <c r="AB159" s="281"/>
      <c r="AC159" s="281"/>
    </row>
    <row r="160" spans="1:68" ht="16.5" hidden="1" customHeight="1" x14ac:dyDescent="0.25">
      <c r="A160" s="287" t="s">
        <v>251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73"/>
      <c r="AB160" s="273"/>
      <c r="AC160" s="273"/>
    </row>
    <row r="161" spans="1:68" ht="14.25" hidden="1" customHeight="1" x14ac:dyDescent="0.25">
      <c r="A161" s="324" t="s">
        <v>152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91">
        <v>4620207491614</v>
      </c>
      <c r="E162" s="292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4"/>
      <c r="V162" s="34"/>
      <c r="W162" s="35" t="s">
        <v>67</v>
      </c>
      <c r="X162" s="278">
        <v>70</v>
      </c>
      <c r="Y162" s="279">
        <f>IFERROR(IF(X162="","",X162),"")</f>
        <v>70</v>
      </c>
      <c r="Z162" s="36">
        <f>IFERROR(IF(X162="","",X162*0.01788),"")</f>
        <v>1.2516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259.25200000000001</v>
      </c>
      <c r="BN162" s="67">
        <f>IFERROR(Y162*I162,"0")</f>
        <v>259.25200000000001</v>
      </c>
      <c r="BO162" s="67">
        <f>IFERROR(X162/J162,"0")</f>
        <v>1</v>
      </c>
      <c r="BP162" s="67">
        <f>IFERROR(Y162/J162,"0")</f>
        <v>1</v>
      </c>
    </row>
    <row r="163" spans="1:68" x14ac:dyDescent="0.2">
      <c r="A163" s="29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99"/>
      <c r="P163" s="284" t="s">
        <v>86</v>
      </c>
      <c r="Q163" s="285"/>
      <c r="R163" s="285"/>
      <c r="S163" s="285"/>
      <c r="T163" s="285"/>
      <c r="U163" s="285"/>
      <c r="V163" s="286"/>
      <c r="W163" s="37" t="s">
        <v>67</v>
      </c>
      <c r="X163" s="280">
        <f>IFERROR(SUM(X162:X162),"0")</f>
        <v>70</v>
      </c>
      <c r="Y163" s="280">
        <f>IFERROR(SUM(Y162:Y162),"0")</f>
        <v>70</v>
      </c>
      <c r="Z163" s="280">
        <f>IFERROR(IF(Z162="",0,Z162),"0")</f>
        <v>1.2516</v>
      </c>
      <c r="AA163" s="281"/>
      <c r="AB163" s="281"/>
      <c r="AC163" s="281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99"/>
      <c r="P164" s="284" t="s">
        <v>86</v>
      </c>
      <c r="Q164" s="285"/>
      <c r="R164" s="285"/>
      <c r="S164" s="285"/>
      <c r="T164" s="285"/>
      <c r="U164" s="285"/>
      <c r="V164" s="286"/>
      <c r="W164" s="37" t="s">
        <v>87</v>
      </c>
      <c r="X164" s="280">
        <f>IFERROR(SUMPRODUCT(X162:X162*H162:H162),"0")</f>
        <v>210</v>
      </c>
      <c r="Y164" s="280">
        <f>IFERROR(SUMPRODUCT(Y162:Y162*H162:H162),"0")</f>
        <v>210</v>
      </c>
      <c r="Z164" s="37"/>
      <c r="AA164" s="281"/>
      <c r="AB164" s="281"/>
      <c r="AC164" s="281"/>
    </row>
    <row r="165" spans="1:68" ht="16.5" hidden="1" customHeight="1" x14ac:dyDescent="0.25">
      <c r="A165" s="287" t="s">
        <v>254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73"/>
      <c r="AB165" s="273"/>
      <c r="AC165" s="273"/>
    </row>
    <row r="166" spans="1:68" ht="14.25" hidden="1" customHeight="1" x14ac:dyDescent="0.25">
      <c r="A166" s="324" t="s">
        <v>152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91">
        <v>4607111039613</v>
      </c>
      <c r="E167" s="292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8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99"/>
      <c r="P168" s="284" t="s">
        <v>86</v>
      </c>
      <c r="Q168" s="285"/>
      <c r="R168" s="285"/>
      <c r="S168" s="285"/>
      <c r="T168" s="285"/>
      <c r="U168" s="285"/>
      <c r="V168" s="286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99"/>
      <c r="P169" s="284" t="s">
        <v>86</v>
      </c>
      <c r="Q169" s="285"/>
      <c r="R169" s="285"/>
      <c r="S169" s="285"/>
      <c r="T169" s="285"/>
      <c r="U169" s="285"/>
      <c r="V169" s="286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87" t="s">
        <v>258</v>
      </c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73"/>
      <c r="AB170" s="273"/>
      <c r="AC170" s="273"/>
    </row>
    <row r="171" spans="1:68" ht="14.25" hidden="1" customHeight="1" x14ac:dyDescent="0.25">
      <c r="A171" s="324" t="s">
        <v>152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74"/>
      <c r="AB171" s="274"/>
      <c r="AC171" s="274"/>
    </row>
    <row r="172" spans="1:68" ht="27" customHeight="1" x14ac:dyDescent="0.25">
      <c r="A172" s="54" t="s">
        <v>259</v>
      </c>
      <c r="B172" s="54" t="s">
        <v>260</v>
      </c>
      <c r="C172" s="31">
        <v>4301135912</v>
      </c>
      <c r="D172" s="291">
        <v>4620207491751</v>
      </c>
      <c r="E172" s="292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2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4"/>
      <c r="V172" s="34"/>
      <c r="W172" s="35" t="s">
        <v>67</v>
      </c>
      <c r="X172" s="278">
        <v>126</v>
      </c>
      <c r="Y172" s="279">
        <f>IFERROR(IF(X172="","",X172),"")</f>
        <v>126</v>
      </c>
      <c r="Z172" s="36">
        <f>IFERROR(IF(X172="","",X172*0.00941),"")</f>
        <v>1.1856599999999999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264.82679999999999</v>
      </c>
      <c r="BN172" s="67">
        <f>IFERROR(Y172*I172,"0")</f>
        <v>264.82679999999999</v>
      </c>
      <c r="BO172" s="67">
        <f>IFERROR(X172/J172,"0")</f>
        <v>0.9</v>
      </c>
      <c r="BP172" s="67">
        <f>IFERROR(Y172/J172,"0")</f>
        <v>0.9</v>
      </c>
    </row>
    <row r="173" spans="1:68" x14ac:dyDescent="0.2">
      <c r="A173" s="29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99"/>
      <c r="P173" s="284" t="s">
        <v>86</v>
      </c>
      <c r="Q173" s="285"/>
      <c r="R173" s="285"/>
      <c r="S173" s="285"/>
      <c r="T173" s="285"/>
      <c r="U173" s="285"/>
      <c r="V173" s="286"/>
      <c r="W173" s="37" t="s">
        <v>67</v>
      </c>
      <c r="X173" s="280">
        <f>IFERROR(SUM(X172:X172),"0")</f>
        <v>126</v>
      </c>
      <c r="Y173" s="280">
        <f>IFERROR(SUM(Y172:Y172),"0")</f>
        <v>126</v>
      </c>
      <c r="Z173" s="280">
        <f>IFERROR(IF(Z172="",0,Z172),"0")</f>
        <v>1.1856599999999999</v>
      </c>
      <c r="AA173" s="281"/>
      <c r="AB173" s="281"/>
      <c r="AC173" s="281"/>
    </row>
    <row r="174" spans="1:68" x14ac:dyDescent="0.2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99"/>
      <c r="P174" s="284" t="s">
        <v>86</v>
      </c>
      <c r="Q174" s="285"/>
      <c r="R174" s="285"/>
      <c r="S174" s="285"/>
      <c r="T174" s="285"/>
      <c r="U174" s="285"/>
      <c r="V174" s="286"/>
      <c r="W174" s="37" t="s">
        <v>87</v>
      </c>
      <c r="X174" s="280">
        <f>IFERROR(SUMPRODUCT(X172:X172*H172:H172),"0")</f>
        <v>211.67999999999998</v>
      </c>
      <c r="Y174" s="280">
        <f>IFERROR(SUMPRODUCT(Y172:Y172*H172:H172),"0")</f>
        <v>211.67999999999998</v>
      </c>
      <c r="Z174" s="37"/>
      <c r="AA174" s="281"/>
      <c r="AB174" s="281"/>
      <c r="AC174" s="281"/>
    </row>
    <row r="175" spans="1:68" ht="27.75" hidden="1" customHeight="1" x14ac:dyDescent="0.2">
      <c r="A175" s="293" t="s">
        <v>261</v>
      </c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48"/>
      <c r="AB175" s="48"/>
      <c r="AC175" s="48"/>
    </row>
    <row r="176" spans="1:68" ht="16.5" hidden="1" customHeight="1" x14ac:dyDescent="0.25">
      <c r="A176" s="287" t="s">
        <v>262</v>
      </c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73"/>
      <c r="AB176" s="273"/>
      <c r="AC176" s="273"/>
    </row>
    <row r="177" spans="1:68" ht="14.25" hidden="1" customHeight="1" x14ac:dyDescent="0.25">
      <c r="A177" s="324" t="s">
        <v>101</v>
      </c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91">
        <v>4620207490631</v>
      </c>
      <c r="E178" s="292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4"/>
      <c r="V178" s="34"/>
      <c r="W178" s="35" t="s">
        <v>67</v>
      </c>
      <c r="X178" s="278">
        <v>192</v>
      </c>
      <c r="Y178" s="279">
        <f>IFERROR(IF(X178="","",X178),"")</f>
        <v>192</v>
      </c>
      <c r="Z178" s="36">
        <f>IFERROR(IF(X178="","",X178*0.0155),"")</f>
        <v>2.976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1197.1200000000001</v>
      </c>
      <c r="BN178" s="67">
        <f>IFERROR(Y178*I178,"0")</f>
        <v>1197.1200000000001</v>
      </c>
      <c r="BO178" s="67">
        <f>IFERROR(X178/J178,"0")</f>
        <v>2.2857142857142856</v>
      </c>
      <c r="BP178" s="67">
        <f>IFERROR(Y178/J178,"0")</f>
        <v>2.2857142857142856</v>
      </c>
    </row>
    <row r="179" spans="1:68" x14ac:dyDescent="0.2">
      <c r="A179" s="29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99"/>
      <c r="P179" s="284" t="s">
        <v>86</v>
      </c>
      <c r="Q179" s="285"/>
      <c r="R179" s="285"/>
      <c r="S179" s="285"/>
      <c r="T179" s="285"/>
      <c r="U179" s="285"/>
      <c r="V179" s="286"/>
      <c r="W179" s="37" t="s">
        <v>67</v>
      </c>
      <c r="X179" s="280">
        <f>IFERROR(SUM(X178:X178),"0")</f>
        <v>192</v>
      </c>
      <c r="Y179" s="280">
        <f>IFERROR(SUM(Y178:Y178),"0")</f>
        <v>192</v>
      </c>
      <c r="Z179" s="280">
        <f>IFERROR(IF(Z178="",0,Z178),"0")</f>
        <v>2.976</v>
      </c>
      <c r="AA179" s="281"/>
      <c r="AB179" s="281"/>
      <c r="AC179" s="281"/>
    </row>
    <row r="180" spans="1:68" x14ac:dyDescent="0.2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99"/>
      <c r="P180" s="284" t="s">
        <v>86</v>
      </c>
      <c r="Q180" s="285"/>
      <c r="R180" s="285"/>
      <c r="S180" s="285"/>
      <c r="T180" s="285"/>
      <c r="U180" s="285"/>
      <c r="V180" s="286"/>
      <c r="W180" s="37" t="s">
        <v>87</v>
      </c>
      <c r="X180" s="280">
        <f>IFERROR(SUMPRODUCT(X178:X178*H178:H178),"0")</f>
        <v>1152</v>
      </c>
      <c r="Y180" s="280">
        <f>IFERROR(SUMPRODUCT(Y178:Y178*H178:H178),"0")</f>
        <v>1152</v>
      </c>
      <c r="Z180" s="37"/>
      <c r="AA180" s="281"/>
      <c r="AB180" s="281"/>
      <c r="AC180" s="281"/>
    </row>
    <row r="181" spans="1:68" ht="14.25" hidden="1" customHeight="1" x14ac:dyDescent="0.25">
      <c r="A181" s="324" t="s">
        <v>152</v>
      </c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74"/>
      <c r="AB181" s="274"/>
      <c r="AC181" s="274"/>
    </row>
    <row r="182" spans="1:68" ht="27" customHeight="1" x14ac:dyDescent="0.25">
      <c r="A182" s="54" t="s">
        <v>266</v>
      </c>
      <c r="B182" s="54" t="s">
        <v>267</v>
      </c>
      <c r="C182" s="31">
        <v>4301135392</v>
      </c>
      <c r="D182" s="291">
        <v>4607111039132</v>
      </c>
      <c r="E182" s="292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7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4"/>
      <c r="V182" s="34"/>
      <c r="W182" s="35" t="s">
        <v>67</v>
      </c>
      <c r="X182" s="278">
        <v>56</v>
      </c>
      <c r="Y182" s="279">
        <f>IFERROR(IF(X182="","",X182),"")</f>
        <v>56</v>
      </c>
      <c r="Z182" s="36">
        <f>IFERROR(IF(X182="","",X182*0.00936),"")</f>
        <v>0.52415999999999996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217.952</v>
      </c>
      <c r="BN182" s="67">
        <f>IFERROR(Y182*I182,"0")</f>
        <v>217.952</v>
      </c>
      <c r="BO182" s="67">
        <f>IFERROR(X182/J182,"0")</f>
        <v>0.44444444444444442</v>
      </c>
      <c r="BP182" s="67">
        <f>IFERROR(Y182/J182,"0")</f>
        <v>0.44444444444444442</v>
      </c>
    </row>
    <row r="183" spans="1:68" x14ac:dyDescent="0.2">
      <c r="A183" s="29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99"/>
      <c r="P183" s="284" t="s">
        <v>86</v>
      </c>
      <c r="Q183" s="285"/>
      <c r="R183" s="285"/>
      <c r="S183" s="285"/>
      <c r="T183" s="285"/>
      <c r="U183" s="285"/>
      <c r="V183" s="286"/>
      <c r="W183" s="37" t="s">
        <v>67</v>
      </c>
      <c r="X183" s="280">
        <f>IFERROR(SUM(X182:X182),"0")</f>
        <v>56</v>
      </c>
      <c r="Y183" s="280">
        <f>IFERROR(SUM(Y182:Y182),"0")</f>
        <v>56</v>
      </c>
      <c r="Z183" s="280">
        <f>IFERROR(IF(Z182="",0,Z182),"0")</f>
        <v>0.52415999999999996</v>
      </c>
      <c r="AA183" s="281"/>
      <c r="AB183" s="281"/>
      <c r="AC183" s="281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99"/>
      <c r="P184" s="284" t="s">
        <v>86</v>
      </c>
      <c r="Q184" s="285"/>
      <c r="R184" s="285"/>
      <c r="S184" s="285"/>
      <c r="T184" s="285"/>
      <c r="U184" s="285"/>
      <c r="V184" s="286"/>
      <c r="W184" s="37" t="s">
        <v>87</v>
      </c>
      <c r="X184" s="280">
        <f>IFERROR(SUMPRODUCT(X182:X182*H182:H182),"0")</f>
        <v>207.20000000000002</v>
      </c>
      <c r="Y184" s="280">
        <f>IFERROR(SUMPRODUCT(Y182:Y182*H182:H182),"0")</f>
        <v>207.20000000000002</v>
      </c>
      <c r="Z184" s="37"/>
      <c r="AA184" s="281"/>
      <c r="AB184" s="281"/>
      <c r="AC184" s="281"/>
    </row>
    <row r="185" spans="1:68" ht="16.5" hidden="1" customHeight="1" x14ac:dyDescent="0.25">
      <c r="A185" s="287" t="s">
        <v>269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73"/>
      <c r="AB185" s="273"/>
      <c r="AC185" s="273"/>
    </row>
    <row r="186" spans="1:68" ht="14.25" hidden="1" customHeight="1" x14ac:dyDescent="0.25">
      <c r="A186" s="324" t="s">
        <v>61</v>
      </c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91">
        <v>4607111036384</v>
      </c>
      <c r="E187" s="292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6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273</v>
      </c>
      <c r="B188" s="54" t="s">
        <v>274</v>
      </c>
      <c r="C188" s="31">
        <v>4301071050</v>
      </c>
      <c r="D188" s="291">
        <v>4607111036216</v>
      </c>
      <c r="E188" s="292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39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4"/>
      <c r="V188" s="34"/>
      <c r="W188" s="35" t="s">
        <v>67</v>
      </c>
      <c r="X188" s="278">
        <v>48</v>
      </c>
      <c r="Y188" s="279">
        <f>IFERROR(IF(X188="","",X188),"")</f>
        <v>48</v>
      </c>
      <c r="Z188" s="36">
        <f>IFERROR(IF(X188="","",X188*0.00866),"")</f>
        <v>0.41567999999999994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250.23359999999997</v>
      </c>
      <c r="BN188" s="67">
        <f>IFERROR(Y188*I188,"0")</f>
        <v>250.23359999999997</v>
      </c>
      <c r="BO188" s="67">
        <f>IFERROR(X188/J188,"0")</f>
        <v>0.33333333333333331</v>
      </c>
      <c r="BP188" s="67">
        <f>IFERROR(Y188/J188,"0")</f>
        <v>0.33333333333333331</v>
      </c>
    </row>
    <row r="189" spans="1:68" x14ac:dyDescent="0.2">
      <c r="A189" s="29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99"/>
      <c r="P189" s="284" t="s">
        <v>86</v>
      </c>
      <c r="Q189" s="285"/>
      <c r="R189" s="285"/>
      <c r="S189" s="285"/>
      <c r="T189" s="285"/>
      <c r="U189" s="285"/>
      <c r="V189" s="286"/>
      <c r="W189" s="37" t="s">
        <v>67</v>
      </c>
      <c r="X189" s="280">
        <f>IFERROR(SUM(X187:X188),"0")</f>
        <v>48</v>
      </c>
      <c r="Y189" s="280">
        <f>IFERROR(SUM(Y187:Y188),"0")</f>
        <v>48</v>
      </c>
      <c r="Z189" s="280">
        <f>IFERROR(IF(Z187="",0,Z187),"0")+IFERROR(IF(Z188="",0,Z188),"0")</f>
        <v>0.41567999999999994</v>
      </c>
      <c r="AA189" s="281"/>
      <c r="AB189" s="281"/>
      <c r="AC189" s="281"/>
    </row>
    <row r="190" spans="1:68" x14ac:dyDescent="0.2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99"/>
      <c r="P190" s="284" t="s">
        <v>86</v>
      </c>
      <c r="Q190" s="285"/>
      <c r="R190" s="285"/>
      <c r="S190" s="285"/>
      <c r="T190" s="285"/>
      <c r="U190" s="285"/>
      <c r="V190" s="286"/>
      <c r="W190" s="37" t="s">
        <v>87</v>
      </c>
      <c r="X190" s="280">
        <f>IFERROR(SUMPRODUCT(X187:X188*H187:H188),"0")</f>
        <v>240</v>
      </c>
      <c r="Y190" s="280">
        <f>IFERROR(SUMPRODUCT(Y187:Y188*H187:H188),"0")</f>
        <v>240</v>
      </c>
      <c r="Z190" s="37"/>
      <c r="AA190" s="281"/>
      <c r="AB190" s="281"/>
      <c r="AC190" s="281"/>
    </row>
    <row r="191" spans="1:68" ht="16.5" hidden="1" customHeight="1" x14ac:dyDescent="0.25">
      <c r="A191" s="287" t="s">
        <v>276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73"/>
      <c r="AB191" s="273"/>
      <c r="AC191" s="273"/>
    </row>
    <row r="192" spans="1:68" ht="14.25" hidden="1" customHeight="1" x14ac:dyDescent="0.25">
      <c r="A192" s="324" t="s">
        <v>61</v>
      </c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74"/>
      <c r="AB192" s="274"/>
      <c r="AC192" s="274"/>
    </row>
    <row r="193" spans="1:68" ht="27" hidden="1" customHeight="1" x14ac:dyDescent="0.25">
      <c r="A193" s="54" t="s">
        <v>277</v>
      </c>
      <c r="B193" s="54" t="s">
        <v>278</v>
      </c>
      <c r="C193" s="31">
        <v>4301071117</v>
      </c>
      <c r="D193" s="291">
        <v>4620207491737</v>
      </c>
      <c r="E193" s="292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1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4"/>
      <c r="V193" s="34"/>
      <c r="W193" s="35" t="s">
        <v>67</v>
      </c>
      <c r="X193" s="278">
        <v>0</v>
      </c>
      <c r="Y193" s="279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9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99"/>
      <c r="P194" s="284" t="s">
        <v>86</v>
      </c>
      <c r="Q194" s="285"/>
      <c r="R194" s="285"/>
      <c r="S194" s="285"/>
      <c r="T194" s="285"/>
      <c r="U194" s="285"/>
      <c r="V194" s="286"/>
      <c r="W194" s="37" t="s">
        <v>67</v>
      </c>
      <c r="X194" s="280">
        <f>IFERROR(SUM(X193:X193),"0")</f>
        <v>0</v>
      </c>
      <c r="Y194" s="280">
        <f>IFERROR(SUM(Y193:Y193),"0")</f>
        <v>0</v>
      </c>
      <c r="Z194" s="280">
        <f>IFERROR(IF(Z193="",0,Z193),"0")</f>
        <v>0</v>
      </c>
      <c r="AA194" s="281"/>
      <c r="AB194" s="281"/>
      <c r="AC194" s="281"/>
    </row>
    <row r="195" spans="1:68" hidden="1" x14ac:dyDescent="0.2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99"/>
      <c r="P195" s="284" t="s">
        <v>86</v>
      </c>
      <c r="Q195" s="285"/>
      <c r="R195" s="285"/>
      <c r="S195" s="285"/>
      <c r="T195" s="285"/>
      <c r="U195" s="285"/>
      <c r="V195" s="286"/>
      <c r="W195" s="37" t="s">
        <v>87</v>
      </c>
      <c r="X195" s="280">
        <f>IFERROR(SUMPRODUCT(X193:X193*H193:H193),"0")</f>
        <v>0</v>
      </c>
      <c r="Y195" s="280">
        <f>IFERROR(SUMPRODUCT(Y193:Y193*H193:H193),"0")</f>
        <v>0</v>
      </c>
      <c r="Z195" s="37"/>
      <c r="AA195" s="281"/>
      <c r="AB195" s="281"/>
      <c r="AC195" s="281"/>
    </row>
    <row r="196" spans="1:68" ht="27.75" hidden="1" customHeight="1" x14ac:dyDescent="0.2">
      <c r="A196" s="293" t="s">
        <v>279</v>
      </c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48"/>
      <c r="AB196" s="48"/>
      <c r="AC196" s="48"/>
    </row>
    <row r="197" spans="1:68" ht="16.5" hidden="1" customHeight="1" x14ac:dyDescent="0.25">
      <c r="A197" s="287" t="s">
        <v>280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73"/>
      <c r="AB197" s="273"/>
      <c r="AC197" s="273"/>
    </row>
    <row r="198" spans="1:68" ht="14.25" hidden="1" customHeight="1" x14ac:dyDescent="0.25">
      <c r="A198" s="324" t="s">
        <v>101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91">
        <v>4607111035691</v>
      </c>
      <c r="E199" s="292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4"/>
      <c r="V199" s="34"/>
      <c r="W199" s="35" t="s">
        <v>67</v>
      </c>
      <c r="X199" s="278">
        <v>56</v>
      </c>
      <c r="Y199" s="279">
        <f>IFERROR(IF(X199="","",X199),"")</f>
        <v>56</v>
      </c>
      <c r="Z199" s="36">
        <f>IFERROR(IF(X199="","",X199*0.01788),"")</f>
        <v>1.0012799999999999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189.72800000000001</v>
      </c>
      <c r="BN199" s="67">
        <f>IFERROR(Y199*I199,"0")</f>
        <v>189.72800000000001</v>
      </c>
      <c r="BO199" s="67">
        <f>IFERROR(X199/J199,"0")</f>
        <v>0.8</v>
      </c>
      <c r="BP199" s="67">
        <f>IFERROR(Y199/J199,"0")</f>
        <v>0.8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91">
        <v>4607111035721</v>
      </c>
      <c r="E200" s="292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4"/>
      <c r="V200" s="34"/>
      <c r="W200" s="35" t="s">
        <v>67</v>
      </c>
      <c r="X200" s="278">
        <v>42</v>
      </c>
      <c r="Y200" s="279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142.29599999999999</v>
      </c>
      <c r="BN200" s="67">
        <f>IFERROR(Y200*I200,"0")</f>
        <v>142.29599999999999</v>
      </c>
      <c r="BO200" s="67">
        <f>IFERROR(X200/J200,"0")</f>
        <v>0.6</v>
      </c>
      <c r="BP200" s="67">
        <f>IFERROR(Y200/J200,"0")</f>
        <v>0.6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91">
        <v>4607111038487</v>
      </c>
      <c r="E201" s="292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4"/>
      <c r="V201" s="34"/>
      <c r="W201" s="35" t="s">
        <v>67</v>
      </c>
      <c r="X201" s="278">
        <v>56</v>
      </c>
      <c r="Y201" s="279">
        <f>IFERROR(IF(X201="","",X201),"")</f>
        <v>56</v>
      </c>
      <c r="Z201" s="36">
        <f>IFERROR(IF(X201="","",X201*0.01788),"")</f>
        <v>1.0012799999999999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209.21600000000001</v>
      </c>
      <c r="BN201" s="67">
        <f>IFERROR(Y201*I201,"0")</f>
        <v>209.21600000000001</v>
      </c>
      <c r="BO201" s="67">
        <f>IFERROR(X201/J201,"0")</f>
        <v>0.8</v>
      </c>
      <c r="BP201" s="67">
        <f>IFERROR(Y201/J201,"0")</f>
        <v>0.8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91">
        <v>4620207491195</v>
      </c>
      <c r="E202" s="292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29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99"/>
      <c r="P203" s="284" t="s">
        <v>86</v>
      </c>
      <c r="Q203" s="285"/>
      <c r="R203" s="285"/>
      <c r="S203" s="285"/>
      <c r="T203" s="285"/>
      <c r="U203" s="285"/>
      <c r="V203" s="286"/>
      <c r="W203" s="37" t="s">
        <v>67</v>
      </c>
      <c r="X203" s="280">
        <f>IFERROR(SUM(X199:X202),"0")</f>
        <v>182</v>
      </c>
      <c r="Y203" s="280">
        <f>IFERROR(SUM(Y199:Y202),"0")</f>
        <v>182</v>
      </c>
      <c r="Z203" s="280">
        <f>IFERROR(IF(Z199="",0,Z199),"0")+IFERROR(IF(Z200="",0,Z200),"0")+IFERROR(IF(Z201="",0,Z201),"0")+IFERROR(IF(Z202="",0,Z202),"0")</f>
        <v>3.2541599999999997</v>
      </c>
      <c r="AA203" s="281"/>
      <c r="AB203" s="281"/>
      <c r="AC203" s="281"/>
    </row>
    <row r="204" spans="1:68" x14ac:dyDescent="0.2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99"/>
      <c r="P204" s="284" t="s">
        <v>86</v>
      </c>
      <c r="Q204" s="285"/>
      <c r="R204" s="285"/>
      <c r="S204" s="285"/>
      <c r="T204" s="285"/>
      <c r="U204" s="285"/>
      <c r="V204" s="286"/>
      <c r="W204" s="37" t="s">
        <v>87</v>
      </c>
      <c r="X204" s="280">
        <f>IFERROR(SUMPRODUCT(X199:X202*H199:H202),"0")</f>
        <v>539.28</v>
      </c>
      <c r="Y204" s="280">
        <f>IFERROR(SUMPRODUCT(Y199:Y202*H199:H202),"0")</f>
        <v>539.28</v>
      </c>
      <c r="Z204" s="37"/>
      <c r="AA204" s="281"/>
      <c r="AB204" s="281"/>
      <c r="AC204" s="281"/>
    </row>
    <row r="205" spans="1:68" ht="27.75" hidden="1" customHeight="1" x14ac:dyDescent="0.2">
      <c r="A205" s="293" t="s">
        <v>293</v>
      </c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48"/>
      <c r="AB205" s="48"/>
      <c r="AC205" s="48"/>
    </row>
    <row r="206" spans="1:68" ht="16.5" hidden="1" customHeight="1" x14ac:dyDescent="0.25">
      <c r="A206" s="287" t="s">
        <v>294</v>
      </c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73"/>
      <c r="AB206" s="273"/>
      <c r="AC206" s="273"/>
    </row>
    <row r="207" spans="1:68" ht="14.25" hidden="1" customHeight="1" x14ac:dyDescent="0.25">
      <c r="A207" s="324" t="s">
        <v>101</v>
      </c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74"/>
      <c r="AB207" s="274"/>
      <c r="AC207" s="274"/>
    </row>
    <row r="208" spans="1:68" ht="27" customHeight="1" x14ac:dyDescent="0.25">
      <c r="A208" s="54" t="s">
        <v>295</v>
      </c>
      <c r="B208" s="54" t="s">
        <v>296</v>
      </c>
      <c r="C208" s="31">
        <v>4301132227</v>
      </c>
      <c r="D208" s="291">
        <v>4620207491133</v>
      </c>
      <c r="E208" s="292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4"/>
      <c r="V208" s="34"/>
      <c r="W208" s="35" t="s">
        <v>67</v>
      </c>
      <c r="X208" s="278">
        <v>84</v>
      </c>
      <c r="Y208" s="279">
        <f>IFERROR(IF(X208="","",X208),"")</f>
        <v>84</v>
      </c>
      <c r="Z208" s="36">
        <f>IFERROR(IF(X208="","",X208*0.01788),"")</f>
        <v>1.5019199999999999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250.32</v>
      </c>
      <c r="BN208" s="67">
        <f>IFERROR(Y208*I208,"0")</f>
        <v>250.32</v>
      </c>
      <c r="BO208" s="67">
        <f>IFERROR(X208/J208,"0")</f>
        <v>1.2</v>
      </c>
      <c r="BP208" s="67">
        <f>IFERROR(Y208/J208,"0")</f>
        <v>1.2</v>
      </c>
    </row>
    <row r="209" spans="1:68" x14ac:dyDescent="0.2">
      <c r="A209" s="29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99"/>
      <c r="P209" s="284" t="s">
        <v>86</v>
      </c>
      <c r="Q209" s="285"/>
      <c r="R209" s="285"/>
      <c r="S209" s="285"/>
      <c r="T209" s="285"/>
      <c r="U209" s="285"/>
      <c r="V209" s="286"/>
      <c r="W209" s="37" t="s">
        <v>67</v>
      </c>
      <c r="X209" s="280">
        <f>IFERROR(SUM(X208:X208),"0")</f>
        <v>84</v>
      </c>
      <c r="Y209" s="280">
        <f>IFERROR(SUM(Y208:Y208),"0")</f>
        <v>84</v>
      </c>
      <c r="Z209" s="280">
        <f>IFERROR(IF(Z208="",0,Z208),"0")</f>
        <v>1.5019199999999999</v>
      </c>
      <c r="AA209" s="281"/>
      <c r="AB209" s="281"/>
      <c r="AC209" s="281"/>
    </row>
    <row r="210" spans="1:68" x14ac:dyDescent="0.2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99"/>
      <c r="P210" s="284" t="s">
        <v>86</v>
      </c>
      <c r="Q210" s="285"/>
      <c r="R210" s="285"/>
      <c r="S210" s="285"/>
      <c r="T210" s="285"/>
      <c r="U210" s="285"/>
      <c r="V210" s="286"/>
      <c r="W210" s="37" t="s">
        <v>87</v>
      </c>
      <c r="X210" s="280">
        <f>IFERROR(SUMPRODUCT(X208:X208*H208:H208),"0")</f>
        <v>231.83999999999997</v>
      </c>
      <c r="Y210" s="280">
        <f>IFERROR(SUMPRODUCT(Y208:Y208*H208:H208),"0")</f>
        <v>231.83999999999997</v>
      </c>
      <c r="Z210" s="37"/>
      <c r="AA210" s="281"/>
      <c r="AB210" s="281"/>
      <c r="AC210" s="281"/>
    </row>
    <row r="211" spans="1:68" ht="14.25" hidden="1" customHeight="1" x14ac:dyDescent="0.25">
      <c r="A211" s="324" t="s">
        <v>152</v>
      </c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91">
        <v>4620207491188</v>
      </c>
      <c r="E212" s="292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40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91">
        <v>4620207490235</v>
      </c>
      <c r="E213" s="292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91">
        <v>4620207490259</v>
      </c>
      <c r="E214" s="292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99"/>
      <c r="P215" s="284" t="s">
        <v>86</v>
      </c>
      <c r="Q215" s="285"/>
      <c r="R215" s="285"/>
      <c r="S215" s="285"/>
      <c r="T215" s="285"/>
      <c r="U215" s="285"/>
      <c r="V215" s="286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99"/>
      <c r="P216" s="284" t="s">
        <v>86</v>
      </c>
      <c r="Q216" s="285"/>
      <c r="R216" s="285"/>
      <c r="S216" s="285"/>
      <c r="T216" s="285"/>
      <c r="U216" s="285"/>
      <c r="V216" s="286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87" t="s">
        <v>307</v>
      </c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73"/>
      <c r="AB217" s="273"/>
      <c r="AC217" s="273"/>
    </row>
    <row r="218" spans="1:68" ht="14.25" hidden="1" customHeight="1" x14ac:dyDescent="0.25">
      <c r="A218" s="324" t="s">
        <v>152</v>
      </c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91">
        <v>4620207491706</v>
      </c>
      <c r="E219" s="292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6"/>
      <c r="R219" s="296"/>
      <c r="S219" s="296"/>
      <c r="T219" s="297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91">
        <v>4620207491522</v>
      </c>
      <c r="E220" s="292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6"/>
      <c r="R220" s="296"/>
      <c r="S220" s="296"/>
      <c r="T220" s="297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99"/>
      <c r="P221" s="284" t="s">
        <v>86</v>
      </c>
      <c r="Q221" s="285"/>
      <c r="R221" s="285"/>
      <c r="S221" s="285"/>
      <c r="T221" s="285"/>
      <c r="U221" s="285"/>
      <c r="V221" s="286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99"/>
      <c r="P222" s="284" t="s">
        <v>86</v>
      </c>
      <c r="Q222" s="285"/>
      <c r="R222" s="285"/>
      <c r="S222" s="285"/>
      <c r="T222" s="285"/>
      <c r="U222" s="285"/>
      <c r="V222" s="286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87" t="s">
        <v>314</v>
      </c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73"/>
      <c r="AB223" s="273"/>
      <c r="AC223" s="273"/>
    </row>
    <row r="224" spans="1:68" ht="14.25" hidden="1" customHeight="1" x14ac:dyDescent="0.25">
      <c r="A224" s="324" t="s">
        <v>61</v>
      </c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91">
        <v>4620207491096</v>
      </c>
      <c r="E225" s="292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6"/>
      <c r="R225" s="296"/>
      <c r="S225" s="296"/>
      <c r="T225" s="297"/>
      <c r="U225" s="34"/>
      <c r="V225" s="34"/>
      <c r="W225" s="35" t="s">
        <v>67</v>
      </c>
      <c r="X225" s="278">
        <v>180</v>
      </c>
      <c r="Y225" s="279">
        <f>IFERROR(IF(X225="","",X225),"")</f>
        <v>180</v>
      </c>
      <c r="Z225" s="36">
        <f>IFERROR(IF(X225="","",X225*0.0155),"")</f>
        <v>2.79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941.40000000000009</v>
      </c>
      <c r="BN225" s="67">
        <f>IFERROR(Y225*I225,"0")</f>
        <v>941.40000000000009</v>
      </c>
      <c r="BO225" s="67">
        <f>IFERROR(X225/J225,"0")</f>
        <v>2.1428571428571428</v>
      </c>
      <c r="BP225" s="67">
        <f>IFERROR(Y225/J225,"0")</f>
        <v>2.1428571428571428</v>
      </c>
    </row>
    <row r="226" spans="1:68" x14ac:dyDescent="0.2">
      <c r="A226" s="29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99"/>
      <c r="P226" s="284" t="s">
        <v>86</v>
      </c>
      <c r="Q226" s="285"/>
      <c r="R226" s="285"/>
      <c r="S226" s="285"/>
      <c r="T226" s="285"/>
      <c r="U226" s="285"/>
      <c r="V226" s="286"/>
      <c r="W226" s="37" t="s">
        <v>67</v>
      </c>
      <c r="X226" s="280">
        <f>IFERROR(SUM(X225:X225),"0")</f>
        <v>180</v>
      </c>
      <c r="Y226" s="280">
        <f>IFERROR(SUM(Y225:Y225),"0")</f>
        <v>180</v>
      </c>
      <c r="Z226" s="280">
        <f>IFERROR(IF(Z225="",0,Z225),"0")</f>
        <v>2.79</v>
      </c>
      <c r="AA226" s="281"/>
      <c r="AB226" s="281"/>
      <c r="AC226" s="281"/>
    </row>
    <row r="227" spans="1:68" x14ac:dyDescent="0.2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99"/>
      <c r="P227" s="284" t="s">
        <v>86</v>
      </c>
      <c r="Q227" s="285"/>
      <c r="R227" s="285"/>
      <c r="S227" s="285"/>
      <c r="T227" s="285"/>
      <c r="U227" s="285"/>
      <c r="V227" s="286"/>
      <c r="W227" s="37" t="s">
        <v>87</v>
      </c>
      <c r="X227" s="280">
        <f>IFERROR(SUMPRODUCT(X225:X225*H225:H225),"0")</f>
        <v>900</v>
      </c>
      <c r="Y227" s="280">
        <f>IFERROR(SUMPRODUCT(Y225:Y225*H225:H225),"0")</f>
        <v>900</v>
      </c>
      <c r="Z227" s="37"/>
      <c r="AA227" s="281"/>
      <c r="AB227" s="281"/>
      <c r="AC227" s="281"/>
    </row>
    <row r="228" spans="1:68" ht="27.75" hidden="1" customHeight="1" x14ac:dyDescent="0.2">
      <c r="A228" s="293" t="s">
        <v>318</v>
      </c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48"/>
      <c r="AB228" s="48"/>
      <c r="AC228" s="48"/>
    </row>
    <row r="229" spans="1:68" ht="16.5" hidden="1" customHeight="1" x14ac:dyDescent="0.25">
      <c r="A229" s="287" t="s">
        <v>319</v>
      </c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73"/>
      <c r="AB229" s="273"/>
      <c r="AC229" s="273"/>
    </row>
    <row r="230" spans="1:68" ht="14.25" hidden="1" customHeight="1" x14ac:dyDescent="0.25">
      <c r="A230" s="324" t="s">
        <v>61</v>
      </c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91">
        <v>4607111036162</v>
      </c>
      <c r="E231" s="292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6"/>
      <c r="R231" s="296"/>
      <c r="S231" s="296"/>
      <c r="T231" s="297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99"/>
      <c r="P232" s="284" t="s">
        <v>86</v>
      </c>
      <c r="Q232" s="285"/>
      <c r="R232" s="285"/>
      <c r="S232" s="285"/>
      <c r="T232" s="285"/>
      <c r="U232" s="285"/>
      <c r="V232" s="286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99"/>
      <c r="P233" s="284" t="s">
        <v>86</v>
      </c>
      <c r="Q233" s="285"/>
      <c r="R233" s="285"/>
      <c r="S233" s="285"/>
      <c r="T233" s="285"/>
      <c r="U233" s="285"/>
      <c r="V233" s="286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3" t="s">
        <v>323</v>
      </c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48"/>
      <c r="AB234" s="48"/>
      <c r="AC234" s="48"/>
    </row>
    <row r="235" spans="1:68" ht="16.5" hidden="1" customHeight="1" x14ac:dyDescent="0.25">
      <c r="A235" s="287" t="s">
        <v>324</v>
      </c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73"/>
      <c r="AB235" s="273"/>
      <c r="AC235" s="273"/>
    </row>
    <row r="236" spans="1:68" ht="14.25" hidden="1" customHeight="1" x14ac:dyDescent="0.25">
      <c r="A236" s="324" t="s">
        <v>325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91">
        <v>4607111039774</v>
      </c>
      <c r="E237" s="292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6"/>
      <c r="R237" s="296"/>
      <c r="S237" s="296"/>
      <c r="T237" s="297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99"/>
      <c r="P238" s="284" t="s">
        <v>86</v>
      </c>
      <c r="Q238" s="285"/>
      <c r="R238" s="285"/>
      <c r="S238" s="285"/>
      <c r="T238" s="285"/>
      <c r="U238" s="285"/>
      <c r="V238" s="286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99"/>
      <c r="P239" s="284" t="s">
        <v>86</v>
      </c>
      <c r="Q239" s="285"/>
      <c r="R239" s="285"/>
      <c r="S239" s="285"/>
      <c r="T239" s="285"/>
      <c r="U239" s="285"/>
      <c r="V239" s="286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24" t="s">
        <v>152</v>
      </c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91">
        <v>4607111039361</v>
      </c>
      <c r="E241" s="292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6"/>
      <c r="R241" s="296"/>
      <c r="S241" s="296"/>
      <c r="T241" s="297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99"/>
      <c r="P242" s="284" t="s">
        <v>86</v>
      </c>
      <c r="Q242" s="285"/>
      <c r="R242" s="285"/>
      <c r="S242" s="285"/>
      <c r="T242" s="285"/>
      <c r="U242" s="285"/>
      <c r="V242" s="286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99"/>
      <c r="P243" s="284" t="s">
        <v>86</v>
      </c>
      <c r="Q243" s="285"/>
      <c r="R243" s="285"/>
      <c r="S243" s="285"/>
      <c r="T243" s="285"/>
      <c r="U243" s="285"/>
      <c r="V243" s="286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3" t="s">
        <v>331</v>
      </c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48"/>
      <c r="AB244" s="48"/>
      <c r="AC244" s="48"/>
    </row>
    <row r="245" spans="1:68" ht="16.5" hidden="1" customHeight="1" x14ac:dyDescent="0.25">
      <c r="A245" s="287" t="s">
        <v>331</v>
      </c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73"/>
      <c r="AB245" s="273"/>
      <c r="AC245" s="273"/>
    </row>
    <row r="246" spans="1:68" ht="14.25" hidden="1" customHeight="1" x14ac:dyDescent="0.25">
      <c r="A246" s="324" t="s">
        <v>101</v>
      </c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91">
        <v>4640242181950</v>
      </c>
      <c r="E247" s="292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6"/>
      <c r="R247" s="296"/>
      <c r="S247" s="296"/>
      <c r="T247" s="297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99"/>
      <c r="P248" s="284" t="s">
        <v>86</v>
      </c>
      <c r="Q248" s="285"/>
      <c r="R248" s="285"/>
      <c r="S248" s="285"/>
      <c r="T248" s="285"/>
      <c r="U248" s="285"/>
      <c r="V248" s="286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99"/>
      <c r="P249" s="284" t="s">
        <v>86</v>
      </c>
      <c r="Q249" s="285"/>
      <c r="R249" s="285"/>
      <c r="S249" s="285"/>
      <c r="T249" s="285"/>
      <c r="U249" s="285"/>
      <c r="V249" s="286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24" t="s">
        <v>180</v>
      </c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91">
        <v>4640242181943</v>
      </c>
      <c r="E251" s="292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40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6"/>
      <c r="R251" s="296"/>
      <c r="S251" s="296"/>
      <c r="T251" s="297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29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99"/>
      <c r="P252" s="284" t="s">
        <v>86</v>
      </c>
      <c r="Q252" s="285"/>
      <c r="R252" s="285"/>
      <c r="S252" s="285"/>
      <c r="T252" s="285"/>
      <c r="U252" s="285"/>
      <c r="V252" s="286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99"/>
      <c r="P253" s="284" t="s">
        <v>86</v>
      </c>
      <c r="Q253" s="285"/>
      <c r="R253" s="285"/>
      <c r="S253" s="285"/>
      <c r="T253" s="285"/>
      <c r="U253" s="285"/>
      <c r="V253" s="286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3" t="s">
        <v>262</v>
      </c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48"/>
      <c r="AB254" s="48"/>
      <c r="AC254" s="48"/>
    </row>
    <row r="255" spans="1:68" ht="16.5" hidden="1" customHeight="1" x14ac:dyDescent="0.25">
      <c r="A255" s="287" t="s">
        <v>262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73"/>
      <c r="AB255" s="273"/>
      <c r="AC255" s="273"/>
    </row>
    <row r="256" spans="1:68" ht="14.25" hidden="1" customHeight="1" x14ac:dyDescent="0.25">
      <c r="A256" s="324" t="s">
        <v>61</v>
      </c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91">
        <v>4640242181264</v>
      </c>
      <c r="E257" s="292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6"/>
      <c r="R257" s="296"/>
      <c r="S257" s="296"/>
      <c r="T257" s="297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91">
        <v>4620207491980</v>
      </c>
      <c r="E258" s="292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6"/>
      <c r="R258" s="296"/>
      <c r="S258" s="296"/>
      <c r="T258" s="297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9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99"/>
      <c r="P259" s="284" t="s">
        <v>86</v>
      </c>
      <c r="Q259" s="285"/>
      <c r="R259" s="285"/>
      <c r="S259" s="285"/>
      <c r="T259" s="285"/>
      <c r="U259" s="285"/>
      <c r="V259" s="286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99"/>
      <c r="P260" s="284" t="s">
        <v>86</v>
      </c>
      <c r="Q260" s="285"/>
      <c r="R260" s="285"/>
      <c r="S260" s="285"/>
      <c r="T260" s="285"/>
      <c r="U260" s="285"/>
      <c r="V260" s="286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24" t="s">
        <v>180</v>
      </c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74"/>
      <c r="AB261" s="274"/>
      <c r="AC261" s="274"/>
    </row>
    <row r="262" spans="1:68" ht="27" customHeight="1" x14ac:dyDescent="0.25">
      <c r="A262" s="54" t="s">
        <v>344</v>
      </c>
      <c r="B262" s="54" t="s">
        <v>345</v>
      </c>
      <c r="C262" s="31">
        <v>4301136116</v>
      </c>
      <c r="D262" s="291">
        <v>4620207492147</v>
      </c>
      <c r="E262" s="292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42" t="s">
        <v>346</v>
      </c>
      <c r="Q262" s="296"/>
      <c r="R262" s="296"/>
      <c r="S262" s="296"/>
      <c r="T262" s="297"/>
      <c r="U262" s="34"/>
      <c r="V262" s="34"/>
      <c r="W262" s="35" t="s">
        <v>67</v>
      </c>
      <c r="X262" s="278">
        <v>28</v>
      </c>
      <c r="Y262" s="279">
        <f>IFERROR(IF(X262="","",X262),"")</f>
        <v>28</v>
      </c>
      <c r="Z262" s="36">
        <f>IFERROR(IF(X262="","",X262*0.00936),"")</f>
        <v>0.26207999999999998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80.936800000000005</v>
      </c>
      <c r="BN262" s="67">
        <f>IFERROR(Y262*I262,"0")</f>
        <v>80.936800000000005</v>
      </c>
      <c r="BO262" s="67">
        <f>IFERROR(X262/J262,"0")</f>
        <v>0.22222222222222221</v>
      </c>
      <c r="BP262" s="67">
        <f>IFERROR(Y262/J262,"0")</f>
        <v>0.22222222222222221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91">
        <v>4620207492154</v>
      </c>
      <c r="E263" s="292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8" t="s">
        <v>349</v>
      </c>
      <c r="Q263" s="296"/>
      <c r="R263" s="296"/>
      <c r="S263" s="296"/>
      <c r="T263" s="297"/>
      <c r="U263" s="34"/>
      <c r="V263" s="34"/>
      <c r="W263" s="35" t="s">
        <v>67</v>
      </c>
      <c r="X263" s="278">
        <v>24</v>
      </c>
      <c r="Y263" s="279">
        <f>IFERROR(IF(X263="","",X263),"")</f>
        <v>24</v>
      </c>
      <c r="Z263" s="36">
        <f>IFERROR(IF(X263="","",X263*0.0155),"")</f>
        <v>0.372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125.64000000000001</v>
      </c>
      <c r="BN263" s="67">
        <f>IFERROR(Y263*I263,"0")</f>
        <v>125.64000000000001</v>
      </c>
      <c r="BO263" s="67">
        <f>IFERROR(X263/J263,"0")</f>
        <v>0.2857142857142857</v>
      </c>
      <c r="BP263" s="67">
        <f>IFERROR(Y263/J263,"0")</f>
        <v>0.2857142857142857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91">
        <v>4620207492086</v>
      </c>
      <c r="E264" s="292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75" t="s">
        <v>352</v>
      </c>
      <c r="Q264" s="296"/>
      <c r="R264" s="296"/>
      <c r="S264" s="296"/>
      <c r="T264" s="297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99"/>
      <c r="P265" s="284" t="s">
        <v>86</v>
      </c>
      <c r="Q265" s="285"/>
      <c r="R265" s="285"/>
      <c r="S265" s="285"/>
      <c r="T265" s="285"/>
      <c r="U265" s="285"/>
      <c r="V265" s="286"/>
      <c r="W265" s="37" t="s">
        <v>67</v>
      </c>
      <c r="X265" s="280">
        <f>IFERROR(SUM(X262:X264),"0")</f>
        <v>52</v>
      </c>
      <c r="Y265" s="280">
        <f>IFERROR(SUM(Y262:Y264),"0")</f>
        <v>52</v>
      </c>
      <c r="Z265" s="280">
        <f>IFERROR(IF(Z262="",0,Z262),"0")+IFERROR(IF(Z263="",0,Z263),"0")+IFERROR(IF(Z264="",0,Z264),"0")</f>
        <v>0.63407999999999998</v>
      </c>
      <c r="AA265" s="281"/>
      <c r="AB265" s="281"/>
      <c r="AC265" s="281"/>
    </row>
    <row r="266" spans="1:68" x14ac:dyDescent="0.2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99"/>
      <c r="P266" s="284" t="s">
        <v>86</v>
      </c>
      <c r="Q266" s="285"/>
      <c r="R266" s="285"/>
      <c r="S266" s="285"/>
      <c r="T266" s="285"/>
      <c r="U266" s="285"/>
      <c r="V266" s="286"/>
      <c r="W266" s="37" t="s">
        <v>87</v>
      </c>
      <c r="X266" s="280">
        <f>IFERROR(SUMPRODUCT(X262:X264*H262:H264),"0")</f>
        <v>195.60000000000002</v>
      </c>
      <c r="Y266" s="280">
        <f>IFERROR(SUMPRODUCT(Y262:Y264*H262:H264),"0")</f>
        <v>195.60000000000002</v>
      </c>
      <c r="Z266" s="37"/>
      <c r="AA266" s="281"/>
      <c r="AB266" s="281"/>
      <c r="AC266" s="281"/>
    </row>
    <row r="267" spans="1:68" ht="14.25" hidden="1" customHeight="1" x14ac:dyDescent="0.25">
      <c r="A267" s="324" t="s">
        <v>152</v>
      </c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74"/>
      <c r="AB267" s="274"/>
      <c r="AC267" s="274"/>
    </row>
    <row r="268" spans="1:68" ht="16.5" customHeight="1" x14ac:dyDescent="0.25">
      <c r="A268" s="54" t="s">
        <v>353</v>
      </c>
      <c r="B268" s="54" t="s">
        <v>354</v>
      </c>
      <c r="C268" s="31">
        <v>4301137066</v>
      </c>
      <c r="D268" s="291">
        <v>4620207492109</v>
      </c>
      <c r="E268" s="292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86" t="s">
        <v>355</v>
      </c>
      <c r="Q268" s="296"/>
      <c r="R268" s="296"/>
      <c r="S268" s="296"/>
      <c r="T268" s="297"/>
      <c r="U268" s="34"/>
      <c r="V268" s="34"/>
      <c r="W268" s="35" t="s">
        <v>67</v>
      </c>
      <c r="X268" s="278">
        <v>60</v>
      </c>
      <c r="Y268" s="279">
        <f t="shared" ref="Y268:Y277" si="18">IFERROR(IF(X268="","",X268),"")</f>
        <v>60</v>
      </c>
      <c r="Z268" s="36">
        <f>IFERROR(IF(X268="","",X268*0.0155),"")</f>
        <v>0.92999999999999994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344.1</v>
      </c>
      <c r="BN268" s="67">
        <f t="shared" ref="BN268:BN277" si="20">IFERROR(Y268*I268,"0")</f>
        <v>344.1</v>
      </c>
      <c r="BO268" s="67">
        <f t="shared" ref="BO268:BO277" si="21">IFERROR(X268/J268,"0")</f>
        <v>0.7142857142857143</v>
      </c>
      <c r="BP268" s="67">
        <f t="shared" ref="BP268:BP277" si="22">IFERROR(Y268/J268,"0")</f>
        <v>0.7142857142857143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91">
        <v>4620207492161</v>
      </c>
      <c r="E269" s="292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5" t="s">
        <v>359</v>
      </c>
      <c r="Q269" s="296"/>
      <c r="R269" s="296"/>
      <c r="S269" s="296"/>
      <c r="T269" s="297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91">
        <v>4620207492093</v>
      </c>
      <c r="E270" s="292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5" t="s">
        <v>363</v>
      </c>
      <c r="Q270" s="296"/>
      <c r="R270" s="296"/>
      <c r="S270" s="296"/>
      <c r="T270" s="297"/>
      <c r="U270" s="34"/>
      <c r="V270" s="34"/>
      <c r="W270" s="35" t="s">
        <v>67</v>
      </c>
      <c r="X270" s="278">
        <v>56.000000000000028</v>
      </c>
      <c r="Y270" s="279">
        <f t="shared" si="18"/>
        <v>56.000000000000028</v>
      </c>
      <c r="Z270" s="36">
        <f>IFERROR(IF(X270="","",X270*0.00936),"")</f>
        <v>0.52416000000000029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217.95200000000011</v>
      </c>
      <c r="BN270" s="67">
        <f t="shared" si="20"/>
        <v>217.95200000000011</v>
      </c>
      <c r="BO270" s="67">
        <f t="shared" si="21"/>
        <v>0.4444444444444447</v>
      </c>
      <c r="BP270" s="67">
        <f t="shared" si="22"/>
        <v>0.4444444444444447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91">
        <v>4620207492222</v>
      </c>
      <c r="E271" s="292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38" t="s">
        <v>367</v>
      </c>
      <c r="Q271" s="296"/>
      <c r="R271" s="296"/>
      <c r="S271" s="296"/>
      <c r="T271" s="297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4301137074</v>
      </c>
      <c r="D272" s="291">
        <v>4620207492116</v>
      </c>
      <c r="E272" s="292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23" t="s">
        <v>370</v>
      </c>
      <c r="Q272" s="296"/>
      <c r="R272" s="296"/>
      <c r="S272" s="296"/>
      <c r="T272" s="297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 t="shared" ref="Z272:Z277" si="23">IFERROR(IF(X272="","",X272*0.00936),"")</f>
        <v>0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91">
        <v>4620207492123</v>
      </c>
      <c r="E273" s="292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70" t="s">
        <v>373</v>
      </c>
      <c r="Q273" s="296"/>
      <c r="R273" s="296"/>
      <c r="S273" s="296"/>
      <c r="T273" s="297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91">
        <v>4620207492130</v>
      </c>
      <c r="E274" s="292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3" t="s">
        <v>376</v>
      </c>
      <c r="Q274" s="296"/>
      <c r="R274" s="296"/>
      <c r="S274" s="296"/>
      <c r="T274" s="297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91">
        <v>4620207491942</v>
      </c>
      <c r="E275" s="292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5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96"/>
      <c r="R275" s="296"/>
      <c r="S275" s="296"/>
      <c r="T275" s="297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91">
        <v>4620207491911</v>
      </c>
      <c r="E276" s="292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4" t="s">
        <v>381</v>
      </c>
      <c r="Q276" s="296"/>
      <c r="R276" s="296"/>
      <c r="S276" s="296"/>
      <c r="T276" s="297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91">
        <v>4620207491935</v>
      </c>
      <c r="E277" s="292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8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96"/>
      <c r="R277" s="296"/>
      <c r="S277" s="296"/>
      <c r="T277" s="297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99"/>
      <c r="P278" s="284" t="s">
        <v>86</v>
      </c>
      <c r="Q278" s="285"/>
      <c r="R278" s="285"/>
      <c r="S278" s="285"/>
      <c r="T278" s="285"/>
      <c r="U278" s="285"/>
      <c r="V278" s="286"/>
      <c r="W278" s="37" t="s">
        <v>67</v>
      </c>
      <c r="X278" s="280">
        <f>IFERROR(SUM(X268:X277),"0")</f>
        <v>116.00000000000003</v>
      </c>
      <c r="Y278" s="280">
        <f>IFERROR(SUM(Y268:Y277),"0")</f>
        <v>116.00000000000003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1.4541600000000003</v>
      </c>
      <c r="AA278" s="281"/>
      <c r="AB278" s="281"/>
      <c r="AC278" s="281"/>
    </row>
    <row r="279" spans="1:68" x14ac:dyDescent="0.2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99"/>
      <c r="P279" s="284" t="s">
        <v>86</v>
      </c>
      <c r="Q279" s="285"/>
      <c r="R279" s="285"/>
      <c r="S279" s="285"/>
      <c r="T279" s="285"/>
      <c r="U279" s="285"/>
      <c r="V279" s="286"/>
      <c r="W279" s="37" t="s">
        <v>87</v>
      </c>
      <c r="X279" s="280">
        <f>IFERROR(SUMPRODUCT(X268:X277*H268:H277),"0")</f>
        <v>537.20000000000005</v>
      </c>
      <c r="Y279" s="280">
        <f>IFERROR(SUMPRODUCT(Y268:Y277*H268:H277),"0")</f>
        <v>537.20000000000005</v>
      </c>
      <c r="Z279" s="37"/>
      <c r="AA279" s="281"/>
      <c r="AB279" s="281"/>
      <c r="AC279" s="281"/>
    </row>
    <row r="280" spans="1:68" ht="15" customHeight="1" x14ac:dyDescent="0.2">
      <c r="A280" s="472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314"/>
      <c r="P280" s="350" t="s">
        <v>384</v>
      </c>
      <c r="Q280" s="309"/>
      <c r="R280" s="309"/>
      <c r="S280" s="309"/>
      <c r="T280" s="309"/>
      <c r="U280" s="309"/>
      <c r="V280" s="310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12984.160000000002</v>
      </c>
      <c r="Y280" s="280">
        <f>IFERROR(Y31+Y35+Y41+Y48+Y54+Y62+Y71+Y77+Y82+Y88+Y98+Y104+Y115+Y119+Y123+Y128+Y135+Y141+Y147+Y153+Y159+Y164+Y169+Y174+Y180+Y184+Y190+Y195+Y204+Y210+Y216+Y222+Y227+Y233+Y239+Y243+Y249+Y253+Y260+Y266+Y279,"0")</f>
        <v>12984.160000000002</v>
      </c>
      <c r="Z280" s="37"/>
      <c r="AA280" s="281"/>
      <c r="AB280" s="281"/>
      <c r="AC280" s="281"/>
    </row>
    <row r="281" spans="1:68" x14ac:dyDescent="0.2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314"/>
      <c r="P281" s="350" t="s">
        <v>385</v>
      </c>
      <c r="Q281" s="309"/>
      <c r="R281" s="309"/>
      <c r="S281" s="309"/>
      <c r="T281" s="309"/>
      <c r="U281" s="309"/>
      <c r="V281" s="310"/>
      <c r="W281" s="37" t="s">
        <v>87</v>
      </c>
      <c r="X281" s="280">
        <f>IFERROR(SUM(BM22:BM277),"0")</f>
        <v>14480.773999999999</v>
      </c>
      <c r="Y281" s="280">
        <f>IFERROR(SUM(BN22:BN277),"0")</f>
        <v>14480.773999999999</v>
      </c>
      <c r="Z281" s="37"/>
      <c r="AA281" s="281"/>
      <c r="AB281" s="281"/>
      <c r="AC281" s="281"/>
    </row>
    <row r="282" spans="1:68" x14ac:dyDescent="0.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314"/>
      <c r="P282" s="350" t="s">
        <v>386</v>
      </c>
      <c r="Q282" s="309"/>
      <c r="R282" s="309"/>
      <c r="S282" s="309"/>
      <c r="T282" s="309"/>
      <c r="U282" s="309"/>
      <c r="V282" s="310"/>
      <c r="W282" s="37" t="s">
        <v>387</v>
      </c>
      <c r="X282" s="38">
        <f>ROUNDUP(SUM(BO22:BO277),0)</f>
        <v>40</v>
      </c>
      <c r="Y282" s="38">
        <f>ROUNDUP(SUM(BP22:BP277),0)</f>
        <v>40</v>
      </c>
      <c r="Z282" s="37"/>
      <c r="AA282" s="281"/>
      <c r="AB282" s="281"/>
      <c r="AC282" s="281"/>
    </row>
    <row r="283" spans="1:68" x14ac:dyDescent="0.2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314"/>
      <c r="P283" s="350" t="s">
        <v>388</v>
      </c>
      <c r="Q283" s="309"/>
      <c r="R283" s="309"/>
      <c r="S283" s="309"/>
      <c r="T283" s="309"/>
      <c r="U283" s="309"/>
      <c r="V283" s="310"/>
      <c r="W283" s="37" t="s">
        <v>87</v>
      </c>
      <c r="X283" s="280">
        <f>GrossWeightTotal+PalletQtyTotal*25</f>
        <v>15480.773999999999</v>
      </c>
      <c r="Y283" s="280">
        <f>GrossWeightTotalR+PalletQtyTotalR*25</f>
        <v>15480.773999999999</v>
      </c>
      <c r="Z283" s="37"/>
      <c r="AA283" s="281"/>
      <c r="AB283" s="281"/>
      <c r="AC283" s="281"/>
    </row>
    <row r="284" spans="1:68" x14ac:dyDescent="0.2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314"/>
      <c r="P284" s="350" t="s">
        <v>389</v>
      </c>
      <c r="Q284" s="309"/>
      <c r="R284" s="309"/>
      <c r="S284" s="309"/>
      <c r="T284" s="309"/>
      <c r="U284" s="309"/>
      <c r="V284" s="310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3488</v>
      </c>
      <c r="Y284" s="280">
        <f>IFERROR(Y30+Y34+Y40+Y47+Y53+Y61+Y70+Y76+Y81+Y87+Y97+Y103+Y114+Y118+Y122+Y127+Y134+Y140+Y146+Y152+Y158+Y163+Y168+Y173+Y179+Y183+Y189+Y194+Y203+Y209+Y215+Y221+Y226+Y232+Y238+Y242+Y248+Y252+Y259+Y265+Y278,"0")</f>
        <v>3488</v>
      </c>
      <c r="Z284" s="37"/>
      <c r="AA284" s="281"/>
      <c r="AB284" s="281"/>
      <c r="AC284" s="281"/>
    </row>
    <row r="285" spans="1:68" ht="14.25" hidden="1" customHeight="1" x14ac:dyDescent="0.2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314"/>
      <c r="P285" s="350" t="s">
        <v>390</v>
      </c>
      <c r="Q285" s="309"/>
      <c r="R285" s="309"/>
      <c r="S285" s="309"/>
      <c r="T285" s="309"/>
      <c r="U285" s="309"/>
      <c r="V285" s="310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50.736180000000004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2" t="s">
        <v>60</v>
      </c>
      <c r="C287" s="330"/>
      <c r="D287" s="282" t="s">
        <v>99</v>
      </c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30"/>
      <c r="V287" s="282" t="s">
        <v>261</v>
      </c>
      <c r="W287" s="349"/>
      <c r="X287" s="330"/>
      <c r="Y287" s="275" t="s">
        <v>279</v>
      </c>
      <c r="Z287" s="282" t="s">
        <v>293</v>
      </c>
      <c r="AA287" s="349"/>
      <c r="AB287" s="330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53" t="s">
        <v>393</v>
      </c>
      <c r="B288" s="282" t="s">
        <v>60</v>
      </c>
      <c r="C288" s="282" t="s">
        <v>93</v>
      </c>
      <c r="D288" s="282" t="s">
        <v>100</v>
      </c>
      <c r="E288" s="282" t="s">
        <v>111</v>
      </c>
      <c r="F288" s="282" t="s">
        <v>118</v>
      </c>
      <c r="G288" s="282" t="s">
        <v>129</v>
      </c>
      <c r="H288" s="282" t="s">
        <v>144</v>
      </c>
      <c r="I288" s="282" t="s">
        <v>151</v>
      </c>
      <c r="J288" s="282" t="s">
        <v>156</v>
      </c>
      <c r="K288" s="282" t="s">
        <v>164</v>
      </c>
      <c r="L288" s="282" t="s">
        <v>179</v>
      </c>
      <c r="M288" s="282" t="s">
        <v>186</v>
      </c>
      <c r="N288" s="276"/>
      <c r="O288" s="282" t="s">
        <v>212</v>
      </c>
      <c r="P288" s="282" t="s">
        <v>233</v>
      </c>
      <c r="Q288" s="282" t="s">
        <v>239</v>
      </c>
      <c r="R288" s="282" t="s">
        <v>245</v>
      </c>
      <c r="S288" s="282" t="s">
        <v>251</v>
      </c>
      <c r="T288" s="282" t="s">
        <v>254</v>
      </c>
      <c r="U288" s="282" t="s">
        <v>258</v>
      </c>
      <c r="V288" s="282" t="s">
        <v>262</v>
      </c>
      <c r="W288" s="282" t="s">
        <v>269</v>
      </c>
      <c r="X288" s="282" t="s">
        <v>276</v>
      </c>
      <c r="Y288" s="282" t="s">
        <v>280</v>
      </c>
      <c r="Z288" s="282" t="s">
        <v>294</v>
      </c>
      <c r="AA288" s="282" t="s">
        <v>307</v>
      </c>
      <c r="AB288" s="282" t="s">
        <v>314</v>
      </c>
      <c r="AC288" s="282" t="s">
        <v>319</v>
      </c>
      <c r="AD288" s="282" t="s">
        <v>324</v>
      </c>
      <c r="AE288" s="282" t="s">
        <v>331</v>
      </c>
      <c r="AF288" s="282" t="s">
        <v>262</v>
      </c>
    </row>
    <row r="289" spans="1:32" ht="13.5" customHeight="1" thickBot="1" x14ac:dyDescent="0.25">
      <c r="A289" s="354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230.4</v>
      </c>
      <c r="C290" s="46">
        <f>IFERROR(X38*H38,"0")+IFERROR(X39*H39,"0")</f>
        <v>0</v>
      </c>
      <c r="D290" s="46">
        <f>IFERROR(X45*H45,"0")+IFERROR(X46*H46,"0")</f>
        <v>336</v>
      </c>
      <c r="E290" s="46">
        <f>IFERROR(X51*H51,"0")+IFERROR(X52*H52,"0")</f>
        <v>537.6</v>
      </c>
      <c r="F290" s="46">
        <f>IFERROR(X57*H57,"0")+IFERROR(X58*H58,"0")+IFERROR(X59*H59,"0")+IFERROR(X60*H60,"0")</f>
        <v>840</v>
      </c>
      <c r="G290" s="46">
        <f>IFERROR(X65*H65,"0")+IFERROR(X66*H66,"0")+IFERROR(X67*H67,"0")+IFERROR(X68*H68,"0")+IFERROR(X69*H69,"0")</f>
        <v>117.6</v>
      </c>
      <c r="H290" s="46">
        <f>IFERROR(X74*H74,"0")+IFERROR(X75*H75,"0")</f>
        <v>420</v>
      </c>
      <c r="I290" s="46">
        <f>IFERROR(X80*H80,"0")</f>
        <v>302.40000000000003</v>
      </c>
      <c r="J290" s="46">
        <f>IFERROR(X85*H85,"0")+IFERROR(X86*H86,"0")</f>
        <v>756</v>
      </c>
      <c r="K290" s="46">
        <f>IFERROR(X91*H91,"0")+IFERROR(X92*H92,"0")+IFERROR(X93*H93,"0")+IFERROR(X94*H94,"0")+IFERROR(X95*H95,"0")+IFERROR(X96*H96,"0")</f>
        <v>645.12</v>
      </c>
      <c r="L290" s="46">
        <f>IFERROR(X101*H101,"0")+IFERROR(X102*H102,"0")</f>
        <v>181.44</v>
      </c>
      <c r="M290" s="46">
        <f>IFERROR(X107*H107,"0")+IFERROR(X108*H108,"0")+IFERROR(X109*H109,"0")+IFERROR(X110*H110,"0")+IFERROR(X111*H111,"0")+IFERROR(X112*H112,"0")+IFERROR(X113*H113,"0")+IFERROR(X117*H117,"0")+IFERROR(X121*H121,"0")</f>
        <v>2260.8000000000002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361.2</v>
      </c>
      <c r="P290" s="46">
        <f>IFERROR(X144*H144,"0")+IFERROR(X145*H145,"0")</f>
        <v>1050</v>
      </c>
      <c r="Q290" s="46">
        <f>IFERROR(X150*H150,"0")+IFERROR(X151*H151,"0")</f>
        <v>252</v>
      </c>
      <c r="R290" s="46">
        <f>IFERROR(X156*H156,"0")+IFERROR(X157*H157,"0")</f>
        <v>268.8</v>
      </c>
      <c r="S290" s="46">
        <f>IFERROR(X162*H162,"0")</f>
        <v>210</v>
      </c>
      <c r="T290" s="46">
        <f>IFERROR(X167*H167,"0")</f>
        <v>0</v>
      </c>
      <c r="U290" s="46">
        <f>IFERROR(X172*H172,"0")</f>
        <v>211.67999999999998</v>
      </c>
      <c r="V290" s="46">
        <f>IFERROR(X178*H178,"0")+IFERROR(X182*H182,"0")</f>
        <v>1359.2</v>
      </c>
      <c r="W290" s="46">
        <f>IFERROR(X187*H187,"0")+IFERROR(X188*H188,"0")</f>
        <v>240</v>
      </c>
      <c r="X290" s="46">
        <f>IFERROR(X193*H193,"0")</f>
        <v>0</v>
      </c>
      <c r="Y290" s="46">
        <f>IFERROR(X199*H199,"0")+IFERROR(X200*H200,"0")+IFERROR(X201*H201,"0")+IFERROR(X202*H202,"0")</f>
        <v>539.28</v>
      </c>
      <c r="Z290" s="46">
        <f>IFERROR(X208*H208,"0")+IFERROR(X212*H212,"0")+IFERROR(X213*H213,"0")+IFERROR(X214*H214,"0")</f>
        <v>231.83999999999997</v>
      </c>
      <c r="AA290" s="46">
        <f>IFERROR(X219*H219,"0")+IFERROR(X220*H220,"0")</f>
        <v>0</v>
      </c>
      <c r="AB290" s="46">
        <f>IFERROR(X225*H225,"0")</f>
        <v>900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732.80000000000018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5428.8</v>
      </c>
      <c r="B293" s="60">
        <f>SUMPRODUCT(--(BB:BB="ПГП"),--(W:W="кор"),H:H,Y:Y)+SUMPRODUCT(--(BB:BB="ПГП"),--(W:W="кг"),Y:Y)</f>
        <v>7555.36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52,00"/>
        <filter val="108,00"/>
        <filter val="112,00"/>
        <filter val="116,00"/>
        <filter val="117,60"/>
        <filter val="12 984,16"/>
        <filter val="12,00"/>
        <filter val="120,00"/>
        <filter val="126,00"/>
        <filter val="14 480,77"/>
        <filter val="14,00"/>
        <filter val="140,00"/>
        <filter val="144,00"/>
        <filter val="15 480,77"/>
        <filter val="15,12"/>
        <filter val="168,00"/>
        <filter val="180,00"/>
        <filter val="181,44"/>
        <filter val="182,00"/>
        <filter val="192,00"/>
        <filter val="195,60"/>
        <filter val="2 260,80"/>
        <filter val="207,20"/>
        <filter val="210,00"/>
        <filter val="211,68"/>
        <filter val="224,00"/>
        <filter val="231,84"/>
        <filter val="24,00"/>
        <filter val="240,00"/>
        <filter val="252,00"/>
        <filter val="268,80"/>
        <filter val="28,00"/>
        <filter val="3 488,00"/>
        <filter val="302,40"/>
        <filter val="324,00"/>
        <filter val="336,00"/>
        <filter val="346,08"/>
        <filter val="350,00"/>
        <filter val="36,00"/>
        <filter val="40"/>
        <filter val="42,00"/>
        <filter val="420,00"/>
        <filter val="48,00"/>
        <filter val="52,00"/>
        <filter val="537,20"/>
        <filter val="537,60"/>
        <filter val="539,28"/>
        <filter val="56,00"/>
        <filter val="60,00"/>
        <filter val="645,12"/>
        <filter val="70,00"/>
        <filter val="72,00"/>
        <filter val="756,00"/>
        <filter val="84,00"/>
        <filter val="840,00"/>
        <filter val="86,40"/>
        <filter val="900,00"/>
        <filter val="96,00"/>
        <filter val="98,00"/>
      </filters>
    </filterColumn>
    <filterColumn colId="29" showButton="0"/>
    <filterColumn colId="30" showButton="0"/>
  </autoFilter>
  <mergeCells count="509">
    <mergeCell ref="P285:V285"/>
    <mergeCell ref="P25:T25"/>
    <mergeCell ref="A215:O216"/>
    <mergeCell ref="P85:T85"/>
    <mergeCell ref="P60:T60"/>
    <mergeCell ref="D95:E95"/>
    <mergeCell ref="U17:V17"/>
    <mergeCell ref="P281:V281"/>
    <mergeCell ref="D276:E276"/>
    <mergeCell ref="A280:O285"/>
    <mergeCell ref="P103:V103"/>
    <mergeCell ref="A155:Z155"/>
    <mergeCell ref="P134:V134"/>
    <mergeCell ref="P97:V97"/>
    <mergeCell ref="P265:V265"/>
    <mergeCell ref="D277:E277"/>
    <mergeCell ref="A252:O253"/>
    <mergeCell ref="A244:Z244"/>
    <mergeCell ref="P112:T112"/>
    <mergeCell ref="D58:E58"/>
    <mergeCell ref="A116:Z116"/>
    <mergeCell ref="D231:E231"/>
    <mergeCell ref="P70:V70"/>
    <mergeCell ref="P202:T202"/>
    <mergeCell ref="X17:X18"/>
    <mergeCell ref="A163:O164"/>
    <mergeCell ref="P58:T58"/>
    <mergeCell ref="D110:E110"/>
    <mergeCell ref="P216:V216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N17:N18"/>
    <mergeCell ref="Q5:R5"/>
    <mergeCell ref="P199:T199"/>
    <mergeCell ref="D237:E237"/>
    <mergeCell ref="P247:T247"/>
    <mergeCell ref="P241:T241"/>
    <mergeCell ref="A9:C9"/>
    <mergeCell ref="D202:E202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15:M15"/>
    <mergeCell ref="A61:O62"/>
    <mergeCell ref="D201:E201"/>
    <mergeCell ref="D68:E68"/>
    <mergeCell ref="D188:E188"/>
    <mergeCell ref="P61:V61"/>
    <mergeCell ref="P48:V48"/>
    <mergeCell ref="A100:Z100"/>
    <mergeCell ref="A171:Z171"/>
    <mergeCell ref="Y17:Y18"/>
    <mergeCell ref="D57:E57"/>
    <mergeCell ref="P163:V163"/>
    <mergeCell ref="P151:T151"/>
    <mergeCell ref="P76:V76"/>
    <mergeCell ref="P126:T126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A106:Z106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R288:R289"/>
    <mergeCell ref="D51:E51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D269:E269"/>
    <mergeCell ref="A221:O222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232:O233"/>
    <mergeCell ref="A198:Z198"/>
    <mergeCell ref="A207:Z207"/>
    <mergeCell ref="D288:D289"/>
    <mergeCell ref="D39:E39"/>
    <mergeCell ref="V6:W9"/>
    <mergeCell ref="D80:E80"/>
    <mergeCell ref="P188:T188"/>
    <mergeCell ref="P123:V123"/>
    <mergeCell ref="P59:T59"/>
    <mergeCell ref="P130:T130"/>
    <mergeCell ref="P46:T46"/>
    <mergeCell ref="A114:O115"/>
    <mergeCell ref="P111:T111"/>
    <mergeCell ref="T6:U9"/>
    <mergeCell ref="A30:O31"/>
    <mergeCell ref="Q10:R10"/>
    <mergeCell ref="A37:Z37"/>
    <mergeCell ref="D137:E137"/>
    <mergeCell ref="D74:E74"/>
    <mergeCell ref="D130:E130"/>
    <mergeCell ref="Q13:R13"/>
    <mergeCell ref="P139:T139"/>
    <mergeCell ref="P47:V47"/>
    <mergeCell ref="M17:M18"/>
    <mergeCell ref="O17:O18"/>
    <mergeCell ref="P102:T102"/>
    <mergeCell ref="A185:Z185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J288:J289"/>
    <mergeCell ref="X288:X289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P253:V253"/>
    <mergeCell ref="P204:V204"/>
    <mergeCell ref="P82:V82"/>
    <mergeCell ref="P132:T132"/>
    <mergeCell ref="A122:O123"/>
    <mergeCell ref="A44:Z44"/>
    <mergeCell ref="P146:V146"/>
    <mergeCell ref="P273:T273"/>
    <mergeCell ref="D145:E145"/>
    <mergeCell ref="A218:Z218"/>
    <mergeCell ref="D112:E112"/>
    <mergeCell ref="D193:E193"/>
    <mergeCell ref="P201:T201"/>
    <mergeCell ref="A235:Z235"/>
    <mergeCell ref="P189:V189"/>
    <mergeCell ref="A90:Z90"/>
    <mergeCell ref="P96:T96"/>
    <mergeCell ref="P104:V104"/>
    <mergeCell ref="D75:E75"/>
    <mergeCell ref="P91:T91"/>
    <mergeCell ref="D268:E268"/>
    <mergeCell ref="A255:Z255"/>
    <mergeCell ref="A217:Z217"/>
    <mergeCell ref="A242:O243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Q9:R9"/>
    <mergeCell ref="A32:Z32"/>
    <mergeCell ref="P278:V278"/>
    <mergeCell ref="D24:E24"/>
    <mergeCell ref="Q11:R11"/>
    <mergeCell ref="A6:C6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P279:V279"/>
    <mergeCell ref="P280:V280"/>
    <mergeCell ref="P275:T275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A165:Z165"/>
    <mergeCell ref="P113:T113"/>
    <mergeCell ref="A229:Z229"/>
    <mergeCell ref="P271:T271"/>
    <mergeCell ref="P94:T94"/>
    <mergeCell ref="D208:E208"/>
    <mergeCell ref="D8:M8"/>
    <mergeCell ref="P237:T237"/>
    <mergeCell ref="P180:V180"/>
    <mergeCell ref="D139:E139"/>
    <mergeCell ref="P118:V118"/>
    <mergeCell ref="A228:Z228"/>
    <mergeCell ref="P95:T95"/>
    <mergeCell ref="A99:Z99"/>
    <mergeCell ref="P179:V179"/>
    <mergeCell ref="P141:V141"/>
    <mergeCell ref="A140:O141"/>
    <mergeCell ref="P233:V233"/>
    <mergeCell ref="P168:V168"/>
    <mergeCell ref="B17:B18"/>
    <mergeCell ref="P248:V248"/>
    <mergeCell ref="D108:E108"/>
    <mergeCell ref="P258:T258"/>
    <mergeCell ref="P52:T52"/>
    <mergeCell ref="A148:Z148"/>
    <mergeCell ref="A53:O54"/>
    <mergeCell ref="A166:Z166"/>
    <mergeCell ref="A120:Z120"/>
    <mergeCell ref="D96:E96"/>
    <mergeCell ref="P208:T208"/>
    <mergeCell ref="A177:Z177"/>
    <mergeCell ref="P219:T219"/>
    <mergeCell ref="D91:E91"/>
    <mergeCell ref="D162:E162"/>
    <mergeCell ref="D7:M7"/>
    <mergeCell ref="P92:T92"/>
    <mergeCell ref="D144:E144"/>
    <mergeCell ref="A209:O210"/>
    <mergeCell ref="P29:T29"/>
    <mergeCell ref="A97:O98"/>
    <mergeCell ref="D113:E113"/>
    <mergeCell ref="Q12:R12"/>
    <mergeCell ref="A17:A18"/>
    <mergeCell ref="K17:K18"/>
    <mergeCell ref="C17:C18"/>
    <mergeCell ref="D9:E9"/>
    <mergeCell ref="F9:G9"/>
    <mergeCell ref="D38:E38"/>
    <mergeCell ref="J9:M9"/>
    <mergeCell ref="P30:V30"/>
    <mergeCell ref="H17:H18"/>
    <mergeCell ref="P172:T172"/>
    <mergeCell ref="A158:O159"/>
    <mergeCell ref="P150:T150"/>
    <mergeCell ref="P28:T28"/>
    <mergeCell ref="D187:E187"/>
    <mergeCell ref="P144:T144"/>
    <mergeCell ref="P231:T231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P23:T23"/>
    <mergeCell ref="A79:Z79"/>
    <mergeCell ref="A55:Z55"/>
    <mergeCell ref="A87:O88"/>
    <mergeCell ref="P27:T27"/>
    <mergeCell ref="P41:V4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  <mergeCell ref="P272:T272"/>
    <mergeCell ref="D156:E156"/>
    <mergeCell ref="A146:O147"/>
    <mergeCell ref="D264:E264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