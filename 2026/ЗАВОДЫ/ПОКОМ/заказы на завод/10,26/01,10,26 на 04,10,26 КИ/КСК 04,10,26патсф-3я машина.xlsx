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EBD4801-2777-4856-AC2D-2DF375B58E6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P524" i="2"/>
  <c r="X522" i="2"/>
  <c r="X521" i="2"/>
  <c r="BO520" i="2"/>
  <c r="BM520" i="2"/>
  <c r="Y520" i="2"/>
  <c r="Z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Y496" i="2" s="1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P479" i="2"/>
  <c r="X475" i="2"/>
  <c r="X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BP471" i="2" s="1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P462" i="2"/>
  <c r="X459" i="2"/>
  <c r="X458" i="2"/>
  <c r="BO457" i="2"/>
  <c r="BM457" i="2"/>
  <c r="Y457" i="2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Y448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X422" i="2"/>
  <c r="X421" i="2"/>
  <c r="BO420" i="2"/>
  <c r="BM420" i="2"/>
  <c r="Y420" i="2"/>
  <c r="Z420" i="2" s="1"/>
  <c r="P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Z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Y356" i="2" s="1"/>
  <c r="P353" i="2"/>
  <c r="X351" i="2"/>
  <c r="X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BO345" i="2"/>
  <c r="BM345" i="2"/>
  <c r="Y345" i="2"/>
  <c r="Z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1" i="2" s="1"/>
  <c r="P338" i="2"/>
  <c r="X335" i="2"/>
  <c r="X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BN305" i="2" s="1"/>
  <c r="P305" i="2"/>
  <c r="BO304" i="2"/>
  <c r="BM304" i="2"/>
  <c r="Y304" i="2"/>
  <c r="P304" i="2"/>
  <c r="X301" i="2"/>
  <c r="X300" i="2"/>
  <c r="BO299" i="2"/>
  <c r="BM299" i="2"/>
  <c r="Y299" i="2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Y254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Y218" i="2" s="1"/>
  <c r="P217" i="2"/>
  <c r="X214" i="2"/>
  <c r="X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Y202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Y194" i="2" s="1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P123" i="2"/>
  <c r="BO122" i="2"/>
  <c r="BM122" i="2"/>
  <c r="Y122" i="2"/>
  <c r="BP122" i="2" s="1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B571" i="2" l="1"/>
  <c r="I571" i="2"/>
  <c r="Y532" i="2"/>
  <c r="Y571" i="2"/>
  <c r="Z63" i="2"/>
  <c r="BN63" i="2"/>
  <c r="Z185" i="2"/>
  <c r="Z407" i="2"/>
  <c r="BN407" i="2"/>
  <c r="Z118" i="2"/>
  <c r="Z224" i="2"/>
  <c r="BN224" i="2"/>
  <c r="Z346" i="2"/>
  <c r="Z446" i="2"/>
  <c r="Z39" i="2"/>
  <c r="BN39" i="2"/>
  <c r="Z106" i="2"/>
  <c r="BN106" i="2"/>
  <c r="Z208" i="2"/>
  <c r="BN208" i="2"/>
  <c r="Z240" i="2"/>
  <c r="Z306" i="2"/>
  <c r="BN306" i="2"/>
  <c r="Z369" i="2"/>
  <c r="BN369" i="2"/>
  <c r="Z379" i="2"/>
  <c r="BN379" i="2"/>
  <c r="Z389" i="2"/>
  <c r="BN389" i="2"/>
  <c r="Z494" i="2"/>
  <c r="Z495" i="2" s="1"/>
  <c r="Z29" i="2"/>
  <c r="Z47" i="2"/>
  <c r="BN47" i="2"/>
  <c r="Z90" i="2"/>
  <c r="BN90" i="2"/>
  <c r="Z110" i="2"/>
  <c r="BN110" i="2"/>
  <c r="Z139" i="2"/>
  <c r="BN139" i="2"/>
  <c r="Z179" i="2"/>
  <c r="BN179" i="2"/>
  <c r="Z192" i="2"/>
  <c r="Z217" i="2"/>
  <c r="Z218" i="2" s="1"/>
  <c r="Z230" i="2"/>
  <c r="Z257" i="2"/>
  <c r="Z258" i="2" s="1"/>
  <c r="Z279" i="2"/>
  <c r="BN279" i="2"/>
  <c r="Z286" i="2"/>
  <c r="BN286" i="2"/>
  <c r="Z322" i="2"/>
  <c r="BN322" i="2"/>
  <c r="Z329" i="2"/>
  <c r="BN329" i="2"/>
  <c r="Z349" i="2"/>
  <c r="Z426" i="2"/>
  <c r="BN426" i="2"/>
  <c r="Z439" i="2"/>
  <c r="Y475" i="2"/>
  <c r="Z507" i="2"/>
  <c r="BN507" i="2"/>
  <c r="Y522" i="2"/>
  <c r="X563" i="2"/>
  <c r="X561" i="2"/>
  <c r="Y52" i="2"/>
  <c r="BN108" i="2"/>
  <c r="Z108" i="2"/>
  <c r="Z124" i="2"/>
  <c r="BP124" i="2"/>
  <c r="BN191" i="2"/>
  <c r="Z191" i="2"/>
  <c r="BP212" i="2"/>
  <c r="BN212" i="2"/>
  <c r="Z212" i="2"/>
  <c r="BP228" i="2"/>
  <c r="BN228" i="2"/>
  <c r="Z228" i="2"/>
  <c r="BP242" i="2"/>
  <c r="BN242" i="2"/>
  <c r="Z242" i="2"/>
  <c r="BP276" i="2"/>
  <c r="BN276" i="2"/>
  <c r="Z276" i="2"/>
  <c r="BP310" i="2"/>
  <c r="BN310" i="2"/>
  <c r="Z310" i="2"/>
  <c r="BN314" i="2"/>
  <c r="Z314" i="2"/>
  <c r="Z315" i="2" s="1"/>
  <c r="BP347" i="2"/>
  <c r="BN347" i="2"/>
  <c r="Z347" i="2"/>
  <c r="BP395" i="2"/>
  <c r="BN395" i="2"/>
  <c r="Z395" i="2"/>
  <c r="BP419" i="2"/>
  <c r="BN419" i="2"/>
  <c r="Z419" i="2"/>
  <c r="Z421" i="2" s="1"/>
  <c r="BP437" i="2"/>
  <c r="BN437" i="2"/>
  <c r="Z437" i="2"/>
  <c r="BP457" i="2"/>
  <c r="BN457" i="2"/>
  <c r="Z457" i="2"/>
  <c r="Z458" i="2" s="1"/>
  <c r="X571" i="2"/>
  <c r="Z462" i="2"/>
  <c r="X562" i="2"/>
  <c r="X565" i="2"/>
  <c r="Z27" i="2"/>
  <c r="BN27" i="2"/>
  <c r="Z31" i="2"/>
  <c r="BN31" i="2"/>
  <c r="C571" i="2"/>
  <c r="Z41" i="2"/>
  <c r="BP60" i="2"/>
  <c r="BP70" i="2"/>
  <c r="F571" i="2"/>
  <c r="BP99" i="2"/>
  <c r="BN99" i="2"/>
  <c r="Z99" i="2"/>
  <c r="BP116" i="2"/>
  <c r="BN116" i="2"/>
  <c r="Z116" i="2"/>
  <c r="BP164" i="2"/>
  <c r="BN164" i="2"/>
  <c r="Z164" i="2"/>
  <c r="BP183" i="2"/>
  <c r="BN183" i="2"/>
  <c r="Z183" i="2"/>
  <c r="BP206" i="2"/>
  <c r="Z206" i="2"/>
  <c r="BP232" i="2"/>
  <c r="BN232" i="2"/>
  <c r="Z232" i="2"/>
  <c r="Y280" i="2"/>
  <c r="BP272" i="2"/>
  <c r="BN272" i="2"/>
  <c r="Z272" i="2"/>
  <c r="BP299" i="2"/>
  <c r="BN299" i="2"/>
  <c r="Z299" i="2"/>
  <c r="Z300" i="2" s="1"/>
  <c r="BN304" i="2"/>
  <c r="Z304" i="2"/>
  <c r="BP333" i="2"/>
  <c r="BN333" i="2"/>
  <c r="Z333" i="2"/>
  <c r="S571" i="2"/>
  <c r="Y363" i="2"/>
  <c r="BP401" i="2"/>
  <c r="BN401" i="2"/>
  <c r="Z401" i="2"/>
  <c r="BP433" i="2"/>
  <c r="BN433" i="2"/>
  <c r="Z433" i="2"/>
  <c r="BN445" i="2"/>
  <c r="Z445" i="2"/>
  <c r="BP482" i="2"/>
  <c r="BN482" i="2"/>
  <c r="Z482" i="2"/>
  <c r="Y491" i="2"/>
  <c r="BP488" i="2"/>
  <c r="BN488" i="2"/>
  <c r="Z488" i="2"/>
  <c r="BP527" i="2"/>
  <c r="BN527" i="2"/>
  <c r="Z527" i="2"/>
  <c r="Y549" i="2"/>
  <c r="BN548" i="2"/>
  <c r="Z548" i="2"/>
  <c r="Z549" i="2" s="1"/>
  <c r="BP552" i="2"/>
  <c r="Z552" i="2"/>
  <c r="G571" i="2"/>
  <c r="H571" i="2"/>
  <c r="Y168" i="2"/>
  <c r="Y173" i="2"/>
  <c r="Y174" i="2"/>
  <c r="Y188" i="2"/>
  <c r="Y219" i="2"/>
  <c r="Y397" i="2"/>
  <c r="Y78" i="2"/>
  <c r="BN76" i="2"/>
  <c r="BN80" i="2"/>
  <c r="BP80" i="2"/>
  <c r="BN81" i="2"/>
  <c r="BP81" i="2"/>
  <c r="Y83" i="2"/>
  <c r="Y84" i="2"/>
  <c r="BP87" i="2"/>
  <c r="BN91" i="2"/>
  <c r="BP91" i="2"/>
  <c r="BN92" i="2"/>
  <c r="BP92" i="2"/>
  <c r="Y130" i="2"/>
  <c r="Y131" i="2"/>
  <c r="BN152" i="2"/>
  <c r="BP152" i="2"/>
  <c r="BN154" i="2"/>
  <c r="BP165" i="2"/>
  <c r="BN177" i="2"/>
  <c r="BP181" i="2"/>
  <c r="Y197" i="2"/>
  <c r="Y198" i="2"/>
  <c r="BP209" i="2"/>
  <c r="BN222" i="2"/>
  <c r="BP226" i="2"/>
  <c r="Y249" i="2"/>
  <c r="Z253" i="2"/>
  <c r="BN253" i="2"/>
  <c r="Y259" i="2"/>
  <c r="BP263" i="2"/>
  <c r="BN263" i="2"/>
  <c r="Y264" i="2"/>
  <c r="BN273" i="2"/>
  <c r="Z273" i="2"/>
  <c r="BN277" i="2"/>
  <c r="BP277" i="2"/>
  <c r="BN278" i="2"/>
  <c r="BP285" i="2"/>
  <c r="BN285" i="2"/>
  <c r="Z285" i="2"/>
  <c r="BP307" i="2"/>
  <c r="BN307" i="2"/>
  <c r="Z307" i="2"/>
  <c r="Z22" i="2"/>
  <c r="Z24" i="2" s="1"/>
  <c r="BN22" i="2"/>
  <c r="BP22" i="2"/>
  <c r="BN23" i="2"/>
  <c r="BP23" i="2"/>
  <c r="Y24" i="2"/>
  <c r="Y25" i="2"/>
  <c r="Y33" i="2"/>
  <c r="Z28" i="2"/>
  <c r="BN28" i="2"/>
  <c r="BP29" i="2"/>
  <c r="BP37" i="2"/>
  <c r="Z40" i="2"/>
  <c r="BN40" i="2"/>
  <c r="BP41" i="2"/>
  <c r="D571" i="2"/>
  <c r="BP49" i="2"/>
  <c r="E571" i="2"/>
  <c r="BN56" i="2"/>
  <c r="Z58" i="2"/>
  <c r="BN58" i="2"/>
  <c r="Z62" i="2"/>
  <c r="BN62" i="2"/>
  <c r="Z68" i="2"/>
  <c r="BN68" i="2"/>
  <c r="Y77" i="2"/>
  <c r="Z82" i="2"/>
  <c r="Z83" i="2" s="1"/>
  <c r="BN82" i="2"/>
  <c r="Z87" i="2"/>
  <c r="Z89" i="2"/>
  <c r="BN89" i="2"/>
  <c r="Z96" i="2"/>
  <c r="BN96" i="2"/>
  <c r="Y100" i="2"/>
  <c r="BP97" i="2"/>
  <c r="BP104" i="2"/>
  <c r="Z107" i="2"/>
  <c r="BN107" i="2"/>
  <c r="BP108" i="2"/>
  <c r="Z111" i="2"/>
  <c r="BN111" i="2"/>
  <c r="BN112" i="2"/>
  <c r="BP112" i="2"/>
  <c r="Y120" i="2"/>
  <c r="Z117" i="2"/>
  <c r="BN117" i="2"/>
  <c r="BP118" i="2"/>
  <c r="Y119" i="2"/>
  <c r="Z122" i="2"/>
  <c r="BN122" i="2"/>
  <c r="Y127" i="2"/>
  <c r="Z134" i="2"/>
  <c r="Z136" i="2" s="1"/>
  <c r="BN134" i="2"/>
  <c r="BP134" i="2"/>
  <c r="BN135" i="2"/>
  <c r="BP135" i="2"/>
  <c r="Y136" i="2"/>
  <c r="Y137" i="2"/>
  <c r="Y142" i="2"/>
  <c r="Z140" i="2"/>
  <c r="BN140" i="2"/>
  <c r="Z145" i="2"/>
  <c r="BN145" i="2"/>
  <c r="Y146" i="2"/>
  <c r="Z150" i="2"/>
  <c r="BN150" i="2"/>
  <c r="BN159" i="2"/>
  <c r="Y161" i="2"/>
  <c r="J571" i="2"/>
  <c r="Z165" i="2"/>
  <c r="Z167" i="2"/>
  <c r="BN167" i="2"/>
  <c r="BP171" i="2"/>
  <c r="Z181" i="2"/>
  <c r="Z182" i="2"/>
  <c r="Z184" i="2"/>
  <c r="BN184" i="2"/>
  <c r="BP185" i="2"/>
  <c r="BP191" i="2"/>
  <c r="Z200" i="2"/>
  <c r="Z201" i="2" s="1"/>
  <c r="BN200" i="2"/>
  <c r="BP200" i="2"/>
  <c r="Y201" i="2"/>
  <c r="Z207" i="2"/>
  <c r="BN207" i="2"/>
  <c r="Z209" i="2"/>
  <c r="Z211" i="2"/>
  <c r="BN211" i="2"/>
  <c r="Y214" i="2"/>
  <c r="Z226" i="2"/>
  <c r="Z227" i="2"/>
  <c r="Z229" i="2"/>
  <c r="BN229" i="2"/>
  <c r="BP230" i="2"/>
  <c r="Z233" i="2"/>
  <c r="BN233" i="2"/>
  <c r="BN234" i="2"/>
  <c r="BP234" i="2"/>
  <c r="BN235" i="2"/>
  <c r="Z239" i="2"/>
  <c r="BN239" i="2"/>
  <c r="BP240" i="2"/>
  <c r="Z243" i="2"/>
  <c r="BN243" i="2"/>
  <c r="BN244" i="2"/>
  <c r="BP244" i="2"/>
  <c r="BN245" i="2"/>
  <c r="Z246" i="2"/>
  <c r="BN246" i="2"/>
  <c r="Z252" i="2"/>
  <c r="BN252" i="2"/>
  <c r="Y255" i="2"/>
  <c r="BP275" i="2"/>
  <c r="BN275" i="2"/>
  <c r="Z275" i="2"/>
  <c r="BN283" i="2"/>
  <c r="Z283" i="2"/>
  <c r="BN287" i="2"/>
  <c r="BP287" i="2"/>
  <c r="BN288" i="2"/>
  <c r="BP288" i="2"/>
  <c r="BP289" i="2"/>
  <c r="BN289" i="2"/>
  <c r="Z289" i="2"/>
  <c r="BN291" i="2"/>
  <c r="BP291" i="2"/>
  <c r="BN293" i="2"/>
  <c r="BP314" i="2"/>
  <c r="Y315" i="2"/>
  <c r="Y316" i="2"/>
  <c r="BP338" i="2"/>
  <c r="Y374" i="2"/>
  <c r="Y384" i="2"/>
  <c r="Y391" i="2"/>
  <c r="Y390" i="2"/>
  <c r="BP386" i="2"/>
  <c r="BN386" i="2"/>
  <c r="Z386" i="2"/>
  <c r="Y404" i="2"/>
  <c r="Z399" i="2"/>
  <c r="BP402" i="2"/>
  <c r="BN402" i="2"/>
  <c r="Z402" i="2"/>
  <c r="BN420" i="2"/>
  <c r="BP420" i="2"/>
  <c r="Y421" i="2"/>
  <c r="Y422" i="2"/>
  <c r="Y429" i="2"/>
  <c r="BP425" i="2"/>
  <c r="BN425" i="2"/>
  <c r="Z425" i="2"/>
  <c r="Y428" i="2"/>
  <c r="BN435" i="2"/>
  <c r="Z435" i="2"/>
  <c r="BP438" i="2"/>
  <c r="BN438" i="2"/>
  <c r="Z438" i="2"/>
  <c r="BN267" i="2"/>
  <c r="BP267" i="2"/>
  <c r="Y269" i="2"/>
  <c r="BN268" i="2"/>
  <c r="Y270" i="2"/>
  <c r="BN298" i="2"/>
  <c r="BP298" i="2"/>
  <c r="Y300" i="2"/>
  <c r="Y301" i="2"/>
  <c r="BP304" i="2"/>
  <c r="BN308" i="2"/>
  <c r="BP308" i="2"/>
  <c r="BN309" i="2"/>
  <c r="BP309" i="2"/>
  <c r="Y311" i="2"/>
  <c r="Z318" i="2"/>
  <c r="Z319" i="2" s="1"/>
  <c r="BN318" i="2"/>
  <c r="BP318" i="2"/>
  <c r="Y319" i="2"/>
  <c r="Y325" i="2"/>
  <c r="Z330" i="2"/>
  <c r="BN330" i="2"/>
  <c r="BN331" i="2"/>
  <c r="BP331" i="2"/>
  <c r="BN332" i="2"/>
  <c r="BP332" i="2"/>
  <c r="Y334" i="2"/>
  <c r="Z338" i="2"/>
  <c r="Z340" i="2"/>
  <c r="BN340" i="2"/>
  <c r="Y351" i="2"/>
  <c r="BP345" i="2"/>
  <c r="BP346" i="2"/>
  <c r="Z348" i="2"/>
  <c r="BN348" i="2"/>
  <c r="BP349" i="2"/>
  <c r="Y350" i="2"/>
  <c r="Z353" i="2"/>
  <c r="BN353" i="2"/>
  <c r="BP353" i="2"/>
  <c r="Y355" i="2"/>
  <c r="BN360" i="2"/>
  <c r="BP360" i="2"/>
  <c r="Z366" i="2"/>
  <c r="BN366" i="2"/>
  <c r="BN367" i="2"/>
  <c r="BP367" i="2"/>
  <c r="BN368" i="2"/>
  <c r="BP368" i="2"/>
  <c r="T571" i="2"/>
  <c r="BN371" i="2"/>
  <c r="BP371" i="2"/>
  <c r="Z376" i="2"/>
  <c r="BN376" i="2"/>
  <c r="BN377" i="2"/>
  <c r="BP377" i="2"/>
  <c r="BN378" i="2"/>
  <c r="BP378" i="2"/>
  <c r="Z381" i="2"/>
  <c r="BP381" i="2"/>
  <c r="BN381" i="2"/>
  <c r="BP400" i="2"/>
  <c r="Z400" i="2"/>
  <c r="BP412" i="2"/>
  <c r="Y416" i="2"/>
  <c r="BN413" i="2"/>
  <c r="BP413" i="2"/>
  <c r="BN427" i="2"/>
  <c r="Z427" i="2"/>
  <c r="BP436" i="2"/>
  <c r="Z436" i="2"/>
  <c r="BN451" i="2"/>
  <c r="BN387" i="2"/>
  <c r="BP387" i="2"/>
  <c r="BN388" i="2"/>
  <c r="BP388" i="2"/>
  <c r="BP393" i="2"/>
  <c r="U571" i="2"/>
  <c r="W571" i="2"/>
  <c r="BP439" i="2"/>
  <c r="BP445" i="2"/>
  <c r="BN456" i="2"/>
  <c r="BP456" i="2"/>
  <c r="Y458" i="2"/>
  <c r="Y459" i="2"/>
  <c r="BP462" i="2"/>
  <c r="BN472" i="2"/>
  <c r="BP472" i="2"/>
  <c r="Z479" i="2"/>
  <c r="BN479" i="2"/>
  <c r="BP479" i="2"/>
  <c r="BN480" i="2"/>
  <c r="BP480" i="2"/>
  <c r="BN481" i="2"/>
  <c r="BP481" i="2"/>
  <c r="Y485" i="2"/>
  <c r="BN484" i="2"/>
  <c r="BP484" i="2"/>
  <c r="Z489" i="2"/>
  <c r="BN489" i="2"/>
  <c r="Y490" i="2"/>
  <c r="Z571" i="2"/>
  <c r="AA571" i="2"/>
  <c r="BN506" i="2"/>
  <c r="BP506" i="2"/>
  <c r="Y515" i="2"/>
  <c r="BN509" i="2"/>
  <c r="BP509" i="2"/>
  <c r="BN511" i="2"/>
  <c r="Z513" i="2"/>
  <c r="BN513" i="2"/>
  <c r="BN519" i="2"/>
  <c r="BP519" i="2"/>
  <c r="Z524" i="2"/>
  <c r="BN524" i="2"/>
  <c r="BP524" i="2"/>
  <c r="BN525" i="2"/>
  <c r="BP525" i="2"/>
  <c r="BN526" i="2"/>
  <c r="BP526" i="2"/>
  <c r="BN529" i="2"/>
  <c r="BP529" i="2"/>
  <c r="Z536" i="2"/>
  <c r="Z537" i="2" s="1"/>
  <c r="BN536" i="2"/>
  <c r="BP536" i="2"/>
  <c r="Z540" i="2"/>
  <c r="Z541" i="2" s="1"/>
  <c r="Y542" i="2"/>
  <c r="Y545" i="2"/>
  <c r="Y546" i="2"/>
  <c r="BN558" i="2"/>
  <c r="BN499" i="2"/>
  <c r="Y538" i="2"/>
  <c r="BN55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 s="1"/>
  <c r="Z359" i="2"/>
  <c r="Z362" i="2" s="1"/>
  <c r="BP361" i="2"/>
  <c r="Z370" i="2"/>
  <c r="BP372" i="2"/>
  <c r="Z380" i="2"/>
  <c r="BP382" i="2"/>
  <c r="Z412" i="2"/>
  <c r="Z415" i="2" s="1"/>
  <c r="BP414" i="2"/>
  <c r="Y441" i="2"/>
  <c r="BP450" i="2"/>
  <c r="Y464" i="2"/>
  <c r="Z471" i="2"/>
  <c r="Z474" i="2" s="1"/>
  <c r="BP473" i="2"/>
  <c r="Z483" i="2"/>
  <c r="BP498" i="2"/>
  <c r="Z508" i="2"/>
  <c r="BP510" i="2"/>
  <c r="Z518" i="2"/>
  <c r="Z521" i="2" s="1"/>
  <c r="BP520" i="2"/>
  <c r="Z528" i="2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408" i="2"/>
  <c r="Z434" i="2"/>
  <c r="Z444" i="2"/>
  <c r="Z467" i="2"/>
  <c r="Z468" i="2" s="1"/>
  <c r="BP494" i="2"/>
  <c r="Z514" i="2"/>
  <c r="BP540" i="2"/>
  <c r="Z48" i="2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Z554" i="2" s="1"/>
  <c r="Y559" i="2"/>
  <c r="BP48" i="2"/>
  <c r="Z57" i="2"/>
  <c r="Y93" i="2"/>
  <c r="Y101" i="2"/>
  <c r="BP123" i="2"/>
  <c r="Z144" i="2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8" i="2"/>
  <c r="Z109" i="2"/>
  <c r="BN144" i="2"/>
  <c r="BN155" i="2"/>
  <c r="Z166" i="2"/>
  <c r="Z210" i="2"/>
  <c r="Z231" i="2"/>
  <c r="Z241" i="2"/>
  <c r="Z251" i="2"/>
  <c r="Z254" i="2" s="1"/>
  <c r="Y265" i="2"/>
  <c r="Z274" i="2"/>
  <c r="BN294" i="2"/>
  <c r="Z305" i="2"/>
  <c r="Z328" i="2"/>
  <c r="Z339" i="2"/>
  <c r="Z394" i="2"/>
  <c r="BN406" i="2"/>
  <c r="Y409" i="2"/>
  <c r="Z440" i="2"/>
  <c r="BN452" i="2"/>
  <c r="Z463" i="2"/>
  <c r="BN500" i="2"/>
  <c r="BN512" i="2"/>
  <c r="BP548" i="2"/>
  <c r="Y560" i="2"/>
  <c r="AB571" i="2"/>
  <c r="BN57" i="2"/>
  <c r="Y94" i="2"/>
  <c r="Y237" i="2"/>
  <c r="BN251" i="2"/>
  <c r="Z490" i="2" l="1"/>
  <c r="Z396" i="2"/>
  <c r="Z146" i="2"/>
  <c r="Z355" i="2"/>
  <c r="Z485" i="2"/>
  <c r="Z403" i="2"/>
  <c r="Z119" i="2"/>
  <c r="Z32" i="2"/>
  <c r="Z311" i="2"/>
  <c r="Z373" i="2"/>
  <c r="Z390" i="2"/>
  <c r="Z464" i="2"/>
  <c r="Z341" i="2"/>
  <c r="Z280" i="2"/>
  <c r="Z168" i="2"/>
  <c r="Z100" i="2"/>
  <c r="Z447" i="2"/>
  <c r="Z72" i="2"/>
  <c r="Z383" i="2"/>
  <c r="Z141" i="2"/>
  <c r="X564" i="2"/>
  <c r="Z334" i="2"/>
  <c r="Z248" i="2"/>
  <c r="Z213" i="2"/>
  <c r="Z93" i="2"/>
  <c r="Z193" i="2"/>
  <c r="Z51" i="2"/>
  <c r="Z531" i="2"/>
  <c r="Z350" i="2"/>
  <c r="Z501" i="2"/>
  <c r="Z453" i="2"/>
  <c r="Z236" i="2"/>
  <c r="Y563" i="2"/>
  <c r="Z42" i="2"/>
  <c r="Z428" i="2"/>
  <c r="Z441" i="2"/>
  <c r="Y565" i="2"/>
  <c r="Z126" i="2"/>
  <c r="Z295" i="2"/>
  <c r="Y562" i="2"/>
  <c r="Y561" i="2"/>
  <c r="Z113" i="2"/>
  <c r="Z156" i="2"/>
  <c r="Z187" i="2"/>
  <c r="Z409" i="2"/>
  <c r="Z64" i="2"/>
  <c r="Z515" i="2"/>
  <c r="Y564" i="2" l="1"/>
  <c r="Z566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<sst xmlns="http://schemas.openxmlformats.org/spreadsheetml/2006/main" count="4313" uniqueCount="897">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</sst>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896</v>
      </c>
      <c r="I5" s="661"/>
      <c r="J5" s="661"/>
      <c r="K5" s="661"/>
      <c r="L5" s="661"/>
      <c r="M5" s="661"/>
      <c r="N5" s="72"/>
      <c r="P5" s="27" t="s">
        <v>4</v>
      </c>
      <c r="Q5" s="663">
        <v>46299</v>
      </c>
      <c r="R5" s="663"/>
      <c r="T5" s="664" t="s">
        <v>3</v>
      </c>
      <c r="U5" s="665"/>
      <c r="V5" s="666" t="s">
        <v>877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878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Воскресенье</v>
      </c>
      <c r="R6" s="669"/>
      <c r="T6" s="670" t="s">
        <v>5</v>
      </c>
      <c r="U6" s="671"/>
      <c r="V6" s="672" t="s">
        <v>70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0.5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71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72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73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74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75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76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76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77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86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104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86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120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121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122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24</v>
      </c>
      <c r="Y49" s="55">
        <f>IFERROR(IF(X49="",0,CEILING((X49/$H49),1)*$H49),"")</f>
        <v>24</v>
      </c>
      <c r="Z49" s="41">
        <f>IFERROR(IF(Y49=0,"",ROUNDUP(Y49/H49,0)*0.00902),"")</f>
        <v>5.4120000000000001E-2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25.14</v>
      </c>
      <c r="BN49" s="78">
        <f>IFERROR(Y49*I49/H49,"0")</f>
        <v>25.14</v>
      </c>
      <c r="BO49" s="78">
        <f>IFERROR(1/J49*(X49/H49),"0")</f>
        <v>4.5454545454545456E-2</v>
      </c>
      <c r="BP49" s="78">
        <f>IFERROR(1/J49*(Y49/H49),"0")</f>
        <v>4.5454545454545456E-2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6</v>
      </c>
      <c r="Y51" s="43">
        <f>IFERROR(Y47/H47,"0")+IFERROR(Y48/H48,"0")+IFERROR(Y49/H49,"0")+IFERROR(Y50/H50,"0")</f>
        <v>6</v>
      </c>
      <c r="Z51" s="43">
        <f>IFERROR(IF(Z47="",0,Z47),"0")+IFERROR(IF(Z48="",0,Z48),"0")+IFERROR(IF(Z49="",0,Z49),"0")+IFERROR(IF(Z50="",0,Z50),"0")</f>
        <v>5.4120000000000001E-2</v>
      </c>
      <c r="AA51" s="67"/>
      <c r="AB51" s="67"/>
      <c r="AC51" s="67"/>
    </row>
    <row r="52" spans="1:68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24</v>
      </c>
      <c r="Y52" s="43">
        <f>IFERROR(SUM(Y47:Y50),"0")</f>
        <v>24</v>
      </c>
      <c r="Z52" s="42"/>
      <c r="AA52" s="67"/>
      <c r="AB52" s="67"/>
      <c r="AC52" s="67"/>
    </row>
    <row r="53" spans="1:68" ht="16.5" hidden="1" customHeight="1" x14ac:dyDescent="0.25">
      <c r="A53" s="725" t="s">
        <v>137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122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159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86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178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186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122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27</v>
      </c>
      <c r="Y92" s="55">
        <f t="shared" si="5"/>
        <v>27</v>
      </c>
      <c r="Z92" s="41">
        <f>IFERROR(IF(Y92=0,"",ROUNDUP(Y92/H92,0)*0.00902),"")</f>
        <v>5.4120000000000001E-2</v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28.14</v>
      </c>
      <c r="BN92" s="78">
        <f t="shared" si="7"/>
        <v>28.14</v>
      </c>
      <c r="BO92" s="78">
        <f t="shared" si="8"/>
        <v>4.5454545454545456E-2</v>
      </c>
      <c r="BP92" s="78">
        <f t="shared" si="9"/>
        <v>4.5454545454545456E-2</v>
      </c>
    </row>
    <row r="93" spans="1:68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6</v>
      </c>
      <c r="Y93" s="43">
        <f>IFERROR(Y87/H87,"0")+IFERROR(Y88/H88,"0")+IFERROR(Y89/H89,"0")+IFERROR(Y90/H90,"0")+IFERROR(Y91/H91,"0")+IFERROR(Y92/H92,"0")</f>
        <v>6</v>
      </c>
      <c r="Z93" s="43">
        <f>IFERROR(IF(Z87="",0,Z87),"0")+IFERROR(IF(Z88="",0,Z88),"0")+IFERROR(IF(Z89="",0,Z89),"0")+IFERROR(IF(Z90="",0,Z90),"0")+IFERROR(IF(Z91="",0,Z91),"0")+IFERROR(IF(Z92="",0,Z92),"0")</f>
        <v>5.4120000000000001E-2</v>
      </c>
      <c r="AA93" s="67"/>
      <c r="AB93" s="67"/>
      <c r="AC93" s="67"/>
    </row>
    <row r="94" spans="1:68" x14ac:dyDescent="0.2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27</v>
      </c>
      <c r="Y94" s="43">
        <f>IFERROR(SUM(Y87:Y92),"0")</f>
        <v>27</v>
      </c>
      <c r="Z94" s="42"/>
      <c r="AA94" s="67"/>
      <c r="AB94" s="67"/>
      <c r="AC94" s="67"/>
    </row>
    <row r="95" spans="1:68" ht="14.25" hidden="1" customHeight="1" x14ac:dyDescent="0.25">
      <c r="A95" s="726" t="s">
        <v>86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725" t="s">
        <v>210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hidden="1" customHeight="1" x14ac:dyDescent="0.25">
      <c r="A103" s="726" t="s">
        <v>122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27</v>
      </c>
      <c r="Y109" s="55">
        <f t="shared" si="10"/>
        <v>27</v>
      </c>
      <c r="Z109" s="41">
        <f>IFERROR(IF(Y109=0,"",ROUNDUP(Y109/H109,0)*0.00902),"")</f>
        <v>5.4120000000000001E-2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28.14</v>
      </c>
      <c r="BN109" s="78">
        <f t="shared" si="12"/>
        <v>28.14</v>
      </c>
      <c r="BO109" s="78">
        <f t="shared" si="13"/>
        <v>4.5454545454545456E-2</v>
      </c>
      <c r="BP109" s="78">
        <f t="shared" si="14"/>
        <v>4.5454545454545456E-2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6</v>
      </c>
      <c r="Y113" s="43">
        <f>IFERROR(Y104/H104,"0")+IFERROR(Y105/H105,"0")+IFERROR(Y106/H106,"0")+IFERROR(Y107/H107,"0")+IFERROR(Y108/H108,"0")+IFERROR(Y109/H109,"0")+IFERROR(Y110/H110,"0")+IFERROR(Y111/H111,"0")+IFERROR(Y112/H112,"0")</f>
        <v>6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5.4120000000000001E-2</v>
      </c>
      <c r="AA113" s="67"/>
      <c r="AB113" s="67"/>
      <c r="AC113" s="67"/>
    </row>
    <row r="114" spans="1:68" x14ac:dyDescent="0.2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27</v>
      </c>
      <c r="Y114" s="43">
        <f>IFERROR(SUM(Y104:Y112),"0")</f>
        <v>27</v>
      </c>
      <c r="Z114" s="42"/>
      <c r="AA114" s="67"/>
      <c r="AB114" s="67"/>
      <c r="AC114" s="67"/>
    </row>
    <row r="115" spans="1:68" ht="14.25" hidden="1" customHeight="1" x14ac:dyDescent="0.25">
      <c r="A115" s="726" t="s">
        <v>159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6" t="s">
        <v>86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726" t="s">
        <v>178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5" t="s">
        <v>250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hidden="1" customHeight="1" x14ac:dyDescent="0.25">
      <c r="A133" s="726" t="s">
        <v>122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26" t="s">
        <v>77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726" t="s">
        <v>86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5" t="s">
        <v>263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hidden="1" customHeight="1" x14ac:dyDescent="0.25">
      <c r="A149" s="726" t="s">
        <v>86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6" t="s">
        <v>278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5" t="s">
        <v>120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hidden="1" customHeight="1" x14ac:dyDescent="0.25">
      <c r="A163" s="726" t="s">
        <v>122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6" t="s">
        <v>159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6" t="s">
        <v>77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26" t="s">
        <v>86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6" t="s">
        <v>278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6" t="s">
        <v>342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4" t="s">
        <v>346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hidden="1" customHeight="1" x14ac:dyDescent="0.25">
      <c r="A204" s="725" t="s">
        <v>347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hidden="1" customHeight="1" x14ac:dyDescent="0.25">
      <c r="A205" s="726" t="s">
        <v>122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5" t="s">
        <v>368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hidden="1" customHeight="1" x14ac:dyDescent="0.25">
      <c r="A216" s="726" t="s">
        <v>159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6" t="s">
        <v>77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726" t="s">
        <v>86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6" t="s">
        <v>278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6" t="s">
        <v>439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5" t="s">
        <v>442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hidden="1" customHeight="1" x14ac:dyDescent="0.25">
      <c r="A261" s="726" t="s">
        <v>122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6" t="s">
        <v>159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6" t="s">
        <v>77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250</v>
      </c>
      <c r="Y272" s="55">
        <f t="shared" ref="Y272:Y279" si="43">IFERROR(IF(X272="",0,CEILING((X272/$H272),1)*$H272),"")</f>
        <v>253.8</v>
      </c>
      <c r="Z272" s="41">
        <f>IFERROR(IF(Y272=0,"",ROUNDUP(Y272/H272,0)*0.00902),"")</f>
        <v>0.42393999999999998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258.7962962962963</v>
      </c>
      <c r="BN272" s="78">
        <f t="shared" ref="BN272:BN279" si="45">IFERROR(Y272*I272/H272,"0")</f>
        <v>262.72999999999996</v>
      </c>
      <c r="BO272" s="78">
        <f t="shared" ref="BO272:BO279" si="46">IFERROR(1/J272*(X272/H272),"0")</f>
        <v>0.35072951739618402</v>
      </c>
      <c r="BP272" s="78">
        <f t="shared" ref="BP272:BP279" si="47">IFERROR(1/J272*(Y272/H272),"0")</f>
        <v>0.35606060606060608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250</v>
      </c>
      <c r="Y273" s="55">
        <f t="shared" si="43"/>
        <v>253.8</v>
      </c>
      <c r="Z273" s="41">
        <f>IFERROR(IF(Y273=0,"",ROUNDUP(Y273/H273,0)*0.00902),"")</f>
        <v>0.42393999999999998</v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258.7962962962963</v>
      </c>
      <c r="BN273" s="78">
        <f t="shared" si="45"/>
        <v>262.72999999999996</v>
      </c>
      <c r="BO273" s="78">
        <f t="shared" si="46"/>
        <v>0.35072951739618402</v>
      </c>
      <c r="BP273" s="78">
        <f t="shared" si="47"/>
        <v>0.35606060606060608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250</v>
      </c>
      <c r="Y274" s="55">
        <f t="shared" si="43"/>
        <v>253.8</v>
      </c>
      <c r="Z274" s="41">
        <f>IFERROR(IF(Y274=0,"",ROUNDUP(Y274/H274,0)*0.00902),"")</f>
        <v>0.42393999999999998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258.7962962962963</v>
      </c>
      <c r="BN274" s="78">
        <f t="shared" si="45"/>
        <v>262.72999999999996</v>
      </c>
      <c r="BO274" s="78">
        <f t="shared" si="46"/>
        <v>0.35072951739618402</v>
      </c>
      <c r="BP274" s="78">
        <f t="shared" si="47"/>
        <v>0.35606060606060608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250</v>
      </c>
      <c r="Y275" s="55">
        <f t="shared" si="43"/>
        <v>253.8</v>
      </c>
      <c r="Z275" s="41">
        <f>IFERROR(IF(Y275=0,"",ROUNDUP(Y275/H275,0)*0.00902),"")</f>
        <v>0.42393999999999998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258.7962962962963</v>
      </c>
      <c r="BN275" s="78">
        <f t="shared" si="45"/>
        <v>262.72999999999996</v>
      </c>
      <c r="BO275" s="78">
        <f t="shared" si="46"/>
        <v>0.35072951739618402</v>
      </c>
      <c r="BP275" s="78">
        <f t="shared" si="47"/>
        <v>0.35606060606060608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185.18518518518516</v>
      </c>
      <c r="Y280" s="43">
        <f>IFERROR(Y272/H272,"0")+IFERROR(Y273/H273,"0")+IFERROR(Y274/H274,"0")+IFERROR(Y275/H275,"0")+IFERROR(Y276/H276,"0")+IFERROR(Y277/H277,"0")+IFERROR(Y278/H278,"0")+IFERROR(Y279/H279,"0")</f>
        <v>188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1.6957599999999999</v>
      </c>
      <c r="AA280" s="67"/>
      <c r="AB280" s="67"/>
      <c r="AC280" s="67"/>
    </row>
    <row r="281" spans="1:68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1000</v>
      </c>
      <c r="Y281" s="43">
        <f>IFERROR(SUM(Y272:Y279),"0")</f>
        <v>1015.2</v>
      </c>
      <c r="Z281" s="42"/>
      <c r="AA281" s="67"/>
      <c r="AB281" s="67"/>
      <c r="AC281" s="67"/>
    </row>
    <row r="282" spans="1:68" ht="14.25" hidden="1" customHeight="1" x14ac:dyDescent="0.25">
      <c r="A282" s="726" t="s">
        <v>86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288</v>
      </c>
      <c r="Y286" s="55">
        <f t="shared" si="48"/>
        <v>288</v>
      </c>
      <c r="Z286" s="41">
        <f>IFERROR(IF(Y286=0,"",ROUNDUP(Y286/H286,0)*0.00651),"")</f>
        <v>0.78120000000000001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320.40000000000003</v>
      </c>
      <c r="BN286" s="78">
        <f t="shared" si="50"/>
        <v>320.40000000000003</v>
      </c>
      <c r="BO286" s="78">
        <f t="shared" si="51"/>
        <v>0.65934065934065944</v>
      </c>
      <c r="BP286" s="78">
        <f t="shared" si="52"/>
        <v>0.65934065934065944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240</v>
      </c>
      <c r="Y291" s="55">
        <f t="shared" si="48"/>
        <v>240</v>
      </c>
      <c r="Z291" s="41">
        <f>IFERROR(IF(Y291=0,"",ROUNDUP(Y291/H291,0)*0.00651),"")</f>
        <v>0.65100000000000002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265.20000000000005</v>
      </c>
      <c r="BN291" s="78">
        <f t="shared" si="50"/>
        <v>265.20000000000005</v>
      </c>
      <c r="BO291" s="78">
        <f t="shared" si="51"/>
        <v>0.5494505494505495</v>
      </c>
      <c r="BP291" s="78">
        <f t="shared" si="52"/>
        <v>0.5494505494505495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240</v>
      </c>
      <c r="Y292" s="55">
        <f t="shared" si="48"/>
        <v>240</v>
      </c>
      <c r="Z292" s="41">
        <f>IFERROR(IF(Y292=0,"",ROUNDUP(Y292/H292,0)*0.00651),"")</f>
        <v>0.65100000000000002</v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265.20000000000005</v>
      </c>
      <c r="BN292" s="78">
        <f t="shared" si="50"/>
        <v>265.20000000000005</v>
      </c>
      <c r="BO292" s="78">
        <f t="shared" si="51"/>
        <v>0.5494505494505495</v>
      </c>
      <c r="BP292" s="78">
        <f t="shared" si="52"/>
        <v>0.5494505494505495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320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320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2.0831999999999997</v>
      </c>
      <c r="AA295" s="67"/>
      <c r="AB295" s="67"/>
      <c r="AC295" s="67"/>
    </row>
    <row r="296" spans="1:68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768</v>
      </c>
      <c r="Y296" s="43">
        <f>IFERROR(SUM(Y283:Y294),"0")</f>
        <v>768</v>
      </c>
      <c r="Z296" s="42"/>
      <c r="AA296" s="67"/>
      <c r="AB296" s="67"/>
      <c r="AC296" s="67"/>
    </row>
    <row r="297" spans="1:68" ht="14.25" hidden="1" customHeight="1" x14ac:dyDescent="0.25">
      <c r="A297" s="726" t="s">
        <v>178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5" t="s">
        <v>510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hidden="1" customHeight="1" x14ac:dyDescent="0.25">
      <c r="A303" s="726" t="s">
        <v>122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6" t="s">
        <v>159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6" t="s">
        <v>532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6" t="s">
        <v>342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542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122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562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86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571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77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86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592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122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601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122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77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100</v>
      </c>
      <c r="Y376" s="55">
        <f t="shared" ref="Y376:Y382" si="68">IFERROR(IF(X376="",0,CEILING((X376/$H376),1)*$H376),"")</f>
        <v>100.80000000000001</v>
      </c>
      <c r="Z376" s="41">
        <f>IFERROR(IF(Y376=0,"",ROUNDUP(Y376/H376,0)*0.00902),"")</f>
        <v>0.21648000000000001</v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105.95238095238095</v>
      </c>
      <c r="BN376" s="78">
        <f t="shared" ref="BN376:BN382" si="70">IFERROR(Y376*I376/H376,"0")</f>
        <v>106.80000000000001</v>
      </c>
      <c r="BO376" s="78">
        <f t="shared" ref="BO376:BO382" si="71">IFERROR(1/J376*(X376/H376),"0")</f>
        <v>0.18037518037518038</v>
      </c>
      <c r="BP376" s="78">
        <f t="shared" ref="BP376:BP382" si="72">IFERROR(1/J376*(Y376/H376),"0")</f>
        <v>0.18181818181818182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23.80952380952381</v>
      </c>
      <c r="Y383" s="43">
        <f>IFERROR(Y376/H376,"0")+IFERROR(Y377/H377,"0")+IFERROR(Y378/H378,"0")+IFERROR(Y379/H379,"0")+IFERROR(Y380/H380,"0")+IFERROR(Y381/H381,"0")+IFERROR(Y382/H382,"0")</f>
        <v>24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0.21648000000000001</v>
      </c>
      <c r="AA383" s="67"/>
      <c r="AB383" s="67"/>
      <c r="AC383" s="67"/>
    </row>
    <row r="384" spans="1:68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100</v>
      </c>
      <c r="Y384" s="43">
        <f>IFERROR(SUM(Y376:Y382),"0")</f>
        <v>100.80000000000001</v>
      </c>
      <c r="Z384" s="42"/>
      <c r="AA384" s="67"/>
      <c r="AB384" s="67"/>
      <c r="AC384" s="67"/>
    </row>
    <row r="385" spans="1:68" ht="14.25" hidden="1" customHeight="1" x14ac:dyDescent="0.25">
      <c r="A385" s="726" t="s">
        <v>86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178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651</v>
      </c>
      <c r="B393" s="63" t="s">
        <v>652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50</v>
      </c>
      <c r="Y395" s="55">
        <f>IFERROR(IF(X395="",0,CEILING((X395/$H395),1)*$H395),"")</f>
        <v>50.400000000000006</v>
      </c>
      <c r="Z395" s="41">
        <f>IFERROR(IF(Y395=0,"",ROUNDUP(Y395/H395,0)*0.01898),"")</f>
        <v>0.11388000000000001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52.94047619047619</v>
      </c>
      <c r="BN395" s="78">
        <f>IFERROR(Y395*I395/H395,"0")</f>
        <v>53.364000000000004</v>
      </c>
      <c r="BO395" s="78">
        <f>IFERROR(1/J395*(X395/H395),"0")</f>
        <v>9.3005952380952384E-2</v>
      </c>
      <c r="BP395" s="78">
        <f>IFERROR(1/J395*(Y395/H395),"0")</f>
        <v>9.375E-2</v>
      </c>
    </row>
    <row r="396" spans="1:68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5.9523809523809526</v>
      </c>
      <c r="Y396" s="43">
        <f>IFERROR(Y393/H393,"0")+IFERROR(Y394/H394,"0")+IFERROR(Y395/H395,"0")</f>
        <v>6</v>
      </c>
      <c r="Z396" s="43">
        <f>IFERROR(IF(Z393="",0,Z393),"0")+IFERROR(IF(Z394="",0,Z394),"0")+IFERROR(IF(Z395="",0,Z395),"0")</f>
        <v>0.11388000000000001</v>
      </c>
      <c r="AA396" s="67"/>
      <c r="AB396" s="67"/>
      <c r="AC396" s="67"/>
    </row>
    <row r="397" spans="1:68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50</v>
      </c>
      <c r="Y397" s="43">
        <f>IFERROR(SUM(Y393:Y395),"0")</f>
        <v>50.400000000000006</v>
      </c>
      <c r="Z397" s="42"/>
      <c r="AA397" s="67"/>
      <c r="AB397" s="67"/>
      <c r="AC397" s="67"/>
    </row>
    <row r="398" spans="1:68" ht="14.25" hidden="1" customHeight="1" x14ac:dyDescent="0.25">
      <c r="A398" s="726" t="s">
        <v>278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669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678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687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86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694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86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704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705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122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706</v>
      </c>
      <c r="B433" s="63" t="s">
        <v>707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4000</v>
      </c>
      <c r="Y434" s="55">
        <f t="shared" si="73"/>
        <v>4005</v>
      </c>
      <c r="Z434" s="41">
        <f>IFERROR(IF(Y434=0,"",ROUNDUP(Y434/H434,0)*0.02175),"")</f>
        <v>5.8072499999999998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4125.333333333333</v>
      </c>
      <c r="BN434" s="78">
        <f t="shared" si="75"/>
        <v>4130.4900000000007</v>
      </c>
      <c r="BO434" s="78">
        <f t="shared" si="76"/>
        <v>5.5555555555555554</v>
      </c>
      <c r="BP434" s="78">
        <f t="shared" si="77"/>
        <v>5.5625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2500</v>
      </c>
      <c r="Y435" s="55">
        <f t="shared" si="73"/>
        <v>2505</v>
      </c>
      <c r="Z435" s="41">
        <f>IFERROR(IF(Y435=0,"",ROUNDUP(Y435/H435,0)*0.02175),"")</f>
        <v>3.6322499999999995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2578.3333333333335</v>
      </c>
      <c r="BN435" s="78">
        <f t="shared" si="75"/>
        <v>2583.4899999999998</v>
      </c>
      <c r="BO435" s="78">
        <f t="shared" si="76"/>
        <v>3.4722222222222219</v>
      </c>
      <c r="BP435" s="78">
        <f t="shared" si="77"/>
        <v>3.4791666666666665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3500</v>
      </c>
      <c r="Y436" s="55">
        <f t="shared" si="73"/>
        <v>3510</v>
      </c>
      <c r="Z436" s="41">
        <f>IFERROR(IF(Y436=0,"",ROUNDUP(Y436/H436,0)*0.02175),"")</f>
        <v>5.0894999999999992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3609.6666666666665</v>
      </c>
      <c r="BN436" s="78">
        <f t="shared" si="75"/>
        <v>3619.9800000000005</v>
      </c>
      <c r="BO436" s="78">
        <f t="shared" si="76"/>
        <v>4.8611111111111107</v>
      </c>
      <c r="BP436" s="78">
        <f t="shared" si="77"/>
        <v>4.875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666.66666666666674</v>
      </c>
      <c r="Y441" s="43">
        <f>IFERROR(Y433/H433,"0")+IFERROR(Y434/H434,"0")+IFERROR(Y435/H435,"0")+IFERROR(Y436/H436,"0")+IFERROR(Y437/H437,"0")+IFERROR(Y438/H438,"0")+IFERROR(Y439/H439,"0")+IFERROR(Y440/H440,"0")</f>
        <v>668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14.528999999999998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10000</v>
      </c>
      <c r="Y442" s="43">
        <f>IFERROR(SUM(Y433:Y440),"0")</f>
        <v>10020</v>
      </c>
      <c r="Z442" s="42"/>
      <c r="AA442" s="67"/>
      <c r="AB442" s="67"/>
      <c r="AC442" s="67"/>
    </row>
    <row r="443" spans="1:68" ht="14.25" hidden="1" customHeight="1" x14ac:dyDescent="0.25">
      <c r="A443" s="726" t="s">
        <v>159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3000</v>
      </c>
      <c r="Y444" s="55">
        <f>IFERROR(IF(X444="",0,CEILING((X444/$H444),1)*$H444),"")</f>
        <v>3000</v>
      </c>
      <c r="Z444" s="41">
        <f>IFERROR(IF(Y444=0,"",ROUNDUP(Y444/H444,0)*0.02175),"")</f>
        <v>4.3499999999999996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3094</v>
      </c>
      <c r="BN444" s="78">
        <f>IFERROR(Y444*I444/H444,"0")</f>
        <v>3094</v>
      </c>
      <c r="BO444" s="78">
        <f>IFERROR(1/J444*(X444/H444),"0")</f>
        <v>4.1666666666666661</v>
      </c>
      <c r="BP444" s="78">
        <f>IFERROR(1/J444*(Y444/H444),"0")</f>
        <v>4.1666666666666661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200</v>
      </c>
      <c r="Y447" s="43">
        <f>IFERROR(Y444/H444,"0")+IFERROR(Y445/H445,"0")+IFERROR(Y446/H446,"0")</f>
        <v>200</v>
      </c>
      <c r="Z447" s="43">
        <f>IFERROR(IF(Z444="",0,Z444),"0")+IFERROR(IF(Z445="",0,Z445),"0")+IFERROR(IF(Z446="",0,Z446),"0")</f>
        <v>4.3499999999999996</v>
      </c>
      <c r="AA447" s="67"/>
      <c r="AB447" s="67"/>
      <c r="AC447" s="67"/>
    </row>
    <row r="448" spans="1:68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3000</v>
      </c>
      <c r="Y448" s="43">
        <f>IFERROR(SUM(Y444:Y446),"0")</f>
        <v>3000</v>
      </c>
      <c r="Z448" s="42"/>
      <c r="AA448" s="67"/>
      <c r="AB448" s="67"/>
      <c r="AC448" s="67"/>
    </row>
    <row r="449" spans="1:68" ht="14.25" hidden="1" customHeight="1" x14ac:dyDescent="0.25">
      <c r="A449" s="726" t="s">
        <v>86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178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350</v>
      </c>
      <c r="Y457" s="55">
        <f>IFERROR(IF(X457="",0,CEILING((X457/$H457),1)*$H457),"")</f>
        <v>351</v>
      </c>
      <c r="Z457" s="41">
        <f>IFERROR(IF(Y457=0,"",ROUNDUP(Y457/H457,0)*0.01898),"")</f>
        <v>0.74021999999999999</v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369.21111111111111</v>
      </c>
      <c r="BN457" s="78">
        <f>IFERROR(Y457*I457/H457,"0")</f>
        <v>370.26599999999996</v>
      </c>
      <c r="BO457" s="78">
        <f>IFERROR(1/J457*(X457/H457),"0")</f>
        <v>0.60763888888888884</v>
      </c>
      <c r="BP457" s="78">
        <f>IFERROR(1/J457*(Y457/H457),"0")</f>
        <v>0.609375</v>
      </c>
    </row>
    <row r="458" spans="1:68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38.888888888888886</v>
      </c>
      <c r="Y458" s="43">
        <f>IFERROR(Y456/H456,"0")+IFERROR(Y457/H457,"0")</f>
        <v>39</v>
      </c>
      <c r="Z458" s="43">
        <f>IFERROR(IF(Z456="",0,Z456),"0")+IFERROR(IF(Z457="",0,Z457),"0")</f>
        <v>0.74021999999999999</v>
      </c>
      <c r="AA458" s="67"/>
      <c r="AB458" s="67"/>
      <c r="AC458" s="67"/>
    </row>
    <row r="459" spans="1:68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350</v>
      </c>
      <c r="Y459" s="43">
        <f>IFERROR(SUM(Y456:Y457),"0")</f>
        <v>351</v>
      </c>
      <c r="Z459" s="42"/>
      <c r="AA459" s="67"/>
      <c r="AB459" s="67"/>
      <c r="AC459" s="67"/>
    </row>
    <row r="460" spans="1:68" ht="16.5" hidden="1" customHeight="1" x14ac:dyDescent="0.25">
      <c r="A460" s="725" t="s">
        <v>754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122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77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86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770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771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77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customHeight="1" x14ac:dyDescent="0.25">
      <c r="A480" s="63" t="s">
        <v>775</v>
      </c>
      <c r="B480" s="63" t="s">
        <v>776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200</v>
      </c>
      <c r="Y480" s="55">
        <f t="shared" si="78"/>
        <v>205.20000000000002</v>
      </c>
      <c r="Z480" s="41">
        <f>IFERROR(IF(Y480=0,"",ROUNDUP(Y480/H480,0)*0.00902),"")</f>
        <v>0.34276000000000001</v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207.03703703703701</v>
      </c>
      <c r="BN480" s="78">
        <f t="shared" si="80"/>
        <v>212.42</v>
      </c>
      <c r="BO480" s="78">
        <f t="shared" si="81"/>
        <v>0.28058361391694725</v>
      </c>
      <c r="BP480" s="78">
        <f t="shared" si="82"/>
        <v>0.2878787878787879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37.037037037037038</v>
      </c>
      <c r="Y485" s="43">
        <f>IFERROR(Y479/H479,"0")+IFERROR(Y480/H480,"0")+IFERROR(Y481/H481,"0")+IFERROR(Y482/H482,"0")+IFERROR(Y483/H483,"0")+IFERROR(Y484/H484,"0")</f>
        <v>38</v>
      </c>
      <c r="Z485" s="43">
        <f>IFERROR(IF(Z479="",0,Z479),"0")+IFERROR(IF(Z480="",0,Z480),"0")+IFERROR(IF(Z481="",0,Z481),"0")+IFERROR(IF(Z482="",0,Z482),"0")+IFERROR(IF(Z483="",0,Z483),"0")+IFERROR(IF(Z484="",0,Z484),"0")</f>
        <v>0.34276000000000001</v>
      </c>
      <c r="AA485" s="67"/>
      <c r="AB485" s="67"/>
      <c r="AC485" s="67"/>
    </row>
    <row r="486" spans="1:68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200</v>
      </c>
      <c r="Y486" s="43">
        <f>IFERROR(SUM(Y479:Y484),"0")</f>
        <v>205.20000000000002</v>
      </c>
      <c r="Z486" s="42"/>
      <c r="AA486" s="67"/>
      <c r="AB486" s="67"/>
      <c r="AC486" s="67"/>
    </row>
    <row r="487" spans="1:68" ht="14.25" hidden="1" customHeight="1" x14ac:dyDescent="0.25">
      <c r="A487" s="726" t="s">
        <v>86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794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159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77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350</v>
      </c>
      <c r="Y498" s="55">
        <f>IFERROR(IF(X498="",0,CEILING((X498/$H498),1)*$H498),"")</f>
        <v>351</v>
      </c>
      <c r="Z498" s="41">
        <f>IFERROR(IF(Y498=0,"",ROUNDUP(Y498/H498,0)*0.00902),"")</f>
        <v>0.58630000000000004</v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362.31481481481478</v>
      </c>
      <c r="BN498" s="78">
        <f>IFERROR(Y498*I498/H498,"0")</f>
        <v>363.34999999999997</v>
      </c>
      <c r="BO498" s="78">
        <f>IFERROR(1/J498*(X498/H498),"0")</f>
        <v>0.49102132435465767</v>
      </c>
      <c r="BP498" s="78">
        <f>IFERROR(1/J498*(Y498/H498),"0")</f>
        <v>0.49242424242424243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64.81481481481481</v>
      </c>
      <c r="Y501" s="43">
        <f>IFERROR(Y498/H498,"0")+IFERROR(Y499/H499,"0")+IFERROR(Y500/H500,"0")</f>
        <v>65</v>
      </c>
      <c r="Z501" s="43">
        <f>IFERROR(IF(Z498="",0,Z498),"0")+IFERROR(IF(Z499="",0,Z499),"0")+IFERROR(IF(Z500="",0,Z500),"0")</f>
        <v>0.58630000000000004</v>
      </c>
      <c r="AA501" s="67"/>
      <c r="AB501" s="67"/>
      <c r="AC501" s="67"/>
    </row>
    <row r="502" spans="1:68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350</v>
      </c>
      <c r="Y502" s="43">
        <f>IFERROR(SUM(Y498:Y500),"0")</f>
        <v>351</v>
      </c>
      <c r="Z502" s="42"/>
      <c r="AA502" s="67"/>
      <c r="AB502" s="67"/>
      <c r="AC502" s="67"/>
    </row>
    <row r="503" spans="1:68" ht="27.75" hidden="1" customHeight="1" x14ac:dyDescent="0.2">
      <c r="A503" s="724" t="s">
        <v>806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806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122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50</v>
      </c>
      <c r="Y508" s="55">
        <f t="shared" si="83"/>
        <v>52.800000000000004</v>
      </c>
      <c r="Z508" s="41">
        <f t="shared" si="84"/>
        <v>0.1196</v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53.314393939393938</v>
      </c>
      <c r="BN508" s="78">
        <f t="shared" si="86"/>
        <v>56.3</v>
      </c>
      <c r="BO508" s="78">
        <f t="shared" si="87"/>
        <v>9.1054778554778545E-2</v>
      </c>
      <c r="BP508" s="78">
        <f t="shared" si="88"/>
        <v>9.6153846153846159E-2</v>
      </c>
    </row>
    <row r="509" spans="1:68" ht="27" customHeight="1" x14ac:dyDescent="0.25">
      <c r="A509" s="63" t="s">
        <v>815</v>
      </c>
      <c r="B509" s="63" t="s">
        <v>816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si="83"/>
        <v>100.32000000000001</v>
      </c>
      <c r="Z509" s="41">
        <f t="shared" si="84"/>
        <v>0.22724</v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106.62878787878788</v>
      </c>
      <c r="BN509" s="78">
        <f t="shared" si="86"/>
        <v>106.97</v>
      </c>
      <c r="BO509" s="78">
        <f t="shared" si="87"/>
        <v>0.18210955710955709</v>
      </c>
      <c r="BP509" s="78">
        <f t="shared" si="88"/>
        <v>0.18269230769230771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200</v>
      </c>
      <c r="Y511" s="55">
        <f t="shared" si="83"/>
        <v>200.64000000000001</v>
      </c>
      <c r="Z511" s="41">
        <f t="shared" si="84"/>
        <v>0.45448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213.25757575757575</v>
      </c>
      <c r="BN511" s="78">
        <f t="shared" si="86"/>
        <v>213.94</v>
      </c>
      <c r="BO511" s="78">
        <f t="shared" si="87"/>
        <v>0.36421911421911418</v>
      </c>
      <c r="BP511" s="78">
        <f t="shared" si="88"/>
        <v>0.36538461538461542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66.287878787878782</v>
      </c>
      <c r="Y515" s="43">
        <f>IFERROR(Y506/H506,"0")+IFERROR(Y507/H507,"0")+IFERROR(Y508/H508,"0")+IFERROR(Y509/H509,"0")+IFERROR(Y510/H510,"0")+IFERROR(Y511/H511,"0")+IFERROR(Y512/H512,"0")+IFERROR(Y513/H513,"0")+IFERROR(Y514/H514,"0")</f>
        <v>67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0.80132000000000003</v>
      </c>
      <c r="AA515" s="67"/>
      <c r="AB515" s="67"/>
      <c r="AC515" s="67"/>
    </row>
    <row r="516" spans="1:68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350</v>
      </c>
      <c r="Y516" s="43">
        <f>IFERROR(SUM(Y506:Y514),"0")</f>
        <v>353.76</v>
      </c>
      <c r="Z516" s="42"/>
      <c r="AA516" s="67"/>
      <c r="AB516" s="67"/>
      <c r="AC516" s="67"/>
    </row>
    <row r="517" spans="1:68" ht="14.25" hidden="1" customHeight="1" x14ac:dyDescent="0.25">
      <c r="A517" s="726" t="s">
        <v>159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830</v>
      </c>
      <c r="B518" s="63" t="s">
        <v>831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77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837</v>
      </c>
      <c r="B524" s="63" t="s">
        <v>838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100</v>
      </c>
      <c r="Y525" s="55">
        <f t="shared" si="89"/>
        <v>100.32000000000001</v>
      </c>
      <c r="Z525" s="41">
        <f>IFERROR(IF(Y525=0,"",ROUNDUP(Y525/H525,0)*0.01196),"")</f>
        <v>0.22724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106.62878787878788</v>
      </c>
      <c r="BN525" s="78">
        <f t="shared" si="91"/>
        <v>106.97</v>
      </c>
      <c r="BO525" s="78">
        <f t="shared" si="92"/>
        <v>0.18210955710955709</v>
      </c>
      <c r="BP525" s="78">
        <f t="shared" si="93"/>
        <v>0.18269230769230771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100</v>
      </c>
      <c r="Y526" s="55">
        <f t="shared" si="89"/>
        <v>100.32000000000001</v>
      </c>
      <c r="Z526" s="41">
        <f>IFERROR(IF(Y526=0,"",ROUNDUP(Y526/H526,0)*0.01196),"")</f>
        <v>0.22724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106.62878787878788</v>
      </c>
      <c r="BN526" s="78">
        <f t="shared" si="91"/>
        <v>106.97</v>
      </c>
      <c r="BO526" s="78">
        <f t="shared" si="92"/>
        <v>0.18210955710955709</v>
      </c>
      <c r="BP526" s="78">
        <f t="shared" si="93"/>
        <v>0.18269230769230771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37.878787878787875</v>
      </c>
      <c r="Y531" s="43">
        <f>IFERROR(Y524/H524,"0")+IFERROR(Y525/H525,"0")+IFERROR(Y526/H526,"0")+IFERROR(Y527/H527,"0")+IFERROR(Y528/H528,"0")+IFERROR(Y529/H529,"0")+IFERROR(Y530/H530,"0")</f>
        <v>38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0.45448</v>
      </c>
      <c r="AA531" s="67"/>
      <c r="AB531" s="67"/>
      <c r="AC531" s="67"/>
    </row>
    <row r="532" spans="1:68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200</v>
      </c>
      <c r="Y532" s="43">
        <f>IFERROR(SUM(Y524:Y530),"0")</f>
        <v>200.64000000000001</v>
      </c>
      <c r="Z532" s="42"/>
      <c r="AA532" s="67"/>
      <c r="AB532" s="67"/>
      <c r="AC532" s="67"/>
    </row>
    <row r="533" spans="1:68" ht="27.75" hidden="1" customHeight="1" x14ac:dyDescent="0.2">
      <c r="A533" s="724" t="s">
        <v>853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853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122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159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77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100</v>
      </c>
      <c r="Y544" s="55">
        <f>IFERROR(IF(X544="",0,CEILING((X544/$H544),1)*$H544),"")</f>
        <v>100.80000000000001</v>
      </c>
      <c r="Z544" s="41">
        <f>IFERROR(IF(Y544=0,"",ROUNDUP(Y544/H544,0)*0.00902),"")</f>
        <v>0.21648000000000001</v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105.95238095238095</v>
      </c>
      <c r="BN544" s="78">
        <f>IFERROR(Y544*I544/H544,"0")</f>
        <v>106.80000000000001</v>
      </c>
      <c r="BO544" s="78">
        <f>IFERROR(1/J544*(X544/H544),"0")</f>
        <v>0.18037518037518038</v>
      </c>
      <c r="BP544" s="78">
        <f>IFERROR(1/J544*(Y544/H544),"0")</f>
        <v>0.18181818181818182</v>
      </c>
    </row>
    <row r="545" spans="1:68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23.80952380952381</v>
      </c>
      <c r="Y545" s="43">
        <f>IFERROR(Y544/H544,"0")</f>
        <v>24</v>
      </c>
      <c r="Z545" s="43">
        <f>IFERROR(IF(Z544="",0,Z544),"0")</f>
        <v>0.21648000000000001</v>
      </c>
      <c r="AA545" s="67"/>
      <c r="AB545" s="67"/>
      <c r="AC545" s="67"/>
    </row>
    <row r="546" spans="1:68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100</v>
      </c>
      <c r="Y546" s="43">
        <f>IFERROR(SUM(Y544:Y544),"0")</f>
        <v>100.80000000000001</v>
      </c>
      <c r="Z546" s="42"/>
      <c r="AA546" s="67"/>
      <c r="AB546" s="67"/>
      <c r="AC546" s="67"/>
    </row>
    <row r="547" spans="1:68" ht="14.25" hidden="1" customHeight="1" x14ac:dyDescent="0.25">
      <c r="A547" s="726" t="s">
        <v>86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customHeight="1" x14ac:dyDescent="0.25">
      <c r="A548" s="63" t="s">
        <v>862</v>
      </c>
      <c r="B548" s="63" t="s">
        <v>863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500</v>
      </c>
      <c r="Y548" s="55">
        <f>IFERROR(IF(X548="",0,CEILING((X548/$H548),1)*$H548),"")</f>
        <v>504</v>
      </c>
      <c r="Z548" s="41">
        <f>IFERROR(IF(Y548=0,"",ROUNDUP(Y548/H548,0)*0.01898),"")</f>
        <v>1.06288</v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527.44444444444446</v>
      </c>
      <c r="BN548" s="78">
        <f>IFERROR(Y548*I548/H548,"0")</f>
        <v>531.66399999999999</v>
      </c>
      <c r="BO548" s="78">
        <f>IFERROR(1/J548*(X548/H548),"0")</f>
        <v>0.86805555555555558</v>
      </c>
      <c r="BP548" s="78">
        <f>IFERROR(1/J548*(Y548/H548),"0")</f>
        <v>0.875</v>
      </c>
    </row>
    <row r="549" spans="1:68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55.555555555555557</v>
      </c>
      <c r="Y549" s="43">
        <f>IFERROR(Y548/H548,"0")</f>
        <v>56</v>
      </c>
      <c r="Z549" s="43">
        <f>IFERROR(IF(Z548="",0,Z548),"0")</f>
        <v>1.06288</v>
      </c>
      <c r="AA549" s="67"/>
      <c r="AB549" s="67"/>
      <c r="AC549" s="67"/>
    </row>
    <row r="550" spans="1:68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500</v>
      </c>
      <c r="Y550" s="43">
        <f>IFERROR(SUM(Y548:Y548),"0")</f>
        <v>504</v>
      </c>
      <c r="Z550" s="42"/>
      <c r="AA550" s="67"/>
      <c r="AB550" s="67"/>
      <c r="AC550" s="67"/>
    </row>
    <row r="551" spans="1:68" ht="14.25" hidden="1" customHeight="1" x14ac:dyDescent="0.25">
      <c r="A551" s="726" t="s">
        <v>178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871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159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17046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17098.8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17692.049497354496</v>
      </c>
      <c r="Y562" s="43">
        <f>IFERROR(SUM(BN22:BN558),"0")</f>
        <v>17746.914000000001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26</v>
      </c>
      <c r="Y563" s="44">
        <f>ROUNDUP(SUM(BP22:BP558),0)</f>
        <v>26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18342.049497354496</v>
      </c>
      <c r="Y564" s="43">
        <f>GrossWeightTotalR+PalletQtyTotalR*25</f>
        <v>18396.914000000001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1743.8862433862437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1751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27.355120000000003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1019" t="s">
        <v>120</v>
      </c>
      <c r="E568" s="1019" t="s">
        <v>120</v>
      </c>
      <c r="F568" s="1019" t="s">
        <v>120</v>
      </c>
      <c r="G568" s="1019" t="s">
        <v>120</v>
      </c>
      <c r="H568" s="1019" t="s">
        <v>120</v>
      </c>
      <c r="I568" s="1019" t="s">
        <v>120</v>
      </c>
      <c r="J568" s="1019" t="s">
        <v>120</v>
      </c>
      <c r="K568" s="1019" t="s">
        <v>346</v>
      </c>
      <c r="L568" s="1019" t="s">
        <v>346</v>
      </c>
      <c r="M568" s="1019" t="s">
        <v>346</v>
      </c>
      <c r="N568" s="1025"/>
      <c r="O568" s="1019" t="s">
        <v>346</v>
      </c>
      <c r="P568" s="1019" t="s">
        <v>346</v>
      </c>
      <c r="Q568" s="1019" t="s">
        <v>346</v>
      </c>
      <c r="R568" s="1019" t="s">
        <v>346</v>
      </c>
      <c r="S568" s="1019" t="s">
        <v>346</v>
      </c>
      <c r="T568" s="1019" t="s">
        <v>346</v>
      </c>
      <c r="U568" s="1019" t="s">
        <v>346</v>
      </c>
      <c r="V568" s="1019" t="s">
        <v>346</v>
      </c>
      <c r="W568" s="1019" t="s">
        <v>704</v>
      </c>
      <c r="X568" s="1019" t="s">
        <v>704</v>
      </c>
      <c r="Y568" s="1019" t="s">
        <v>770</v>
      </c>
      <c r="Z568" s="1019" t="s">
        <v>770</v>
      </c>
      <c r="AA568" s="85" t="s">
        <v>806</v>
      </c>
      <c r="AB568" s="1019" t="s">
        <v>853</v>
      </c>
      <c r="AC568" s="1019" t="s">
        <v>853</v>
      </c>
      <c r="AF568" s="1"/>
    </row>
    <row r="569" spans="1:32" ht="14.25" customHeight="1" thickTop="1" x14ac:dyDescent="0.2">
      <c r="A569" s="1026" t="s">
        <v>10</v>
      </c>
      <c r="B569" s="1019" t="s">
        <v>76</v>
      </c>
      <c r="C569" s="1019" t="s">
        <v>104</v>
      </c>
      <c r="D569" s="1019" t="s">
        <v>121</v>
      </c>
      <c r="E569" s="1019" t="s">
        <v>137</v>
      </c>
      <c r="F569" s="1019" t="s">
        <v>186</v>
      </c>
      <c r="G569" s="1019" t="s">
        <v>210</v>
      </c>
      <c r="H569" s="1019" t="s">
        <v>250</v>
      </c>
      <c r="I569" s="1019" t="s">
        <v>263</v>
      </c>
      <c r="J569" s="1019" t="s">
        <v>120</v>
      </c>
      <c r="K569" s="1019" t="s">
        <v>347</v>
      </c>
      <c r="L569" s="1019" t="s">
        <v>368</v>
      </c>
      <c r="M569" s="1019" t="s">
        <v>442</v>
      </c>
      <c r="N569" s="1"/>
      <c r="O569" s="1019" t="s">
        <v>510</v>
      </c>
      <c r="P569" s="1019" t="s">
        <v>542</v>
      </c>
      <c r="Q569" s="1019" t="s">
        <v>562</v>
      </c>
      <c r="R569" s="1019" t="s">
        <v>571</v>
      </c>
      <c r="S569" s="1019" t="s">
        <v>592</v>
      </c>
      <c r="T569" s="1019" t="s">
        <v>601</v>
      </c>
      <c r="U569" s="1019" t="s">
        <v>687</v>
      </c>
      <c r="V569" s="1019" t="s">
        <v>694</v>
      </c>
      <c r="W569" s="1019" t="s">
        <v>705</v>
      </c>
      <c r="X569" s="1019" t="s">
        <v>754</v>
      </c>
      <c r="Y569" s="1019" t="s">
        <v>771</v>
      </c>
      <c r="Z569" s="1019" t="s">
        <v>794</v>
      </c>
      <c r="AA569" s="1019" t="s">
        <v>806</v>
      </c>
      <c r="AB569" s="1019" t="s">
        <v>853</v>
      </c>
      <c r="AC569" s="1019" t="s">
        <v>871</v>
      </c>
      <c r="AF569" s="1"/>
    </row>
    <row r="570" spans="1:32" ht="13.5" thickBot="1" x14ac:dyDescent="0.25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24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27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27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1783.2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151.20000000000002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13371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205.20000000000002</v>
      </c>
      <c r="Z571" s="52">
        <f>IFERROR(Y494*1,"0")+IFERROR(Y498*1,"0")+IFERROR(Y499*1,"0")+IFERROR(Y500*1,"0")</f>
        <v>351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554.4</v>
      </c>
      <c r="AB571" s="52">
        <f>IFERROR(Y536*1,"0")+IFERROR(Y540*1,"0")+IFERROR(Y544*1,"0")+IFERROR(Y548*1,"0")+IFERROR(Y552*1,"0")+IFERROR(Y553*1,"0")</f>
        <v>604.79999999999995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743,89"/>
        <filter val="10 000,00"/>
        <filter val="100,00"/>
        <filter val="17 046,00"/>
        <filter val="17 692,05"/>
        <filter val="18 342,05"/>
        <filter val="185,19"/>
        <filter val="2 500,00"/>
        <filter val="200,00"/>
        <filter val="23,81"/>
        <filter val="24,00"/>
        <filter val="240,00"/>
        <filter val="250,00"/>
        <filter val="26"/>
        <filter val="27,00"/>
        <filter val="288,00"/>
        <filter val="3 000,00"/>
        <filter val="3 500,00"/>
        <filter val="320,00"/>
        <filter val="350,00"/>
        <filter val="37,04"/>
        <filter val="37,88"/>
        <filter val="38,89"/>
        <filter val="4 000,00"/>
        <filter val="5,95"/>
        <filter val="50,00"/>
        <filter val="500,00"/>
        <filter val="55,56"/>
        <filter val="6,00"/>
        <filter val="64,81"/>
        <filter val="66,29"/>
        <filter val="666,67"/>
        <filter val="768,00"/>
      </filters>
    </filterColumn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2026-10-01T11:25:42Z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