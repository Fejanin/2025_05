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BC73F4-1C2B-4546-A1B3-15001AAFEAD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BP480" i="2" s="1"/>
  <c r="P480" i="2"/>
  <c r="BO479" i="2"/>
  <c r="BM479" i="2"/>
  <c r="Y479" i="2"/>
  <c r="BN479" i="2" s="1"/>
  <c r="P479" i="2"/>
  <c r="X475" i="2"/>
  <c r="X474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Z462" i="2" s="1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BN433" i="2" s="1"/>
  <c r="P433" i="2"/>
  <c r="X429" i="2"/>
  <c r="X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Z425" i="2"/>
  <c r="Y425" i="2"/>
  <c r="BN425" i="2" s="1"/>
  <c r="P425" i="2"/>
  <c r="X422" i="2"/>
  <c r="X421" i="2"/>
  <c r="BO420" i="2"/>
  <c r="BM420" i="2"/>
  <c r="Y420" i="2"/>
  <c r="Z420" i="2" s="1"/>
  <c r="P420" i="2"/>
  <c r="BO419" i="2"/>
  <c r="BM419" i="2"/>
  <c r="Y419" i="2"/>
  <c r="BN419" i="2" s="1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Y355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Z338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Z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Y270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Z217" i="2"/>
  <c r="Z218" i="2" s="1"/>
  <c r="Y217" i="2"/>
  <c r="Y218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Z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N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Y131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BN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N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BP99" i="2" s="1"/>
  <c r="P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N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BN63" i="2" l="1"/>
  <c r="BN90" i="2"/>
  <c r="BN110" i="2"/>
  <c r="BN140" i="2"/>
  <c r="BN183" i="2"/>
  <c r="BN208" i="2"/>
  <c r="BN268" i="2"/>
  <c r="BN272" i="2"/>
  <c r="BN285" i="2"/>
  <c r="BN318" i="2"/>
  <c r="BN371" i="2"/>
  <c r="BN456" i="2"/>
  <c r="BN489" i="2"/>
  <c r="BN529" i="2"/>
  <c r="BN558" i="2"/>
  <c r="BN47" i="2"/>
  <c r="BN68" i="2"/>
  <c r="BN99" i="2"/>
  <c r="Z118" i="2"/>
  <c r="BN167" i="2"/>
  <c r="Y198" i="2"/>
  <c r="Y201" i="2"/>
  <c r="Z226" i="2"/>
  <c r="BN242" i="2"/>
  <c r="Z257" i="2"/>
  <c r="Z258" i="2" s="1"/>
  <c r="BN275" i="2"/>
  <c r="BN288" i="2"/>
  <c r="BN330" i="2"/>
  <c r="BN379" i="2"/>
  <c r="BN507" i="2"/>
  <c r="BN536" i="2"/>
  <c r="Y319" i="2"/>
  <c r="Z314" i="2"/>
  <c r="Z315" i="2" s="1"/>
  <c r="BN276" i="2"/>
  <c r="Z436" i="2"/>
  <c r="BP139" i="2"/>
  <c r="Z139" i="2"/>
  <c r="Y137" i="2"/>
  <c r="BN513" i="2"/>
  <c r="Z275" i="2"/>
  <c r="BN232" i="2"/>
  <c r="BN289" i="2"/>
  <c r="BN553" i="2"/>
  <c r="BN548" i="2"/>
  <c r="Y546" i="2"/>
  <c r="Y542" i="2"/>
  <c r="Z536" i="2"/>
  <c r="Z537" i="2" s="1"/>
  <c r="BP536" i="2"/>
  <c r="BN526" i="2"/>
  <c r="BN524" i="2"/>
  <c r="Z513" i="2"/>
  <c r="BN511" i="2"/>
  <c r="Y515" i="2"/>
  <c r="BN488" i="2"/>
  <c r="Y490" i="2"/>
  <c r="BN484" i="2"/>
  <c r="BN481" i="2"/>
  <c r="BN451" i="2"/>
  <c r="Z445" i="2"/>
  <c r="Z439" i="2"/>
  <c r="BP438" i="2"/>
  <c r="Z438" i="2"/>
  <c r="Z433" i="2"/>
  <c r="BP433" i="2"/>
  <c r="BN426" i="2"/>
  <c r="BP425" i="2"/>
  <c r="Y416" i="2"/>
  <c r="BN402" i="2"/>
  <c r="Z402" i="2"/>
  <c r="Z400" i="2"/>
  <c r="BN388" i="2"/>
  <c r="BN377" i="2"/>
  <c r="Y384" i="2"/>
  <c r="Z376" i="2"/>
  <c r="BP376" i="2"/>
  <c r="BN368" i="2"/>
  <c r="BN366" i="2"/>
  <c r="Y356" i="2"/>
  <c r="Z353" i="2"/>
  <c r="BP353" i="2"/>
  <c r="Z348" i="2"/>
  <c r="BP348" i="2"/>
  <c r="Z340" i="2"/>
  <c r="BP340" i="2"/>
  <c r="Y341" i="2"/>
  <c r="BN332" i="2"/>
  <c r="Y325" i="2"/>
  <c r="Z318" i="2"/>
  <c r="Z319" i="2" s="1"/>
  <c r="BP318" i="2"/>
  <c r="BN309" i="2"/>
  <c r="BN307" i="2"/>
  <c r="BN291" i="2"/>
  <c r="BN286" i="2"/>
  <c r="Z285" i="2"/>
  <c r="BN278" i="2"/>
  <c r="Y259" i="2"/>
  <c r="Y254" i="2"/>
  <c r="BN253" i="2"/>
  <c r="BN252" i="2"/>
  <c r="BN244" i="2"/>
  <c r="Z240" i="2"/>
  <c r="BN234" i="2"/>
  <c r="Z230" i="2"/>
  <c r="BN228" i="2"/>
  <c r="Y219" i="2"/>
  <c r="BN212" i="2"/>
  <c r="BN211" i="2"/>
  <c r="BN207" i="2"/>
  <c r="BN200" i="2"/>
  <c r="BN184" i="2"/>
  <c r="Z183" i="2"/>
  <c r="BN179" i="2"/>
  <c r="Y188" i="2"/>
  <c r="Y168" i="2"/>
  <c r="BN154" i="2"/>
  <c r="BN134" i="2"/>
  <c r="BP124" i="2"/>
  <c r="BN111" i="2"/>
  <c r="Z110" i="2"/>
  <c r="BN107" i="2"/>
  <c r="Z106" i="2"/>
  <c r="BP106" i="2"/>
  <c r="BN91" i="2"/>
  <c r="Z90" i="2"/>
  <c r="BN81" i="2"/>
  <c r="BP70" i="2"/>
  <c r="BN62" i="2"/>
  <c r="BP60" i="2"/>
  <c r="BN58" i="2"/>
  <c r="Y52" i="2"/>
  <c r="BP49" i="2"/>
  <c r="Z47" i="2"/>
  <c r="X561" i="2"/>
  <c r="Z41" i="2"/>
  <c r="C571" i="2"/>
  <c r="BN39" i="2"/>
  <c r="BP31" i="2"/>
  <c r="Z31" i="2"/>
  <c r="B571" i="2"/>
  <c r="BN28" i="2"/>
  <c r="X562" i="2"/>
  <c r="BP27" i="2"/>
  <c r="Z27" i="2"/>
  <c r="BN22" i="2"/>
  <c r="Y78" i="2"/>
  <c r="Y84" i="2"/>
  <c r="BP92" i="2"/>
  <c r="BP152" i="2"/>
  <c r="BP181" i="2"/>
  <c r="BP209" i="2"/>
  <c r="BP227" i="2"/>
  <c r="Z227" i="2"/>
  <c r="BN243" i="2"/>
  <c r="BP243" i="2"/>
  <c r="Z243" i="2"/>
  <c r="Z262" i="2"/>
  <c r="Y264" i="2"/>
  <c r="BP263" i="2"/>
  <c r="BN263" i="2"/>
  <c r="Z298" i="2"/>
  <c r="Y301" i="2"/>
  <c r="BN298" i="2"/>
  <c r="BN304" i="2"/>
  <c r="Y311" i="2"/>
  <c r="Z304" i="2"/>
  <c r="BP310" i="2"/>
  <c r="BN310" i="2"/>
  <c r="Z310" i="2"/>
  <c r="Y351" i="2"/>
  <c r="Z345" i="2"/>
  <c r="Y350" i="2"/>
  <c r="S571" i="2"/>
  <c r="Y363" i="2"/>
  <c r="Z360" i="2"/>
  <c r="BN360" i="2"/>
  <c r="Z367" i="2"/>
  <c r="BN367" i="2"/>
  <c r="BN395" i="2"/>
  <c r="BP395" i="2"/>
  <c r="Z395" i="2"/>
  <c r="BN407" i="2"/>
  <c r="BP407" i="2"/>
  <c r="Z407" i="2"/>
  <c r="BP518" i="2"/>
  <c r="Y522" i="2"/>
  <c r="Z519" i="2"/>
  <c r="BN519" i="2"/>
  <c r="Z525" i="2"/>
  <c r="BN525" i="2"/>
  <c r="BP23" i="2"/>
  <c r="Y25" i="2"/>
  <c r="BP29" i="2"/>
  <c r="Z40" i="2"/>
  <c r="BP40" i="2"/>
  <c r="E571" i="2"/>
  <c r="Y77" i="2"/>
  <c r="Z82" i="2"/>
  <c r="Z83" i="2" s="1"/>
  <c r="Z89" i="2"/>
  <c r="BP89" i="2"/>
  <c r="Z96" i="2"/>
  <c r="BP96" i="2"/>
  <c r="BP108" i="2"/>
  <c r="BP112" i="2"/>
  <c r="Y120" i="2"/>
  <c r="Z117" i="2"/>
  <c r="BP117" i="2"/>
  <c r="Y119" i="2"/>
  <c r="Z122" i="2"/>
  <c r="BP122" i="2"/>
  <c r="BP135" i="2"/>
  <c r="Z145" i="2"/>
  <c r="BP145" i="2"/>
  <c r="J571" i="2"/>
  <c r="Z165" i="2"/>
  <c r="Z181" i="2"/>
  <c r="BP185" i="2"/>
  <c r="BP191" i="2"/>
  <c r="Z209" i="2"/>
  <c r="Y214" i="2"/>
  <c r="BP224" i="2"/>
  <c r="BN229" i="2"/>
  <c r="BP229" i="2"/>
  <c r="Z229" i="2"/>
  <c r="Y249" i="2"/>
  <c r="BP279" i="2"/>
  <c r="BN279" i="2"/>
  <c r="Z279" i="2"/>
  <c r="Y300" i="2"/>
  <c r="BP333" i="2"/>
  <c r="BN333" i="2"/>
  <c r="Z333" i="2"/>
  <c r="BN347" i="2"/>
  <c r="BP347" i="2"/>
  <c r="Z347" i="2"/>
  <c r="Z378" i="2"/>
  <c r="BN378" i="2"/>
  <c r="BP389" i="2"/>
  <c r="BN389" i="2"/>
  <c r="Z389" i="2"/>
  <c r="BN437" i="2"/>
  <c r="BP437" i="2"/>
  <c r="Z437" i="2"/>
  <c r="BP457" i="2"/>
  <c r="BN457" i="2"/>
  <c r="Z457" i="2"/>
  <c r="Z458" i="2" s="1"/>
  <c r="BP471" i="2"/>
  <c r="Y475" i="2"/>
  <c r="Z472" i="2"/>
  <c r="BN472" i="2"/>
  <c r="Z480" i="2"/>
  <c r="BN480" i="2"/>
  <c r="Z509" i="2"/>
  <c r="BN509" i="2"/>
  <c r="BP80" i="2"/>
  <c r="BP165" i="2"/>
  <c r="X563" i="2"/>
  <c r="X565" i="2"/>
  <c r="Z29" i="2"/>
  <c r="Z39" i="2"/>
  <c r="Z63" i="2"/>
  <c r="BN76" i="2"/>
  <c r="BN80" i="2"/>
  <c r="BP81" i="2"/>
  <c r="Y83" i="2"/>
  <c r="F571" i="2"/>
  <c r="BP87" i="2"/>
  <c r="BP91" i="2"/>
  <c r="BN92" i="2"/>
  <c r="Z99" i="2"/>
  <c r="G571" i="2"/>
  <c r="Z108" i="2"/>
  <c r="Z116" i="2"/>
  <c r="BP116" i="2"/>
  <c r="Y130" i="2"/>
  <c r="H571" i="2"/>
  <c r="I571" i="2"/>
  <c r="BN152" i="2"/>
  <c r="Z164" i="2"/>
  <c r="BP164" i="2"/>
  <c r="Y174" i="2"/>
  <c r="BN177" i="2"/>
  <c r="Z179" i="2"/>
  <c r="Z185" i="2"/>
  <c r="Z191" i="2"/>
  <c r="Y197" i="2"/>
  <c r="Z206" i="2"/>
  <c r="Z208" i="2"/>
  <c r="Z212" i="2"/>
  <c r="BN222" i="2"/>
  <c r="Z224" i="2"/>
  <c r="BN239" i="2"/>
  <c r="BP239" i="2"/>
  <c r="Z239" i="2"/>
  <c r="Z267" i="2"/>
  <c r="BN267" i="2"/>
  <c r="Z308" i="2"/>
  <c r="BN308" i="2"/>
  <c r="BP369" i="2"/>
  <c r="BN369" i="2"/>
  <c r="Z369" i="2"/>
  <c r="Y390" i="2"/>
  <c r="Y391" i="2"/>
  <c r="Y459" i="2"/>
  <c r="BP527" i="2"/>
  <c r="BN527" i="2"/>
  <c r="Z527" i="2"/>
  <c r="Z22" i="2"/>
  <c r="Z24" i="2" s="1"/>
  <c r="BP22" i="2"/>
  <c r="BN23" i="2"/>
  <c r="Y24" i="2"/>
  <c r="Y33" i="2"/>
  <c r="Z28" i="2"/>
  <c r="Z32" i="2" s="1"/>
  <c r="BP37" i="2"/>
  <c r="BP41" i="2"/>
  <c r="D571" i="2"/>
  <c r="BN56" i="2"/>
  <c r="Z58" i="2"/>
  <c r="Z62" i="2"/>
  <c r="Z68" i="2"/>
  <c r="BN82" i="2"/>
  <c r="Z87" i="2"/>
  <c r="Y100" i="2"/>
  <c r="BP97" i="2"/>
  <c r="Z107" i="2"/>
  <c r="Z111" i="2"/>
  <c r="BN112" i="2"/>
  <c r="BP118" i="2"/>
  <c r="Y127" i="2"/>
  <c r="Z134" i="2"/>
  <c r="Z136" i="2" s="1"/>
  <c r="BP134" i="2"/>
  <c r="BN135" i="2"/>
  <c r="Y136" i="2"/>
  <c r="Y142" i="2"/>
  <c r="Z140" i="2"/>
  <c r="Z141" i="2" s="1"/>
  <c r="Y146" i="2"/>
  <c r="Z150" i="2"/>
  <c r="BN159" i="2"/>
  <c r="Y161" i="2"/>
  <c r="Z167" i="2"/>
  <c r="Y173" i="2"/>
  <c r="BP171" i="2"/>
  <c r="Z182" i="2"/>
  <c r="Z184" i="2"/>
  <c r="Z200" i="2"/>
  <c r="Z201" i="2" s="1"/>
  <c r="BP200" i="2"/>
  <c r="Z207" i="2"/>
  <c r="Z211" i="2"/>
  <c r="BN233" i="2"/>
  <c r="BP233" i="2"/>
  <c r="Z233" i="2"/>
  <c r="BP298" i="2"/>
  <c r="BP304" i="2"/>
  <c r="Z331" i="2"/>
  <c r="BN331" i="2"/>
  <c r="BP345" i="2"/>
  <c r="BP360" i="2"/>
  <c r="BP367" i="2"/>
  <c r="Z381" i="2"/>
  <c r="BN381" i="2"/>
  <c r="Z387" i="2"/>
  <c r="BN387" i="2"/>
  <c r="BN401" i="2"/>
  <c r="BP401" i="2"/>
  <c r="Z401" i="2"/>
  <c r="Z403" i="2" s="1"/>
  <c r="BP446" i="2"/>
  <c r="Z446" i="2"/>
  <c r="BP482" i="2"/>
  <c r="BN482" i="2"/>
  <c r="Z482" i="2"/>
  <c r="Z571" i="2"/>
  <c r="Y496" i="2"/>
  <c r="Z494" i="2"/>
  <c r="Z495" i="2" s="1"/>
  <c r="AA571" i="2"/>
  <c r="BN506" i="2"/>
  <c r="BP519" i="2"/>
  <c r="BP525" i="2"/>
  <c r="BN246" i="2"/>
  <c r="Y255" i="2"/>
  <c r="BP273" i="2"/>
  <c r="BP277" i="2"/>
  <c r="BP283" i="2"/>
  <c r="BP287" i="2"/>
  <c r="BN299" i="2"/>
  <c r="BN306" i="2"/>
  <c r="BP314" i="2"/>
  <c r="Y316" i="2"/>
  <c r="BN322" i="2"/>
  <c r="BN329" i="2"/>
  <c r="BP338" i="2"/>
  <c r="Y374" i="2"/>
  <c r="Y404" i="2"/>
  <c r="BP399" i="2"/>
  <c r="BP413" i="2"/>
  <c r="BP420" i="2"/>
  <c r="Y422" i="2"/>
  <c r="BP427" i="2"/>
  <c r="BP435" i="2"/>
  <c r="Y571" i="2"/>
  <c r="Y532" i="2"/>
  <c r="BP226" i="2"/>
  <c r="Z228" i="2"/>
  <c r="Z232" i="2"/>
  <c r="Z242" i="2"/>
  <c r="Z253" i="2"/>
  <c r="Y269" i="2"/>
  <c r="Z273" i="2"/>
  <c r="Y280" i="2"/>
  <c r="Z283" i="2"/>
  <c r="Z289" i="2"/>
  <c r="Z307" i="2"/>
  <c r="BP309" i="2"/>
  <c r="Z330" i="2"/>
  <c r="BP332" i="2"/>
  <c r="Y334" i="2"/>
  <c r="BP346" i="2"/>
  <c r="BP349" i="2"/>
  <c r="Z366" i="2"/>
  <c r="BP368" i="2"/>
  <c r="T571" i="2"/>
  <c r="BP371" i="2"/>
  <c r="BP377" i="2"/>
  <c r="Z386" i="2"/>
  <c r="BP386" i="2"/>
  <c r="BP388" i="2"/>
  <c r="Y397" i="2"/>
  <c r="BP393" i="2"/>
  <c r="Z399" i="2"/>
  <c r="U571" i="2"/>
  <c r="Z427" i="2"/>
  <c r="W571" i="2"/>
  <c r="Z435" i="2"/>
  <c r="BP439" i="2"/>
  <c r="Y448" i="2"/>
  <c r="BP445" i="2"/>
  <c r="BP456" i="2"/>
  <c r="Y458" i="2"/>
  <c r="X571" i="2"/>
  <c r="BP462" i="2"/>
  <c r="Z479" i="2"/>
  <c r="BP479" i="2"/>
  <c r="BP481" i="2"/>
  <c r="Y485" i="2"/>
  <c r="BP484" i="2"/>
  <c r="Z489" i="2"/>
  <c r="Y491" i="2"/>
  <c r="Z524" i="2"/>
  <c r="BP526" i="2"/>
  <c r="BP529" i="2"/>
  <c r="Z540" i="2"/>
  <c r="Z541" i="2" s="1"/>
  <c r="Y545" i="2"/>
  <c r="BP230" i="2"/>
  <c r="BP234" i="2"/>
  <c r="BN235" i="2"/>
  <c r="BP240" i="2"/>
  <c r="BP244" i="2"/>
  <c r="BN245" i="2"/>
  <c r="Z246" i="2"/>
  <c r="Z252" i="2"/>
  <c r="Z272" i="2"/>
  <c r="Z276" i="2"/>
  <c r="BN277" i="2"/>
  <c r="Z286" i="2"/>
  <c r="BN287" i="2"/>
  <c r="BP288" i="2"/>
  <c r="BP291" i="2"/>
  <c r="BN293" i="2"/>
  <c r="Z299" i="2"/>
  <c r="Z306" i="2"/>
  <c r="Y315" i="2"/>
  <c r="Z322" i="2"/>
  <c r="Z329" i="2"/>
  <c r="Z346" i="2"/>
  <c r="Z349" i="2"/>
  <c r="Z379" i="2"/>
  <c r="Z393" i="2"/>
  <c r="BN413" i="2"/>
  <c r="Z419" i="2"/>
  <c r="Z421" i="2" s="1"/>
  <c r="BP419" i="2"/>
  <c r="BN420" i="2"/>
  <c r="Y421" i="2"/>
  <c r="Y429" i="2"/>
  <c r="Z426" i="2"/>
  <c r="Y428" i="2"/>
  <c r="Z488" i="2"/>
  <c r="BN499" i="2"/>
  <c r="Z507" i="2"/>
  <c r="Y538" i="2"/>
  <c r="Z548" i="2"/>
  <c r="Z549" i="2" s="1"/>
  <c r="Z552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59" i="2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13" i="2" s="1"/>
  <c r="Z231" i="2"/>
  <c r="Z241" i="2"/>
  <c r="Z251" i="2"/>
  <c r="Y265" i="2"/>
  <c r="Z274" i="2"/>
  <c r="BN294" i="2"/>
  <c r="Z305" i="2"/>
  <c r="Z328" i="2"/>
  <c r="Z334" i="2" s="1"/>
  <c r="Z339" i="2"/>
  <c r="Z341" i="2" s="1"/>
  <c r="Z394" i="2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168" i="2" l="1"/>
  <c r="Z447" i="2"/>
  <c r="Z362" i="2"/>
  <c r="Z254" i="2"/>
  <c r="Z324" i="2"/>
  <c r="Z531" i="2"/>
  <c r="Z554" i="2"/>
  <c r="Z490" i="2"/>
  <c r="Z485" i="2"/>
  <c r="Z441" i="2"/>
  <c r="Z428" i="2"/>
  <c r="Z396" i="2"/>
  <c r="Z383" i="2"/>
  <c r="Z373" i="2"/>
  <c r="Z311" i="2"/>
  <c r="Z280" i="2"/>
  <c r="Z193" i="2"/>
  <c r="Z119" i="2"/>
  <c r="Z100" i="2"/>
  <c r="Z93" i="2"/>
  <c r="Z72" i="2"/>
  <c r="Z51" i="2"/>
  <c r="X564" i="2"/>
  <c r="Z453" i="2"/>
  <c r="Z236" i="2"/>
  <c r="Z42" i="2"/>
  <c r="Z350" i="2"/>
  <c r="Y565" i="2"/>
  <c r="Z126" i="2"/>
  <c r="Z295" i="2"/>
  <c r="Y562" i="2"/>
  <c r="Y561" i="2"/>
  <c r="Z248" i="2"/>
  <c r="Z501" i="2"/>
  <c r="Y563" i="2"/>
  <c r="Z390" i="2"/>
  <c r="Z300" i="2"/>
  <c r="Z113" i="2"/>
  <c r="Z156" i="2"/>
  <c r="Z187" i="2"/>
  <c r="Z409" i="2"/>
  <c r="Z64" i="2"/>
  <c r="Z515" i="2"/>
  <c r="Z566" i="2" l="1"/>
  <c r="Y564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<sst xmlns="http://schemas.openxmlformats.org/spreadsheetml/2006/main" count="4313" uniqueCount="897">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</sst>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896</v>
      </c>
      <c r="I5" s="1004"/>
      <c r="J5" s="1004"/>
      <c r="K5" s="1004"/>
      <c r="L5" s="1004"/>
      <c r="M5" s="1004"/>
      <c r="N5" s="72"/>
      <c r="P5" s="27" t="s">
        <v>4</v>
      </c>
      <c r="Q5" s="1006">
        <v>46299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878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Воскресенье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4.1666666666666664E-2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16</v>
      </c>
      <c r="Y40" s="55">
        <f>IFERROR(IF(X40="",0,CEILING((X40/$H40),1)*$H40),"")</f>
        <v>17.28</v>
      </c>
      <c r="Z40" s="41">
        <f>IFERROR(IF(Y40=0,"",ROUNDUP(Y40/H40,0)*0.00651),"")</f>
        <v>5.8590000000000003E-2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17.5</v>
      </c>
      <c r="BN40" s="78">
        <f>IFERROR(Y40*I40/H40,"0")</f>
        <v>18.900000000000002</v>
      </c>
      <c r="BO40" s="78">
        <f>IFERROR(1/J40*(X40/H40),"0")</f>
        <v>4.5787545787545791E-2</v>
      </c>
      <c r="BP40" s="78">
        <f>IFERROR(1/J40*(Y40/H40),"0")</f>
        <v>4.9450549450549462E-2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25</v>
      </c>
      <c r="Y42" s="43">
        <f>IFERROR(Y37/H37,"0")+IFERROR(Y38/H38,"0")+IFERROR(Y39/H39,"0")+IFERROR(Y40/H40,"0")+IFERROR(Y41/H41,"0")</f>
        <v>26</v>
      </c>
      <c r="Z42" s="43">
        <f>IFERROR(IF(Z37="",0,Z37),"0")+IFERROR(IF(Z38="",0,Z38),"0")+IFERROR(IF(Z39="",0,Z39),"0")+IFERROR(IF(Z40="",0,Z40),"0")+IFERROR(IF(Z41="",0,Z41),"0")</f>
        <v>0.16926000000000002</v>
      </c>
      <c r="AA42" s="67"/>
      <c r="AB42" s="67"/>
      <c r="AC42" s="67"/>
    </row>
    <row r="43" spans="1:68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48</v>
      </c>
      <c r="Y43" s="43">
        <f>IFERROR(SUM(Y37:Y41),"0")</f>
        <v>49.92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200</v>
      </c>
      <c r="Y49" s="55">
        <f>IFERROR(IF(X49="",0,CEILING((X49/$H49),1)*$H49),"")</f>
        <v>200</v>
      </c>
      <c r="Z49" s="41">
        <f>IFERROR(IF(Y49=0,"",ROUNDUP(Y49/H49,0)*0.00902),"")</f>
        <v>0.45100000000000001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209.50000000000003</v>
      </c>
      <c r="BN49" s="78">
        <f>IFERROR(Y49*I49/H49,"0")</f>
        <v>209.50000000000003</v>
      </c>
      <c r="BO49" s="78">
        <f>IFERROR(1/J49*(X49/H49),"0")</f>
        <v>0.37878787878787878</v>
      </c>
      <c r="BP49" s="78">
        <f>IFERROR(1/J49*(Y49/H49),"0")</f>
        <v>0.37878787878787878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50</v>
      </c>
      <c r="Y51" s="43">
        <f>IFERROR(Y47/H47,"0")+IFERROR(Y48/H48,"0")+IFERROR(Y49/H49,"0")+IFERROR(Y50/H50,"0")</f>
        <v>50</v>
      </c>
      <c r="Z51" s="43">
        <f>IFERROR(IF(Z47="",0,Z47),"0")+IFERROR(IF(Z48="",0,Z48),"0")+IFERROR(IF(Z49="",0,Z49),"0")+IFERROR(IF(Z50="",0,Z50),"0")</f>
        <v>0.45100000000000001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200</v>
      </c>
      <c r="Y52" s="43">
        <f>IFERROR(SUM(Y47:Y50),"0")</f>
        <v>200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360</v>
      </c>
      <c r="Y62" s="55">
        <f t="shared" si="0"/>
        <v>360</v>
      </c>
      <c r="Z62" s="41">
        <f>IFERROR(IF(Y62=0,"",ROUNDUP(Y62/H62,0)*0.00902),"")</f>
        <v>0.72160000000000002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375.20000000000005</v>
      </c>
      <c r="BN62" s="78">
        <f t="shared" si="2"/>
        <v>375.20000000000005</v>
      </c>
      <c r="BO62" s="78">
        <f t="shared" si="3"/>
        <v>0.60606060606060608</v>
      </c>
      <c r="BP62" s="78">
        <f t="shared" si="4"/>
        <v>0.60606060606060608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80</v>
      </c>
      <c r="Y64" s="43">
        <f>IFERROR(Y55/H55,"0")+IFERROR(Y56/H56,"0")+IFERROR(Y57/H57,"0")+IFERROR(Y58/H58,"0")+IFERROR(Y59/H59,"0")+IFERROR(Y60/H60,"0")+IFERROR(Y61/H61,"0")+IFERROR(Y62/H62,"0")+IFERROR(Y63/H63,"0")</f>
        <v>80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0.72160000000000002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360</v>
      </c>
      <c r="Y65" s="43">
        <f>IFERROR(SUM(Y55:Y63),"0")</f>
        <v>360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200</v>
      </c>
      <c r="Y67" s="55">
        <f>IFERROR(IF(X67="",0,CEILING((X67/$H67),1)*$H67),"")</f>
        <v>205.20000000000002</v>
      </c>
      <c r="Z67" s="41">
        <f>IFERROR(IF(Y67=0,"",ROUNDUP(Y67/H67,0)*0.01898),"")</f>
        <v>0.36062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207.59259259259258</v>
      </c>
      <c r="BN67" s="78">
        <f>IFERROR(Y67*I67/H67,"0")</f>
        <v>212.99</v>
      </c>
      <c r="BO67" s="78">
        <f>IFERROR(1/J67*(X67/H67),"0")</f>
        <v>0.28935185185185186</v>
      </c>
      <c r="BP67" s="78">
        <f>IFERROR(1/J67*(Y67/H67),"0")</f>
        <v>0.296875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90</v>
      </c>
      <c r="Y71" s="55">
        <f>IFERROR(IF(X71="",0,CEILING((X71/$H71),1)*$H71),"")</f>
        <v>91.800000000000011</v>
      </c>
      <c r="Z71" s="41">
        <f>IFERROR(IF(Y71=0,"",ROUNDUP(Y71/H71,0)*0.00651),"")</f>
        <v>0.22134000000000001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95.999999999999986</v>
      </c>
      <c r="BN71" s="78">
        <f>IFERROR(Y71*I71/H71,"0")</f>
        <v>97.92</v>
      </c>
      <c r="BO71" s="78">
        <f>IFERROR(1/J71*(X71/H71),"0")</f>
        <v>0.18315018315018314</v>
      </c>
      <c r="BP71" s="78">
        <f>IFERROR(1/J71*(Y71/H71),"0")</f>
        <v>0.18681318681318682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51.851851851851848</v>
      </c>
      <c r="Y72" s="43">
        <f>IFERROR(Y67/H67,"0")+IFERROR(Y68/H68,"0")+IFERROR(Y69/H69,"0")+IFERROR(Y70/H70,"0")+IFERROR(Y71/H71,"0")</f>
        <v>53</v>
      </c>
      <c r="Z72" s="43">
        <f>IFERROR(IF(Z67="",0,Z67),"0")+IFERROR(IF(Z68="",0,Z68),"0")+IFERROR(IF(Z69="",0,Z69),"0")+IFERROR(IF(Z70="",0,Z70),"0")+IFERROR(IF(Z71="",0,Z71),"0")</f>
        <v>0.58196000000000003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290</v>
      </c>
      <c r="Y73" s="43">
        <f>IFERROR(SUM(Y67:Y71),"0")</f>
        <v>297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20</v>
      </c>
      <c r="Y80" s="55">
        <f>IFERROR(IF(X80="",0,CEILING((X80/$H80),1)*$H80),"")</f>
        <v>23.4</v>
      </c>
      <c r="Z80" s="41">
        <f>IFERROR(IF(Y80=0,"",ROUNDUP(Y80/H80,0)*0.01898),"")</f>
        <v>5.6940000000000004E-2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21.051282051282055</v>
      </c>
      <c r="BN80" s="78">
        <f>IFERROR(Y80*I80/H80,"0")</f>
        <v>24.630000000000003</v>
      </c>
      <c r="BO80" s="78">
        <f>IFERROR(1/J80*(X80/H80),"0")</f>
        <v>4.0064102564102567E-2</v>
      </c>
      <c r="BP80" s="78">
        <f>IFERROR(1/J80*(Y80/H80),"0")</f>
        <v>4.6875E-2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2.5641025641025643</v>
      </c>
      <c r="Y83" s="43">
        <f>IFERROR(Y80/H80,"0")+IFERROR(Y81/H81,"0")+IFERROR(Y82/H82,"0")</f>
        <v>3</v>
      </c>
      <c r="Z83" s="43">
        <f>IFERROR(IF(Z80="",0,Z80),"0")+IFERROR(IF(Z81="",0,Z81),"0")+IFERROR(IF(Z82="",0,Z82),"0")</f>
        <v>5.6940000000000004E-2</v>
      </c>
      <c r="AA83" s="67"/>
      <c r="AB83" s="67"/>
      <c r="AC83" s="67"/>
    </row>
    <row r="84" spans="1:68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20</v>
      </c>
      <c r="Y84" s="43">
        <f>IFERROR(SUM(Y80:Y82),"0")</f>
        <v>23.4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100</v>
      </c>
      <c r="Y87" s="55">
        <f t="shared" ref="Y87:Y92" si="5"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103.79629629629629</v>
      </c>
      <c r="BN87" s="78">
        <f t="shared" ref="BN87:BN92" si="7">IFERROR(Y87*I87/H87,"0")</f>
        <v>112.1</v>
      </c>
      <c r="BO87" s="78">
        <f t="shared" ref="BO87:BO92" si="8">IFERROR(1/J87*(X87/H87),"0")</f>
        <v>0.14467592592592593</v>
      </c>
      <c r="BP87" s="78">
        <f t="shared" ref="BP87:BP92" si="9">IFERROR(1/J87*(Y87/H87),"0")</f>
        <v>0.15625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315</v>
      </c>
      <c r="Y92" s="55">
        <f t="shared" si="5"/>
        <v>315</v>
      </c>
      <c r="Z92" s="41">
        <f>IFERROR(IF(Y92=0,"",ROUNDUP(Y92/H92,0)*0.00902),"")</f>
        <v>0.63139999999999996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328.3</v>
      </c>
      <c r="BN92" s="78">
        <f t="shared" si="7"/>
        <v>328.3</v>
      </c>
      <c r="BO92" s="78">
        <f t="shared" si="8"/>
        <v>0.53030303030303028</v>
      </c>
      <c r="BP92" s="78">
        <f t="shared" si="9"/>
        <v>0.53030303030303028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79.259259259259267</v>
      </c>
      <c r="Y93" s="43">
        <f>IFERROR(Y87/H87,"0")+IFERROR(Y88/H88,"0")+IFERROR(Y89/H89,"0")+IFERROR(Y90/H90,"0")+IFERROR(Y91/H91,"0")+IFERROR(Y92/H92,"0")</f>
        <v>80</v>
      </c>
      <c r="Z93" s="43">
        <f>IFERROR(IF(Z87="",0,Z87),"0")+IFERROR(IF(Z88="",0,Z88),"0")+IFERROR(IF(Z89="",0,Z89),"0")+IFERROR(IF(Z90="",0,Z90),"0")+IFERROR(IF(Z91="",0,Z91),"0")+IFERROR(IF(Z92="",0,Z92),"0")</f>
        <v>0.82119999999999993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415</v>
      </c>
      <c r="Y94" s="43">
        <f>IFERROR(SUM(Y87:Y92),"0")</f>
        <v>423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200</v>
      </c>
      <c r="Y96" s="55">
        <f>IFERROR(IF(X96="",0,CEILING((X96/$H96),1)*$H96),"")</f>
        <v>202.5</v>
      </c>
      <c r="Z96" s="41">
        <f>IFERROR(IF(Y96=0,"",ROUNDUP(Y96/H96,0)*0.01898),"")</f>
        <v>0.47450000000000003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212.19753086419755</v>
      </c>
      <c r="BN96" s="78">
        <f>IFERROR(Y96*I96/H96,"0")</f>
        <v>214.85</v>
      </c>
      <c r="BO96" s="78">
        <f>IFERROR(1/J96*(X96/H96),"0")</f>
        <v>0.38580246913580246</v>
      </c>
      <c r="BP96" s="78">
        <f>IFERROR(1/J96*(Y96/H96),"0")</f>
        <v>0.390625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450</v>
      </c>
      <c r="Y98" s="55">
        <f>IFERROR(IF(X98="",0,CEILING((X98/$H98),1)*$H98),"")</f>
        <v>450.90000000000003</v>
      </c>
      <c r="Z98" s="41">
        <f>IFERROR(IF(Y98=0,"",ROUNDUP(Y98/H98,0)*0.00651),"")</f>
        <v>1.08717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492</v>
      </c>
      <c r="BN98" s="78">
        <f>IFERROR(Y98*I98/H98,"0")</f>
        <v>492.98399999999998</v>
      </c>
      <c r="BO98" s="78">
        <f>IFERROR(1/J98*(X98/H98),"0")</f>
        <v>0.91575091575091572</v>
      </c>
      <c r="BP98" s="78">
        <f>IFERROR(1/J98*(Y98/H98),"0")</f>
        <v>0.91758241758241765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191.35802469135803</v>
      </c>
      <c r="Y100" s="43">
        <f>IFERROR(Y96/H96,"0")+IFERROR(Y97/H97,"0")+IFERROR(Y98/H98,"0")+IFERROR(Y99/H99,"0")</f>
        <v>192</v>
      </c>
      <c r="Z100" s="43">
        <f>IFERROR(IF(Z96="",0,Z96),"0")+IFERROR(IF(Z97="",0,Z97),"0")+IFERROR(IF(Z98="",0,Z98),"0")+IFERROR(IF(Z99="",0,Z99),"0")</f>
        <v>1.5616699999999999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650</v>
      </c>
      <c r="Y101" s="43">
        <f>IFERROR(SUM(Y96:Y99),"0")</f>
        <v>653.40000000000009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100</v>
      </c>
      <c r="Y104" s="55">
        <f t="shared" ref="Y104:Y112" si="10">IFERROR(IF(X104="",0,CEILING((X104/$H104),1)*$H104),"")</f>
        <v>108</v>
      </c>
      <c r="Z104" s="41">
        <f>IFERROR(IF(Y104=0,"",ROUNDUP(Y104/H104,0)*0.01898),"")</f>
        <v>0.1898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103.79629629629629</v>
      </c>
      <c r="BN104" s="78">
        <f t="shared" ref="BN104:BN112" si="12">IFERROR(Y104*I104/H104,"0")</f>
        <v>112.1</v>
      </c>
      <c r="BO104" s="78">
        <f t="shared" ref="BO104:BO112" si="13">IFERROR(1/J104*(X104/H104),"0")</f>
        <v>0.14467592592592593</v>
      </c>
      <c r="BP104" s="78">
        <f t="shared" ref="BP104:BP112" si="14">IFERROR(1/J104*(Y104/H104),"0")</f>
        <v>0.15625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225</v>
      </c>
      <c r="Y109" s="55">
        <f t="shared" si="10"/>
        <v>225</v>
      </c>
      <c r="Z109" s="41">
        <f>IFERROR(IF(Y109=0,"",ROUNDUP(Y109/H109,0)*0.00902),"")</f>
        <v>0.45100000000000001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234.5</v>
      </c>
      <c r="BN109" s="78">
        <f t="shared" si="12"/>
        <v>234.5</v>
      </c>
      <c r="BO109" s="78">
        <f t="shared" si="13"/>
        <v>0.37878787878787878</v>
      </c>
      <c r="BP109" s="78">
        <f t="shared" si="14"/>
        <v>0.37878787878787878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59.25925925925926</v>
      </c>
      <c r="Y113" s="43">
        <f>IFERROR(Y104/H104,"0")+IFERROR(Y105/H105,"0")+IFERROR(Y106/H106,"0")+IFERROR(Y107/H107,"0")+IFERROR(Y108/H108,"0")+IFERROR(Y109/H109,"0")+IFERROR(Y110/H110,"0")+IFERROR(Y111/H111,"0")+IFERROR(Y112/H112,"0")</f>
        <v>60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0.64080000000000004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325</v>
      </c>
      <c r="Y114" s="43">
        <f>IFERROR(SUM(Y104:Y112),"0")</f>
        <v>333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225</v>
      </c>
      <c r="Y124" s="55">
        <f>IFERROR(IF(X124="",0,CEILING((X124/$H124),1)*$H124),"")</f>
        <v>226.8</v>
      </c>
      <c r="Z124" s="41">
        <f>IFERROR(IF(Y124=0,"",ROUNDUP(Y124/H124,0)*0.00651),"")</f>
        <v>0.54683999999999999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246</v>
      </c>
      <c r="BN124" s="78">
        <f>IFERROR(Y124*I124/H124,"0")</f>
        <v>247.96799999999999</v>
      </c>
      <c r="BO124" s="78">
        <f>IFERROR(1/J124*(X124/H124),"0")</f>
        <v>0.45787545787545786</v>
      </c>
      <c r="BP124" s="78">
        <f>IFERROR(1/J124*(Y124/H124),"0")</f>
        <v>0.46153846153846156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36</v>
      </c>
      <c r="Y125" s="55">
        <f>IFERROR(IF(X125="",0,CEILING((X125/$H125),1)*$H125),"")</f>
        <v>36</v>
      </c>
      <c r="Z125" s="41">
        <f>IFERROR(IF(Y125=0,"",ROUNDUP(Y125/H125,0)*0.00651),"")</f>
        <v>0.13020000000000001</v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39.6</v>
      </c>
      <c r="BN125" s="78">
        <f>IFERROR(Y125*I125/H125,"0")</f>
        <v>39.6</v>
      </c>
      <c r="BO125" s="78">
        <f>IFERROR(1/J125*(X125/H125),"0")</f>
        <v>0.1098901098901099</v>
      </c>
      <c r="BP125" s="78">
        <f>IFERROR(1/J125*(Y125/H125),"0")</f>
        <v>0.1098901098901099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103.33333333333333</v>
      </c>
      <c r="Y126" s="43">
        <f>IFERROR(Y122/H122,"0")+IFERROR(Y123/H123,"0")+IFERROR(Y124/H124,"0")+IFERROR(Y125/H125,"0")</f>
        <v>104</v>
      </c>
      <c r="Z126" s="43">
        <f>IFERROR(IF(Z122="",0,Z122),"0")+IFERROR(IF(Z123="",0,Z123),"0")+IFERROR(IF(Z124="",0,Z124),"0")+IFERROR(IF(Z125="",0,Z125),"0")</f>
        <v>0.67703999999999998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261</v>
      </c>
      <c r="Y127" s="43">
        <f>IFERROR(SUM(Y122:Y125),"0")</f>
        <v>262.8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33</v>
      </c>
      <c r="Y129" s="55">
        <f>IFERROR(IF(X129="",0,CEILING((X129/$H129),1)*$H129),"")</f>
        <v>33.659999999999997</v>
      </c>
      <c r="Z129" s="41">
        <f>IFERROR(IF(Y129=0,"",ROUNDUP(Y129/H129,0)*0.00651),"")</f>
        <v>0.11067</v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37.299999999999997</v>
      </c>
      <c r="BN129" s="78">
        <f>IFERROR(Y129*I129/H129,"0")</f>
        <v>38.045999999999992</v>
      </c>
      <c r="BO129" s="78">
        <f>IFERROR(1/J129*(X129/H129),"0")</f>
        <v>9.1575091575091583E-2</v>
      </c>
      <c r="BP129" s="78">
        <f>IFERROR(1/J129*(Y129/H129),"0")</f>
        <v>9.3406593406593408E-2</v>
      </c>
    </row>
    <row r="130" spans="1:68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16.666666666666668</v>
      </c>
      <c r="Y130" s="43">
        <f>IFERROR(Y129/H129,"0")</f>
        <v>17</v>
      </c>
      <c r="Z130" s="43">
        <f>IFERROR(IF(Z129="",0,Z129),"0")</f>
        <v>0.11067</v>
      </c>
      <c r="AA130" s="67"/>
      <c r="AB130" s="67"/>
      <c r="AC130" s="67"/>
    </row>
    <row r="131" spans="1:68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33</v>
      </c>
      <c r="Y131" s="43">
        <f>IFERROR(SUM(Y129:Y129),"0")</f>
        <v>33.659999999999997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140</v>
      </c>
      <c r="Y135" s="55">
        <f>IFERROR(IF(X135="",0,CEILING((X135/$H135),1)*$H135),"")</f>
        <v>140.80000000000001</v>
      </c>
      <c r="Z135" s="41">
        <f>IFERROR(IF(Y135=0,"",ROUNDUP(Y135/H135,0)*0.00651),"")</f>
        <v>0.28644000000000003</v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147.875</v>
      </c>
      <c r="BN135" s="78">
        <f>IFERROR(Y135*I135/H135,"0")</f>
        <v>148.72</v>
      </c>
      <c r="BO135" s="78">
        <f>IFERROR(1/J135*(X135/H135),"0")</f>
        <v>0.24038461538461539</v>
      </c>
      <c r="BP135" s="78">
        <f>IFERROR(1/J135*(Y135/H135),"0")</f>
        <v>0.24175824175824179</v>
      </c>
    </row>
    <row r="136" spans="1:68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43.75</v>
      </c>
      <c r="Y136" s="43">
        <f>IFERROR(Y134/H134,"0")+IFERROR(Y135/H135,"0")</f>
        <v>44</v>
      </c>
      <c r="Z136" s="43">
        <f>IFERROR(IF(Z134="",0,Z134),"0")+IFERROR(IF(Z135="",0,Z135),"0")</f>
        <v>0.28644000000000003</v>
      </c>
      <c r="AA136" s="67"/>
      <c r="AB136" s="67"/>
      <c r="AC136" s="67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140</v>
      </c>
      <c r="Y137" s="43">
        <f>IFERROR(SUM(Y134:Y135),"0")</f>
        <v>140.80000000000001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70</v>
      </c>
      <c r="Y139" s="55">
        <f>IFERROR(IF(X139="",0,CEILING((X139/$H139),1)*$H139),"")</f>
        <v>70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76.7</v>
      </c>
      <c r="BN139" s="78">
        <f>IFERROR(Y139*I139/H139,"0")</f>
        <v>76.7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25</v>
      </c>
      <c r="Y141" s="43">
        <f>IFERROR(Y139/H139,"0")+IFERROR(Y140/H140,"0")</f>
        <v>25</v>
      </c>
      <c r="Z141" s="43">
        <f>IFERROR(IF(Z139="",0,Z139),"0")+IFERROR(IF(Z140="",0,Z140),"0")</f>
        <v>0.16275000000000001</v>
      </c>
      <c r="AA141" s="67"/>
      <c r="AB141" s="67"/>
      <c r="AC141" s="67"/>
    </row>
    <row r="142" spans="1:68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70</v>
      </c>
      <c r="Y142" s="43">
        <f>IFERROR(SUM(Y139:Y140),"0")</f>
        <v>70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99</v>
      </c>
      <c r="Y144" s="55">
        <f>IFERROR(IF(X144="",0,CEILING((X144/$H144),1)*$H144),"")</f>
        <v>100.32000000000001</v>
      </c>
      <c r="Z144" s="41">
        <f>IFERROR(IF(Y144=0,"",ROUNDUP(Y144/H144,0)*0.00651),"")</f>
        <v>0.24738000000000002</v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109.05</v>
      </c>
      <c r="BN144" s="78">
        <f>IFERROR(Y144*I144/H144,"0")</f>
        <v>110.504</v>
      </c>
      <c r="BO144" s="78">
        <f>IFERROR(1/J144*(X144/H144),"0")</f>
        <v>0.20604395604395606</v>
      </c>
      <c r="BP144" s="78">
        <f>IFERROR(1/J144*(Y144/H144),"0")</f>
        <v>0.2087912087912088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37.5</v>
      </c>
      <c r="Y146" s="43">
        <f>IFERROR(Y144/H144,"0")+IFERROR(Y145/H145,"0")</f>
        <v>38</v>
      </c>
      <c r="Z146" s="43">
        <f>IFERROR(IF(Z144="",0,Z144),"0")+IFERROR(IF(Z145="",0,Z145),"0")</f>
        <v>0.24738000000000002</v>
      </c>
      <c r="AA146" s="67"/>
      <c r="AB146" s="67"/>
      <c r="AC146" s="67"/>
    </row>
    <row r="147" spans="1:68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99</v>
      </c>
      <c r="Y147" s="43">
        <f>IFERROR(SUM(Y144:Y145),"0")</f>
        <v>100.32000000000001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ref="Y176:Y186" si="21">IFERROR(IF(X176="",0,CEILING((X176/$H176),1)*$H176),"")</f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316.28571428571428</v>
      </c>
      <c r="BN176" s="78">
        <f t="shared" ref="BN176:BN186" si="23">IFERROR(Y176*I176/H176,"0")</f>
        <v>317.34000000000003</v>
      </c>
      <c r="BO176" s="78">
        <f t="shared" ref="BO176:BO186" si="24">IFERROR(1/J176*(X176/H176),"0")</f>
        <v>0.64935064935064934</v>
      </c>
      <c r="BP176" s="78">
        <f t="shared" ref="BP176:BP186" si="25">IFERROR(1/J176*(Y176/H176),"0")</f>
        <v>0.65151515151515149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300</v>
      </c>
      <c r="Y178" s="55">
        <f t="shared" si="21"/>
        <v>301</v>
      </c>
      <c r="Z178" s="41">
        <f>IFERROR(IF(Y178=0,"",ROUNDUP(Y178/H178,0)*0.00902),"")</f>
        <v>0.77571999999999997</v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316.28571428571428</v>
      </c>
      <c r="BN178" s="78">
        <f t="shared" si="23"/>
        <v>317.34000000000003</v>
      </c>
      <c r="BO178" s="78">
        <f t="shared" si="24"/>
        <v>0.64935064935064934</v>
      </c>
      <c r="BP178" s="78">
        <f t="shared" si="25"/>
        <v>0.65151515151515149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200</v>
      </c>
      <c r="Y179" s="55">
        <f t="shared" si="21"/>
        <v>203</v>
      </c>
      <c r="Z179" s="41">
        <f>IFERROR(IF(Y179=0,"",ROUNDUP(Y179/H179,0)*0.00902),"")</f>
        <v>0.52316000000000007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210.85714285714286</v>
      </c>
      <c r="BN179" s="78">
        <f t="shared" si="23"/>
        <v>214.01999999999998</v>
      </c>
      <c r="BO179" s="78">
        <f t="shared" si="24"/>
        <v>0.43290043290043295</v>
      </c>
      <c r="BP179" s="78">
        <f t="shared" si="25"/>
        <v>0.43939393939393939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9</v>
      </c>
      <c r="Y180" s="55">
        <f t="shared" si="21"/>
        <v>9</v>
      </c>
      <c r="Z180" s="41">
        <f>IFERROR(IF(Y180=0,"",ROUNDUP(Y180/H180,0)*0.00417),"")</f>
        <v>4.1700000000000001E-2</v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11.1</v>
      </c>
      <c r="BN180" s="78">
        <f t="shared" si="23"/>
        <v>11.1</v>
      </c>
      <c r="BO180" s="78">
        <f t="shared" si="24"/>
        <v>2.976190476190476E-2</v>
      </c>
      <c r="BP180" s="78">
        <f t="shared" si="25"/>
        <v>2.976190476190476E-2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224</v>
      </c>
      <c r="Y182" s="55">
        <f t="shared" si="21"/>
        <v>225.12</v>
      </c>
      <c r="Z182" s="41">
        <f>IFERROR(IF(Y182=0,"",ROUNDUP(Y182/H182,0)*0.00502),"")</f>
        <v>0.67268000000000006</v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237.33333333333337</v>
      </c>
      <c r="BN182" s="78">
        <f t="shared" si="23"/>
        <v>238.52000000000004</v>
      </c>
      <c r="BO182" s="78">
        <f t="shared" si="24"/>
        <v>0.56980056980056992</v>
      </c>
      <c r="BP182" s="78">
        <f t="shared" si="25"/>
        <v>0.57264957264957272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224</v>
      </c>
      <c r="Y184" s="55">
        <f t="shared" si="21"/>
        <v>225.12</v>
      </c>
      <c r="Z184" s="41">
        <f>IFERROR(IF(Y184=0,"",ROUNDUP(Y184/H184,0)*0.00502),"")</f>
        <v>0.67268000000000006</v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237.33333333333337</v>
      </c>
      <c r="BN184" s="78">
        <f t="shared" si="23"/>
        <v>238.52000000000004</v>
      </c>
      <c r="BO184" s="78">
        <f t="shared" si="24"/>
        <v>0.56980056980056992</v>
      </c>
      <c r="BP184" s="78">
        <f t="shared" si="25"/>
        <v>0.57264957264957272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196</v>
      </c>
      <c r="Y186" s="55">
        <f t="shared" si="21"/>
        <v>196.56</v>
      </c>
      <c r="Z186" s="41">
        <f>IFERROR(IF(Y186=0,"",ROUNDUP(Y186/H186,0)*0.00502),"")</f>
        <v>0.58733999999999997</v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207.66666666666669</v>
      </c>
      <c r="BN186" s="78">
        <f t="shared" si="23"/>
        <v>208.26000000000002</v>
      </c>
      <c r="BO186" s="78">
        <f t="shared" si="24"/>
        <v>0.49857549857549865</v>
      </c>
      <c r="BP186" s="78">
        <f t="shared" si="25"/>
        <v>0.5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621.90476190476193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625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4.0490000000000004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1453</v>
      </c>
      <c r="Y188" s="43">
        <f>IFERROR(SUM(Y176:Y186),"0")</f>
        <v>1460.7999999999997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80</v>
      </c>
      <c r="Y221" s="55">
        <f t="shared" ref="Y221:Y235" si="32">IFERROR(IF(X221="",0,CEILING((X221/$H221),1)*$H221),"")</f>
        <v>84</v>
      </c>
      <c r="Z221" s="41">
        <f>IFERROR(IF(Y221=0,"",ROUNDUP(Y221/H221,0)*0.00902),"")</f>
        <v>0.1804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84.761904761904759</v>
      </c>
      <c r="BN221" s="78">
        <f t="shared" ref="BN221:BN235" si="34">IFERROR(Y221*I221/H221,"0")</f>
        <v>89</v>
      </c>
      <c r="BO221" s="78">
        <f t="shared" ref="BO221:BO235" si="35">IFERROR(1/J221*(X221/H221),"0")</f>
        <v>0.14430014430014429</v>
      </c>
      <c r="BP221" s="78">
        <f t="shared" ref="BP221:BP235" si="36">IFERROR(1/J221*(Y221/H221),"0")</f>
        <v>0.15151515151515152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20</v>
      </c>
      <c r="Y222" s="55">
        <f t="shared" si="32"/>
        <v>21</v>
      </c>
      <c r="Z222" s="41">
        <f>IFERROR(IF(Y222=0,"",ROUNDUP(Y222/H222,0)*0.00902),"")</f>
        <v>4.5100000000000001E-2</v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21.19047619047619</v>
      </c>
      <c r="BN222" s="78">
        <f t="shared" si="34"/>
        <v>22.25</v>
      </c>
      <c r="BO222" s="78">
        <f t="shared" si="35"/>
        <v>3.6075036075036072E-2</v>
      </c>
      <c r="BP222" s="78">
        <f t="shared" si="36"/>
        <v>3.787878787878788E-2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180</v>
      </c>
      <c r="Y223" s="55">
        <f t="shared" si="32"/>
        <v>180.6</v>
      </c>
      <c r="Z223" s="41">
        <f>IFERROR(IF(Y223=0,"",ROUNDUP(Y223/H223,0)*0.00902),"")</f>
        <v>0.38785999999999998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188.14285714285711</v>
      </c>
      <c r="BN223" s="78">
        <f t="shared" si="34"/>
        <v>188.76999999999998</v>
      </c>
      <c r="BO223" s="78">
        <f t="shared" si="35"/>
        <v>0.32467532467532467</v>
      </c>
      <c r="BP223" s="78">
        <f t="shared" si="36"/>
        <v>0.32575757575757575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32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9.3000000000000007</v>
      </c>
      <c r="BN224" s="78">
        <f t="shared" si="34"/>
        <v>9.3000000000000007</v>
      </c>
      <c r="BO224" s="78">
        <f t="shared" si="35"/>
        <v>3.968253968253968E-2</v>
      </c>
      <c r="BP224" s="78">
        <f t="shared" si="36"/>
        <v>3.968253968253968E-2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140</v>
      </c>
      <c r="Y225" s="55">
        <f t="shared" si="32"/>
        <v>140.70000000000002</v>
      </c>
      <c r="Z225" s="41">
        <f t="shared" ref="Z225:Z230" si="37">IFERROR(IF(Y225=0,"",ROUNDUP(Y225/H225,0)*0.00502),"")</f>
        <v>0.33634000000000003</v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148.66666666666666</v>
      </c>
      <c r="BN225" s="78">
        <f t="shared" si="34"/>
        <v>149.41</v>
      </c>
      <c r="BO225" s="78">
        <f t="shared" si="35"/>
        <v>0.28490028490028491</v>
      </c>
      <c r="BP225" s="78">
        <f t="shared" si="36"/>
        <v>0.28632478632478636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175</v>
      </c>
      <c r="Y227" s="55">
        <f t="shared" si="32"/>
        <v>176.4</v>
      </c>
      <c r="Z227" s="41">
        <f t="shared" si="37"/>
        <v>0.42168</v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185.83333333333331</v>
      </c>
      <c r="BN227" s="78">
        <f t="shared" si="34"/>
        <v>187.32</v>
      </c>
      <c r="BO227" s="78">
        <f t="shared" si="35"/>
        <v>0.35612535612535612</v>
      </c>
      <c r="BP227" s="78">
        <f t="shared" si="36"/>
        <v>0.35897435897435903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16</v>
      </c>
      <c r="Y231" s="55">
        <f t="shared" si="32"/>
        <v>16</v>
      </c>
      <c r="Z231" s="41">
        <f>IFERROR(IF(Y231=0,"",ROUNDUP(Y231/H231,0)*0.00417),"")</f>
        <v>8.3400000000000002E-2</v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20.2</v>
      </c>
      <c r="BN231" s="78">
        <f t="shared" si="34"/>
        <v>20.2</v>
      </c>
      <c r="BO231" s="78">
        <f t="shared" si="35"/>
        <v>5.9523809523809521E-2</v>
      </c>
      <c r="BP231" s="78">
        <f t="shared" si="36"/>
        <v>5.9523809523809521E-2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280</v>
      </c>
      <c r="Y232" s="55">
        <f t="shared" si="32"/>
        <v>281.40000000000003</v>
      </c>
      <c r="Z232" s="41">
        <f>IFERROR(IF(Y232=0,"",ROUNDUP(Y232/H232,0)*0.00502),"")</f>
        <v>0.67268000000000006</v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293.33333333333331</v>
      </c>
      <c r="BN232" s="78">
        <f t="shared" si="34"/>
        <v>294.80000000000007</v>
      </c>
      <c r="BO232" s="78">
        <f t="shared" si="35"/>
        <v>0.56980056980056981</v>
      </c>
      <c r="BP232" s="78">
        <f t="shared" si="36"/>
        <v>0.57264957264957272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379.99999999999994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383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2.1830600000000002</v>
      </c>
      <c r="AA236" s="67"/>
      <c r="AB236" s="67"/>
      <c r="AC236" s="67"/>
    </row>
    <row r="237" spans="1:68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899</v>
      </c>
      <c r="Y237" s="43">
        <f>IFERROR(SUM(Y221:Y235),"0")</f>
        <v>908.10000000000014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7</v>
      </c>
      <c r="Y251" s="55">
        <f>IFERROR(IF(X251="",0,CEILING((X251/$H251),1)*$H251),"")</f>
        <v>7.5600000000000005</v>
      </c>
      <c r="Z251" s="41">
        <f>IFERROR(IF(Y251=0,"",ROUNDUP(Y251/H251,0)*0.0059),"")</f>
        <v>3.5400000000000001E-2</v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8.0555555555555554</v>
      </c>
      <c r="BN251" s="78">
        <f>IFERROR(Y251*I251/H251,"0")</f>
        <v>8.6999999999999993</v>
      </c>
      <c r="BO251" s="78">
        <f>IFERROR(1/J251*(X251/H251),"0")</f>
        <v>2.5720164609053495E-2</v>
      </c>
      <c r="BP251" s="78">
        <f>IFERROR(1/J251*(Y251/H251),"0")</f>
        <v>2.7777777777777776E-2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7</v>
      </c>
      <c r="Y252" s="55">
        <f>IFERROR(IF(X252="",0,CEILING((X252/$H252),1)*$H252),"")</f>
        <v>7.5600000000000005</v>
      </c>
      <c r="Z252" s="41">
        <f>IFERROR(IF(Y252=0,"",ROUNDUP(Y252/H252,0)*0.0059),"")</f>
        <v>3.5400000000000001E-2</v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8.0555555555555554</v>
      </c>
      <c r="BN252" s="78">
        <f>IFERROR(Y252*I252/H252,"0")</f>
        <v>8.6999999999999993</v>
      </c>
      <c r="BO252" s="78">
        <f>IFERROR(1/J252*(X252/H252),"0")</f>
        <v>2.5720164609053495E-2</v>
      </c>
      <c r="BP252" s="78">
        <f>IFERROR(1/J252*(Y252/H252),"0")</f>
        <v>2.7777777777777776E-2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14</v>
      </c>
      <c r="Y253" s="55">
        <f>IFERROR(IF(X253="",0,CEILING((X253/$H253),1)*$H253),"")</f>
        <v>15.120000000000001</v>
      </c>
      <c r="Z253" s="41">
        <f>IFERROR(IF(Y253=0,"",ROUNDUP(Y253/H253,0)*0.0059),"")</f>
        <v>7.0800000000000002E-2</v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16.111111111111111</v>
      </c>
      <c r="BN253" s="78">
        <f>IFERROR(Y253*I253/H253,"0")</f>
        <v>17.399999999999999</v>
      </c>
      <c r="BO253" s="78">
        <f>IFERROR(1/J253*(X253/H253),"0")</f>
        <v>5.1440329218106991E-2</v>
      </c>
      <c r="BP253" s="78">
        <f>IFERROR(1/J253*(Y253/H253),"0")</f>
        <v>5.5555555555555552E-2</v>
      </c>
    </row>
    <row r="254" spans="1:68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22.222222222222221</v>
      </c>
      <c r="Y254" s="43">
        <f>IFERROR(Y251/H251,"0")+IFERROR(Y252/H252,"0")+IFERROR(Y253/H253,"0")</f>
        <v>24</v>
      </c>
      <c r="Z254" s="43">
        <f>IFERROR(IF(Z251="",0,Z251),"0")+IFERROR(IF(Z252="",0,Z252),"0")+IFERROR(IF(Z253="",0,Z253),"0")</f>
        <v>0.1416</v>
      </c>
      <c r="AA254" s="67"/>
      <c r="AB254" s="67"/>
      <c r="AC254" s="67"/>
    </row>
    <row r="255" spans="1:68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28</v>
      </c>
      <c r="Y255" s="43">
        <f>IFERROR(SUM(Y251:Y253),"0")</f>
        <v>30.240000000000002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11</v>
      </c>
      <c r="Y257" s="55">
        <f>IFERROR(IF(X257="",0,CEILING((X257/$H257),1)*$H257),"")</f>
        <v>11.34</v>
      </c>
      <c r="Z257" s="41">
        <f>IFERROR(IF(Y257=0,"",ROUNDUP(Y257/H257,0)*0.0059),"")</f>
        <v>5.3100000000000001E-2</v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12.658730158730158</v>
      </c>
      <c r="BN257" s="78">
        <f>IFERROR(Y257*I257/H257,"0")</f>
        <v>13.049999999999999</v>
      </c>
      <c r="BO257" s="78">
        <f>IFERROR(1/J257*(X257/H257),"0")</f>
        <v>4.0417401528512635E-2</v>
      </c>
      <c r="BP257" s="78">
        <f>IFERROR(1/J257*(Y257/H257),"0")</f>
        <v>4.1666666666666664E-2</v>
      </c>
    </row>
    <row r="258" spans="1:68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8.7301587301587293</v>
      </c>
      <c r="Y258" s="43">
        <f>IFERROR(Y257/H257,"0")</f>
        <v>9</v>
      </c>
      <c r="Z258" s="43">
        <f>IFERROR(IF(Z257="",0,Z257),"0")</f>
        <v>5.3100000000000001E-2</v>
      </c>
      <c r="AA258" s="67"/>
      <c r="AB258" s="67"/>
      <c r="AC258" s="67"/>
    </row>
    <row r="259" spans="1:68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11</v>
      </c>
      <c r="Y259" s="43">
        <f>IFERROR(SUM(Y257:Y257),"0")</f>
        <v>11.34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500</v>
      </c>
      <c r="Y272" s="55">
        <f t="shared" ref="Y272:Y279" si="43">IFERROR(IF(X272="",0,CEILING((X272/$H272),1)*$H272),"")</f>
        <v>502.20000000000005</v>
      </c>
      <c r="Z272" s="41">
        <f>IFERROR(IF(Y272=0,"",ROUNDUP(Y272/H272,0)*0.00902),"")</f>
        <v>0.83886000000000005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517.59259259259261</v>
      </c>
      <c r="BN272" s="78">
        <f t="shared" ref="BN272:BN279" si="45">IFERROR(Y272*I272/H272,"0")</f>
        <v>519.87</v>
      </c>
      <c r="BO272" s="78">
        <f t="shared" ref="BO272:BO279" si="46">IFERROR(1/J272*(X272/H272),"0")</f>
        <v>0.70145903479236804</v>
      </c>
      <c r="BP272" s="78">
        <f t="shared" ref="BP272:BP279" si="47">IFERROR(1/J272*(Y272/H272),"0")</f>
        <v>0.70454545454545459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40</v>
      </c>
      <c r="Y273" s="55">
        <f t="shared" si="43"/>
        <v>43.2</v>
      </c>
      <c r="Z273" s="41">
        <f>IFERROR(IF(Y273=0,"",ROUNDUP(Y273/H273,0)*0.00902),"")</f>
        <v>7.2160000000000002E-2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41.407407407407405</v>
      </c>
      <c r="BN273" s="78">
        <f t="shared" si="45"/>
        <v>44.72</v>
      </c>
      <c r="BO273" s="78">
        <f t="shared" si="46"/>
        <v>5.6116722783389444E-2</v>
      </c>
      <c r="BP273" s="78">
        <f t="shared" si="47"/>
        <v>6.0606060606060608E-2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150</v>
      </c>
      <c r="Y274" s="55">
        <f t="shared" si="43"/>
        <v>151.20000000000002</v>
      </c>
      <c r="Z274" s="41">
        <f>IFERROR(IF(Y274=0,"",ROUNDUP(Y274/H274,0)*0.00902),"")</f>
        <v>0.25256000000000001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155.27777777777777</v>
      </c>
      <c r="BN274" s="78">
        <f t="shared" si="45"/>
        <v>156.52000000000001</v>
      </c>
      <c r="BO274" s="78">
        <f t="shared" si="46"/>
        <v>0.21043771043771042</v>
      </c>
      <c r="BP274" s="78">
        <f t="shared" si="47"/>
        <v>0.21212121212121213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60</v>
      </c>
      <c r="Y275" s="55">
        <f t="shared" si="43"/>
        <v>64.800000000000011</v>
      </c>
      <c r="Z275" s="41">
        <f>IFERROR(IF(Y275=0,"",ROUNDUP(Y275/H275,0)*0.00902),"")</f>
        <v>0.10824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62.1111111111111</v>
      </c>
      <c r="BN275" s="78">
        <f t="shared" si="45"/>
        <v>67.08</v>
      </c>
      <c r="BO275" s="78">
        <f t="shared" si="46"/>
        <v>8.4175084175084181E-2</v>
      </c>
      <c r="BP275" s="78">
        <f t="shared" si="47"/>
        <v>9.0909090909090925E-2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180</v>
      </c>
      <c r="Y276" s="55">
        <f t="shared" si="43"/>
        <v>180</v>
      </c>
      <c r="Z276" s="41">
        <f>IFERROR(IF(Y276=0,"",ROUNDUP(Y276/H276,0)*0.00502),"")</f>
        <v>0.502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192.99999999999997</v>
      </c>
      <c r="BN276" s="78">
        <f t="shared" si="45"/>
        <v>192.99999999999997</v>
      </c>
      <c r="BO276" s="78">
        <f t="shared" si="46"/>
        <v>0.42735042735042739</v>
      </c>
      <c r="BP276" s="78">
        <f t="shared" si="47"/>
        <v>0.42735042735042739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120</v>
      </c>
      <c r="Y277" s="55">
        <f t="shared" si="43"/>
        <v>120.60000000000001</v>
      </c>
      <c r="Z277" s="41">
        <f>IFERROR(IF(Y277=0,"",ROUNDUP(Y277/H277,0)*0.00502),"")</f>
        <v>0.33634000000000003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126.66666666666666</v>
      </c>
      <c r="BN277" s="78">
        <f t="shared" si="45"/>
        <v>127.30000000000001</v>
      </c>
      <c r="BO277" s="78">
        <f t="shared" si="46"/>
        <v>0.28490028490028496</v>
      </c>
      <c r="BP277" s="78">
        <f t="shared" si="47"/>
        <v>0.28632478632478636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180</v>
      </c>
      <c r="Y278" s="55">
        <f t="shared" si="43"/>
        <v>180</v>
      </c>
      <c r="Z278" s="41">
        <f>IFERROR(IF(Y278=0,"",ROUNDUP(Y278/H278,0)*0.00502),"")</f>
        <v>0.502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190</v>
      </c>
      <c r="BN278" s="78">
        <f t="shared" si="45"/>
        <v>190</v>
      </c>
      <c r="BO278" s="78">
        <f t="shared" si="46"/>
        <v>0.42735042735042739</v>
      </c>
      <c r="BP278" s="78">
        <f t="shared" si="47"/>
        <v>0.42735042735042739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120</v>
      </c>
      <c r="Y279" s="55">
        <f t="shared" si="43"/>
        <v>120.60000000000001</v>
      </c>
      <c r="Z279" s="41">
        <f>IFERROR(IF(Y279=0,"",ROUNDUP(Y279/H279,0)*0.00502),"")</f>
        <v>0.33634000000000003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126.66666666666666</v>
      </c>
      <c r="BN279" s="78">
        <f t="shared" si="45"/>
        <v>127.30000000000001</v>
      </c>
      <c r="BO279" s="78">
        <f t="shared" si="46"/>
        <v>0.28490028490028496</v>
      </c>
      <c r="BP279" s="78">
        <f t="shared" si="47"/>
        <v>0.28632478632478636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472.22222222222223</v>
      </c>
      <c r="Y280" s="43">
        <f>IFERROR(Y272/H272,"0")+IFERROR(Y273/H273,"0")+IFERROR(Y274/H274,"0")+IFERROR(Y275/H275,"0")+IFERROR(Y276/H276,"0")+IFERROR(Y277/H277,"0")+IFERROR(Y278/H278,"0")+IFERROR(Y279/H279,"0")</f>
        <v>475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2.9485000000000001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1350</v>
      </c>
      <c r="Y281" s="43">
        <f>IFERROR(SUM(Y272:Y279),"0")</f>
        <v>1362.6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200</v>
      </c>
      <c r="Y286" s="55">
        <f t="shared" si="48"/>
        <v>201.6</v>
      </c>
      <c r="Z286" s="41">
        <f>IFERROR(IF(Y286=0,"",ROUNDUP(Y286/H286,0)*0.00651),"")</f>
        <v>0.54683999999999999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222.5</v>
      </c>
      <c r="BN286" s="78">
        <f t="shared" si="50"/>
        <v>224.27999999999997</v>
      </c>
      <c r="BO286" s="78">
        <f t="shared" si="51"/>
        <v>0.45787545787545797</v>
      </c>
      <c r="BP286" s="78">
        <f t="shared" si="52"/>
        <v>0.46153846153846156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280</v>
      </c>
      <c r="Y289" s="55">
        <f t="shared" si="48"/>
        <v>280.8</v>
      </c>
      <c r="Z289" s="41">
        <f>IFERROR(IF(Y289=0,"",ROUNDUP(Y289/H289,0)*0.00651),"")</f>
        <v>0.76167000000000007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309.40000000000003</v>
      </c>
      <c r="BN289" s="78">
        <f t="shared" si="50"/>
        <v>310.28400000000005</v>
      </c>
      <c r="BO289" s="78">
        <f t="shared" si="51"/>
        <v>0.64102564102564108</v>
      </c>
      <c r="BP289" s="78">
        <f t="shared" si="52"/>
        <v>0.64285714285714302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80</v>
      </c>
      <c r="Y292" s="55">
        <f t="shared" si="48"/>
        <v>81.599999999999994</v>
      </c>
      <c r="Z292" s="41">
        <f>IFERROR(IF(Y292=0,"",ROUNDUP(Y292/H292,0)*0.00651),"")</f>
        <v>0.22134000000000001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88.40000000000002</v>
      </c>
      <c r="BN292" s="78">
        <f t="shared" si="50"/>
        <v>90.168000000000006</v>
      </c>
      <c r="BO292" s="78">
        <f t="shared" si="51"/>
        <v>0.18315018315018317</v>
      </c>
      <c r="BP292" s="78">
        <f t="shared" si="52"/>
        <v>0.18681318681318682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160</v>
      </c>
      <c r="Y293" s="55">
        <f t="shared" si="48"/>
        <v>160.79999999999998</v>
      </c>
      <c r="Z293" s="41">
        <f>IFERROR(IF(Y293=0,"",ROUNDUP(Y293/H293,0)*0.00651),"")</f>
        <v>0.43617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177.2</v>
      </c>
      <c r="BN293" s="78">
        <f t="shared" si="50"/>
        <v>178.08599999999998</v>
      </c>
      <c r="BO293" s="78">
        <f t="shared" si="51"/>
        <v>0.36630036630036633</v>
      </c>
      <c r="BP293" s="78">
        <f t="shared" si="52"/>
        <v>0.36813186813186816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300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302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1.9660200000000001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720</v>
      </c>
      <c r="Y296" s="43">
        <f>IFERROR(SUM(Y283:Y294),"0")</f>
        <v>724.8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40</v>
      </c>
      <c r="Y298" s="55">
        <f>IFERROR(IF(X298="",0,CEILING((X298/$H298),1)*$H298),"")</f>
        <v>40.799999999999997</v>
      </c>
      <c r="Z298" s="41">
        <f>IFERROR(IF(Y298=0,"",ROUNDUP(Y298/H298,0)*0.00651),"")</f>
        <v>0.11067</v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44.20000000000001</v>
      </c>
      <c r="BN298" s="78">
        <f>IFERROR(Y298*I298/H298,"0")</f>
        <v>45.084000000000003</v>
      </c>
      <c r="BO298" s="78">
        <f>IFERROR(1/J298*(X298/H298),"0")</f>
        <v>9.1575091575091583E-2</v>
      </c>
      <c r="BP298" s="78">
        <f>IFERROR(1/J298*(Y298/H298),"0")</f>
        <v>9.3406593406593408E-2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40</v>
      </c>
      <c r="Y299" s="55">
        <f>IFERROR(IF(X299="",0,CEILING((X299/$H299),1)*$H299),"")</f>
        <v>40.799999999999997</v>
      </c>
      <c r="Z299" s="41">
        <f>IFERROR(IF(Y299=0,"",ROUNDUP(Y299/H299,0)*0.00651),"")</f>
        <v>0.11067</v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44.20000000000001</v>
      </c>
      <c r="BN299" s="78">
        <f>IFERROR(Y299*I299/H299,"0")</f>
        <v>45.084000000000003</v>
      </c>
      <c r="BO299" s="78">
        <f>IFERROR(1/J299*(X299/H299),"0")</f>
        <v>9.1575091575091583E-2</v>
      </c>
      <c r="BP299" s="78">
        <f>IFERROR(1/J299*(Y299/H299),"0")</f>
        <v>9.3406593406593408E-2</v>
      </c>
    </row>
    <row r="300" spans="1:68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33.333333333333336</v>
      </c>
      <c r="Y300" s="43">
        <f>IFERROR(Y298/H298,"0")+IFERROR(Y299/H299,"0")</f>
        <v>34</v>
      </c>
      <c r="Z300" s="43">
        <f>IFERROR(IF(Z298="",0,Z298),"0")+IFERROR(IF(Z299="",0,Z299),"0")</f>
        <v>0.22134000000000001</v>
      </c>
      <c r="AA300" s="67"/>
      <c r="AB300" s="67"/>
      <c r="AC300" s="67"/>
    </row>
    <row r="301" spans="1:68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80</v>
      </c>
      <c r="Y301" s="43">
        <f>IFERROR(SUM(Y298:Y299),"0")</f>
        <v>81.599999999999994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30</v>
      </c>
      <c r="Y306" s="55">
        <f t="shared" si="53"/>
        <v>34.799999999999997</v>
      </c>
      <c r="Z306" s="41">
        <f>IFERROR(IF(Y306=0,"",ROUNDUP(Y306/H306,0)*0.01898),"")</f>
        <v>5.6940000000000004E-2</v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31.06034482758621</v>
      </c>
      <c r="BN306" s="78">
        <f t="shared" si="55"/>
        <v>36.03</v>
      </c>
      <c r="BO306" s="78">
        <f t="shared" si="56"/>
        <v>4.0409482758620691E-2</v>
      </c>
      <c r="BP306" s="78">
        <f t="shared" si="57"/>
        <v>4.6875E-2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20</v>
      </c>
      <c r="Y307" s="55">
        <f t="shared" si="53"/>
        <v>20</v>
      </c>
      <c r="Z307" s="41">
        <f>IFERROR(IF(Y307=0,"",ROUNDUP(Y307/H307,0)*0.00902),"")</f>
        <v>4.5100000000000001E-2</v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20.950000000000003</v>
      </c>
      <c r="BN307" s="78">
        <f t="shared" si="55"/>
        <v>20.950000000000003</v>
      </c>
      <c r="BO307" s="78">
        <f t="shared" si="56"/>
        <v>3.787878787878788E-2</v>
      </c>
      <c r="BP307" s="78">
        <f t="shared" si="57"/>
        <v>3.787878787878788E-2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72</v>
      </c>
      <c r="Y310" s="55">
        <f t="shared" si="53"/>
        <v>72</v>
      </c>
      <c r="Z310" s="41">
        <f>IFERROR(IF(Y310=0,"",ROUNDUP(Y310/H310,0)*0.00902),"")</f>
        <v>0.16236</v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75.42</v>
      </c>
      <c r="BN310" s="78">
        <f t="shared" si="55"/>
        <v>75.42</v>
      </c>
      <c r="BO310" s="78">
        <f t="shared" si="56"/>
        <v>0.13636363636363635</v>
      </c>
      <c r="BP310" s="78">
        <f t="shared" si="57"/>
        <v>0.13636363636363635</v>
      </c>
    </row>
    <row r="311" spans="1:68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25.586206896551722</v>
      </c>
      <c r="Y311" s="43">
        <f>IFERROR(Y304/H304,"0")+IFERROR(Y305/H305,"0")+IFERROR(Y306/H306,"0")+IFERROR(Y307/H307,"0")+IFERROR(Y308/H308,"0")+IFERROR(Y309/H309,"0")+IFERROR(Y310/H310,"0")</f>
        <v>26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0.26440000000000002</v>
      </c>
      <c r="AA311" s="67"/>
      <c r="AB311" s="67"/>
      <c r="AC311" s="67"/>
    </row>
    <row r="312" spans="1:68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122</v>
      </c>
      <c r="Y312" s="43">
        <f>IFERROR(SUM(Y304:Y310),"0")</f>
        <v>126.8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66</v>
      </c>
      <c r="Y314" s="55">
        <f>IFERROR(IF(X314="",0,CEILING((X314/$H314),1)*$H314),"")</f>
        <v>67.319999999999993</v>
      </c>
      <c r="Z314" s="41">
        <f>IFERROR(IF(Y314=0,"",ROUNDUP(Y314/H314,0)*0.00502),"")</f>
        <v>0.17068</v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69.333333333333329</v>
      </c>
      <c r="BN314" s="78">
        <f>IFERROR(Y314*I314/H314,"0")</f>
        <v>70.72</v>
      </c>
      <c r="BO314" s="78">
        <f>IFERROR(1/J314*(X314/H314),"0")</f>
        <v>0.14245014245014248</v>
      </c>
      <c r="BP314" s="78">
        <f>IFERROR(1/J314*(Y314/H314),"0")</f>
        <v>0.14529914529914531</v>
      </c>
    </row>
    <row r="315" spans="1:68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33.333333333333336</v>
      </c>
      <c r="Y315" s="43">
        <f>IFERROR(Y314/H314,"0")</f>
        <v>34</v>
      </c>
      <c r="Z315" s="43">
        <f>IFERROR(IF(Z314="",0,Z314),"0")</f>
        <v>0.17068</v>
      </c>
      <c r="AA315" s="67"/>
      <c r="AB315" s="67"/>
      <c r="AC315" s="67"/>
    </row>
    <row r="316" spans="1:68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66</v>
      </c>
      <c r="Y316" s="43">
        <f>IFERROR(SUM(Y314:Y314),"0")</f>
        <v>67.319999999999993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18</v>
      </c>
      <c r="Y318" s="55">
        <f>IFERROR(IF(X318="",0,CEILING((X318/$H318),1)*$H318),"")</f>
        <v>18</v>
      </c>
      <c r="Z318" s="41">
        <f>IFERROR(IF(Y318=0,"",ROUNDUP(Y318/H318,0)*0.0059),"")</f>
        <v>5.8999999999999997E-2</v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19.750000000000004</v>
      </c>
      <c r="BN318" s="78">
        <f>IFERROR(Y318*I318/H318,"0")</f>
        <v>19.750000000000004</v>
      </c>
      <c r="BO318" s="78">
        <f>IFERROR(1/J318*(X318/H318),"0")</f>
        <v>4.6296296296296294E-2</v>
      </c>
      <c r="BP318" s="78">
        <f>IFERROR(1/J318*(Y318/H318),"0")</f>
        <v>4.6296296296296294E-2</v>
      </c>
    </row>
    <row r="319" spans="1:68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10</v>
      </c>
      <c r="Y319" s="43">
        <f>IFERROR(Y318/H318,"0")</f>
        <v>10</v>
      </c>
      <c r="Z319" s="43">
        <f>IFERROR(IF(Z318="",0,Z318),"0")</f>
        <v>5.8999999999999997E-2</v>
      </c>
      <c r="AA319" s="67"/>
      <c r="AB319" s="67"/>
      <c r="AC319" s="67"/>
    </row>
    <row r="320" spans="1:68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18</v>
      </c>
      <c r="Y320" s="43">
        <f>IFERROR(SUM(Y318:Y318),"0")</f>
        <v>18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24</v>
      </c>
      <c r="Y322" s="55">
        <f>IFERROR(IF(X322="",0,CEILING((X322/$H322),1)*$H322),"")</f>
        <v>25.2</v>
      </c>
      <c r="Z322" s="41">
        <f>IFERROR(IF(Y322=0,"",ROUNDUP(Y322/H322,0)*0.0059),"")</f>
        <v>8.2599999999999993E-2</v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26.333333333333336</v>
      </c>
      <c r="BN322" s="78">
        <f>IFERROR(Y322*I322/H322,"0")</f>
        <v>27.650000000000002</v>
      </c>
      <c r="BO322" s="78">
        <f>IFERROR(1/J322*(X322/H322),"0")</f>
        <v>6.1728395061728385E-2</v>
      </c>
      <c r="BP322" s="78">
        <f>IFERROR(1/J322*(Y322/H322),"0")</f>
        <v>6.4814814814814811E-2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13.333333333333332</v>
      </c>
      <c r="Y324" s="43">
        <f>IFERROR(Y322/H322,"0")+IFERROR(Y323/H323,"0")</f>
        <v>14</v>
      </c>
      <c r="Z324" s="43">
        <f>IFERROR(IF(Z322="",0,Z322),"0")+IFERROR(IF(Z323="",0,Z323),"0")</f>
        <v>8.2599999999999993E-2</v>
      </c>
      <c r="AA324" s="67"/>
      <c r="AB324" s="67"/>
      <c r="AC324" s="67"/>
    </row>
    <row r="325" spans="1:68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24</v>
      </c>
      <c r="Y325" s="43">
        <f>IFERROR(SUM(Y322:Y323),"0")</f>
        <v>25.2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160</v>
      </c>
      <c r="Y339" s="55">
        <f>IFERROR(IF(X339="",0,CEILING((X339/$H339),1)*$H339),"")</f>
        <v>160.79999999999998</v>
      </c>
      <c r="Z339" s="41">
        <f>IFERROR(IF(Y339=0,"",ROUNDUP(Y339/H339,0)*0.00651),"")</f>
        <v>0.43617</v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176.80000000000004</v>
      </c>
      <c r="BN339" s="78">
        <f>IFERROR(Y339*I339/H339,"0")</f>
        <v>177.684</v>
      </c>
      <c r="BO339" s="78">
        <f>IFERROR(1/J339*(X339/H339),"0")</f>
        <v>0.36630036630036633</v>
      </c>
      <c r="BP339" s="78">
        <f>IFERROR(1/J339*(Y339/H339),"0")</f>
        <v>0.36813186813186816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66.666666666666671</v>
      </c>
      <c r="Y341" s="43">
        <f>IFERROR(Y338/H338,"0")+IFERROR(Y339/H339,"0")+IFERROR(Y340/H340,"0")</f>
        <v>67</v>
      </c>
      <c r="Z341" s="43">
        <f>IFERROR(IF(Z338="",0,Z338),"0")+IFERROR(IF(Z339="",0,Z339),"0")+IFERROR(IF(Z340="",0,Z340),"0")</f>
        <v>0.43617</v>
      </c>
      <c r="AA341" s="67"/>
      <c r="AB341" s="67"/>
      <c r="AC341" s="67"/>
    </row>
    <row r="342" spans="1:68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160</v>
      </c>
      <c r="Y342" s="43">
        <f>IFERROR(SUM(Y338:Y340),"0")</f>
        <v>160.79999999999998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250</v>
      </c>
      <c r="Y359" s="55">
        <f>IFERROR(IF(X359="",0,CEILING((X359/$H359),1)*$H359),"")</f>
        <v>257.39999999999998</v>
      </c>
      <c r="Z359" s="41">
        <f>IFERROR(IF(Y359=0,"",ROUNDUP(Y359/H359,0)*0.01898),"")</f>
        <v>0.62634000000000001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263.14102564102564</v>
      </c>
      <c r="BN359" s="78">
        <f>IFERROR(Y359*I359/H359,"0")</f>
        <v>270.93</v>
      </c>
      <c r="BO359" s="78">
        <f>IFERROR(1/J359*(X359/H359),"0")</f>
        <v>0.50080128205128205</v>
      </c>
      <c r="BP359" s="78">
        <f>IFERROR(1/J359*(Y359/H359),"0")</f>
        <v>0.515625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300</v>
      </c>
      <c r="Y360" s="55">
        <f>IFERROR(IF(X360="",0,CEILING((X360/$H360),1)*$H360),"")</f>
        <v>304.2</v>
      </c>
      <c r="Z360" s="41">
        <f>IFERROR(IF(Y360=0,"",ROUNDUP(Y360/H360,0)*0.01898),"")</f>
        <v>0.74021999999999999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315.76923076923083</v>
      </c>
      <c r="BN360" s="78">
        <f>IFERROR(Y360*I360/H360,"0")</f>
        <v>320.19</v>
      </c>
      <c r="BO360" s="78">
        <f>IFERROR(1/J360*(X360/H360),"0")</f>
        <v>0.60096153846153844</v>
      </c>
      <c r="BP360" s="78">
        <f>IFERROR(1/J360*(Y360/H360),"0")</f>
        <v>0.609375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120</v>
      </c>
      <c r="Y361" s="55">
        <f>IFERROR(IF(X361="",0,CEILING((X361/$H361),1)*$H361),"")</f>
        <v>124.8</v>
      </c>
      <c r="Z361" s="41">
        <f>IFERROR(IF(Y361=0,"",ROUNDUP(Y361/H361,0)*0.01898),"")</f>
        <v>0.30368000000000001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126.30769230769232</v>
      </c>
      <c r="BN361" s="78">
        <f>IFERROR(Y361*I361/H361,"0")</f>
        <v>131.36000000000001</v>
      </c>
      <c r="BO361" s="78">
        <f>IFERROR(1/J361*(X361/H361),"0")</f>
        <v>0.24038461538461539</v>
      </c>
      <c r="BP361" s="78">
        <f>IFERROR(1/J361*(Y361/H361),"0")</f>
        <v>0.25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85.897435897435898</v>
      </c>
      <c r="Y362" s="43">
        <f>IFERROR(Y359/H359,"0")+IFERROR(Y360/H360,"0")+IFERROR(Y361/H361,"0")</f>
        <v>88</v>
      </c>
      <c r="Z362" s="43">
        <f>IFERROR(IF(Z359="",0,Z359),"0")+IFERROR(IF(Z360="",0,Z360),"0")+IFERROR(IF(Z361="",0,Z361),"0")</f>
        <v>1.6702399999999999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670</v>
      </c>
      <c r="Y363" s="43">
        <f>IFERROR(SUM(Y359:Y361),"0")</f>
        <v>686.39999999999986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210</v>
      </c>
      <c r="Y380" s="55">
        <f t="shared" si="68"/>
        <v>210</v>
      </c>
      <c r="Z380" s="41">
        <f>IFERROR(IF(Y380=0,"",ROUNDUP(Y380/H380,0)*0.00502),"")</f>
        <v>0.502</v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220.00000000000003</v>
      </c>
      <c r="BN380" s="78">
        <f t="shared" si="70"/>
        <v>220.00000000000003</v>
      </c>
      <c r="BO380" s="78">
        <f t="shared" si="71"/>
        <v>0.42735042735042739</v>
      </c>
      <c r="BP380" s="78">
        <f t="shared" si="72"/>
        <v>0.42735042735042739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24</v>
      </c>
      <c r="Y382" s="55">
        <f t="shared" si="68"/>
        <v>25.2</v>
      </c>
      <c r="Z382" s="41">
        <f>IFERROR(IF(Y382=0,"",ROUNDUP(Y382/H382,0)*0.00651),"")</f>
        <v>9.1139999999999999E-2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27.04</v>
      </c>
      <c r="BN382" s="78">
        <f t="shared" si="70"/>
        <v>28.391999999999999</v>
      </c>
      <c r="BO382" s="78">
        <f t="shared" si="71"/>
        <v>7.3260073260073263E-2</v>
      </c>
      <c r="BP382" s="78">
        <f t="shared" si="72"/>
        <v>7.6923076923076927E-2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113.33333333333333</v>
      </c>
      <c r="Y383" s="43">
        <f>IFERROR(Y376/H376,"0")+IFERROR(Y377/H377,"0")+IFERROR(Y378/H378,"0")+IFERROR(Y379/H379,"0")+IFERROR(Y380/H380,"0")+IFERROR(Y381/H381,"0")+IFERROR(Y382/H382,"0")</f>
        <v>114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0.59314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234</v>
      </c>
      <c r="Y384" s="43">
        <f>IFERROR(SUM(Y376:Y382),"0")</f>
        <v>235.2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70</v>
      </c>
      <c r="Y393" s="55">
        <f>IFERROR(IF(X393="",0,CEILING((X393/$H393),1)*$H393),"")</f>
        <v>75.600000000000009</v>
      </c>
      <c r="Z393" s="41">
        <f>IFERROR(IF(Y393=0,"",ROUNDUP(Y393/H393,0)*0.01898),"")</f>
        <v>0.17082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74.116666666666674</v>
      </c>
      <c r="BN393" s="78">
        <f>IFERROR(Y393*I393/H393,"0")</f>
        <v>80.046000000000006</v>
      </c>
      <c r="BO393" s="78">
        <f>IFERROR(1/J393*(X393/H393),"0")</f>
        <v>0.13020833333333331</v>
      </c>
      <c r="BP393" s="78">
        <f>IFERROR(1/J393*(Y393/H393),"0")</f>
        <v>0.140625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370</v>
      </c>
      <c r="Y394" s="55">
        <f>IFERROR(IF(X394="",0,CEILING((X394/$H394),1)*$H394),"")</f>
        <v>374.4</v>
      </c>
      <c r="Z394" s="41">
        <f>IFERROR(IF(Y394=0,"",ROUNDUP(Y394/H394,0)*0.01898),"")</f>
        <v>0.91104000000000007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393.43333333333339</v>
      </c>
      <c r="BN394" s="78">
        <f>IFERROR(Y394*I394/H394,"0")</f>
        <v>398.11200000000002</v>
      </c>
      <c r="BO394" s="78">
        <f>IFERROR(1/J394*(X394/H394),"0")</f>
        <v>0.74118589743589747</v>
      </c>
      <c r="BP394" s="78">
        <f>IFERROR(1/J394*(Y394/H394),"0")</f>
        <v>0.75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61.721611721611723</v>
      </c>
      <c r="Y396" s="43">
        <f>IFERROR(Y393/H393,"0")+IFERROR(Y394/H394,"0")+IFERROR(Y395/H395,"0")</f>
        <v>63</v>
      </c>
      <c r="Z396" s="43">
        <f>IFERROR(IF(Z393="",0,Z393),"0")+IFERROR(IF(Z394="",0,Z394),"0")+IFERROR(IF(Z395="",0,Z395),"0")</f>
        <v>1.19574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490</v>
      </c>
      <c r="Y397" s="43">
        <f>IFERROR(SUM(Y393:Y395),"0")</f>
        <v>500.4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100</v>
      </c>
      <c r="Y408" s="55">
        <f>IFERROR(IF(X408="",0,CEILING((X408/$H408),1)*$H408),"")</f>
        <v>100</v>
      </c>
      <c r="Z408" s="41">
        <f>IFERROR(IF(Y408=0,"",ROUNDUP(Y408/H408,0)*0.00474),"")</f>
        <v>0.23700000000000002</v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112.00000000000001</v>
      </c>
      <c r="BN408" s="78">
        <f>IFERROR(Y408*I408/H408,"0")</f>
        <v>112.00000000000001</v>
      </c>
      <c r="BO408" s="78">
        <f>IFERROR(1/J408*(X408/H408),"0")</f>
        <v>0.21008403361344538</v>
      </c>
      <c r="BP408" s="78">
        <f>IFERROR(1/J408*(Y408/H408),"0")</f>
        <v>0.21008403361344538</v>
      </c>
    </row>
    <row r="409" spans="1:68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50</v>
      </c>
      <c r="Y409" s="43">
        <f>IFERROR(Y406/H406,"0")+IFERROR(Y407/H407,"0")+IFERROR(Y408/H408,"0")</f>
        <v>50</v>
      </c>
      <c r="Z409" s="43">
        <f>IFERROR(IF(Z406="",0,Z406),"0")+IFERROR(IF(Z407="",0,Z407),"0")+IFERROR(IF(Z408="",0,Z408),"0")</f>
        <v>0.23700000000000002</v>
      </c>
      <c r="AA409" s="67"/>
      <c r="AB409" s="67"/>
      <c r="AC409" s="67"/>
    </row>
    <row r="410" spans="1:68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100</v>
      </c>
      <c r="Y410" s="43">
        <f>IFERROR(SUM(Y406:Y408),"0")</f>
        <v>100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20</v>
      </c>
      <c r="Y419" s="55">
        <f>IFERROR(IF(X419="",0,CEILING((X419/$H419),1)*$H419),"")</f>
        <v>23.4</v>
      </c>
      <c r="Z419" s="41">
        <f>IFERROR(IF(Y419=0,"",ROUNDUP(Y419/H419,0)*0.01898),"")</f>
        <v>5.6940000000000004E-2</v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21.051282051282055</v>
      </c>
      <c r="BN419" s="78">
        <f>IFERROR(Y419*I419/H419,"0")</f>
        <v>24.630000000000003</v>
      </c>
      <c r="BO419" s="78">
        <f>IFERROR(1/J419*(X419/H419),"0")</f>
        <v>4.0064102564102567E-2</v>
      </c>
      <c r="BP419" s="78">
        <f>IFERROR(1/J419*(Y419/H419),"0")</f>
        <v>4.6875E-2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2.5641025641025643</v>
      </c>
      <c r="Y421" s="43">
        <f>IFERROR(Y419/H419,"0")+IFERROR(Y420/H420,"0")</f>
        <v>3</v>
      </c>
      <c r="Z421" s="43">
        <f>IFERROR(IF(Z419="",0,Z419),"0")+IFERROR(IF(Z420="",0,Z420),"0")</f>
        <v>5.6940000000000004E-2</v>
      </c>
      <c r="AA421" s="67"/>
      <c r="AB421" s="67"/>
      <c r="AC421" s="67"/>
    </row>
    <row r="422" spans="1:68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20</v>
      </c>
      <c r="Y422" s="43">
        <f>IFERROR(SUM(Y419:Y420),"0")</f>
        <v>23.4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150</v>
      </c>
      <c r="Y433" s="55">
        <f t="shared" ref="Y433:Y440" si="73">IFERROR(IF(X433="",0,CEILING((X433/$H433),1)*$H433),"")</f>
        <v>150</v>
      </c>
      <c r="Z433" s="41">
        <f>IFERROR(IF(Y433=0,"",ROUNDUP(Y433/H433,0)*0.02175),"")</f>
        <v>0.21749999999999997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154.69999999999999</v>
      </c>
      <c r="BN433" s="78">
        <f t="shared" ref="BN433:BN440" si="75">IFERROR(Y433*I433/H433,"0")</f>
        <v>154.69999999999999</v>
      </c>
      <c r="BO433" s="78">
        <f t="shared" ref="BO433:BO440" si="76">IFERROR(1/J433*(X433/H433),"0")</f>
        <v>0.20833333333333331</v>
      </c>
      <c r="BP433" s="78">
        <f t="shared" ref="BP433:BP440" si="77">IFERROR(1/J433*(Y433/H433),"0")</f>
        <v>0.20833333333333331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1300</v>
      </c>
      <c r="Y434" s="55">
        <f t="shared" si="73"/>
        <v>1305</v>
      </c>
      <c r="Z434" s="41">
        <f>IFERROR(IF(Y434=0,"",ROUNDUP(Y434/H434,0)*0.02175),"")</f>
        <v>1.8922499999999998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1340.7333333333333</v>
      </c>
      <c r="BN434" s="78">
        <f t="shared" si="75"/>
        <v>1345.89</v>
      </c>
      <c r="BO434" s="78">
        <f t="shared" si="76"/>
        <v>1.8055555555555556</v>
      </c>
      <c r="BP434" s="78">
        <f t="shared" si="77"/>
        <v>1.8125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1000</v>
      </c>
      <c r="Y435" s="55">
        <f t="shared" si="73"/>
        <v>1005</v>
      </c>
      <c r="Z435" s="41">
        <f>IFERROR(IF(Y435=0,"",ROUNDUP(Y435/H435,0)*0.02175),"")</f>
        <v>1.4572499999999999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1031.3333333333333</v>
      </c>
      <c r="BN435" s="78">
        <f t="shared" si="75"/>
        <v>1036.49</v>
      </c>
      <c r="BO435" s="78">
        <f t="shared" si="76"/>
        <v>1.3888888888888888</v>
      </c>
      <c r="BP435" s="78">
        <f t="shared" si="77"/>
        <v>1.3958333333333333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1170</v>
      </c>
      <c r="Y436" s="55">
        <f t="shared" si="73"/>
        <v>1170</v>
      </c>
      <c r="Z436" s="41">
        <f>IFERROR(IF(Y436=0,"",ROUNDUP(Y436/H436,0)*0.02175),"")</f>
        <v>1.6964999999999999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1206.6600000000001</v>
      </c>
      <c r="BN436" s="78">
        <f t="shared" si="75"/>
        <v>1206.6600000000001</v>
      </c>
      <c r="BO436" s="78">
        <f t="shared" si="76"/>
        <v>1.625</v>
      </c>
      <c r="BP436" s="78">
        <f t="shared" si="77"/>
        <v>1.625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10</v>
      </c>
      <c r="Y440" s="55">
        <f t="shared" si="73"/>
        <v>10</v>
      </c>
      <c r="Z440" s="41">
        <f>IFERROR(IF(Y440=0,"",ROUNDUP(Y440/H440,0)*0.00902),"")</f>
        <v>1.804E-2</v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10.38</v>
      </c>
      <c r="BN440" s="78">
        <f t="shared" si="75"/>
        <v>10.38</v>
      </c>
      <c r="BO440" s="78">
        <f t="shared" si="76"/>
        <v>1.5151515151515152E-2</v>
      </c>
      <c r="BP440" s="78">
        <f t="shared" si="77"/>
        <v>1.5151515151515152E-2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243.33333333333334</v>
      </c>
      <c r="Y441" s="43">
        <f>IFERROR(Y433/H433,"0")+IFERROR(Y434/H434,"0")+IFERROR(Y435/H435,"0")+IFERROR(Y436/H436,"0")+IFERROR(Y437/H437,"0")+IFERROR(Y438/H438,"0")+IFERROR(Y439/H439,"0")+IFERROR(Y440/H440,"0")</f>
        <v>244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5.2815399999999988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3630</v>
      </c>
      <c r="Y442" s="43">
        <f>IFERROR(SUM(Y433:Y440),"0")</f>
        <v>3640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600</v>
      </c>
      <c r="Y444" s="55">
        <f>IFERROR(IF(X444="",0,CEILING((X444/$H444),1)*$H444),"")</f>
        <v>600</v>
      </c>
      <c r="Z444" s="41">
        <f>IFERROR(IF(Y444=0,"",ROUNDUP(Y444/H444,0)*0.02175),"")</f>
        <v>0.86999999999999988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618.79999999999995</v>
      </c>
      <c r="BN444" s="78">
        <f>IFERROR(Y444*I444/H444,"0")</f>
        <v>618.79999999999995</v>
      </c>
      <c r="BO444" s="78">
        <f>IFERROR(1/J444*(X444/H444),"0")</f>
        <v>0.83333333333333326</v>
      </c>
      <c r="BP444" s="78">
        <f>IFERROR(1/J444*(Y444/H444),"0")</f>
        <v>0.83333333333333326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46.666666666666664</v>
      </c>
      <c r="Y447" s="43">
        <f>IFERROR(Y444/H444,"0")+IFERROR(Y445/H445,"0")+IFERROR(Y446/H446,"0")</f>
        <v>47</v>
      </c>
      <c r="Z447" s="43">
        <f>IFERROR(IF(Z444="",0,Z444),"0")+IFERROR(IF(Z445="",0,Z445),"0")+IFERROR(IF(Z446="",0,Z446),"0")</f>
        <v>1.0222499999999999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700</v>
      </c>
      <c r="Y448" s="43">
        <f>IFERROR(SUM(Y444:Y446),"0")</f>
        <v>705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100</v>
      </c>
      <c r="Y450" s="55">
        <f>IFERROR(IF(X450="",0,CEILING((X450/$H450),1)*$H450),"")</f>
        <v>108</v>
      </c>
      <c r="Z450" s="41">
        <f>IFERROR(IF(Y450=0,"",ROUNDUP(Y450/H450,0)*0.01898),"")</f>
        <v>0.22776000000000002</v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105.55555555555556</v>
      </c>
      <c r="BN450" s="78">
        <f>IFERROR(Y450*I450/H450,"0")</f>
        <v>114</v>
      </c>
      <c r="BO450" s="78">
        <f>IFERROR(1/J450*(X450/H450),"0")</f>
        <v>0.1736111111111111</v>
      </c>
      <c r="BP450" s="78">
        <f>IFERROR(1/J450*(Y450/H450),"0")</f>
        <v>0.1875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11.111111111111111</v>
      </c>
      <c r="Y453" s="43">
        <f>IFERROR(Y450/H450,"0")+IFERROR(Y451/H451,"0")+IFERROR(Y452/H452,"0")</f>
        <v>12</v>
      </c>
      <c r="Z453" s="43">
        <f>IFERROR(IF(Z450="",0,Z450),"0")+IFERROR(IF(Z451="",0,Z451),"0")+IFERROR(IF(Z452="",0,Z452),"0")</f>
        <v>0.22776000000000002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100</v>
      </c>
      <c r="Y454" s="43">
        <f>IFERROR(SUM(Y450:Y452),"0")</f>
        <v>108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20</v>
      </c>
      <c r="Y457" s="55">
        <f>IFERROR(IF(X457="",0,CEILING((X457/$H457),1)*$H457),"")</f>
        <v>27</v>
      </c>
      <c r="Z457" s="41">
        <f>IFERROR(IF(Y457=0,"",ROUNDUP(Y457/H457,0)*0.01898),"")</f>
        <v>5.6940000000000004E-2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21.097777777777779</v>
      </c>
      <c r="BN457" s="78">
        <f>IFERROR(Y457*I457/H457,"0")</f>
        <v>28.481999999999996</v>
      </c>
      <c r="BO457" s="78">
        <f>IFERROR(1/J457*(X457/H457),"0")</f>
        <v>3.4722222222222224E-2</v>
      </c>
      <c r="BP457" s="78">
        <f>IFERROR(1/J457*(Y457/H457),"0")</f>
        <v>4.6875E-2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2.2222222222222223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20</v>
      </c>
      <c r="Y459" s="43">
        <f>IFERROR(SUM(Y456:Y457),"0")</f>
        <v>27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50</v>
      </c>
      <c r="Y462" s="55">
        <f>IFERROR(IF(X462="",0,CEILING((X462/$H462),1)*$H462),"")</f>
        <v>60</v>
      </c>
      <c r="Z462" s="41">
        <f>IFERROR(IF(Y462=0,"",ROUNDUP(Y462/H462,0)*0.01898),"")</f>
        <v>9.4899999999999998E-2</v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51.708333333333336</v>
      </c>
      <c r="BN462" s="78">
        <f>IFERROR(Y462*I462/H462,"0")</f>
        <v>62.050000000000004</v>
      </c>
      <c r="BO462" s="78">
        <f>IFERROR(1/J462*(X462/H462),"0")</f>
        <v>6.5104166666666671E-2</v>
      </c>
      <c r="BP462" s="78">
        <f>IFERROR(1/J462*(Y462/H462),"0")</f>
        <v>7.8125E-2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4.166666666666667</v>
      </c>
      <c r="Y464" s="43">
        <f>IFERROR(Y462/H462,"0")+IFERROR(Y463/H463,"0")</f>
        <v>5</v>
      </c>
      <c r="Z464" s="43">
        <f>IFERROR(IF(Z462="",0,Z462),"0")+IFERROR(IF(Z463="",0,Z463),"0")</f>
        <v>9.4899999999999998E-2</v>
      </c>
      <c r="AA464" s="67"/>
      <c r="AB464" s="67"/>
      <c r="AC464" s="67"/>
    </row>
    <row r="465" spans="1:68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50</v>
      </c>
      <c r="Y465" s="43">
        <f>IFERROR(SUM(Y462:Y463),"0")</f>
        <v>60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50</v>
      </c>
      <c r="Y506" s="55">
        <f t="shared" ref="Y506:Y514" si="83">IFERROR(IF(X506="",0,CEILING((X506/$H506),1)*$H506),"")</f>
        <v>52.800000000000004</v>
      </c>
      <c r="Z506" s="41">
        <f t="shared" ref="Z506:Z511" si="84">IFERROR(IF(Y506=0,"",ROUNDUP(Y506/H506,0)*0.01196),"")</f>
        <v>0.1196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53.314393939393938</v>
      </c>
      <c r="BN506" s="78">
        <f t="shared" ref="BN506:BN514" si="86">IFERROR(Y506*I506/H506,"0")</f>
        <v>56.3</v>
      </c>
      <c r="BO506" s="78">
        <f t="shared" ref="BO506:BO514" si="87">IFERROR(1/J506*(X506/H506),"0")</f>
        <v>9.1054778554778545E-2</v>
      </c>
      <c r="BP506" s="78">
        <f t="shared" ref="BP506:BP514" si="88">IFERROR(1/J506*(Y506/H506),"0")</f>
        <v>9.6153846153846159E-2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140</v>
      </c>
      <c r="Y511" s="55">
        <f t="shared" si="83"/>
        <v>142.56</v>
      </c>
      <c r="Z511" s="41">
        <f t="shared" si="84"/>
        <v>0.32291999999999998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149.280303030303</v>
      </c>
      <c r="BN511" s="78">
        <f t="shared" si="86"/>
        <v>152.01</v>
      </c>
      <c r="BO511" s="78">
        <f t="shared" si="87"/>
        <v>0.25495337995337997</v>
      </c>
      <c r="BP511" s="78">
        <f t="shared" si="88"/>
        <v>0.25961538461538464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60</v>
      </c>
      <c r="Y513" s="55">
        <f t="shared" si="83"/>
        <v>62.4</v>
      </c>
      <c r="Z513" s="41">
        <f>IFERROR(IF(Y513=0,"",ROUNDUP(Y513/H513,0)*0.00902),"")</f>
        <v>0.11726</v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86.375000000000014</v>
      </c>
      <c r="BN513" s="78">
        <f t="shared" si="86"/>
        <v>89.830000000000013</v>
      </c>
      <c r="BO513" s="78">
        <f t="shared" si="87"/>
        <v>9.4696969696969696E-2</v>
      </c>
      <c r="BP513" s="78">
        <f t="shared" si="88"/>
        <v>9.8484848484848481E-2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48.484848484848484</v>
      </c>
      <c r="Y515" s="43">
        <f>IFERROR(Y506/H506,"0")+IFERROR(Y507/H507,"0")+IFERROR(Y508/H508,"0")+IFERROR(Y509/H509,"0")+IFERROR(Y510/H510,"0")+IFERROR(Y511/H511,"0")+IFERROR(Y512/H512,"0")+IFERROR(Y513/H513,"0")+IFERROR(Y514/H514,"0")</f>
        <v>50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0.55977999999999994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250</v>
      </c>
      <c r="Y516" s="43">
        <f>IFERROR(SUM(Y506:Y514),"0")</f>
        <v>257.76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250</v>
      </c>
      <c r="Y518" s="55">
        <f>IFERROR(IF(X518="",0,CEILING((X518/$H518),1)*$H518),"")</f>
        <v>253.44</v>
      </c>
      <c r="Z518" s="41">
        <f>IFERROR(IF(Y518=0,"",ROUNDUP(Y518/H518,0)*0.01196),"")</f>
        <v>0.57408000000000003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266.57196969696969</v>
      </c>
      <c r="BN518" s="78">
        <f>IFERROR(Y518*I518/H518,"0")</f>
        <v>270.23999999999995</v>
      </c>
      <c r="BO518" s="78">
        <f>IFERROR(1/J518*(X518/H518),"0")</f>
        <v>0.45527389277389274</v>
      </c>
      <c r="BP518" s="78">
        <f>IFERROR(1/J518*(Y518/H518),"0")</f>
        <v>0.46153846153846156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47.348484848484844</v>
      </c>
      <c r="Y521" s="43">
        <f>IFERROR(Y518/H518,"0")+IFERROR(Y519/H519,"0")+IFERROR(Y520/H520,"0")</f>
        <v>48</v>
      </c>
      <c r="Z521" s="43">
        <f>IFERROR(IF(Z518="",0,Z518),"0")+IFERROR(IF(Z519="",0,Z519),"0")+IFERROR(IF(Z520="",0,Z520),"0")</f>
        <v>0.57408000000000003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250</v>
      </c>
      <c r="Y522" s="43">
        <f>IFERROR(SUM(Y518:Y520),"0")</f>
        <v>253.44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20</v>
      </c>
      <c r="Y524" s="55">
        <f t="shared" ref="Y524:Y530" si="89">IFERROR(IF(X524="",0,CEILING((X524/$H524),1)*$H524),"")</f>
        <v>21.12</v>
      </c>
      <c r="Z524" s="41">
        <f>IFERROR(IF(Y524=0,"",ROUNDUP(Y524/H524,0)*0.01196),"")</f>
        <v>4.7840000000000001E-2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21.325757575757574</v>
      </c>
      <c r="BN524" s="78">
        <f t="shared" ref="BN524:BN530" si="91">IFERROR(Y524*I524/H524,"0")</f>
        <v>22.52</v>
      </c>
      <c r="BO524" s="78">
        <f t="shared" ref="BO524:BO530" si="92">IFERROR(1/J524*(X524/H524),"0")</f>
        <v>3.6421911421911424E-2</v>
      </c>
      <c r="BP524" s="78">
        <f t="shared" ref="BP524:BP530" si="93">IFERROR(1/J524*(Y524/H524),"0")</f>
        <v>3.8461538461538464E-2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30</v>
      </c>
      <c r="Y526" s="55">
        <f t="shared" si="89"/>
        <v>31.68</v>
      </c>
      <c r="Z526" s="41">
        <f>IFERROR(IF(Y526=0,"",ROUNDUP(Y526/H526,0)*0.01196),"")</f>
        <v>7.1760000000000004E-2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31.988636363636363</v>
      </c>
      <c r="BN526" s="78">
        <f t="shared" si="91"/>
        <v>33.779999999999994</v>
      </c>
      <c r="BO526" s="78">
        <f t="shared" si="92"/>
        <v>5.4632867132867136E-2</v>
      </c>
      <c r="BP526" s="78">
        <f t="shared" si="93"/>
        <v>5.7692307692307696E-2</v>
      </c>
    </row>
    <row r="527" spans="1:68" ht="27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30</v>
      </c>
      <c r="Y527" s="55">
        <f t="shared" si="89"/>
        <v>33.6</v>
      </c>
      <c r="Z527" s="41">
        <f>IFERROR(IF(Y527=0,"",ROUNDUP(Y527/H527,0)*0.00902),"")</f>
        <v>6.3140000000000002E-2</v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43.187500000000007</v>
      </c>
      <c r="BN527" s="78">
        <f t="shared" si="91"/>
        <v>48.370000000000005</v>
      </c>
      <c r="BO527" s="78">
        <f t="shared" si="92"/>
        <v>4.7348484848484848E-2</v>
      </c>
      <c r="BP527" s="78">
        <f t="shared" si="93"/>
        <v>5.3030303030303039E-2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12</v>
      </c>
      <c r="Y529" s="55">
        <f t="shared" si="89"/>
        <v>14.399999999999999</v>
      </c>
      <c r="Z529" s="41">
        <f>IFERROR(IF(Y529=0,"",ROUNDUP(Y529/H529,0)*0.00902),"")</f>
        <v>2.7060000000000001E-2</v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16.675000000000001</v>
      </c>
      <c r="BN529" s="78">
        <f t="shared" si="91"/>
        <v>20.009999999999998</v>
      </c>
      <c r="BO529" s="78">
        <f t="shared" si="92"/>
        <v>1.893939393939394E-2</v>
      </c>
      <c r="BP529" s="78">
        <f t="shared" si="93"/>
        <v>2.2727272727272728E-2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18.219696969696969</v>
      </c>
      <c r="Y531" s="43">
        <f>IFERROR(Y524/H524,"0")+IFERROR(Y525/H525,"0")+IFERROR(Y526/H526,"0")+IFERROR(Y527/H527,"0")+IFERROR(Y528/H528,"0")+IFERROR(Y529/H529,"0")+IFERROR(Y530/H530,"0")</f>
        <v>20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0.20980000000000001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92</v>
      </c>
      <c r="Y532" s="43">
        <f>IFERROR(SUM(Y524:Y530),"0")</f>
        <v>100.80000000000001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60</v>
      </c>
      <c r="Y536" s="55">
        <f>IFERROR(IF(X536="",0,CEILING((X536/$H536),1)*$H536),"")</f>
        <v>60</v>
      </c>
      <c r="Z536" s="41">
        <f>IFERROR(IF(Y536=0,"",ROUNDUP(Y536/H536,0)*0.01898),"")</f>
        <v>9.4899999999999998E-2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62.050000000000004</v>
      </c>
      <c r="BN536" s="78">
        <f>IFERROR(Y536*I536/H536,"0")</f>
        <v>62.050000000000004</v>
      </c>
      <c r="BO536" s="78">
        <f>IFERROR(1/J536*(X536/H536),"0")</f>
        <v>7.8125E-2</v>
      </c>
      <c r="BP536" s="78">
        <f>IFERROR(1/J536*(Y536/H536),"0")</f>
        <v>7.8125E-2</v>
      </c>
    </row>
    <row r="537" spans="1:68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5</v>
      </c>
      <c r="Y537" s="43">
        <f>IFERROR(Y536/H536,"0")</f>
        <v>5</v>
      </c>
      <c r="Z537" s="43">
        <f>IFERROR(IF(Z536="",0,Z536),"0")</f>
        <v>9.4899999999999998E-2</v>
      </c>
      <c r="AA537" s="67"/>
      <c r="AB537" s="67"/>
      <c r="AC537" s="67"/>
    </row>
    <row r="538" spans="1:68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60</v>
      </c>
      <c r="Y538" s="43">
        <f>IFERROR(SUM(Y536:Y536),"0")</f>
        <v>60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1250</v>
      </c>
      <c r="Y548" s="55">
        <f>IFERROR(IF(X548="",0,CEILING((X548/$H548),1)*$H548),"")</f>
        <v>1251</v>
      </c>
      <c r="Z548" s="41">
        <f>IFERROR(IF(Y548=0,"",ROUNDUP(Y548/H548,0)*0.01898),"")</f>
        <v>2.63822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1318.6111111111111</v>
      </c>
      <c r="BN548" s="78">
        <f>IFERROR(Y548*I548/H548,"0")</f>
        <v>1319.6660000000002</v>
      </c>
      <c r="BO548" s="78">
        <f>IFERROR(1/J548*(X548/H548),"0")</f>
        <v>2.1701388888888888</v>
      </c>
      <c r="BP548" s="78">
        <f>IFERROR(1/J548*(Y548/H548),"0")</f>
        <v>2.171875</v>
      </c>
    </row>
    <row r="549" spans="1:68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138.88888888888889</v>
      </c>
      <c r="Y549" s="43">
        <f>IFERROR(Y548/H548,"0")</f>
        <v>139</v>
      </c>
      <c r="Z549" s="43">
        <f>IFERROR(IF(Z548="",0,Z548),"0")</f>
        <v>2.63822</v>
      </c>
      <c r="AA549" s="67"/>
      <c r="AB549" s="67"/>
      <c r="AC549" s="67"/>
    </row>
    <row r="550" spans="1:68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1250</v>
      </c>
      <c r="Y550" s="43">
        <f>IFERROR(SUM(Y548:Y548),"0")</f>
        <v>1251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15758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15933.300000000001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16643.680705732106</v>
      </c>
      <c r="Y562" s="43">
        <f>IFERROR(SUM(BN22:BN558),"0")</f>
        <v>16831.733999999997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29</v>
      </c>
      <c r="Y563" s="44">
        <f>ROUNDUP(SUM(BP22:BP558),0)</f>
        <v>29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17368.680705732106</v>
      </c>
      <c r="Y564" s="43">
        <f>GrossWeightTotalR+PalletQtyTotalR*25</f>
        <v>17556.733999999997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3631.8331389768177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3666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33.57741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49.92</v>
      </c>
      <c r="D571" s="52">
        <f>IFERROR(Y47*1,"0")+IFERROR(Y48*1,"0")+IFERROR(Y49*1,"0")+IFERROR(Y50*1,"0")</f>
        <v>200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680.4</v>
      </c>
      <c r="F571" s="52">
        <f>IFERROR(Y87*1,"0")+IFERROR(Y88*1,"0")+IFERROR(Y89*1,"0")+IFERROR(Y90*1,"0")+IFERROR(Y91*1,"0")+IFERROR(Y92*1,"0")+IFERROR(Y96*1,"0")+IFERROR(Y97*1,"0")+IFERROR(Y98*1,"0")+IFERROR(Y99*1,"0")</f>
        <v>1076.4000000000001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629.45999999999992</v>
      </c>
      <c r="H571" s="52">
        <f>IFERROR(Y134*1,"0")+IFERROR(Y135*1,"0")+IFERROR(Y139*1,"0")+IFERROR(Y140*1,"0")+IFERROR(Y144*1,"0")+IFERROR(Y145*1,"0")</f>
        <v>311.12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1460.7999999999997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949.68000000000006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2169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237.32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160.79999999999998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686.39999999999986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835.6</v>
      </c>
      <c r="U571" s="52">
        <f>IFERROR(Y419*1,"0")+IFERROR(Y420*1,"0")</f>
        <v>23.4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4480</v>
      </c>
      <c r="X571" s="52">
        <f>IFERROR(Y462*1,"0")+IFERROR(Y463*1,"0")+IFERROR(Y467*1,"0")+IFERROR(Y471*1,"0")+IFERROR(Y472*1,"0")+IFERROR(Y473*1,"0")</f>
        <v>60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611.99999999999989</v>
      </c>
      <c r="AB571" s="52">
        <f>IFERROR(Y536*1,"0")+IFERROR(Y540*1,"0")+IFERROR(Y544*1,"0")+IFERROR(Y548*1,"0")+IFERROR(Y552*1,"0")+IFERROR(Y553*1,"0")</f>
        <v>1311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70,00"/>
        <filter val="1 250,00"/>
        <filter val="1 300,00"/>
        <filter val="1 350,00"/>
        <filter val="1 453,00"/>
        <filter val="10,00"/>
        <filter val="100,00"/>
        <filter val="103,33"/>
        <filter val="11,00"/>
        <filter val="11,11"/>
        <filter val="113,33"/>
        <filter val="12,00"/>
        <filter val="120,00"/>
        <filter val="122,00"/>
        <filter val="13,33"/>
        <filter val="138,89"/>
        <filter val="14,00"/>
        <filter val="140,00"/>
        <filter val="15 758,00"/>
        <filter val="150,00"/>
        <filter val="16 643,68"/>
        <filter val="16,00"/>
        <filter val="16,67"/>
        <filter val="160,00"/>
        <filter val="17 368,68"/>
        <filter val="175,00"/>
        <filter val="18,00"/>
        <filter val="18,22"/>
        <filter val="180,00"/>
        <filter val="191,36"/>
        <filter val="196,00"/>
        <filter val="2,22"/>
        <filter val="2,56"/>
        <filter val="20,00"/>
        <filter val="200,00"/>
        <filter val="210,00"/>
        <filter val="22,22"/>
        <filter val="224,00"/>
        <filter val="225,00"/>
        <filter val="234,00"/>
        <filter val="24,00"/>
        <filter val="243,33"/>
        <filter val="25,00"/>
        <filter val="25,59"/>
        <filter val="250,00"/>
        <filter val="261,00"/>
        <filter val="28,00"/>
        <filter val="280,00"/>
        <filter val="29"/>
        <filter val="290,00"/>
        <filter val="3 630,00"/>
        <filter val="3 631,83"/>
        <filter val="30,00"/>
        <filter val="300,00"/>
        <filter val="315,00"/>
        <filter val="32,00"/>
        <filter val="325,00"/>
        <filter val="33,00"/>
        <filter val="33,33"/>
        <filter val="36,00"/>
        <filter val="360,00"/>
        <filter val="37,50"/>
        <filter val="370,00"/>
        <filter val="380,00"/>
        <filter val="4,17"/>
        <filter val="40,00"/>
        <filter val="415,00"/>
        <filter val="43,75"/>
        <filter val="450,00"/>
        <filter val="46,67"/>
        <filter val="47,35"/>
        <filter val="472,22"/>
        <filter val="48,00"/>
        <filter val="48,48"/>
        <filter val="490,00"/>
        <filter val="5,00"/>
        <filter val="50,00"/>
        <filter val="500,00"/>
        <filter val="51,85"/>
        <filter val="59,26"/>
        <filter val="60,00"/>
        <filter val="600,00"/>
        <filter val="61,72"/>
        <filter val="621,90"/>
        <filter val="650,00"/>
        <filter val="66,00"/>
        <filter val="66,67"/>
        <filter val="670,00"/>
        <filter val="7,00"/>
        <filter val="70,00"/>
        <filter val="700,00"/>
        <filter val="72,00"/>
        <filter val="720,00"/>
        <filter val="79,26"/>
        <filter val="8,00"/>
        <filter val="8,73"/>
        <filter val="80,00"/>
        <filter val="85,90"/>
        <filter val="899,00"/>
        <filter val="9,00"/>
        <filter val="90,00"/>
        <filter val="92,00"/>
        <filter val="99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