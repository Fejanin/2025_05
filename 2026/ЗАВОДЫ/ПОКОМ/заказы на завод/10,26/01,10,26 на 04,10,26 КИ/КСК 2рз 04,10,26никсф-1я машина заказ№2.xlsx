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1BCF07-E21E-40F0-A11C-4C61F3D1ED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Y136" i="2" s="1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Z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31" i="2" l="1"/>
  <c r="BP38" i="2"/>
  <c r="BN199" i="2"/>
  <c r="Z436" i="2"/>
  <c r="BP436" i="2"/>
  <c r="Z295" i="2"/>
  <c r="Z374" i="2"/>
  <c r="Z48" i="2"/>
  <c r="BP173" i="2"/>
  <c r="Z221" i="2"/>
  <c r="Z240" i="2"/>
  <c r="BN240" i="2"/>
  <c r="Z241" i="2"/>
  <c r="Z318" i="2"/>
  <c r="Z319" i="2" s="1"/>
  <c r="Z353" i="2"/>
  <c r="Z396" i="2"/>
  <c r="Z486" i="2"/>
  <c r="BN486" i="2"/>
  <c r="Z532" i="2"/>
  <c r="Z28" i="2"/>
  <c r="BN28" i="2"/>
  <c r="BP50" i="2"/>
  <c r="Z77" i="2"/>
  <c r="BN77" i="2"/>
  <c r="BP77" i="2"/>
  <c r="Z86" i="2"/>
  <c r="BN86" i="2"/>
  <c r="Z93" i="2"/>
  <c r="BN93" i="2"/>
  <c r="Y179" i="2"/>
  <c r="BN187" i="2"/>
  <c r="BN194" i="2"/>
  <c r="Z261" i="2"/>
  <c r="Z262" i="2" s="1"/>
  <c r="BN266" i="2"/>
  <c r="Z326" i="2"/>
  <c r="BN326" i="2"/>
  <c r="Z327" i="2"/>
  <c r="BN327" i="2"/>
  <c r="Z328" i="2"/>
  <c r="BN382" i="2"/>
  <c r="BP396" i="2"/>
  <c r="Z404" i="2"/>
  <c r="BN410" i="2"/>
  <c r="Z415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Z521" i="2"/>
  <c r="BN521" i="2"/>
  <c r="BN41" i="2"/>
  <c r="BP80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BN250" i="2"/>
  <c r="Z251" i="2"/>
  <c r="BN292" i="2"/>
  <c r="BN298" i="2"/>
  <c r="BN313" i="2"/>
  <c r="BP333" i="2"/>
  <c r="BN336" i="2"/>
  <c r="Z337" i="2"/>
  <c r="BN343" i="2"/>
  <c r="BN351" i="2"/>
  <c r="BN372" i="2"/>
  <c r="BN384" i="2"/>
  <c r="BN392" i="2"/>
  <c r="BN443" i="2"/>
  <c r="BN454" i="2"/>
  <c r="BN460" i="2"/>
  <c r="Y462" i="2"/>
  <c r="BN502" i="2"/>
  <c r="BN510" i="2"/>
  <c r="BN515" i="2"/>
  <c r="BN530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9" i="2" l="1"/>
  <c r="Z90" i="2"/>
  <c r="Z477" i="2"/>
  <c r="Z354" i="2"/>
  <c r="Z32" i="2"/>
  <c r="Z386" i="2"/>
  <c r="Z345" i="2"/>
  <c r="Z174" i="2"/>
  <c r="Z120" i="2"/>
  <c r="Z444" i="2"/>
  <c r="Z456" i="2"/>
  <c r="Z399" i="2"/>
  <c r="Z142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<sst xmlns="http://schemas.openxmlformats.org/spreadsheetml/2006/main" count="4366" uniqueCount="910">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</sst>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66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67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908</v>
      </c>
      <c r="I5" s="667"/>
      <c r="J5" s="667"/>
      <c r="K5" s="667"/>
      <c r="L5" s="667"/>
      <c r="M5" s="667"/>
      <c r="N5" s="72"/>
      <c r="P5" s="27" t="s">
        <v>4</v>
      </c>
      <c r="Q5" s="669">
        <v>46300</v>
      </c>
      <c r="R5" s="669"/>
      <c r="T5" s="670" t="s">
        <v>3</v>
      </c>
      <c r="U5" s="671"/>
      <c r="V5" s="672" t="s">
        <v>889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890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Понедельник</v>
      </c>
      <c r="R6" s="675"/>
      <c r="T6" s="676" t="s">
        <v>5</v>
      </c>
      <c r="U6" s="677"/>
      <c r="V6" s="678" t="s">
        <v>69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57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0.45833333333333331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70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909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71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72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73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74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60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58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65</v>
      </c>
      <c r="L17" s="708" t="s">
        <v>63</v>
      </c>
      <c r="M17" s="708" t="s">
        <v>2</v>
      </c>
      <c r="N17" s="708" t="s">
        <v>62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55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59</v>
      </c>
      <c r="AB17" s="722" t="s">
        <v>19</v>
      </c>
      <c r="AC17" s="722" t="s">
        <v>64</v>
      </c>
      <c r="AD17" s="724" t="s">
        <v>56</v>
      </c>
      <c r="AE17" s="725"/>
      <c r="AF17" s="726"/>
      <c r="AG17" s="82"/>
      <c r="BD17" s="81" t="s">
        <v>61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75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75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76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85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103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85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119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120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121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122</v>
      </c>
      <c r="B47" s="63" t="s">
        <v>123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hidden="1" customHeight="1" x14ac:dyDescent="0.25">
      <c r="A53" s="731" t="s">
        <v>136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121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50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51.898148148148145</v>
      </c>
      <c r="BN56" s="78">
        <f t="shared" si="2"/>
        <v>56.05</v>
      </c>
      <c r="BO56" s="78">
        <f t="shared" si="3"/>
        <v>7.2337962962962965E-2</v>
      </c>
      <c r="BP56" s="78">
        <f t="shared" si="4"/>
        <v>7.8125E-2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151</v>
      </c>
      <c r="B60" s="63" t="s">
        <v>152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9.6296296296296298</v>
      </c>
      <c r="Y61" s="43">
        <f>IFERROR(Y55/H55,"0")+IFERROR(Y56/H56,"0")+IFERROR(Y57/H57,"0")+IFERROR(Y58/H58,"0")+IFERROR(Y59/H59,"0")+IFERROR(Y60/H60,"0")</f>
        <v>10</v>
      </c>
      <c r="Z61" s="43">
        <f>IFERROR(IF(Z55="",0,Z55),"0")+IFERROR(IF(Z56="",0,Z56),"0")+IFERROR(IF(Z57="",0,Z57),"0")+IFERROR(IF(Z58="",0,Z58),"0")+IFERROR(IF(Z59="",0,Z59),"0")+IFERROR(IF(Z60="",0,Z60),"0")</f>
        <v>0.14000000000000001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72.5</v>
      </c>
      <c r="Y62" s="43">
        <f>IFERROR(SUM(Y55:Y60),"0")</f>
        <v>76.5</v>
      </c>
      <c r="Z62" s="42"/>
      <c r="AA62" s="67"/>
      <c r="AB62" s="67"/>
      <c r="AC62" s="67"/>
    </row>
    <row r="63" spans="1:68" ht="14.25" hidden="1" customHeight="1" x14ac:dyDescent="0.25">
      <c r="A63" s="732" t="s">
        <v>154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2" t="s">
        <v>85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172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181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121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76" t="s">
        <v>189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13.5</v>
      </c>
      <c r="Y89" s="55">
        <f>IFERROR(IF(X89="",0,CEILING((X89/$H89),1)*$H89),"")</f>
        <v>13.5</v>
      </c>
      <c r="Z89" s="41">
        <f>IFERROR(IF(Y89=0,"",ROUNDUP(Y89/H89,0)*0.00902),"")</f>
        <v>2.7060000000000001E-2</v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14.07</v>
      </c>
      <c r="BN89" s="78">
        <f>IFERROR(Y89*I89/H89,"0")</f>
        <v>14.07</v>
      </c>
      <c r="BO89" s="78">
        <f>IFERROR(1/J89*(X89/H89),"0")</f>
        <v>2.2727272727272728E-2</v>
      </c>
      <c r="BP89" s="78">
        <f>IFERROR(1/J89*(Y89/H89),"0")</f>
        <v>2.2727272727272728E-2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3</v>
      </c>
      <c r="Y90" s="43">
        <f>IFERROR(Y85/H85,"0")+IFERROR(Y86/H86,"0")+IFERROR(Y87/H87,"0")+IFERROR(Y88/H88,"0")+IFERROR(Y89/H89,"0")</f>
        <v>3</v>
      </c>
      <c r="Z90" s="43">
        <f>IFERROR(IF(Z85="",0,Z85),"0")+IFERROR(IF(Z86="",0,Z86),"0")+IFERROR(IF(Z87="",0,Z87),"0")+IFERROR(IF(Z88="",0,Z88),"0")+IFERROR(IF(Z89="",0,Z89),"0")</f>
        <v>2.7060000000000001E-2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13.5</v>
      </c>
      <c r="Y91" s="43">
        <f>IFERROR(SUM(Y85:Y89),"0")</f>
        <v>13.5</v>
      </c>
      <c r="Z91" s="42"/>
      <c r="AA91" s="67"/>
      <c r="AB91" s="67"/>
      <c r="AC91" s="67"/>
    </row>
    <row r="92" spans="1:68" ht="14.25" hidden="1" customHeight="1" x14ac:dyDescent="0.25">
      <c r="A92" s="732" t="s">
        <v>85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80" t="s">
        <v>198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199</v>
      </c>
      <c r="B96" s="63" t="s">
        <v>201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82" t="s">
        <v>202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204</v>
      </c>
      <c r="B98" s="63" t="s">
        <v>206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784" t="s">
        <v>207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196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208</v>
      </c>
      <c r="B99" s="63" t="s">
        <v>209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210</v>
      </c>
      <c r="AG99" s="78"/>
      <c r="AJ99" s="84" t="s">
        <v>46</v>
      </c>
      <c r="AK99" s="84">
        <v>0</v>
      </c>
      <c r="BB99" s="175" t="s">
        <v>66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1" t="s">
        <v>211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121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212</v>
      </c>
      <c r="B104" s="63" t="s">
        <v>213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1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1" si="11">IFERROR(X104*I104/H104,"0")</f>
        <v>20.75925925925926</v>
      </c>
      <c r="BN104" s="78">
        <f t="shared" ref="BN104:BN111" si="12">IFERROR(Y104*I104/H104,"0")</f>
        <v>22.42</v>
      </c>
      <c r="BO104" s="78">
        <f t="shared" ref="BO104:BO111" si="13">IFERROR(1/J104*(X104/H104),"0")</f>
        <v>2.8935185185185182E-2</v>
      </c>
      <c r="BP104" s="78">
        <f t="shared" ref="BP104:BP111" si="14">IFERROR(1/J104*(Y104/H104),"0")</f>
        <v>3.125E-2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218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215</v>
      </c>
      <c r="B107" s="63" t="s">
        <v>219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130</v>
      </c>
      <c r="L107" s="37" t="s">
        <v>46</v>
      </c>
      <c r="M107" s="38" t="s">
        <v>80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217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792" t="s">
        <v>225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226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227</v>
      </c>
      <c r="B111" s="63" t="s">
        <v>228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89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1.8518518518518516</v>
      </c>
      <c r="Y112" s="43">
        <f>IFERROR(Y104/H104,"0")+IFERROR(Y105/H105,"0")+IFERROR(Y106/H106,"0")+IFERROR(Y107/H107,"0")+IFERROR(Y108/H108,"0")+IFERROR(Y109/H109,"0")+IFERROR(Y110/H110,"0")+IFERROR(Y111/H111,"0")</f>
        <v>2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3.7960000000000001E-2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20</v>
      </c>
      <c r="Y113" s="43">
        <f>IFERROR(SUM(Y104:Y111),"0")</f>
        <v>21.6</v>
      </c>
      <c r="Z113" s="42"/>
      <c r="AA113" s="67"/>
      <c r="AB113" s="67"/>
      <c r="AC113" s="67"/>
    </row>
    <row r="114" spans="1:68" ht="14.25" hidden="1" customHeight="1" x14ac:dyDescent="0.25">
      <c r="A114" s="732" t="s">
        <v>154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231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85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96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66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241</v>
      </c>
      <c r="B124" s="63" t="s">
        <v>244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126</v>
      </c>
      <c r="L124" s="37" t="s">
        <v>46</v>
      </c>
      <c r="M124" s="38" t="s">
        <v>89</v>
      </c>
      <c r="N124" s="38"/>
      <c r="O124" s="37">
        <v>45</v>
      </c>
      <c r="P124" s="800" t="s">
        <v>245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02" t="s">
        <v>249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243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250</v>
      </c>
      <c r="B127" s="63" t="s">
        <v>251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90</v>
      </c>
      <c r="L127" s="37" t="s">
        <v>46</v>
      </c>
      <c r="M127" s="38" t="s">
        <v>96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243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250</v>
      </c>
      <c r="B128" s="63" t="s">
        <v>252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04" t="s">
        <v>253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243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254</v>
      </c>
      <c r="B129" s="63" t="s">
        <v>255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256</v>
      </c>
      <c r="AG129" s="78"/>
      <c r="AJ129" s="84" t="s">
        <v>46</v>
      </c>
      <c r="AK129" s="84">
        <v>0</v>
      </c>
      <c r="BB129" s="215" t="s">
        <v>66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254</v>
      </c>
      <c r="B130" s="63" t="s">
        <v>257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45</v>
      </c>
      <c r="P130" s="806" t="s">
        <v>258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256</v>
      </c>
      <c r="AG130" s="78"/>
      <c r="AJ130" s="84" t="s">
        <v>46</v>
      </c>
      <c r="AK130" s="84">
        <v>0</v>
      </c>
      <c r="BB130" s="217" t="s">
        <v>66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2" t="s">
        <v>172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259</v>
      </c>
      <c r="B134" s="63" t="s">
        <v>260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90</v>
      </c>
      <c r="L134" s="37" t="s">
        <v>46</v>
      </c>
      <c r="M134" s="38" t="s">
        <v>89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261</v>
      </c>
      <c r="AG134" s="78"/>
      <c r="AJ134" s="84" t="s">
        <v>46</v>
      </c>
      <c r="AK134" s="84">
        <v>0</v>
      </c>
      <c r="BB134" s="219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259</v>
      </c>
      <c r="B135" s="63" t="s">
        <v>262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90</v>
      </c>
      <c r="L135" s="37" t="s">
        <v>46</v>
      </c>
      <c r="M135" s="38" t="s">
        <v>89</v>
      </c>
      <c r="N135" s="38"/>
      <c r="O135" s="37">
        <v>40</v>
      </c>
      <c r="P135" s="808" t="s">
        <v>263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261</v>
      </c>
      <c r="AG135" s="78"/>
      <c r="AJ135" s="84" t="s">
        <v>46</v>
      </c>
      <c r="AK135" s="84">
        <v>0</v>
      </c>
      <c r="BB135" s="221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264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121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265</v>
      </c>
      <c r="B140" s="63" t="s">
        <v>266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90</v>
      </c>
      <c r="L140" s="37" t="s">
        <v>46</v>
      </c>
      <c r="M140" s="38" t="s">
        <v>268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267</v>
      </c>
      <c r="AG140" s="78"/>
      <c r="AJ140" s="84" t="s">
        <v>46</v>
      </c>
      <c r="AK140" s="84">
        <v>0</v>
      </c>
      <c r="BB140" s="223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269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90</v>
      </c>
      <c r="L141" s="37" t="s">
        <v>46</v>
      </c>
      <c r="M141" s="38" t="s">
        <v>268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267</v>
      </c>
      <c r="AG141" s="78"/>
      <c r="AJ141" s="84" t="s">
        <v>46</v>
      </c>
      <c r="AK141" s="84">
        <v>0</v>
      </c>
      <c r="BB141" s="22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76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270</v>
      </c>
      <c r="B145" s="63" t="s">
        <v>271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90</v>
      </c>
      <c r="L145" s="37" t="s">
        <v>46</v>
      </c>
      <c r="M145" s="38" t="s">
        <v>268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272</v>
      </c>
      <c r="AG145" s="78"/>
      <c r="AJ145" s="84" t="s">
        <v>46</v>
      </c>
      <c r="AK145" s="84">
        <v>0</v>
      </c>
      <c r="BB145" s="227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270</v>
      </c>
      <c r="B146" s="63" t="s">
        <v>273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90</v>
      </c>
      <c r="L146" s="37" t="s">
        <v>46</v>
      </c>
      <c r="M146" s="38" t="s">
        <v>268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272</v>
      </c>
      <c r="AG146" s="78"/>
      <c r="AJ146" s="84" t="s">
        <v>46</v>
      </c>
      <c r="AK146" s="84">
        <v>0</v>
      </c>
      <c r="BB146" s="229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85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274</v>
      </c>
      <c r="B150" s="63" t="s">
        <v>275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90</v>
      </c>
      <c r="L150" s="37" t="s">
        <v>46</v>
      </c>
      <c r="M150" s="38" t="s">
        <v>268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267</v>
      </c>
      <c r="AG150" s="78"/>
      <c r="AJ150" s="84" t="s">
        <v>46</v>
      </c>
      <c r="AK150" s="84">
        <v>0</v>
      </c>
      <c r="BB150" s="231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274</v>
      </c>
      <c r="B151" s="63" t="s">
        <v>276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90</v>
      </c>
      <c r="L151" s="37" t="s">
        <v>46</v>
      </c>
      <c r="M151" s="38" t="s">
        <v>268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267</v>
      </c>
      <c r="AG151" s="78"/>
      <c r="AJ151" s="84" t="s">
        <v>46</v>
      </c>
      <c r="AK151" s="84">
        <v>0</v>
      </c>
      <c r="BB151" s="233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277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85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278</v>
      </c>
      <c r="B156" s="63" t="s">
        <v>279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66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66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66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66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66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289</v>
      </c>
      <c r="B161" s="63" t="s">
        <v>290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90</v>
      </c>
      <c r="L161" s="37" t="s">
        <v>46</v>
      </c>
      <c r="M161" s="38" t="s">
        <v>96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291</v>
      </c>
      <c r="AG161" s="78"/>
      <c r="AJ161" s="84" t="s">
        <v>46</v>
      </c>
      <c r="AK161" s="84">
        <v>0</v>
      </c>
      <c r="BB161" s="245" t="s">
        <v>66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289</v>
      </c>
      <c r="B162" s="63" t="s">
        <v>292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90</v>
      </c>
      <c r="L162" s="37" t="s">
        <v>46</v>
      </c>
      <c r="M162" s="38" t="s">
        <v>96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291</v>
      </c>
      <c r="AG162" s="78"/>
      <c r="AJ162" s="84" t="s">
        <v>46</v>
      </c>
      <c r="AK162" s="84">
        <v>0</v>
      </c>
      <c r="BB162" s="247" t="s">
        <v>66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293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294</v>
      </c>
      <c r="B166" s="63" t="s">
        <v>295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299</v>
      </c>
      <c r="L166" s="37" t="s">
        <v>46</v>
      </c>
      <c r="M166" s="38" t="s">
        <v>298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296</v>
      </c>
      <c r="AG166" s="78"/>
      <c r="AJ166" s="84" t="s">
        <v>46</v>
      </c>
      <c r="AK166" s="84">
        <v>0</v>
      </c>
      <c r="BB166" s="249" t="s">
        <v>297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119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121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300</v>
      </c>
      <c r="B171" s="63" t="s">
        <v>301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126</v>
      </c>
      <c r="L171" s="37" t="s">
        <v>46</v>
      </c>
      <c r="M171" s="38" t="s">
        <v>125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302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133</v>
      </c>
      <c r="L172" s="37" t="s">
        <v>46</v>
      </c>
      <c r="M172" s="38" t="s">
        <v>125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305</v>
      </c>
      <c r="AG172" s="78"/>
      <c r="AJ172" s="84" t="s">
        <v>46</v>
      </c>
      <c r="AK172" s="84">
        <v>0</v>
      </c>
      <c r="BB172" s="253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90</v>
      </c>
      <c r="L173" s="37" t="s">
        <v>46</v>
      </c>
      <c r="M173" s="38" t="s">
        <v>89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308</v>
      </c>
      <c r="AG173" s="78"/>
      <c r="AJ173" s="84" t="s">
        <v>46</v>
      </c>
      <c r="AK173" s="84">
        <v>0</v>
      </c>
      <c r="BB173" s="255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154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309</v>
      </c>
      <c r="B177" s="63" t="s">
        <v>310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81</v>
      </c>
      <c r="L177" s="37" t="s">
        <v>46</v>
      </c>
      <c r="M177" s="38" t="s">
        <v>80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311</v>
      </c>
      <c r="AG177" s="78"/>
      <c r="AJ177" s="84" t="s">
        <v>46</v>
      </c>
      <c r="AK177" s="84">
        <v>0</v>
      </c>
      <c r="BB177" s="257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312</v>
      </c>
      <c r="B178" s="63" t="s">
        <v>313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81</v>
      </c>
      <c r="L178" s="37" t="s">
        <v>46</v>
      </c>
      <c r="M178" s="38" t="s">
        <v>125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314</v>
      </c>
      <c r="AG178" s="78"/>
      <c r="AJ178" s="84" t="s">
        <v>46</v>
      </c>
      <c r="AK178" s="84">
        <v>0</v>
      </c>
      <c r="BB178" s="259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76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315</v>
      </c>
      <c r="B182" s="63" t="s">
        <v>316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317</v>
      </c>
      <c r="AG182" s="78"/>
      <c r="AJ182" s="84" t="s">
        <v>46</v>
      </c>
      <c r="AK182" s="84">
        <v>0</v>
      </c>
      <c r="BB182" s="261" t="s">
        <v>66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321</v>
      </c>
      <c r="B184" s="63" t="s">
        <v>322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323</v>
      </c>
      <c r="AG184" s="78"/>
      <c r="AJ184" s="84" t="s">
        <v>46</v>
      </c>
      <c r="AK184" s="84">
        <v>0</v>
      </c>
      <c r="BB184" s="265" t="s">
        <v>66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321</v>
      </c>
      <c r="B185" s="63" t="s">
        <v>324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133</v>
      </c>
      <c r="L185" s="37" t="s">
        <v>46</v>
      </c>
      <c r="M185" s="38" t="s">
        <v>80</v>
      </c>
      <c r="N185" s="38"/>
      <c r="O185" s="37">
        <v>45</v>
      </c>
      <c r="P185" s="831" t="s">
        <v>325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66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133</v>
      </c>
      <c r="L186" s="37" t="s">
        <v>46</v>
      </c>
      <c r="M186" s="38" t="s">
        <v>80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30</v>
      </c>
      <c r="Y186" s="55">
        <f t="shared" si="27"/>
        <v>31.5</v>
      </c>
      <c r="Z186" s="41">
        <f t="shared" si="28"/>
        <v>8.1180000000000002E-2</v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29"/>
        <v>31.62857142857143</v>
      </c>
      <c r="BN186" s="78">
        <f t="shared" si="30"/>
        <v>33.21</v>
      </c>
      <c r="BO186" s="78">
        <f t="shared" si="31"/>
        <v>6.4935064935064929E-2</v>
      </c>
      <c r="BP186" s="78">
        <f t="shared" si="32"/>
        <v>6.8181818181818177E-2</v>
      </c>
    </row>
    <row r="187" spans="1:68" ht="27" hidden="1" customHeight="1" x14ac:dyDescent="0.25">
      <c r="A187" s="63" t="s">
        <v>327</v>
      </c>
      <c r="B187" s="63" t="s">
        <v>330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133</v>
      </c>
      <c r="L187" s="37" t="s">
        <v>46</v>
      </c>
      <c r="M187" s="38" t="s">
        <v>80</v>
      </c>
      <c r="N187" s="38"/>
      <c r="O187" s="37">
        <v>45</v>
      </c>
      <c r="P187" s="833" t="s">
        <v>331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332</v>
      </c>
      <c r="AG187" s="78"/>
      <c r="AJ187" s="84" t="s">
        <v>46</v>
      </c>
      <c r="AK187" s="84">
        <v>0</v>
      </c>
      <c r="BB187" s="271" t="s">
        <v>66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333</v>
      </c>
      <c r="B188" s="63" t="s">
        <v>334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66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333</v>
      </c>
      <c r="B189" s="63" t="s">
        <v>336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130</v>
      </c>
      <c r="L189" s="37" t="s">
        <v>46</v>
      </c>
      <c r="M189" s="38" t="s">
        <v>80</v>
      </c>
      <c r="N189" s="38"/>
      <c r="O189" s="37">
        <v>45</v>
      </c>
      <c r="P189" s="835" t="s">
        <v>337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335</v>
      </c>
      <c r="AG189" s="78"/>
      <c r="AJ189" s="84" t="s">
        <v>46</v>
      </c>
      <c r="AK189" s="84">
        <v>0</v>
      </c>
      <c r="BB189" s="275" t="s">
        <v>66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81</v>
      </c>
      <c r="L190" s="37" t="s">
        <v>46</v>
      </c>
      <c r="M190" s="38" t="s">
        <v>80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/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317</v>
      </c>
      <c r="AG190" s="78"/>
      <c r="AJ190" s="84" t="s">
        <v>46</v>
      </c>
      <c r="AK190" s="84">
        <v>0</v>
      </c>
      <c r="BB190" s="277" t="s">
        <v>66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130</v>
      </c>
      <c r="L191" s="37" t="s">
        <v>46</v>
      </c>
      <c r="M191" s="38" t="s">
        <v>80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342</v>
      </c>
      <c r="AG191" s="78"/>
      <c r="AJ191" s="84" t="s">
        <v>46</v>
      </c>
      <c r="AK191" s="84">
        <v>0</v>
      </c>
      <c r="BB191" s="279" t="s">
        <v>66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343</v>
      </c>
      <c r="B192" s="63" t="s">
        <v>344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81</v>
      </c>
      <c r="L192" s="37" t="s">
        <v>46</v>
      </c>
      <c r="M192" s="38" t="s">
        <v>80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5.04</v>
      </c>
      <c r="Y192" s="55">
        <f t="shared" si="27"/>
        <v>5.04</v>
      </c>
      <c r="Z192" s="41">
        <f>IFERROR(IF(Y192=0,"",ROUNDUP(Y192/H192,0)*0.00502),"")</f>
        <v>1.506E-2</v>
      </c>
      <c r="AA192" s="68" t="s">
        <v>46</v>
      </c>
      <c r="AB192" s="69" t="s">
        <v>46</v>
      </c>
      <c r="AC192" s="280" t="s">
        <v>323</v>
      </c>
      <c r="AG192" s="78"/>
      <c r="AJ192" s="84" t="s">
        <v>46</v>
      </c>
      <c r="AK192" s="84">
        <v>0</v>
      </c>
      <c r="BB192" s="281" t="s">
        <v>66</v>
      </c>
      <c r="BM192" s="78">
        <f t="shared" si="29"/>
        <v>5.34</v>
      </c>
      <c r="BN192" s="78">
        <f t="shared" si="30"/>
        <v>5.34</v>
      </c>
      <c r="BO192" s="78">
        <f t="shared" si="31"/>
        <v>1.2820512820512822E-2</v>
      </c>
      <c r="BP192" s="78">
        <f t="shared" si="32"/>
        <v>1.2820512820512822E-2</v>
      </c>
    </row>
    <row r="193" spans="1:68" ht="27" hidden="1" customHeight="1" x14ac:dyDescent="0.25">
      <c r="A193" s="63" t="s">
        <v>343</v>
      </c>
      <c r="B193" s="63" t="s">
        <v>345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81</v>
      </c>
      <c r="L193" s="37" t="s">
        <v>46</v>
      </c>
      <c r="M193" s="38" t="s">
        <v>80</v>
      </c>
      <c r="N193" s="38"/>
      <c r="O193" s="37">
        <v>45</v>
      </c>
      <c r="P193" s="839" t="s">
        <v>346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326</v>
      </c>
      <c r="AG193" s="78"/>
      <c r="AJ193" s="84" t="s">
        <v>46</v>
      </c>
      <c r="AK193" s="84">
        <v>0</v>
      </c>
      <c r="BB193" s="283" t="s">
        <v>66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347</v>
      </c>
      <c r="B194" s="63" t="s">
        <v>348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130</v>
      </c>
      <c r="L194" s="37" t="s">
        <v>46</v>
      </c>
      <c r="M194" s="38" t="s">
        <v>80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349</v>
      </c>
      <c r="AG194" s="78"/>
      <c r="AJ194" s="84" t="s">
        <v>46</v>
      </c>
      <c r="AK194" s="84">
        <v>0</v>
      </c>
      <c r="BB194" s="285" t="s">
        <v>66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350</v>
      </c>
      <c r="B195" s="63" t="s">
        <v>351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81</v>
      </c>
      <c r="L195" s="37" t="s">
        <v>46</v>
      </c>
      <c r="M195" s="38" t="s">
        <v>80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5.04</v>
      </c>
      <c r="Y195" s="55">
        <f t="shared" si="27"/>
        <v>5.04</v>
      </c>
      <c r="Z195" s="41">
        <f>IFERROR(IF(Y195=0,"",ROUNDUP(Y195/H195,0)*0.00502),"")</f>
        <v>1.506E-2</v>
      </c>
      <c r="AA195" s="68" t="s">
        <v>46</v>
      </c>
      <c r="AB195" s="69" t="s">
        <v>46</v>
      </c>
      <c r="AC195" s="286" t="s">
        <v>332</v>
      </c>
      <c r="AG195" s="78"/>
      <c r="AJ195" s="84" t="s">
        <v>46</v>
      </c>
      <c r="AK195" s="84">
        <v>0</v>
      </c>
      <c r="BB195" s="287" t="s">
        <v>66</v>
      </c>
      <c r="BM195" s="78">
        <f t="shared" si="29"/>
        <v>5.34</v>
      </c>
      <c r="BN195" s="78">
        <f t="shared" si="30"/>
        <v>5.34</v>
      </c>
      <c r="BO195" s="78">
        <f t="shared" si="31"/>
        <v>1.2820512820512822E-2</v>
      </c>
      <c r="BP195" s="78">
        <f t="shared" si="32"/>
        <v>1.2820512820512822E-2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34.571428571428569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36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0.30072000000000004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110.08000000000001</v>
      </c>
      <c r="Y197" s="43">
        <f>IFERROR(SUM(Y182:Y195),"0")</f>
        <v>115.08000000000001</v>
      </c>
      <c r="Z197" s="42"/>
      <c r="AA197" s="67"/>
      <c r="AB197" s="67"/>
      <c r="AC197" s="67"/>
    </row>
    <row r="198" spans="1:68" ht="14.25" hidden="1" customHeight="1" x14ac:dyDescent="0.25">
      <c r="A198" s="732" t="s">
        <v>85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352</v>
      </c>
      <c r="B199" s="63" t="s">
        <v>353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90</v>
      </c>
      <c r="L199" s="37" t="s">
        <v>46</v>
      </c>
      <c r="M199" s="38" t="s">
        <v>96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354</v>
      </c>
      <c r="AG199" s="78"/>
      <c r="AJ199" s="84" t="s">
        <v>46</v>
      </c>
      <c r="AK199" s="84">
        <v>0</v>
      </c>
      <c r="BB199" s="28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355</v>
      </c>
      <c r="B200" s="63" t="s">
        <v>356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90</v>
      </c>
      <c r="L200" s="37" t="s">
        <v>46</v>
      </c>
      <c r="M200" s="38" t="s">
        <v>96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357</v>
      </c>
      <c r="AG200" s="78"/>
      <c r="AJ200" s="84" t="s">
        <v>46</v>
      </c>
      <c r="AK200" s="84">
        <v>0</v>
      </c>
      <c r="BB200" s="29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358</v>
      </c>
      <c r="B201" s="63" t="s">
        <v>359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90</v>
      </c>
      <c r="L201" s="37" t="s">
        <v>46</v>
      </c>
      <c r="M201" s="38" t="s">
        <v>89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360</v>
      </c>
      <c r="AG201" s="78"/>
      <c r="AJ201" s="84" t="s">
        <v>46</v>
      </c>
      <c r="AK201" s="84">
        <v>0</v>
      </c>
      <c r="BB201" s="29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293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361</v>
      </c>
      <c r="B205" s="63" t="s">
        <v>362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364</v>
      </c>
      <c r="L205" s="37" t="s">
        <v>46</v>
      </c>
      <c r="M205" s="38" t="s">
        <v>298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363</v>
      </c>
      <c r="AG205" s="78"/>
      <c r="AJ205" s="84" t="s">
        <v>46</v>
      </c>
      <c r="AK205" s="84">
        <v>0</v>
      </c>
      <c r="BB205" s="295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365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366</v>
      </c>
      <c r="B209" s="63" t="s">
        <v>367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364</v>
      </c>
      <c r="L209" s="37" t="s">
        <v>46</v>
      </c>
      <c r="M209" s="38" t="s">
        <v>298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368</v>
      </c>
      <c r="AG209" s="78"/>
      <c r="AJ209" s="84" t="s">
        <v>46</v>
      </c>
      <c r="AK209" s="84">
        <v>0</v>
      </c>
      <c r="BB209" s="297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369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370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121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371</v>
      </c>
      <c r="B215" s="63" t="s">
        <v>372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124</v>
      </c>
      <c r="AG215" s="78"/>
      <c r="AJ215" s="84" t="s">
        <v>46</v>
      </c>
      <c r="AK215" s="84">
        <v>0</v>
      </c>
      <c r="BB215" s="299" t="s">
        <v>66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375</v>
      </c>
      <c r="AG216" s="78"/>
      <c r="AJ216" s="84" t="s">
        <v>46</v>
      </c>
      <c r="AK216" s="84">
        <v>0</v>
      </c>
      <c r="BB216" s="301" t="s">
        <v>66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378</v>
      </c>
      <c r="AG217" s="78"/>
      <c r="AJ217" s="84" t="s">
        <v>46</v>
      </c>
      <c r="AK217" s="84">
        <v>0</v>
      </c>
      <c r="BB217" s="303" t="s">
        <v>66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379</v>
      </c>
      <c r="B218" s="63" t="s">
        <v>380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126</v>
      </c>
      <c r="L218" s="37" t="s">
        <v>46</v>
      </c>
      <c r="M218" s="38" t="s">
        <v>89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381</v>
      </c>
      <c r="AG218" s="78"/>
      <c r="AJ218" s="84" t="s">
        <v>46</v>
      </c>
      <c r="AK218" s="84">
        <v>0</v>
      </c>
      <c r="BB218" s="305" t="s">
        <v>66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382</v>
      </c>
      <c r="B219" s="63" t="s">
        <v>383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126</v>
      </c>
      <c r="L219" s="37" t="s">
        <v>46</v>
      </c>
      <c r="M219" s="38" t="s">
        <v>89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384</v>
      </c>
      <c r="AG219" s="78"/>
      <c r="AJ219" s="84" t="s">
        <v>46</v>
      </c>
      <c r="AK219" s="84">
        <v>0</v>
      </c>
      <c r="BB219" s="307" t="s">
        <v>66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385</v>
      </c>
      <c r="B220" s="63" t="s">
        <v>386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126</v>
      </c>
      <c r="L220" s="37" t="s">
        <v>46</v>
      </c>
      <c r="M220" s="38" t="s">
        <v>89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387</v>
      </c>
      <c r="AG220" s="78"/>
      <c r="AJ220" s="84" t="s">
        <v>46</v>
      </c>
      <c r="AK220" s="84">
        <v>0</v>
      </c>
      <c r="BB220" s="309" t="s">
        <v>66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388</v>
      </c>
      <c r="B221" s="63" t="s">
        <v>389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126</v>
      </c>
      <c r="L221" s="37" t="s">
        <v>46</v>
      </c>
      <c r="M221" s="38" t="s">
        <v>89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390</v>
      </c>
      <c r="AG221" s="78"/>
      <c r="AJ221" s="84" t="s">
        <v>46</v>
      </c>
      <c r="AK221" s="84">
        <v>0</v>
      </c>
      <c r="BB221" s="311" t="s">
        <v>66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391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154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392</v>
      </c>
      <c r="B226" s="63" t="s">
        <v>393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394</v>
      </c>
      <c r="AG226" s="78"/>
      <c r="AJ226" s="84" t="s">
        <v>46</v>
      </c>
      <c r="AK226" s="84">
        <v>0</v>
      </c>
      <c r="BB226" s="313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76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395</v>
      </c>
      <c r="B230" s="63" t="s">
        <v>396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133</v>
      </c>
      <c r="L230" s="37" t="s">
        <v>46</v>
      </c>
      <c r="M230" s="38" t="s">
        <v>80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397</v>
      </c>
      <c r="AG230" s="78"/>
      <c r="AJ230" s="84" t="s">
        <v>46</v>
      </c>
      <c r="AK230" s="84">
        <v>0</v>
      </c>
      <c r="BB230" s="315" t="s">
        <v>66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398</v>
      </c>
      <c r="B231" s="63" t="s">
        <v>399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133</v>
      </c>
      <c r="L231" s="37" t="s">
        <v>46</v>
      </c>
      <c r="M231" s="38" t="s">
        <v>80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400</v>
      </c>
      <c r="AG231" s="78"/>
      <c r="AJ231" s="84" t="s">
        <v>46</v>
      </c>
      <c r="AK231" s="84">
        <v>0</v>
      </c>
      <c r="BB231" s="317" t="s">
        <v>66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401</v>
      </c>
      <c r="B232" s="63" t="s">
        <v>402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133</v>
      </c>
      <c r="L232" s="37" t="s">
        <v>46</v>
      </c>
      <c r="M232" s="38" t="s">
        <v>80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403</v>
      </c>
      <c r="AG232" s="78"/>
      <c r="AJ232" s="84" t="s">
        <v>46</v>
      </c>
      <c r="AK232" s="84">
        <v>0</v>
      </c>
      <c r="BB232" s="319" t="s">
        <v>66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404</v>
      </c>
      <c r="B233" s="63" t="s">
        <v>405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397</v>
      </c>
      <c r="AG234" s="78"/>
      <c r="AJ234" s="84" t="s">
        <v>46</v>
      </c>
      <c r="AK234" s="84">
        <v>0</v>
      </c>
      <c r="BB234" s="323" t="s">
        <v>66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409</v>
      </c>
      <c r="B235" s="63" t="s">
        <v>410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411</v>
      </c>
      <c r="AG235" s="78"/>
      <c r="AJ235" s="84" t="s">
        <v>46</v>
      </c>
      <c r="AK235" s="84">
        <v>0</v>
      </c>
      <c r="BB235" s="325" t="s">
        <v>66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400</v>
      </c>
      <c r="AG236" s="78"/>
      <c r="AJ236" s="84" t="s">
        <v>46</v>
      </c>
      <c r="AK236" s="84">
        <v>0</v>
      </c>
      <c r="BB236" s="327" t="s">
        <v>66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414</v>
      </c>
      <c r="B237" s="63" t="s">
        <v>415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416</v>
      </c>
      <c r="AG237" s="78"/>
      <c r="AJ237" s="84" t="s">
        <v>46</v>
      </c>
      <c r="AK237" s="84">
        <v>0</v>
      </c>
      <c r="BB237" s="329" t="s">
        <v>66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417</v>
      </c>
      <c r="B238" s="63" t="s">
        <v>418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81</v>
      </c>
      <c r="L238" s="37" t="s">
        <v>46</v>
      </c>
      <c r="M238" s="38" t="s">
        <v>80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419</v>
      </c>
      <c r="AG238" s="78"/>
      <c r="AJ238" s="84" t="s">
        <v>46</v>
      </c>
      <c r="AK238" s="84">
        <v>0</v>
      </c>
      <c r="BB238" s="331" t="s">
        <v>66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130</v>
      </c>
      <c r="L240" s="37" t="s">
        <v>46</v>
      </c>
      <c r="M240" s="38" t="s">
        <v>80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425</v>
      </c>
      <c r="AG240" s="78"/>
      <c r="AJ240" s="84" t="s">
        <v>46</v>
      </c>
      <c r="AK240" s="84">
        <v>0</v>
      </c>
      <c r="BB240" s="335" t="s">
        <v>66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426</v>
      </c>
      <c r="B241" s="63" t="s">
        <v>427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81</v>
      </c>
      <c r="L241" s="37" t="s">
        <v>46</v>
      </c>
      <c r="M241" s="38" t="s">
        <v>80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403</v>
      </c>
      <c r="AG241" s="78"/>
      <c r="AJ241" s="84" t="s">
        <v>46</v>
      </c>
      <c r="AK241" s="84">
        <v>0</v>
      </c>
      <c r="BB241" s="337" t="s">
        <v>66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90</v>
      </c>
      <c r="L242" s="37" t="s">
        <v>46</v>
      </c>
      <c r="M242" s="38" t="s">
        <v>80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403</v>
      </c>
      <c r="AG242" s="78"/>
      <c r="AJ242" s="84" t="s">
        <v>46</v>
      </c>
      <c r="AK242" s="84">
        <v>0</v>
      </c>
      <c r="BB242" s="339" t="s">
        <v>66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81</v>
      </c>
      <c r="L243" s="37" t="s">
        <v>46</v>
      </c>
      <c r="M243" s="38" t="s">
        <v>80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432</v>
      </c>
      <c r="AG243" s="78"/>
      <c r="AJ243" s="84" t="s">
        <v>46</v>
      </c>
      <c r="AK243" s="84">
        <v>0</v>
      </c>
      <c r="BB243" s="341" t="s">
        <v>66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2" t="s">
        <v>85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433</v>
      </c>
      <c r="B247" s="63" t="s">
        <v>434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126</v>
      </c>
      <c r="L247" s="37" t="s">
        <v>46</v>
      </c>
      <c r="M247" s="38" t="s">
        <v>96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435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126</v>
      </c>
      <c r="L248" s="37" t="s">
        <v>46</v>
      </c>
      <c r="M248" s="38" t="s">
        <v>96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438</v>
      </c>
      <c r="AG248" s="78"/>
      <c r="AJ248" s="84" t="s">
        <v>46</v>
      </c>
      <c r="AK248" s="84">
        <v>0</v>
      </c>
      <c r="BB248" s="34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133</v>
      </c>
      <c r="L249" s="37" t="s">
        <v>46</v>
      </c>
      <c r="M249" s="38" t="s">
        <v>96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441</v>
      </c>
      <c r="AG249" s="78"/>
      <c r="AJ249" s="84" t="s">
        <v>46</v>
      </c>
      <c r="AK249" s="84">
        <v>0</v>
      </c>
      <c r="BB249" s="34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133</v>
      </c>
      <c r="L250" s="37" t="s">
        <v>46</v>
      </c>
      <c r="M250" s="38" t="s">
        <v>96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444</v>
      </c>
      <c r="AG250" s="78"/>
      <c r="AJ250" s="84" t="s">
        <v>46</v>
      </c>
      <c r="AK250" s="84">
        <v>0</v>
      </c>
      <c r="BB250" s="34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445</v>
      </c>
      <c r="B251" s="63" t="s">
        <v>446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133</v>
      </c>
      <c r="L251" s="37" t="s">
        <v>46</v>
      </c>
      <c r="M251" s="38" t="s">
        <v>96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438</v>
      </c>
      <c r="AG251" s="78"/>
      <c r="AJ251" s="84" t="s">
        <v>46</v>
      </c>
      <c r="AK251" s="84">
        <v>0</v>
      </c>
      <c r="BB251" s="351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293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447</v>
      </c>
      <c r="B255" s="63" t="s">
        <v>448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364</v>
      </c>
      <c r="L255" s="37" t="s">
        <v>46</v>
      </c>
      <c r="M255" s="38" t="s">
        <v>298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449</v>
      </c>
      <c r="AG255" s="78"/>
      <c r="AJ255" s="84" t="s">
        <v>46</v>
      </c>
      <c r="AK255" s="84">
        <v>0</v>
      </c>
      <c r="BB255" s="35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450</v>
      </c>
      <c r="B256" s="63" t="s">
        <v>451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364</v>
      </c>
      <c r="L256" s="37" t="s">
        <v>46</v>
      </c>
      <c r="M256" s="38" t="s">
        <v>298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452</v>
      </c>
      <c r="AG256" s="78"/>
      <c r="AJ256" s="84" t="s">
        <v>46</v>
      </c>
      <c r="AK256" s="84">
        <v>0</v>
      </c>
      <c r="BB256" s="35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453</v>
      </c>
      <c r="B257" s="63" t="s">
        <v>454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364</v>
      </c>
      <c r="L257" s="37" t="s">
        <v>46</v>
      </c>
      <c r="M257" s="38" t="s">
        <v>298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452</v>
      </c>
      <c r="AG257" s="78"/>
      <c r="AJ257" s="84" t="s">
        <v>46</v>
      </c>
      <c r="AK257" s="84">
        <v>0</v>
      </c>
      <c r="BB257" s="35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455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456</v>
      </c>
      <c r="B261" s="63" t="s">
        <v>457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364</v>
      </c>
      <c r="L261" s="37" t="s">
        <v>46</v>
      </c>
      <c r="M261" s="38" t="s">
        <v>298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452</v>
      </c>
      <c r="AG261" s="78"/>
      <c r="AJ261" s="84" t="s">
        <v>46</v>
      </c>
      <c r="AK261" s="84">
        <v>0</v>
      </c>
      <c r="BB261" s="35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458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121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459</v>
      </c>
      <c r="B266" s="63" t="s">
        <v>460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461</v>
      </c>
      <c r="AG266" s="78"/>
      <c r="AJ266" s="84" t="s">
        <v>46</v>
      </c>
      <c r="AK266" s="84">
        <v>0</v>
      </c>
      <c r="BB266" s="36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462</v>
      </c>
      <c r="B267" s="63" t="s">
        <v>463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461</v>
      </c>
      <c r="AG267" s="78"/>
      <c r="AJ267" s="84" t="s">
        <v>46</v>
      </c>
      <c r="AK267" s="84">
        <v>0</v>
      </c>
      <c r="BB267" s="36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154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464</v>
      </c>
      <c r="B271" s="63" t="s">
        <v>465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126</v>
      </c>
      <c r="L271" s="37" t="s">
        <v>46</v>
      </c>
      <c r="M271" s="38" t="s">
        <v>125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466</v>
      </c>
      <c r="AG271" s="78"/>
      <c r="AJ271" s="84" t="s">
        <v>46</v>
      </c>
      <c r="AK271" s="84">
        <v>0</v>
      </c>
      <c r="BB271" s="36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467</v>
      </c>
      <c r="B272" s="63" t="s">
        <v>468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90</v>
      </c>
      <c r="L272" s="37" t="s">
        <v>46</v>
      </c>
      <c r="M272" s="38" t="s">
        <v>125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466</v>
      </c>
      <c r="AG272" s="78"/>
      <c r="AJ272" s="84" t="s">
        <v>46</v>
      </c>
      <c r="AK272" s="84">
        <v>0</v>
      </c>
      <c r="BB272" s="36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76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471</v>
      </c>
      <c r="AG276" s="78"/>
      <c r="AJ276" s="84" t="s">
        <v>46</v>
      </c>
      <c r="AK276" s="84">
        <v>0</v>
      </c>
      <c r="BB276" s="369" t="s">
        <v>66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133</v>
      </c>
      <c r="L277" s="37" t="s">
        <v>46</v>
      </c>
      <c r="M277" s="38" t="s">
        <v>80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474</v>
      </c>
      <c r="AG277" s="78"/>
      <c r="AJ277" s="84" t="s">
        <v>46</v>
      </c>
      <c r="AK277" s="84">
        <v>0</v>
      </c>
      <c r="BB277" s="371" t="s">
        <v>66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133</v>
      </c>
      <c r="L278" s="37" t="s">
        <v>46</v>
      </c>
      <c r="M278" s="38" t="s">
        <v>80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477</v>
      </c>
      <c r="AG278" s="78"/>
      <c r="AJ278" s="84" t="s">
        <v>46</v>
      </c>
      <c r="AK278" s="84">
        <v>0</v>
      </c>
      <c r="BB278" s="373" t="s">
        <v>66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478</v>
      </c>
      <c r="B279" s="63" t="s">
        <v>479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133</v>
      </c>
      <c r="L279" s="37" t="s">
        <v>46</v>
      </c>
      <c r="M279" s="38" t="s">
        <v>80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480</v>
      </c>
      <c r="AG279" s="78"/>
      <c r="AJ279" s="84" t="s">
        <v>46</v>
      </c>
      <c r="AK279" s="84">
        <v>0</v>
      </c>
      <c r="BB279" s="375" t="s">
        <v>66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471</v>
      </c>
      <c r="AG280" s="78"/>
      <c r="AJ280" s="84" t="s">
        <v>46</v>
      </c>
      <c r="AK280" s="84">
        <v>0</v>
      </c>
      <c r="BB280" s="377" t="s">
        <v>66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483</v>
      </c>
      <c r="B281" s="63" t="s">
        <v>484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81</v>
      </c>
      <c r="L281" s="37" t="s">
        <v>46</v>
      </c>
      <c r="M281" s="38" t="s">
        <v>80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474</v>
      </c>
      <c r="AG281" s="78"/>
      <c r="AJ281" s="84" t="s">
        <v>46</v>
      </c>
      <c r="AK281" s="84">
        <v>0</v>
      </c>
      <c r="BB281" s="379" t="s">
        <v>66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81</v>
      </c>
      <c r="L282" s="37" t="s">
        <v>46</v>
      </c>
      <c r="M282" s="38" t="s">
        <v>80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477</v>
      </c>
      <c r="AG282" s="78"/>
      <c r="AJ282" s="84" t="s">
        <v>46</v>
      </c>
      <c r="AK282" s="84">
        <v>0</v>
      </c>
      <c r="BB282" s="381" t="s">
        <v>66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81</v>
      </c>
      <c r="L283" s="37" t="s">
        <v>46</v>
      </c>
      <c r="M283" s="38" t="s">
        <v>80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480</v>
      </c>
      <c r="AG283" s="78"/>
      <c r="AJ283" s="84" t="s">
        <v>46</v>
      </c>
      <c r="AK283" s="84">
        <v>0</v>
      </c>
      <c r="BB283" s="383" t="s">
        <v>66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27.777777777777779</v>
      </c>
      <c r="Y284" s="43">
        <f>IFERROR(Y276/H276,"0")+IFERROR(Y277/H277,"0")+IFERROR(Y278/H278,"0")+IFERROR(Y279/H279,"0")+IFERROR(Y280/H280,"0")+IFERROR(Y281/H281,"0")+IFERROR(Y282/H282,"0")+IFERROR(Y283/H283,"0")</f>
        <v>30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0.27060000000000001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150</v>
      </c>
      <c r="Y285" s="43">
        <f>IFERROR(SUM(Y276:Y283),"0")</f>
        <v>162</v>
      </c>
      <c r="Z285" s="42"/>
      <c r="AA285" s="67"/>
      <c r="AB285" s="67"/>
      <c r="AC285" s="67"/>
    </row>
    <row r="286" spans="1:68" ht="14.25" hidden="1" customHeight="1" x14ac:dyDescent="0.25">
      <c r="A286" s="732" t="s">
        <v>85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489</v>
      </c>
      <c r="B287" s="63" t="s">
        <v>490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126</v>
      </c>
      <c r="L287" s="37" t="s">
        <v>46</v>
      </c>
      <c r="M287" s="38" t="s">
        <v>89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491</v>
      </c>
      <c r="AG287" s="78"/>
      <c r="AJ287" s="84" t="s">
        <v>46</v>
      </c>
      <c r="AK287" s="84">
        <v>0</v>
      </c>
      <c r="BB287" s="385" t="s">
        <v>66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126</v>
      </c>
      <c r="L288" s="37" t="s">
        <v>46</v>
      </c>
      <c r="M288" s="38" t="s">
        <v>89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497</v>
      </c>
      <c r="AG289" s="78"/>
      <c r="AJ289" s="84" t="s">
        <v>46</v>
      </c>
      <c r="AK289" s="84">
        <v>0</v>
      </c>
      <c r="BB289" s="389" t="s">
        <v>66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491</v>
      </c>
      <c r="AG290" s="78"/>
      <c r="AJ290" s="84" t="s">
        <v>46</v>
      </c>
      <c r="AK290" s="84">
        <v>0</v>
      </c>
      <c r="BB290" s="391" t="s">
        <v>66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497</v>
      </c>
      <c r="AG291" s="78"/>
      <c r="AJ291" s="84" t="s">
        <v>46</v>
      </c>
      <c r="AK291" s="84">
        <v>0</v>
      </c>
      <c r="BB291" s="393" t="s">
        <v>66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133</v>
      </c>
      <c r="L292" s="37" t="s">
        <v>46</v>
      </c>
      <c r="M292" s="38" t="s">
        <v>89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66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497</v>
      </c>
      <c r="AG293" s="78"/>
      <c r="AJ293" s="84" t="s">
        <v>46</v>
      </c>
      <c r="AK293" s="84">
        <v>0</v>
      </c>
      <c r="BB293" s="397" t="s">
        <v>66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126</v>
      </c>
      <c r="L294" s="37" t="s">
        <v>46</v>
      </c>
      <c r="M294" s="38" t="s">
        <v>89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509</v>
      </c>
      <c r="B295" s="63" t="s">
        <v>510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497</v>
      </c>
      <c r="AG295" s="78"/>
      <c r="AJ295" s="84" t="s">
        <v>46</v>
      </c>
      <c r="AK295" s="84">
        <v>0</v>
      </c>
      <c r="BB295" s="401" t="s">
        <v>66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96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513</v>
      </c>
      <c r="AG296" s="78"/>
      <c r="AJ296" s="84" t="s">
        <v>46</v>
      </c>
      <c r="AK296" s="84">
        <v>0</v>
      </c>
      <c r="BB296" s="403" t="s">
        <v>66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514</v>
      </c>
      <c r="B297" s="63" t="s">
        <v>515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90</v>
      </c>
      <c r="L297" s="37" t="s">
        <v>46</v>
      </c>
      <c r="M297" s="38" t="s">
        <v>89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516</v>
      </c>
      <c r="AG297" s="78"/>
      <c r="AJ297" s="84" t="s">
        <v>46</v>
      </c>
      <c r="AK297" s="84">
        <v>0</v>
      </c>
      <c r="BB297" s="405" t="s">
        <v>66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517</v>
      </c>
      <c r="B298" s="63" t="s">
        <v>518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519</v>
      </c>
      <c r="AG298" s="78"/>
      <c r="AJ298" s="84" t="s">
        <v>46</v>
      </c>
      <c r="AK298" s="84">
        <v>0</v>
      </c>
      <c r="BB298" s="407" t="s">
        <v>66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2" t="s">
        <v>172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520</v>
      </c>
      <c r="B302" s="63" t="s">
        <v>521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90</v>
      </c>
      <c r="L302" s="37" t="s">
        <v>46</v>
      </c>
      <c r="M302" s="38" t="s">
        <v>96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522</v>
      </c>
      <c r="AG302" s="78"/>
      <c r="AJ302" s="84" t="s">
        <v>46</v>
      </c>
      <c r="AK302" s="84">
        <v>0</v>
      </c>
      <c r="BB302" s="409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90</v>
      </c>
      <c r="L303" s="37" t="s">
        <v>46</v>
      </c>
      <c r="M303" s="38" t="s">
        <v>89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525</v>
      </c>
      <c r="AG303" s="78"/>
      <c r="AJ303" s="84" t="s">
        <v>46</v>
      </c>
      <c r="AK303" s="84">
        <v>0</v>
      </c>
      <c r="BB303" s="411" t="s">
        <v>66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1" t="s">
        <v>526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121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126</v>
      </c>
      <c r="L308" s="37" t="s">
        <v>46</v>
      </c>
      <c r="M308" s="38" t="s">
        <v>125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126</v>
      </c>
      <c r="L309" s="37" t="s">
        <v>46</v>
      </c>
      <c r="M309" s="38" t="s">
        <v>125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126</v>
      </c>
      <c r="L310" s="37" t="s">
        <v>46</v>
      </c>
      <c r="M310" s="38" t="s">
        <v>125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387</v>
      </c>
      <c r="AG310" s="78"/>
      <c r="AJ310" s="84" t="s">
        <v>46</v>
      </c>
      <c r="AK310" s="84">
        <v>0</v>
      </c>
      <c r="BB310" s="417" t="s">
        <v>66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535</v>
      </c>
      <c r="B311" s="63" t="s">
        <v>536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529</v>
      </c>
      <c r="AG311" s="78"/>
      <c r="AJ311" s="84" t="s">
        <v>46</v>
      </c>
      <c r="AK311" s="84">
        <v>0</v>
      </c>
      <c r="BB311" s="419" t="s">
        <v>66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537</v>
      </c>
      <c r="B312" s="63" t="s">
        <v>538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133</v>
      </c>
      <c r="L312" s="37" t="s">
        <v>46</v>
      </c>
      <c r="M312" s="38" t="s">
        <v>125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539</v>
      </c>
      <c r="AG312" s="78"/>
      <c r="AJ312" s="84" t="s">
        <v>46</v>
      </c>
      <c r="AK312" s="84">
        <v>0</v>
      </c>
      <c r="BB312" s="421" t="s">
        <v>66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540</v>
      </c>
      <c r="B313" s="63" t="s">
        <v>541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90</v>
      </c>
      <c r="L313" s="37" t="s">
        <v>46</v>
      </c>
      <c r="M313" s="38" t="s">
        <v>125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542</v>
      </c>
      <c r="AG313" s="78"/>
      <c r="AJ313" s="84" t="s">
        <v>46</v>
      </c>
      <c r="AK313" s="84">
        <v>0</v>
      </c>
      <c r="BB313" s="423" t="s">
        <v>66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543</v>
      </c>
      <c r="B314" s="63" t="s">
        <v>544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133</v>
      </c>
      <c r="L314" s="37" t="s">
        <v>46</v>
      </c>
      <c r="M314" s="38" t="s">
        <v>125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387</v>
      </c>
      <c r="AG314" s="78"/>
      <c r="AJ314" s="84" t="s">
        <v>46</v>
      </c>
      <c r="AK314" s="84">
        <v>0</v>
      </c>
      <c r="BB314" s="425" t="s">
        <v>66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154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545</v>
      </c>
      <c r="B318" s="63" t="s">
        <v>546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81</v>
      </c>
      <c r="L318" s="37" t="s">
        <v>46</v>
      </c>
      <c r="M318" s="38" t="s">
        <v>89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547</v>
      </c>
      <c r="AG318" s="78"/>
      <c r="AJ318" s="84" t="s">
        <v>46</v>
      </c>
      <c r="AK318" s="84">
        <v>0</v>
      </c>
      <c r="BB318" s="42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548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549</v>
      </c>
      <c r="B322" s="63" t="s">
        <v>550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364</v>
      </c>
      <c r="L322" s="37" t="s">
        <v>46</v>
      </c>
      <c r="M322" s="38" t="s">
        <v>298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551</v>
      </c>
      <c r="AG322" s="78"/>
      <c r="AJ322" s="84" t="s">
        <v>46</v>
      </c>
      <c r="AK322" s="84">
        <v>0</v>
      </c>
      <c r="BB322" s="429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365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552</v>
      </c>
      <c r="B326" s="63" t="s">
        <v>553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364</v>
      </c>
      <c r="L326" s="37" t="s">
        <v>46</v>
      </c>
      <c r="M326" s="38" t="s">
        <v>298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554</v>
      </c>
      <c r="AG326" s="78"/>
      <c r="AJ326" s="84" t="s">
        <v>46</v>
      </c>
      <c r="AK326" s="84">
        <v>0</v>
      </c>
      <c r="BB326" s="431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555</v>
      </c>
      <c r="B327" s="63" t="s">
        <v>556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364</v>
      </c>
      <c r="L327" s="37" t="s">
        <v>46</v>
      </c>
      <c r="M327" s="38" t="s">
        <v>298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554</v>
      </c>
      <c r="AG327" s="78"/>
      <c r="AJ327" s="84" t="s">
        <v>46</v>
      </c>
      <c r="AK327" s="84">
        <v>0</v>
      </c>
      <c r="BB327" s="433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557</v>
      </c>
      <c r="B328" s="63" t="s">
        <v>558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364</v>
      </c>
      <c r="L328" s="37" t="s">
        <v>46</v>
      </c>
      <c r="M328" s="38" t="s">
        <v>298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554</v>
      </c>
      <c r="AG328" s="78"/>
      <c r="AJ328" s="84" t="s">
        <v>46</v>
      </c>
      <c r="AK328" s="84">
        <v>0</v>
      </c>
      <c r="BB328" s="435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559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121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126</v>
      </c>
      <c r="L333" s="37" t="s">
        <v>46</v>
      </c>
      <c r="M333" s="38" t="s">
        <v>125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563</v>
      </c>
      <c r="B334" s="63" t="s">
        <v>564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126</v>
      </c>
      <c r="L334" s="37" t="s">
        <v>46</v>
      </c>
      <c r="M334" s="38" t="s">
        <v>125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565</v>
      </c>
      <c r="AG334" s="78"/>
      <c r="AJ334" s="84" t="s">
        <v>46</v>
      </c>
      <c r="AK334" s="84">
        <v>0</v>
      </c>
      <c r="BB334" s="43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126</v>
      </c>
      <c r="L335" s="37" t="s">
        <v>46</v>
      </c>
      <c r="M335" s="38" t="s">
        <v>125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20</v>
      </c>
      <c r="Y335" s="55">
        <f>IFERROR(IF(X335="",0,CEILING((X335/$H335),1)*$H335),"")</f>
        <v>21.6</v>
      </c>
      <c r="Z335" s="41">
        <f>IFERROR(IF(Y335=0,"",ROUNDUP(Y335/H335,0)*0.01898),"")</f>
        <v>3.7960000000000001E-2</v>
      </c>
      <c r="AA335" s="68" t="s">
        <v>46</v>
      </c>
      <c r="AB335" s="69" t="s">
        <v>46</v>
      </c>
      <c r="AC335" s="440" t="s">
        <v>568</v>
      </c>
      <c r="AG335" s="78"/>
      <c r="AJ335" s="84" t="s">
        <v>46</v>
      </c>
      <c r="AK335" s="84">
        <v>0</v>
      </c>
      <c r="BB335" s="441" t="s">
        <v>66</v>
      </c>
      <c r="BM335" s="78">
        <f>IFERROR(X335*I335/H335,"0")</f>
        <v>20.75925925925926</v>
      </c>
      <c r="BN335" s="78">
        <f>IFERROR(Y335*I335/H335,"0")</f>
        <v>22.42</v>
      </c>
      <c r="BO335" s="78">
        <f>IFERROR(1/J335*(X335/H335),"0")</f>
        <v>2.8935185185185182E-2</v>
      </c>
      <c r="BP335" s="78">
        <f>IFERROR(1/J335*(Y335/H335),"0")</f>
        <v>3.125E-2</v>
      </c>
    </row>
    <row r="336" spans="1:68" ht="27" hidden="1" customHeight="1" x14ac:dyDescent="0.25">
      <c r="A336" s="63" t="s">
        <v>569</v>
      </c>
      <c r="B336" s="63" t="s">
        <v>570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133</v>
      </c>
      <c r="L336" s="37" t="s">
        <v>46</v>
      </c>
      <c r="M336" s="38" t="s">
        <v>125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571</v>
      </c>
      <c r="AG336" s="78"/>
      <c r="AJ336" s="84" t="s">
        <v>46</v>
      </c>
      <c r="AK336" s="84">
        <v>0</v>
      </c>
      <c r="BB336" s="44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572</v>
      </c>
      <c r="B337" s="63" t="s">
        <v>573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133</v>
      </c>
      <c r="L337" s="37" t="s">
        <v>46</v>
      </c>
      <c r="M337" s="38" t="s">
        <v>125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574</v>
      </c>
      <c r="AG337" s="78"/>
      <c r="AJ337" s="84" t="s">
        <v>46</v>
      </c>
      <c r="AK337" s="84">
        <v>0</v>
      </c>
      <c r="BB337" s="44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1.8518518518518516</v>
      </c>
      <c r="Y338" s="43">
        <f>IFERROR(Y333/H333,"0")+IFERROR(Y334/H334,"0")+IFERROR(Y335/H335,"0")+IFERROR(Y336/H336,"0")+IFERROR(Y337/H337,"0")</f>
        <v>2</v>
      </c>
      <c r="Z338" s="43">
        <f>IFERROR(IF(Z333="",0,Z333),"0")+IFERROR(IF(Z334="",0,Z334),"0")+IFERROR(IF(Z335="",0,Z335),"0")+IFERROR(IF(Z336="",0,Z336),"0")+IFERROR(IF(Z337="",0,Z337),"0")</f>
        <v>3.7960000000000001E-2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20</v>
      </c>
      <c r="Y339" s="43">
        <f>IFERROR(SUM(Y333:Y337),"0")</f>
        <v>21.6</v>
      </c>
      <c r="Z339" s="42"/>
      <c r="AA339" s="67"/>
      <c r="AB339" s="67"/>
      <c r="AC339" s="67"/>
    </row>
    <row r="340" spans="1:68" ht="16.5" hidden="1" customHeight="1" x14ac:dyDescent="0.25">
      <c r="A340" s="731" t="s">
        <v>575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85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576</v>
      </c>
      <c r="B342" s="63" t="s">
        <v>577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90</v>
      </c>
      <c r="L342" s="37" t="s">
        <v>46</v>
      </c>
      <c r="M342" s="38" t="s">
        <v>89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578</v>
      </c>
      <c r="AG342" s="78"/>
      <c r="AJ342" s="84" t="s">
        <v>46</v>
      </c>
      <c r="AK342" s="84">
        <v>0</v>
      </c>
      <c r="BB342" s="44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579</v>
      </c>
      <c r="B343" s="63" t="s">
        <v>580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90</v>
      </c>
      <c r="L343" s="37" t="s">
        <v>46</v>
      </c>
      <c r="M343" s="38" t="s">
        <v>96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581</v>
      </c>
      <c r="AG343" s="78"/>
      <c r="AJ343" s="84" t="s">
        <v>46</v>
      </c>
      <c r="AK343" s="84">
        <v>0</v>
      </c>
      <c r="BB343" s="44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582</v>
      </c>
      <c r="B344" s="63" t="s">
        <v>583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90</v>
      </c>
      <c r="L344" s="37" t="s">
        <v>46</v>
      </c>
      <c r="M344" s="38" t="s">
        <v>89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578</v>
      </c>
      <c r="AG344" s="78"/>
      <c r="AJ344" s="84" t="s">
        <v>46</v>
      </c>
      <c r="AK344" s="84">
        <v>0</v>
      </c>
      <c r="BB344" s="45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584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76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585</v>
      </c>
      <c r="B349" s="63" t="s">
        <v>586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419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587</v>
      </c>
      <c r="B350" s="63" t="s">
        <v>588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81</v>
      </c>
      <c r="L350" s="37" t="s">
        <v>46</v>
      </c>
      <c r="M350" s="38" t="s">
        <v>80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589</v>
      </c>
      <c r="AG350" s="78"/>
      <c r="AJ350" s="84" t="s">
        <v>46</v>
      </c>
      <c r="AK350" s="84">
        <v>0</v>
      </c>
      <c r="BB350" s="455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81</v>
      </c>
      <c r="L351" s="37" t="s">
        <v>46</v>
      </c>
      <c r="M351" s="38" t="s">
        <v>80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592</v>
      </c>
      <c r="AG351" s="78"/>
      <c r="AJ351" s="84" t="s">
        <v>46</v>
      </c>
      <c r="AK351" s="84">
        <v>0</v>
      </c>
      <c r="BB351" s="45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593</v>
      </c>
      <c r="B352" s="63" t="s">
        <v>594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90</v>
      </c>
      <c r="L352" s="37" t="s">
        <v>46</v>
      </c>
      <c r="M352" s="38" t="s">
        <v>80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595</v>
      </c>
      <c r="AG352" s="78"/>
      <c r="AJ352" s="84" t="s">
        <v>46</v>
      </c>
      <c r="AK352" s="84">
        <v>0</v>
      </c>
      <c r="BB352" s="459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596</v>
      </c>
      <c r="B353" s="63" t="s">
        <v>597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81</v>
      </c>
      <c r="L353" s="37" t="s">
        <v>46</v>
      </c>
      <c r="M353" s="38" t="s">
        <v>80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598</v>
      </c>
      <c r="AG353" s="78"/>
      <c r="AJ353" s="84" t="s">
        <v>46</v>
      </c>
      <c r="AK353" s="84">
        <v>0</v>
      </c>
      <c r="BB353" s="46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85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599</v>
      </c>
      <c r="B357" s="63" t="s">
        <v>600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133</v>
      </c>
      <c r="L357" s="37" t="s">
        <v>46</v>
      </c>
      <c r="M357" s="38" t="s">
        <v>89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601</v>
      </c>
      <c r="AG357" s="78"/>
      <c r="AJ357" s="84" t="s">
        <v>46</v>
      </c>
      <c r="AK357" s="84">
        <v>0</v>
      </c>
      <c r="BB357" s="46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602</v>
      </c>
      <c r="B358" s="63" t="s">
        <v>603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133</v>
      </c>
      <c r="L358" s="37" t="s">
        <v>46</v>
      </c>
      <c r="M358" s="38" t="s">
        <v>89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604</v>
      </c>
      <c r="AG358" s="78"/>
      <c r="AJ358" s="84" t="s">
        <v>46</v>
      </c>
      <c r="AK358" s="84">
        <v>0</v>
      </c>
      <c r="BB358" s="465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605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121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606</v>
      </c>
      <c r="B363" s="63" t="s">
        <v>607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378</v>
      </c>
      <c r="AG363" s="78"/>
      <c r="AJ363" s="84" t="s">
        <v>46</v>
      </c>
      <c r="AK363" s="84">
        <v>0</v>
      </c>
      <c r="BB363" s="46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126</v>
      </c>
      <c r="L364" s="37" t="s">
        <v>46</v>
      </c>
      <c r="M364" s="38" t="s">
        <v>89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7</v>
      </c>
      <c r="Y364" s="55">
        <f>IFERROR(IF(X364="",0,CEILING((X364/$H364),1)*$H364),"")</f>
        <v>7.8</v>
      </c>
      <c r="Z364" s="41">
        <f>IFERROR(IF(Y364=0,"",ROUNDUP(Y364/H364,0)*0.01898),"")</f>
        <v>1.898E-2</v>
      </c>
      <c r="AA364" s="68" t="s">
        <v>46</v>
      </c>
      <c r="AB364" s="69" t="s">
        <v>46</v>
      </c>
      <c r="AC364" s="468" t="s">
        <v>610</v>
      </c>
      <c r="AG364" s="78"/>
      <c r="AJ364" s="84" t="s">
        <v>46</v>
      </c>
      <c r="AK364" s="84">
        <v>0</v>
      </c>
      <c r="BB364" s="469" t="s">
        <v>66</v>
      </c>
      <c r="BM364" s="78">
        <f>IFERROR(X364*I364/H364,"0")</f>
        <v>7.3679487179487193</v>
      </c>
      <c r="BN364" s="78">
        <f>IFERROR(Y364*I364/H364,"0")</f>
        <v>8.2100000000000009</v>
      </c>
      <c r="BO364" s="78">
        <f>IFERROR(1/J364*(X364/H364),"0")</f>
        <v>1.4022435897435898E-2</v>
      </c>
      <c r="BP364" s="78">
        <f>IFERROR(1/J364*(Y364/H364),"0")</f>
        <v>1.5625E-2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126</v>
      </c>
      <c r="L365" s="37" t="s">
        <v>46</v>
      </c>
      <c r="M365" s="38" t="s">
        <v>89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613</v>
      </c>
      <c r="AG365" s="78"/>
      <c r="AJ365" s="84" t="s">
        <v>46</v>
      </c>
      <c r="AK365" s="84">
        <v>0</v>
      </c>
      <c r="BB365" s="47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0.89743589743589747</v>
      </c>
      <c r="Y366" s="43">
        <f>IFERROR(Y363/H363,"0")+IFERROR(Y364/H364,"0")+IFERROR(Y365/H365,"0")</f>
        <v>1</v>
      </c>
      <c r="Z366" s="43">
        <f>IFERROR(IF(Z363="",0,Z363),"0")+IFERROR(IF(Z364="",0,Z364),"0")+IFERROR(IF(Z365="",0,Z365),"0")</f>
        <v>1.898E-2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7</v>
      </c>
      <c r="Y367" s="43">
        <f>IFERROR(SUM(Y363:Y365),"0")</f>
        <v>7.8</v>
      </c>
      <c r="Z367" s="42"/>
      <c r="AA367" s="67"/>
      <c r="AB367" s="67"/>
      <c r="AC367" s="67"/>
    </row>
    <row r="368" spans="1:68" ht="16.5" hidden="1" customHeight="1" x14ac:dyDescent="0.25">
      <c r="A368" s="731" t="s">
        <v>614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121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615</v>
      </c>
      <c r="B370" s="63" t="s">
        <v>616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125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66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126</v>
      </c>
      <c r="L371" s="37" t="s">
        <v>46</v>
      </c>
      <c r="M371" s="38" t="s">
        <v>125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620</v>
      </c>
      <c r="AG371" s="78"/>
      <c r="AJ371" s="84" t="s">
        <v>46</v>
      </c>
      <c r="AK371" s="84">
        <v>0</v>
      </c>
      <c r="BB371" s="475" t="s">
        <v>66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621</v>
      </c>
      <c r="B372" s="63" t="s">
        <v>622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126</v>
      </c>
      <c r="L372" s="37" t="s">
        <v>46</v>
      </c>
      <c r="M372" s="38" t="s">
        <v>125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66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126</v>
      </c>
      <c r="L373" s="37" t="s">
        <v>46</v>
      </c>
      <c r="M373" s="38" t="s">
        <v>89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626</v>
      </c>
      <c r="AG373" s="78"/>
      <c r="AJ373" s="84" t="s">
        <v>46</v>
      </c>
      <c r="AK373" s="84">
        <v>0</v>
      </c>
      <c r="BB373" s="479" t="s">
        <v>66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133</v>
      </c>
      <c r="L374" s="37" t="s">
        <v>46</v>
      </c>
      <c r="M374" s="38" t="s">
        <v>125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620</v>
      </c>
      <c r="AG374" s="78"/>
      <c r="AJ374" s="84" t="s">
        <v>46</v>
      </c>
      <c r="AK374" s="84">
        <v>0</v>
      </c>
      <c r="BB374" s="481" t="s">
        <v>66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133</v>
      </c>
      <c r="L375" s="37" t="s">
        <v>46</v>
      </c>
      <c r="M375" s="38" t="s">
        <v>125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631</v>
      </c>
      <c r="AG375" s="78"/>
      <c r="AJ375" s="84" t="s">
        <v>46</v>
      </c>
      <c r="AK375" s="84">
        <v>0</v>
      </c>
      <c r="BB375" s="483" t="s">
        <v>66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76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25</v>
      </c>
      <c r="Y379" s="55">
        <f t="shared" ref="Y379:Y385" si="65">IFERROR(IF(X379="",0,CEILING((X379/$H379),1)*$H379),"")</f>
        <v>25.200000000000003</v>
      </c>
      <c r="Z379" s="41">
        <f>IFERROR(IF(Y379=0,"",ROUNDUP(Y379/H379,0)*0.00902),"")</f>
        <v>5.4120000000000001E-2</v>
      </c>
      <c r="AA379" s="68" t="s">
        <v>46</v>
      </c>
      <c r="AB379" s="69" t="s">
        <v>46</v>
      </c>
      <c r="AC379" s="484" t="s">
        <v>634</v>
      </c>
      <c r="AG379" s="78"/>
      <c r="AJ379" s="84" t="s">
        <v>46</v>
      </c>
      <c r="AK379" s="84">
        <v>0</v>
      </c>
      <c r="BB379" s="485" t="s">
        <v>66</v>
      </c>
      <c r="BM379" s="78">
        <f t="shared" ref="BM379:BM385" si="66">IFERROR(X379*I379/H379,"0")</f>
        <v>26.488095238095237</v>
      </c>
      <c r="BN379" s="78">
        <f t="shared" ref="BN379:BN385" si="67">IFERROR(Y379*I379/H379,"0")</f>
        <v>26.700000000000003</v>
      </c>
      <c r="BO379" s="78">
        <f t="shared" ref="BO379:BO385" si="68">IFERROR(1/J379*(X379/H379),"0")</f>
        <v>4.5093795093795096E-2</v>
      </c>
      <c r="BP379" s="78">
        <f t="shared" ref="BP379:BP385" si="69">IFERROR(1/J379*(Y379/H379),"0")</f>
        <v>4.5454545454545456E-2</v>
      </c>
    </row>
    <row r="380" spans="1:68" ht="27" customHeight="1" x14ac:dyDescent="0.25">
      <c r="A380" s="63" t="s">
        <v>635</v>
      </c>
      <c r="B380" s="63" t="s">
        <v>636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20</v>
      </c>
      <c r="Y380" s="55">
        <f t="shared" si="65"/>
        <v>21</v>
      </c>
      <c r="Z380" s="41">
        <f>IFERROR(IF(Y380=0,"",ROUNDUP(Y380/H380,0)*0.00902),"")</f>
        <v>4.5100000000000001E-2</v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66"/>
        <v>21.19047619047619</v>
      </c>
      <c r="BN380" s="78">
        <f t="shared" si="67"/>
        <v>22.25</v>
      </c>
      <c r="BO380" s="78">
        <f t="shared" si="68"/>
        <v>3.6075036075036072E-2</v>
      </c>
      <c r="BP380" s="78">
        <f t="shared" si="69"/>
        <v>3.787878787878788E-2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81</v>
      </c>
      <c r="L382" s="37" t="s">
        <v>46</v>
      </c>
      <c r="M382" s="38" t="s">
        <v>80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637</v>
      </c>
      <c r="AG382" s="78"/>
      <c r="AJ382" s="84" t="s">
        <v>46</v>
      </c>
      <c r="AK382" s="84">
        <v>0</v>
      </c>
      <c r="BB382" s="491" t="s">
        <v>66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81</v>
      </c>
      <c r="L383" s="37" t="s">
        <v>46</v>
      </c>
      <c r="M383" s="38" t="s">
        <v>80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645</v>
      </c>
      <c r="AG383" s="78"/>
      <c r="AJ383" s="84" t="s">
        <v>46</v>
      </c>
      <c r="AK383" s="84">
        <v>0</v>
      </c>
      <c r="BB383" s="493" t="s">
        <v>66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133</v>
      </c>
      <c r="L384" s="37" t="s">
        <v>46</v>
      </c>
      <c r="M384" s="38" t="s">
        <v>80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640</v>
      </c>
      <c r="AG384" s="78"/>
      <c r="AJ384" s="84" t="s">
        <v>46</v>
      </c>
      <c r="AK384" s="84">
        <v>0</v>
      </c>
      <c r="BB384" s="495" t="s">
        <v>66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90</v>
      </c>
      <c r="L385" s="37" t="s">
        <v>46</v>
      </c>
      <c r="M385" s="38" t="s">
        <v>80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650</v>
      </c>
      <c r="AG385" s="78"/>
      <c r="AJ385" s="84" t="s">
        <v>46</v>
      </c>
      <c r="AK385" s="84">
        <v>0</v>
      </c>
      <c r="BB385" s="497" t="s">
        <v>66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10.714285714285715</v>
      </c>
      <c r="Y386" s="43">
        <f>IFERROR(Y379/H379,"0")+IFERROR(Y380/H380,"0")+IFERROR(Y381/H381,"0")+IFERROR(Y382/H382,"0")+IFERROR(Y383/H383,"0")+IFERROR(Y384/H384,"0")+IFERROR(Y385/H385,"0")</f>
        <v>11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9.9220000000000003E-2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45</v>
      </c>
      <c r="Y387" s="43">
        <f>IFERROR(SUM(Y379:Y385),"0")</f>
        <v>46.2</v>
      </c>
      <c r="Z387" s="42"/>
      <c r="AA387" s="67"/>
      <c r="AB387" s="67"/>
      <c r="AC387" s="67"/>
    </row>
    <row r="388" spans="1:68" ht="14.25" hidden="1" customHeight="1" x14ac:dyDescent="0.25">
      <c r="A388" s="732" t="s">
        <v>85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126</v>
      </c>
      <c r="L389" s="37" t="s">
        <v>46</v>
      </c>
      <c r="M389" s="38" t="s">
        <v>89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/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656</v>
      </c>
      <c r="AG390" s="78"/>
      <c r="AJ390" s="84" t="s">
        <v>46</v>
      </c>
      <c r="AK390" s="84">
        <v>0</v>
      </c>
      <c r="BB390" s="501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657</v>
      </c>
      <c r="B391" s="63" t="s">
        <v>658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126</v>
      </c>
      <c r="L391" s="37" t="s">
        <v>46</v>
      </c>
      <c r="M391" s="38" t="s">
        <v>89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659</v>
      </c>
      <c r="AG391" s="78"/>
      <c r="AJ391" s="84" t="s">
        <v>46</v>
      </c>
      <c r="AK391" s="84">
        <v>0</v>
      </c>
      <c r="BB391" s="50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660</v>
      </c>
      <c r="B392" s="63" t="s">
        <v>661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90</v>
      </c>
      <c r="L392" s="37" t="s">
        <v>46</v>
      </c>
      <c r="M392" s="38" t="s">
        <v>89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653</v>
      </c>
      <c r="AG392" s="78"/>
      <c r="AJ392" s="84" t="s">
        <v>46</v>
      </c>
      <c r="AK392" s="84">
        <v>0</v>
      </c>
      <c r="BB392" s="50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172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hidden="1" customHeight="1" x14ac:dyDescent="0.25">
      <c r="A396" s="63" t="s">
        <v>662</v>
      </c>
      <c r="B396" s="63" t="s">
        <v>663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126</v>
      </c>
      <c r="L396" s="37" t="s">
        <v>46</v>
      </c>
      <c r="M396" s="38" t="s">
        <v>89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664</v>
      </c>
      <c r="AG396" s="78"/>
      <c r="AJ396" s="84" t="s">
        <v>46</v>
      </c>
      <c r="AK396" s="84">
        <v>0</v>
      </c>
      <c r="BB396" s="50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126</v>
      </c>
      <c r="L397" s="37" t="s">
        <v>46</v>
      </c>
      <c r="M397" s="38" t="s">
        <v>89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/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667</v>
      </c>
      <c r="AG397" s="78"/>
      <c r="AJ397" s="84" t="s">
        <v>46</v>
      </c>
      <c r="AK397" s="84">
        <v>0</v>
      </c>
      <c r="BB397" s="50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668</v>
      </c>
      <c r="B398" s="63" t="s">
        <v>669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126</v>
      </c>
      <c r="L398" s="37" t="s">
        <v>46</v>
      </c>
      <c r="M398" s="38" t="s">
        <v>96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670</v>
      </c>
      <c r="AG398" s="78"/>
      <c r="AJ398" s="84" t="s">
        <v>46</v>
      </c>
      <c r="AK398" s="84">
        <v>0</v>
      </c>
      <c r="BB398" s="51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2" t="s">
        <v>293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671</v>
      </c>
      <c r="B402" s="63" t="s">
        <v>672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133</v>
      </c>
      <c r="L402" s="37" t="s">
        <v>46</v>
      </c>
      <c r="M402" s="38" t="s">
        <v>268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673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133</v>
      </c>
      <c r="L403" s="37" t="s">
        <v>46</v>
      </c>
      <c r="M403" s="38" t="s">
        <v>268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673</v>
      </c>
      <c r="AG403" s="78"/>
      <c r="AJ403" s="84" t="s">
        <v>46</v>
      </c>
      <c r="AK403" s="84">
        <v>0</v>
      </c>
      <c r="BB403" s="51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90</v>
      </c>
      <c r="L404" s="37" t="s">
        <v>46</v>
      </c>
      <c r="M404" s="38" t="s">
        <v>268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673</v>
      </c>
      <c r="AG404" s="78"/>
      <c r="AJ404" s="84" t="s">
        <v>46</v>
      </c>
      <c r="AK404" s="84">
        <v>0</v>
      </c>
      <c r="BB404" s="51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678</v>
      </c>
      <c r="B405" s="63" t="s">
        <v>679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90</v>
      </c>
      <c r="L405" s="37" t="s">
        <v>46</v>
      </c>
      <c r="M405" s="38" t="s">
        <v>268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673</v>
      </c>
      <c r="AG405" s="78"/>
      <c r="AJ405" s="84" t="s">
        <v>46</v>
      </c>
      <c r="AK405" s="84">
        <v>0</v>
      </c>
      <c r="BB405" s="51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680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681</v>
      </c>
      <c r="B409" s="63" t="s">
        <v>682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90</v>
      </c>
      <c r="L409" s="37" t="s">
        <v>46</v>
      </c>
      <c r="M409" s="38" t="s">
        <v>684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683</v>
      </c>
      <c r="AG409" s="78"/>
      <c r="AJ409" s="84" t="s">
        <v>46</v>
      </c>
      <c r="AK409" s="84">
        <v>0</v>
      </c>
      <c r="BB409" s="521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90</v>
      </c>
      <c r="L410" s="37" t="s">
        <v>46</v>
      </c>
      <c r="M410" s="38" t="s">
        <v>684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683</v>
      </c>
      <c r="AG410" s="78"/>
      <c r="AJ410" s="84" t="s">
        <v>46</v>
      </c>
      <c r="AK410" s="84">
        <v>0</v>
      </c>
      <c r="BB410" s="523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687</v>
      </c>
      <c r="B411" s="63" t="s">
        <v>688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90</v>
      </c>
      <c r="L411" s="37" t="s">
        <v>46</v>
      </c>
      <c r="M411" s="38" t="s">
        <v>684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683</v>
      </c>
      <c r="AG411" s="78"/>
      <c r="AJ411" s="84" t="s">
        <v>46</v>
      </c>
      <c r="AK411" s="84">
        <v>0</v>
      </c>
      <c r="BB411" s="52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689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690</v>
      </c>
      <c r="B415" s="63" t="s">
        <v>691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90</v>
      </c>
      <c r="L415" s="37" t="s">
        <v>46</v>
      </c>
      <c r="M415" s="38" t="s">
        <v>684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692</v>
      </c>
      <c r="AG415" s="78"/>
      <c r="AJ415" s="84" t="s">
        <v>46</v>
      </c>
      <c r="AK415" s="84">
        <v>0</v>
      </c>
      <c r="BB415" s="52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693</v>
      </c>
      <c r="B416" s="63" t="s">
        <v>694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133</v>
      </c>
      <c r="L416" s="37" t="s">
        <v>46</v>
      </c>
      <c r="M416" s="38" t="s">
        <v>684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695</v>
      </c>
      <c r="AG416" s="78"/>
      <c r="AJ416" s="84" t="s">
        <v>46</v>
      </c>
      <c r="AK416" s="84">
        <v>0</v>
      </c>
      <c r="BB416" s="52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696</v>
      </c>
      <c r="B417" s="63" t="s">
        <v>697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90</v>
      </c>
      <c r="L417" s="37" t="s">
        <v>46</v>
      </c>
      <c r="M417" s="38" t="s">
        <v>684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692</v>
      </c>
      <c r="AG417" s="78"/>
      <c r="AJ417" s="84" t="s">
        <v>46</v>
      </c>
      <c r="AK417" s="84">
        <v>0</v>
      </c>
      <c r="BB417" s="53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698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85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699</v>
      </c>
      <c r="B422" s="63" t="s">
        <v>700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126</v>
      </c>
      <c r="L422" s="37" t="s">
        <v>46</v>
      </c>
      <c r="M422" s="38" t="s">
        <v>89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701</v>
      </c>
      <c r="AG422" s="78"/>
      <c r="AJ422" s="84" t="s">
        <v>46</v>
      </c>
      <c r="AK422" s="84">
        <v>0</v>
      </c>
      <c r="BB422" s="533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702</v>
      </c>
      <c r="B423" s="63" t="s">
        <v>703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126</v>
      </c>
      <c r="L423" s="37" t="s">
        <v>46</v>
      </c>
      <c r="M423" s="38" t="s">
        <v>89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704</v>
      </c>
      <c r="AG423" s="78"/>
      <c r="AJ423" s="84" t="s">
        <v>46</v>
      </c>
      <c r="AK423" s="84">
        <v>0</v>
      </c>
      <c r="BB423" s="535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705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85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706</v>
      </c>
      <c r="B428" s="63" t="s">
        <v>707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126</v>
      </c>
      <c r="L428" s="37" t="s">
        <v>46</v>
      </c>
      <c r="M428" s="38" t="s">
        <v>96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708</v>
      </c>
      <c r="AG428" s="78"/>
      <c r="AJ428" s="84" t="s">
        <v>46</v>
      </c>
      <c r="AK428" s="84">
        <v>0</v>
      </c>
      <c r="BB428" s="53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90</v>
      </c>
      <c r="L429" s="37" t="s">
        <v>46</v>
      </c>
      <c r="M429" s="38" t="s">
        <v>89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16.8</v>
      </c>
      <c r="Y429" s="55">
        <f>IFERROR(IF(X429="",0,CEILING((X429/$H429),1)*$H429),"")</f>
        <v>16.8</v>
      </c>
      <c r="Z429" s="41">
        <f>IFERROR(IF(Y429=0,"",ROUNDUP(Y429/H429,0)*0.00651),"")</f>
        <v>5.2080000000000001E-2</v>
      </c>
      <c r="AA429" s="68" t="s">
        <v>46</v>
      </c>
      <c r="AB429" s="69" t="s">
        <v>46</v>
      </c>
      <c r="AC429" s="538" t="s">
        <v>711</v>
      </c>
      <c r="AG429" s="78"/>
      <c r="AJ429" s="84" t="s">
        <v>46</v>
      </c>
      <c r="AK429" s="84">
        <v>0</v>
      </c>
      <c r="BB429" s="539" t="s">
        <v>66</v>
      </c>
      <c r="BM429" s="78">
        <f>IFERROR(X429*I429/H429,"0")</f>
        <v>18.815999999999999</v>
      </c>
      <c r="BN429" s="78">
        <f>IFERROR(Y429*I429/H429,"0")</f>
        <v>18.815999999999999</v>
      </c>
      <c r="BO429" s="78">
        <f>IFERROR(1/J429*(X429/H429),"0")</f>
        <v>4.3956043956043959E-2</v>
      </c>
      <c r="BP429" s="78">
        <f>IFERROR(1/J429*(Y429/H429),"0")</f>
        <v>4.3956043956043959E-2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90</v>
      </c>
      <c r="L430" s="37" t="s">
        <v>46</v>
      </c>
      <c r="M430" s="38" t="s">
        <v>96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714</v>
      </c>
      <c r="AG430" s="78"/>
      <c r="AJ430" s="84" t="s">
        <v>46</v>
      </c>
      <c r="AK430" s="84">
        <v>0</v>
      </c>
      <c r="BB430" s="541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8</v>
      </c>
      <c r="Y431" s="43">
        <f>IFERROR(Y428/H428,"0")+IFERROR(Y429/H429,"0")+IFERROR(Y430/H430,"0")</f>
        <v>8</v>
      </c>
      <c r="Z431" s="43">
        <f>IFERROR(IF(Z428="",0,Z428),"0")+IFERROR(IF(Z429="",0,Z429),"0")+IFERROR(IF(Z430="",0,Z430),"0")</f>
        <v>5.2080000000000001E-2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16.8</v>
      </c>
      <c r="Y432" s="43">
        <f>IFERROR(SUM(Y428:Y430),"0")</f>
        <v>16.8</v>
      </c>
      <c r="Z432" s="42"/>
      <c r="AA432" s="67"/>
      <c r="AB432" s="67"/>
      <c r="AC432" s="67"/>
    </row>
    <row r="433" spans="1:68" ht="27.75" hidden="1" customHeight="1" x14ac:dyDescent="0.2">
      <c r="A433" s="730" t="s">
        <v>715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716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121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717</v>
      </c>
      <c r="B436" s="63" t="s">
        <v>718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66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720</v>
      </c>
      <c r="B437" s="63" t="s">
        <v>721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80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66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723</v>
      </c>
      <c r="B438" s="63" t="s">
        <v>724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70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66</v>
      </c>
      <c r="BM438" s="78">
        <f t="shared" si="71"/>
        <v>309.39999999999998</v>
      </c>
      <c r="BN438" s="78">
        <f t="shared" si="72"/>
        <v>309.39999999999998</v>
      </c>
      <c r="BO438" s="78">
        <f t="shared" si="73"/>
        <v>0.41666666666666663</v>
      </c>
      <c r="BP438" s="78">
        <f t="shared" si="74"/>
        <v>0.41666666666666663</v>
      </c>
    </row>
    <row r="439" spans="1:68" ht="27" customHeight="1" x14ac:dyDescent="0.25">
      <c r="A439" s="63" t="s">
        <v>726</v>
      </c>
      <c r="B439" s="63" t="s">
        <v>727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126</v>
      </c>
      <c r="L439" s="37" t="s">
        <v>46</v>
      </c>
      <c r="M439" s="38" t="s">
        <v>80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250</v>
      </c>
      <c r="Y439" s="55">
        <f t="shared" si="70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66</v>
      </c>
      <c r="BM439" s="78">
        <f t="shared" si="71"/>
        <v>257.83333333333331</v>
      </c>
      <c r="BN439" s="78">
        <f t="shared" si="72"/>
        <v>262.99</v>
      </c>
      <c r="BO439" s="78">
        <f t="shared" si="73"/>
        <v>0.34722222222222221</v>
      </c>
      <c r="BP439" s="78">
        <f t="shared" si="74"/>
        <v>0.35416666666666663</v>
      </c>
    </row>
    <row r="440" spans="1:68" ht="27" hidden="1" customHeight="1" x14ac:dyDescent="0.25">
      <c r="A440" s="63" t="s">
        <v>729</v>
      </c>
      <c r="B440" s="63" t="s">
        <v>730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126</v>
      </c>
      <c r="L440" s="37" t="s">
        <v>46</v>
      </c>
      <c r="M440" s="38" t="s">
        <v>96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66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732</v>
      </c>
      <c r="B441" s="63" t="s">
        <v>733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133</v>
      </c>
      <c r="L441" s="37" t="s">
        <v>46</v>
      </c>
      <c r="M441" s="38" t="s">
        <v>125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734</v>
      </c>
      <c r="AG441" s="78"/>
      <c r="AJ441" s="84" t="s">
        <v>46</v>
      </c>
      <c r="AK441" s="84">
        <v>0</v>
      </c>
      <c r="BB441" s="553" t="s">
        <v>66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735</v>
      </c>
      <c r="B442" s="63" t="s">
        <v>736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133</v>
      </c>
      <c r="L442" s="37" t="s">
        <v>46</v>
      </c>
      <c r="M442" s="38" t="s">
        <v>80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737</v>
      </c>
      <c r="AG442" s="78"/>
      <c r="AJ442" s="84" t="s">
        <v>46</v>
      </c>
      <c r="AK442" s="84">
        <v>0</v>
      </c>
      <c r="BB442" s="555" t="s">
        <v>66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738</v>
      </c>
      <c r="B443" s="63" t="s">
        <v>739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133</v>
      </c>
      <c r="L443" s="37" t="s">
        <v>46</v>
      </c>
      <c r="M443" s="38" t="s">
        <v>80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740</v>
      </c>
      <c r="AG443" s="78"/>
      <c r="AJ443" s="84" t="s">
        <v>46</v>
      </c>
      <c r="AK443" s="84">
        <v>0</v>
      </c>
      <c r="BB443" s="557" t="s">
        <v>66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43.333333333333336</v>
      </c>
      <c r="Y444" s="43">
        <f>IFERROR(Y436/H436,"0")+IFERROR(Y437/H437,"0")+IFERROR(Y438/H438,"0")+IFERROR(Y439/H439,"0")+IFERROR(Y440/H440,"0")+IFERROR(Y441/H441,"0")+IFERROR(Y442/H442,"0")+IFERROR(Y443/H443,"0")</f>
        <v>44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0.95699999999999985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650</v>
      </c>
      <c r="Y445" s="43">
        <f>IFERROR(SUM(Y436:Y443),"0")</f>
        <v>660</v>
      </c>
      <c r="Z445" s="42"/>
      <c r="AA445" s="67"/>
      <c r="AB445" s="67"/>
      <c r="AC445" s="67"/>
    </row>
    <row r="446" spans="1:68" ht="14.25" hidden="1" customHeight="1" x14ac:dyDescent="0.25">
      <c r="A446" s="732" t="s">
        <v>154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741</v>
      </c>
      <c r="B447" s="63" t="s">
        <v>742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126</v>
      </c>
      <c r="L447" s="37" t="s">
        <v>46</v>
      </c>
      <c r="M447" s="38" t="s">
        <v>125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250</v>
      </c>
      <c r="Y447" s="55">
        <f>IFERROR(IF(X447="",0,CEILING((X447/$H447),1)*$H447),"")</f>
        <v>255</v>
      </c>
      <c r="Z447" s="41">
        <f>IFERROR(IF(Y447=0,"",ROUNDUP(Y447/H447,0)*0.02175),"")</f>
        <v>0.36974999999999997</v>
      </c>
      <c r="AA447" s="68" t="s">
        <v>46</v>
      </c>
      <c r="AB447" s="69" t="s">
        <v>46</v>
      </c>
      <c r="AC447" s="558" t="s">
        <v>743</v>
      </c>
      <c r="AG447" s="78"/>
      <c r="AJ447" s="84" t="s">
        <v>46</v>
      </c>
      <c r="AK447" s="84">
        <v>0</v>
      </c>
      <c r="BB447" s="559" t="s">
        <v>66</v>
      </c>
      <c r="BM447" s="78">
        <f>IFERROR(X447*I447/H447,"0")</f>
        <v>257.83333333333331</v>
      </c>
      <c r="BN447" s="78">
        <f>IFERROR(Y447*I447/H447,"0")</f>
        <v>262.99</v>
      </c>
      <c r="BO447" s="78">
        <f>IFERROR(1/J447*(X447/H447),"0")</f>
        <v>0.34722222222222221</v>
      </c>
      <c r="BP447" s="78">
        <f>IFERROR(1/J447*(Y447/H447),"0")</f>
        <v>0.35416666666666663</v>
      </c>
    </row>
    <row r="448" spans="1:68" ht="27" hidden="1" customHeight="1" x14ac:dyDescent="0.25">
      <c r="A448" s="63" t="s">
        <v>744</v>
      </c>
      <c r="B448" s="63" t="s">
        <v>745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126</v>
      </c>
      <c r="L448" s="37" t="s">
        <v>46</v>
      </c>
      <c r="M448" s="38" t="s">
        <v>125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746</v>
      </c>
      <c r="AG448" s="78"/>
      <c r="AJ448" s="84" t="s">
        <v>46</v>
      </c>
      <c r="AK448" s="84">
        <v>0</v>
      </c>
      <c r="BB448" s="561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747</v>
      </c>
      <c r="B449" s="63" t="s">
        <v>748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133</v>
      </c>
      <c r="L449" s="37" t="s">
        <v>46</v>
      </c>
      <c r="M449" s="38" t="s">
        <v>125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749</v>
      </c>
      <c r="AG449" s="78"/>
      <c r="AJ449" s="84" t="s">
        <v>46</v>
      </c>
      <c r="AK449" s="84">
        <v>0</v>
      </c>
      <c r="BB449" s="563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16.666666666666668</v>
      </c>
      <c r="Y450" s="43">
        <f>IFERROR(Y447/H447,"0")+IFERROR(Y448/H448,"0")+IFERROR(Y449/H449,"0")</f>
        <v>17</v>
      </c>
      <c r="Z450" s="43">
        <f>IFERROR(IF(Z447="",0,Z447),"0")+IFERROR(IF(Z448="",0,Z448),"0")+IFERROR(IF(Z449="",0,Z449),"0")</f>
        <v>0.36974999999999997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250</v>
      </c>
      <c r="Y451" s="43">
        <f>IFERROR(SUM(Y447:Y449),"0")</f>
        <v>255</v>
      </c>
      <c r="Z451" s="42"/>
      <c r="AA451" s="67"/>
      <c r="AB451" s="67"/>
      <c r="AC451" s="67"/>
    </row>
    <row r="452" spans="1:68" ht="14.25" hidden="1" customHeight="1" x14ac:dyDescent="0.25">
      <c r="A452" s="732" t="s">
        <v>85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750</v>
      </c>
      <c r="B453" s="63" t="s">
        <v>751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126</v>
      </c>
      <c r="L453" s="37" t="s">
        <v>46</v>
      </c>
      <c r="M453" s="38" t="s">
        <v>89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752</v>
      </c>
      <c r="AG453" s="78"/>
      <c r="AJ453" s="84" t="s">
        <v>46</v>
      </c>
      <c r="AK453" s="84">
        <v>0</v>
      </c>
      <c r="BB453" s="56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753</v>
      </c>
      <c r="B454" s="63" t="s">
        <v>754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126</v>
      </c>
      <c r="L454" s="37" t="s">
        <v>46</v>
      </c>
      <c r="M454" s="38" t="s">
        <v>89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755</v>
      </c>
      <c r="AG454" s="78"/>
      <c r="AJ454" s="84" t="s">
        <v>46</v>
      </c>
      <c r="AK454" s="84">
        <v>0</v>
      </c>
      <c r="BB454" s="567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756</v>
      </c>
      <c r="B455" s="63" t="s">
        <v>757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758</v>
      </c>
      <c r="AG455" s="78"/>
      <c r="AJ455" s="84" t="s">
        <v>46</v>
      </c>
      <c r="AK455" s="84">
        <v>0</v>
      </c>
      <c r="BB455" s="56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172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759</v>
      </c>
      <c r="B459" s="63" t="s">
        <v>760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126</v>
      </c>
      <c r="L459" s="37" t="s">
        <v>46</v>
      </c>
      <c r="M459" s="38" t="s">
        <v>89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761</v>
      </c>
      <c r="AG459" s="78"/>
      <c r="AJ459" s="84" t="s">
        <v>46</v>
      </c>
      <c r="AK459" s="84">
        <v>0</v>
      </c>
      <c r="BB459" s="571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762</v>
      </c>
      <c r="B460" s="63" t="s">
        <v>763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126</v>
      </c>
      <c r="L460" s="37" t="s">
        <v>46</v>
      </c>
      <c r="M460" s="38" t="s">
        <v>89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764</v>
      </c>
      <c r="AG460" s="78"/>
      <c r="AJ460" s="84" t="s">
        <v>46</v>
      </c>
      <c r="AK460" s="84">
        <v>0</v>
      </c>
      <c r="BB460" s="573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765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121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766</v>
      </c>
      <c r="B465" s="63" t="s">
        <v>767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126</v>
      </c>
      <c r="L465" s="37" t="s">
        <v>46</v>
      </c>
      <c r="M465" s="38" t="s">
        <v>80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20</v>
      </c>
      <c r="Y465" s="55">
        <f>IFERROR(IF(X465="",0,CEILING((X465/$H465),1)*$H465),"")</f>
        <v>24</v>
      </c>
      <c r="Z465" s="41">
        <f>IFERROR(IF(Y465=0,"",ROUNDUP(Y465/H465,0)*0.01898),"")</f>
        <v>3.7960000000000001E-2</v>
      </c>
      <c r="AA465" s="68" t="s">
        <v>46</v>
      </c>
      <c r="AB465" s="69" t="s">
        <v>46</v>
      </c>
      <c r="AC465" s="574" t="s">
        <v>768</v>
      </c>
      <c r="AG465" s="78"/>
      <c r="AJ465" s="84" t="s">
        <v>46</v>
      </c>
      <c r="AK465" s="84">
        <v>0</v>
      </c>
      <c r="BB465" s="575" t="s">
        <v>66</v>
      </c>
      <c r="BM465" s="78">
        <f>IFERROR(X465*I465/H465,"0")</f>
        <v>20.683333333333334</v>
      </c>
      <c r="BN465" s="78">
        <f>IFERROR(Y465*I465/H465,"0")</f>
        <v>24.820000000000004</v>
      </c>
      <c r="BO465" s="78">
        <f>IFERROR(1/J465*(X465/H465),"0")</f>
        <v>2.6041666666666668E-2</v>
      </c>
      <c r="BP465" s="78">
        <f>IFERROR(1/J465*(Y465/H465),"0")</f>
        <v>3.125E-2</v>
      </c>
    </row>
    <row r="466" spans="1:68" ht="37.5" hidden="1" customHeight="1" x14ac:dyDescent="0.25">
      <c r="A466" s="63" t="s">
        <v>769</v>
      </c>
      <c r="B466" s="63" t="s">
        <v>770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768</v>
      </c>
      <c r="AG466" s="78"/>
      <c r="AJ466" s="84" t="s">
        <v>46</v>
      </c>
      <c r="AK466" s="84">
        <v>0</v>
      </c>
      <c r="BB466" s="577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1.6666666666666667</v>
      </c>
      <c r="Y467" s="43">
        <f>IFERROR(Y465/H465,"0")+IFERROR(Y466/H466,"0")</f>
        <v>2</v>
      </c>
      <c r="Z467" s="43">
        <f>IFERROR(IF(Z465="",0,Z465),"0")+IFERROR(IF(Z466="",0,Z466),"0")</f>
        <v>3.7960000000000001E-2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20</v>
      </c>
      <c r="Y468" s="43">
        <f>IFERROR(SUM(Y465:Y466),"0")</f>
        <v>24</v>
      </c>
      <c r="Z468" s="42"/>
      <c r="AA468" s="67"/>
      <c r="AB468" s="67"/>
      <c r="AC468" s="67"/>
    </row>
    <row r="469" spans="1:68" ht="14.25" hidden="1" customHeight="1" x14ac:dyDescent="0.25">
      <c r="A469" s="732" t="s">
        <v>76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771</v>
      </c>
      <c r="B470" s="63" t="s">
        <v>772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133</v>
      </c>
      <c r="L470" s="37" t="s">
        <v>46</v>
      </c>
      <c r="M470" s="38" t="s">
        <v>80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773</v>
      </c>
      <c r="AG470" s="78"/>
      <c r="AJ470" s="84" t="s">
        <v>46</v>
      </c>
      <c r="AK470" s="84">
        <v>0</v>
      </c>
      <c r="BB470" s="579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85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774</v>
      </c>
      <c r="B474" s="63" t="s">
        <v>775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126</v>
      </c>
      <c r="L474" s="37" t="s">
        <v>46</v>
      </c>
      <c r="M474" s="38" t="s">
        <v>89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776</v>
      </c>
      <c r="AG474" s="78"/>
      <c r="AJ474" s="84" t="s">
        <v>46</v>
      </c>
      <c r="AK474" s="84">
        <v>0</v>
      </c>
      <c r="BB474" s="58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90</v>
      </c>
      <c r="L475" s="37" t="s">
        <v>46</v>
      </c>
      <c r="M475" s="38" t="s">
        <v>89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776</v>
      </c>
      <c r="AG475" s="78"/>
      <c r="AJ475" s="84" t="s">
        <v>46</v>
      </c>
      <c r="AK475" s="84">
        <v>0</v>
      </c>
      <c r="BB475" s="583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777</v>
      </c>
      <c r="B476" s="63" t="s">
        <v>779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90</v>
      </c>
      <c r="L476" s="37" t="s">
        <v>46</v>
      </c>
      <c r="M476" s="38" t="s">
        <v>89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780</v>
      </c>
      <c r="AG476" s="78"/>
      <c r="AJ476" s="84" t="s">
        <v>46</v>
      </c>
      <c r="AK476" s="84">
        <v>0</v>
      </c>
      <c r="BB476" s="585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781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782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76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783</v>
      </c>
      <c r="B482" s="63" t="s">
        <v>784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133</v>
      </c>
      <c r="L482" s="37" t="s">
        <v>46</v>
      </c>
      <c r="M482" s="38" t="s">
        <v>80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20</v>
      </c>
      <c r="Y482" s="55">
        <f t="shared" ref="Y482:Y487" si="75">IFERROR(IF(X482="",0,CEILING((X482/$H482),1)*$H482),"")</f>
        <v>21.6</v>
      </c>
      <c r="Z482" s="41">
        <f>IFERROR(IF(Y482=0,"",ROUNDUP(Y482/H482,0)*0.00902),"")</f>
        <v>3.6080000000000001E-2</v>
      </c>
      <c r="AA482" s="68" t="s">
        <v>46</v>
      </c>
      <c r="AB482" s="69" t="s">
        <v>46</v>
      </c>
      <c r="AC482" s="586" t="s">
        <v>785</v>
      </c>
      <c r="AG482" s="78"/>
      <c r="AJ482" s="84" t="s">
        <v>46</v>
      </c>
      <c r="AK482" s="84">
        <v>0</v>
      </c>
      <c r="BB482" s="587" t="s">
        <v>66</v>
      </c>
      <c r="BM482" s="78">
        <f t="shared" ref="BM482:BM487" si="76">IFERROR(X482*I482/H482,"0")</f>
        <v>20.703703703703702</v>
      </c>
      <c r="BN482" s="78">
        <f t="shared" ref="BN482:BN487" si="77">IFERROR(Y482*I482/H482,"0")</f>
        <v>22.36</v>
      </c>
      <c r="BO482" s="78">
        <f t="shared" ref="BO482:BO487" si="78">IFERROR(1/J482*(X482/H482),"0")</f>
        <v>2.8058361391694722E-2</v>
      </c>
      <c r="BP482" s="78">
        <f t="shared" ref="BP482:BP487" si="79">IFERROR(1/J482*(Y482/H482),"0")</f>
        <v>3.0303030303030304E-2</v>
      </c>
    </row>
    <row r="483" spans="1:68" ht="27" customHeight="1" x14ac:dyDescent="0.25">
      <c r="A483" s="63" t="s">
        <v>786</v>
      </c>
      <c r="B483" s="63" t="s">
        <v>787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133</v>
      </c>
      <c r="L483" s="37" t="s">
        <v>46</v>
      </c>
      <c r="M483" s="38" t="s">
        <v>80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25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788</v>
      </c>
      <c r="AG483" s="78"/>
      <c r="AJ483" s="84" t="s">
        <v>46</v>
      </c>
      <c r="AK483" s="84">
        <v>0</v>
      </c>
      <c r="BB483" s="589" t="s">
        <v>66</v>
      </c>
      <c r="BM483" s="78">
        <f t="shared" si="76"/>
        <v>25.879629629629626</v>
      </c>
      <c r="BN483" s="78">
        <f t="shared" si="77"/>
        <v>27.95</v>
      </c>
      <c r="BO483" s="78">
        <f t="shared" si="78"/>
        <v>3.5072951739618406E-2</v>
      </c>
      <c r="BP483" s="78">
        <f t="shared" si="79"/>
        <v>3.787878787878788E-2</v>
      </c>
    </row>
    <row r="484" spans="1:68" ht="27" hidden="1" customHeight="1" x14ac:dyDescent="0.25">
      <c r="A484" s="63" t="s">
        <v>789</v>
      </c>
      <c r="B484" s="63" t="s">
        <v>790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785</v>
      </c>
      <c r="AG484" s="78"/>
      <c r="AJ484" s="84" t="s">
        <v>46</v>
      </c>
      <c r="AK484" s="84">
        <v>0</v>
      </c>
      <c r="BB484" s="591" t="s">
        <v>66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791</v>
      </c>
      <c r="B485" s="63" t="s">
        <v>792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81</v>
      </c>
      <c r="L485" s="37" t="s">
        <v>46</v>
      </c>
      <c r="M485" s="38" t="s">
        <v>80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793</v>
      </c>
      <c r="AG485" s="78"/>
      <c r="AJ485" s="84" t="s">
        <v>46</v>
      </c>
      <c r="AK485" s="84">
        <v>0</v>
      </c>
      <c r="BB485" s="593" t="s">
        <v>66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794</v>
      </c>
      <c r="B486" s="63" t="s">
        <v>795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796</v>
      </c>
      <c r="AG486" s="78"/>
      <c r="AJ486" s="84" t="s">
        <v>46</v>
      </c>
      <c r="AK486" s="84">
        <v>0</v>
      </c>
      <c r="BB486" s="595" t="s">
        <v>66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797</v>
      </c>
      <c r="B487" s="63" t="s">
        <v>798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793</v>
      </c>
      <c r="AG487" s="78"/>
      <c r="AJ487" s="84" t="s">
        <v>46</v>
      </c>
      <c r="AK487" s="84">
        <v>0</v>
      </c>
      <c r="BB487" s="597" t="s">
        <v>66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8.3333333333333321</v>
      </c>
      <c r="Y488" s="43">
        <f>IFERROR(Y482/H482,"0")+IFERROR(Y483/H483,"0")+IFERROR(Y484/H484,"0")+IFERROR(Y485/H485,"0")+IFERROR(Y486/H486,"0")+IFERROR(Y487/H487,"0")</f>
        <v>9</v>
      </c>
      <c r="Z488" s="43">
        <f>IFERROR(IF(Z482="",0,Z482),"0")+IFERROR(IF(Z483="",0,Z483),"0")+IFERROR(IF(Z484="",0,Z484),"0")+IFERROR(IF(Z485="",0,Z485),"0")+IFERROR(IF(Z486="",0,Z486),"0")+IFERROR(IF(Z487="",0,Z487),"0")</f>
        <v>8.1180000000000002E-2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45</v>
      </c>
      <c r="Y489" s="43">
        <f>IFERROR(SUM(Y482:Y487),"0")</f>
        <v>48.6</v>
      </c>
      <c r="Z489" s="42"/>
      <c r="AA489" s="67"/>
      <c r="AB489" s="67"/>
      <c r="AC489" s="67"/>
    </row>
    <row r="490" spans="1:68" ht="14.25" hidden="1" customHeight="1" x14ac:dyDescent="0.25">
      <c r="A490" s="732" t="s">
        <v>85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799</v>
      </c>
      <c r="B491" s="63" t="s">
        <v>800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133</v>
      </c>
      <c r="L491" s="37" t="s">
        <v>46</v>
      </c>
      <c r="M491" s="38" t="s">
        <v>89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801</v>
      </c>
      <c r="AG491" s="78"/>
      <c r="AJ491" s="84" t="s">
        <v>46</v>
      </c>
      <c r="AK491" s="84">
        <v>0</v>
      </c>
      <c r="BB491" s="599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802</v>
      </c>
      <c r="B492" s="63" t="s">
        <v>803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90</v>
      </c>
      <c r="L492" s="37" t="s">
        <v>46</v>
      </c>
      <c r="M492" s="38" t="s">
        <v>89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804</v>
      </c>
      <c r="AG492" s="78"/>
      <c r="AJ492" s="84" t="s">
        <v>46</v>
      </c>
      <c r="AK492" s="84">
        <v>0</v>
      </c>
      <c r="BB492" s="60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805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154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806</v>
      </c>
      <c r="B497" s="63" t="s">
        <v>807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90</v>
      </c>
      <c r="L497" s="37" t="s">
        <v>46</v>
      </c>
      <c r="M497" s="38" t="s">
        <v>80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808</v>
      </c>
      <c r="AG497" s="78"/>
      <c r="AJ497" s="84" t="s">
        <v>46</v>
      </c>
      <c r="AK497" s="84">
        <v>0</v>
      </c>
      <c r="BB497" s="603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76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809</v>
      </c>
      <c r="B501" s="63" t="s">
        <v>810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133</v>
      </c>
      <c r="L501" s="37" t="s">
        <v>46</v>
      </c>
      <c r="M501" s="38" t="s">
        <v>80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30</v>
      </c>
      <c r="Y501" s="55">
        <f>IFERROR(IF(X501="",0,CEILING((X501/$H501),1)*$H501),"")</f>
        <v>32.400000000000006</v>
      </c>
      <c r="Z501" s="41">
        <f>IFERROR(IF(Y501=0,"",ROUNDUP(Y501/H501,0)*0.00902),"")</f>
        <v>5.4120000000000001E-2</v>
      </c>
      <c r="AA501" s="68" t="s">
        <v>46</v>
      </c>
      <c r="AB501" s="69" t="s">
        <v>46</v>
      </c>
      <c r="AC501" s="604" t="s">
        <v>811</v>
      </c>
      <c r="AG501" s="78"/>
      <c r="AJ501" s="84" t="s">
        <v>46</v>
      </c>
      <c r="AK501" s="84">
        <v>0</v>
      </c>
      <c r="BB501" s="605" t="s">
        <v>66</v>
      </c>
      <c r="BM501" s="78">
        <f>IFERROR(X501*I501/H501,"0")</f>
        <v>31.05555555555555</v>
      </c>
      <c r="BN501" s="78">
        <f>IFERROR(Y501*I501/H501,"0")</f>
        <v>33.54</v>
      </c>
      <c r="BO501" s="78">
        <f>IFERROR(1/J501*(X501/H501),"0")</f>
        <v>4.208754208754209E-2</v>
      </c>
      <c r="BP501" s="78">
        <f>IFERROR(1/J501*(Y501/H501),"0")</f>
        <v>4.5454545454545463E-2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81</v>
      </c>
      <c r="L502" s="37" t="s">
        <v>46</v>
      </c>
      <c r="M502" s="38" t="s">
        <v>80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814</v>
      </c>
      <c r="AG502" s="78"/>
      <c r="AJ502" s="84" t="s">
        <v>46</v>
      </c>
      <c r="AK502" s="84">
        <v>0</v>
      </c>
      <c r="BB502" s="60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815</v>
      </c>
      <c r="B503" s="63" t="s">
        <v>816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81</v>
      </c>
      <c r="L503" s="37" t="s">
        <v>46</v>
      </c>
      <c r="M503" s="38" t="s">
        <v>80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814</v>
      </c>
      <c r="AG503" s="78"/>
      <c r="AJ503" s="84" t="s">
        <v>46</v>
      </c>
      <c r="AK503" s="84">
        <v>0</v>
      </c>
      <c r="BB503" s="60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5.5555555555555554</v>
      </c>
      <c r="Y504" s="43">
        <f>IFERROR(Y501/H501,"0")+IFERROR(Y502/H502,"0")+IFERROR(Y503/H503,"0")</f>
        <v>6.0000000000000009</v>
      </c>
      <c r="Z504" s="43">
        <f>IFERROR(IF(Z501="",0,Z501),"0")+IFERROR(IF(Z502="",0,Z502),"0")+IFERROR(IF(Z503="",0,Z503),"0")</f>
        <v>5.4120000000000001E-2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30</v>
      </c>
      <c r="Y505" s="43">
        <f>IFERROR(SUM(Y501:Y503),"0")</f>
        <v>32.400000000000006</v>
      </c>
      <c r="Z505" s="42"/>
      <c r="AA505" s="67"/>
      <c r="AB505" s="67"/>
      <c r="AC505" s="67"/>
    </row>
    <row r="506" spans="1:68" ht="27.75" hidden="1" customHeight="1" x14ac:dyDescent="0.2">
      <c r="A506" s="730" t="s">
        <v>817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817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121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hidden="1" customHeight="1" x14ac:dyDescent="0.25">
      <c r="A509" s="63" t="s">
        <v>818</v>
      </c>
      <c r="B509" s="63" t="s">
        <v>819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124</v>
      </c>
      <c r="AG509" s="78"/>
      <c r="AJ509" s="84" t="s">
        <v>46</v>
      </c>
      <c r="AK509" s="84">
        <v>0</v>
      </c>
      <c r="BB509" s="611" t="s">
        <v>66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66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/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66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826</v>
      </c>
      <c r="B512" s="63" t="s">
        <v>827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126</v>
      </c>
      <c r="L512" s="37" t="s">
        <v>46</v>
      </c>
      <c r="M512" s="38" t="s">
        <v>125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80"/>
        <v>200.64000000000001</v>
      </c>
      <c r="Z512" s="41">
        <f t="shared" si="81"/>
        <v>0.45448</v>
      </c>
      <c r="AA512" s="68" t="s">
        <v>46</v>
      </c>
      <c r="AB512" s="69" t="s">
        <v>46</v>
      </c>
      <c r="AC512" s="616" t="s">
        <v>828</v>
      </c>
      <c r="AG512" s="78"/>
      <c r="AJ512" s="84" t="s">
        <v>46</v>
      </c>
      <c r="AK512" s="84">
        <v>0</v>
      </c>
      <c r="BB512" s="617" t="s">
        <v>66</v>
      </c>
      <c r="BM512" s="78">
        <f t="shared" si="82"/>
        <v>213.25757575757575</v>
      </c>
      <c r="BN512" s="78">
        <f t="shared" si="83"/>
        <v>213.94</v>
      </c>
      <c r="BO512" s="78">
        <f t="shared" si="84"/>
        <v>0.36421911421911418</v>
      </c>
      <c r="BP512" s="78">
        <f t="shared" si="85"/>
        <v>0.36538461538461542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126</v>
      </c>
      <c r="L513" s="37" t="s">
        <v>46</v>
      </c>
      <c r="M513" s="38" t="s">
        <v>89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831</v>
      </c>
      <c r="AG513" s="78"/>
      <c r="AJ513" s="84" t="s">
        <v>46</v>
      </c>
      <c r="AK513" s="84">
        <v>0</v>
      </c>
      <c r="BB513" s="619" t="s">
        <v>66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832</v>
      </c>
      <c r="B514" s="63" t="s">
        <v>833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126</v>
      </c>
      <c r="L514" s="37" t="s">
        <v>46</v>
      </c>
      <c r="M514" s="38" t="s">
        <v>125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70</v>
      </c>
      <c r="Y514" s="55">
        <f t="shared" si="80"/>
        <v>73.92</v>
      </c>
      <c r="Z514" s="41">
        <f t="shared" si="81"/>
        <v>0.16744000000000001</v>
      </c>
      <c r="AA514" s="68" t="s">
        <v>46</v>
      </c>
      <c r="AB514" s="69" t="s">
        <v>46</v>
      </c>
      <c r="AC514" s="620" t="s">
        <v>834</v>
      </c>
      <c r="AG514" s="78"/>
      <c r="AJ514" s="84" t="s">
        <v>46</v>
      </c>
      <c r="AK514" s="84">
        <v>0</v>
      </c>
      <c r="BB514" s="621" t="s">
        <v>66</v>
      </c>
      <c r="BM514" s="78">
        <f t="shared" si="82"/>
        <v>74.640151515151501</v>
      </c>
      <c r="BN514" s="78">
        <f t="shared" si="83"/>
        <v>78.819999999999993</v>
      </c>
      <c r="BO514" s="78">
        <f t="shared" si="84"/>
        <v>0.12747668997668998</v>
      </c>
      <c r="BP514" s="78">
        <f t="shared" si="85"/>
        <v>0.13461538461538464</v>
      </c>
    </row>
    <row r="515" spans="1:68" ht="27" hidden="1" customHeight="1" x14ac:dyDescent="0.25">
      <c r="A515" s="63" t="s">
        <v>835</v>
      </c>
      <c r="B515" s="63" t="s">
        <v>836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90</v>
      </c>
      <c r="L515" s="37" t="s">
        <v>46</v>
      </c>
      <c r="M515" s="38" t="s">
        <v>89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124</v>
      </c>
      <c r="AG515" s="78"/>
      <c r="AJ515" s="84" t="s">
        <v>46</v>
      </c>
      <c r="AK515" s="84">
        <v>0</v>
      </c>
      <c r="BB515" s="623" t="s">
        <v>66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837</v>
      </c>
      <c r="B516" s="63" t="s">
        <v>838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133</v>
      </c>
      <c r="L516" s="37" t="s">
        <v>46</v>
      </c>
      <c r="M516" s="38" t="s">
        <v>89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124</v>
      </c>
      <c r="AG516" s="78"/>
      <c r="AJ516" s="84" t="s">
        <v>46</v>
      </c>
      <c r="AK516" s="84">
        <v>0</v>
      </c>
      <c r="BB516" s="625" t="s">
        <v>66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133</v>
      </c>
      <c r="L517" s="37" t="s">
        <v>46</v>
      </c>
      <c r="M517" s="38" t="s">
        <v>125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834</v>
      </c>
      <c r="AG517" s="78"/>
      <c r="AJ517" s="84" t="s">
        <v>46</v>
      </c>
      <c r="AK517" s="84">
        <v>0</v>
      </c>
      <c r="BB517" s="627" t="s">
        <v>66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51.136363636363633</v>
      </c>
      <c r="Y518" s="43">
        <f>IFERROR(Y509/H509,"0")+IFERROR(Y510/H510,"0")+IFERROR(Y511/H511,"0")+IFERROR(Y512/H512,"0")+IFERROR(Y513/H513,"0")+IFERROR(Y514/H514,"0")+IFERROR(Y515/H515,"0")+IFERROR(Y516/H516,"0")+IFERROR(Y517/H517,"0")</f>
        <v>52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0.62192000000000003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270</v>
      </c>
      <c r="Y519" s="43">
        <f>IFERROR(SUM(Y509:Y517),"0")</f>
        <v>274.56</v>
      </c>
      <c r="Z519" s="42"/>
      <c r="AA519" s="67"/>
      <c r="AB519" s="67"/>
      <c r="AC519" s="67"/>
    </row>
    <row r="520" spans="1:68" ht="14.25" hidden="1" customHeight="1" x14ac:dyDescent="0.25">
      <c r="A520" s="732" t="s">
        <v>154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841</v>
      </c>
      <c r="B521" s="63" t="s">
        <v>842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126</v>
      </c>
      <c r="L521" s="37" t="s">
        <v>46</v>
      </c>
      <c r="M521" s="38" t="s">
        <v>89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150</v>
      </c>
      <c r="Y521" s="55">
        <f>IFERROR(IF(X521="",0,CEILING((X521/$H521),1)*$H521),"")</f>
        <v>153.12</v>
      </c>
      <c r="Z521" s="41">
        <f>IFERROR(IF(Y521=0,"",ROUNDUP(Y521/H521,0)*0.01196),"")</f>
        <v>0.34683999999999998</v>
      </c>
      <c r="AA521" s="68" t="s">
        <v>46</v>
      </c>
      <c r="AB521" s="69" t="s">
        <v>46</v>
      </c>
      <c r="AC521" s="628" t="s">
        <v>843</v>
      </c>
      <c r="AG521" s="78"/>
      <c r="AJ521" s="84" t="s">
        <v>46</v>
      </c>
      <c r="AK521" s="84">
        <v>0</v>
      </c>
      <c r="BB521" s="629" t="s">
        <v>66</v>
      </c>
      <c r="BM521" s="78">
        <f>IFERROR(X521*I521/H521,"0")</f>
        <v>159.94318181818181</v>
      </c>
      <c r="BN521" s="78">
        <f>IFERROR(Y521*I521/H521,"0")</f>
        <v>163.26999999999998</v>
      </c>
      <c r="BO521" s="78">
        <f>IFERROR(1/J521*(X521/H521),"0")</f>
        <v>0.27316433566433568</v>
      </c>
      <c r="BP521" s="78">
        <f>IFERROR(1/J521*(Y521/H521),"0")</f>
        <v>0.27884615384615385</v>
      </c>
    </row>
    <row r="522" spans="1:68" ht="16.5" hidden="1" customHeight="1" x14ac:dyDescent="0.25">
      <c r="A522" s="63" t="s">
        <v>844</v>
      </c>
      <c r="B522" s="63" t="s">
        <v>845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90</v>
      </c>
      <c r="L522" s="37" t="s">
        <v>46</v>
      </c>
      <c r="M522" s="38" t="s">
        <v>125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843</v>
      </c>
      <c r="AG522" s="78"/>
      <c r="AJ522" s="84" t="s">
        <v>46</v>
      </c>
      <c r="AK522" s="84">
        <v>0</v>
      </c>
      <c r="BB522" s="63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846</v>
      </c>
      <c r="B523" s="63" t="s">
        <v>847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133</v>
      </c>
      <c r="L523" s="37" t="s">
        <v>46</v>
      </c>
      <c r="M523" s="38" t="s">
        <v>125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843</v>
      </c>
      <c r="AG523" s="78"/>
      <c r="AJ523" s="84" t="s">
        <v>46</v>
      </c>
      <c r="AK523" s="84">
        <v>0</v>
      </c>
      <c r="BB523" s="63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28.409090909090907</v>
      </c>
      <c r="Y524" s="43">
        <f>IFERROR(Y521/H521,"0")+IFERROR(Y522/H522,"0")+IFERROR(Y523/H523,"0")</f>
        <v>29</v>
      </c>
      <c r="Z524" s="43">
        <f>IFERROR(IF(Z521="",0,Z521),"0")+IFERROR(IF(Z522="",0,Z522),"0")+IFERROR(IF(Z523="",0,Z523),"0")</f>
        <v>0.34683999999999998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150</v>
      </c>
      <c r="Y525" s="43">
        <f>IFERROR(SUM(Y521:Y523),"0")</f>
        <v>153.12</v>
      </c>
      <c r="Z525" s="42"/>
      <c r="AA525" s="67"/>
      <c r="AB525" s="67"/>
      <c r="AC525" s="67"/>
    </row>
    <row r="526" spans="1:68" ht="14.25" hidden="1" customHeight="1" x14ac:dyDescent="0.25">
      <c r="A526" s="732" t="s">
        <v>76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848</v>
      </c>
      <c r="B527" s="63" t="s">
        <v>849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126</v>
      </c>
      <c r="L527" s="37" t="s">
        <v>46</v>
      </c>
      <c r="M527" s="38" t="s">
        <v>125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15</v>
      </c>
      <c r="Y527" s="55">
        <f t="shared" ref="Y527:Y533" si="86">IFERROR(IF(X527="",0,CEILING((X527/$H527),1)*$H527),"")</f>
        <v>15.84</v>
      </c>
      <c r="Z527" s="41">
        <f>IFERROR(IF(Y527=0,"",ROUNDUP(Y527/H527,0)*0.01196),"")</f>
        <v>3.5880000000000002E-2</v>
      </c>
      <c r="AA527" s="68" t="s">
        <v>46</v>
      </c>
      <c r="AB527" s="69" t="s">
        <v>46</v>
      </c>
      <c r="AC527" s="634" t="s">
        <v>850</v>
      </c>
      <c r="AG527" s="78"/>
      <c r="AJ527" s="84" t="s">
        <v>46</v>
      </c>
      <c r="AK527" s="84">
        <v>0</v>
      </c>
      <c r="BB527" s="635" t="s">
        <v>66</v>
      </c>
      <c r="BM527" s="78">
        <f t="shared" ref="BM527:BM533" si="87">IFERROR(X527*I527/H527,"0")</f>
        <v>15.994318181818182</v>
      </c>
      <c r="BN527" s="78">
        <f t="shared" ref="BN527:BN533" si="88">IFERROR(Y527*I527/H527,"0")</f>
        <v>16.889999999999997</v>
      </c>
      <c r="BO527" s="78">
        <f t="shared" ref="BO527:BO533" si="89">IFERROR(1/J527*(X527/H527),"0")</f>
        <v>2.7316433566433568E-2</v>
      </c>
      <c r="BP527" s="78">
        <f t="shared" ref="BP527:BP533" si="90">IFERROR(1/J527*(Y527/H527),"0")</f>
        <v>2.8846153846153848E-2</v>
      </c>
    </row>
    <row r="528" spans="1:68" ht="27" customHeight="1" x14ac:dyDescent="0.25">
      <c r="A528" s="63" t="s">
        <v>851</v>
      </c>
      <c r="B528" s="63" t="s">
        <v>852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126</v>
      </c>
      <c r="L528" s="37" t="s">
        <v>46</v>
      </c>
      <c r="M528" s="38" t="s">
        <v>80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853</v>
      </c>
      <c r="AG528" s="78"/>
      <c r="AJ528" s="84" t="s">
        <v>46</v>
      </c>
      <c r="AK528" s="84">
        <v>0</v>
      </c>
      <c r="BB528" s="637" t="s">
        <v>66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854</v>
      </c>
      <c r="B529" s="63" t="s">
        <v>855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126</v>
      </c>
      <c r="L529" s="37" t="s">
        <v>46</v>
      </c>
      <c r="M529" s="38" t="s">
        <v>80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75</v>
      </c>
      <c r="Y529" s="55">
        <f t="shared" si="86"/>
        <v>79.2</v>
      </c>
      <c r="Z529" s="41">
        <f>IFERROR(IF(Y529=0,"",ROUNDUP(Y529/H529,0)*0.01196),"")</f>
        <v>0.1794</v>
      </c>
      <c r="AA529" s="68" t="s">
        <v>46</v>
      </c>
      <c r="AB529" s="69" t="s">
        <v>46</v>
      </c>
      <c r="AC529" s="638" t="s">
        <v>856</v>
      </c>
      <c r="AG529" s="78"/>
      <c r="AJ529" s="84" t="s">
        <v>46</v>
      </c>
      <c r="AK529" s="84">
        <v>0</v>
      </c>
      <c r="BB529" s="639" t="s">
        <v>66</v>
      </c>
      <c r="BM529" s="78">
        <f t="shared" si="87"/>
        <v>79.971590909090907</v>
      </c>
      <c r="BN529" s="78">
        <f t="shared" si="88"/>
        <v>84.45</v>
      </c>
      <c r="BO529" s="78">
        <f t="shared" si="89"/>
        <v>0.13658216783216784</v>
      </c>
      <c r="BP529" s="78">
        <f t="shared" si="90"/>
        <v>0.14423076923076925</v>
      </c>
    </row>
    <row r="530" spans="1:68" ht="27" hidden="1" customHeight="1" x14ac:dyDescent="0.25">
      <c r="A530" s="63" t="s">
        <v>857</v>
      </c>
      <c r="B530" s="63" t="s">
        <v>858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133</v>
      </c>
      <c r="L530" s="37" t="s">
        <v>46</v>
      </c>
      <c r="M530" s="38" t="s">
        <v>125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850</v>
      </c>
      <c r="AG530" s="78"/>
      <c r="AJ530" s="84" t="s">
        <v>46</v>
      </c>
      <c r="AK530" s="84">
        <v>0</v>
      </c>
      <c r="BB530" s="641" t="s">
        <v>66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859</v>
      </c>
      <c r="B531" s="63" t="s">
        <v>860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133</v>
      </c>
      <c r="L531" s="37" t="s">
        <v>46</v>
      </c>
      <c r="M531" s="38" t="s">
        <v>80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853</v>
      </c>
      <c r="AG531" s="78"/>
      <c r="AJ531" s="84" t="s">
        <v>46</v>
      </c>
      <c r="AK531" s="84">
        <v>0</v>
      </c>
      <c r="BB531" s="643" t="s">
        <v>66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859</v>
      </c>
      <c r="B532" s="63" t="s">
        <v>861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133</v>
      </c>
      <c r="L532" s="37" t="s">
        <v>46</v>
      </c>
      <c r="M532" s="38" t="s">
        <v>80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853</v>
      </c>
      <c r="AG532" s="78"/>
      <c r="AJ532" s="84" t="s">
        <v>46</v>
      </c>
      <c r="AK532" s="84">
        <v>0</v>
      </c>
      <c r="BB532" s="645" t="s">
        <v>66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862</v>
      </c>
      <c r="B533" s="63" t="s">
        <v>863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133</v>
      </c>
      <c r="L533" s="37" t="s">
        <v>46</v>
      </c>
      <c r="M533" s="38" t="s">
        <v>80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856</v>
      </c>
      <c r="AG533" s="78"/>
      <c r="AJ533" s="84" t="s">
        <v>46</v>
      </c>
      <c r="AK533" s="84">
        <v>0</v>
      </c>
      <c r="BB533" s="647" t="s">
        <v>66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730" t="s">
        <v>864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864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121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hidden="1" customHeight="1" x14ac:dyDescent="0.25">
      <c r="A539" s="63" t="s">
        <v>865</v>
      </c>
      <c r="B539" s="63" t="s">
        <v>866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/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867</v>
      </c>
      <c r="AG539" s="78"/>
      <c r="AJ539" s="84" t="s">
        <v>46</v>
      </c>
      <c r="AK539" s="84">
        <v>0</v>
      </c>
      <c r="BB539" s="649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2" t="s">
        <v>154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868</v>
      </c>
      <c r="B543" s="63" t="s">
        <v>869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126</v>
      </c>
      <c r="L543" s="37" t="s">
        <v>46</v>
      </c>
      <c r="M543" s="38" t="s">
        <v>125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870</v>
      </c>
      <c r="AG543" s="78"/>
      <c r="AJ543" s="84" t="s">
        <v>46</v>
      </c>
      <c r="AK543" s="84">
        <v>0</v>
      </c>
      <c r="BB543" s="651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76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871</v>
      </c>
      <c r="B547" s="63" t="s">
        <v>872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133</v>
      </c>
      <c r="L547" s="37" t="s">
        <v>46</v>
      </c>
      <c r="M547" s="38" t="s">
        <v>80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873</v>
      </c>
      <c r="AG547" s="78"/>
      <c r="AJ547" s="84" t="s">
        <v>46</v>
      </c>
      <c r="AK547" s="84">
        <v>0</v>
      </c>
      <c r="BB547" s="653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85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hidden="1" customHeight="1" x14ac:dyDescent="0.25">
      <c r="A551" s="63" t="s">
        <v>874</v>
      </c>
      <c r="B551" s="63" t="s">
        <v>875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/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876</v>
      </c>
      <c r="AG551" s="78"/>
      <c r="AJ551" s="84" t="s">
        <v>46</v>
      </c>
      <c r="AK551" s="84">
        <v>0</v>
      </c>
      <c r="BB551" s="655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2" t="s">
        <v>172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877</v>
      </c>
      <c r="B555" s="63" t="s">
        <v>878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126</v>
      </c>
      <c r="L555" s="37" t="s">
        <v>46</v>
      </c>
      <c r="M555" s="38" t="s">
        <v>89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879</v>
      </c>
      <c r="AG555" s="78"/>
      <c r="AJ555" s="84" t="s">
        <v>46</v>
      </c>
      <c r="AK555" s="84">
        <v>0</v>
      </c>
      <c r="BB555" s="657" t="s">
        <v>66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880</v>
      </c>
      <c r="B556" s="63" t="s">
        <v>881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126</v>
      </c>
      <c r="L556" s="37" t="s">
        <v>46</v>
      </c>
      <c r="M556" s="38" t="s">
        <v>89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882</v>
      </c>
      <c r="AG556" s="78"/>
      <c r="AJ556" s="84" t="s">
        <v>46</v>
      </c>
      <c r="AK556" s="84">
        <v>0</v>
      </c>
      <c r="BB556" s="65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883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154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884</v>
      </c>
      <c r="B561" s="63" t="s">
        <v>885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126</v>
      </c>
      <c r="L561" s="37" t="s">
        <v>46</v>
      </c>
      <c r="M561" s="38" t="s">
        <v>125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886</v>
      </c>
      <c r="AG561" s="78"/>
      <c r="AJ561" s="84" t="s">
        <v>46</v>
      </c>
      <c r="AK561" s="84">
        <v>0</v>
      </c>
      <c r="BB561" s="661" t="s">
        <v>66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1999.88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2066.52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2088.5995932585929</v>
      </c>
      <c r="Y565" s="43">
        <f>IFERROR(SUM(BN22:BN561),"0")</f>
        <v>2158.1159999999995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2188.5995932585929</v>
      </c>
      <c r="Y567" s="43">
        <f>GrossWeightTotalR+PalletQtyTotalR*25</f>
        <v>2258.1159999999995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276.08045658045654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286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3.7544300000000002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75</v>
      </c>
      <c r="C571" s="85" t="s">
        <v>45</v>
      </c>
      <c r="D571" s="1028" t="s">
        <v>119</v>
      </c>
      <c r="E571" s="1028" t="s">
        <v>119</v>
      </c>
      <c r="F571" s="1028" t="s">
        <v>119</v>
      </c>
      <c r="G571" s="1028" t="s">
        <v>119</v>
      </c>
      <c r="H571" s="1028" t="s">
        <v>119</v>
      </c>
      <c r="I571" s="1028" t="s">
        <v>119</v>
      </c>
      <c r="J571" s="1028" t="s">
        <v>119</v>
      </c>
      <c r="K571" s="1028" t="s">
        <v>369</v>
      </c>
      <c r="L571" s="1028" t="s">
        <v>369</v>
      </c>
      <c r="M571" s="1028" t="s">
        <v>369</v>
      </c>
      <c r="N571" s="1034"/>
      <c r="O571" s="1028" t="s">
        <v>369</v>
      </c>
      <c r="P571" s="1028" t="s">
        <v>369</v>
      </c>
      <c r="Q571" s="1028" t="s">
        <v>369</v>
      </c>
      <c r="R571" s="1028" t="s">
        <v>369</v>
      </c>
      <c r="S571" s="1028" t="s">
        <v>369</v>
      </c>
      <c r="T571" s="1028" t="s">
        <v>369</v>
      </c>
      <c r="U571" s="1028" t="s">
        <v>369</v>
      </c>
      <c r="V571" s="1028" t="s">
        <v>369</v>
      </c>
      <c r="W571" s="1028" t="s">
        <v>715</v>
      </c>
      <c r="X571" s="1028" t="s">
        <v>715</v>
      </c>
      <c r="Y571" s="1028" t="s">
        <v>781</v>
      </c>
      <c r="Z571" s="1028" t="s">
        <v>781</v>
      </c>
      <c r="AA571" s="85" t="s">
        <v>817</v>
      </c>
      <c r="AB571" s="1028" t="s">
        <v>864</v>
      </c>
      <c r="AC571" s="1028" t="s">
        <v>864</v>
      </c>
      <c r="AF571" s="1"/>
    </row>
    <row r="572" spans="1:68" ht="14.25" customHeight="1" thickTop="1" x14ac:dyDescent="0.2">
      <c r="A572" s="1035" t="s">
        <v>10</v>
      </c>
      <c r="B572" s="1028" t="s">
        <v>75</v>
      </c>
      <c r="C572" s="1028" t="s">
        <v>103</v>
      </c>
      <c r="D572" s="1028" t="s">
        <v>120</v>
      </c>
      <c r="E572" s="1028" t="s">
        <v>136</v>
      </c>
      <c r="F572" s="1028" t="s">
        <v>181</v>
      </c>
      <c r="G572" s="1028" t="s">
        <v>211</v>
      </c>
      <c r="H572" s="1028" t="s">
        <v>264</v>
      </c>
      <c r="I572" s="1028" t="s">
        <v>277</v>
      </c>
      <c r="J572" s="1028" t="s">
        <v>119</v>
      </c>
      <c r="K572" s="1028" t="s">
        <v>370</v>
      </c>
      <c r="L572" s="1028" t="s">
        <v>391</v>
      </c>
      <c r="M572" s="1028" t="s">
        <v>458</v>
      </c>
      <c r="N572" s="1"/>
      <c r="O572" s="1028" t="s">
        <v>526</v>
      </c>
      <c r="P572" s="1028" t="s">
        <v>559</v>
      </c>
      <c r="Q572" s="1028" t="s">
        <v>575</v>
      </c>
      <c r="R572" s="1028" t="s">
        <v>584</v>
      </c>
      <c r="S572" s="1028" t="s">
        <v>605</v>
      </c>
      <c r="T572" s="1028" t="s">
        <v>614</v>
      </c>
      <c r="U572" s="1028" t="s">
        <v>698</v>
      </c>
      <c r="V572" s="1028" t="s">
        <v>705</v>
      </c>
      <c r="W572" s="1028" t="s">
        <v>716</v>
      </c>
      <c r="X572" s="1028" t="s">
        <v>765</v>
      </c>
      <c r="Y572" s="1028" t="s">
        <v>782</v>
      </c>
      <c r="Z572" s="1028" t="s">
        <v>805</v>
      </c>
      <c r="AA572" s="1028" t="s">
        <v>817</v>
      </c>
      <c r="AB572" s="1028" t="s">
        <v>864</v>
      </c>
      <c r="AC572" s="1028" t="s">
        <v>883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76.5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13.5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115.08000000000001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162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21.6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7.8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46.2</v>
      </c>
      <c r="U574" s="52">
        <f>IFERROR(Y422*1,"0")+IFERROR(Y423*1,"0")</f>
        <v>0</v>
      </c>
      <c r="V574" s="52">
        <f>IFERROR(Y428*1,"0")+IFERROR(Y429*1,"0")+IFERROR(Y430*1,"0")</f>
        <v>16.8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915</v>
      </c>
      <c r="X574" s="52">
        <f>IFERROR(Y465*1,"0")+IFERROR(Y466*1,"0")+IFERROR(Y470*1,"0")+IFERROR(Y474*1,"0")+IFERROR(Y475*1,"0")+IFERROR(Y476*1,"0")</f>
        <v>24</v>
      </c>
      <c r="Y574" s="52">
        <f>IFERROR(Y482*1,"0")+IFERROR(Y483*1,"0")+IFERROR(Y484*1,"0")+IFERROR(Y485*1,"0")+IFERROR(Y486*1,"0")+IFERROR(Y487*1,"0")+IFERROR(Y491*1,"0")+IFERROR(Y492*1,"0")</f>
        <v>48.6</v>
      </c>
      <c r="Z574" s="52">
        <f>IFERROR(Y497*1,"0")+IFERROR(Y501*1,"0")+IFERROR(Y502*1,"0")+IFERROR(Y503*1,"0")</f>
        <v>32.400000000000006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543.84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0"/>
        <filter val="1 999,88"/>
        <filter val="1,67"/>
        <filter val="1,85"/>
        <filter val="10,71"/>
        <filter val="100,00"/>
        <filter val="110,00"/>
        <filter val="110,08"/>
        <filter val="13,50"/>
        <filter val="15,00"/>
        <filter val="150,00"/>
        <filter val="16,67"/>
        <filter val="16,80"/>
        <filter val="2 088,60"/>
        <filter val="2 188,60"/>
        <filter val="20,00"/>
        <filter val="20,83"/>
        <filter val="200,00"/>
        <filter val="22,50"/>
        <filter val="25,00"/>
        <filter val="250,00"/>
        <filter val="27,78"/>
        <filter val="270,00"/>
        <filter val="276,08"/>
        <filter val="28,41"/>
        <filter val="3,00"/>
        <filter val="30,00"/>
        <filter val="300,00"/>
        <filter val="34,57"/>
        <filter val="4"/>
        <filter val="43,33"/>
        <filter val="45,00"/>
        <filter val="5,04"/>
        <filter val="5,56"/>
        <filter val="50,00"/>
        <filter val="51,14"/>
        <filter val="650,00"/>
        <filter val="7,00"/>
        <filter val="70,00"/>
        <filter val="72,50"/>
        <filter val="75,00"/>
        <filter val="8,00"/>
        <filter val="8,33"/>
        <filter val="9,63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887</v>
      </c>
      <c r="H1" s="9"/>
    </row>
    <row r="3" spans="2:8" x14ac:dyDescent="0.2">
      <c r="B3" s="53" t="s">
        <v>888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890</v>
      </c>
      <c r="C6" s="53" t="s">
        <v>891</v>
      </c>
      <c r="D6" s="53" t="s">
        <v>892</v>
      </c>
      <c r="E6" s="53" t="s">
        <v>46</v>
      </c>
    </row>
    <row r="7" spans="2:8" x14ac:dyDescent="0.2">
      <c r="B7" s="53" t="s">
        <v>893</v>
      </c>
      <c r="C7" s="53" t="s">
        <v>894</v>
      </c>
      <c r="D7" s="53" t="s">
        <v>895</v>
      </c>
      <c r="E7" s="53" t="s">
        <v>46</v>
      </c>
    </row>
    <row r="9" spans="2:8" x14ac:dyDescent="0.2">
      <c r="B9" s="53" t="s">
        <v>896</v>
      </c>
      <c r="C9" s="53" t="s">
        <v>891</v>
      </c>
      <c r="D9" s="53" t="s">
        <v>46</v>
      </c>
      <c r="E9" s="53" t="s">
        <v>46</v>
      </c>
    </row>
    <row r="11" spans="2:8" x14ac:dyDescent="0.2">
      <c r="B11" s="53" t="s">
        <v>896</v>
      </c>
      <c r="C11" s="53" t="s">
        <v>894</v>
      </c>
      <c r="D11" s="53" t="s">
        <v>46</v>
      </c>
      <c r="E11" s="53" t="s">
        <v>46</v>
      </c>
    </row>
    <row r="13" spans="2:8" x14ac:dyDescent="0.2">
      <c r="B13" s="53" t="s">
        <v>897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907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