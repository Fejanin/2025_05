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1A13FD1-951C-4DD7-AE7F-5264EF5D9FC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1" l="1"/>
  <c r="X559" i="1"/>
  <c r="BP558" i="1"/>
  <c r="BO558" i="1"/>
  <c r="BM558" i="1"/>
  <c r="Z558" i="1"/>
  <c r="Z559" i="1" s="1"/>
  <c r="Y558" i="1"/>
  <c r="AC571" i="1" s="1"/>
  <c r="P558" i="1"/>
  <c r="X555" i="1"/>
  <c r="Y554" i="1"/>
  <c r="X554" i="1"/>
  <c r="BO553" i="1"/>
  <c r="BN553" i="1"/>
  <c r="BM553" i="1"/>
  <c r="Y553" i="1"/>
  <c r="BP553" i="1" s="1"/>
  <c r="P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2" i="1"/>
  <c r="X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Y532" i="1" s="1"/>
  <c r="P524" i="1"/>
  <c r="X522" i="1"/>
  <c r="X521" i="1"/>
  <c r="BO520" i="1"/>
  <c r="BM520" i="1"/>
  <c r="Y520" i="1"/>
  <c r="P520" i="1"/>
  <c r="BP519" i="1"/>
  <c r="BO519" i="1"/>
  <c r="BN519" i="1"/>
  <c r="BM519" i="1"/>
  <c r="Z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O499" i="1"/>
  <c r="BM499" i="1"/>
  <c r="Y499" i="1"/>
  <c r="P499" i="1"/>
  <c r="BO498" i="1"/>
  <c r="BM498" i="1"/>
  <c r="Y498" i="1"/>
  <c r="Y502" i="1" s="1"/>
  <c r="P498" i="1"/>
  <c r="X496" i="1"/>
  <c r="X495" i="1"/>
  <c r="BO494" i="1"/>
  <c r="BM494" i="1"/>
  <c r="Y494" i="1"/>
  <c r="P494" i="1"/>
  <c r="X491" i="1"/>
  <c r="X490" i="1"/>
  <c r="BO489" i="1"/>
  <c r="BN489" i="1"/>
  <c r="BM489" i="1"/>
  <c r="Y489" i="1"/>
  <c r="BP489" i="1" s="1"/>
  <c r="P489" i="1"/>
  <c r="BO488" i="1"/>
  <c r="BM488" i="1"/>
  <c r="Y488" i="1"/>
  <c r="Y491" i="1" s="1"/>
  <c r="P488" i="1"/>
  <c r="X486" i="1"/>
  <c r="X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N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P479" i="1"/>
  <c r="X475" i="1"/>
  <c r="X474" i="1"/>
  <c r="BO473" i="1"/>
  <c r="BM473" i="1"/>
  <c r="Y473" i="1"/>
  <c r="BN473" i="1" s="1"/>
  <c r="P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N463" i="1"/>
  <c r="BM463" i="1"/>
  <c r="Y463" i="1"/>
  <c r="BP463" i="1" s="1"/>
  <c r="P463" i="1"/>
  <c r="BO462" i="1"/>
  <c r="BM462" i="1"/>
  <c r="Y462" i="1"/>
  <c r="P462" i="1"/>
  <c r="X459" i="1"/>
  <c r="X458" i="1"/>
  <c r="BO457" i="1"/>
  <c r="BM457" i="1"/>
  <c r="Y457" i="1"/>
  <c r="BP457" i="1" s="1"/>
  <c r="P457" i="1"/>
  <c r="BO456" i="1"/>
  <c r="BM456" i="1"/>
  <c r="Y456" i="1"/>
  <c r="P456" i="1"/>
  <c r="X454" i="1"/>
  <c r="X453" i="1"/>
  <c r="BO452" i="1"/>
  <c r="BN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O446" i="1"/>
  <c r="BN446" i="1"/>
  <c r="BM446" i="1"/>
  <c r="Y446" i="1"/>
  <c r="BP446" i="1" s="1"/>
  <c r="P446" i="1"/>
  <c r="BO445" i="1"/>
  <c r="BM445" i="1"/>
  <c r="Y445" i="1"/>
  <c r="BP445" i="1" s="1"/>
  <c r="P445" i="1"/>
  <c r="BO444" i="1"/>
  <c r="BM444" i="1"/>
  <c r="Y444" i="1"/>
  <c r="P444" i="1"/>
  <c r="X442" i="1"/>
  <c r="X441" i="1"/>
  <c r="BO440" i="1"/>
  <c r="BM440" i="1"/>
  <c r="Y440" i="1"/>
  <c r="BN440" i="1" s="1"/>
  <c r="P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BP437" i="1" s="1"/>
  <c r="P437" i="1"/>
  <c r="BO436" i="1"/>
  <c r="BN436" i="1"/>
  <c r="BM436" i="1"/>
  <c r="Y436" i="1"/>
  <c r="BP436" i="1" s="1"/>
  <c r="P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X429" i="1"/>
  <c r="X428" i="1"/>
  <c r="BO427" i="1"/>
  <c r="BM427" i="1"/>
  <c r="Y427" i="1"/>
  <c r="BP427" i="1" s="1"/>
  <c r="P427" i="1"/>
  <c r="BO426" i="1"/>
  <c r="BM426" i="1"/>
  <c r="Y426" i="1"/>
  <c r="BN426" i="1" s="1"/>
  <c r="P426" i="1"/>
  <c r="BO425" i="1"/>
  <c r="BM425" i="1"/>
  <c r="Y425" i="1"/>
  <c r="P425" i="1"/>
  <c r="X422" i="1"/>
  <c r="X421" i="1"/>
  <c r="BO420" i="1"/>
  <c r="BM420" i="1"/>
  <c r="Y420" i="1"/>
  <c r="BP420" i="1" s="1"/>
  <c r="P420" i="1"/>
  <c r="BO419" i="1"/>
  <c r="BM419" i="1"/>
  <c r="Y419" i="1"/>
  <c r="P419" i="1"/>
  <c r="X416" i="1"/>
  <c r="X415" i="1"/>
  <c r="BO414" i="1"/>
  <c r="BN414" i="1"/>
  <c r="BM414" i="1"/>
  <c r="Y414" i="1"/>
  <c r="BP414" i="1" s="1"/>
  <c r="P414" i="1"/>
  <c r="BO413" i="1"/>
  <c r="BM413" i="1"/>
  <c r="Y413" i="1"/>
  <c r="BP413" i="1" s="1"/>
  <c r="P413" i="1"/>
  <c r="BO412" i="1"/>
  <c r="BM412" i="1"/>
  <c r="Y412" i="1"/>
  <c r="P412" i="1"/>
  <c r="X410" i="1"/>
  <c r="X409" i="1"/>
  <c r="BO408" i="1"/>
  <c r="BM408" i="1"/>
  <c r="Y408" i="1"/>
  <c r="BN408" i="1" s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4" i="1" s="1"/>
  <c r="P399" i="1"/>
  <c r="X397" i="1"/>
  <c r="X396" i="1"/>
  <c r="BO395" i="1"/>
  <c r="BM395" i="1"/>
  <c r="Y395" i="1"/>
  <c r="BP395" i="1" s="1"/>
  <c r="P395" i="1"/>
  <c r="BO394" i="1"/>
  <c r="BN394" i="1"/>
  <c r="BM394" i="1"/>
  <c r="Y394" i="1"/>
  <c r="BP394" i="1" s="1"/>
  <c r="P394" i="1"/>
  <c r="BO393" i="1"/>
  <c r="BM393" i="1"/>
  <c r="Y393" i="1"/>
  <c r="P393" i="1"/>
  <c r="X391" i="1"/>
  <c r="X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N386" i="1"/>
  <c r="BM386" i="1"/>
  <c r="Y386" i="1"/>
  <c r="BP386" i="1" s="1"/>
  <c r="P386" i="1"/>
  <c r="X384" i="1"/>
  <c r="X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BN380" i="1" s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N376" i="1"/>
  <c r="BM376" i="1"/>
  <c r="Y376" i="1"/>
  <c r="BP376" i="1" s="1"/>
  <c r="P376" i="1"/>
  <c r="X374" i="1"/>
  <c r="X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BN370" i="1" s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BP367" i="1" s="1"/>
  <c r="P367" i="1"/>
  <c r="BO366" i="1"/>
  <c r="BN366" i="1"/>
  <c r="BM366" i="1"/>
  <c r="Y366" i="1"/>
  <c r="BP366" i="1" s="1"/>
  <c r="P366" i="1"/>
  <c r="X363" i="1"/>
  <c r="X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BN359" i="1" s="1"/>
  <c r="P359" i="1"/>
  <c r="X356" i="1"/>
  <c r="X355" i="1"/>
  <c r="BO354" i="1"/>
  <c r="BM354" i="1"/>
  <c r="Y354" i="1"/>
  <c r="Z354" i="1" s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BN346" i="1" s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BP339" i="1" s="1"/>
  <c r="P339" i="1"/>
  <c r="BO338" i="1"/>
  <c r="BM338" i="1"/>
  <c r="Y338" i="1"/>
  <c r="Y342" i="1" s="1"/>
  <c r="P338" i="1"/>
  <c r="X335" i="1"/>
  <c r="X334" i="1"/>
  <c r="BO333" i="1"/>
  <c r="BM333" i="1"/>
  <c r="Y333" i="1"/>
  <c r="P333" i="1"/>
  <c r="BO332" i="1"/>
  <c r="BN332" i="1"/>
  <c r="BM332" i="1"/>
  <c r="Y332" i="1"/>
  <c r="BP332" i="1" s="1"/>
  <c r="P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N328" i="1"/>
  <c r="BM328" i="1"/>
  <c r="Y328" i="1"/>
  <c r="BP328" i="1" s="1"/>
  <c r="P328" i="1"/>
  <c r="X325" i="1"/>
  <c r="X324" i="1"/>
  <c r="BO323" i="1"/>
  <c r="BM323" i="1"/>
  <c r="Y323" i="1"/>
  <c r="Y325" i="1" s="1"/>
  <c r="P323" i="1"/>
  <c r="X321" i="1"/>
  <c r="Y320" i="1"/>
  <c r="X320" i="1"/>
  <c r="BO319" i="1"/>
  <c r="BN319" i="1"/>
  <c r="BM319" i="1"/>
  <c r="Y319" i="1"/>
  <c r="Y321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N305" i="1" s="1"/>
  <c r="P305" i="1"/>
  <c r="X302" i="1"/>
  <c r="X301" i="1"/>
  <c r="BO300" i="1"/>
  <c r="BM300" i="1"/>
  <c r="Y300" i="1"/>
  <c r="BP300" i="1" s="1"/>
  <c r="P300" i="1"/>
  <c r="BO299" i="1"/>
  <c r="BM299" i="1"/>
  <c r="Y299" i="1"/>
  <c r="Y301" i="1" s="1"/>
  <c r="P299" i="1"/>
  <c r="X297" i="1"/>
  <c r="X296" i="1"/>
  <c r="BO295" i="1"/>
  <c r="BM295" i="1"/>
  <c r="Y295" i="1"/>
  <c r="BP295" i="1" s="1"/>
  <c r="P295" i="1"/>
  <c r="BO294" i="1"/>
  <c r="BN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N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N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X271" i="1"/>
  <c r="X270" i="1"/>
  <c r="BO269" i="1"/>
  <c r="BM269" i="1"/>
  <c r="Y269" i="1"/>
  <c r="P269" i="1"/>
  <c r="BO268" i="1"/>
  <c r="BN268" i="1"/>
  <c r="BM268" i="1"/>
  <c r="Y268" i="1"/>
  <c r="BP268" i="1" s="1"/>
  <c r="P268" i="1"/>
  <c r="X266" i="1"/>
  <c r="X265" i="1"/>
  <c r="BO264" i="1"/>
  <c r="BM264" i="1"/>
  <c r="Y264" i="1"/>
  <c r="BN264" i="1" s="1"/>
  <c r="P264" i="1"/>
  <c r="BO263" i="1"/>
  <c r="BM263" i="1"/>
  <c r="Y263" i="1"/>
  <c r="Y265" i="1" s="1"/>
  <c r="P263" i="1"/>
  <c r="X260" i="1"/>
  <c r="X259" i="1"/>
  <c r="BO258" i="1"/>
  <c r="BM258" i="1"/>
  <c r="Y258" i="1"/>
  <c r="P258" i="1"/>
  <c r="X256" i="1"/>
  <c r="X255" i="1"/>
  <c r="BO254" i="1"/>
  <c r="BM254" i="1"/>
  <c r="Y254" i="1"/>
  <c r="Z254" i="1" s="1"/>
  <c r="P254" i="1"/>
  <c r="BO253" i="1"/>
  <c r="BM253" i="1"/>
  <c r="Y253" i="1"/>
  <c r="BP253" i="1" s="1"/>
  <c r="P253" i="1"/>
  <c r="BO252" i="1"/>
  <c r="BM252" i="1"/>
  <c r="Y252" i="1"/>
  <c r="Y255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N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Y250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N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N223" i="1"/>
  <c r="BM223" i="1"/>
  <c r="Y223" i="1"/>
  <c r="BP223" i="1" s="1"/>
  <c r="P223" i="1"/>
  <c r="BO222" i="1"/>
  <c r="BM222" i="1"/>
  <c r="Y222" i="1"/>
  <c r="P222" i="1"/>
  <c r="X220" i="1"/>
  <c r="X219" i="1"/>
  <c r="BO218" i="1"/>
  <c r="BM218" i="1"/>
  <c r="Y218" i="1"/>
  <c r="P218" i="1"/>
  <c r="X215" i="1"/>
  <c r="X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3" i="1"/>
  <c r="X202" i="1"/>
  <c r="BO201" i="1"/>
  <c r="BM201" i="1"/>
  <c r="Y201" i="1"/>
  <c r="Y203" i="1" s="1"/>
  <c r="P201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O192" i="1"/>
  <c r="BN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N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Y175" i="1" s="1"/>
  <c r="P173" i="1"/>
  <c r="BO172" i="1"/>
  <c r="BN172" i="1"/>
  <c r="BM172" i="1"/>
  <c r="Y172" i="1"/>
  <c r="BP172" i="1" s="1"/>
  <c r="P172" i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N166" i="1" s="1"/>
  <c r="P166" i="1"/>
  <c r="BO165" i="1"/>
  <c r="BM165" i="1"/>
  <c r="Y165" i="1"/>
  <c r="P165" i="1"/>
  <c r="X162" i="1"/>
  <c r="X161" i="1"/>
  <c r="BO160" i="1"/>
  <c r="BM160" i="1"/>
  <c r="Y160" i="1"/>
  <c r="Y162" i="1" s="1"/>
  <c r="P160" i="1"/>
  <c r="X158" i="1"/>
  <c r="X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Y128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N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N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Y98" i="1"/>
  <c r="BP98" i="1" s="1"/>
  <c r="P98" i="1"/>
  <c r="BP97" i="1"/>
  <c r="BO97" i="1"/>
  <c r="BM97" i="1"/>
  <c r="Z97" i="1"/>
  <c r="Y97" i="1"/>
  <c r="BN97" i="1" s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M87" i="1"/>
  <c r="Z87" i="1"/>
  <c r="Y87" i="1"/>
  <c r="BN87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N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BP71" i="1" s="1"/>
  <c r="P71" i="1"/>
  <c r="BP70" i="1"/>
  <c r="BO70" i="1"/>
  <c r="BM70" i="1"/>
  <c r="Z70" i="1"/>
  <c r="Y70" i="1"/>
  <c r="BN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P48" i="1"/>
  <c r="BO47" i="1"/>
  <c r="BM47" i="1"/>
  <c r="Y47" i="1"/>
  <c r="BP47" i="1" s="1"/>
  <c r="P47" i="1"/>
  <c r="X43" i="1"/>
  <c r="X42" i="1"/>
  <c r="BO41" i="1"/>
  <c r="BN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A10" i="1" s="1"/>
  <c r="D7" i="1"/>
  <c r="Q6" i="1"/>
  <c r="P2" i="1"/>
  <c r="X562" i="1" l="1"/>
  <c r="Z23" i="1"/>
  <c r="BP23" i="1"/>
  <c r="Y33" i="1"/>
  <c r="Z111" i="1"/>
  <c r="BP111" i="1"/>
  <c r="Y121" i="1"/>
  <c r="Z146" i="1"/>
  <c r="BP146" i="1"/>
  <c r="Z166" i="1"/>
  <c r="BP166" i="1"/>
  <c r="Z231" i="1"/>
  <c r="BP231" i="1"/>
  <c r="Z243" i="1"/>
  <c r="BP243" i="1"/>
  <c r="Z264" i="1"/>
  <c r="BP264" i="1"/>
  <c r="Z305" i="1"/>
  <c r="BP305" i="1"/>
  <c r="Z315" i="1"/>
  <c r="Z316" i="1" s="1"/>
  <c r="BP315" i="1"/>
  <c r="Z323" i="1"/>
  <c r="Z324" i="1" s="1"/>
  <c r="BP323" i="1"/>
  <c r="Y335" i="1"/>
  <c r="Z346" i="1"/>
  <c r="BP346" i="1"/>
  <c r="Z359" i="1"/>
  <c r="BP359" i="1"/>
  <c r="Z370" i="1"/>
  <c r="BP370" i="1"/>
  <c r="Z380" i="1"/>
  <c r="BP380" i="1"/>
  <c r="Z408" i="1"/>
  <c r="BP408" i="1"/>
  <c r="Z426" i="1"/>
  <c r="BP426" i="1"/>
  <c r="Z440" i="1"/>
  <c r="BP440" i="1"/>
  <c r="Z473" i="1"/>
  <c r="BP473" i="1"/>
  <c r="Z527" i="1"/>
  <c r="BP527" i="1"/>
  <c r="Z29" i="1"/>
  <c r="Z41" i="1"/>
  <c r="Z117" i="1"/>
  <c r="Z136" i="1"/>
  <c r="Z153" i="1"/>
  <c r="Z172" i="1"/>
  <c r="Y189" i="1"/>
  <c r="Z184" i="1"/>
  <c r="Z227" i="1"/>
  <c r="Z294" i="1"/>
  <c r="Z332" i="1"/>
  <c r="Z366" i="1"/>
  <c r="Z376" i="1"/>
  <c r="Z386" i="1"/>
  <c r="Z414" i="1"/>
  <c r="Z436" i="1"/>
  <c r="Z446" i="1"/>
  <c r="Z463" i="1"/>
  <c r="Z481" i="1"/>
  <c r="Z553" i="1"/>
  <c r="BN558" i="1"/>
  <c r="Y559" i="1"/>
  <c r="X561" i="1"/>
  <c r="Z37" i="1"/>
  <c r="Z49" i="1"/>
  <c r="E571" i="1"/>
  <c r="Z62" i="1"/>
  <c r="Z80" i="1"/>
  <c r="Z123" i="1"/>
  <c r="Z180" i="1"/>
  <c r="Z192" i="1"/>
  <c r="K571" i="1"/>
  <c r="Z223" i="1"/>
  <c r="Z268" i="1"/>
  <c r="Z280" i="1"/>
  <c r="Y297" i="1"/>
  <c r="Z290" i="1"/>
  <c r="Y312" i="1"/>
  <c r="BN315" i="1"/>
  <c r="Y316" i="1"/>
  <c r="Z319" i="1"/>
  <c r="Z320" i="1" s="1"/>
  <c r="BP319" i="1"/>
  <c r="BN323" i="1"/>
  <c r="Y324" i="1"/>
  <c r="Z328" i="1"/>
  <c r="Z394" i="1"/>
  <c r="Z452" i="1"/>
  <c r="Z489" i="1"/>
  <c r="Z511" i="1"/>
  <c r="BP368" i="1"/>
  <c r="BN368" i="1"/>
  <c r="Z368" i="1"/>
  <c r="BP378" i="1"/>
  <c r="BN378" i="1"/>
  <c r="Z378" i="1"/>
  <c r="BP388" i="1"/>
  <c r="BN388" i="1"/>
  <c r="Z388" i="1"/>
  <c r="Y410" i="1"/>
  <c r="BP406" i="1"/>
  <c r="BN406" i="1"/>
  <c r="Z406" i="1"/>
  <c r="BP419" i="1"/>
  <c r="BN419" i="1"/>
  <c r="Z419" i="1"/>
  <c r="BP438" i="1"/>
  <c r="BN438" i="1"/>
  <c r="Z438" i="1"/>
  <c r="Y454" i="1"/>
  <c r="BP450" i="1"/>
  <c r="BN450" i="1"/>
  <c r="Z450" i="1"/>
  <c r="Y469" i="1"/>
  <c r="Y468" i="1"/>
  <c r="BP467" i="1"/>
  <c r="BN467" i="1"/>
  <c r="Z467" i="1"/>
  <c r="Z468" i="1" s="1"/>
  <c r="Y475" i="1"/>
  <c r="BP471" i="1"/>
  <c r="BN471" i="1"/>
  <c r="Z471" i="1"/>
  <c r="BP483" i="1"/>
  <c r="BN483" i="1"/>
  <c r="Z483" i="1"/>
  <c r="BP509" i="1"/>
  <c r="BN509" i="1"/>
  <c r="Z509" i="1"/>
  <c r="BP525" i="1"/>
  <c r="BN525" i="1"/>
  <c r="Z525" i="1"/>
  <c r="B571" i="1"/>
  <c r="X563" i="1"/>
  <c r="X564" i="1" s="1"/>
  <c r="X565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6" i="1"/>
  <c r="BN76" i="1"/>
  <c r="Y83" i="1"/>
  <c r="Z82" i="1"/>
  <c r="BN82" i="1"/>
  <c r="Z89" i="1"/>
  <c r="BN89" i="1"/>
  <c r="Z95" i="1"/>
  <c r="BN95" i="1"/>
  <c r="BP95" i="1"/>
  <c r="Z109" i="1"/>
  <c r="BN109" i="1"/>
  <c r="Z115" i="1"/>
  <c r="BN115" i="1"/>
  <c r="BP115" i="1"/>
  <c r="Z119" i="1"/>
  <c r="BN119" i="1"/>
  <c r="Y127" i="1"/>
  <c r="Z125" i="1"/>
  <c r="BN125" i="1"/>
  <c r="Z140" i="1"/>
  <c r="BN140" i="1"/>
  <c r="BP140" i="1"/>
  <c r="Z151" i="1"/>
  <c r="BN151" i="1"/>
  <c r="Y158" i="1"/>
  <c r="Z155" i="1"/>
  <c r="BN155" i="1"/>
  <c r="J571" i="1"/>
  <c r="Z168" i="1"/>
  <c r="BN168" i="1"/>
  <c r="Y174" i="1"/>
  <c r="Z178" i="1"/>
  <c r="BN178" i="1"/>
  <c r="Z182" i="1"/>
  <c r="BN182" i="1"/>
  <c r="Z186" i="1"/>
  <c r="BN186" i="1"/>
  <c r="Y195" i="1"/>
  <c r="Z208" i="1"/>
  <c r="BN208" i="1"/>
  <c r="Z212" i="1"/>
  <c r="BN212" i="1"/>
  <c r="L571" i="1"/>
  <c r="Y238" i="1"/>
  <c r="Z225" i="1"/>
  <c r="BN225" i="1"/>
  <c r="Z229" i="1"/>
  <c r="BN229" i="1"/>
  <c r="Z233" i="1"/>
  <c r="BN233" i="1"/>
  <c r="Z241" i="1"/>
  <c r="BN241" i="1"/>
  <c r="Z245" i="1"/>
  <c r="BN245" i="1"/>
  <c r="Z253" i="1"/>
  <c r="BN253" i="1"/>
  <c r="Z274" i="1"/>
  <c r="BN274" i="1"/>
  <c r="Z278" i="1"/>
  <c r="BN278" i="1"/>
  <c r="Z284" i="1"/>
  <c r="BN284" i="1"/>
  <c r="BP284" i="1"/>
  <c r="Z288" i="1"/>
  <c r="BN288" i="1"/>
  <c r="Z292" i="1"/>
  <c r="BN292" i="1"/>
  <c r="Z300" i="1"/>
  <c r="BN300" i="1"/>
  <c r="Z307" i="1"/>
  <c r="BN307" i="1"/>
  <c r="Z311" i="1"/>
  <c r="BN311" i="1"/>
  <c r="Z330" i="1"/>
  <c r="BN330" i="1"/>
  <c r="Z339" i="1"/>
  <c r="BN339" i="1"/>
  <c r="Z348" i="1"/>
  <c r="BN348" i="1"/>
  <c r="BP354" i="1"/>
  <c r="BN354" i="1"/>
  <c r="BP361" i="1"/>
  <c r="BN361" i="1"/>
  <c r="Z361" i="1"/>
  <c r="BP372" i="1"/>
  <c r="BN372" i="1"/>
  <c r="Z372" i="1"/>
  <c r="BP382" i="1"/>
  <c r="BN382" i="1"/>
  <c r="Z382" i="1"/>
  <c r="BP400" i="1"/>
  <c r="BN400" i="1"/>
  <c r="Z400" i="1"/>
  <c r="Y416" i="1"/>
  <c r="BP412" i="1"/>
  <c r="BN412" i="1"/>
  <c r="Z412" i="1"/>
  <c r="W571" i="1"/>
  <c r="BP434" i="1"/>
  <c r="BN434" i="1"/>
  <c r="Z434" i="1"/>
  <c r="Y448" i="1"/>
  <c r="BP444" i="1"/>
  <c r="BN444" i="1"/>
  <c r="Z444" i="1"/>
  <c r="Y458" i="1"/>
  <c r="BP456" i="1"/>
  <c r="BN456" i="1"/>
  <c r="Z456" i="1"/>
  <c r="Y486" i="1"/>
  <c r="BP479" i="1"/>
  <c r="BN479" i="1"/>
  <c r="Z479" i="1"/>
  <c r="Y496" i="1"/>
  <c r="Y495" i="1"/>
  <c r="BP494" i="1"/>
  <c r="BN494" i="1"/>
  <c r="Z494" i="1"/>
  <c r="Z495" i="1" s="1"/>
  <c r="BP499" i="1"/>
  <c r="BN499" i="1"/>
  <c r="Z499" i="1"/>
  <c r="BP513" i="1"/>
  <c r="BN513" i="1"/>
  <c r="Z513" i="1"/>
  <c r="BP529" i="1"/>
  <c r="BN529" i="1"/>
  <c r="Z529" i="1"/>
  <c r="T571" i="1"/>
  <c r="Y384" i="1"/>
  <c r="Y390" i="1"/>
  <c r="Y396" i="1"/>
  <c r="Y428" i="1"/>
  <c r="X571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71" i="1"/>
  <c r="Z38" i="1"/>
  <c r="Z42" i="1" s="1"/>
  <c r="BN38" i="1"/>
  <c r="BP38" i="1"/>
  <c r="Z40" i="1"/>
  <c r="BN40" i="1"/>
  <c r="Y43" i="1"/>
  <c r="D571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Y72" i="1"/>
  <c r="Z75" i="1"/>
  <c r="Z77" i="1" s="1"/>
  <c r="BN75" i="1"/>
  <c r="BP75" i="1"/>
  <c r="Y78" i="1"/>
  <c r="Z81" i="1"/>
  <c r="BN81" i="1"/>
  <c r="Y84" i="1"/>
  <c r="F571" i="1"/>
  <c r="Z88" i="1"/>
  <c r="BN88" i="1"/>
  <c r="Z90" i="1"/>
  <c r="BN90" i="1"/>
  <c r="Y93" i="1"/>
  <c r="Z96" i="1"/>
  <c r="BN96" i="1"/>
  <c r="Z98" i="1"/>
  <c r="BN98" i="1"/>
  <c r="Y99" i="1"/>
  <c r="Z103" i="1"/>
  <c r="BN103" i="1"/>
  <c r="Z105" i="1"/>
  <c r="BN105" i="1"/>
  <c r="Z107" i="1"/>
  <c r="BN107" i="1"/>
  <c r="BP108" i="1"/>
  <c r="BN108" i="1"/>
  <c r="BP110" i="1"/>
  <c r="BN110" i="1"/>
  <c r="Z110" i="1"/>
  <c r="BP118" i="1"/>
  <c r="BN118" i="1"/>
  <c r="Z118" i="1"/>
  <c r="BP126" i="1"/>
  <c r="BN126" i="1"/>
  <c r="Z126" i="1"/>
  <c r="Y131" i="1"/>
  <c r="BP130" i="1"/>
  <c r="BN130" i="1"/>
  <c r="Z130" i="1"/>
  <c r="Z131" i="1" s="1"/>
  <c r="Y132" i="1"/>
  <c r="H571" i="1"/>
  <c r="Y138" i="1"/>
  <c r="BP135" i="1"/>
  <c r="BN135" i="1"/>
  <c r="Z135" i="1"/>
  <c r="Z137" i="1" s="1"/>
  <c r="H9" i="1"/>
  <c r="Y24" i="1"/>
  <c r="Y65" i="1"/>
  <c r="Y92" i="1"/>
  <c r="G571" i="1"/>
  <c r="Y113" i="1"/>
  <c r="Z104" i="1"/>
  <c r="BN104" i="1"/>
  <c r="Z106" i="1"/>
  <c r="BN106" i="1"/>
  <c r="Z108" i="1"/>
  <c r="Y112" i="1"/>
  <c r="BP116" i="1"/>
  <c r="BN116" i="1"/>
  <c r="Z116" i="1"/>
  <c r="Z120" i="1" s="1"/>
  <c r="Y120" i="1"/>
  <c r="BP124" i="1"/>
  <c r="BN124" i="1"/>
  <c r="Z124" i="1"/>
  <c r="Z127" i="1" s="1"/>
  <c r="Y137" i="1"/>
  <c r="BP141" i="1"/>
  <c r="BN141" i="1"/>
  <c r="Z141" i="1"/>
  <c r="Z142" i="1" s="1"/>
  <c r="Y143" i="1"/>
  <c r="Y148" i="1"/>
  <c r="BP145" i="1"/>
  <c r="BN145" i="1"/>
  <c r="Z145" i="1"/>
  <c r="I571" i="1"/>
  <c r="Z152" i="1"/>
  <c r="Z157" i="1" s="1"/>
  <c r="BN152" i="1"/>
  <c r="BP152" i="1"/>
  <c r="Z154" i="1"/>
  <c r="BN154" i="1"/>
  <c r="Z156" i="1"/>
  <c r="BN156" i="1"/>
  <c r="Y157" i="1"/>
  <c r="Z160" i="1"/>
  <c r="Z161" i="1" s="1"/>
  <c r="BN160" i="1"/>
  <c r="BP160" i="1"/>
  <c r="Y161" i="1"/>
  <c r="Z165" i="1"/>
  <c r="Z169" i="1" s="1"/>
  <c r="BN165" i="1"/>
  <c r="BP165" i="1"/>
  <c r="Z167" i="1"/>
  <c r="BN167" i="1"/>
  <c r="Y170" i="1"/>
  <c r="Z173" i="1"/>
  <c r="BN173" i="1"/>
  <c r="BP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BN191" i="1"/>
  <c r="BP191" i="1"/>
  <c r="Z193" i="1"/>
  <c r="BN193" i="1"/>
  <c r="Y194" i="1"/>
  <c r="Z197" i="1"/>
  <c r="Z198" i="1" s="1"/>
  <c r="BN197" i="1"/>
  <c r="BP197" i="1"/>
  <c r="Y198" i="1"/>
  <c r="Z201" i="1"/>
  <c r="Z202" i="1" s="1"/>
  <c r="BN201" i="1"/>
  <c r="BP201" i="1"/>
  <c r="Y202" i="1"/>
  <c r="Z207" i="1"/>
  <c r="BN207" i="1"/>
  <c r="BP207" i="1"/>
  <c r="Z209" i="1"/>
  <c r="BN209" i="1"/>
  <c r="Z211" i="1"/>
  <c r="BN211" i="1"/>
  <c r="Z213" i="1"/>
  <c r="BN213" i="1"/>
  <c r="Y214" i="1"/>
  <c r="Z218" i="1"/>
  <c r="Z219" i="1" s="1"/>
  <c r="BN218" i="1"/>
  <c r="BP218" i="1"/>
  <c r="Y219" i="1"/>
  <c r="Z222" i="1"/>
  <c r="BN222" i="1"/>
  <c r="BP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Y237" i="1"/>
  <c r="Z240" i="1"/>
  <c r="BN240" i="1"/>
  <c r="BP240" i="1"/>
  <c r="Z242" i="1"/>
  <c r="BN242" i="1"/>
  <c r="Z244" i="1"/>
  <c r="BN244" i="1"/>
  <c r="Z246" i="1"/>
  <c r="BN246" i="1"/>
  <c r="Z248" i="1"/>
  <c r="BN248" i="1"/>
  <c r="Y249" i="1"/>
  <c r="Z252" i="1"/>
  <c r="BN252" i="1"/>
  <c r="BP252" i="1"/>
  <c r="Y256" i="1"/>
  <c r="Y259" i="1"/>
  <c r="BP258" i="1"/>
  <c r="BN258" i="1"/>
  <c r="Z258" i="1"/>
  <c r="Z259" i="1" s="1"/>
  <c r="Y260" i="1"/>
  <c r="M571" i="1"/>
  <c r="Y266" i="1"/>
  <c r="BP263" i="1"/>
  <c r="BN263" i="1"/>
  <c r="Z263" i="1"/>
  <c r="Y270" i="1"/>
  <c r="BP275" i="1"/>
  <c r="BN275" i="1"/>
  <c r="Z275" i="1"/>
  <c r="Y169" i="1"/>
  <c r="Y215" i="1"/>
  <c r="Y220" i="1"/>
  <c r="BP254" i="1"/>
  <c r="BN254" i="1"/>
  <c r="BP269" i="1"/>
  <c r="BN269" i="1"/>
  <c r="Z269" i="1"/>
  <c r="Y271" i="1"/>
  <c r="Y281" i="1"/>
  <c r="Y282" i="1"/>
  <c r="BP273" i="1"/>
  <c r="BN273" i="1"/>
  <c r="Z273" i="1"/>
  <c r="BP277" i="1"/>
  <c r="BN277" i="1"/>
  <c r="Z277" i="1"/>
  <c r="Z279" i="1"/>
  <c r="BN279" i="1"/>
  <c r="Z285" i="1"/>
  <c r="BN285" i="1"/>
  <c r="Z287" i="1"/>
  <c r="BN287" i="1"/>
  <c r="Z289" i="1"/>
  <c r="BN289" i="1"/>
  <c r="Z291" i="1"/>
  <c r="BN291" i="1"/>
  <c r="Z293" i="1"/>
  <c r="BN293" i="1"/>
  <c r="Z295" i="1"/>
  <c r="BN295" i="1"/>
  <c r="Y296" i="1"/>
  <c r="Z299" i="1"/>
  <c r="Z301" i="1" s="1"/>
  <c r="BN299" i="1"/>
  <c r="BP299" i="1"/>
  <c r="Y302" i="1"/>
  <c r="O571" i="1"/>
  <c r="Z306" i="1"/>
  <c r="Z312" i="1" s="1"/>
  <c r="BN306" i="1"/>
  <c r="BP306" i="1"/>
  <c r="Z308" i="1"/>
  <c r="BN308" i="1"/>
  <c r="Z310" i="1"/>
  <c r="BN310" i="1"/>
  <c r="Y313" i="1"/>
  <c r="P571" i="1"/>
  <c r="Y334" i="1"/>
  <c r="Z329" i="1"/>
  <c r="BN329" i="1"/>
  <c r="BP329" i="1"/>
  <c r="Z331" i="1"/>
  <c r="BN331" i="1"/>
  <c r="BP340" i="1"/>
  <c r="BN340" i="1"/>
  <c r="Z340" i="1"/>
  <c r="Y350" i="1"/>
  <c r="BP345" i="1"/>
  <c r="BN345" i="1"/>
  <c r="Z345" i="1"/>
  <c r="R571" i="1"/>
  <c r="Y351" i="1"/>
  <c r="BP333" i="1"/>
  <c r="BN333" i="1"/>
  <c r="Z333" i="1"/>
  <c r="Q571" i="1"/>
  <c r="Y341" i="1"/>
  <c r="BP338" i="1"/>
  <c r="BN338" i="1"/>
  <c r="Z338" i="1"/>
  <c r="Y355" i="1"/>
  <c r="Y362" i="1"/>
  <c r="Y373" i="1"/>
  <c r="Y383" i="1"/>
  <c r="Y391" i="1"/>
  <c r="Y397" i="1"/>
  <c r="Y403" i="1"/>
  <c r="Y409" i="1"/>
  <c r="Y415" i="1"/>
  <c r="Y422" i="1"/>
  <c r="Y429" i="1"/>
  <c r="Y441" i="1"/>
  <c r="Y447" i="1"/>
  <c r="Y453" i="1"/>
  <c r="Y459" i="1"/>
  <c r="Y464" i="1"/>
  <c r="Y474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Z554" i="1" s="1"/>
  <c r="V571" i="1"/>
  <c r="Z571" i="1"/>
  <c r="Z347" i="1"/>
  <c r="BN347" i="1"/>
  <c r="Z349" i="1"/>
  <c r="BN349" i="1"/>
  <c r="Z353" i="1"/>
  <c r="Z355" i="1" s="1"/>
  <c r="BN353" i="1"/>
  <c r="BP353" i="1"/>
  <c r="S571" i="1"/>
  <c r="Z360" i="1"/>
  <c r="Z362" i="1" s="1"/>
  <c r="BN360" i="1"/>
  <c r="Y363" i="1"/>
  <c r="Z367" i="1"/>
  <c r="BN367" i="1"/>
  <c r="Z369" i="1"/>
  <c r="BN369" i="1"/>
  <c r="Z371" i="1"/>
  <c r="BN371" i="1"/>
  <c r="Y374" i="1"/>
  <c r="Z377" i="1"/>
  <c r="BN377" i="1"/>
  <c r="Z379" i="1"/>
  <c r="BN379" i="1"/>
  <c r="Z381" i="1"/>
  <c r="BN381" i="1"/>
  <c r="Z387" i="1"/>
  <c r="BN387" i="1"/>
  <c r="Z389" i="1"/>
  <c r="BN389" i="1"/>
  <c r="Z393" i="1"/>
  <c r="BN393" i="1"/>
  <c r="BP393" i="1"/>
  <c r="Z395" i="1"/>
  <c r="BN395" i="1"/>
  <c r="Z399" i="1"/>
  <c r="BN399" i="1"/>
  <c r="BP399" i="1"/>
  <c r="Z401" i="1"/>
  <c r="BN401" i="1"/>
  <c r="Z407" i="1"/>
  <c r="BN407" i="1"/>
  <c r="Z413" i="1"/>
  <c r="BN413" i="1"/>
  <c r="U571" i="1"/>
  <c r="Z420" i="1"/>
  <c r="Z421" i="1" s="1"/>
  <c r="BN420" i="1"/>
  <c r="Y421" i="1"/>
  <c r="Z425" i="1"/>
  <c r="BN425" i="1"/>
  <c r="BP425" i="1"/>
  <c r="Z427" i="1"/>
  <c r="BN427" i="1"/>
  <c r="Z433" i="1"/>
  <c r="BN433" i="1"/>
  <c r="BP433" i="1"/>
  <c r="Z435" i="1"/>
  <c r="BN435" i="1"/>
  <c r="Z437" i="1"/>
  <c r="BN437" i="1"/>
  <c r="Z439" i="1"/>
  <c r="BN439" i="1"/>
  <c r="Y442" i="1"/>
  <c r="Z445" i="1"/>
  <c r="Z447" i="1" s="1"/>
  <c r="BN445" i="1"/>
  <c r="Z451" i="1"/>
  <c r="Z453" i="1" s="1"/>
  <c r="BN451" i="1"/>
  <c r="Z457" i="1"/>
  <c r="Z458" i="1" s="1"/>
  <c r="BN457" i="1"/>
  <c r="Z462" i="1"/>
  <c r="Z464" i="1" s="1"/>
  <c r="BN462" i="1"/>
  <c r="BP462" i="1"/>
  <c r="Y465" i="1"/>
  <c r="Z472" i="1"/>
  <c r="Z474" i="1" s="1"/>
  <c r="BN472" i="1"/>
  <c r="Y571" i="1"/>
  <c r="Z480" i="1"/>
  <c r="BN480" i="1"/>
  <c r="Z482" i="1"/>
  <c r="BN482" i="1"/>
  <c r="Z484" i="1"/>
  <c r="BN484" i="1"/>
  <c r="Y485" i="1"/>
  <c r="Z488" i="1"/>
  <c r="Z490" i="1" s="1"/>
  <c r="BN488" i="1"/>
  <c r="BP488" i="1"/>
  <c r="Y501" i="1"/>
  <c r="BP498" i="1"/>
  <c r="BN498" i="1"/>
  <c r="Z498" i="1"/>
  <c r="Z501" i="1" s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BP528" i="1"/>
  <c r="BN528" i="1"/>
  <c r="Z528" i="1"/>
  <c r="AB571" i="1"/>
  <c r="Y560" i="1"/>
  <c r="Z341" i="1" l="1"/>
  <c r="Z270" i="1"/>
  <c r="Z265" i="1"/>
  <c r="Z174" i="1"/>
  <c r="Z147" i="1"/>
  <c r="Z32" i="1"/>
  <c r="Z373" i="1"/>
  <c r="Z296" i="1"/>
  <c r="Z99" i="1"/>
  <c r="Z485" i="1"/>
  <c r="Z428" i="1"/>
  <c r="Z415" i="1"/>
  <c r="Z409" i="1"/>
  <c r="Z396" i="1"/>
  <c r="Z390" i="1"/>
  <c r="Z383" i="1"/>
  <c r="Z334" i="1"/>
  <c r="Z255" i="1"/>
  <c r="Z92" i="1"/>
  <c r="Z83" i="1"/>
  <c r="Z51" i="1"/>
  <c r="Z531" i="1"/>
  <c r="Z441" i="1"/>
  <c r="Z403" i="1"/>
  <c r="Z521" i="1"/>
  <c r="Z281" i="1"/>
  <c r="Z249" i="1"/>
  <c r="Z237" i="1"/>
  <c r="Z214" i="1"/>
  <c r="Z194" i="1"/>
  <c r="Z188" i="1"/>
  <c r="Y565" i="1"/>
  <c r="Y563" i="1"/>
  <c r="Z515" i="1"/>
  <c r="Z350" i="1"/>
  <c r="Z112" i="1"/>
  <c r="Z72" i="1"/>
  <c r="Z64" i="1"/>
  <c r="Y561" i="1"/>
  <c r="Y562" i="1"/>
  <c r="Y564" i="1" s="1"/>
  <c r="Z566" i="1" l="1"/>
</calcChain>
</file>

<file path=xl/sharedStrings.xml><?xml version="1.0" encoding="utf-8"?>
<sst xmlns="http://schemas.openxmlformats.org/spreadsheetml/2006/main" count="2573" uniqueCount="922">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</sst>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8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50" t="s">
        <v>0</v>
      </c>
      <c r="E1" s="687"/>
      <c r="F1" s="687"/>
      <c r="G1" s="12" t="s">
        <v>1</v>
      </c>
      <c r="H1" s="750" t="s">
        <v>2</v>
      </c>
      <c r="I1" s="687"/>
      <c r="J1" s="687"/>
      <c r="K1" s="687"/>
      <c r="L1" s="687"/>
      <c r="M1" s="687"/>
      <c r="N1" s="687"/>
      <c r="O1" s="687"/>
      <c r="P1" s="687"/>
      <c r="Q1" s="687"/>
      <c r="R1" s="686" t="s">
        <v>3</v>
      </c>
      <c r="S1" s="687"/>
      <c r="T1" s="6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9"/>
      <c r="Q3" s="659"/>
      <c r="R3" s="659"/>
      <c r="S3" s="659"/>
      <c r="T3" s="659"/>
      <c r="U3" s="659"/>
      <c r="V3" s="659"/>
      <c r="W3" s="659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56" t="s">
        <v>7</v>
      </c>
      <c r="B5" s="706"/>
      <c r="C5" s="707"/>
      <c r="D5" s="735"/>
      <c r="E5" s="736"/>
      <c r="F5" s="976" t="s">
        <v>8</v>
      </c>
      <c r="G5" s="707"/>
      <c r="H5" s="735" t="s">
        <v>921</v>
      </c>
      <c r="I5" s="918"/>
      <c r="J5" s="918"/>
      <c r="K5" s="918"/>
      <c r="L5" s="918"/>
      <c r="M5" s="736"/>
      <c r="N5" s="58"/>
      <c r="P5" s="24" t="s">
        <v>9</v>
      </c>
      <c r="Q5" s="985">
        <v>46299</v>
      </c>
      <c r="R5" s="755"/>
      <c r="T5" s="830" t="s">
        <v>10</v>
      </c>
      <c r="U5" s="811"/>
      <c r="V5" s="832" t="s">
        <v>11</v>
      </c>
      <c r="W5" s="755"/>
      <c r="AB5" s="51"/>
      <c r="AC5" s="51"/>
      <c r="AD5" s="51"/>
      <c r="AE5" s="51"/>
    </row>
    <row r="6" spans="1:32" s="641" customFormat="1" ht="24" customHeight="1" x14ac:dyDescent="0.2">
      <c r="A6" s="756" t="s">
        <v>12</v>
      </c>
      <c r="B6" s="706"/>
      <c r="C6" s="707"/>
      <c r="D6" s="921" t="s">
        <v>891</v>
      </c>
      <c r="E6" s="922"/>
      <c r="F6" s="922"/>
      <c r="G6" s="922"/>
      <c r="H6" s="922"/>
      <c r="I6" s="922"/>
      <c r="J6" s="922"/>
      <c r="K6" s="922"/>
      <c r="L6" s="922"/>
      <c r="M6" s="755"/>
      <c r="N6" s="59"/>
      <c r="P6" s="24" t="s">
        <v>13</v>
      </c>
      <c r="Q6" s="998" t="str">
        <f>IF(Q5=0," ",CHOOSE(WEEKDAY(Q5,2),"Понедельник","Вторник","Среда","Четверг","Пятница","Суббота","Воскресенье"))</f>
        <v>Воскресенье</v>
      </c>
      <c r="R6" s="672"/>
      <c r="T6" s="810" t="s">
        <v>14</v>
      </c>
      <c r="U6" s="811"/>
      <c r="V6" s="905" t="s">
        <v>15</v>
      </c>
      <c r="W6" s="667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39" t="str">
        <f>IFERROR(VLOOKUP(DeliveryAddress,Table,3,0),1)</f>
        <v>5</v>
      </c>
      <c r="E7" s="740"/>
      <c r="F7" s="740"/>
      <c r="G7" s="740"/>
      <c r="H7" s="740"/>
      <c r="I7" s="740"/>
      <c r="J7" s="740"/>
      <c r="K7" s="740"/>
      <c r="L7" s="740"/>
      <c r="M7" s="741"/>
      <c r="N7" s="60"/>
      <c r="P7" s="24"/>
      <c r="Q7" s="42"/>
      <c r="R7" s="42"/>
      <c r="T7" s="659"/>
      <c r="U7" s="811"/>
      <c r="V7" s="906"/>
      <c r="W7" s="907"/>
      <c r="AB7" s="51"/>
      <c r="AC7" s="51"/>
      <c r="AD7" s="51"/>
      <c r="AE7" s="51"/>
    </row>
    <row r="8" spans="1:32" s="641" customFormat="1" ht="25.5" customHeight="1" x14ac:dyDescent="0.2">
      <c r="A8" s="1009" t="s">
        <v>16</v>
      </c>
      <c r="B8" s="654"/>
      <c r="C8" s="655"/>
      <c r="D8" s="746"/>
      <c r="E8" s="747"/>
      <c r="F8" s="747"/>
      <c r="G8" s="747"/>
      <c r="H8" s="747"/>
      <c r="I8" s="747"/>
      <c r="J8" s="747"/>
      <c r="K8" s="747"/>
      <c r="L8" s="747"/>
      <c r="M8" s="748"/>
      <c r="N8" s="61"/>
      <c r="P8" s="24" t="s">
        <v>17</v>
      </c>
      <c r="Q8" s="814">
        <v>0.41666666666666669</v>
      </c>
      <c r="R8" s="741"/>
      <c r="T8" s="659"/>
      <c r="U8" s="811"/>
      <c r="V8" s="906"/>
      <c r="W8" s="907"/>
      <c r="AB8" s="51"/>
      <c r="AC8" s="51"/>
      <c r="AD8" s="51"/>
      <c r="AE8" s="51"/>
    </row>
    <row r="9" spans="1:32" s="641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798"/>
      <c r="E9" s="657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9"/>
      <c r="P9" s="26" t="s">
        <v>18</v>
      </c>
      <c r="Q9" s="752"/>
      <c r="R9" s="753"/>
      <c r="T9" s="659"/>
      <c r="U9" s="811"/>
      <c r="V9" s="908"/>
      <c r="W9" s="909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798"/>
      <c r="E10" s="657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890" t="str">
        <f>IFERROR(VLOOKUP($D$10,Proxy,2,FALSE),"")</f>
        <v/>
      </c>
      <c r="I10" s="659"/>
      <c r="J10" s="659"/>
      <c r="K10" s="659"/>
      <c r="L10" s="659"/>
      <c r="M10" s="659"/>
      <c r="N10" s="640"/>
      <c r="P10" s="26" t="s">
        <v>19</v>
      </c>
      <c r="Q10" s="812"/>
      <c r="R10" s="813"/>
      <c r="U10" s="24" t="s">
        <v>20</v>
      </c>
      <c r="V10" s="666" t="s">
        <v>21</v>
      </c>
      <c r="W10" s="667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54"/>
      <c r="R11" s="755"/>
      <c r="U11" s="24" t="s">
        <v>24</v>
      </c>
      <c r="V11" s="936" t="s">
        <v>25</v>
      </c>
      <c r="W11" s="753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09" t="s">
        <v>26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7"/>
      <c r="N12" s="62"/>
      <c r="P12" s="24" t="s">
        <v>27</v>
      </c>
      <c r="Q12" s="814"/>
      <c r="R12" s="741"/>
      <c r="S12" s="23"/>
      <c r="U12" s="24"/>
      <c r="V12" s="687"/>
      <c r="W12" s="659"/>
      <c r="AB12" s="51"/>
      <c r="AC12" s="51"/>
      <c r="AD12" s="51"/>
      <c r="AE12" s="51"/>
    </row>
    <row r="13" spans="1:32" s="641" customFormat="1" ht="23.25" customHeight="1" x14ac:dyDescent="0.2">
      <c r="A13" s="809" t="s">
        <v>28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7"/>
      <c r="N13" s="62"/>
      <c r="O13" s="26"/>
      <c r="P13" s="26" t="s">
        <v>29</v>
      </c>
      <c r="Q13" s="936"/>
      <c r="R13" s="7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09" t="s">
        <v>30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59" t="s">
        <v>31</v>
      </c>
      <c r="B15" s="706"/>
      <c r="C15" s="706"/>
      <c r="D15" s="706"/>
      <c r="E15" s="706"/>
      <c r="F15" s="706"/>
      <c r="G15" s="706"/>
      <c r="H15" s="706"/>
      <c r="I15" s="706"/>
      <c r="J15" s="706"/>
      <c r="K15" s="706"/>
      <c r="L15" s="706"/>
      <c r="M15" s="707"/>
      <c r="N15" s="63"/>
      <c r="P15" s="804" t="s">
        <v>32</v>
      </c>
      <c r="Q15" s="687"/>
      <c r="R15" s="687"/>
      <c r="S15" s="687"/>
      <c r="T15" s="6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0" t="s">
        <v>33</v>
      </c>
      <c r="B17" s="700" t="s">
        <v>34</v>
      </c>
      <c r="C17" s="794" t="s">
        <v>35</v>
      </c>
      <c r="D17" s="700" t="s">
        <v>36</v>
      </c>
      <c r="E17" s="766"/>
      <c r="F17" s="700" t="s">
        <v>37</v>
      </c>
      <c r="G17" s="700" t="s">
        <v>38</v>
      </c>
      <c r="H17" s="700" t="s">
        <v>39</v>
      </c>
      <c r="I17" s="700" t="s">
        <v>40</v>
      </c>
      <c r="J17" s="700" t="s">
        <v>41</v>
      </c>
      <c r="K17" s="700" t="s">
        <v>42</v>
      </c>
      <c r="L17" s="700" t="s">
        <v>43</v>
      </c>
      <c r="M17" s="700" t="s">
        <v>44</v>
      </c>
      <c r="N17" s="700" t="s">
        <v>45</v>
      </c>
      <c r="O17" s="700" t="s">
        <v>46</v>
      </c>
      <c r="P17" s="700" t="s">
        <v>47</v>
      </c>
      <c r="Q17" s="765"/>
      <c r="R17" s="765"/>
      <c r="S17" s="765"/>
      <c r="T17" s="766"/>
      <c r="U17" s="1006" t="s">
        <v>48</v>
      </c>
      <c r="V17" s="707"/>
      <c r="W17" s="700" t="s">
        <v>49</v>
      </c>
      <c r="X17" s="700" t="s">
        <v>50</v>
      </c>
      <c r="Y17" s="1007" t="s">
        <v>51</v>
      </c>
      <c r="Z17" s="892" t="s">
        <v>52</v>
      </c>
      <c r="AA17" s="888" t="s">
        <v>53</v>
      </c>
      <c r="AB17" s="888" t="s">
        <v>54</v>
      </c>
      <c r="AC17" s="888" t="s">
        <v>55</v>
      </c>
      <c r="AD17" s="888" t="s">
        <v>56</v>
      </c>
      <c r="AE17" s="971"/>
      <c r="AF17" s="972"/>
      <c r="AG17" s="66"/>
      <c r="BD17" s="65" t="s">
        <v>57</v>
      </c>
    </row>
    <row r="18" spans="1:68" ht="14.25" customHeight="1" x14ac:dyDescent="0.2">
      <c r="A18" s="701"/>
      <c r="B18" s="701"/>
      <c r="C18" s="701"/>
      <c r="D18" s="767"/>
      <c r="E18" s="769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67"/>
      <c r="Q18" s="768"/>
      <c r="R18" s="768"/>
      <c r="S18" s="768"/>
      <c r="T18" s="769"/>
      <c r="U18" s="67" t="s">
        <v>58</v>
      </c>
      <c r="V18" s="67" t="s">
        <v>59</v>
      </c>
      <c r="W18" s="701"/>
      <c r="X18" s="701"/>
      <c r="Y18" s="1008"/>
      <c r="Z18" s="893"/>
      <c r="AA18" s="889"/>
      <c r="AB18" s="889"/>
      <c r="AC18" s="889"/>
      <c r="AD18" s="973"/>
      <c r="AE18" s="974"/>
      <c r="AF18" s="975"/>
      <c r="AG18" s="66"/>
      <c r="BD18" s="65"/>
    </row>
    <row r="19" spans="1:68" ht="27.75" hidden="1" customHeight="1" x14ac:dyDescent="0.2">
      <c r="A19" s="651" t="s">
        <v>60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68" t="s">
        <v>60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42"/>
      <c r="AB20" s="642"/>
      <c r="AC20" s="642"/>
    </row>
    <row r="21" spans="1:68" ht="14.25" hidden="1" customHeight="1" x14ac:dyDescent="0.25">
      <c r="A21" s="661" t="s">
        <v>61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71">
        <v>4680115886643</v>
      </c>
      <c r="E22" s="67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71">
        <v>4680115889071</v>
      </c>
      <c r="E23" s="67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3" t="s">
        <v>71</v>
      </c>
      <c r="Q24" s="654"/>
      <c r="R24" s="654"/>
      <c r="S24" s="654"/>
      <c r="T24" s="654"/>
      <c r="U24" s="654"/>
      <c r="V24" s="65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3" t="s">
        <v>71</v>
      </c>
      <c r="Q25" s="654"/>
      <c r="R25" s="654"/>
      <c r="S25" s="654"/>
      <c r="T25" s="654"/>
      <c r="U25" s="654"/>
      <c r="V25" s="65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61" t="s">
        <v>73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71">
        <v>4680115885912</v>
      </c>
      <c r="E27" s="67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71">
        <v>4607091388237</v>
      </c>
      <c r="E28" s="67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71">
        <v>4680115887350</v>
      </c>
      <c r="E29" s="67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71">
        <v>4680115885905</v>
      </c>
      <c r="E30" s="67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71">
        <v>4680115887619</v>
      </c>
      <c r="E31" s="67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3" t="s">
        <v>71</v>
      </c>
      <c r="Q32" s="654"/>
      <c r="R32" s="654"/>
      <c r="S32" s="654"/>
      <c r="T32" s="654"/>
      <c r="U32" s="654"/>
      <c r="V32" s="65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3" t="s">
        <v>71</v>
      </c>
      <c r="Q33" s="654"/>
      <c r="R33" s="654"/>
      <c r="S33" s="654"/>
      <c r="T33" s="654"/>
      <c r="U33" s="654"/>
      <c r="V33" s="65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51" t="s">
        <v>91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68" t="s">
        <v>92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42"/>
      <c r="AB35" s="642"/>
      <c r="AC35" s="642"/>
    </row>
    <row r="36" spans="1:68" ht="14.25" hidden="1" customHeight="1" x14ac:dyDescent="0.25">
      <c r="A36" s="661" t="s">
        <v>73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71">
        <v>4680115889354</v>
      </c>
      <c r="E37" s="67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7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71">
        <v>4680115888463</v>
      </c>
      <c r="E38" s="67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1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71">
        <v>4680115889590</v>
      </c>
      <c r="E39" s="67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71">
        <v>4680115888272</v>
      </c>
      <c r="E40" s="67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71">
        <v>4680115888364</v>
      </c>
      <c r="E41" s="67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3" t="s">
        <v>71</v>
      </c>
      <c r="Q42" s="654"/>
      <c r="R42" s="654"/>
      <c r="S42" s="654"/>
      <c r="T42" s="654"/>
      <c r="U42" s="654"/>
      <c r="V42" s="65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3" t="s">
        <v>71</v>
      </c>
      <c r="Q43" s="654"/>
      <c r="R43" s="654"/>
      <c r="S43" s="654"/>
      <c r="T43" s="654"/>
      <c r="U43" s="654"/>
      <c r="V43" s="65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51" t="s">
        <v>108</v>
      </c>
      <c r="B44" s="652"/>
      <c r="C44" s="652"/>
      <c r="D44" s="652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48"/>
      <c r="AB44" s="48"/>
      <c r="AC44" s="48"/>
    </row>
    <row r="45" spans="1:68" ht="16.5" hidden="1" customHeight="1" x14ac:dyDescent="0.25">
      <c r="A45" s="668" t="s">
        <v>109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42"/>
      <c r="AB45" s="642"/>
      <c r="AC45" s="642"/>
    </row>
    <row r="46" spans="1:68" ht="14.25" hidden="1" customHeight="1" x14ac:dyDescent="0.25">
      <c r="A46" s="661" t="s">
        <v>110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71">
        <v>4607091385670</v>
      </c>
      <c r="E47" s="67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4"/>
      <c r="V47" s="34"/>
      <c r="W47" s="35" t="s">
        <v>66</v>
      </c>
      <c r="X47" s="647">
        <v>725</v>
      </c>
      <c r="Y47" s="648">
        <f>IFERROR(IF(X47="",0,CEILING((X47/$H47),1)*$H47),"")</f>
        <v>734.40000000000009</v>
      </c>
      <c r="Z47" s="36">
        <f>IFERROR(IF(Y47=0,"",ROUNDUP(Y47/H47,0)*0.01898),"")</f>
        <v>1.29064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752.52314814814815</v>
      </c>
      <c r="BN47" s="64">
        <f>IFERROR(Y47*I47/H47,"0")</f>
        <v>762.28000000000009</v>
      </c>
      <c r="BO47" s="64">
        <f>IFERROR(1/J47*(X47/H47),"0")</f>
        <v>1.0489004629629628</v>
      </c>
      <c r="BP47" s="64">
        <f>IFERROR(1/J47*(Y47/H47),"0")</f>
        <v>1.0625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71">
        <v>4680115887725</v>
      </c>
      <c r="E48" s="67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71">
        <v>4607091385687</v>
      </c>
      <c r="E49" s="67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71">
        <v>4680115882539</v>
      </c>
      <c r="E50" s="67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8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3" t="s">
        <v>71</v>
      </c>
      <c r="Q51" s="654"/>
      <c r="R51" s="654"/>
      <c r="S51" s="654"/>
      <c r="T51" s="654"/>
      <c r="U51" s="654"/>
      <c r="V51" s="655"/>
      <c r="W51" s="37" t="s">
        <v>72</v>
      </c>
      <c r="X51" s="649">
        <f>IFERROR(X47/H47,"0")+IFERROR(X48/H48,"0")+IFERROR(X49/H49,"0")+IFERROR(X50/H50,"0")</f>
        <v>67.129629629629619</v>
      </c>
      <c r="Y51" s="649">
        <f>IFERROR(Y47/H47,"0")+IFERROR(Y48/H48,"0")+IFERROR(Y49/H49,"0")+IFERROR(Y50/H50,"0")</f>
        <v>68</v>
      </c>
      <c r="Z51" s="649">
        <f>IFERROR(IF(Z47="",0,Z47),"0")+IFERROR(IF(Z48="",0,Z48),"0")+IFERROR(IF(Z49="",0,Z49),"0")+IFERROR(IF(Z50="",0,Z50),"0")</f>
        <v>1.29064</v>
      </c>
      <c r="AA51" s="650"/>
      <c r="AB51" s="650"/>
      <c r="AC51" s="650"/>
    </row>
    <row r="52" spans="1:68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3" t="s">
        <v>71</v>
      </c>
      <c r="Q52" s="654"/>
      <c r="R52" s="654"/>
      <c r="S52" s="654"/>
      <c r="T52" s="654"/>
      <c r="U52" s="654"/>
      <c r="V52" s="655"/>
      <c r="W52" s="37" t="s">
        <v>66</v>
      </c>
      <c r="X52" s="649">
        <f>IFERROR(SUM(X47:X50),"0")</f>
        <v>725</v>
      </c>
      <c r="Y52" s="649">
        <f>IFERROR(SUM(Y47:Y50),"0")</f>
        <v>734.40000000000009</v>
      </c>
      <c r="Z52" s="37"/>
      <c r="AA52" s="650"/>
      <c r="AB52" s="650"/>
      <c r="AC52" s="650"/>
    </row>
    <row r="53" spans="1:68" ht="16.5" hidden="1" customHeight="1" x14ac:dyDescent="0.25">
      <c r="A53" s="668" t="s">
        <v>125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42"/>
      <c r="AB53" s="642"/>
      <c r="AC53" s="642"/>
    </row>
    <row r="54" spans="1:68" ht="14.25" hidden="1" customHeight="1" x14ac:dyDescent="0.25">
      <c r="A54" s="661" t="s">
        <v>110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71">
        <v>4680115885882</v>
      </c>
      <c r="E55" s="67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71">
        <v>4680115881426</v>
      </c>
      <c r="E56" s="67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4"/>
      <c r="V56" s="34"/>
      <c r="W56" s="35" t="s">
        <v>66</v>
      </c>
      <c r="X56" s="647">
        <v>363</v>
      </c>
      <c r="Y56" s="648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376.78055555555557</v>
      </c>
      <c r="BN56" s="64">
        <f t="shared" si="2"/>
        <v>381.14000000000004</v>
      </c>
      <c r="BO56" s="64">
        <f t="shared" si="3"/>
        <v>0.52517361111111105</v>
      </c>
      <c r="BP56" s="64">
        <f t="shared" si="4"/>
        <v>0.53125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71">
        <v>4680115881426</v>
      </c>
      <c r="E57" s="67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8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71">
        <v>4680115880283</v>
      </c>
      <c r="E58" s="67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71">
        <v>4680115881525</v>
      </c>
      <c r="E59" s="67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4"/>
      <c r="V59" s="34"/>
      <c r="W59" s="35" t="s">
        <v>66</v>
      </c>
      <c r="X59" s="647">
        <v>0</v>
      </c>
      <c r="Y59" s="64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71">
        <v>4680115881525</v>
      </c>
      <c r="E60" s="67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71">
        <v>4680115885899</v>
      </c>
      <c r="E61" s="67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71">
        <v>4680115881419</v>
      </c>
      <c r="E62" s="67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4"/>
      <c r="V62" s="34"/>
      <c r="W62" s="35" t="s">
        <v>66</v>
      </c>
      <c r="X62" s="647">
        <v>32</v>
      </c>
      <c r="Y62" s="648">
        <f t="shared" si="0"/>
        <v>36</v>
      </c>
      <c r="Z62" s="36">
        <f>IFERROR(IF(Y62=0,"",ROUNDUP(Y62/H62,0)*0.00902),"")</f>
        <v>7.2160000000000002E-2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33.351111111111116</v>
      </c>
      <c r="BN62" s="64">
        <f t="shared" si="2"/>
        <v>37.520000000000003</v>
      </c>
      <c r="BO62" s="64">
        <f t="shared" si="3"/>
        <v>5.387205387205387E-2</v>
      </c>
      <c r="BP62" s="64">
        <f t="shared" si="4"/>
        <v>6.0606060606060608E-2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71">
        <v>4680115881419</v>
      </c>
      <c r="E63" s="67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7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8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3" t="s">
        <v>71</v>
      </c>
      <c r="Q64" s="654"/>
      <c r="R64" s="654"/>
      <c r="S64" s="654"/>
      <c r="T64" s="654"/>
      <c r="U64" s="654"/>
      <c r="V64" s="65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40.722222222222214</v>
      </c>
      <c r="Y64" s="649">
        <f>IFERROR(Y55/H55,"0")+IFERROR(Y56/H56,"0")+IFERROR(Y57/H57,"0")+IFERROR(Y58/H58,"0")+IFERROR(Y59/H59,"0")+IFERROR(Y60/H60,"0")+IFERROR(Y61/H61,"0")+IFERROR(Y62/H62,"0")+IFERROR(Y63/H63,"0")</f>
        <v>42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0.71748000000000001</v>
      </c>
      <c r="AA64" s="650"/>
      <c r="AB64" s="650"/>
      <c r="AC64" s="650"/>
    </row>
    <row r="65" spans="1:68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3" t="s">
        <v>71</v>
      </c>
      <c r="Q65" s="654"/>
      <c r="R65" s="654"/>
      <c r="S65" s="654"/>
      <c r="T65" s="654"/>
      <c r="U65" s="654"/>
      <c r="V65" s="655"/>
      <c r="W65" s="37" t="s">
        <v>66</v>
      </c>
      <c r="X65" s="649">
        <f>IFERROR(SUM(X55:X63),"0")</f>
        <v>395</v>
      </c>
      <c r="Y65" s="649">
        <f>IFERROR(SUM(Y55:Y63),"0")</f>
        <v>403.20000000000005</v>
      </c>
      <c r="Z65" s="37"/>
      <c r="AA65" s="650"/>
      <c r="AB65" s="650"/>
      <c r="AC65" s="650"/>
    </row>
    <row r="66" spans="1:68" ht="14.25" hidden="1" customHeight="1" x14ac:dyDescent="0.25">
      <c r="A66" s="661" t="s">
        <v>147</v>
      </c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71">
        <v>4680115881440</v>
      </c>
      <c r="E67" s="67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4"/>
      <c r="V67" s="34"/>
      <c r="W67" s="35" t="s">
        <v>66</v>
      </c>
      <c r="X67" s="647">
        <v>114</v>
      </c>
      <c r="Y67" s="648">
        <f>IFERROR(IF(X67="",0,CEILING((X67/$H67),1)*$H67),"")</f>
        <v>118.80000000000001</v>
      </c>
      <c r="Z67" s="36">
        <f>IFERROR(IF(Y67=0,"",ROUNDUP(Y67/H67,0)*0.01898),"")</f>
        <v>0.20877999999999999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118.32777777777777</v>
      </c>
      <c r="BN67" s="64">
        <f>IFERROR(Y67*I67/H67,"0")</f>
        <v>123.31000000000002</v>
      </c>
      <c r="BO67" s="64">
        <f>IFERROR(1/J67*(X67/H67),"0")</f>
        <v>0.16493055555555555</v>
      </c>
      <c r="BP67" s="64">
        <f>IFERROR(1/J67*(Y67/H67),"0")</f>
        <v>0.171875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71">
        <v>4680115881440</v>
      </c>
      <c r="E68" s="67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0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71">
        <v>4680115885950</v>
      </c>
      <c r="E69" s="67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71">
        <v>4680115887688</v>
      </c>
      <c r="E70" s="67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71">
        <v>4680115881433</v>
      </c>
      <c r="E71" s="67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58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60"/>
      <c r="P72" s="653" t="s">
        <v>71</v>
      </c>
      <c r="Q72" s="654"/>
      <c r="R72" s="654"/>
      <c r="S72" s="654"/>
      <c r="T72" s="654"/>
      <c r="U72" s="654"/>
      <c r="V72" s="655"/>
      <c r="W72" s="37" t="s">
        <v>72</v>
      </c>
      <c r="X72" s="649">
        <f>IFERROR(X67/H67,"0")+IFERROR(X68/H68,"0")+IFERROR(X69/H69,"0")+IFERROR(X70/H70,"0")+IFERROR(X71/H71,"0")</f>
        <v>10.555555555555555</v>
      </c>
      <c r="Y72" s="649">
        <f>IFERROR(Y67/H67,"0")+IFERROR(Y68/H68,"0")+IFERROR(Y69/H69,"0")+IFERROR(Y70/H70,"0")+IFERROR(Y71/H71,"0")</f>
        <v>11</v>
      </c>
      <c r="Z72" s="649">
        <f>IFERROR(IF(Z67="",0,Z67),"0")+IFERROR(IF(Z68="",0,Z68),"0")+IFERROR(IF(Z69="",0,Z69),"0")+IFERROR(IF(Z70="",0,Z70),"0")+IFERROR(IF(Z71="",0,Z71),"0")</f>
        <v>0.20877999999999999</v>
      </c>
      <c r="AA72" s="650"/>
      <c r="AB72" s="650"/>
      <c r="AC72" s="650"/>
    </row>
    <row r="73" spans="1:68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3" t="s">
        <v>71</v>
      </c>
      <c r="Q73" s="654"/>
      <c r="R73" s="654"/>
      <c r="S73" s="654"/>
      <c r="T73" s="654"/>
      <c r="U73" s="654"/>
      <c r="V73" s="655"/>
      <c r="W73" s="37" t="s">
        <v>66</v>
      </c>
      <c r="X73" s="649">
        <f>IFERROR(SUM(X67:X71),"0")</f>
        <v>114</v>
      </c>
      <c r="Y73" s="649">
        <f>IFERROR(SUM(Y67:Y71),"0")</f>
        <v>118.80000000000001</v>
      </c>
      <c r="Z73" s="37"/>
      <c r="AA73" s="650"/>
      <c r="AB73" s="650"/>
      <c r="AC73" s="650"/>
    </row>
    <row r="74" spans="1:68" ht="14.25" hidden="1" customHeight="1" x14ac:dyDescent="0.25">
      <c r="A74" s="661" t="s">
        <v>73</v>
      </c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71">
        <v>4680115884311</v>
      </c>
      <c r="E75" s="67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71">
        <v>4680115884403</v>
      </c>
      <c r="E76" s="67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8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60"/>
      <c r="P77" s="653" t="s">
        <v>71</v>
      </c>
      <c r="Q77" s="654"/>
      <c r="R77" s="654"/>
      <c r="S77" s="654"/>
      <c r="T77" s="654"/>
      <c r="U77" s="654"/>
      <c r="V77" s="65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3" t="s">
        <v>71</v>
      </c>
      <c r="Q78" s="654"/>
      <c r="R78" s="654"/>
      <c r="S78" s="654"/>
      <c r="T78" s="654"/>
      <c r="U78" s="654"/>
      <c r="V78" s="65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61" t="s">
        <v>166</v>
      </c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43"/>
      <c r="AB79" s="643"/>
      <c r="AC79" s="643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71">
        <v>4680115881532</v>
      </c>
      <c r="E80" s="67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4"/>
      <c r="V80" s="34"/>
      <c r="W80" s="35" t="s">
        <v>66</v>
      </c>
      <c r="X80" s="647">
        <v>0</v>
      </c>
      <c r="Y80" s="6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71">
        <v>4680115881532</v>
      </c>
      <c r="E81" s="67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7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71">
        <v>4680115881464</v>
      </c>
      <c r="E82" s="67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8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58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60"/>
      <c r="P83" s="653" t="s">
        <v>71</v>
      </c>
      <c r="Q83" s="654"/>
      <c r="R83" s="654"/>
      <c r="S83" s="654"/>
      <c r="T83" s="654"/>
      <c r="U83" s="654"/>
      <c r="V83" s="655"/>
      <c r="W83" s="37" t="s">
        <v>72</v>
      </c>
      <c r="X83" s="649">
        <f>IFERROR(X80/H80,"0")+IFERROR(X81/H81,"0")+IFERROR(X82/H82,"0")</f>
        <v>0</v>
      </c>
      <c r="Y83" s="649">
        <f>IFERROR(Y80/H80,"0")+IFERROR(Y81/H81,"0")+IFERROR(Y82/H82,"0")</f>
        <v>0</v>
      </c>
      <c r="Z83" s="649">
        <f>IFERROR(IF(Z80="",0,Z80),"0")+IFERROR(IF(Z81="",0,Z81),"0")+IFERROR(IF(Z82="",0,Z82),"0")</f>
        <v>0</v>
      </c>
      <c r="AA83" s="650"/>
      <c r="AB83" s="650"/>
      <c r="AC83" s="650"/>
    </row>
    <row r="84" spans="1:68" hidden="1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3" t="s">
        <v>71</v>
      </c>
      <c r="Q84" s="654"/>
      <c r="R84" s="654"/>
      <c r="S84" s="654"/>
      <c r="T84" s="654"/>
      <c r="U84" s="654"/>
      <c r="V84" s="655"/>
      <c r="W84" s="37" t="s">
        <v>66</v>
      </c>
      <c r="X84" s="649">
        <f>IFERROR(SUM(X80:X82),"0")</f>
        <v>0</v>
      </c>
      <c r="Y84" s="649">
        <f>IFERROR(SUM(Y80:Y82),"0")</f>
        <v>0</v>
      </c>
      <c r="Z84" s="37"/>
      <c r="AA84" s="650"/>
      <c r="AB84" s="650"/>
      <c r="AC84" s="650"/>
    </row>
    <row r="85" spans="1:68" ht="16.5" hidden="1" customHeight="1" x14ac:dyDescent="0.25">
      <c r="A85" s="668" t="s">
        <v>174</v>
      </c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42"/>
      <c r="AB85" s="642"/>
      <c r="AC85" s="642"/>
    </row>
    <row r="86" spans="1:68" ht="14.25" hidden="1" customHeight="1" x14ac:dyDescent="0.25">
      <c r="A86" s="661" t="s">
        <v>110</v>
      </c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71">
        <v>4680115881327</v>
      </c>
      <c r="E87" s="67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4"/>
      <c r="V87" s="34"/>
      <c r="W87" s="35" t="s">
        <v>66</v>
      </c>
      <c r="X87" s="647">
        <v>363</v>
      </c>
      <c r="Y87" s="648">
        <f>IFERROR(IF(X87="",0,CEILING((X87/$H87),1)*$H87),"")</f>
        <v>367.20000000000005</v>
      </c>
      <c r="Z87" s="36">
        <f>IFERROR(IF(Y87=0,"",ROUNDUP(Y87/H87,0)*0.01898),"")</f>
        <v>0.64532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376.78055555555557</v>
      </c>
      <c r="BN87" s="64">
        <f>IFERROR(Y87*I87/H87,"0")</f>
        <v>381.14000000000004</v>
      </c>
      <c r="BO87" s="64">
        <f>IFERROR(1/J87*(X87/H87),"0")</f>
        <v>0.52517361111111105</v>
      </c>
      <c r="BP87" s="64">
        <f>IFERROR(1/J87*(Y87/H87),"0")</f>
        <v>0.53125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71">
        <v>4680115887732</v>
      </c>
      <c r="E88" s="67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71">
        <v>4680115881518</v>
      </c>
      <c r="E89" s="67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71">
        <v>4680115881518</v>
      </c>
      <c r="E90" s="67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185</v>
      </c>
      <c r="C91" s="31">
        <v>4301012250</v>
      </c>
      <c r="D91" s="671">
        <v>4680115881303</v>
      </c>
      <c r="E91" s="67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4"/>
      <c r="V91" s="34"/>
      <c r="W91" s="35" t="s">
        <v>66</v>
      </c>
      <c r="X91" s="647">
        <v>0</v>
      </c>
      <c r="Y91" s="64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8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60"/>
      <c r="P92" s="653" t="s">
        <v>71</v>
      </c>
      <c r="Q92" s="654"/>
      <c r="R92" s="654"/>
      <c r="S92" s="654"/>
      <c r="T92" s="654"/>
      <c r="U92" s="654"/>
      <c r="V92" s="655"/>
      <c r="W92" s="37" t="s">
        <v>72</v>
      </c>
      <c r="X92" s="649">
        <f>IFERROR(X87/H87,"0")+IFERROR(X88/H88,"0")+IFERROR(X89/H89,"0")+IFERROR(X90/H90,"0")+IFERROR(X91/H91,"0")</f>
        <v>33.611111111111107</v>
      </c>
      <c r="Y92" s="649">
        <f>IFERROR(Y87/H87,"0")+IFERROR(Y88/H88,"0")+IFERROR(Y89/H89,"0")+IFERROR(Y90/H90,"0")+IFERROR(Y91/H91,"0")</f>
        <v>34</v>
      </c>
      <c r="Z92" s="649">
        <f>IFERROR(IF(Z87="",0,Z87),"0")+IFERROR(IF(Z88="",0,Z88),"0")+IFERROR(IF(Z89="",0,Z89),"0")+IFERROR(IF(Z90="",0,Z90),"0")+IFERROR(IF(Z91="",0,Z91),"0")</f>
        <v>0.64532</v>
      </c>
      <c r="AA92" s="650"/>
      <c r="AB92" s="650"/>
      <c r="AC92" s="650"/>
    </row>
    <row r="93" spans="1:68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3" t="s">
        <v>71</v>
      </c>
      <c r="Q93" s="654"/>
      <c r="R93" s="654"/>
      <c r="S93" s="654"/>
      <c r="T93" s="654"/>
      <c r="U93" s="654"/>
      <c r="V93" s="655"/>
      <c r="W93" s="37" t="s">
        <v>66</v>
      </c>
      <c r="X93" s="649">
        <f>IFERROR(SUM(X87:X91),"0")</f>
        <v>363</v>
      </c>
      <c r="Y93" s="649">
        <f>IFERROR(SUM(Y87:Y91),"0")</f>
        <v>367.20000000000005</v>
      </c>
      <c r="Z93" s="37"/>
      <c r="AA93" s="650"/>
      <c r="AB93" s="650"/>
      <c r="AC93" s="650"/>
    </row>
    <row r="94" spans="1:68" ht="14.25" hidden="1" customHeight="1" x14ac:dyDescent="0.25">
      <c r="A94" s="661" t="s">
        <v>73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71">
        <v>4607091386967</v>
      </c>
      <c r="E95" s="67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71">
        <v>4680115884953</v>
      </c>
      <c r="E96" s="67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4301052094</v>
      </c>
      <c r="D97" s="671">
        <v>4607091385731</v>
      </c>
      <c r="E97" s="67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4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4"/>
      <c r="V97" s="34"/>
      <c r="W97" s="35" t="s">
        <v>66</v>
      </c>
      <c r="X97" s="647">
        <v>0</v>
      </c>
      <c r="Y97" s="64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71">
        <v>4680115880894</v>
      </c>
      <c r="E98" s="67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58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60"/>
      <c r="P99" s="653" t="s">
        <v>71</v>
      </c>
      <c r="Q99" s="654"/>
      <c r="R99" s="654"/>
      <c r="S99" s="654"/>
      <c r="T99" s="654"/>
      <c r="U99" s="654"/>
      <c r="V99" s="655"/>
      <c r="W99" s="37" t="s">
        <v>72</v>
      </c>
      <c r="X99" s="649">
        <f>IFERROR(X95/H95,"0")+IFERROR(X96/H96,"0")+IFERROR(X97/H97,"0")+IFERROR(X98/H98,"0")</f>
        <v>0</v>
      </c>
      <c r="Y99" s="649">
        <f>IFERROR(Y95/H95,"0")+IFERROR(Y96/H96,"0")+IFERROR(Y97/H97,"0")+IFERROR(Y98/H98,"0")</f>
        <v>0</v>
      </c>
      <c r="Z99" s="649">
        <f>IFERROR(IF(Z95="",0,Z95),"0")+IFERROR(IF(Z96="",0,Z96),"0")+IFERROR(IF(Z97="",0,Z97),"0")+IFERROR(IF(Z98="",0,Z98),"0")</f>
        <v>0</v>
      </c>
      <c r="AA99" s="650"/>
      <c r="AB99" s="650"/>
      <c r="AC99" s="650"/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3" t="s">
        <v>71</v>
      </c>
      <c r="Q100" s="654"/>
      <c r="R100" s="654"/>
      <c r="S100" s="654"/>
      <c r="T100" s="654"/>
      <c r="U100" s="654"/>
      <c r="V100" s="655"/>
      <c r="W100" s="37" t="s">
        <v>66</v>
      </c>
      <c r="X100" s="649">
        <f>IFERROR(SUM(X95:X98),"0")</f>
        <v>0</v>
      </c>
      <c r="Y100" s="649">
        <f>IFERROR(SUM(Y95:Y98),"0")</f>
        <v>0</v>
      </c>
      <c r="Z100" s="37"/>
      <c r="AA100" s="650"/>
      <c r="AB100" s="650"/>
      <c r="AC100" s="650"/>
    </row>
    <row r="101" spans="1:68" ht="16.5" hidden="1" customHeight="1" x14ac:dyDescent="0.25">
      <c r="A101" s="668" t="s">
        <v>197</v>
      </c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42"/>
      <c r="AB101" s="642"/>
      <c r="AC101" s="642"/>
    </row>
    <row r="102" spans="1:68" ht="14.25" hidden="1" customHeight="1" x14ac:dyDescent="0.25">
      <c r="A102" s="661" t="s">
        <v>110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71">
        <v>4680115882133</v>
      </c>
      <c r="E103" s="67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6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4"/>
      <c r="V103" s="34"/>
      <c r="W103" s="35" t="s">
        <v>66</v>
      </c>
      <c r="X103" s="647">
        <v>130</v>
      </c>
      <c r="Y103" s="648">
        <f t="shared" ref="Y103:Y111" si="5">IFERROR(IF(X103="",0,CEILING((X103/$H103),1)*$H103),"")</f>
        <v>140.4</v>
      </c>
      <c r="Z103" s="36">
        <f>IFERROR(IF(Y103=0,"",ROUNDUP(Y103/H103,0)*0.01898),"")</f>
        <v>0.24674000000000001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134.93518518518519</v>
      </c>
      <c r="BN103" s="64">
        <f t="shared" ref="BN103:BN111" si="7">IFERROR(Y103*I103/H103,"0")</f>
        <v>145.73000000000002</v>
      </c>
      <c r="BO103" s="64">
        <f t="shared" ref="BO103:BO111" si="8">IFERROR(1/J103*(X103/H103),"0")</f>
        <v>0.18807870370370369</v>
      </c>
      <c r="BP103" s="64">
        <f t="shared" ref="BP103:BP111" si="9">IFERROR(1/J103*(Y103/H103),"0")</f>
        <v>0.203125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71">
        <v>4680115882133</v>
      </c>
      <c r="E104" s="67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71">
        <v>4680115887718</v>
      </c>
      <c r="E105" s="67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6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71">
        <v>4680115880269</v>
      </c>
      <c r="E106" s="67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71">
        <v>4680115880269</v>
      </c>
      <c r="E107" s="67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4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71">
        <v>4680115880429</v>
      </c>
      <c r="E108" s="67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90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71">
        <v>4680115881457</v>
      </c>
      <c r="E109" s="67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71">
        <v>4680115881457</v>
      </c>
      <c r="E110" s="67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5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71">
        <v>4680115889477</v>
      </c>
      <c r="E111" s="67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8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60"/>
      <c r="P112" s="653" t="s">
        <v>71</v>
      </c>
      <c r="Q112" s="654"/>
      <c r="R112" s="654"/>
      <c r="S112" s="654"/>
      <c r="T112" s="654"/>
      <c r="U112" s="654"/>
      <c r="V112" s="65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12.037037037037036</v>
      </c>
      <c r="Y112" s="649">
        <f>IFERROR(Y103/H103,"0")+IFERROR(Y104/H104,"0")+IFERROR(Y105/H105,"0")+IFERROR(Y106/H106,"0")+IFERROR(Y107/H107,"0")+IFERROR(Y108/H108,"0")+IFERROR(Y109/H109,"0")+IFERROR(Y110/H110,"0")+IFERROR(Y111/H111,"0")</f>
        <v>13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0.24674000000000001</v>
      </c>
      <c r="AA112" s="650"/>
      <c r="AB112" s="650"/>
      <c r="AC112" s="650"/>
    </row>
    <row r="113" spans="1:68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3" t="s">
        <v>71</v>
      </c>
      <c r="Q113" s="654"/>
      <c r="R113" s="654"/>
      <c r="S113" s="654"/>
      <c r="T113" s="654"/>
      <c r="U113" s="654"/>
      <c r="V113" s="655"/>
      <c r="W113" s="37" t="s">
        <v>66</v>
      </c>
      <c r="X113" s="649">
        <f>IFERROR(SUM(X103:X111),"0")</f>
        <v>130</v>
      </c>
      <c r="Y113" s="649">
        <f>IFERROR(SUM(Y103:Y111),"0")</f>
        <v>140.4</v>
      </c>
      <c r="Z113" s="37"/>
      <c r="AA113" s="650"/>
      <c r="AB113" s="650"/>
      <c r="AC113" s="650"/>
    </row>
    <row r="114" spans="1:68" ht="14.25" hidden="1" customHeight="1" x14ac:dyDescent="0.25">
      <c r="A114" s="661" t="s">
        <v>147</v>
      </c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71">
        <v>4680115881488</v>
      </c>
      <c r="E115" s="67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9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71">
        <v>4680115887664</v>
      </c>
      <c r="E116" s="67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71">
        <v>4680115887664</v>
      </c>
      <c r="E117" s="67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5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3"/>
      <c r="R117" s="663"/>
      <c r="S117" s="663"/>
      <c r="T117" s="664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71">
        <v>4680115882775</v>
      </c>
      <c r="E118" s="67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3"/>
      <c r="R118" s="663"/>
      <c r="S118" s="663"/>
      <c r="T118" s="664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71">
        <v>4680115880658</v>
      </c>
      <c r="E119" s="67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3"/>
      <c r="R119" s="663"/>
      <c r="S119" s="663"/>
      <c r="T119" s="664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58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3" t="s">
        <v>71</v>
      </c>
      <c r="Q120" s="654"/>
      <c r="R120" s="654"/>
      <c r="S120" s="654"/>
      <c r="T120" s="654"/>
      <c r="U120" s="654"/>
      <c r="V120" s="655"/>
      <c r="W120" s="37" t="s">
        <v>72</v>
      </c>
      <c r="X120" s="649">
        <f>IFERROR(X115/H115,"0")+IFERROR(X116/H116,"0")+IFERROR(X117/H117,"0")+IFERROR(X118/H118,"0")+IFERROR(X119/H119,"0")</f>
        <v>0</v>
      </c>
      <c r="Y120" s="649">
        <f>IFERROR(Y115/H115,"0")+IFERROR(Y116/H116,"0")+IFERROR(Y117/H117,"0")+IFERROR(Y118/H118,"0")+IFERROR(Y119/H119,"0")</f>
        <v>0</v>
      </c>
      <c r="Z120" s="649">
        <f>IFERROR(IF(Z115="",0,Z115),"0")+IFERROR(IF(Z116="",0,Z116),"0")+IFERROR(IF(Z117="",0,Z117),"0")+IFERROR(IF(Z118="",0,Z118),"0")+IFERROR(IF(Z119="",0,Z119),"0")</f>
        <v>0</v>
      </c>
      <c r="AA120" s="650"/>
      <c r="AB120" s="650"/>
      <c r="AC120" s="650"/>
    </row>
    <row r="121" spans="1:68" hidden="1" x14ac:dyDescent="0.2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60"/>
      <c r="P121" s="653" t="s">
        <v>71</v>
      </c>
      <c r="Q121" s="654"/>
      <c r="R121" s="654"/>
      <c r="S121" s="654"/>
      <c r="T121" s="654"/>
      <c r="U121" s="654"/>
      <c r="V121" s="655"/>
      <c r="W121" s="37" t="s">
        <v>66</v>
      </c>
      <c r="X121" s="649">
        <f>IFERROR(SUM(X115:X119),"0")</f>
        <v>0</v>
      </c>
      <c r="Y121" s="649">
        <f>IFERROR(SUM(Y115:Y119),"0")</f>
        <v>0</v>
      </c>
      <c r="Z121" s="37"/>
      <c r="AA121" s="650"/>
      <c r="AB121" s="650"/>
      <c r="AC121" s="650"/>
    </row>
    <row r="122" spans="1:68" ht="14.25" hidden="1" customHeight="1" x14ac:dyDescent="0.25">
      <c r="A122" s="661" t="s">
        <v>73</v>
      </c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71">
        <v>4607091385168</v>
      </c>
      <c r="E123" s="67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63"/>
      <c r="R123" s="663"/>
      <c r="S123" s="663"/>
      <c r="T123" s="664"/>
      <c r="U123" s="34"/>
      <c r="V123" s="34"/>
      <c r="W123" s="35" t="s">
        <v>66</v>
      </c>
      <c r="X123" s="647">
        <v>829</v>
      </c>
      <c r="Y123" s="648">
        <f>IFERROR(IF(X123="",0,CEILING((X123/$H123),1)*$H123),"")</f>
        <v>834.3</v>
      </c>
      <c r="Z123" s="36">
        <f>IFERROR(IF(Y123=0,"",ROUNDUP(Y123/H123,0)*0.01898),"")</f>
        <v>1.9549400000000001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878.94469135802467</v>
      </c>
      <c r="BN123" s="64">
        <f>IFERROR(Y123*I123/H123,"0")</f>
        <v>884.56399999999985</v>
      </c>
      <c r="BO123" s="64">
        <f>IFERROR(1/J123*(X123/H123),"0")</f>
        <v>1.5991512345679013</v>
      </c>
      <c r="BP123" s="64">
        <f>IFERROR(1/J123*(Y123/H123),"0")</f>
        <v>1.609375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71">
        <v>4607091383256</v>
      </c>
      <c r="E124" s="67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63"/>
      <c r="R124" s="663"/>
      <c r="S124" s="663"/>
      <c r="T124" s="664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71">
        <v>4607091385748</v>
      </c>
      <c r="E125" s="67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63"/>
      <c r="R125" s="663"/>
      <c r="S125" s="663"/>
      <c r="T125" s="664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71">
        <v>4680115884533</v>
      </c>
      <c r="E126" s="67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63"/>
      <c r="R126" s="663"/>
      <c r="S126" s="663"/>
      <c r="T126" s="664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58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3" t="s">
        <v>71</v>
      </c>
      <c r="Q127" s="654"/>
      <c r="R127" s="654"/>
      <c r="S127" s="654"/>
      <c r="T127" s="654"/>
      <c r="U127" s="654"/>
      <c r="V127" s="655"/>
      <c r="W127" s="37" t="s">
        <v>72</v>
      </c>
      <c r="X127" s="649">
        <f>IFERROR(X123/H123,"0")+IFERROR(X124/H124,"0")+IFERROR(X125/H125,"0")+IFERROR(X126/H126,"0")</f>
        <v>102.34567901234568</v>
      </c>
      <c r="Y127" s="649">
        <f>IFERROR(Y123/H123,"0")+IFERROR(Y124/H124,"0")+IFERROR(Y125/H125,"0")+IFERROR(Y126/H126,"0")</f>
        <v>103</v>
      </c>
      <c r="Z127" s="649">
        <f>IFERROR(IF(Z123="",0,Z123),"0")+IFERROR(IF(Z124="",0,Z124),"0")+IFERROR(IF(Z125="",0,Z125),"0")+IFERROR(IF(Z126="",0,Z126),"0")</f>
        <v>1.9549400000000001</v>
      </c>
      <c r="AA127" s="650"/>
      <c r="AB127" s="650"/>
      <c r="AC127" s="650"/>
    </row>
    <row r="128" spans="1:68" x14ac:dyDescent="0.2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60"/>
      <c r="P128" s="653" t="s">
        <v>71</v>
      </c>
      <c r="Q128" s="654"/>
      <c r="R128" s="654"/>
      <c r="S128" s="654"/>
      <c r="T128" s="654"/>
      <c r="U128" s="654"/>
      <c r="V128" s="655"/>
      <c r="W128" s="37" t="s">
        <v>66</v>
      </c>
      <c r="X128" s="649">
        <f>IFERROR(SUM(X123:X126),"0")</f>
        <v>829</v>
      </c>
      <c r="Y128" s="649">
        <f>IFERROR(SUM(Y123:Y126),"0")</f>
        <v>834.3</v>
      </c>
      <c r="Z128" s="37"/>
      <c r="AA128" s="650"/>
      <c r="AB128" s="650"/>
      <c r="AC128" s="650"/>
    </row>
    <row r="129" spans="1:68" ht="14.25" hidden="1" customHeight="1" x14ac:dyDescent="0.25">
      <c r="A129" s="661" t="s">
        <v>166</v>
      </c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71">
        <v>4680115880238</v>
      </c>
      <c r="E130" s="67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63"/>
      <c r="R130" s="663"/>
      <c r="S130" s="663"/>
      <c r="T130" s="664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58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3" t="s">
        <v>71</v>
      </c>
      <c r="Q131" s="654"/>
      <c r="R131" s="654"/>
      <c r="S131" s="654"/>
      <c r="T131" s="654"/>
      <c r="U131" s="654"/>
      <c r="V131" s="65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60"/>
      <c r="P132" s="653" t="s">
        <v>71</v>
      </c>
      <c r="Q132" s="654"/>
      <c r="R132" s="654"/>
      <c r="S132" s="654"/>
      <c r="T132" s="654"/>
      <c r="U132" s="654"/>
      <c r="V132" s="65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68" t="s">
        <v>243</v>
      </c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42"/>
      <c r="AB133" s="642"/>
      <c r="AC133" s="642"/>
    </row>
    <row r="134" spans="1:68" ht="14.25" hidden="1" customHeight="1" x14ac:dyDescent="0.25">
      <c r="A134" s="661" t="s">
        <v>110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71">
        <v>4680115882577</v>
      </c>
      <c r="E135" s="67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63"/>
      <c r="R135" s="663"/>
      <c r="S135" s="663"/>
      <c r="T135" s="664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71">
        <v>4680115882577</v>
      </c>
      <c r="E136" s="67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63"/>
      <c r="R136" s="663"/>
      <c r="S136" s="663"/>
      <c r="T136" s="664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8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3" t="s">
        <v>71</v>
      </c>
      <c r="Q137" s="654"/>
      <c r="R137" s="654"/>
      <c r="S137" s="654"/>
      <c r="T137" s="654"/>
      <c r="U137" s="654"/>
      <c r="V137" s="65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60"/>
      <c r="P138" s="653" t="s">
        <v>71</v>
      </c>
      <c r="Q138" s="654"/>
      <c r="R138" s="654"/>
      <c r="S138" s="654"/>
      <c r="T138" s="654"/>
      <c r="U138" s="654"/>
      <c r="V138" s="65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61" t="s">
        <v>61</v>
      </c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43"/>
      <c r="AB139" s="643"/>
      <c r="AC139" s="643"/>
    </row>
    <row r="140" spans="1:68" ht="27" hidden="1" customHeight="1" x14ac:dyDescent="0.25">
      <c r="A140" s="54" t="s">
        <v>249</v>
      </c>
      <c r="B140" s="54" t="s">
        <v>250</v>
      </c>
      <c r="C140" s="31">
        <v>4301031234</v>
      </c>
      <c r="D140" s="671">
        <v>4680115883444</v>
      </c>
      <c r="E140" s="67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63"/>
      <c r="R140" s="663"/>
      <c r="S140" s="663"/>
      <c r="T140" s="664"/>
      <c r="U140" s="34"/>
      <c r="V140" s="34"/>
      <c r="W140" s="35" t="s">
        <v>66</v>
      </c>
      <c r="X140" s="647">
        <v>0</v>
      </c>
      <c r="Y140" s="64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71">
        <v>4680115883444</v>
      </c>
      <c r="E141" s="67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63"/>
      <c r="R141" s="663"/>
      <c r="S141" s="663"/>
      <c r="T141" s="664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8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3" t="s">
        <v>71</v>
      </c>
      <c r="Q142" s="654"/>
      <c r="R142" s="654"/>
      <c r="S142" s="654"/>
      <c r="T142" s="654"/>
      <c r="U142" s="654"/>
      <c r="V142" s="655"/>
      <c r="W142" s="37" t="s">
        <v>72</v>
      </c>
      <c r="X142" s="649">
        <f>IFERROR(X140/H140,"0")+IFERROR(X141/H141,"0")</f>
        <v>0</v>
      </c>
      <c r="Y142" s="649">
        <f>IFERROR(Y140/H140,"0")+IFERROR(Y141/H141,"0")</f>
        <v>0</v>
      </c>
      <c r="Z142" s="649">
        <f>IFERROR(IF(Z140="",0,Z140),"0")+IFERROR(IF(Z141="",0,Z141),"0")</f>
        <v>0</v>
      </c>
      <c r="AA142" s="650"/>
      <c r="AB142" s="650"/>
      <c r="AC142" s="650"/>
    </row>
    <row r="143" spans="1:68" hidden="1" x14ac:dyDescent="0.2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60"/>
      <c r="P143" s="653" t="s">
        <v>71</v>
      </c>
      <c r="Q143" s="654"/>
      <c r="R143" s="654"/>
      <c r="S143" s="654"/>
      <c r="T143" s="654"/>
      <c r="U143" s="654"/>
      <c r="V143" s="655"/>
      <c r="W143" s="37" t="s">
        <v>66</v>
      </c>
      <c r="X143" s="649">
        <f>IFERROR(SUM(X140:X141),"0")</f>
        <v>0</v>
      </c>
      <c r="Y143" s="649">
        <f>IFERROR(SUM(Y140:Y141),"0")</f>
        <v>0</v>
      </c>
      <c r="Z143" s="37"/>
      <c r="AA143" s="650"/>
      <c r="AB143" s="650"/>
      <c r="AC143" s="650"/>
    </row>
    <row r="144" spans="1:68" ht="14.25" hidden="1" customHeight="1" x14ac:dyDescent="0.25">
      <c r="A144" s="661" t="s">
        <v>73</v>
      </c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71">
        <v>4680115882584</v>
      </c>
      <c r="E145" s="67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63"/>
      <c r="R145" s="663"/>
      <c r="S145" s="663"/>
      <c r="T145" s="664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71">
        <v>4680115882584</v>
      </c>
      <c r="E146" s="67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63"/>
      <c r="R146" s="663"/>
      <c r="S146" s="663"/>
      <c r="T146" s="664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58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3" t="s">
        <v>71</v>
      </c>
      <c r="Q147" s="654"/>
      <c r="R147" s="654"/>
      <c r="S147" s="654"/>
      <c r="T147" s="654"/>
      <c r="U147" s="654"/>
      <c r="V147" s="65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60"/>
      <c r="P148" s="653" t="s">
        <v>71</v>
      </c>
      <c r="Q148" s="654"/>
      <c r="R148" s="654"/>
      <c r="S148" s="654"/>
      <c r="T148" s="654"/>
      <c r="U148" s="654"/>
      <c r="V148" s="65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68" t="s">
        <v>256</v>
      </c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42"/>
      <c r="AB149" s="642"/>
      <c r="AC149" s="642"/>
    </row>
    <row r="150" spans="1:68" ht="14.25" hidden="1" customHeight="1" x14ac:dyDescent="0.25">
      <c r="A150" s="661" t="s">
        <v>73</v>
      </c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71">
        <v>4680115888203</v>
      </c>
      <c r="E151" s="67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63"/>
      <c r="R151" s="663"/>
      <c r="S151" s="663"/>
      <c r="T151" s="664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71">
        <v>4680115888180</v>
      </c>
      <c r="E152" s="67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3"/>
      <c r="R152" s="663"/>
      <c r="S152" s="663"/>
      <c r="T152" s="664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71">
        <v>4680115888180</v>
      </c>
      <c r="E153" s="67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3"/>
      <c r="R153" s="663"/>
      <c r="S153" s="663"/>
      <c r="T153" s="664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71">
        <v>4680115888197</v>
      </c>
      <c r="E154" s="67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3"/>
      <c r="R154" s="663"/>
      <c r="S154" s="663"/>
      <c r="T154" s="664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71">
        <v>4680115888210</v>
      </c>
      <c r="E155" s="67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71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3"/>
      <c r="R155" s="663"/>
      <c r="S155" s="663"/>
      <c r="T155" s="664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71">
        <v>4680115888210</v>
      </c>
      <c r="E156" s="67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63"/>
      <c r="R156" s="663"/>
      <c r="S156" s="663"/>
      <c r="T156" s="664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58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3" t="s">
        <v>71</v>
      </c>
      <c r="Q157" s="654"/>
      <c r="R157" s="654"/>
      <c r="S157" s="654"/>
      <c r="T157" s="654"/>
      <c r="U157" s="654"/>
      <c r="V157" s="65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60"/>
      <c r="P158" s="653" t="s">
        <v>71</v>
      </c>
      <c r="Q158" s="654"/>
      <c r="R158" s="654"/>
      <c r="S158" s="654"/>
      <c r="T158" s="654"/>
      <c r="U158" s="654"/>
      <c r="V158" s="65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61" t="s">
        <v>271</v>
      </c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71">
        <v>4680115889132</v>
      </c>
      <c r="E160" s="67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63"/>
      <c r="R160" s="663"/>
      <c r="S160" s="663"/>
      <c r="T160" s="664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58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3" t="s">
        <v>71</v>
      </c>
      <c r="Q161" s="654"/>
      <c r="R161" s="654"/>
      <c r="S161" s="654"/>
      <c r="T161" s="654"/>
      <c r="U161" s="654"/>
      <c r="V161" s="65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60"/>
      <c r="P162" s="653" t="s">
        <v>71</v>
      </c>
      <c r="Q162" s="654"/>
      <c r="R162" s="654"/>
      <c r="S162" s="654"/>
      <c r="T162" s="654"/>
      <c r="U162" s="654"/>
      <c r="V162" s="65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68" t="s">
        <v>108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42"/>
      <c r="AB163" s="642"/>
      <c r="AC163" s="642"/>
    </row>
    <row r="164" spans="1:68" ht="14.25" hidden="1" customHeight="1" x14ac:dyDescent="0.25">
      <c r="A164" s="661" t="s">
        <v>110</v>
      </c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43"/>
      <c r="AB164" s="643"/>
      <c r="AC164" s="643"/>
    </row>
    <row r="165" spans="1:68" ht="27" hidden="1" customHeight="1" x14ac:dyDescent="0.25">
      <c r="A165" s="54" t="s">
        <v>278</v>
      </c>
      <c r="B165" s="54" t="s">
        <v>279</v>
      </c>
      <c r="C165" s="31">
        <v>4301012338</v>
      </c>
      <c r="D165" s="671">
        <v>4680115887374</v>
      </c>
      <c r="E165" s="67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63"/>
      <c r="R165" s="663"/>
      <c r="S165" s="663"/>
      <c r="T165" s="664"/>
      <c r="U165" s="34"/>
      <c r="V165" s="34"/>
      <c r="W165" s="35" t="s">
        <v>66</v>
      </c>
      <c r="X165" s="647">
        <v>0</v>
      </c>
      <c r="Y165" s="648">
        <f>IFERROR(IF(X165="",0,CEILING((X165/$H165),1)*$H165),"")</f>
        <v>0</v>
      </c>
      <c r="Z165" s="36" t="str">
        <f>IFERROR(IF(Y165=0,"",ROUNDUP(Y165/H165,0)*0.01196),"")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71">
        <v>4607091384604</v>
      </c>
      <c r="E166" s="67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6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63"/>
      <c r="R166" s="663"/>
      <c r="S166" s="663"/>
      <c r="T166" s="664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71">
        <v>4607091384604</v>
      </c>
      <c r="E167" s="67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7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63"/>
      <c r="R167" s="663"/>
      <c r="S167" s="663"/>
      <c r="T167" s="664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71">
        <v>4680115888876</v>
      </c>
      <c r="E168" s="67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8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63"/>
      <c r="R168" s="663"/>
      <c r="S168" s="663"/>
      <c r="T168" s="664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8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3" t="s">
        <v>71</v>
      </c>
      <c r="Q169" s="654"/>
      <c r="R169" s="654"/>
      <c r="S169" s="654"/>
      <c r="T169" s="654"/>
      <c r="U169" s="654"/>
      <c r="V169" s="655"/>
      <c r="W169" s="37" t="s">
        <v>72</v>
      </c>
      <c r="X169" s="649">
        <f>IFERROR(X165/H165,"0")+IFERROR(X166/H166,"0")+IFERROR(X167/H167,"0")+IFERROR(X168/H168,"0")</f>
        <v>0</v>
      </c>
      <c r="Y169" s="649">
        <f>IFERROR(Y165/H165,"0")+IFERROR(Y166/H166,"0")+IFERROR(Y167/H167,"0")+IFERROR(Y168/H168,"0")</f>
        <v>0</v>
      </c>
      <c r="Z169" s="649">
        <f>IFERROR(IF(Z165="",0,Z165),"0")+IFERROR(IF(Z166="",0,Z166),"0")+IFERROR(IF(Z167="",0,Z167),"0")+IFERROR(IF(Z168="",0,Z168),"0")</f>
        <v>0</v>
      </c>
      <c r="AA169" s="650"/>
      <c r="AB169" s="650"/>
      <c r="AC169" s="650"/>
    </row>
    <row r="170" spans="1:68" hidden="1" x14ac:dyDescent="0.2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60"/>
      <c r="P170" s="653" t="s">
        <v>71</v>
      </c>
      <c r="Q170" s="654"/>
      <c r="R170" s="654"/>
      <c r="S170" s="654"/>
      <c r="T170" s="654"/>
      <c r="U170" s="654"/>
      <c r="V170" s="655"/>
      <c r="W170" s="37" t="s">
        <v>66</v>
      </c>
      <c r="X170" s="649">
        <f>IFERROR(SUM(X165:X168),"0")</f>
        <v>0</v>
      </c>
      <c r="Y170" s="649">
        <f>IFERROR(SUM(Y165:Y168),"0")</f>
        <v>0</v>
      </c>
      <c r="Z170" s="37"/>
      <c r="AA170" s="650"/>
      <c r="AB170" s="650"/>
      <c r="AC170" s="650"/>
    </row>
    <row r="171" spans="1:68" ht="14.25" hidden="1" customHeight="1" x14ac:dyDescent="0.25">
      <c r="A171" s="661" t="s">
        <v>147</v>
      </c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71">
        <v>4680115887695</v>
      </c>
      <c r="E172" s="67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63"/>
      <c r="R172" s="663"/>
      <c r="S172" s="663"/>
      <c r="T172" s="664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71">
        <v>4680115889491</v>
      </c>
      <c r="E173" s="67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4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63"/>
      <c r="R173" s="663"/>
      <c r="S173" s="663"/>
      <c r="T173" s="664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58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3" t="s">
        <v>71</v>
      </c>
      <c r="Q174" s="654"/>
      <c r="R174" s="654"/>
      <c r="S174" s="654"/>
      <c r="T174" s="654"/>
      <c r="U174" s="654"/>
      <c r="V174" s="65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60"/>
      <c r="P175" s="653" t="s">
        <v>71</v>
      </c>
      <c r="Q175" s="654"/>
      <c r="R175" s="654"/>
      <c r="S175" s="654"/>
      <c r="T175" s="654"/>
      <c r="U175" s="654"/>
      <c r="V175" s="65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61" t="s">
        <v>61</v>
      </c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71">
        <v>4680115887428</v>
      </c>
      <c r="E177" s="67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3"/>
      <c r="R177" s="663"/>
      <c r="S177" s="663"/>
      <c r="T177" s="664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71">
        <v>4680115889170</v>
      </c>
      <c r="E178" s="67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3"/>
      <c r="R178" s="663"/>
      <c r="S178" s="663"/>
      <c r="T178" s="664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71">
        <v>4680115887398</v>
      </c>
      <c r="E179" s="67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3"/>
      <c r="R179" s="663"/>
      <c r="S179" s="663"/>
      <c r="T179" s="664"/>
      <c r="U179" s="34"/>
      <c r="V179" s="34"/>
      <c r="W179" s="35" t="s">
        <v>66</v>
      </c>
      <c r="X179" s="647">
        <v>104</v>
      </c>
      <c r="Y179" s="648">
        <f t="shared" si="16"/>
        <v>105</v>
      </c>
      <c r="Z179" s="36">
        <f>IFERROR(IF(Y179=0,"",ROUNDUP(Y179/H179,0)*0.00902),"")</f>
        <v>0.27060000000000001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109.64571428571428</v>
      </c>
      <c r="BN179" s="64">
        <f t="shared" si="18"/>
        <v>110.7</v>
      </c>
      <c r="BO179" s="64">
        <f t="shared" si="19"/>
        <v>0.22510822510822512</v>
      </c>
      <c r="BP179" s="64">
        <f t="shared" si="20"/>
        <v>0.22727272727272729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71">
        <v>4680115887336</v>
      </c>
      <c r="E180" s="67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3"/>
      <c r="R180" s="663"/>
      <c r="S180" s="663"/>
      <c r="T180" s="664"/>
      <c r="U180" s="34"/>
      <c r="V180" s="34"/>
      <c r="W180" s="35" t="s">
        <v>66</v>
      </c>
      <c r="X180" s="647">
        <v>130</v>
      </c>
      <c r="Y180" s="648">
        <f t="shared" si="16"/>
        <v>133</v>
      </c>
      <c r="Z180" s="36">
        <f>IFERROR(IF(Y180=0,"",ROUNDUP(Y180/H180,0)*0.00902),"")</f>
        <v>0.34276000000000001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137.05714285714285</v>
      </c>
      <c r="BN180" s="64">
        <f t="shared" si="18"/>
        <v>140.22</v>
      </c>
      <c r="BO180" s="64">
        <f t="shared" si="19"/>
        <v>0.2813852813852814</v>
      </c>
      <c r="BP180" s="64">
        <f t="shared" si="20"/>
        <v>0.2878787878787879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71">
        <v>4680115887787</v>
      </c>
      <c r="E181" s="67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3"/>
      <c r="R181" s="663"/>
      <c r="S181" s="663"/>
      <c r="T181" s="664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71">
        <v>4680115887787</v>
      </c>
      <c r="E182" s="67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63"/>
      <c r="R182" s="663"/>
      <c r="S182" s="663"/>
      <c r="T182" s="664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71">
        <v>4680115887503</v>
      </c>
      <c r="E183" s="67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10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63"/>
      <c r="R183" s="663"/>
      <c r="S183" s="663"/>
      <c r="T183" s="664"/>
      <c r="U183" s="34"/>
      <c r="V183" s="34"/>
      <c r="W183" s="35" t="s">
        <v>66</v>
      </c>
      <c r="X183" s="647">
        <v>58</v>
      </c>
      <c r="Y183" s="648">
        <f t="shared" si="16"/>
        <v>58.8</v>
      </c>
      <c r="Z183" s="36">
        <f>IFERROR(IF(Y183=0,"",ROUNDUP(Y183/H183,0)*0.00502),"")</f>
        <v>0.1757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61.452380952380949</v>
      </c>
      <c r="BN183" s="64">
        <f t="shared" si="18"/>
        <v>62.300000000000004</v>
      </c>
      <c r="BO183" s="64">
        <f t="shared" si="19"/>
        <v>0.14753764753764756</v>
      </c>
      <c r="BP183" s="64">
        <f t="shared" si="20"/>
        <v>0.1495726495726496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71">
        <v>4680115887763</v>
      </c>
      <c r="E184" s="67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63"/>
      <c r="R184" s="663"/>
      <c r="S184" s="663"/>
      <c r="T184" s="664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4301031521</v>
      </c>
      <c r="D185" s="671">
        <v>4680115887480</v>
      </c>
      <c r="E185" s="67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63"/>
      <c r="R185" s="663"/>
      <c r="S185" s="663"/>
      <c r="T185" s="664"/>
      <c r="U185" s="34"/>
      <c r="V185" s="34"/>
      <c r="W185" s="35" t="s">
        <v>66</v>
      </c>
      <c r="X185" s="647">
        <v>44</v>
      </c>
      <c r="Y185" s="648">
        <f t="shared" si="16"/>
        <v>45.36</v>
      </c>
      <c r="Z185" s="36">
        <f>IFERROR(IF(Y185=0,"",ROUNDUP(Y185/H185,0)*0.00502),"")</f>
        <v>0.13553999999999999</v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46.619047619047628</v>
      </c>
      <c r="BN185" s="64">
        <f t="shared" si="18"/>
        <v>48.060000000000009</v>
      </c>
      <c r="BO185" s="64">
        <f t="shared" si="19"/>
        <v>0.11192511192511194</v>
      </c>
      <c r="BP185" s="64">
        <f t="shared" si="20"/>
        <v>0.11538461538461539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71">
        <v>4680115888067</v>
      </c>
      <c r="E186" s="67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63"/>
      <c r="R186" s="663"/>
      <c r="S186" s="663"/>
      <c r="T186" s="664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71">
        <v>4680115887435</v>
      </c>
      <c r="E187" s="67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63"/>
      <c r="R187" s="663"/>
      <c r="S187" s="663"/>
      <c r="T187" s="664"/>
      <c r="U187" s="34"/>
      <c r="V187" s="34"/>
      <c r="W187" s="35" t="s">
        <v>66</v>
      </c>
      <c r="X187" s="647">
        <v>44</v>
      </c>
      <c r="Y187" s="648">
        <f t="shared" si="16"/>
        <v>45.36</v>
      </c>
      <c r="Z187" s="36">
        <f>IFERROR(IF(Y187=0,"",ROUNDUP(Y187/H187,0)*0.00502),"")</f>
        <v>0.13553999999999999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46.619047619047628</v>
      </c>
      <c r="BN187" s="64">
        <f t="shared" si="18"/>
        <v>48.060000000000009</v>
      </c>
      <c r="BO187" s="64">
        <f t="shared" si="19"/>
        <v>0.11192511192511194</v>
      </c>
      <c r="BP187" s="64">
        <f t="shared" si="20"/>
        <v>0.11538461538461539</v>
      </c>
    </row>
    <row r="188" spans="1:68" x14ac:dyDescent="0.2">
      <c r="A188" s="658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3" t="s">
        <v>71</v>
      </c>
      <c r="Q188" s="654"/>
      <c r="R188" s="654"/>
      <c r="S188" s="654"/>
      <c r="T188" s="654"/>
      <c r="U188" s="654"/>
      <c r="V188" s="65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153.76190476190476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157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1.0601400000000001</v>
      </c>
      <c r="AA188" s="650"/>
      <c r="AB188" s="650"/>
      <c r="AC188" s="650"/>
    </row>
    <row r="189" spans="1:68" x14ac:dyDescent="0.2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60"/>
      <c r="P189" s="653" t="s">
        <v>71</v>
      </c>
      <c r="Q189" s="654"/>
      <c r="R189" s="654"/>
      <c r="S189" s="654"/>
      <c r="T189" s="654"/>
      <c r="U189" s="654"/>
      <c r="V189" s="655"/>
      <c r="W189" s="37" t="s">
        <v>66</v>
      </c>
      <c r="X189" s="649">
        <f>IFERROR(SUM(X177:X187),"0")</f>
        <v>380</v>
      </c>
      <c r="Y189" s="649">
        <f>IFERROR(SUM(Y177:Y187),"0")</f>
        <v>387.52000000000004</v>
      </c>
      <c r="Z189" s="37"/>
      <c r="AA189" s="650"/>
      <c r="AB189" s="650"/>
      <c r="AC189" s="650"/>
    </row>
    <row r="190" spans="1:68" ht="14.25" hidden="1" customHeight="1" x14ac:dyDescent="0.25">
      <c r="A190" s="661" t="s">
        <v>73</v>
      </c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71">
        <v>4680115888395</v>
      </c>
      <c r="E191" s="67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63"/>
      <c r="R191" s="663"/>
      <c r="S191" s="663"/>
      <c r="T191" s="664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71">
        <v>4680115888371</v>
      </c>
      <c r="E192" s="67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63"/>
      <c r="R192" s="663"/>
      <c r="S192" s="663"/>
      <c r="T192" s="664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71">
        <v>4680115887459</v>
      </c>
      <c r="E193" s="67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63"/>
      <c r="R193" s="663"/>
      <c r="S193" s="663"/>
      <c r="T193" s="664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8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3" t="s">
        <v>71</v>
      </c>
      <c r="Q194" s="654"/>
      <c r="R194" s="654"/>
      <c r="S194" s="654"/>
      <c r="T194" s="654"/>
      <c r="U194" s="654"/>
      <c r="V194" s="65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60"/>
      <c r="P195" s="653" t="s">
        <v>71</v>
      </c>
      <c r="Q195" s="654"/>
      <c r="R195" s="654"/>
      <c r="S195" s="654"/>
      <c r="T195" s="654"/>
      <c r="U195" s="654"/>
      <c r="V195" s="65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61" t="s">
        <v>271</v>
      </c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71">
        <v>4680115889026</v>
      </c>
      <c r="E197" s="67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79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63"/>
      <c r="R197" s="663"/>
      <c r="S197" s="663"/>
      <c r="T197" s="664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8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3" t="s">
        <v>71</v>
      </c>
      <c r="Q198" s="654"/>
      <c r="R198" s="654"/>
      <c r="S198" s="654"/>
      <c r="T198" s="654"/>
      <c r="U198" s="654"/>
      <c r="V198" s="65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60"/>
      <c r="P199" s="653" t="s">
        <v>71</v>
      </c>
      <c r="Q199" s="654"/>
      <c r="R199" s="654"/>
      <c r="S199" s="654"/>
      <c r="T199" s="654"/>
      <c r="U199" s="654"/>
      <c r="V199" s="65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61" t="s">
        <v>336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71">
        <v>4680115889033</v>
      </c>
      <c r="E201" s="67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3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63"/>
      <c r="R201" s="663"/>
      <c r="S201" s="663"/>
      <c r="T201" s="664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8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3" t="s">
        <v>71</v>
      </c>
      <c r="Q202" s="654"/>
      <c r="R202" s="654"/>
      <c r="S202" s="654"/>
      <c r="T202" s="654"/>
      <c r="U202" s="654"/>
      <c r="V202" s="65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60"/>
      <c r="P203" s="653" t="s">
        <v>71</v>
      </c>
      <c r="Q203" s="654"/>
      <c r="R203" s="654"/>
      <c r="S203" s="654"/>
      <c r="T203" s="654"/>
      <c r="U203" s="654"/>
      <c r="V203" s="65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51" t="s">
        <v>340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48"/>
      <c r="AB204" s="48"/>
      <c r="AC204" s="48"/>
    </row>
    <row r="205" spans="1:68" ht="16.5" hidden="1" customHeight="1" x14ac:dyDescent="0.25">
      <c r="A205" s="668" t="s">
        <v>341</v>
      </c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42"/>
      <c r="AB205" s="642"/>
      <c r="AC205" s="642"/>
    </row>
    <row r="206" spans="1:68" ht="14.25" hidden="1" customHeight="1" x14ac:dyDescent="0.25">
      <c r="A206" s="661" t="s">
        <v>110</v>
      </c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71">
        <v>4607091383423</v>
      </c>
      <c r="E207" s="67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8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63"/>
      <c r="R207" s="663"/>
      <c r="S207" s="663"/>
      <c r="T207" s="664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71">
        <v>4680115888760</v>
      </c>
      <c r="E208" s="67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2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63"/>
      <c r="R208" s="663"/>
      <c r="S208" s="663"/>
      <c r="T208" s="664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71">
        <v>4680115888807</v>
      </c>
      <c r="E209" s="67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63"/>
      <c r="R209" s="663"/>
      <c r="S209" s="663"/>
      <c r="T209" s="664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71">
        <v>4680115888852</v>
      </c>
      <c r="E210" s="67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63"/>
      <c r="R210" s="663"/>
      <c r="S210" s="663"/>
      <c r="T210" s="664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71">
        <v>4680115886957</v>
      </c>
      <c r="E211" s="67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7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63"/>
      <c r="R211" s="663"/>
      <c r="S211" s="663"/>
      <c r="T211" s="664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71">
        <v>4680115885660</v>
      </c>
      <c r="E212" s="67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63"/>
      <c r="R212" s="663"/>
      <c r="S212" s="663"/>
      <c r="T212" s="664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71">
        <v>4680115886773</v>
      </c>
      <c r="E213" s="67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7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63"/>
      <c r="R213" s="663"/>
      <c r="S213" s="663"/>
      <c r="T213" s="664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58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3" t="s">
        <v>71</v>
      </c>
      <c r="Q214" s="654"/>
      <c r="R214" s="654"/>
      <c r="S214" s="654"/>
      <c r="T214" s="654"/>
      <c r="U214" s="654"/>
      <c r="V214" s="65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60"/>
      <c r="P215" s="653" t="s">
        <v>71</v>
      </c>
      <c r="Q215" s="654"/>
      <c r="R215" s="654"/>
      <c r="S215" s="654"/>
      <c r="T215" s="654"/>
      <c r="U215" s="654"/>
      <c r="V215" s="65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68" t="s">
        <v>362</v>
      </c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42"/>
      <c r="AB216" s="642"/>
      <c r="AC216" s="642"/>
    </row>
    <row r="217" spans="1:68" ht="14.25" hidden="1" customHeight="1" x14ac:dyDescent="0.25">
      <c r="A217" s="661" t="s">
        <v>147</v>
      </c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71">
        <v>4680115886223</v>
      </c>
      <c r="E218" s="67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63"/>
      <c r="R218" s="663"/>
      <c r="S218" s="663"/>
      <c r="T218" s="664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58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3" t="s">
        <v>71</v>
      </c>
      <c r="Q219" s="654"/>
      <c r="R219" s="654"/>
      <c r="S219" s="654"/>
      <c r="T219" s="654"/>
      <c r="U219" s="654"/>
      <c r="V219" s="65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60"/>
      <c r="P220" s="653" t="s">
        <v>71</v>
      </c>
      <c r="Q220" s="654"/>
      <c r="R220" s="654"/>
      <c r="S220" s="654"/>
      <c r="T220" s="654"/>
      <c r="U220" s="654"/>
      <c r="V220" s="65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61" t="s">
        <v>61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71">
        <v>4680115880993</v>
      </c>
      <c r="E222" s="67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63"/>
      <c r="R222" s="663"/>
      <c r="S222" s="663"/>
      <c r="T222" s="664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71">
        <v>4680115881761</v>
      </c>
      <c r="E223" s="67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63"/>
      <c r="R223" s="663"/>
      <c r="S223" s="663"/>
      <c r="T223" s="664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71">
        <v>4680115881563</v>
      </c>
      <c r="E224" s="67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63"/>
      <c r="R224" s="663"/>
      <c r="S224" s="663"/>
      <c r="T224" s="664"/>
      <c r="U224" s="34"/>
      <c r="V224" s="34"/>
      <c r="W224" s="35" t="s">
        <v>66</v>
      </c>
      <c r="X224" s="647">
        <v>104</v>
      </c>
      <c r="Y224" s="648">
        <f t="shared" si="27"/>
        <v>105</v>
      </c>
      <c r="Z224" s="36">
        <f>IFERROR(IF(Y224=0,"",ROUNDUP(Y224/H224,0)*0.00902),"")</f>
        <v>0.22550000000000001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108.70476190476188</v>
      </c>
      <c r="BN224" s="64">
        <f t="shared" si="29"/>
        <v>109.74999999999999</v>
      </c>
      <c r="BO224" s="64">
        <f t="shared" si="30"/>
        <v>0.18759018759018758</v>
      </c>
      <c r="BP224" s="64">
        <f t="shared" si="31"/>
        <v>0.18939393939393939</v>
      </c>
    </row>
    <row r="225" spans="1:68" ht="37.5" hidden="1" customHeight="1" x14ac:dyDescent="0.25">
      <c r="A225" s="54" t="s">
        <v>375</v>
      </c>
      <c r="B225" s="54" t="s">
        <v>376</v>
      </c>
      <c r="C225" s="31">
        <v>4301031447</v>
      </c>
      <c r="D225" s="671">
        <v>4680115887565</v>
      </c>
      <c r="E225" s="67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2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63"/>
      <c r="R225" s="663"/>
      <c r="S225" s="663"/>
      <c r="T225" s="664"/>
      <c r="U225" s="34"/>
      <c r="V225" s="34"/>
      <c r="W225" s="35" t="s">
        <v>66</v>
      </c>
      <c r="X225" s="647">
        <v>0</v>
      </c>
      <c r="Y225" s="648">
        <f t="shared" si="27"/>
        <v>0</v>
      </c>
      <c r="Z225" s="36" t="str">
        <f>IFERROR(IF(Y225=0,"",ROUNDUP(Y225/H225,0)*0.00556),"")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4301031199</v>
      </c>
      <c r="D226" s="671">
        <v>4680115880986</v>
      </c>
      <c r="E226" s="67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63"/>
      <c r="R226" s="663"/>
      <c r="S226" s="663"/>
      <c r="T226" s="664"/>
      <c r="U226" s="34"/>
      <c r="V226" s="34"/>
      <c r="W226" s="35" t="s">
        <v>66</v>
      </c>
      <c r="X226" s="647">
        <v>0</v>
      </c>
      <c r="Y226" s="648">
        <f t="shared" si="27"/>
        <v>0</v>
      </c>
      <c r="Z226" s="36" t="str">
        <f t="shared" ref="Z226:Z231" si="32">IFERROR(IF(Y226=0,"",ROUNDUP(Y226/H226,0)*0.00502),"")</f>
        <v/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71">
        <v>4680115887213</v>
      </c>
      <c r="E227" s="67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63"/>
      <c r="R227" s="663"/>
      <c r="S227" s="663"/>
      <c r="T227" s="664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71">
        <v>4680115881785</v>
      </c>
      <c r="E228" s="67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63"/>
      <c r="R228" s="663"/>
      <c r="S228" s="663"/>
      <c r="T228" s="664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71">
        <v>4680115888432</v>
      </c>
      <c r="E229" s="67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63"/>
      <c r="R229" s="663"/>
      <c r="S229" s="663"/>
      <c r="T229" s="664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71">
        <v>4680115888104</v>
      </c>
      <c r="E230" s="67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8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63"/>
      <c r="R230" s="663"/>
      <c r="S230" s="663"/>
      <c r="T230" s="664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71">
        <v>4680115886537</v>
      </c>
      <c r="E231" s="67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8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63"/>
      <c r="R231" s="663"/>
      <c r="S231" s="663"/>
      <c r="T231" s="664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71">
        <v>4680115887596</v>
      </c>
      <c r="E232" s="67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63"/>
      <c r="R232" s="663"/>
      <c r="S232" s="663"/>
      <c r="T232" s="664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71">
        <v>4680115881679</v>
      </c>
      <c r="E233" s="67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7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63"/>
      <c r="R233" s="663"/>
      <c r="S233" s="663"/>
      <c r="T233" s="664"/>
      <c r="U233" s="34"/>
      <c r="V233" s="34"/>
      <c r="W233" s="35" t="s">
        <v>66</v>
      </c>
      <c r="X233" s="647">
        <v>22</v>
      </c>
      <c r="Y233" s="648">
        <f t="shared" si="27"/>
        <v>23.1</v>
      </c>
      <c r="Z233" s="36">
        <f>IFERROR(IF(Y233=0,"",ROUNDUP(Y233/H233,0)*0.00502),"")</f>
        <v>5.5220000000000005E-2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23.047619047619051</v>
      </c>
      <c r="BN233" s="64">
        <f t="shared" si="29"/>
        <v>24.200000000000003</v>
      </c>
      <c r="BO233" s="64">
        <f t="shared" si="30"/>
        <v>4.4770044770044773E-2</v>
      </c>
      <c r="BP233" s="64">
        <f t="shared" si="31"/>
        <v>4.7008547008547015E-2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71">
        <v>4680115880191</v>
      </c>
      <c r="E234" s="67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63"/>
      <c r="R234" s="663"/>
      <c r="S234" s="663"/>
      <c r="T234" s="664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71">
        <v>4680115880191</v>
      </c>
      <c r="E235" s="67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8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63"/>
      <c r="R235" s="663"/>
      <c r="S235" s="663"/>
      <c r="T235" s="664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71">
        <v>4680115883963</v>
      </c>
      <c r="E236" s="67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4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63"/>
      <c r="R236" s="663"/>
      <c r="S236" s="663"/>
      <c r="T236" s="664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58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3" t="s">
        <v>71</v>
      </c>
      <c r="Q237" s="654"/>
      <c r="R237" s="654"/>
      <c r="S237" s="654"/>
      <c r="T237" s="654"/>
      <c r="U237" s="654"/>
      <c r="V237" s="65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35.238095238095234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36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0.28072000000000003</v>
      </c>
      <c r="AA237" s="650"/>
      <c r="AB237" s="650"/>
      <c r="AC237" s="650"/>
    </row>
    <row r="238" spans="1:68" x14ac:dyDescent="0.2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60"/>
      <c r="P238" s="653" t="s">
        <v>71</v>
      </c>
      <c r="Q238" s="654"/>
      <c r="R238" s="654"/>
      <c r="S238" s="654"/>
      <c r="T238" s="654"/>
      <c r="U238" s="654"/>
      <c r="V238" s="655"/>
      <c r="W238" s="37" t="s">
        <v>66</v>
      </c>
      <c r="X238" s="649">
        <f>IFERROR(SUM(X222:X236),"0")</f>
        <v>126</v>
      </c>
      <c r="Y238" s="649">
        <f>IFERROR(SUM(Y222:Y236),"0")</f>
        <v>128.1</v>
      </c>
      <c r="Z238" s="37"/>
      <c r="AA238" s="650"/>
      <c r="AB238" s="650"/>
      <c r="AC238" s="650"/>
    </row>
    <row r="239" spans="1:68" ht="14.25" hidden="1" customHeight="1" x14ac:dyDescent="0.25">
      <c r="A239" s="661" t="s">
        <v>73</v>
      </c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71">
        <v>4680115888692</v>
      </c>
      <c r="E240" s="67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63"/>
      <c r="R240" s="663"/>
      <c r="S240" s="663"/>
      <c r="T240" s="664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71">
        <v>4680115888692</v>
      </c>
      <c r="E241" s="67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63"/>
      <c r="R241" s="663"/>
      <c r="S241" s="663"/>
      <c r="T241" s="664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71">
        <v>4680115888722</v>
      </c>
      <c r="E242" s="67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63"/>
      <c r="R242" s="663"/>
      <c r="S242" s="663"/>
      <c r="T242" s="664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71">
        <v>4680115888722</v>
      </c>
      <c r="E243" s="67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99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63"/>
      <c r="R243" s="663"/>
      <c r="S243" s="663"/>
      <c r="T243" s="664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71">
        <v>4680115888951</v>
      </c>
      <c r="E244" s="67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63"/>
      <c r="R244" s="663"/>
      <c r="S244" s="663"/>
      <c r="T244" s="664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71">
        <v>4680115888951</v>
      </c>
      <c r="E245" s="67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4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71">
        <v>4680115888975</v>
      </c>
      <c r="E246" s="67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71">
        <v>4680115888982</v>
      </c>
      <c r="E247" s="67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71">
        <v>4680115888982</v>
      </c>
      <c r="E248" s="67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63"/>
      <c r="R248" s="663"/>
      <c r="S248" s="663"/>
      <c r="T248" s="664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58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3" t="s">
        <v>71</v>
      </c>
      <c r="Q249" s="654"/>
      <c r="R249" s="654"/>
      <c r="S249" s="654"/>
      <c r="T249" s="654"/>
      <c r="U249" s="654"/>
      <c r="V249" s="65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60"/>
      <c r="P250" s="653" t="s">
        <v>71</v>
      </c>
      <c r="Q250" s="654"/>
      <c r="R250" s="654"/>
      <c r="S250" s="654"/>
      <c r="T250" s="654"/>
      <c r="U250" s="654"/>
      <c r="V250" s="65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61" t="s">
        <v>271</v>
      </c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71">
        <v>4680115886780</v>
      </c>
      <c r="E252" s="67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63"/>
      <c r="R252" s="663"/>
      <c r="S252" s="663"/>
      <c r="T252" s="664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71">
        <v>4680115886742</v>
      </c>
      <c r="E253" s="67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63"/>
      <c r="R253" s="663"/>
      <c r="S253" s="663"/>
      <c r="T253" s="664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431</v>
      </c>
      <c r="B254" s="54" t="s">
        <v>432</v>
      </c>
      <c r="C254" s="31">
        <v>4301032052</v>
      </c>
      <c r="D254" s="671">
        <v>4680115886766</v>
      </c>
      <c r="E254" s="67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9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63"/>
      <c r="R254" s="663"/>
      <c r="S254" s="663"/>
      <c r="T254" s="664"/>
      <c r="U254" s="34"/>
      <c r="V254" s="34"/>
      <c r="W254" s="35" t="s">
        <v>66</v>
      </c>
      <c r="X254" s="647">
        <v>0</v>
      </c>
      <c r="Y254" s="6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8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3" t="s">
        <v>71</v>
      </c>
      <c r="Q255" s="654"/>
      <c r="R255" s="654"/>
      <c r="S255" s="654"/>
      <c r="T255" s="654"/>
      <c r="U255" s="654"/>
      <c r="V255" s="655"/>
      <c r="W255" s="37" t="s">
        <v>72</v>
      </c>
      <c r="X255" s="649">
        <f>IFERROR(X252/H252,"0")+IFERROR(X253/H253,"0")+IFERROR(X254/H254,"0")</f>
        <v>0</v>
      </c>
      <c r="Y255" s="649">
        <f>IFERROR(Y252/H252,"0")+IFERROR(Y253/H253,"0")+IFERROR(Y254/H254,"0")</f>
        <v>0</v>
      </c>
      <c r="Z255" s="649">
        <f>IFERROR(IF(Z252="",0,Z252),"0")+IFERROR(IF(Z253="",0,Z253),"0")+IFERROR(IF(Z254="",0,Z254),"0")</f>
        <v>0</v>
      </c>
      <c r="AA255" s="650"/>
      <c r="AB255" s="650"/>
      <c r="AC255" s="650"/>
    </row>
    <row r="256" spans="1:68" hidden="1" x14ac:dyDescent="0.2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60"/>
      <c r="P256" s="653" t="s">
        <v>71</v>
      </c>
      <c r="Q256" s="654"/>
      <c r="R256" s="654"/>
      <c r="S256" s="654"/>
      <c r="T256" s="654"/>
      <c r="U256" s="654"/>
      <c r="V256" s="655"/>
      <c r="W256" s="37" t="s">
        <v>66</v>
      </c>
      <c r="X256" s="649">
        <f>IFERROR(SUM(X252:X254),"0")</f>
        <v>0</v>
      </c>
      <c r="Y256" s="649">
        <f>IFERROR(SUM(Y252:Y254),"0")</f>
        <v>0</v>
      </c>
      <c r="Z256" s="37"/>
      <c r="AA256" s="650"/>
      <c r="AB256" s="650"/>
      <c r="AC256" s="650"/>
    </row>
    <row r="257" spans="1:68" ht="14.25" hidden="1" customHeight="1" x14ac:dyDescent="0.25">
      <c r="A257" s="661" t="s">
        <v>433</v>
      </c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71">
        <v>4680115886797</v>
      </c>
      <c r="E258" s="67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63"/>
      <c r="R258" s="663"/>
      <c r="S258" s="663"/>
      <c r="T258" s="664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8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3" t="s">
        <v>71</v>
      </c>
      <c r="Q259" s="654"/>
      <c r="R259" s="654"/>
      <c r="S259" s="654"/>
      <c r="T259" s="654"/>
      <c r="U259" s="654"/>
      <c r="V259" s="65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60"/>
      <c r="P260" s="653" t="s">
        <v>71</v>
      </c>
      <c r="Q260" s="654"/>
      <c r="R260" s="654"/>
      <c r="S260" s="654"/>
      <c r="T260" s="654"/>
      <c r="U260" s="654"/>
      <c r="V260" s="65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68" t="s">
        <v>436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42"/>
      <c r="AB261" s="642"/>
      <c r="AC261" s="642"/>
    </row>
    <row r="262" spans="1:68" ht="14.25" hidden="1" customHeight="1" x14ac:dyDescent="0.25">
      <c r="A262" s="661" t="s">
        <v>110</v>
      </c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71">
        <v>4680115881402</v>
      </c>
      <c r="E263" s="67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63"/>
      <c r="R263" s="663"/>
      <c r="S263" s="663"/>
      <c r="T263" s="664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71">
        <v>4680115881396</v>
      </c>
      <c r="E264" s="67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63"/>
      <c r="R264" s="663"/>
      <c r="S264" s="663"/>
      <c r="T264" s="664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58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3" t="s">
        <v>71</v>
      </c>
      <c r="Q265" s="654"/>
      <c r="R265" s="654"/>
      <c r="S265" s="654"/>
      <c r="T265" s="654"/>
      <c r="U265" s="654"/>
      <c r="V265" s="65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60"/>
      <c r="P266" s="653" t="s">
        <v>71</v>
      </c>
      <c r="Q266" s="654"/>
      <c r="R266" s="654"/>
      <c r="S266" s="654"/>
      <c r="T266" s="654"/>
      <c r="U266" s="654"/>
      <c r="V266" s="65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61" t="s">
        <v>147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71">
        <v>4680115882935</v>
      </c>
      <c r="E268" s="67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63"/>
      <c r="R268" s="663"/>
      <c r="S268" s="663"/>
      <c r="T268" s="664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71">
        <v>4680115880764</v>
      </c>
      <c r="E269" s="67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63"/>
      <c r="R269" s="663"/>
      <c r="S269" s="663"/>
      <c r="T269" s="664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58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3" t="s">
        <v>71</v>
      </c>
      <c r="Q270" s="654"/>
      <c r="R270" s="654"/>
      <c r="S270" s="654"/>
      <c r="T270" s="654"/>
      <c r="U270" s="654"/>
      <c r="V270" s="65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60"/>
      <c r="P271" s="653" t="s">
        <v>71</v>
      </c>
      <c r="Q271" s="654"/>
      <c r="R271" s="654"/>
      <c r="S271" s="654"/>
      <c r="T271" s="654"/>
      <c r="U271" s="654"/>
      <c r="V271" s="65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61" t="s">
        <v>61</v>
      </c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43"/>
      <c r="AB272" s="643"/>
      <c r="AC272" s="643"/>
    </row>
    <row r="273" spans="1:68" ht="27" hidden="1" customHeight="1" x14ac:dyDescent="0.25">
      <c r="A273" s="54" t="s">
        <v>447</v>
      </c>
      <c r="B273" s="54" t="s">
        <v>448</v>
      </c>
      <c r="C273" s="31">
        <v>4301031224</v>
      </c>
      <c r="D273" s="671">
        <v>4680115882683</v>
      </c>
      <c r="E273" s="67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63"/>
      <c r="R273" s="663"/>
      <c r="S273" s="663"/>
      <c r="T273" s="664"/>
      <c r="U273" s="34"/>
      <c r="V273" s="34"/>
      <c r="W273" s="35" t="s">
        <v>66</v>
      </c>
      <c r="X273" s="647">
        <v>0</v>
      </c>
      <c r="Y273" s="648">
        <f t="shared" ref="Y273:Y280" si="38">IFERROR(IF(X273="",0,CEILING((X273/$H273),1)*$H273),"")</f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0</v>
      </c>
      <c r="BN273" s="64">
        <f t="shared" ref="BN273:BN280" si="40">IFERROR(Y273*I273/H273,"0")</f>
        <v>0</v>
      </c>
      <c r="BO273" s="64">
        <f t="shared" ref="BO273:BO280" si="41">IFERROR(1/J273*(X273/H273),"0")</f>
        <v>0</v>
      </c>
      <c r="BP273" s="64">
        <f t="shared" ref="BP273:BP280" si="42"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71">
        <v>4680115882690</v>
      </c>
      <c r="E274" s="67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63"/>
      <c r="R274" s="663"/>
      <c r="S274" s="663"/>
      <c r="T274" s="664"/>
      <c r="U274" s="34"/>
      <c r="V274" s="34"/>
      <c r="W274" s="35" t="s">
        <v>66</v>
      </c>
      <c r="X274" s="647">
        <v>93</v>
      </c>
      <c r="Y274" s="648">
        <f t="shared" si="38"/>
        <v>97.2</v>
      </c>
      <c r="Z274" s="36">
        <f>IFERROR(IF(Y274=0,"",ROUNDUP(Y274/H274,0)*0.00902),"")</f>
        <v>0.16236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96.272222222222211</v>
      </c>
      <c r="BN274" s="64">
        <f t="shared" si="40"/>
        <v>100.61999999999999</v>
      </c>
      <c r="BO274" s="64">
        <f t="shared" si="41"/>
        <v>0.13047138047138046</v>
      </c>
      <c r="BP274" s="64">
        <f t="shared" si="42"/>
        <v>0.13636363636363635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71">
        <v>4680115882669</v>
      </c>
      <c r="E275" s="67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63"/>
      <c r="R275" s="663"/>
      <c r="S275" s="663"/>
      <c r="T275" s="664"/>
      <c r="U275" s="34"/>
      <c r="V275" s="34"/>
      <c r="W275" s="35" t="s">
        <v>66</v>
      </c>
      <c r="X275" s="647">
        <v>130</v>
      </c>
      <c r="Y275" s="648">
        <f t="shared" si="38"/>
        <v>135</v>
      </c>
      <c r="Z275" s="36">
        <f>IFERROR(IF(Y275=0,"",ROUNDUP(Y275/H275,0)*0.00902),"")</f>
        <v>0.22550000000000001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134.57407407407405</v>
      </c>
      <c r="BN275" s="64">
        <f t="shared" si="40"/>
        <v>139.75</v>
      </c>
      <c r="BO275" s="64">
        <f t="shared" si="41"/>
        <v>0.18237934904601572</v>
      </c>
      <c r="BP275" s="64">
        <f t="shared" si="42"/>
        <v>0.18939393939393939</v>
      </c>
    </row>
    <row r="276" spans="1:68" ht="27" hidden="1" customHeight="1" x14ac:dyDescent="0.25">
      <c r="A276" s="54" t="s">
        <v>456</v>
      </c>
      <c r="B276" s="54" t="s">
        <v>457</v>
      </c>
      <c r="C276" s="31">
        <v>4301031221</v>
      </c>
      <c r="D276" s="671">
        <v>4680115882676</v>
      </c>
      <c r="E276" s="67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63"/>
      <c r="R276" s="663"/>
      <c r="S276" s="663"/>
      <c r="T276" s="664"/>
      <c r="U276" s="34"/>
      <c r="V276" s="34"/>
      <c r="W276" s="35" t="s">
        <v>66</v>
      </c>
      <c r="X276" s="647">
        <v>0</v>
      </c>
      <c r="Y276" s="648">
        <f t="shared" si="38"/>
        <v>0</v>
      </c>
      <c r="Z276" s="36" t="str">
        <f>IFERROR(IF(Y276=0,"",ROUNDUP(Y276/H276,0)*0.00902),"")</f>
        <v/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71">
        <v>4680115884014</v>
      </c>
      <c r="E277" s="67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63"/>
      <c r="R277" s="663"/>
      <c r="S277" s="663"/>
      <c r="T277" s="664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461</v>
      </c>
      <c r="B278" s="54" t="s">
        <v>462</v>
      </c>
      <c r="C278" s="31">
        <v>4301031222</v>
      </c>
      <c r="D278" s="671">
        <v>4680115884007</v>
      </c>
      <c r="E278" s="67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63"/>
      <c r="R278" s="663"/>
      <c r="S278" s="663"/>
      <c r="T278" s="664"/>
      <c r="U278" s="34"/>
      <c r="V278" s="34"/>
      <c r="W278" s="35" t="s">
        <v>66</v>
      </c>
      <c r="X278" s="647">
        <v>0</v>
      </c>
      <c r="Y278" s="648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71">
        <v>4680115884038</v>
      </c>
      <c r="E279" s="67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63"/>
      <c r="R279" s="663"/>
      <c r="S279" s="663"/>
      <c r="T279" s="664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4301031225</v>
      </c>
      <c r="D280" s="671">
        <v>4680115884021</v>
      </c>
      <c r="E280" s="67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63"/>
      <c r="R280" s="663"/>
      <c r="S280" s="663"/>
      <c r="T280" s="664"/>
      <c r="U280" s="34"/>
      <c r="V280" s="34"/>
      <c r="W280" s="35" t="s">
        <v>66</v>
      </c>
      <c r="X280" s="647">
        <v>0</v>
      </c>
      <c r="Y280" s="648">
        <f t="shared" si="38"/>
        <v>0</v>
      </c>
      <c r="Z280" s="36" t="str">
        <f>IFERROR(IF(Y280=0,"",ROUNDUP(Y280/H280,0)*0.00502),"")</f>
        <v/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x14ac:dyDescent="0.2">
      <c r="A281" s="658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3" t="s">
        <v>71</v>
      </c>
      <c r="Q281" s="654"/>
      <c r="R281" s="654"/>
      <c r="S281" s="654"/>
      <c r="T281" s="654"/>
      <c r="U281" s="654"/>
      <c r="V281" s="65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41.296296296296291</v>
      </c>
      <c r="Y281" s="649">
        <f>IFERROR(Y273/H273,"0")+IFERROR(Y274/H274,"0")+IFERROR(Y275/H275,"0")+IFERROR(Y276/H276,"0")+IFERROR(Y277/H277,"0")+IFERROR(Y278/H278,"0")+IFERROR(Y279/H279,"0")+IFERROR(Y280/H280,"0")</f>
        <v>43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0.38785999999999998</v>
      </c>
      <c r="AA281" s="650"/>
      <c r="AB281" s="650"/>
      <c r="AC281" s="650"/>
    </row>
    <row r="282" spans="1:68" x14ac:dyDescent="0.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60"/>
      <c r="P282" s="653" t="s">
        <v>71</v>
      </c>
      <c r="Q282" s="654"/>
      <c r="R282" s="654"/>
      <c r="S282" s="654"/>
      <c r="T282" s="654"/>
      <c r="U282" s="654"/>
      <c r="V282" s="655"/>
      <c r="W282" s="37" t="s">
        <v>66</v>
      </c>
      <c r="X282" s="649">
        <f>IFERROR(SUM(X273:X280),"0")</f>
        <v>223</v>
      </c>
      <c r="Y282" s="649">
        <f>IFERROR(SUM(Y273:Y280),"0")</f>
        <v>232.2</v>
      </c>
      <c r="Z282" s="37"/>
      <c r="AA282" s="650"/>
      <c r="AB282" s="650"/>
      <c r="AC282" s="650"/>
    </row>
    <row r="283" spans="1:68" ht="14.25" hidden="1" customHeight="1" x14ac:dyDescent="0.25">
      <c r="A283" s="661" t="s">
        <v>73</v>
      </c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71">
        <v>4680115881594</v>
      </c>
      <c r="E284" s="67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63"/>
      <c r="R284" s="663"/>
      <c r="S284" s="663"/>
      <c r="T284" s="664"/>
      <c r="U284" s="34"/>
      <c r="V284" s="34"/>
      <c r="W284" s="35" t="s">
        <v>66</v>
      </c>
      <c r="X284" s="647">
        <v>155</v>
      </c>
      <c r="Y284" s="648">
        <f t="shared" ref="Y284:Y295" si="43">IFERROR(IF(X284="",0,CEILING((X284/$H284),1)*$H284),"")</f>
        <v>162</v>
      </c>
      <c r="Z284" s="36">
        <f>IFERROR(IF(Y284=0,"",ROUNDUP(Y284/H284,0)*0.01898),"")</f>
        <v>0.37959999999999999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164.45308641975308</v>
      </c>
      <c r="BN284" s="64">
        <f t="shared" ref="BN284:BN295" si="45">IFERROR(Y284*I284/H284,"0")</f>
        <v>171.88</v>
      </c>
      <c r="BO284" s="64">
        <f t="shared" ref="BO284:BO295" si="46">IFERROR(1/J284*(X284/H284),"0")</f>
        <v>0.29899691358024694</v>
      </c>
      <c r="BP284" s="64">
        <f t="shared" ref="BP284:BP295" si="47">IFERROR(1/J284*(Y284/H284),"0")</f>
        <v>0.3125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71">
        <v>4680115881617</v>
      </c>
      <c r="E285" s="67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9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63"/>
      <c r="R285" s="663"/>
      <c r="S285" s="663"/>
      <c r="T285" s="664"/>
      <c r="U285" s="34"/>
      <c r="V285" s="34"/>
      <c r="W285" s="35" t="s">
        <v>66</v>
      </c>
      <c r="X285" s="647">
        <v>78</v>
      </c>
      <c r="Y285" s="648">
        <f t="shared" si="43"/>
        <v>81</v>
      </c>
      <c r="Z285" s="36">
        <f>IFERROR(IF(Y285=0,"",ROUNDUP(Y285/H285,0)*0.01898),"")</f>
        <v>0.1898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82.583703703703705</v>
      </c>
      <c r="BN285" s="64">
        <f t="shared" si="45"/>
        <v>85.76</v>
      </c>
      <c r="BO285" s="64">
        <f t="shared" si="46"/>
        <v>0.15046296296296297</v>
      </c>
      <c r="BP285" s="64">
        <f t="shared" si="47"/>
        <v>0.15625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71">
        <v>4680115880573</v>
      </c>
      <c r="E286" s="67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63"/>
      <c r="R286" s="663"/>
      <c r="S286" s="663"/>
      <c r="T286" s="664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71">
        <v>4680115882195</v>
      </c>
      <c r="E287" s="67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63"/>
      <c r="R287" s="663"/>
      <c r="S287" s="663"/>
      <c r="T287" s="664"/>
      <c r="U287" s="34"/>
      <c r="V287" s="34"/>
      <c r="W287" s="35" t="s">
        <v>66</v>
      </c>
      <c r="X287" s="647">
        <v>135</v>
      </c>
      <c r="Y287" s="648">
        <f t="shared" si="43"/>
        <v>136.79999999999998</v>
      </c>
      <c r="Z287" s="36">
        <f>IFERROR(IF(Y287=0,"",ROUNDUP(Y287/H287,0)*0.00651),"")</f>
        <v>0.37107000000000001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150.1875</v>
      </c>
      <c r="BN287" s="64">
        <f t="shared" si="45"/>
        <v>152.19</v>
      </c>
      <c r="BO287" s="64">
        <f t="shared" si="46"/>
        <v>0.30906593406593408</v>
      </c>
      <c r="BP287" s="64">
        <f t="shared" si="47"/>
        <v>0.31318681318681318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71">
        <v>4680115882607</v>
      </c>
      <c r="E288" s="67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63"/>
      <c r="R288" s="663"/>
      <c r="S288" s="663"/>
      <c r="T288" s="664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71">
        <v>4680115882607</v>
      </c>
      <c r="E289" s="67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63"/>
      <c r="R289" s="663"/>
      <c r="S289" s="663"/>
      <c r="T289" s="664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71">
        <v>4680115880092</v>
      </c>
      <c r="E290" s="67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63"/>
      <c r="R290" s="663"/>
      <c r="S290" s="663"/>
      <c r="T290" s="664"/>
      <c r="U290" s="34"/>
      <c r="V290" s="34"/>
      <c r="W290" s="35" t="s">
        <v>66</v>
      </c>
      <c r="X290" s="647">
        <v>104</v>
      </c>
      <c r="Y290" s="648">
        <f t="shared" si="43"/>
        <v>105.6</v>
      </c>
      <c r="Z290" s="36">
        <f>IFERROR(IF(Y290=0,"",ROUNDUP(Y290/H290,0)*0.00651),"")</f>
        <v>0.28644000000000003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114.92</v>
      </c>
      <c r="BN290" s="64">
        <f t="shared" si="45"/>
        <v>116.688</v>
      </c>
      <c r="BO290" s="64">
        <f t="shared" si="46"/>
        <v>0.23809523809523814</v>
      </c>
      <c r="BP290" s="64">
        <f t="shared" si="47"/>
        <v>0.24175824175824179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71">
        <v>4680115889064</v>
      </c>
      <c r="E291" s="67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63"/>
      <c r="R291" s="663"/>
      <c r="S291" s="663"/>
      <c r="T291" s="664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71">
        <v>4680115880221</v>
      </c>
      <c r="E292" s="67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94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63"/>
      <c r="R292" s="663"/>
      <c r="S292" s="663"/>
      <c r="T292" s="664"/>
      <c r="U292" s="34"/>
      <c r="V292" s="34"/>
      <c r="W292" s="35" t="s">
        <v>66</v>
      </c>
      <c r="X292" s="647">
        <v>52</v>
      </c>
      <c r="Y292" s="648">
        <f t="shared" si="43"/>
        <v>52.8</v>
      </c>
      <c r="Z292" s="36">
        <f>IFERROR(IF(Y292=0,"",ROUNDUP(Y292/H292,0)*0.00651),"")</f>
        <v>0.14322000000000001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57.46</v>
      </c>
      <c r="BN292" s="64">
        <f t="shared" si="45"/>
        <v>58.344000000000001</v>
      </c>
      <c r="BO292" s="64">
        <f t="shared" si="46"/>
        <v>0.11904761904761907</v>
      </c>
      <c r="BP292" s="64">
        <f t="shared" si="47"/>
        <v>0.12087912087912089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4301051945</v>
      </c>
      <c r="D293" s="671">
        <v>4680115880504</v>
      </c>
      <c r="E293" s="67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63"/>
      <c r="R293" s="663"/>
      <c r="S293" s="663"/>
      <c r="T293" s="664"/>
      <c r="U293" s="34"/>
      <c r="V293" s="34"/>
      <c r="W293" s="35" t="s">
        <v>66</v>
      </c>
      <c r="X293" s="647">
        <v>0</v>
      </c>
      <c r="Y293" s="648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4301051410</v>
      </c>
      <c r="D294" s="671">
        <v>4680115882164</v>
      </c>
      <c r="E294" s="67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63"/>
      <c r="R294" s="663"/>
      <c r="S294" s="663"/>
      <c r="T294" s="664"/>
      <c r="U294" s="34"/>
      <c r="V294" s="34"/>
      <c r="W294" s="35" t="s">
        <v>66</v>
      </c>
      <c r="X294" s="647">
        <v>0</v>
      </c>
      <c r="Y294" s="648">
        <f t="shared" si="43"/>
        <v>0</v>
      </c>
      <c r="Z294" s="36" t="str">
        <f>IFERROR(IF(Y294=0,"",ROUNDUP(Y294/H294,0)*0.00651),"")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0</v>
      </c>
      <c r="BN294" s="64">
        <f t="shared" si="45"/>
        <v>0</v>
      </c>
      <c r="BO294" s="64">
        <f t="shared" si="46"/>
        <v>0</v>
      </c>
      <c r="BP294" s="64">
        <f t="shared" si="47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71">
        <v>4680115888340</v>
      </c>
      <c r="E295" s="67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63"/>
      <c r="R295" s="663"/>
      <c r="S295" s="663"/>
      <c r="T295" s="664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58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3" t="s">
        <v>71</v>
      </c>
      <c r="Q296" s="654"/>
      <c r="R296" s="654"/>
      <c r="S296" s="654"/>
      <c r="T296" s="654"/>
      <c r="U296" s="654"/>
      <c r="V296" s="65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150.01543209876542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153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1.3701300000000001</v>
      </c>
      <c r="AA296" s="650"/>
      <c r="AB296" s="650"/>
      <c r="AC296" s="650"/>
    </row>
    <row r="297" spans="1:68" x14ac:dyDescent="0.2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60"/>
      <c r="P297" s="653" t="s">
        <v>71</v>
      </c>
      <c r="Q297" s="654"/>
      <c r="R297" s="654"/>
      <c r="S297" s="654"/>
      <c r="T297" s="654"/>
      <c r="U297" s="654"/>
      <c r="V297" s="655"/>
      <c r="W297" s="37" t="s">
        <v>66</v>
      </c>
      <c r="X297" s="649">
        <f>IFERROR(SUM(X284:X295),"0")</f>
        <v>524</v>
      </c>
      <c r="Y297" s="649">
        <f>IFERROR(SUM(Y284:Y295),"0")</f>
        <v>538.19999999999993</v>
      </c>
      <c r="Z297" s="37"/>
      <c r="AA297" s="650"/>
      <c r="AB297" s="650"/>
      <c r="AC297" s="650"/>
    </row>
    <row r="298" spans="1:68" ht="14.25" hidden="1" customHeight="1" x14ac:dyDescent="0.25">
      <c r="A298" s="661" t="s">
        <v>166</v>
      </c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71">
        <v>4680115880818</v>
      </c>
      <c r="E299" s="67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63"/>
      <c r="R299" s="663"/>
      <c r="S299" s="663"/>
      <c r="T299" s="664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501</v>
      </c>
      <c r="B300" s="54" t="s">
        <v>502</v>
      </c>
      <c r="C300" s="31">
        <v>4301060389</v>
      </c>
      <c r="D300" s="671">
        <v>4680115880801</v>
      </c>
      <c r="E300" s="67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63"/>
      <c r="R300" s="663"/>
      <c r="S300" s="663"/>
      <c r="T300" s="664"/>
      <c r="U300" s="34"/>
      <c r="V300" s="34"/>
      <c r="W300" s="35" t="s">
        <v>66</v>
      </c>
      <c r="X300" s="647">
        <v>0</v>
      </c>
      <c r="Y300" s="648">
        <f>IFERROR(IF(X300="",0,CEILING((X300/$H300),1)*$H300),"")</f>
        <v>0</v>
      </c>
      <c r="Z300" s="36" t="str">
        <f>IFERROR(IF(Y300=0,"",ROUNDUP(Y300/H300,0)*0.00651),"")</f>
        <v/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658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3" t="s">
        <v>71</v>
      </c>
      <c r="Q301" s="654"/>
      <c r="R301" s="654"/>
      <c r="S301" s="654"/>
      <c r="T301" s="654"/>
      <c r="U301" s="654"/>
      <c r="V301" s="655"/>
      <c r="W301" s="37" t="s">
        <v>72</v>
      </c>
      <c r="X301" s="649">
        <f>IFERROR(X299/H299,"0")+IFERROR(X300/H300,"0")</f>
        <v>0</v>
      </c>
      <c r="Y301" s="649">
        <f>IFERROR(Y299/H299,"0")+IFERROR(Y300/H300,"0")</f>
        <v>0</v>
      </c>
      <c r="Z301" s="649">
        <f>IFERROR(IF(Z299="",0,Z299),"0")+IFERROR(IF(Z300="",0,Z300),"0")</f>
        <v>0</v>
      </c>
      <c r="AA301" s="650"/>
      <c r="AB301" s="650"/>
      <c r="AC301" s="650"/>
    </row>
    <row r="302" spans="1:68" hidden="1" x14ac:dyDescent="0.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60"/>
      <c r="P302" s="653" t="s">
        <v>71</v>
      </c>
      <c r="Q302" s="654"/>
      <c r="R302" s="654"/>
      <c r="S302" s="654"/>
      <c r="T302" s="654"/>
      <c r="U302" s="654"/>
      <c r="V302" s="655"/>
      <c r="W302" s="37" t="s">
        <v>66</v>
      </c>
      <c r="X302" s="649">
        <f>IFERROR(SUM(X299:X300),"0")</f>
        <v>0</v>
      </c>
      <c r="Y302" s="649">
        <f>IFERROR(SUM(Y299:Y300),"0")</f>
        <v>0</v>
      </c>
      <c r="Z302" s="37"/>
      <c r="AA302" s="650"/>
      <c r="AB302" s="650"/>
      <c r="AC302" s="650"/>
    </row>
    <row r="303" spans="1:68" ht="16.5" hidden="1" customHeight="1" x14ac:dyDescent="0.25">
      <c r="A303" s="668" t="s">
        <v>504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42"/>
      <c r="AB303" s="642"/>
      <c r="AC303" s="642"/>
    </row>
    <row r="304" spans="1:68" ht="14.25" hidden="1" customHeight="1" x14ac:dyDescent="0.25">
      <c r="A304" s="661" t="s">
        <v>110</v>
      </c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71">
        <v>4680115884137</v>
      </c>
      <c r="E305" s="67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63"/>
      <c r="R305" s="663"/>
      <c r="S305" s="663"/>
      <c r="T305" s="664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71">
        <v>4680115884236</v>
      </c>
      <c r="E306" s="67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63"/>
      <c r="R306" s="663"/>
      <c r="S306" s="663"/>
      <c r="T306" s="664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71">
        <v>4680115884175</v>
      </c>
      <c r="E307" s="67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63"/>
      <c r="R307" s="663"/>
      <c r="S307" s="663"/>
      <c r="T307" s="664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71">
        <v>4680115884144</v>
      </c>
      <c r="E308" s="67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63"/>
      <c r="R308" s="663"/>
      <c r="S308" s="663"/>
      <c r="T308" s="664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71">
        <v>4680115886551</v>
      </c>
      <c r="E309" s="67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63"/>
      <c r="R309" s="663"/>
      <c r="S309" s="663"/>
      <c r="T309" s="664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71">
        <v>4680115887282</v>
      </c>
      <c r="E310" s="67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63"/>
      <c r="R310" s="663"/>
      <c r="S310" s="663"/>
      <c r="T310" s="664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hidden="1" customHeight="1" x14ac:dyDescent="0.25">
      <c r="A311" s="54" t="s">
        <v>521</v>
      </c>
      <c r="B311" s="54" t="s">
        <v>522</v>
      </c>
      <c r="C311" s="31">
        <v>4301011722</v>
      </c>
      <c r="D311" s="671">
        <v>4680115884205</v>
      </c>
      <c r="E311" s="67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63"/>
      <c r="R311" s="663"/>
      <c r="S311" s="663"/>
      <c r="T311" s="664"/>
      <c r="U311" s="34"/>
      <c r="V311" s="34"/>
      <c r="W311" s="35" t="s">
        <v>66</v>
      </c>
      <c r="X311" s="647">
        <v>0</v>
      </c>
      <c r="Y311" s="648">
        <f t="shared" si="48"/>
        <v>0</v>
      </c>
      <c r="Z311" s="36" t="str">
        <f>IFERROR(IF(Y311=0,"",ROUNDUP(Y311/H311,0)*0.00902),"")</f>
        <v/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0</v>
      </c>
      <c r="BN311" s="64">
        <f t="shared" si="50"/>
        <v>0</v>
      </c>
      <c r="BO311" s="64">
        <f t="shared" si="51"/>
        <v>0</v>
      </c>
      <c r="BP311" s="64">
        <f t="shared" si="52"/>
        <v>0</v>
      </c>
    </row>
    <row r="312" spans="1:68" hidden="1" x14ac:dyDescent="0.2">
      <c r="A312" s="658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3" t="s">
        <v>71</v>
      </c>
      <c r="Q312" s="654"/>
      <c r="R312" s="654"/>
      <c r="S312" s="654"/>
      <c r="T312" s="654"/>
      <c r="U312" s="654"/>
      <c r="V312" s="65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0</v>
      </c>
      <c r="Y312" s="649">
        <f>IFERROR(Y305/H305,"0")+IFERROR(Y306/H306,"0")+IFERROR(Y307/H307,"0")+IFERROR(Y308/H308,"0")+IFERROR(Y309/H309,"0")+IFERROR(Y310/H310,"0")+IFERROR(Y311/H311,"0")</f>
        <v>0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50"/>
      <c r="AB312" s="650"/>
      <c r="AC312" s="650"/>
    </row>
    <row r="313" spans="1:68" hidden="1" x14ac:dyDescent="0.2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60"/>
      <c r="P313" s="653" t="s">
        <v>71</v>
      </c>
      <c r="Q313" s="654"/>
      <c r="R313" s="654"/>
      <c r="S313" s="654"/>
      <c r="T313" s="654"/>
      <c r="U313" s="654"/>
      <c r="V313" s="655"/>
      <c r="W313" s="37" t="s">
        <v>66</v>
      </c>
      <c r="X313" s="649">
        <f>IFERROR(SUM(X305:X311),"0")</f>
        <v>0</v>
      </c>
      <c r="Y313" s="649">
        <f>IFERROR(SUM(Y305:Y311),"0")</f>
        <v>0</v>
      </c>
      <c r="Z313" s="37"/>
      <c r="AA313" s="650"/>
      <c r="AB313" s="650"/>
      <c r="AC313" s="650"/>
    </row>
    <row r="314" spans="1:68" ht="14.25" hidden="1" customHeight="1" x14ac:dyDescent="0.25">
      <c r="A314" s="661" t="s">
        <v>147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71">
        <v>4680115885981</v>
      </c>
      <c r="E315" s="67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63"/>
      <c r="R315" s="663"/>
      <c r="S315" s="663"/>
      <c r="T315" s="664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8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3" t="s">
        <v>71</v>
      </c>
      <c r="Q316" s="654"/>
      <c r="R316" s="654"/>
      <c r="S316" s="654"/>
      <c r="T316" s="654"/>
      <c r="U316" s="654"/>
      <c r="V316" s="65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60"/>
      <c r="P317" s="653" t="s">
        <v>71</v>
      </c>
      <c r="Q317" s="654"/>
      <c r="R317" s="654"/>
      <c r="S317" s="654"/>
      <c r="T317" s="654"/>
      <c r="U317" s="654"/>
      <c r="V317" s="65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61" t="s">
        <v>526</v>
      </c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71">
        <v>4680115886803</v>
      </c>
      <c r="E319" s="67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63"/>
      <c r="R319" s="663"/>
      <c r="S319" s="663"/>
      <c r="T319" s="664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8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3" t="s">
        <v>71</v>
      </c>
      <c r="Q320" s="654"/>
      <c r="R320" s="654"/>
      <c r="S320" s="654"/>
      <c r="T320" s="654"/>
      <c r="U320" s="654"/>
      <c r="V320" s="65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60"/>
      <c r="P321" s="653" t="s">
        <v>71</v>
      </c>
      <c r="Q321" s="654"/>
      <c r="R321" s="654"/>
      <c r="S321" s="654"/>
      <c r="T321" s="654"/>
      <c r="U321" s="654"/>
      <c r="V321" s="65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61" t="s">
        <v>336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71">
        <v>4680115886681</v>
      </c>
      <c r="E323" s="67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58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3" t="s">
        <v>71</v>
      </c>
      <c r="Q324" s="654"/>
      <c r="R324" s="654"/>
      <c r="S324" s="654"/>
      <c r="T324" s="654"/>
      <c r="U324" s="654"/>
      <c r="V324" s="65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60"/>
      <c r="P325" s="653" t="s">
        <v>71</v>
      </c>
      <c r="Q325" s="654"/>
      <c r="R325" s="654"/>
      <c r="S325" s="654"/>
      <c r="T325" s="654"/>
      <c r="U325" s="654"/>
      <c r="V325" s="65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68" t="s">
        <v>533</v>
      </c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42"/>
      <c r="AB326" s="642"/>
      <c r="AC326" s="642"/>
    </row>
    <row r="327" spans="1:68" ht="14.25" hidden="1" customHeight="1" x14ac:dyDescent="0.25">
      <c r="A327" s="661" t="s">
        <v>110</v>
      </c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71">
        <v>4680115889637</v>
      </c>
      <c r="E328" s="67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72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3"/>
      <c r="R328" s="663"/>
      <c r="S328" s="663"/>
      <c r="T328" s="664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71">
        <v>4680115885837</v>
      </c>
      <c r="E329" s="67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71">
        <v>4680115887237</v>
      </c>
      <c r="E330" s="67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71">
        <v>4680115885806</v>
      </c>
      <c r="E331" s="67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71">
        <v>4680115885844</v>
      </c>
      <c r="E332" s="67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71">
        <v>4680115885820</v>
      </c>
      <c r="E333" s="67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58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3" t="s">
        <v>71</v>
      </c>
      <c r="Q334" s="654"/>
      <c r="R334" s="654"/>
      <c r="S334" s="654"/>
      <c r="T334" s="654"/>
      <c r="U334" s="654"/>
      <c r="V334" s="65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60"/>
      <c r="P335" s="653" t="s">
        <v>71</v>
      </c>
      <c r="Q335" s="654"/>
      <c r="R335" s="654"/>
      <c r="S335" s="654"/>
      <c r="T335" s="654"/>
      <c r="U335" s="654"/>
      <c r="V335" s="65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68" t="s">
        <v>553</v>
      </c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42"/>
      <c r="AB336" s="642"/>
      <c r="AC336" s="642"/>
    </row>
    <row r="337" spans="1:68" ht="14.25" hidden="1" customHeight="1" x14ac:dyDescent="0.25">
      <c r="A337" s="661" t="s">
        <v>73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71">
        <v>4680115886186</v>
      </c>
      <c r="E338" s="67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71">
        <v>4680115881228</v>
      </c>
      <c r="E339" s="67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4"/>
      <c r="V339" s="34"/>
      <c r="W339" s="35" t="s">
        <v>66</v>
      </c>
      <c r="X339" s="647">
        <v>37</v>
      </c>
      <c r="Y339" s="648">
        <f>IFERROR(IF(X339="",0,CEILING((X339/$H339),1)*$H339),"")</f>
        <v>38.4</v>
      </c>
      <c r="Z339" s="36">
        <f>IFERROR(IF(Y339=0,"",ROUNDUP(Y339/H339,0)*0.00651),"")</f>
        <v>0.10416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40.885000000000005</v>
      </c>
      <c r="BN339" s="64">
        <f>IFERROR(Y339*I339/H339,"0")</f>
        <v>42.432000000000002</v>
      </c>
      <c r="BO339" s="64">
        <f>IFERROR(1/J339*(X339/H339),"0")</f>
        <v>8.4706959706959725E-2</v>
      </c>
      <c r="BP339" s="64">
        <f>IFERROR(1/J339*(Y339/H339),"0")</f>
        <v>8.7912087912087919E-2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71">
        <v>4680115881211</v>
      </c>
      <c r="E340" s="67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4"/>
      <c r="V340" s="34"/>
      <c r="W340" s="35" t="s">
        <v>66</v>
      </c>
      <c r="X340" s="647">
        <v>83</v>
      </c>
      <c r="Y340" s="648">
        <f>IFERROR(IF(X340="",0,CEILING((X340/$H340),1)*$H340),"")</f>
        <v>84</v>
      </c>
      <c r="Z340" s="36">
        <f>IFERROR(IF(Y340=0,"",ROUNDUP(Y340/H340,0)*0.00651),"")</f>
        <v>0.22785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89.225000000000009</v>
      </c>
      <c r="BN340" s="64">
        <f>IFERROR(Y340*I340/H340,"0")</f>
        <v>90.3</v>
      </c>
      <c r="BO340" s="64">
        <f>IFERROR(1/J340*(X340/H340),"0")</f>
        <v>0.19001831501831504</v>
      </c>
      <c r="BP340" s="64">
        <f>IFERROR(1/J340*(Y340/H340),"0")</f>
        <v>0.19230769230769232</v>
      </c>
    </row>
    <row r="341" spans="1:68" x14ac:dyDescent="0.2">
      <c r="A341" s="658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3" t="s">
        <v>71</v>
      </c>
      <c r="Q341" s="654"/>
      <c r="R341" s="654"/>
      <c r="S341" s="654"/>
      <c r="T341" s="654"/>
      <c r="U341" s="654"/>
      <c r="V341" s="655"/>
      <c r="W341" s="37" t="s">
        <v>72</v>
      </c>
      <c r="X341" s="649">
        <f>IFERROR(X338/H338,"0")+IFERROR(X339/H339,"0")+IFERROR(X340/H340,"0")</f>
        <v>50</v>
      </c>
      <c r="Y341" s="649">
        <f>IFERROR(Y338/H338,"0")+IFERROR(Y339/H339,"0")+IFERROR(Y340/H340,"0")</f>
        <v>51</v>
      </c>
      <c r="Z341" s="649">
        <f>IFERROR(IF(Z338="",0,Z338),"0")+IFERROR(IF(Z339="",0,Z339),"0")+IFERROR(IF(Z340="",0,Z340),"0")</f>
        <v>0.33201000000000003</v>
      </c>
      <c r="AA341" s="650"/>
      <c r="AB341" s="650"/>
      <c r="AC341" s="650"/>
    </row>
    <row r="342" spans="1:68" x14ac:dyDescent="0.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60"/>
      <c r="P342" s="653" t="s">
        <v>71</v>
      </c>
      <c r="Q342" s="654"/>
      <c r="R342" s="654"/>
      <c r="S342" s="654"/>
      <c r="T342" s="654"/>
      <c r="U342" s="654"/>
      <c r="V342" s="655"/>
      <c r="W342" s="37" t="s">
        <v>66</v>
      </c>
      <c r="X342" s="649">
        <f>IFERROR(SUM(X338:X340),"0")</f>
        <v>120</v>
      </c>
      <c r="Y342" s="649">
        <f>IFERROR(SUM(Y338:Y340),"0")</f>
        <v>122.4</v>
      </c>
      <c r="Z342" s="37"/>
      <c r="AA342" s="650"/>
      <c r="AB342" s="650"/>
      <c r="AC342" s="650"/>
    </row>
    <row r="343" spans="1:68" ht="16.5" hidden="1" customHeight="1" x14ac:dyDescent="0.25">
      <c r="A343" s="668" t="s">
        <v>562</v>
      </c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42"/>
      <c r="AB343" s="642"/>
      <c r="AC343" s="642"/>
    </row>
    <row r="344" spans="1:68" ht="14.25" hidden="1" customHeight="1" x14ac:dyDescent="0.25">
      <c r="A344" s="661" t="s">
        <v>61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71">
        <v>4680115888319</v>
      </c>
      <c r="E345" s="67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71">
        <v>4680115884700</v>
      </c>
      <c r="E346" s="67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71">
        <v>4680115880344</v>
      </c>
      <c r="E347" s="67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71">
        <v>4680115886919</v>
      </c>
      <c r="E348" s="67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71">
        <v>4680115883970</v>
      </c>
      <c r="E349" s="67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10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8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3" t="s">
        <v>71</v>
      </c>
      <c r="Q350" s="654"/>
      <c r="R350" s="654"/>
      <c r="S350" s="654"/>
      <c r="T350" s="654"/>
      <c r="U350" s="654"/>
      <c r="V350" s="65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60"/>
      <c r="P351" s="653" t="s">
        <v>71</v>
      </c>
      <c r="Q351" s="654"/>
      <c r="R351" s="654"/>
      <c r="S351" s="654"/>
      <c r="T351" s="654"/>
      <c r="U351" s="654"/>
      <c r="V351" s="65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61" t="s">
        <v>73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71">
        <v>4680115884618</v>
      </c>
      <c r="E353" s="67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71">
        <v>4680115887114</v>
      </c>
      <c r="E354" s="67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10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8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3" t="s">
        <v>71</v>
      </c>
      <c r="Q355" s="654"/>
      <c r="R355" s="654"/>
      <c r="S355" s="654"/>
      <c r="T355" s="654"/>
      <c r="U355" s="654"/>
      <c r="V355" s="65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60"/>
      <c r="P356" s="653" t="s">
        <v>71</v>
      </c>
      <c r="Q356" s="654"/>
      <c r="R356" s="654"/>
      <c r="S356" s="654"/>
      <c r="T356" s="654"/>
      <c r="U356" s="654"/>
      <c r="V356" s="65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68" t="s">
        <v>583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42"/>
      <c r="AB357" s="642"/>
      <c r="AC357" s="642"/>
    </row>
    <row r="358" spans="1:68" ht="14.25" hidden="1" customHeight="1" x14ac:dyDescent="0.25">
      <c r="A358" s="661" t="s">
        <v>110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71">
        <v>4680115887947</v>
      </c>
      <c r="E359" s="67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4"/>
      <c r="V359" s="34"/>
      <c r="W359" s="35" t="s">
        <v>66</v>
      </c>
      <c r="X359" s="647">
        <v>104</v>
      </c>
      <c r="Y359" s="648">
        <f>IFERROR(IF(X359="",0,CEILING((X359/$H359),1)*$H359),"")</f>
        <v>109.2</v>
      </c>
      <c r="Z359" s="36">
        <f>IFERROR(IF(Y359=0,"",ROUNDUP(Y359/H359,0)*0.01898),"")</f>
        <v>0.26572000000000001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109.46666666666668</v>
      </c>
      <c r="BN359" s="64">
        <f>IFERROR(Y359*I359/H359,"0")</f>
        <v>114.94000000000003</v>
      </c>
      <c r="BO359" s="64">
        <f>IFERROR(1/J359*(X359/H359),"0")</f>
        <v>0.20833333333333334</v>
      </c>
      <c r="BP359" s="64">
        <f>IFERROR(1/J359*(Y359/H359),"0")</f>
        <v>0.21875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71">
        <v>4680115887978</v>
      </c>
      <c r="E360" s="67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4"/>
      <c r="V360" s="34"/>
      <c r="W360" s="35" t="s">
        <v>66</v>
      </c>
      <c r="X360" s="647">
        <v>155</v>
      </c>
      <c r="Y360" s="648">
        <f>IFERROR(IF(X360="",0,CEILING((X360/$H360),1)*$H360),"")</f>
        <v>156</v>
      </c>
      <c r="Z360" s="36">
        <f>IFERROR(IF(Y360=0,"",ROUNDUP(Y360/H360,0)*0.01898),"")</f>
        <v>0.37959999999999999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163.14743589743591</v>
      </c>
      <c r="BN360" s="64">
        <f>IFERROR(Y360*I360/H360,"0")</f>
        <v>164.20000000000005</v>
      </c>
      <c r="BO360" s="64">
        <f>IFERROR(1/J360*(X360/H360),"0")</f>
        <v>0.31049679487179488</v>
      </c>
      <c r="BP360" s="64">
        <f>IFERROR(1/J360*(Y360/H360),"0")</f>
        <v>0.3125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71">
        <v>4680115887992</v>
      </c>
      <c r="E361" s="67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8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3" t="s">
        <v>71</v>
      </c>
      <c r="Q362" s="654"/>
      <c r="R362" s="654"/>
      <c r="S362" s="654"/>
      <c r="T362" s="654"/>
      <c r="U362" s="654"/>
      <c r="V362" s="655"/>
      <c r="W362" s="37" t="s">
        <v>72</v>
      </c>
      <c r="X362" s="649">
        <f>IFERROR(X359/H359,"0")+IFERROR(X360/H360,"0")+IFERROR(X361/H361,"0")</f>
        <v>33.205128205128204</v>
      </c>
      <c r="Y362" s="649">
        <f>IFERROR(Y359/H359,"0")+IFERROR(Y360/H360,"0")+IFERROR(Y361/H361,"0")</f>
        <v>34</v>
      </c>
      <c r="Z362" s="649">
        <f>IFERROR(IF(Z359="",0,Z359),"0")+IFERROR(IF(Z360="",0,Z360),"0")+IFERROR(IF(Z361="",0,Z361),"0")</f>
        <v>0.64532</v>
      </c>
      <c r="AA362" s="650"/>
      <c r="AB362" s="650"/>
      <c r="AC362" s="650"/>
    </row>
    <row r="363" spans="1:68" x14ac:dyDescent="0.2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60"/>
      <c r="P363" s="653" t="s">
        <v>71</v>
      </c>
      <c r="Q363" s="654"/>
      <c r="R363" s="654"/>
      <c r="S363" s="654"/>
      <c r="T363" s="654"/>
      <c r="U363" s="654"/>
      <c r="V363" s="655"/>
      <c r="W363" s="37" t="s">
        <v>66</v>
      </c>
      <c r="X363" s="649">
        <f>IFERROR(SUM(X359:X361),"0")</f>
        <v>259</v>
      </c>
      <c r="Y363" s="649">
        <f>IFERROR(SUM(Y359:Y361),"0")</f>
        <v>265.2</v>
      </c>
      <c r="Z363" s="37"/>
      <c r="AA363" s="650"/>
      <c r="AB363" s="650"/>
      <c r="AC363" s="650"/>
    </row>
    <row r="364" spans="1:68" ht="16.5" hidden="1" customHeight="1" x14ac:dyDescent="0.25">
      <c r="A364" s="668" t="s">
        <v>592</v>
      </c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42"/>
      <c r="AB364" s="642"/>
      <c r="AC364" s="642"/>
    </row>
    <row r="365" spans="1:68" ht="14.25" hidden="1" customHeight="1" x14ac:dyDescent="0.25">
      <c r="A365" s="661" t="s">
        <v>110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71">
        <v>4680115889880</v>
      </c>
      <c r="E366" s="67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68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3"/>
      <c r="R366" s="663"/>
      <c r="S366" s="663"/>
      <c r="T366" s="664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71">
        <v>4680115889293</v>
      </c>
      <c r="E367" s="67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8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3"/>
      <c r="R367" s="663"/>
      <c r="S367" s="663"/>
      <c r="T367" s="664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71">
        <v>4680115887190</v>
      </c>
      <c r="E368" s="67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3"/>
      <c r="R368" s="663"/>
      <c r="S368" s="663"/>
      <c r="T368" s="664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71">
        <v>4680115887138</v>
      </c>
      <c r="E369" s="67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3"/>
      <c r="R369" s="663"/>
      <c r="S369" s="663"/>
      <c r="T369" s="664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71">
        <v>4680115885554</v>
      </c>
      <c r="E370" s="67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3"/>
      <c r="R370" s="663"/>
      <c r="S370" s="663"/>
      <c r="T370" s="664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71">
        <v>4680115887220</v>
      </c>
      <c r="E371" s="67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7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3"/>
      <c r="R371" s="663"/>
      <c r="S371" s="663"/>
      <c r="T371" s="664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71">
        <v>4680115885608</v>
      </c>
      <c r="E372" s="67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3"/>
      <c r="R372" s="663"/>
      <c r="S372" s="663"/>
      <c r="T372" s="664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58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3" t="s">
        <v>71</v>
      </c>
      <c r="Q373" s="654"/>
      <c r="R373" s="654"/>
      <c r="S373" s="654"/>
      <c r="T373" s="654"/>
      <c r="U373" s="654"/>
      <c r="V373" s="65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60"/>
      <c r="P374" s="653" t="s">
        <v>71</v>
      </c>
      <c r="Q374" s="654"/>
      <c r="R374" s="654"/>
      <c r="S374" s="654"/>
      <c r="T374" s="654"/>
      <c r="U374" s="654"/>
      <c r="V374" s="65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61" t="s">
        <v>61</v>
      </c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71">
        <v>4607091387193</v>
      </c>
      <c r="E376" s="67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3"/>
      <c r="R376" s="663"/>
      <c r="S376" s="663"/>
      <c r="T376" s="664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4301031153</v>
      </c>
      <c r="D377" s="671">
        <v>4607091387230</v>
      </c>
      <c r="E377" s="67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3"/>
      <c r="R377" s="663"/>
      <c r="S377" s="663"/>
      <c r="T377" s="664"/>
      <c r="U377" s="34"/>
      <c r="V377" s="34"/>
      <c r="W377" s="35" t="s">
        <v>66</v>
      </c>
      <c r="X377" s="647">
        <v>0</v>
      </c>
      <c r="Y377" s="648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71">
        <v>4607091387292</v>
      </c>
      <c r="E378" s="67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3"/>
      <c r="R378" s="663"/>
      <c r="S378" s="663"/>
      <c r="T378" s="664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71">
        <v>4607091387285</v>
      </c>
      <c r="E379" s="67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3"/>
      <c r="R379" s="663"/>
      <c r="S379" s="663"/>
      <c r="T379" s="664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71">
        <v>4607091389845</v>
      </c>
      <c r="E380" s="67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3"/>
      <c r="R380" s="663"/>
      <c r="S380" s="663"/>
      <c r="T380" s="664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71">
        <v>4680115887442</v>
      </c>
      <c r="E381" s="67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3"/>
      <c r="R381" s="663"/>
      <c r="S381" s="663"/>
      <c r="T381" s="664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4301031066</v>
      </c>
      <c r="D382" s="671">
        <v>4607091383836</v>
      </c>
      <c r="E382" s="67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3"/>
      <c r="R382" s="663"/>
      <c r="S382" s="663"/>
      <c r="T382" s="664"/>
      <c r="U382" s="34"/>
      <c r="V382" s="34"/>
      <c r="W382" s="35" t="s">
        <v>66</v>
      </c>
      <c r="X382" s="647">
        <v>0</v>
      </c>
      <c r="Y382" s="648">
        <f t="shared" si="63"/>
        <v>0</v>
      </c>
      <c r="Z382" s="36" t="str">
        <f>IFERROR(IF(Y382=0,"",ROUNDUP(Y382/H382,0)*0.00651),"")</f>
        <v/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0</v>
      </c>
      <c r="BN382" s="64">
        <f t="shared" si="65"/>
        <v>0</v>
      </c>
      <c r="BO382" s="64">
        <f t="shared" si="66"/>
        <v>0</v>
      </c>
      <c r="BP382" s="64">
        <f t="shared" si="67"/>
        <v>0</v>
      </c>
    </row>
    <row r="383" spans="1:68" hidden="1" x14ac:dyDescent="0.2">
      <c r="A383" s="658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3" t="s">
        <v>71</v>
      </c>
      <c r="Q383" s="654"/>
      <c r="R383" s="654"/>
      <c r="S383" s="654"/>
      <c r="T383" s="654"/>
      <c r="U383" s="654"/>
      <c r="V383" s="65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0</v>
      </c>
      <c r="Y383" s="649">
        <f>IFERROR(Y376/H376,"0")+IFERROR(Y377/H377,"0")+IFERROR(Y378/H378,"0")+IFERROR(Y379/H379,"0")+IFERROR(Y380/H380,"0")+IFERROR(Y381/H381,"0")+IFERROR(Y382/H382,"0")</f>
        <v>0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50"/>
      <c r="AB383" s="650"/>
      <c r="AC383" s="650"/>
    </row>
    <row r="384" spans="1:68" hidden="1" x14ac:dyDescent="0.2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60"/>
      <c r="P384" s="653" t="s">
        <v>71</v>
      </c>
      <c r="Q384" s="654"/>
      <c r="R384" s="654"/>
      <c r="S384" s="654"/>
      <c r="T384" s="654"/>
      <c r="U384" s="654"/>
      <c r="V384" s="655"/>
      <c r="W384" s="37" t="s">
        <v>66</v>
      </c>
      <c r="X384" s="649">
        <f>IFERROR(SUM(X376:X382),"0")</f>
        <v>0</v>
      </c>
      <c r="Y384" s="649">
        <f>IFERROR(SUM(Y376:Y382),"0")</f>
        <v>0</v>
      </c>
      <c r="Z384" s="37"/>
      <c r="AA384" s="650"/>
      <c r="AB384" s="650"/>
      <c r="AC384" s="650"/>
    </row>
    <row r="385" spans="1:68" ht="14.25" hidden="1" customHeight="1" x14ac:dyDescent="0.25">
      <c r="A385" s="661" t="s">
        <v>73</v>
      </c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71">
        <v>4607091387766</v>
      </c>
      <c r="E386" s="67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3"/>
      <c r="R386" s="663"/>
      <c r="S386" s="663"/>
      <c r="T386" s="664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71">
        <v>4607091387957</v>
      </c>
      <c r="E387" s="67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3"/>
      <c r="R387" s="663"/>
      <c r="S387" s="663"/>
      <c r="T387" s="664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71">
        <v>4607091387964</v>
      </c>
      <c r="E388" s="67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3"/>
      <c r="R388" s="663"/>
      <c r="S388" s="663"/>
      <c r="T388" s="664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71">
        <v>4680115884588</v>
      </c>
      <c r="E389" s="67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3"/>
      <c r="R389" s="663"/>
      <c r="S389" s="663"/>
      <c r="T389" s="664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58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3" t="s">
        <v>71</v>
      </c>
      <c r="Q390" s="654"/>
      <c r="R390" s="654"/>
      <c r="S390" s="654"/>
      <c r="T390" s="654"/>
      <c r="U390" s="654"/>
      <c r="V390" s="65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60"/>
      <c r="P391" s="653" t="s">
        <v>71</v>
      </c>
      <c r="Q391" s="654"/>
      <c r="R391" s="654"/>
      <c r="S391" s="654"/>
      <c r="T391" s="654"/>
      <c r="U391" s="654"/>
      <c r="V391" s="65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61" t="s">
        <v>166</v>
      </c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71">
        <v>4607091380880</v>
      </c>
      <c r="E393" s="67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3"/>
      <c r="R393" s="663"/>
      <c r="S393" s="663"/>
      <c r="T393" s="664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71">
        <v>4607091384482</v>
      </c>
      <c r="E394" s="67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3"/>
      <c r="R394" s="663"/>
      <c r="S394" s="663"/>
      <c r="T394" s="664"/>
      <c r="U394" s="34"/>
      <c r="V394" s="34"/>
      <c r="W394" s="35" t="s">
        <v>66</v>
      </c>
      <c r="X394" s="647">
        <v>337</v>
      </c>
      <c r="Y394" s="648">
        <f>IFERROR(IF(X394="",0,CEILING((X394/$H394),1)*$H394),"")</f>
        <v>343.2</v>
      </c>
      <c r="Z394" s="36">
        <f>IFERROR(IF(Y394=0,"",ROUNDUP(Y394/H394,0)*0.01898),"")</f>
        <v>0.83511999999999997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358.34333333333336</v>
      </c>
      <c r="BN394" s="64">
        <f>IFERROR(Y394*I394/H394,"0")</f>
        <v>364.93600000000004</v>
      </c>
      <c r="BO394" s="64">
        <f>IFERROR(1/J394*(X394/H394),"0")</f>
        <v>0.67508012820512819</v>
      </c>
      <c r="BP394" s="64">
        <f>IFERROR(1/J394*(Y394/H394),"0")</f>
        <v>0.6875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71">
        <v>4607091380897</v>
      </c>
      <c r="E395" s="67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3"/>
      <c r="R395" s="663"/>
      <c r="S395" s="663"/>
      <c r="T395" s="664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8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3" t="s">
        <v>71</v>
      </c>
      <c r="Q396" s="654"/>
      <c r="R396" s="654"/>
      <c r="S396" s="654"/>
      <c r="T396" s="654"/>
      <c r="U396" s="654"/>
      <c r="V396" s="655"/>
      <c r="W396" s="37" t="s">
        <v>72</v>
      </c>
      <c r="X396" s="649">
        <f>IFERROR(X393/H393,"0")+IFERROR(X394/H394,"0")+IFERROR(X395/H395,"0")</f>
        <v>43.205128205128204</v>
      </c>
      <c r="Y396" s="649">
        <f>IFERROR(Y393/H393,"0")+IFERROR(Y394/H394,"0")+IFERROR(Y395/H395,"0")</f>
        <v>44</v>
      </c>
      <c r="Z396" s="649">
        <f>IFERROR(IF(Z393="",0,Z393),"0")+IFERROR(IF(Z394="",0,Z394),"0")+IFERROR(IF(Z395="",0,Z395),"0")</f>
        <v>0.83511999999999997</v>
      </c>
      <c r="AA396" s="650"/>
      <c r="AB396" s="650"/>
      <c r="AC396" s="650"/>
    </row>
    <row r="397" spans="1:68" x14ac:dyDescent="0.2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60"/>
      <c r="P397" s="653" t="s">
        <v>71</v>
      </c>
      <c r="Q397" s="654"/>
      <c r="R397" s="654"/>
      <c r="S397" s="654"/>
      <c r="T397" s="654"/>
      <c r="U397" s="654"/>
      <c r="V397" s="655"/>
      <c r="W397" s="37" t="s">
        <v>66</v>
      </c>
      <c r="X397" s="649">
        <f>IFERROR(SUM(X393:X395),"0")</f>
        <v>337</v>
      </c>
      <c r="Y397" s="649">
        <f>IFERROR(SUM(Y393:Y395),"0")</f>
        <v>343.2</v>
      </c>
      <c r="Z397" s="37"/>
      <c r="AA397" s="650"/>
      <c r="AB397" s="650"/>
      <c r="AC397" s="650"/>
    </row>
    <row r="398" spans="1:68" ht="14.25" hidden="1" customHeight="1" x14ac:dyDescent="0.25">
      <c r="A398" s="661" t="s">
        <v>271</v>
      </c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71">
        <v>4607091388381</v>
      </c>
      <c r="E399" s="67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3"/>
      <c r="R399" s="663"/>
      <c r="S399" s="663"/>
      <c r="T399" s="664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71">
        <v>4607091388374</v>
      </c>
      <c r="E400" s="67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3"/>
      <c r="R400" s="663"/>
      <c r="S400" s="663"/>
      <c r="T400" s="664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71">
        <v>4607091383102</v>
      </c>
      <c r="E401" s="67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3"/>
      <c r="R401" s="663"/>
      <c r="S401" s="663"/>
      <c r="T401" s="664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658</v>
      </c>
      <c r="B402" s="54" t="s">
        <v>659</v>
      </c>
      <c r="C402" s="31">
        <v>4301030233</v>
      </c>
      <c r="D402" s="671">
        <v>4607091388404</v>
      </c>
      <c r="E402" s="67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6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3"/>
      <c r="R402" s="663"/>
      <c r="S402" s="663"/>
      <c r="T402" s="664"/>
      <c r="U402" s="34"/>
      <c r="V402" s="34"/>
      <c r="W402" s="35" t="s">
        <v>66</v>
      </c>
      <c r="X402" s="647">
        <v>0</v>
      </c>
      <c r="Y402" s="648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58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3" t="s">
        <v>71</v>
      </c>
      <c r="Q403" s="654"/>
      <c r="R403" s="654"/>
      <c r="S403" s="654"/>
      <c r="T403" s="654"/>
      <c r="U403" s="654"/>
      <c r="V403" s="655"/>
      <c r="W403" s="37" t="s">
        <v>72</v>
      </c>
      <c r="X403" s="649">
        <f>IFERROR(X399/H399,"0")+IFERROR(X400/H400,"0")+IFERROR(X401/H401,"0")+IFERROR(X402/H402,"0")</f>
        <v>0</v>
      </c>
      <c r="Y403" s="649">
        <f>IFERROR(Y399/H399,"0")+IFERROR(Y400/H400,"0")+IFERROR(Y401/H401,"0")+IFERROR(Y402/H402,"0")</f>
        <v>0</v>
      </c>
      <c r="Z403" s="649">
        <f>IFERROR(IF(Z399="",0,Z399),"0")+IFERROR(IF(Z400="",0,Z400),"0")+IFERROR(IF(Z401="",0,Z401),"0")+IFERROR(IF(Z402="",0,Z402),"0")</f>
        <v>0</v>
      </c>
      <c r="AA403" s="650"/>
      <c r="AB403" s="650"/>
      <c r="AC403" s="650"/>
    </row>
    <row r="404" spans="1:68" hidden="1" x14ac:dyDescent="0.2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60"/>
      <c r="P404" s="653" t="s">
        <v>71</v>
      </c>
      <c r="Q404" s="654"/>
      <c r="R404" s="654"/>
      <c r="S404" s="654"/>
      <c r="T404" s="654"/>
      <c r="U404" s="654"/>
      <c r="V404" s="655"/>
      <c r="W404" s="37" t="s">
        <v>66</v>
      </c>
      <c r="X404" s="649">
        <f>IFERROR(SUM(X399:X402),"0")</f>
        <v>0</v>
      </c>
      <c r="Y404" s="649">
        <f>IFERROR(SUM(Y399:Y402),"0")</f>
        <v>0</v>
      </c>
      <c r="Z404" s="37"/>
      <c r="AA404" s="650"/>
      <c r="AB404" s="650"/>
      <c r="AC404" s="650"/>
    </row>
    <row r="405" spans="1:68" ht="14.25" hidden="1" customHeight="1" x14ac:dyDescent="0.25">
      <c r="A405" s="661" t="s">
        <v>660</v>
      </c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71">
        <v>4680115881808</v>
      </c>
      <c r="E406" s="67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3"/>
      <c r="R406" s="663"/>
      <c r="S406" s="663"/>
      <c r="T406" s="664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71">
        <v>4680115881822</v>
      </c>
      <c r="E407" s="67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3"/>
      <c r="R407" s="663"/>
      <c r="S407" s="663"/>
      <c r="T407" s="664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71">
        <v>4680115880016</v>
      </c>
      <c r="E408" s="67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3"/>
      <c r="R408" s="663"/>
      <c r="S408" s="663"/>
      <c r="T408" s="664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58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3" t="s">
        <v>71</v>
      </c>
      <c r="Q409" s="654"/>
      <c r="R409" s="654"/>
      <c r="S409" s="654"/>
      <c r="T409" s="654"/>
      <c r="U409" s="654"/>
      <c r="V409" s="65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60"/>
      <c r="P410" s="653" t="s">
        <v>71</v>
      </c>
      <c r="Q410" s="654"/>
      <c r="R410" s="654"/>
      <c r="S410" s="654"/>
      <c r="T410" s="654"/>
      <c r="U410" s="654"/>
      <c r="V410" s="65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61" t="s">
        <v>669</v>
      </c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71">
        <v>4680115888678</v>
      </c>
      <c r="E412" s="67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3"/>
      <c r="R412" s="663"/>
      <c r="S412" s="663"/>
      <c r="T412" s="664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71">
        <v>4680115888654</v>
      </c>
      <c r="E413" s="67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3"/>
      <c r="R413" s="663"/>
      <c r="S413" s="663"/>
      <c r="T413" s="664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71">
        <v>4680115888753</v>
      </c>
      <c r="E414" s="67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8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3"/>
      <c r="R414" s="663"/>
      <c r="S414" s="663"/>
      <c r="T414" s="664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58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3" t="s">
        <v>71</v>
      </c>
      <c r="Q415" s="654"/>
      <c r="R415" s="654"/>
      <c r="S415" s="654"/>
      <c r="T415" s="654"/>
      <c r="U415" s="654"/>
      <c r="V415" s="65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60"/>
      <c r="P416" s="653" t="s">
        <v>71</v>
      </c>
      <c r="Q416" s="654"/>
      <c r="R416" s="654"/>
      <c r="S416" s="654"/>
      <c r="T416" s="654"/>
      <c r="U416" s="654"/>
      <c r="V416" s="65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68" t="s">
        <v>678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42"/>
      <c r="AB417" s="642"/>
      <c r="AC417" s="642"/>
    </row>
    <row r="418" spans="1:68" ht="14.25" hidden="1" customHeight="1" x14ac:dyDescent="0.25">
      <c r="A418" s="661" t="s">
        <v>73</v>
      </c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71">
        <v>4680115889415</v>
      </c>
      <c r="E419" s="67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3"/>
      <c r="R419" s="663"/>
      <c r="S419" s="663"/>
      <c r="T419" s="664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71">
        <v>4680115889422</v>
      </c>
      <c r="E420" s="67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10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3"/>
      <c r="R420" s="663"/>
      <c r="S420" s="663"/>
      <c r="T420" s="664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8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3" t="s">
        <v>71</v>
      </c>
      <c r="Q421" s="654"/>
      <c r="R421" s="654"/>
      <c r="S421" s="654"/>
      <c r="T421" s="654"/>
      <c r="U421" s="654"/>
      <c r="V421" s="65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60"/>
      <c r="P422" s="653" t="s">
        <v>71</v>
      </c>
      <c r="Q422" s="654"/>
      <c r="R422" s="654"/>
      <c r="S422" s="654"/>
      <c r="T422" s="654"/>
      <c r="U422" s="654"/>
      <c r="V422" s="65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68" t="s">
        <v>685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42"/>
      <c r="AB423" s="642"/>
      <c r="AC423" s="642"/>
    </row>
    <row r="424" spans="1:68" ht="14.25" hidden="1" customHeight="1" x14ac:dyDescent="0.25">
      <c r="A424" s="661" t="s">
        <v>73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71">
        <v>4607091387919</v>
      </c>
      <c r="E425" s="67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3"/>
      <c r="R425" s="663"/>
      <c r="S425" s="663"/>
      <c r="T425" s="664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71">
        <v>4680115883604</v>
      </c>
      <c r="E426" s="67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3"/>
      <c r="R426" s="663"/>
      <c r="S426" s="663"/>
      <c r="T426" s="664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4301051864</v>
      </c>
      <c r="D427" s="671">
        <v>4680115883567</v>
      </c>
      <c r="E427" s="67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3"/>
      <c r="R427" s="663"/>
      <c r="S427" s="663"/>
      <c r="T427" s="664"/>
      <c r="U427" s="34"/>
      <c r="V427" s="34"/>
      <c r="W427" s="35" t="s">
        <v>66</v>
      </c>
      <c r="X427" s="647">
        <v>0</v>
      </c>
      <c r="Y427" s="648">
        <f>IFERROR(IF(X427="",0,CEILING((X427/$H427),1)*$H427),"")</f>
        <v>0</v>
      </c>
      <c r="Z427" s="36" t="str">
        <f>IFERROR(IF(Y427=0,"",ROUNDUP(Y427/H427,0)*0.00651),"")</f>
        <v/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58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3" t="s">
        <v>71</v>
      </c>
      <c r="Q428" s="654"/>
      <c r="R428" s="654"/>
      <c r="S428" s="654"/>
      <c r="T428" s="654"/>
      <c r="U428" s="654"/>
      <c r="V428" s="655"/>
      <c r="W428" s="37" t="s">
        <v>72</v>
      </c>
      <c r="X428" s="649">
        <f>IFERROR(X425/H425,"0")+IFERROR(X426/H426,"0")+IFERROR(X427/H427,"0")</f>
        <v>0</v>
      </c>
      <c r="Y428" s="649">
        <f>IFERROR(Y425/H425,"0")+IFERROR(Y426/H426,"0")+IFERROR(Y427/H427,"0")</f>
        <v>0</v>
      </c>
      <c r="Z428" s="649">
        <f>IFERROR(IF(Z425="",0,Z425),"0")+IFERROR(IF(Z426="",0,Z426),"0")+IFERROR(IF(Z427="",0,Z427),"0")</f>
        <v>0</v>
      </c>
      <c r="AA428" s="650"/>
      <c r="AB428" s="650"/>
      <c r="AC428" s="650"/>
    </row>
    <row r="429" spans="1:68" hidden="1" x14ac:dyDescent="0.2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60"/>
      <c r="P429" s="653" t="s">
        <v>71</v>
      </c>
      <c r="Q429" s="654"/>
      <c r="R429" s="654"/>
      <c r="S429" s="654"/>
      <c r="T429" s="654"/>
      <c r="U429" s="654"/>
      <c r="V429" s="655"/>
      <c r="W429" s="37" t="s">
        <v>66</v>
      </c>
      <c r="X429" s="649">
        <f>IFERROR(SUM(X425:X427),"0")</f>
        <v>0</v>
      </c>
      <c r="Y429" s="649">
        <f>IFERROR(SUM(Y425:Y427),"0")</f>
        <v>0</v>
      </c>
      <c r="Z429" s="37"/>
      <c r="AA429" s="650"/>
      <c r="AB429" s="650"/>
      <c r="AC429" s="650"/>
    </row>
    <row r="430" spans="1:68" ht="27.75" hidden="1" customHeight="1" x14ac:dyDescent="0.2">
      <c r="A430" s="651" t="s">
        <v>695</v>
      </c>
      <c r="B430" s="652"/>
      <c r="C430" s="652"/>
      <c r="D430" s="652"/>
      <c r="E430" s="652"/>
      <c r="F430" s="652"/>
      <c r="G430" s="652"/>
      <c r="H430" s="652"/>
      <c r="I430" s="652"/>
      <c r="J430" s="652"/>
      <c r="K430" s="652"/>
      <c r="L430" s="652"/>
      <c r="M430" s="652"/>
      <c r="N430" s="652"/>
      <c r="O430" s="652"/>
      <c r="P430" s="652"/>
      <c r="Q430" s="652"/>
      <c r="R430" s="652"/>
      <c r="S430" s="652"/>
      <c r="T430" s="652"/>
      <c r="U430" s="652"/>
      <c r="V430" s="652"/>
      <c r="W430" s="652"/>
      <c r="X430" s="652"/>
      <c r="Y430" s="652"/>
      <c r="Z430" s="652"/>
      <c r="AA430" s="48"/>
      <c r="AB430" s="48"/>
      <c r="AC430" s="48"/>
    </row>
    <row r="431" spans="1:68" ht="16.5" hidden="1" customHeight="1" x14ac:dyDescent="0.25">
      <c r="A431" s="668" t="s">
        <v>696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42"/>
      <c r="AB431" s="642"/>
      <c r="AC431" s="642"/>
    </row>
    <row r="432" spans="1:68" ht="14.25" hidden="1" customHeight="1" x14ac:dyDescent="0.25">
      <c r="A432" s="661" t="s">
        <v>110</v>
      </c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43"/>
      <c r="AB432" s="643"/>
      <c r="AC432" s="643"/>
    </row>
    <row r="433" spans="1:68" ht="27" hidden="1" customHeight="1" x14ac:dyDescent="0.25">
      <c r="A433" s="54" t="s">
        <v>697</v>
      </c>
      <c r="B433" s="54" t="s">
        <v>698</v>
      </c>
      <c r="C433" s="31">
        <v>4301012332</v>
      </c>
      <c r="D433" s="671">
        <v>4680115888401</v>
      </c>
      <c r="E433" s="67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3"/>
      <c r="R433" s="663"/>
      <c r="S433" s="663"/>
      <c r="T433" s="664"/>
      <c r="U433" s="34"/>
      <c r="V433" s="34"/>
      <c r="W433" s="35" t="s">
        <v>66</v>
      </c>
      <c r="X433" s="647">
        <v>0</v>
      </c>
      <c r="Y433" s="648">
        <f t="shared" ref="Y433:Y440" si="68"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0</v>
      </c>
      <c r="BN433" s="64">
        <f t="shared" ref="BN433:BN440" si="70">IFERROR(Y433*I433/H433,"0")</f>
        <v>0</v>
      </c>
      <c r="BO433" s="64">
        <f t="shared" ref="BO433:BO440" si="71">IFERROR(1/J433*(X433/H433),"0")</f>
        <v>0</v>
      </c>
      <c r="BP433" s="64">
        <f t="shared" ref="BP433:BP440" si="72"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71">
        <v>4680115884847</v>
      </c>
      <c r="E434" s="67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3"/>
      <c r="R434" s="663"/>
      <c r="S434" s="663"/>
      <c r="T434" s="664"/>
      <c r="U434" s="34"/>
      <c r="V434" s="34"/>
      <c r="W434" s="35" t="s">
        <v>66</v>
      </c>
      <c r="X434" s="647">
        <v>1010</v>
      </c>
      <c r="Y434" s="648">
        <f t="shared" si="68"/>
        <v>1020</v>
      </c>
      <c r="Z434" s="36">
        <f>IFERROR(IF(Y434=0,"",ROUNDUP(Y434/H434,0)*0.02175),"")</f>
        <v>1.4789999999999999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1041.6466666666668</v>
      </c>
      <c r="BN434" s="64">
        <f t="shared" si="70"/>
        <v>1051.96</v>
      </c>
      <c r="BO434" s="64">
        <f t="shared" si="71"/>
        <v>1.4027777777777777</v>
      </c>
      <c r="BP434" s="64">
        <f t="shared" si="72"/>
        <v>1.4166666666666665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71">
        <v>4680115884854</v>
      </c>
      <c r="E435" s="67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3"/>
      <c r="R435" s="663"/>
      <c r="S435" s="663"/>
      <c r="T435" s="664"/>
      <c r="U435" s="34"/>
      <c r="V435" s="34"/>
      <c r="W435" s="35" t="s">
        <v>66</v>
      </c>
      <c r="X435" s="647">
        <v>389</v>
      </c>
      <c r="Y435" s="648">
        <f t="shared" si="68"/>
        <v>390</v>
      </c>
      <c r="Z435" s="36">
        <f>IFERROR(IF(Y435=0,"",ROUNDUP(Y435/H435,0)*0.02175),"")</f>
        <v>0.5655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401.18866666666668</v>
      </c>
      <c r="BN435" s="64">
        <f t="shared" si="70"/>
        <v>402.22</v>
      </c>
      <c r="BO435" s="64">
        <f t="shared" si="71"/>
        <v>0.54027777777777775</v>
      </c>
      <c r="BP435" s="64">
        <f t="shared" si="72"/>
        <v>0.54166666666666663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71">
        <v>4680115884830</v>
      </c>
      <c r="E436" s="67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3"/>
      <c r="R436" s="663"/>
      <c r="S436" s="663"/>
      <c r="T436" s="664"/>
      <c r="U436" s="34"/>
      <c r="V436" s="34"/>
      <c r="W436" s="35" t="s">
        <v>66</v>
      </c>
      <c r="X436" s="647">
        <v>1010</v>
      </c>
      <c r="Y436" s="648">
        <f t="shared" si="68"/>
        <v>1020</v>
      </c>
      <c r="Z436" s="36">
        <f>IFERROR(IF(Y436=0,"",ROUNDUP(Y436/H436,0)*0.02175),"")</f>
        <v>1.4789999999999999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1041.6466666666668</v>
      </c>
      <c r="BN436" s="64">
        <f t="shared" si="70"/>
        <v>1051.96</v>
      </c>
      <c r="BO436" s="64">
        <f t="shared" si="71"/>
        <v>1.4027777777777777</v>
      </c>
      <c r="BP436" s="64">
        <f t="shared" si="72"/>
        <v>1.4166666666666665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71">
        <v>4680115889231</v>
      </c>
      <c r="E437" s="67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8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3"/>
      <c r="R437" s="663"/>
      <c r="S437" s="663"/>
      <c r="T437" s="664"/>
      <c r="U437" s="34"/>
      <c r="V437" s="34"/>
      <c r="W437" s="35" t="s">
        <v>66</v>
      </c>
      <c r="X437" s="647">
        <v>207</v>
      </c>
      <c r="Y437" s="648">
        <f t="shared" si="68"/>
        <v>210</v>
      </c>
      <c r="Z437" s="36">
        <f>IFERROR(IF(Y437=0,"",ROUNDUP(Y437/H437,0)*0.02175),"")</f>
        <v>0.30449999999999999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213.48599999999999</v>
      </c>
      <c r="BN437" s="64">
        <f t="shared" si="70"/>
        <v>216.58</v>
      </c>
      <c r="BO437" s="64">
        <f t="shared" si="71"/>
        <v>0.28749999999999998</v>
      </c>
      <c r="BP437" s="64">
        <f t="shared" si="72"/>
        <v>0.29166666666666663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71">
        <v>4680115882638</v>
      </c>
      <c r="E438" s="67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3"/>
      <c r="R438" s="663"/>
      <c r="S438" s="663"/>
      <c r="T438" s="664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71">
        <v>4680115884922</v>
      </c>
      <c r="E439" s="67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3"/>
      <c r="R439" s="663"/>
      <c r="S439" s="663"/>
      <c r="T439" s="664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71">
        <v>4680115884861</v>
      </c>
      <c r="E440" s="67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3"/>
      <c r="R440" s="663"/>
      <c r="S440" s="663"/>
      <c r="T440" s="664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58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3" t="s">
        <v>71</v>
      </c>
      <c r="Q441" s="654"/>
      <c r="R441" s="654"/>
      <c r="S441" s="654"/>
      <c r="T441" s="654"/>
      <c r="U441" s="654"/>
      <c r="V441" s="65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174.4</v>
      </c>
      <c r="Y441" s="649">
        <f>IFERROR(Y433/H433,"0")+IFERROR(Y434/H434,"0")+IFERROR(Y435/H435,"0")+IFERROR(Y436/H436,"0")+IFERROR(Y437/H437,"0")+IFERROR(Y438/H438,"0")+IFERROR(Y439/H439,"0")+IFERROR(Y440/H440,"0")</f>
        <v>176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3.8279999999999994</v>
      </c>
      <c r="AA441" s="650"/>
      <c r="AB441" s="650"/>
      <c r="AC441" s="650"/>
    </row>
    <row r="442" spans="1:68" x14ac:dyDescent="0.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60"/>
      <c r="P442" s="653" t="s">
        <v>71</v>
      </c>
      <c r="Q442" s="654"/>
      <c r="R442" s="654"/>
      <c r="S442" s="654"/>
      <c r="T442" s="654"/>
      <c r="U442" s="654"/>
      <c r="V442" s="655"/>
      <c r="W442" s="37" t="s">
        <v>66</v>
      </c>
      <c r="X442" s="649">
        <f>IFERROR(SUM(X433:X440),"0")</f>
        <v>2616</v>
      </c>
      <c r="Y442" s="649">
        <f>IFERROR(SUM(Y433:Y440),"0")</f>
        <v>2640</v>
      </c>
      <c r="Z442" s="37"/>
      <c r="AA442" s="650"/>
      <c r="AB442" s="650"/>
      <c r="AC442" s="650"/>
    </row>
    <row r="443" spans="1:68" ht="14.25" hidden="1" customHeight="1" x14ac:dyDescent="0.25">
      <c r="A443" s="661" t="s">
        <v>147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71">
        <v>4607091383980</v>
      </c>
      <c r="E444" s="67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3"/>
      <c r="R444" s="663"/>
      <c r="S444" s="663"/>
      <c r="T444" s="664"/>
      <c r="U444" s="34"/>
      <c r="V444" s="34"/>
      <c r="W444" s="35" t="s">
        <v>66</v>
      </c>
      <c r="X444" s="647">
        <v>240</v>
      </c>
      <c r="Y444" s="648">
        <f>IFERROR(IF(X444="",0,CEILING((X444/$H444),1)*$H444),"")</f>
        <v>240</v>
      </c>
      <c r="Z444" s="36">
        <f>IFERROR(IF(Y444=0,"",ROUNDUP(Y444/H444,0)*0.02175),"")</f>
        <v>0.34799999999999998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247.52</v>
      </c>
      <c r="BN444" s="64">
        <f>IFERROR(Y444*I444/H444,"0")</f>
        <v>247.52</v>
      </c>
      <c r="BO444" s="64">
        <f>IFERROR(1/J444*(X444/H444),"0")</f>
        <v>0.33333333333333331</v>
      </c>
      <c r="BP444" s="64">
        <f>IFERROR(1/J444*(Y444/H444),"0")</f>
        <v>0.33333333333333331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71">
        <v>4680115888425</v>
      </c>
      <c r="E445" s="67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3"/>
      <c r="R445" s="663"/>
      <c r="S445" s="663"/>
      <c r="T445" s="664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71">
        <v>4607091384178</v>
      </c>
      <c r="E446" s="67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3"/>
      <c r="R446" s="663"/>
      <c r="S446" s="663"/>
      <c r="T446" s="664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8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3" t="s">
        <v>71</v>
      </c>
      <c r="Q447" s="654"/>
      <c r="R447" s="654"/>
      <c r="S447" s="654"/>
      <c r="T447" s="654"/>
      <c r="U447" s="654"/>
      <c r="V447" s="655"/>
      <c r="W447" s="37" t="s">
        <v>72</v>
      </c>
      <c r="X447" s="649">
        <f>IFERROR(X444/H444,"0")+IFERROR(X445/H445,"0")+IFERROR(X446/H446,"0")</f>
        <v>16</v>
      </c>
      <c r="Y447" s="649">
        <f>IFERROR(Y444/H444,"0")+IFERROR(Y445/H445,"0")+IFERROR(Y446/H446,"0")</f>
        <v>16</v>
      </c>
      <c r="Z447" s="649">
        <f>IFERROR(IF(Z444="",0,Z444),"0")+IFERROR(IF(Z445="",0,Z445),"0")+IFERROR(IF(Z446="",0,Z446),"0")</f>
        <v>0.34799999999999998</v>
      </c>
      <c r="AA447" s="650"/>
      <c r="AB447" s="650"/>
      <c r="AC447" s="650"/>
    </row>
    <row r="448" spans="1:68" x14ac:dyDescent="0.2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60"/>
      <c r="P448" s="653" t="s">
        <v>71</v>
      </c>
      <c r="Q448" s="654"/>
      <c r="R448" s="654"/>
      <c r="S448" s="654"/>
      <c r="T448" s="654"/>
      <c r="U448" s="654"/>
      <c r="V448" s="655"/>
      <c r="W448" s="37" t="s">
        <v>66</v>
      </c>
      <c r="X448" s="649">
        <f>IFERROR(SUM(X444:X446),"0")</f>
        <v>240</v>
      </c>
      <c r="Y448" s="649">
        <f>IFERROR(SUM(Y444:Y446),"0")</f>
        <v>240</v>
      </c>
      <c r="Z448" s="37"/>
      <c r="AA448" s="650"/>
      <c r="AB448" s="650"/>
      <c r="AC448" s="650"/>
    </row>
    <row r="449" spans="1:68" ht="14.25" hidden="1" customHeight="1" x14ac:dyDescent="0.25">
      <c r="A449" s="661" t="s">
        <v>73</v>
      </c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71">
        <v>4607091383928</v>
      </c>
      <c r="E450" s="67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3"/>
      <c r="R450" s="663"/>
      <c r="S450" s="663"/>
      <c r="T450" s="664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71">
        <v>4607091384260</v>
      </c>
      <c r="E451" s="67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3"/>
      <c r="R451" s="663"/>
      <c r="S451" s="663"/>
      <c r="T451" s="664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71">
        <v>4680115889538</v>
      </c>
      <c r="E452" s="67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9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3"/>
      <c r="R452" s="663"/>
      <c r="S452" s="663"/>
      <c r="T452" s="664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58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3" t="s">
        <v>71</v>
      </c>
      <c r="Q453" s="654"/>
      <c r="R453" s="654"/>
      <c r="S453" s="654"/>
      <c r="T453" s="654"/>
      <c r="U453" s="654"/>
      <c r="V453" s="65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60"/>
      <c r="P454" s="653" t="s">
        <v>71</v>
      </c>
      <c r="Q454" s="654"/>
      <c r="R454" s="654"/>
      <c r="S454" s="654"/>
      <c r="T454" s="654"/>
      <c r="U454" s="654"/>
      <c r="V454" s="65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61" t="s">
        <v>166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71">
        <v>4680115889545</v>
      </c>
      <c r="E456" s="67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3"/>
      <c r="R456" s="663"/>
      <c r="S456" s="663"/>
      <c r="T456" s="664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71">
        <v>4607091384673</v>
      </c>
      <c r="E457" s="67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3"/>
      <c r="R457" s="663"/>
      <c r="S457" s="663"/>
      <c r="T457" s="664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58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3" t="s">
        <v>71</v>
      </c>
      <c r="Q458" s="654"/>
      <c r="R458" s="654"/>
      <c r="S458" s="654"/>
      <c r="T458" s="654"/>
      <c r="U458" s="654"/>
      <c r="V458" s="65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60"/>
      <c r="P459" s="653" t="s">
        <v>71</v>
      </c>
      <c r="Q459" s="654"/>
      <c r="R459" s="654"/>
      <c r="S459" s="654"/>
      <c r="T459" s="654"/>
      <c r="U459" s="654"/>
      <c r="V459" s="65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68" t="s">
        <v>745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42"/>
      <c r="AB460" s="642"/>
      <c r="AC460" s="642"/>
    </row>
    <row r="461" spans="1:68" ht="14.25" hidden="1" customHeight="1" x14ac:dyDescent="0.25">
      <c r="A461" s="661" t="s">
        <v>110</v>
      </c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71">
        <v>4680115884885</v>
      </c>
      <c r="E462" s="67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3"/>
      <c r="R462" s="663"/>
      <c r="S462" s="663"/>
      <c r="T462" s="664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71">
        <v>4680115884908</v>
      </c>
      <c r="E463" s="67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3"/>
      <c r="R463" s="663"/>
      <c r="S463" s="663"/>
      <c r="T463" s="664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8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3" t="s">
        <v>71</v>
      </c>
      <c r="Q464" s="654"/>
      <c r="R464" s="654"/>
      <c r="S464" s="654"/>
      <c r="T464" s="654"/>
      <c r="U464" s="654"/>
      <c r="V464" s="65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60"/>
      <c r="P465" s="653" t="s">
        <v>71</v>
      </c>
      <c r="Q465" s="654"/>
      <c r="R465" s="654"/>
      <c r="S465" s="654"/>
      <c r="T465" s="654"/>
      <c r="U465" s="654"/>
      <c r="V465" s="65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61" t="s">
        <v>61</v>
      </c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71">
        <v>4607091384802</v>
      </c>
      <c r="E467" s="67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3"/>
      <c r="R467" s="663"/>
      <c r="S467" s="663"/>
      <c r="T467" s="664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58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3" t="s">
        <v>71</v>
      </c>
      <c r="Q468" s="654"/>
      <c r="R468" s="654"/>
      <c r="S468" s="654"/>
      <c r="T468" s="654"/>
      <c r="U468" s="654"/>
      <c r="V468" s="65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60"/>
      <c r="P469" s="653" t="s">
        <v>71</v>
      </c>
      <c r="Q469" s="654"/>
      <c r="R469" s="654"/>
      <c r="S469" s="654"/>
      <c r="T469" s="654"/>
      <c r="U469" s="654"/>
      <c r="V469" s="65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61" t="s">
        <v>73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71">
        <v>4607091384246</v>
      </c>
      <c r="E471" s="67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3"/>
      <c r="R471" s="663"/>
      <c r="S471" s="663"/>
      <c r="T471" s="664"/>
      <c r="U471" s="34"/>
      <c r="V471" s="34"/>
      <c r="W471" s="35" t="s">
        <v>66</v>
      </c>
      <c r="X471" s="647">
        <v>777</v>
      </c>
      <c r="Y471" s="648">
        <f>IFERROR(IF(X471="",0,CEILING((X471/$H471),1)*$H471),"")</f>
        <v>783</v>
      </c>
      <c r="Z471" s="36">
        <f>IFERROR(IF(Y471=0,"",ROUNDUP(Y471/H471,0)*0.01898),"")</f>
        <v>1.65126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819.6486666666666</v>
      </c>
      <c r="BN471" s="64">
        <f>IFERROR(Y471*I471/H471,"0")</f>
        <v>825.97799999999995</v>
      </c>
      <c r="BO471" s="64">
        <f>IFERROR(1/J471*(X471/H471),"0")</f>
        <v>1.3489583333333333</v>
      </c>
      <c r="BP471" s="64">
        <f>IFERROR(1/J471*(Y471/H471),"0")</f>
        <v>1.359375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71">
        <v>4607091384253</v>
      </c>
      <c r="E472" s="67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9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3"/>
      <c r="R472" s="663"/>
      <c r="S472" s="663"/>
      <c r="T472" s="664"/>
      <c r="U472" s="34"/>
      <c r="V472" s="34"/>
      <c r="W472" s="35" t="s">
        <v>66</v>
      </c>
      <c r="X472" s="647">
        <v>52</v>
      </c>
      <c r="Y472" s="648">
        <f>IFERROR(IF(X472="",0,CEILING((X472/$H472),1)*$H472),"")</f>
        <v>52.8</v>
      </c>
      <c r="Z472" s="36">
        <f>IFERROR(IF(Y472=0,"",ROUNDUP(Y472/H472,0)*0.00651),"")</f>
        <v>0.14322000000000001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57.720000000000013</v>
      </c>
      <c r="BN472" s="64">
        <f>IFERROR(Y472*I472/H472,"0")</f>
        <v>58.608000000000004</v>
      </c>
      <c r="BO472" s="64">
        <f>IFERROR(1/J472*(X472/H472),"0")</f>
        <v>0.11904761904761907</v>
      </c>
      <c r="BP472" s="64">
        <f>IFERROR(1/J472*(Y472/H472),"0")</f>
        <v>0.12087912087912089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71">
        <v>4607091384253</v>
      </c>
      <c r="E473" s="67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3"/>
      <c r="R473" s="663"/>
      <c r="S473" s="663"/>
      <c r="T473" s="664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58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3" t="s">
        <v>71</v>
      </c>
      <c r="Q474" s="654"/>
      <c r="R474" s="654"/>
      <c r="S474" s="654"/>
      <c r="T474" s="654"/>
      <c r="U474" s="654"/>
      <c r="V474" s="655"/>
      <c r="W474" s="37" t="s">
        <v>72</v>
      </c>
      <c r="X474" s="649">
        <f>IFERROR(X471/H471,"0")+IFERROR(X472/H472,"0")+IFERROR(X473/H473,"0")</f>
        <v>108</v>
      </c>
      <c r="Y474" s="649">
        <f>IFERROR(Y471/H471,"0")+IFERROR(Y472/H472,"0")+IFERROR(Y473/H473,"0")</f>
        <v>109</v>
      </c>
      <c r="Z474" s="649">
        <f>IFERROR(IF(Z471="",0,Z471),"0")+IFERROR(IF(Z472="",0,Z472),"0")+IFERROR(IF(Z473="",0,Z473),"0")</f>
        <v>1.7944800000000001</v>
      </c>
      <c r="AA474" s="650"/>
      <c r="AB474" s="650"/>
      <c r="AC474" s="650"/>
    </row>
    <row r="475" spans="1:68" x14ac:dyDescent="0.2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60"/>
      <c r="P475" s="653" t="s">
        <v>71</v>
      </c>
      <c r="Q475" s="654"/>
      <c r="R475" s="654"/>
      <c r="S475" s="654"/>
      <c r="T475" s="654"/>
      <c r="U475" s="654"/>
      <c r="V475" s="655"/>
      <c r="W475" s="37" t="s">
        <v>66</v>
      </c>
      <c r="X475" s="649">
        <f>IFERROR(SUM(X471:X473),"0")</f>
        <v>829</v>
      </c>
      <c r="Y475" s="649">
        <f>IFERROR(SUM(Y471:Y473),"0")</f>
        <v>835.8</v>
      </c>
      <c r="Z475" s="37"/>
      <c r="AA475" s="650"/>
      <c r="AB475" s="650"/>
      <c r="AC475" s="650"/>
    </row>
    <row r="476" spans="1:68" ht="27.75" hidden="1" customHeight="1" x14ac:dyDescent="0.2">
      <c r="A476" s="651" t="s">
        <v>761</v>
      </c>
      <c r="B476" s="652"/>
      <c r="C476" s="652"/>
      <c r="D476" s="652"/>
      <c r="E476" s="652"/>
      <c r="F476" s="652"/>
      <c r="G476" s="652"/>
      <c r="H476" s="652"/>
      <c r="I476" s="652"/>
      <c r="J476" s="652"/>
      <c r="K476" s="652"/>
      <c r="L476" s="652"/>
      <c r="M476" s="652"/>
      <c r="N476" s="652"/>
      <c r="O476" s="652"/>
      <c r="P476" s="652"/>
      <c r="Q476" s="652"/>
      <c r="R476" s="652"/>
      <c r="S476" s="652"/>
      <c r="T476" s="652"/>
      <c r="U476" s="652"/>
      <c r="V476" s="652"/>
      <c r="W476" s="652"/>
      <c r="X476" s="652"/>
      <c r="Y476" s="652"/>
      <c r="Z476" s="652"/>
      <c r="AA476" s="48"/>
      <c r="AB476" s="48"/>
      <c r="AC476" s="48"/>
    </row>
    <row r="477" spans="1:68" ht="16.5" hidden="1" customHeight="1" x14ac:dyDescent="0.25">
      <c r="A477" s="668" t="s">
        <v>762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42"/>
      <c r="AB477" s="642"/>
      <c r="AC477" s="642"/>
    </row>
    <row r="478" spans="1:68" ht="14.25" hidden="1" customHeight="1" x14ac:dyDescent="0.25">
      <c r="A478" s="661" t="s">
        <v>61</v>
      </c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71">
        <v>4680115886100</v>
      </c>
      <c r="E479" s="67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3"/>
      <c r="R479" s="663"/>
      <c r="S479" s="663"/>
      <c r="T479" s="664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71">
        <v>4680115886124</v>
      </c>
      <c r="E480" s="67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3"/>
      <c r="R480" s="663"/>
      <c r="S480" s="663"/>
      <c r="T480" s="664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71">
        <v>4607091384338</v>
      </c>
      <c r="E481" s="67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3"/>
      <c r="R481" s="663"/>
      <c r="S481" s="663"/>
      <c r="T481" s="664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71">
        <v>4680115883161</v>
      </c>
      <c r="E482" s="67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3"/>
      <c r="R482" s="663"/>
      <c r="S482" s="663"/>
      <c r="T482" s="664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71">
        <v>4607091389531</v>
      </c>
      <c r="E483" s="67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3"/>
      <c r="R483" s="663"/>
      <c r="S483" s="663"/>
      <c r="T483" s="664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71">
        <v>4607091384345</v>
      </c>
      <c r="E484" s="67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8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3"/>
      <c r="R484" s="663"/>
      <c r="S484" s="663"/>
      <c r="T484" s="664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58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3" t="s">
        <v>71</v>
      </c>
      <c r="Q485" s="654"/>
      <c r="R485" s="654"/>
      <c r="S485" s="654"/>
      <c r="T485" s="654"/>
      <c r="U485" s="654"/>
      <c r="V485" s="65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60"/>
      <c r="P486" s="653" t="s">
        <v>71</v>
      </c>
      <c r="Q486" s="654"/>
      <c r="R486" s="654"/>
      <c r="S486" s="654"/>
      <c r="T486" s="654"/>
      <c r="U486" s="654"/>
      <c r="V486" s="65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61" t="s">
        <v>73</v>
      </c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71">
        <v>4607091384352</v>
      </c>
      <c r="E488" s="67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3"/>
      <c r="R488" s="663"/>
      <c r="S488" s="663"/>
      <c r="T488" s="664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71">
        <v>4607091389654</v>
      </c>
      <c r="E489" s="67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3"/>
      <c r="R489" s="663"/>
      <c r="S489" s="663"/>
      <c r="T489" s="664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58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3" t="s">
        <v>71</v>
      </c>
      <c r="Q490" s="654"/>
      <c r="R490" s="654"/>
      <c r="S490" s="654"/>
      <c r="T490" s="654"/>
      <c r="U490" s="654"/>
      <c r="V490" s="65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60"/>
      <c r="P491" s="653" t="s">
        <v>71</v>
      </c>
      <c r="Q491" s="654"/>
      <c r="R491" s="654"/>
      <c r="S491" s="654"/>
      <c r="T491" s="654"/>
      <c r="U491" s="654"/>
      <c r="V491" s="65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68" t="s">
        <v>785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42"/>
      <c r="AB492" s="642"/>
      <c r="AC492" s="642"/>
    </row>
    <row r="493" spans="1:68" ht="14.25" hidden="1" customHeight="1" x14ac:dyDescent="0.25">
      <c r="A493" s="661" t="s">
        <v>147</v>
      </c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71">
        <v>4680115885240</v>
      </c>
      <c r="E494" s="67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3"/>
      <c r="R494" s="663"/>
      <c r="S494" s="663"/>
      <c r="T494" s="664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8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3" t="s">
        <v>71</v>
      </c>
      <c r="Q495" s="654"/>
      <c r="R495" s="654"/>
      <c r="S495" s="654"/>
      <c r="T495" s="654"/>
      <c r="U495" s="654"/>
      <c r="V495" s="65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60"/>
      <c r="P496" s="653" t="s">
        <v>71</v>
      </c>
      <c r="Q496" s="654"/>
      <c r="R496" s="654"/>
      <c r="S496" s="654"/>
      <c r="T496" s="654"/>
      <c r="U496" s="654"/>
      <c r="V496" s="65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61" t="s">
        <v>61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71">
        <v>4680115886094</v>
      </c>
      <c r="E498" s="67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3"/>
      <c r="R498" s="663"/>
      <c r="S498" s="663"/>
      <c r="T498" s="664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71">
        <v>4680115880771</v>
      </c>
      <c r="E499" s="67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3"/>
      <c r="R499" s="663"/>
      <c r="S499" s="663"/>
      <c r="T499" s="664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71">
        <v>4607091389500</v>
      </c>
      <c r="E500" s="67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3"/>
      <c r="R500" s="663"/>
      <c r="S500" s="663"/>
      <c r="T500" s="664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58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3" t="s">
        <v>71</v>
      </c>
      <c r="Q501" s="654"/>
      <c r="R501" s="654"/>
      <c r="S501" s="654"/>
      <c r="T501" s="654"/>
      <c r="U501" s="654"/>
      <c r="V501" s="65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60"/>
      <c r="P502" s="653" t="s">
        <v>71</v>
      </c>
      <c r="Q502" s="654"/>
      <c r="R502" s="654"/>
      <c r="S502" s="654"/>
      <c r="T502" s="654"/>
      <c r="U502" s="654"/>
      <c r="V502" s="65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51" t="s">
        <v>797</v>
      </c>
      <c r="B503" s="652"/>
      <c r="C503" s="652"/>
      <c r="D503" s="652"/>
      <c r="E503" s="652"/>
      <c r="F503" s="652"/>
      <c r="G503" s="652"/>
      <c r="H503" s="652"/>
      <c r="I503" s="652"/>
      <c r="J503" s="652"/>
      <c r="K503" s="652"/>
      <c r="L503" s="652"/>
      <c r="M503" s="652"/>
      <c r="N503" s="652"/>
      <c r="O503" s="652"/>
      <c r="P503" s="652"/>
      <c r="Q503" s="652"/>
      <c r="R503" s="652"/>
      <c r="S503" s="652"/>
      <c r="T503" s="652"/>
      <c r="U503" s="652"/>
      <c r="V503" s="652"/>
      <c r="W503" s="652"/>
      <c r="X503" s="652"/>
      <c r="Y503" s="652"/>
      <c r="Z503" s="652"/>
      <c r="AA503" s="48"/>
      <c r="AB503" s="48"/>
      <c r="AC503" s="48"/>
    </row>
    <row r="504" spans="1:68" ht="16.5" hidden="1" customHeight="1" x14ac:dyDescent="0.25">
      <c r="A504" s="668" t="s">
        <v>797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42"/>
      <c r="AB504" s="642"/>
      <c r="AC504" s="642"/>
    </row>
    <row r="505" spans="1:68" ht="14.25" hidden="1" customHeight="1" x14ac:dyDescent="0.25">
      <c r="A505" s="661" t="s">
        <v>110</v>
      </c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71">
        <v>4607091389067</v>
      </c>
      <c r="E506" s="67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3"/>
      <c r="R506" s="663"/>
      <c r="S506" s="663"/>
      <c r="T506" s="664"/>
      <c r="U506" s="34"/>
      <c r="V506" s="34"/>
      <c r="W506" s="35" t="s">
        <v>66</v>
      </c>
      <c r="X506" s="647">
        <v>267</v>
      </c>
      <c r="Y506" s="648">
        <f t="shared" ref="Y506:Y514" si="78">IFERROR(IF(X506="",0,CEILING((X506/$H506),1)*$H506),"")</f>
        <v>269.28000000000003</v>
      </c>
      <c r="Z506" s="36">
        <f t="shared" ref="Z506:Z511" si="79">IFERROR(IF(Y506=0,"",ROUNDUP(Y506/H506,0)*0.01196),"")</f>
        <v>0.60996000000000006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284.69886363636363</v>
      </c>
      <c r="BN506" s="64">
        <f t="shared" ref="BN506:BN514" si="81">IFERROR(Y506*I506/H506,"0")</f>
        <v>287.13</v>
      </c>
      <c r="BO506" s="64">
        <f t="shared" ref="BO506:BO514" si="82">IFERROR(1/J506*(X506/H506),"0")</f>
        <v>0.48623251748251745</v>
      </c>
      <c r="BP506" s="64">
        <f t="shared" ref="BP506:BP514" si="83">IFERROR(1/J506*(Y506/H506),"0")</f>
        <v>0.49038461538461542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71">
        <v>4680115889576</v>
      </c>
      <c r="E507" s="67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1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3"/>
      <c r="R507" s="663"/>
      <c r="S507" s="663"/>
      <c r="T507" s="664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71">
        <v>4680115885271</v>
      </c>
      <c r="E508" s="67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3"/>
      <c r="R508" s="663"/>
      <c r="S508" s="663"/>
      <c r="T508" s="664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71">
        <v>4680115885226</v>
      </c>
      <c r="E509" s="67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3"/>
      <c r="R509" s="663"/>
      <c r="S509" s="663"/>
      <c r="T509" s="664"/>
      <c r="U509" s="34"/>
      <c r="V509" s="34"/>
      <c r="W509" s="35" t="s">
        <v>66</v>
      </c>
      <c r="X509" s="647">
        <v>881</v>
      </c>
      <c r="Y509" s="648">
        <f t="shared" si="78"/>
        <v>881.76</v>
      </c>
      <c r="Z509" s="36">
        <f t="shared" si="79"/>
        <v>1.99732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939.39962121212113</v>
      </c>
      <c r="BN509" s="64">
        <f t="shared" si="81"/>
        <v>940.20999999999992</v>
      </c>
      <c r="BO509" s="64">
        <f t="shared" si="82"/>
        <v>1.6043851981351982</v>
      </c>
      <c r="BP509" s="64">
        <f t="shared" si="83"/>
        <v>1.6057692307692308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71">
        <v>4680115884502</v>
      </c>
      <c r="E510" s="67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3"/>
      <c r="R510" s="663"/>
      <c r="S510" s="663"/>
      <c r="T510" s="664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71">
        <v>4607091389104</v>
      </c>
      <c r="E511" s="67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3"/>
      <c r="R511" s="663"/>
      <c r="S511" s="663"/>
      <c r="T511" s="664"/>
      <c r="U511" s="34"/>
      <c r="V511" s="34"/>
      <c r="W511" s="35" t="s">
        <v>66</v>
      </c>
      <c r="X511" s="647">
        <v>1813</v>
      </c>
      <c r="Y511" s="648">
        <f t="shared" si="78"/>
        <v>1816.3200000000002</v>
      </c>
      <c r="Z511" s="36">
        <f t="shared" si="79"/>
        <v>4.1142399999999997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1933.1799242424242</v>
      </c>
      <c r="BN511" s="64">
        <f t="shared" si="81"/>
        <v>1936.72</v>
      </c>
      <c r="BO511" s="64">
        <f t="shared" si="82"/>
        <v>3.3016462703962706</v>
      </c>
      <c r="BP511" s="64">
        <f t="shared" si="83"/>
        <v>3.3076923076923079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71">
        <v>4680115886391</v>
      </c>
      <c r="E512" s="67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9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3"/>
      <c r="R512" s="663"/>
      <c r="S512" s="663"/>
      <c r="T512" s="664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71">
        <v>4680115880603</v>
      </c>
      <c r="E513" s="67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3"/>
      <c r="R513" s="663"/>
      <c r="S513" s="663"/>
      <c r="T513" s="664"/>
      <c r="U513" s="34"/>
      <c r="V513" s="34"/>
      <c r="W513" s="35" t="s">
        <v>66</v>
      </c>
      <c r="X513" s="647">
        <v>373</v>
      </c>
      <c r="Y513" s="648">
        <f t="shared" si="78"/>
        <v>374.4</v>
      </c>
      <c r="Z513" s="36">
        <f>IFERROR(IF(Y513=0,"",ROUNDUP(Y513/H513,0)*0.00902),"")</f>
        <v>0.70355999999999996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536.96458333333328</v>
      </c>
      <c r="BN513" s="64">
        <f t="shared" si="81"/>
        <v>538.98</v>
      </c>
      <c r="BO513" s="64">
        <f t="shared" si="82"/>
        <v>0.58869949494949503</v>
      </c>
      <c r="BP513" s="64">
        <f t="shared" si="83"/>
        <v>0.59090909090909094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71">
        <v>4607091389982</v>
      </c>
      <c r="E514" s="67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3"/>
      <c r="R514" s="663"/>
      <c r="S514" s="663"/>
      <c r="T514" s="664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58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3" t="s">
        <v>71</v>
      </c>
      <c r="Q515" s="654"/>
      <c r="R515" s="654"/>
      <c r="S515" s="654"/>
      <c r="T515" s="654"/>
      <c r="U515" s="654"/>
      <c r="V515" s="65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638.50378787878788</v>
      </c>
      <c r="Y515" s="649">
        <f>IFERROR(Y506/H506,"0")+IFERROR(Y507/H507,"0")+IFERROR(Y508/H508,"0")+IFERROR(Y509/H509,"0")+IFERROR(Y510/H510,"0")+IFERROR(Y511/H511,"0")+IFERROR(Y512/H512,"0")+IFERROR(Y513/H513,"0")+IFERROR(Y514/H514,"0")</f>
        <v>640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7.4250799999999995</v>
      </c>
      <c r="AA515" s="650"/>
      <c r="AB515" s="650"/>
      <c r="AC515" s="650"/>
    </row>
    <row r="516" spans="1:68" x14ac:dyDescent="0.2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60"/>
      <c r="P516" s="653" t="s">
        <v>71</v>
      </c>
      <c r="Q516" s="654"/>
      <c r="R516" s="654"/>
      <c r="S516" s="654"/>
      <c r="T516" s="654"/>
      <c r="U516" s="654"/>
      <c r="V516" s="655"/>
      <c r="W516" s="37" t="s">
        <v>66</v>
      </c>
      <c r="X516" s="649">
        <f>IFERROR(SUM(X506:X514),"0")</f>
        <v>3334</v>
      </c>
      <c r="Y516" s="649">
        <f>IFERROR(SUM(Y506:Y514),"0")</f>
        <v>3341.76</v>
      </c>
      <c r="Z516" s="37"/>
      <c r="AA516" s="650"/>
      <c r="AB516" s="650"/>
      <c r="AC516" s="650"/>
    </row>
    <row r="517" spans="1:68" ht="14.25" hidden="1" customHeight="1" x14ac:dyDescent="0.25">
      <c r="A517" s="661" t="s">
        <v>147</v>
      </c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71">
        <v>4607091388930</v>
      </c>
      <c r="E518" s="67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7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3"/>
      <c r="R518" s="663"/>
      <c r="S518" s="663"/>
      <c r="T518" s="664"/>
      <c r="U518" s="34"/>
      <c r="V518" s="34"/>
      <c r="W518" s="35" t="s">
        <v>66</v>
      </c>
      <c r="X518" s="647">
        <v>1752</v>
      </c>
      <c r="Y518" s="648">
        <f>IFERROR(IF(X518="",0,CEILING((X518/$H518),1)*$H518),"")</f>
        <v>1752.96</v>
      </c>
      <c r="Z518" s="36">
        <f>IFERROR(IF(Y518=0,"",ROUNDUP(Y518/H518,0)*0.01196),"")</f>
        <v>3.97072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1868.1363636363635</v>
      </c>
      <c r="BN518" s="64">
        <f>IFERROR(Y518*I518/H518,"0")</f>
        <v>1869.16</v>
      </c>
      <c r="BO518" s="64">
        <f>IFERROR(1/J518*(X518/H518),"0")</f>
        <v>3.1905594405594409</v>
      </c>
      <c r="BP518" s="64">
        <f>IFERROR(1/J518*(Y518/H518),"0")</f>
        <v>3.1923076923076925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71">
        <v>4680115886407</v>
      </c>
      <c r="E519" s="67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3"/>
      <c r="R519" s="663"/>
      <c r="S519" s="663"/>
      <c r="T519" s="664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71">
        <v>4680115880054</v>
      </c>
      <c r="E520" s="67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7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3"/>
      <c r="R520" s="663"/>
      <c r="S520" s="663"/>
      <c r="T520" s="664"/>
      <c r="U520" s="34"/>
      <c r="V520" s="34"/>
      <c r="W520" s="35" t="s">
        <v>66</v>
      </c>
      <c r="X520" s="647">
        <v>373</v>
      </c>
      <c r="Y520" s="648">
        <f>IFERROR(IF(X520="",0,CEILING((X520/$H520),1)*$H520),"")</f>
        <v>374.4</v>
      </c>
      <c r="Z520" s="36">
        <f>IFERROR(IF(Y520=0,"",ROUNDUP(Y520/H520,0)*0.00902),"")</f>
        <v>0.70355999999999996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536.96458333333328</v>
      </c>
      <c r="BN520" s="64">
        <f>IFERROR(Y520*I520/H520,"0")</f>
        <v>538.98</v>
      </c>
      <c r="BO520" s="64">
        <f>IFERROR(1/J520*(X520/H520),"0")</f>
        <v>0.58869949494949503</v>
      </c>
      <c r="BP520" s="64">
        <f>IFERROR(1/J520*(Y520/H520),"0")</f>
        <v>0.59090909090909094</v>
      </c>
    </row>
    <row r="521" spans="1:68" x14ac:dyDescent="0.2">
      <c r="A521" s="658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3" t="s">
        <v>71</v>
      </c>
      <c r="Q521" s="654"/>
      <c r="R521" s="654"/>
      <c r="S521" s="654"/>
      <c r="T521" s="654"/>
      <c r="U521" s="654"/>
      <c r="V521" s="655"/>
      <c r="W521" s="37" t="s">
        <v>72</v>
      </c>
      <c r="X521" s="649">
        <f>IFERROR(X518/H518,"0")+IFERROR(X519/H519,"0")+IFERROR(X520/H520,"0")</f>
        <v>409.52651515151513</v>
      </c>
      <c r="Y521" s="649">
        <f>IFERROR(Y518/H518,"0")+IFERROR(Y519/H519,"0")+IFERROR(Y520/H520,"0")</f>
        <v>410</v>
      </c>
      <c r="Z521" s="649">
        <f>IFERROR(IF(Z518="",0,Z518),"0")+IFERROR(IF(Z519="",0,Z519),"0")+IFERROR(IF(Z520="",0,Z520),"0")</f>
        <v>4.6742799999999995</v>
      </c>
      <c r="AA521" s="650"/>
      <c r="AB521" s="650"/>
      <c r="AC521" s="650"/>
    </row>
    <row r="522" spans="1:68" x14ac:dyDescent="0.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60"/>
      <c r="P522" s="653" t="s">
        <v>71</v>
      </c>
      <c r="Q522" s="654"/>
      <c r="R522" s="654"/>
      <c r="S522" s="654"/>
      <c r="T522" s="654"/>
      <c r="U522" s="654"/>
      <c r="V522" s="655"/>
      <c r="W522" s="37" t="s">
        <v>66</v>
      </c>
      <c r="X522" s="649">
        <f>IFERROR(SUM(X518:X520),"0")</f>
        <v>2125</v>
      </c>
      <c r="Y522" s="649">
        <f>IFERROR(SUM(Y518:Y520),"0")</f>
        <v>2127.36</v>
      </c>
      <c r="Z522" s="37"/>
      <c r="AA522" s="650"/>
      <c r="AB522" s="650"/>
      <c r="AC522" s="650"/>
    </row>
    <row r="523" spans="1:68" ht="14.25" hidden="1" customHeight="1" x14ac:dyDescent="0.25">
      <c r="A523" s="661" t="s">
        <v>61</v>
      </c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71">
        <v>4680115883116</v>
      </c>
      <c r="E524" s="67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3"/>
      <c r="R524" s="663"/>
      <c r="S524" s="663"/>
      <c r="T524" s="664"/>
      <c r="U524" s="34"/>
      <c r="V524" s="34"/>
      <c r="W524" s="35" t="s">
        <v>66</v>
      </c>
      <c r="X524" s="647">
        <v>78</v>
      </c>
      <c r="Y524" s="648">
        <f t="shared" ref="Y524:Y530" si="84">IFERROR(IF(X524="",0,CEILING((X524/$H524),1)*$H524),"")</f>
        <v>79.2</v>
      </c>
      <c r="Z524" s="36">
        <f>IFERROR(IF(Y524=0,"",ROUNDUP(Y524/H524,0)*0.01196),"")</f>
        <v>0.1794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83.170454545454533</v>
      </c>
      <c r="BN524" s="64">
        <f t="shared" ref="BN524:BN530" si="86">IFERROR(Y524*I524/H524,"0")</f>
        <v>84.45</v>
      </c>
      <c r="BO524" s="64">
        <f t="shared" ref="BO524:BO530" si="87">IFERROR(1/J524*(X524/H524),"0")</f>
        <v>0.14204545454545453</v>
      </c>
      <c r="BP524" s="64">
        <f t="shared" ref="BP524:BP530" si="88">IFERROR(1/J524*(Y524/H524),"0")</f>
        <v>0.14423076923076925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71">
        <v>4680115883093</v>
      </c>
      <c r="E525" s="67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3"/>
      <c r="R525" s="663"/>
      <c r="S525" s="663"/>
      <c r="T525" s="664"/>
      <c r="U525" s="34"/>
      <c r="V525" s="34"/>
      <c r="W525" s="35" t="s">
        <v>66</v>
      </c>
      <c r="X525" s="647">
        <v>777</v>
      </c>
      <c r="Y525" s="648">
        <f t="shared" si="84"/>
        <v>781.44</v>
      </c>
      <c r="Z525" s="36">
        <f>IFERROR(IF(Y525=0,"",ROUNDUP(Y525/H525,0)*0.01196),"")</f>
        <v>1.7700800000000001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828.50568181818187</v>
      </c>
      <c r="BN525" s="64">
        <f t="shared" si="86"/>
        <v>833.24</v>
      </c>
      <c r="BO525" s="64">
        <f t="shared" si="87"/>
        <v>1.4149912587412588</v>
      </c>
      <c r="BP525" s="64">
        <f t="shared" si="88"/>
        <v>1.4230769230769231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71">
        <v>4680115883109</v>
      </c>
      <c r="E526" s="67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3"/>
      <c r="R526" s="663"/>
      <c r="S526" s="663"/>
      <c r="T526" s="664"/>
      <c r="U526" s="34"/>
      <c r="V526" s="34"/>
      <c r="W526" s="35" t="s">
        <v>66</v>
      </c>
      <c r="X526" s="647">
        <v>881</v>
      </c>
      <c r="Y526" s="648">
        <f t="shared" si="84"/>
        <v>881.76</v>
      </c>
      <c r="Z526" s="36">
        <f>IFERROR(IF(Y526=0,"",ROUNDUP(Y526/H526,0)*0.01196),"")</f>
        <v>1.99732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939.39962121212113</v>
      </c>
      <c r="BN526" s="64">
        <f t="shared" si="86"/>
        <v>940.20999999999992</v>
      </c>
      <c r="BO526" s="64">
        <f t="shared" si="87"/>
        <v>1.6043851981351982</v>
      </c>
      <c r="BP526" s="64">
        <f t="shared" si="88"/>
        <v>1.6057692307692308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71">
        <v>4680115882072</v>
      </c>
      <c r="E527" s="67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3"/>
      <c r="R527" s="663"/>
      <c r="S527" s="663"/>
      <c r="T527" s="664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71">
        <v>4680115882102</v>
      </c>
      <c r="E528" s="67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3"/>
      <c r="R528" s="663"/>
      <c r="S528" s="663"/>
      <c r="T528" s="664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71">
        <v>4680115882102</v>
      </c>
      <c r="E529" s="67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3"/>
      <c r="R529" s="663"/>
      <c r="S529" s="663"/>
      <c r="T529" s="664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71">
        <v>4680115882096</v>
      </c>
      <c r="E530" s="67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9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3"/>
      <c r="R530" s="663"/>
      <c r="S530" s="663"/>
      <c r="T530" s="664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58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3" t="s">
        <v>71</v>
      </c>
      <c r="Q531" s="654"/>
      <c r="R531" s="654"/>
      <c r="S531" s="654"/>
      <c r="T531" s="654"/>
      <c r="U531" s="654"/>
      <c r="V531" s="65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328.78787878787875</v>
      </c>
      <c r="Y531" s="649">
        <f>IFERROR(Y524/H524,"0")+IFERROR(Y525/H525,"0")+IFERROR(Y526/H526,"0")+IFERROR(Y527/H527,"0")+IFERROR(Y528/H528,"0")+IFERROR(Y529/H529,"0")+IFERROR(Y530/H530,"0")</f>
        <v>330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3.9468000000000001</v>
      </c>
      <c r="AA531" s="650"/>
      <c r="AB531" s="650"/>
      <c r="AC531" s="650"/>
    </row>
    <row r="532" spans="1:68" x14ac:dyDescent="0.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60"/>
      <c r="P532" s="653" t="s">
        <v>71</v>
      </c>
      <c r="Q532" s="654"/>
      <c r="R532" s="654"/>
      <c r="S532" s="654"/>
      <c r="T532" s="654"/>
      <c r="U532" s="654"/>
      <c r="V532" s="655"/>
      <c r="W532" s="37" t="s">
        <v>66</v>
      </c>
      <c r="X532" s="649">
        <f>IFERROR(SUM(X524:X530),"0")</f>
        <v>1736</v>
      </c>
      <c r="Y532" s="649">
        <f>IFERROR(SUM(Y524:Y530),"0")</f>
        <v>1742.4</v>
      </c>
      <c r="Z532" s="37"/>
      <c r="AA532" s="650"/>
      <c r="AB532" s="650"/>
      <c r="AC532" s="650"/>
    </row>
    <row r="533" spans="1:68" ht="27.75" hidden="1" customHeight="1" x14ac:dyDescent="0.2">
      <c r="A533" s="651" t="s">
        <v>844</v>
      </c>
      <c r="B533" s="652"/>
      <c r="C533" s="652"/>
      <c r="D533" s="652"/>
      <c r="E533" s="652"/>
      <c r="F533" s="652"/>
      <c r="G533" s="652"/>
      <c r="H533" s="652"/>
      <c r="I533" s="652"/>
      <c r="J533" s="652"/>
      <c r="K533" s="652"/>
      <c r="L533" s="652"/>
      <c r="M533" s="652"/>
      <c r="N533" s="652"/>
      <c r="O533" s="652"/>
      <c r="P533" s="652"/>
      <c r="Q533" s="652"/>
      <c r="R533" s="652"/>
      <c r="S533" s="652"/>
      <c r="T533" s="652"/>
      <c r="U533" s="652"/>
      <c r="V533" s="652"/>
      <c r="W533" s="652"/>
      <c r="X533" s="652"/>
      <c r="Y533" s="652"/>
      <c r="Z533" s="652"/>
      <c r="AA533" s="48"/>
      <c r="AB533" s="48"/>
      <c r="AC533" s="48"/>
    </row>
    <row r="534" spans="1:68" ht="16.5" hidden="1" customHeight="1" x14ac:dyDescent="0.25">
      <c r="A534" s="668" t="s">
        <v>844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42"/>
      <c r="AB534" s="642"/>
      <c r="AC534" s="642"/>
    </row>
    <row r="535" spans="1:68" ht="14.25" hidden="1" customHeight="1" x14ac:dyDescent="0.25">
      <c r="A535" s="661" t="s">
        <v>110</v>
      </c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71">
        <v>4640242180564</v>
      </c>
      <c r="E536" s="67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63"/>
      <c r="R536" s="663"/>
      <c r="S536" s="663"/>
      <c r="T536" s="664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8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3" t="s">
        <v>71</v>
      </c>
      <c r="Q537" s="654"/>
      <c r="R537" s="654"/>
      <c r="S537" s="654"/>
      <c r="T537" s="654"/>
      <c r="U537" s="654"/>
      <c r="V537" s="65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60"/>
      <c r="P538" s="653" t="s">
        <v>71</v>
      </c>
      <c r="Q538" s="654"/>
      <c r="R538" s="654"/>
      <c r="S538" s="654"/>
      <c r="T538" s="654"/>
      <c r="U538" s="654"/>
      <c r="V538" s="65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61" t="s">
        <v>147</v>
      </c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71">
        <v>4680115889781</v>
      </c>
      <c r="E540" s="67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3"/>
      <c r="R540" s="663"/>
      <c r="S540" s="663"/>
      <c r="T540" s="664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8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3" t="s">
        <v>71</v>
      </c>
      <c r="Q541" s="654"/>
      <c r="R541" s="654"/>
      <c r="S541" s="654"/>
      <c r="T541" s="654"/>
      <c r="U541" s="654"/>
      <c r="V541" s="65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60"/>
      <c r="P542" s="653" t="s">
        <v>71</v>
      </c>
      <c r="Q542" s="654"/>
      <c r="R542" s="654"/>
      <c r="S542" s="654"/>
      <c r="T542" s="654"/>
      <c r="U542" s="654"/>
      <c r="V542" s="65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61" t="s">
        <v>61</v>
      </c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71">
        <v>4640242180595</v>
      </c>
      <c r="E544" s="67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3"/>
      <c r="R544" s="663"/>
      <c r="S544" s="663"/>
      <c r="T544" s="664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8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3" t="s">
        <v>71</v>
      </c>
      <c r="Q545" s="654"/>
      <c r="R545" s="654"/>
      <c r="S545" s="654"/>
      <c r="T545" s="654"/>
      <c r="U545" s="654"/>
      <c r="V545" s="65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60"/>
      <c r="P546" s="653" t="s">
        <v>71</v>
      </c>
      <c r="Q546" s="654"/>
      <c r="R546" s="654"/>
      <c r="S546" s="654"/>
      <c r="T546" s="654"/>
      <c r="U546" s="654"/>
      <c r="V546" s="65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61" t="s">
        <v>73</v>
      </c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71">
        <v>4680115889811</v>
      </c>
      <c r="E548" s="67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82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3"/>
      <c r="R548" s="663"/>
      <c r="S548" s="663"/>
      <c r="T548" s="664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8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3" t="s">
        <v>71</v>
      </c>
      <c r="Q549" s="654"/>
      <c r="R549" s="654"/>
      <c r="S549" s="654"/>
      <c r="T549" s="654"/>
      <c r="U549" s="654"/>
      <c r="V549" s="65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3" t="s">
        <v>71</v>
      </c>
      <c r="Q550" s="654"/>
      <c r="R550" s="654"/>
      <c r="S550" s="654"/>
      <c r="T550" s="654"/>
      <c r="U550" s="654"/>
      <c r="V550" s="65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61" t="s">
        <v>166</v>
      </c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71">
        <v>4680115889804</v>
      </c>
      <c r="E552" s="67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3"/>
      <c r="R552" s="663"/>
      <c r="S552" s="663"/>
      <c r="T552" s="664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71">
        <v>4680115889828</v>
      </c>
      <c r="E553" s="67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3"/>
      <c r="R553" s="663"/>
      <c r="S553" s="663"/>
      <c r="T553" s="664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8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3" t="s">
        <v>71</v>
      </c>
      <c r="Q554" s="654"/>
      <c r="R554" s="654"/>
      <c r="S554" s="654"/>
      <c r="T554" s="654"/>
      <c r="U554" s="654"/>
      <c r="V554" s="65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3" t="s">
        <v>71</v>
      </c>
      <c r="Q555" s="654"/>
      <c r="R555" s="654"/>
      <c r="S555" s="654"/>
      <c r="T555" s="654"/>
      <c r="U555" s="654"/>
      <c r="V555" s="65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68" t="s">
        <v>862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42"/>
      <c r="AB556" s="642"/>
      <c r="AC556" s="642"/>
    </row>
    <row r="557" spans="1:68" ht="14.25" hidden="1" customHeight="1" x14ac:dyDescent="0.25">
      <c r="A557" s="661" t="s">
        <v>147</v>
      </c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71">
        <v>4680115889798</v>
      </c>
      <c r="E558" s="67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3"/>
      <c r="R558" s="663"/>
      <c r="S558" s="663"/>
      <c r="T558" s="664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58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0"/>
      <c r="P559" s="653" t="s">
        <v>71</v>
      </c>
      <c r="Q559" s="654"/>
      <c r="R559" s="654"/>
      <c r="S559" s="654"/>
      <c r="T559" s="654"/>
      <c r="U559" s="654"/>
      <c r="V559" s="65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0"/>
      <c r="P560" s="653" t="s">
        <v>71</v>
      </c>
      <c r="Q560" s="654"/>
      <c r="R560" s="654"/>
      <c r="S560" s="654"/>
      <c r="T560" s="654"/>
      <c r="U560" s="654"/>
      <c r="V560" s="65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1026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811"/>
      <c r="P561" s="705" t="s">
        <v>866</v>
      </c>
      <c r="Q561" s="706"/>
      <c r="R561" s="706"/>
      <c r="S561" s="706"/>
      <c r="T561" s="706"/>
      <c r="U561" s="706"/>
      <c r="V561" s="707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15405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15542.44</v>
      </c>
      <c r="Z561" s="37"/>
      <c r="AA561" s="650"/>
      <c r="AB561" s="650"/>
      <c r="AC561" s="650"/>
    </row>
    <row r="562" spans="1:32" x14ac:dyDescent="0.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811"/>
      <c r="P562" s="705" t="s">
        <v>867</v>
      </c>
      <c r="Q562" s="706"/>
      <c r="R562" s="706"/>
      <c r="S562" s="706"/>
      <c r="T562" s="706"/>
      <c r="U562" s="706"/>
      <c r="V562" s="707"/>
      <c r="W562" s="37" t="s">
        <v>66</v>
      </c>
      <c r="X562" s="649">
        <f>IFERROR(SUM(BM22:BM558),"0")</f>
        <v>16539.583124930625</v>
      </c>
      <c r="Y562" s="649">
        <f>IFERROR(SUM(BN22:BN558),"0")</f>
        <v>16684.919999999998</v>
      </c>
      <c r="Z562" s="37"/>
      <c r="AA562" s="650"/>
      <c r="AB562" s="650"/>
      <c r="AC562" s="650"/>
    </row>
    <row r="563" spans="1:32" x14ac:dyDescent="0.2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811"/>
      <c r="P563" s="705" t="s">
        <v>868</v>
      </c>
      <c r="Q563" s="706"/>
      <c r="R563" s="706"/>
      <c r="S563" s="706"/>
      <c r="T563" s="706"/>
      <c r="U563" s="706"/>
      <c r="V563" s="707"/>
      <c r="W563" s="37" t="s">
        <v>869</v>
      </c>
      <c r="X563" s="38">
        <f>ROUNDUP(SUM(BO22:BO558),0)</f>
        <v>27</v>
      </c>
      <c r="Y563" s="38">
        <f>ROUNDUP(SUM(BP22:BP558),0)</f>
        <v>27</v>
      </c>
      <c r="Z563" s="37"/>
      <c r="AA563" s="650"/>
      <c r="AB563" s="650"/>
      <c r="AC563" s="650"/>
    </row>
    <row r="564" spans="1:32" x14ac:dyDescent="0.2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811"/>
      <c r="P564" s="705" t="s">
        <v>870</v>
      </c>
      <c r="Q564" s="706"/>
      <c r="R564" s="706"/>
      <c r="S564" s="706"/>
      <c r="T564" s="706"/>
      <c r="U564" s="706"/>
      <c r="V564" s="707"/>
      <c r="W564" s="37" t="s">
        <v>66</v>
      </c>
      <c r="X564" s="649">
        <f>GrossWeightTotal+PalletQtyTotal*25</f>
        <v>17214.583124930625</v>
      </c>
      <c r="Y564" s="649">
        <f>GrossWeightTotalR+PalletQtyTotalR*25</f>
        <v>17359.919999999998</v>
      </c>
      <c r="Z564" s="37"/>
      <c r="AA564" s="650"/>
      <c r="AB564" s="650"/>
      <c r="AC564" s="650"/>
    </row>
    <row r="565" spans="1:32" x14ac:dyDescent="0.2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811"/>
      <c r="P565" s="705" t="s">
        <v>871</v>
      </c>
      <c r="Q565" s="706"/>
      <c r="R565" s="706"/>
      <c r="S565" s="706"/>
      <c r="T565" s="706"/>
      <c r="U565" s="706"/>
      <c r="V565" s="707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2448.341401191401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2470</v>
      </c>
      <c r="Z565" s="37"/>
      <c r="AA565" s="650"/>
      <c r="AB565" s="650"/>
      <c r="AC565" s="650"/>
    </row>
    <row r="566" spans="1:32" ht="14.25" hidden="1" customHeight="1" x14ac:dyDescent="0.2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811"/>
      <c r="P566" s="705" t="s">
        <v>872</v>
      </c>
      <c r="Q566" s="706"/>
      <c r="R566" s="706"/>
      <c r="S566" s="706"/>
      <c r="T566" s="706"/>
      <c r="U566" s="706"/>
      <c r="V566" s="707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31.99184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92" t="s">
        <v>108</v>
      </c>
      <c r="E568" s="717"/>
      <c r="F568" s="717"/>
      <c r="G568" s="717"/>
      <c r="H568" s="717"/>
      <c r="I568" s="717"/>
      <c r="J568" s="693"/>
      <c r="K568" s="692" t="s">
        <v>340</v>
      </c>
      <c r="L568" s="717"/>
      <c r="M568" s="717"/>
      <c r="N568" s="717"/>
      <c r="O568" s="717"/>
      <c r="P568" s="717"/>
      <c r="Q568" s="717"/>
      <c r="R568" s="717"/>
      <c r="S568" s="717"/>
      <c r="T568" s="717"/>
      <c r="U568" s="717"/>
      <c r="V568" s="693"/>
      <c r="W568" s="692" t="s">
        <v>695</v>
      </c>
      <c r="X568" s="693"/>
      <c r="Y568" s="692" t="s">
        <v>761</v>
      </c>
      <c r="Z568" s="693"/>
      <c r="AA568" s="644" t="s">
        <v>797</v>
      </c>
      <c r="AB568" s="692" t="s">
        <v>844</v>
      </c>
      <c r="AC568" s="693"/>
      <c r="AF568" s="645"/>
    </row>
    <row r="569" spans="1:32" ht="14.25" customHeight="1" thickTop="1" x14ac:dyDescent="0.2">
      <c r="A569" s="713" t="s">
        <v>875</v>
      </c>
      <c r="B569" s="692" t="s">
        <v>60</v>
      </c>
      <c r="C569" s="692" t="s">
        <v>92</v>
      </c>
      <c r="D569" s="692" t="s">
        <v>109</v>
      </c>
      <c r="E569" s="692" t="s">
        <v>125</v>
      </c>
      <c r="F569" s="692" t="s">
        <v>174</v>
      </c>
      <c r="G569" s="692" t="s">
        <v>197</v>
      </c>
      <c r="H569" s="692" t="s">
        <v>243</v>
      </c>
      <c r="I569" s="692" t="s">
        <v>256</v>
      </c>
      <c r="J569" s="692" t="s">
        <v>108</v>
      </c>
      <c r="K569" s="692" t="s">
        <v>341</v>
      </c>
      <c r="L569" s="692" t="s">
        <v>362</v>
      </c>
      <c r="M569" s="692" t="s">
        <v>436</v>
      </c>
      <c r="N569" s="645"/>
      <c r="O569" s="692" t="s">
        <v>504</v>
      </c>
      <c r="P569" s="692" t="s">
        <v>533</v>
      </c>
      <c r="Q569" s="692" t="s">
        <v>553</v>
      </c>
      <c r="R569" s="692" t="s">
        <v>562</v>
      </c>
      <c r="S569" s="692" t="s">
        <v>583</v>
      </c>
      <c r="T569" s="692" t="s">
        <v>592</v>
      </c>
      <c r="U569" s="692" t="s">
        <v>678</v>
      </c>
      <c r="V569" s="692" t="s">
        <v>685</v>
      </c>
      <c r="W569" s="692" t="s">
        <v>696</v>
      </c>
      <c r="X569" s="692" t="s">
        <v>745</v>
      </c>
      <c r="Y569" s="692" t="s">
        <v>762</v>
      </c>
      <c r="Z569" s="692" t="s">
        <v>785</v>
      </c>
      <c r="AA569" s="692" t="s">
        <v>797</v>
      </c>
      <c r="AB569" s="692" t="s">
        <v>844</v>
      </c>
      <c r="AC569" s="692" t="s">
        <v>862</v>
      </c>
      <c r="AF569" s="645"/>
    </row>
    <row r="570" spans="1:32" ht="13.5" customHeight="1" thickBot="1" x14ac:dyDescent="0.25">
      <c r="A570" s="714"/>
      <c r="B570" s="715"/>
      <c r="C570" s="715"/>
      <c r="D570" s="715"/>
      <c r="E570" s="715"/>
      <c r="F570" s="715"/>
      <c r="G570" s="715"/>
      <c r="H570" s="715"/>
      <c r="I570" s="715"/>
      <c r="J570" s="715"/>
      <c r="K570" s="715"/>
      <c r="L570" s="715"/>
      <c r="M570" s="715"/>
      <c r="N570" s="645"/>
      <c r="O570" s="715"/>
      <c r="P570" s="715"/>
      <c r="Q570" s="715"/>
      <c r="R570" s="715"/>
      <c r="S570" s="715"/>
      <c r="T570" s="715"/>
      <c r="U570" s="715"/>
      <c r="V570" s="715"/>
      <c r="W570" s="715"/>
      <c r="X570" s="715"/>
      <c r="Y570" s="715"/>
      <c r="Z570" s="715"/>
      <c r="AA570" s="715"/>
      <c r="AB570" s="715"/>
      <c r="AC570" s="715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734.40000000000009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522</v>
      </c>
      <c r="F571" s="46">
        <f>IFERROR(Y87*1,"0")+IFERROR(Y88*1,"0")+IFERROR(Y89*1,"0")+IFERROR(Y90*1,"0")+IFERROR(Y91*1,"0")+IFERROR(Y95*1,"0")+IFERROR(Y96*1,"0")+IFERROR(Y97*1,"0")+IFERROR(Y98*1,"0")</f>
        <v>367.20000000000005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974.69999999999993</v>
      </c>
      <c r="H571" s="46">
        <f>IFERROR(Y135*1,"0")+IFERROR(Y136*1,"0")+IFERROR(Y140*1,"0")+IFERROR(Y141*1,"0")+IFERROR(Y145*1,"0")+IFERROR(Y146*1,"0")</f>
        <v>0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387.52000000000004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128.1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770.4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0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122.4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265.2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343.2</v>
      </c>
      <c r="U571" s="46">
        <f>IFERROR(Y419*1,"0")+IFERROR(Y420*1,"0")</f>
        <v>0</v>
      </c>
      <c r="V571" s="46">
        <f>IFERROR(Y425*1,"0")+IFERROR(Y426*1,"0")+IFERROR(Y427*1,"0")</f>
        <v>0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2880</v>
      </c>
      <c r="X571" s="46">
        <f>IFERROR(Y462*1,"0")+IFERROR(Y463*1,"0")+IFERROR(Y467*1,"0")+IFERROR(Y471*1,"0")+IFERROR(Y472*1,"0")+IFERROR(Y473*1,"0")</f>
        <v>835.8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7211.52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736,00"/>
        <filter val="1 752,00"/>
        <filter val="1 813,00"/>
        <filter val="10,56"/>
        <filter val="102,35"/>
        <filter val="104,00"/>
        <filter val="108,00"/>
        <filter val="114,00"/>
        <filter val="12,04"/>
        <filter val="120,00"/>
        <filter val="126,00"/>
        <filter val="130,00"/>
        <filter val="135,00"/>
        <filter val="15 405,00"/>
        <filter val="150,02"/>
        <filter val="153,76"/>
        <filter val="155,00"/>
        <filter val="16 539,58"/>
        <filter val="16,00"/>
        <filter val="17 214,58"/>
        <filter val="174,40"/>
        <filter val="2 125,00"/>
        <filter val="2 448,34"/>
        <filter val="2 616,00"/>
        <filter val="207,00"/>
        <filter val="22,00"/>
        <filter val="223,00"/>
        <filter val="240,00"/>
        <filter val="259,00"/>
        <filter val="267,00"/>
        <filter val="27"/>
        <filter val="3 334,00"/>
        <filter val="32,00"/>
        <filter val="328,79"/>
        <filter val="33,21"/>
        <filter val="33,61"/>
        <filter val="337,00"/>
        <filter val="35,24"/>
        <filter val="363,00"/>
        <filter val="37,00"/>
        <filter val="373,00"/>
        <filter val="380,00"/>
        <filter val="389,00"/>
        <filter val="395,00"/>
        <filter val="40,72"/>
        <filter val="409,53"/>
        <filter val="41,30"/>
        <filter val="43,21"/>
        <filter val="44,00"/>
        <filter val="50,00"/>
        <filter val="52,00"/>
        <filter val="524,00"/>
        <filter val="58,00"/>
        <filter val="638,50"/>
        <filter val="67,13"/>
        <filter val="725,00"/>
        <filter val="777,00"/>
        <filter val="78,00"/>
        <filter val="829,00"/>
        <filter val="83,00"/>
        <filter val="881,00"/>
        <filter val="93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A561:O566"/>
    <mergeCell ref="D226:E226"/>
    <mergeCell ref="P183:T183"/>
    <mergeCell ref="D462:E462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P420:T420"/>
    <mergeCell ref="P78:V78"/>
    <mergeCell ref="D528:E528"/>
    <mergeCell ref="P363:V363"/>
    <mergeCell ref="D310:E310"/>
    <mergeCell ref="A533:Z533"/>
    <mergeCell ref="D177:E177"/>
    <mergeCell ref="P281:V281"/>
    <mergeCell ref="P354:T354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D243:E243"/>
    <mergeCell ref="X569:X570"/>
    <mergeCell ref="Y17:Y18"/>
    <mergeCell ref="D57:E57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A267:Z267"/>
    <mergeCell ref="P243:T243"/>
    <mergeCell ref="P436:T436"/>
    <mergeCell ref="V569:V570"/>
    <mergeCell ref="P349:T349"/>
    <mergeCell ref="W569:W570"/>
    <mergeCell ref="A206:Z206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D165:E165"/>
    <mergeCell ref="P75:T75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P189:V18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P124:T124"/>
    <mergeCell ref="D293:E293"/>
    <mergeCell ref="P360:T360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D399:E399"/>
    <mergeCell ref="D480:E480"/>
    <mergeCell ref="A198:O199"/>
    <mergeCell ref="A322:Z322"/>
    <mergeCell ref="P297:V297"/>
    <mergeCell ref="D328:E328"/>
    <mergeCell ref="P285:T285"/>
    <mergeCell ref="P2:W3"/>
    <mergeCell ref="D437:E437"/>
    <mergeCell ref="P369:T369"/>
    <mergeCell ref="Q5:R5"/>
    <mergeCell ref="Q6:R6"/>
    <mergeCell ref="A8:C8"/>
    <mergeCell ref="D268:E268"/>
    <mergeCell ref="P151:T151"/>
    <mergeCell ref="A137:O138"/>
    <mergeCell ref="D395:E395"/>
    <mergeCell ref="P138:V138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399:T399"/>
    <mergeCell ref="P333:T333"/>
    <mergeCell ref="P526:T526"/>
    <mergeCell ref="A417:Z417"/>
    <mergeCell ref="P73:V73"/>
    <mergeCell ref="A196:Z196"/>
    <mergeCell ref="P115:T115"/>
    <mergeCell ref="D254:E254"/>
    <mergeCell ref="P302:V30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P247:T247"/>
    <mergeCell ref="P241:T241"/>
    <mergeCell ref="P483:T483"/>
    <mergeCell ref="D155:E155"/>
    <mergeCell ref="P41:T41"/>
    <mergeCell ref="D22:E22"/>
    <mergeCell ref="P49:T49"/>
    <mergeCell ref="P278:T278"/>
    <mergeCell ref="P107:T107"/>
    <mergeCell ref="D386:E386"/>
    <mergeCell ref="A255:O256"/>
    <mergeCell ref="D513:E513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D75:E75"/>
    <mergeCell ref="A94:Z94"/>
    <mergeCell ref="D87:E87"/>
    <mergeCell ref="D227:E227"/>
    <mergeCell ref="P250:V250"/>
    <mergeCell ref="P194:V194"/>
    <mergeCell ref="D61:E61"/>
    <mergeCell ref="P62:T62"/>
    <mergeCell ref="A314:Z314"/>
    <mergeCell ref="A114:Z114"/>
    <mergeCell ref="P295:T295"/>
    <mergeCell ref="P178:T178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A13:M13"/>
    <mergeCell ref="G17:G18"/>
    <mergeCell ref="P121:V121"/>
    <mergeCell ref="D80:E80"/>
    <mergeCell ref="P42:V42"/>
    <mergeCell ref="A505:Z505"/>
    <mergeCell ref="A461:Z461"/>
    <mergeCell ref="D288:E288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P89:T89"/>
    <mergeCell ref="A19:Z19"/>
    <mergeCell ref="D280:E280"/>
    <mergeCell ref="D109:E109"/>
    <mergeCell ref="P199:V199"/>
    <mergeCell ref="A251:Z251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D438:E438"/>
    <mergeCell ref="D509:E509"/>
    <mergeCell ref="D425:E425"/>
    <mergeCell ref="P383:V383"/>
    <mergeCell ref="D371:E371"/>
    <mergeCell ref="A493:Z493"/>
    <mergeCell ref="P84:V84"/>
    <mergeCell ref="P320:V320"/>
    <mergeCell ref="A66:Z66"/>
    <mergeCell ref="D181:E181"/>
    <mergeCell ref="P91:T91"/>
    <mergeCell ref="P404:V404"/>
    <mergeCell ref="D273:E273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P310:T310"/>
    <mergeCell ref="D182:E182"/>
    <mergeCell ref="P558:T558"/>
    <mergeCell ref="P309:T3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AA569:AA570"/>
    <mergeCell ref="P524:T524"/>
    <mergeCell ref="P353:T353"/>
    <mergeCell ref="D230:E230"/>
    <mergeCell ref="D168:E168"/>
    <mergeCell ref="D180:E180"/>
    <mergeCell ref="A559:O560"/>
    <mergeCell ref="P127:V127"/>
    <mergeCell ref="P491:V491"/>
    <mergeCell ref="P198:V198"/>
    <mergeCell ref="S569:S570"/>
    <mergeCell ref="U569:U570"/>
    <mergeCell ref="P414:T414"/>
    <mergeCell ref="P548:T548"/>
    <mergeCell ref="P203:V203"/>
    <mergeCell ref="A326:Z326"/>
    <mergeCell ref="P301:V301"/>
    <mergeCell ref="Z569:Z570"/>
    <mergeCell ref="P447:V447"/>
    <mergeCell ref="P549:V549"/>
    <mergeCell ref="P531:V531"/>
    <mergeCell ref="P554:V554"/>
    <mergeCell ref="P560:V560"/>
    <mergeCell ref="P156:T156"/>
    <mergeCell ref="A541:O542"/>
    <mergeCell ref="P148:V148"/>
    <mergeCell ref="P569:P570"/>
    <mergeCell ref="H569:H570"/>
    <mergeCell ref="D525:E525"/>
    <mergeCell ref="A554:O555"/>
    <mergeCell ref="M569:M570"/>
    <mergeCell ref="A551:Z551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P119:T119"/>
    <mergeCell ref="P246:T246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541:V541"/>
    <mergeCell ref="D520:E520"/>
    <mergeCell ref="A503:Z503"/>
    <mergeCell ref="T569:T570"/>
    <mergeCell ref="D236:E236"/>
    <mergeCell ref="A301:O302"/>
    <mergeCell ref="I569:I570"/>
    <mergeCell ref="P564:V564"/>
    <mergeCell ref="A424:Z424"/>
    <mergeCell ref="P355:V355"/>
    <mergeCell ref="P438:T438"/>
    <mergeCell ref="D444:E444"/>
    <mergeCell ref="D419:E419"/>
    <mergeCell ref="D248:E248"/>
    <mergeCell ref="D275:E275"/>
    <mergeCell ref="P425:T425"/>
    <mergeCell ref="A549:O550"/>
    <mergeCell ref="D340:E340"/>
    <mergeCell ref="D185:E185"/>
    <mergeCell ref="D277:E277"/>
    <mergeCell ref="D544:E544"/>
    <mergeCell ref="P536:T536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498:T498"/>
    <mergeCell ref="D235:E235"/>
    <mergeCell ref="A239:Z239"/>
    <mergeCell ref="P270:V270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D284:E284"/>
    <mergeCell ref="A74:Z74"/>
    <mergeCell ref="A237:O238"/>
    <mergeCell ref="A163:Z163"/>
    <mergeCell ref="D28:E28"/>
    <mergeCell ref="A101:Z101"/>
    <mergeCell ref="P184:T184"/>
    <mergeCell ref="A174:O175"/>
    <mergeCell ref="P112:V11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97:T97"/>
    <mergeCell ref="A102:Z102"/>
    <mergeCell ref="P284:T284"/>
    <mergeCell ref="A344:Z344"/>
    <mergeCell ref="D287:E287"/>
    <mergeCell ref="A458:O459"/>
    <mergeCell ref="P145:T145"/>
    <mergeCell ref="P113:V113"/>
    <mergeCell ref="D126:E126"/>
    <mergeCell ref="D197:E197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D117:E117"/>
    <mergeCell ref="D55:E55"/>
    <mergeCell ref="P413:T413"/>
    <mergeCell ref="P242:T242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D104:E104"/>
    <mergeCell ref="A79:Z79"/>
    <mergeCell ref="P83:V83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475:V475"/>
    <mergeCell ref="D527:E527"/>
    <mergeCell ref="P93:V93"/>
    <mergeCell ref="A396:O397"/>
    <mergeCell ref="P335:V335"/>
    <mergeCell ref="A216:Z216"/>
    <mergeCell ref="D558:E558"/>
    <mergeCell ref="P473:T473"/>
    <mergeCell ref="P329:T329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  <mergeCell ref="W17:W18"/>
    <mergeCell ref="P33:V33"/>
    <mergeCell ref="P31:T31"/>
    <mergeCell ref="P396:V396"/>
    <mergeCell ref="A392:Z392"/>
    <mergeCell ref="D69:E69"/>
    <mergeCell ref="P175:V175"/>
    <mergeCell ref="D498:E498"/>
    <mergeCell ref="P240:T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