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26E39F4-564A-44E1-9304-2B2788DE9D51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заказа'!$A$18:$AF$567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заказа'!$X$563:$X$563</definedName>
    <definedName name="GrossWeightTotalR">'Бланк заказа'!$Y$563:$Y$563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заказа'!$X$564:$X$564</definedName>
    <definedName name="PalletQtyTotalR">'Бланк заказа'!$Y$564:$Y$564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заказа'!$B$41:$B$41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заказа'!$B$251:$B$251</definedName>
    <definedName name="ProductId124">'Бланк заказа'!$B$255:$B$255</definedName>
    <definedName name="ProductId125">'Бланк заказа'!$B$256:$B$256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заказа'!$B$286:$B$286</definedName>
    <definedName name="ProductId147">'Бланк заказа'!$B$287:$B$287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заказа'!$B$298:$B$298</definedName>
    <definedName name="ProductId155">'Бланк заказа'!$B$302:$B$302</definedName>
    <definedName name="ProductId156">'Бланк заказа'!$B$306:$B$306</definedName>
    <definedName name="ProductId157">'Бланк заказа'!$B$310:$B$310</definedName>
    <definedName name="ProductId158">'Бланк заказа'!$B$311:$B$311</definedName>
    <definedName name="ProductId159">'Бланк заказа'!$B$312:$B$312</definedName>
    <definedName name="ProductId16">'Бланк заказа'!$B$50:$B$50</definedName>
    <definedName name="ProductId160">'Бланк заказа'!$B$313:$B$313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заказа'!$B$321:$B$321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заказа'!$B$330:$B$330</definedName>
    <definedName name="ProductId17">'Бланк заказа'!$B$55:$B$55</definedName>
    <definedName name="ProductId170">'Бланк заказа'!$B$331:$B$331</definedName>
    <definedName name="ProductId171">'Бланк заказа'!$B$332:$B$332</definedName>
    <definedName name="ProductId172">'Бланк заказа'!$B$337:$B$337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заказа'!$B$351:$B$351</definedName>
    <definedName name="ProductId18">'Бланк заказа'!$B$56:$B$56</definedName>
    <definedName name="ProductId180">'Бланк заказа'!$B$355:$B$355</definedName>
    <definedName name="ProductId181">'Бланк заказа'!$B$360:$B$360</definedName>
    <definedName name="ProductId182">'Бланк заказа'!$B$361:$B$361</definedName>
    <definedName name="ProductId183">'Бланк заказа'!$B$362:$B$362</definedName>
    <definedName name="ProductId184">'Бланк заказа'!$B$367:$B$367</definedName>
    <definedName name="ProductId185">'Бланк заказа'!$B$368:$B$368</definedName>
    <definedName name="ProductId186">'Бланк заказа'!$B$369:$B$369</definedName>
    <definedName name="ProductId187">'Бланк заказа'!$B$370:$B$370</definedName>
    <definedName name="ProductId188">'Бланк заказа'!$B$371:$B$371</definedName>
    <definedName name="ProductId189">'Бланк заказа'!$B$372:$B$372</definedName>
    <definedName name="ProductId19">'Бланк заказа'!$B$57:$B$57</definedName>
    <definedName name="ProductId190">'Бланк заказа'!$B$373:$B$373</definedName>
    <definedName name="ProductId191">'Бланк заказа'!$B$377:$B$377</definedName>
    <definedName name="ProductId192">'Бланк заказа'!$B$378:$B$378</definedName>
    <definedName name="ProductId193">'Бланк заказа'!$B$379:$B$379</definedName>
    <definedName name="ProductId194">'Бланк заказа'!$B$380:$B$380</definedName>
    <definedName name="ProductId195">'Бланк заказа'!$B$381:$B$381</definedName>
    <definedName name="ProductId196">'Бланк заказа'!$B$382:$B$382</definedName>
    <definedName name="ProductId197">'Бланк заказа'!$B$383:$B$383</definedName>
    <definedName name="ProductId198">'Бланк заказа'!$B$387:$B$387</definedName>
    <definedName name="ProductId199">'Бланк заказа'!$B$388:$B$388</definedName>
    <definedName name="ProductId2">'Бланк заказа'!$B$23:$B$23</definedName>
    <definedName name="ProductId20">'Бланк заказа'!$B$58:$B$58</definedName>
    <definedName name="ProductId200">'Бланк заказа'!$B$389:$B$389</definedName>
    <definedName name="ProductId201">'Бланк заказа'!$B$390:$B$390</definedName>
    <definedName name="ProductId202">'Бланк заказа'!$B$394:$B$394</definedName>
    <definedName name="ProductId203">'Бланк заказа'!$B$395:$B$395</definedName>
    <definedName name="ProductId204">'Бланк заказа'!$B$396:$B$396</definedName>
    <definedName name="ProductId205">'Бланк заказа'!$B$400:$B$400</definedName>
    <definedName name="ProductId206">'Бланк заказа'!$B$401:$B$401</definedName>
    <definedName name="ProductId207">'Бланк заказа'!$B$402:$B$402</definedName>
    <definedName name="ProductId208">'Бланк заказа'!$B$403:$B$403</definedName>
    <definedName name="ProductId209">'Бланк заказа'!$B$407:$B$407</definedName>
    <definedName name="ProductId21">'Бланк заказа'!$B$59:$B$59</definedName>
    <definedName name="ProductId210">'Бланк заказа'!$B$408:$B$408</definedName>
    <definedName name="ProductId211">'Бланк заказа'!$B$409:$B$409</definedName>
    <definedName name="ProductId212">'Бланк заказа'!$B$413:$B$413</definedName>
    <definedName name="ProductId213">'Бланк заказа'!$B$414:$B$414</definedName>
    <definedName name="ProductId214">'Бланк заказа'!$B$415:$B$415</definedName>
    <definedName name="ProductId215">'Бланк заказа'!$B$420:$B$420</definedName>
    <definedName name="ProductId216">'Бланк заказа'!$B$421:$B$421</definedName>
    <definedName name="ProductId217">'Бланк заказа'!$B$422:$B$422</definedName>
    <definedName name="ProductId218">'Бланк заказа'!$B$423:$B$423</definedName>
    <definedName name="ProductId219">'Бланк заказа'!$B$428:$B$428</definedName>
    <definedName name="ProductId22">'Бланк заказа'!$B$60:$B$60</definedName>
    <definedName name="ProductId220">'Бланк заказа'!$B$429:$B$429</definedName>
    <definedName name="ProductId221">'Бланк заказа'!$B$430:$B$430</definedName>
    <definedName name="ProductId222">'Бланк заказа'!$B$436:$B$436</definedName>
    <definedName name="ProductId223">'Бланк заказа'!$B$437:$B$437</definedName>
    <definedName name="ProductId224">'Бланк заказа'!$B$438:$B$438</definedName>
    <definedName name="ProductId225">'Бланк заказа'!$B$439:$B$439</definedName>
    <definedName name="ProductId226">'Бланк заказа'!$B$440:$B$440</definedName>
    <definedName name="ProductId227">'Бланк заказа'!$B$441:$B$441</definedName>
    <definedName name="ProductId228">'Бланк заказа'!$B$442:$B$442</definedName>
    <definedName name="ProductId229">'Бланк заказа'!$B$443:$B$443</definedName>
    <definedName name="ProductId23">'Бланк заказа'!$B$61:$B$61</definedName>
    <definedName name="ProductId230">'Бланк заказа'!$B$447:$B$447</definedName>
    <definedName name="ProductId231">'Бланк заказа'!$B$448:$B$448</definedName>
    <definedName name="ProductId232">'Бланк заказа'!$B$449:$B$449</definedName>
    <definedName name="ProductId233">'Бланк заказа'!$B$453:$B$453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заказа'!$B$460:$B$460</definedName>
    <definedName name="ProductId238">'Бланк заказа'!$B$465:$B$465</definedName>
    <definedName name="ProductId239">'Бланк заказа'!$B$466:$B$466</definedName>
    <definedName name="ProductId24">'Бланк заказа'!$B$62:$B$62</definedName>
    <definedName name="ProductId240">'Бланк заказа'!$B$470:$B$470</definedName>
    <definedName name="ProductId241">'Бланк заказа'!$B$474:$B$474</definedName>
    <definedName name="ProductId242">'Бланк заказа'!$B$475:$B$475</definedName>
    <definedName name="ProductId243">'Бланк заказа'!$B$476:$B$476</definedName>
    <definedName name="ProductId244">'Бланк заказа'!$B$482:$B$482</definedName>
    <definedName name="ProductId245">'Бланк заказа'!$B$483:$B$483</definedName>
    <definedName name="ProductId246">'Бланк заказа'!$B$484:$B$484</definedName>
    <definedName name="ProductId247">'Бланк заказа'!$B$485:$B$485</definedName>
    <definedName name="ProductId248">'Бланк заказа'!$B$486:$B$486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заказа'!$B$496:$B$496</definedName>
    <definedName name="ProductId252">'Бланк заказа'!$B$500:$B$500</definedName>
    <definedName name="ProductId253">'Бланк заказа'!$B$501:$B$501</definedName>
    <definedName name="ProductId254">'Бланк заказа'!$B$502:$B$502</definedName>
    <definedName name="ProductId255">'Бланк заказа'!$B$508:$B$508</definedName>
    <definedName name="ProductId256">'Бланк заказа'!$B$509:$B$509</definedName>
    <definedName name="ProductId257">'Бланк заказа'!$B$510:$B$510</definedName>
    <definedName name="ProductId258">'Бланк заказа'!$B$511:$B$511</definedName>
    <definedName name="ProductId259">'Бланк заказа'!$B$512:$B$512</definedName>
    <definedName name="ProductId26">'Бланк заказа'!$B$67:$B$67</definedName>
    <definedName name="ProductId260">'Бланк заказа'!$B$513:$B$513</definedName>
    <definedName name="ProductId261">'Бланк заказа'!$B$514:$B$514</definedName>
    <definedName name="ProductId262">'Бланк заказа'!$B$515:$B$515</definedName>
    <definedName name="ProductId263">'Бланк заказа'!$B$519:$B$519</definedName>
    <definedName name="ProductId264">'Бланк заказа'!$B$520:$B$520</definedName>
    <definedName name="ProductId265">'Бланк заказа'!$B$521:$B$521</definedName>
    <definedName name="ProductId266">'Бланк заказа'!$B$525:$B$525</definedName>
    <definedName name="ProductId267">'Бланк заказа'!$B$526:$B$526</definedName>
    <definedName name="ProductId268">'Бланк заказа'!$B$527:$B$527</definedName>
    <definedName name="ProductId269">'Бланк заказа'!$B$528:$B$528</definedName>
    <definedName name="ProductId27">'Бланк заказа'!$B$68:$B$68</definedName>
    <definedName name="ProductId270">'Бланк заказа'!$B$529:$B$529</definedName>
    <definedName name="ProductId271">'Бланк заказа'!$B$530:$B$530</definedName>
    <definedName name="ProductId272">'Бланк заказа'!$B$531:$B$531</definedName>
    <definedName name="ProductId273">'Бланк заказа'!$B$537:$B$537</definedName>
    <definedName name="ProductId274">'Бланк заказа'!$B$541:$B$541</definedName>
    <definedName name="ProductId275">'Бланк заказа'!$B$545:$B$545</definedName>
    <definedName name="ProductId276">'Бланк заказа'!$B$549:$B$549</definedName>
    <definedName name="ProductId277">'Бланк заказа'!$B$553:$B$553</definedName>
    <definedName name="ProductId278">'Бланк заказа'!$B$554:$B$554</definedName>
    <definedName name="ProductId279">'Бланк заказа'!$B$559:$B$559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заказа'!$B$25:$B$25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заказа'!$B$26:$B$26</definedName>
    <definedName name="ProductId50">'Бланк заказа'!$B$108:$B$108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заказа'!$B$125:$B$125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заказа'!$B$140:$B$140</definedName>
    <definedName name="ProductId64">'Бланк заказа'!$B$141:$B$141</definedName>
    <definedName name="ProductId65">'Бланк заказа'!$B$146:$B$146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заказа'!$B$153:$B$153</definedName>
    <definedName name="ProductId7">'Бланк заказа'!$B$31:$B$31</definedName>
    <definedName name="ProductId70">'Бланк заказа'!$B$158:$B$158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заказа'!$B$166:$B$166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заказа'!$X$41:$X$41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заказа'!$X$251:$X$251</definedName>
    <definedName name="SalesQty124">'Бланк заказа'!$X$255:$X$255</definedName>
    <definedName name="SalesQty125">'Бланк заказа'!$X$256:$X$256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заказа'!$X$286:$X$286</definedName>
    <definedName name="SalesQty147">'Бланк заказа'!$X$287:$X$287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заказа'!$X$298:$X$298</definedName>
    <definedName name="SalesQty155">'Бланк заказа'!$X$302:$X$302</definedName>
    <definedName name="SalesQty156">'Бланк заказа'!$X$306:$X$306</definedName>
    <definedName name="SalesQty157">'Бланк заказа'!$X$310:$X$310</definedName>
    <definedName name="SalesQty158">'Бланк заказа'!$X$311:$X$311</definedName>
    <definedName name="SalesQty159">'Бланк заказа'!$X$312:$X$312</definedName>
    <definedName name="SalesQty16">'Бланк заказа'!$X$50:$X$50</definedName>
    <definedName name="SalesQty160">'Бланк заказа'!$X$313:$X$313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заказа'!$X$321:$X$321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заказа'!$X$330:$X$330</definedName>
    <definedName name="SalesQty17">'Бланк заказа'!$X$55:$X$55</definedName>
    <definedName name="SalesQty170">'Бланк заказа'!$X$331:$X$331</definedName>
    <definedName name="SalesQty171">'Бланк заказа'!$X$332:$X$332</definedName>
    <definedName name="SalesQty172">'Бланк заказа'!$X$337:$X$337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заказа'!$X$351:$X$351</definedName>
    <definedName name="SalesQty18">'Бланк заказа'!$X$56:$X$56</definedName>
    <definedName name="SalesQty180">'Бланк заказа'!$X$355:$X$355</definedName>
    <definedName name="SalesQty181">'Бланк заказа'!$X$360:$X$360</definedName>
    <definedName name="SalesQty182">'Бланк заказа'!$X$361:$X$361</definedName>
    <definedName name="SalesQty183">'Бланк заказа'!$X$362:$X$362</definedName>
    <definedName name="SalesQty184">'Бланк заказа'!$X$367:$X$367</definedName>
    <definedName name="SalesQty185">'Бланк заказа'!$X$368:$X$368</definedName>
    <definedName name="SalesQty186">'Бланк заказа'!$X$369:$X$369</definedName>
    <definedName name="SalesQty187">'Бланк заказа'!$X$370:$X$370</definedName>
    <definedName name="SalesQty188">'Бланк заказа'!$X$371:$X$371</definedName>
    <definedName name="SalesQty189">'Бланк заказа'!$X$372:$X$372</definedName>
    <definedName name="SalesQty19">'Бланк заказа'!$X$57:$X$57</definedName>
    <definedName name="SalesQty190">'Бланк заказа'!$X$373:$X$373</definedName>
    <definedName name="SalesQty191">'Бланк заказа'!$X$377:$X$377</definedName>
    <definedName name="SalesQty192">'Бланк заказа'!$X$378:$X$378</definedName>
    <definedName name="SalesQty193">'Бланк заказа'!$X$379:$X$379</definedName>
    <definedName name="SalesQty194">'Бланк заказа'!$X$380:$X$380</definedName>
    <definedName name="SalesQty195">'Бланк заказа'!$X$381:$X$381</definedName>
    <definedName name="SalesQty196">'Бланк заказа'!$X$382:$X$382</definedName>
    <definedName name="SalesQty197">'Бланк заказа'!$X$383:$X$383</definedName>
    <definedName name="SalesQty198">'Бланк заказа'!$X$387:$X$387</definedName>
    <definedName name="SalesQty199">'Бланк заказа'!$X$388:$X$388</definedName>
    <definedName name="SalesQty2">'Бланк заказа'!$X$23:$X$23</definedName>
    <definedName name="SalesQty20">'Бланк заказа'!$X$58:$X$58</definedName>
    <definedName name="SalesQty200">'Бланк заказа'!$X$389:$X$389</definedName>
    <definedName name="SalesQty201">'Бланк заказа'!$X$390:$X$390</definedName>
    <definedName name="SalesQty202">'Бланк заказа'!$X$394:$X$394</definedName>
    <definedName name="SalesQty203">'Бланк заказа'!$X$395:$X$395</definedName>
    <definedName name="SalesQty204">'Бланк заказа'!$X$396:$X$396</definedName>
    <definedName name="SalesQty205">'Бланк заказа'!$X$400:$X$400</definedName>
    <definedName name="SalesQty206">'Бланк заказа'!$X$401:$X$401</definedName>
    <definedName name="SalesQty207">'Бланк заказа'!$X$402:$X$402</definedName>
    <definedName name="SalesQty208">'Бланк заказа'!$X$403:$X$403</definedName>
    <definedName name="SalesQty209">'Бланк заказа'!$X$407:$X$407</definedName>
    <definedName name="SalesQty21">'Бланк заказа'!$X$59:$X$59</definedName>
    <definedName name="SalesQty210">'Бланк заказа'!$X$408:$X$408</definedName>
    <definedName name="SalesQty211">'Бланк заказа'!$X$409:$X$409</definedName>
    <definedName name="SalesQty212">'Бланк заказа'!$X$413:$X$413</definedName>
    <definedName name="SalesQty213">'Бланк заказа'!$X$414:$X$414</definedName>
    <definedName name="SalesQty214">'Бланк заказа'!$X$415:$X$415</definedName>
    <definedName name="SalesQty215">'Бланк заказа'!$X$420:$X$420</definedName>
    <definedName name="SalesQty216">'Бланк заказа'!$X$421:$X$421</definedName>
    <definedName name="SalesQty217">'Бланк заказа'!$X$422:$X$422</definedName>
    <definedName name="SalesQty218">'Бланк заказа'!$X$423:$X$423</definedName>
    <definedName name="SalesQty219">'Бланк заказа'!$X$428:$X$428</definedName>
    <definedName name="SalesQty22">'Бланк заказа'!$X$60:$X$60</definedName>
    <definedName name="SalesQty220">'Бланк заказа'!$X$429:$X$429</definedName>
    <definedName name="SalesQty221">'Бланк заказа'!$X$430:$X$430</definedName>
    <definedName name="SalesQty222">'Бланк заказа'!$X$436:$X$436</definedName>
    <definedName name="SalesQty223">'Бланк заказа'!$X$437:$X$437</definedName>
    <definedName name="SalesQty224">'Бланк заказа'!$X$438:$X$438</definedName>
    <definedName name="SalesQty225">'Бланк заказа'!$X$439:$X$439</definedName>
    <definedName name="SalesQty226">'Бланк заказа'!$X$440:$X$440</definedName>
    <definedName name="SalesQty227">'Бланк заказа'!$X$441:$X$441</definedName>
    <definedName name="SalesQty228">'Бланк заказа'!$X$442:$X$442</definedName>
    <definedName name="SalesQty229">'Бланк заказа'!$X$443:$X$443</definedName>
    <definedName name="SalesQty23">'Бланк заказа'!$X$61:$X$61</definedName>
    <definedName name="SalesQty230">'Бланк заказа'!$X$447:$X$447</definedName>
    <definedName name="SalesQty231">'Бланк заказа'!$X$448:$X$448</definedName>
    <definedName name="SalesQty232">'Бланк заказа'!$X$449:$X$449</definedName>
    <definedName name="SalesQty233">'Бланк заказа'!$X$453:$X$453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заказа'!$X$460:$X$460</definedName>
    <definedName name="SalesQty238">'Бланк заказа'!$X$465:$X$465</definedName>
    <definedName name="SalesQty239">'Бланк заказа'!$X$466:$X$466</definedName>
    <definedName name="SalesQty24">'Бланк заказа'!$X$62:$X$62</definedName>
    <definedName name="SalesQty240">'Бланк заказа'!$X$470:$X$470</definedName>
    <definedName name="SalesQty241">'Бланк заказа'!$X$474:$X$474</definedName>
    <definedName name="SalesQty242">'Бланк заказа'!$X$475:$X$475</definedName>
    <definedName name="SalesQty243">'Бланк заказа'!$X$476:$X$476</definedName>
    <definedName name="SalesQty244">'Бланк заказа'!$X$482:$X$482</definedName>
    <definedName name="SalesQty245">'Бланк заказа'!$X$483:$X$483</definedName>
    <definedName name="SalesQty246">'Бланк заказа'!$X$484:$X$484</definedName>
    <definedName name="SalesQty247">'Бланк заказа'!$X$485:$X$485</definedName>
    <definedName name="SalesQty248">'Бланк заказа'!$X$486:$X$486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заказа'!$X$496:$X$496</definedName>
    <definedName name="SalesQty252">'Бланк заказа'!$X$500:$X$500</definedName>
    <definedName name="SalesQty253">'Бланк заказа'!$X$501:$X$501</definedName>
    <definedName name="SalesQty254">'Бланк заказа'!$X$502:$X$502</definedName>
    <definedName name="SalesQty255">'Бланк заказа'!$X$508:$X$508</definedName>
    <definedName name="SalesQty256">'Бланк заказа'!$X$509:$X$509</definedName>
    <definedName name="SalesQty257">'Бланк заказа'!$X$510:$X$510</definedName>
    <definedName name="SalesQty258">'Бланк заказа'!$X$511:$X$511</definedName>
    <definedName name="SalesQty259">'Бланк заказа'!$X$512:$X$512</definedName>
    <definedName name="SalesQty26">'Бланк заказа'!$X$67:$X$67</definedName>
    <definedName name="SalesQty260">'Бланк заказа'!$X$513:$X$513</definedName>
    <definedName name="SalesQty261">'Бланк заказа'!$X$514:$X$514</definedName>
    <definedName name="SalesQty262">'Бланк заказа'!$X$515:$X$515</definedName>
    <definedName name="SalesQty263">'Бланк заказа'!$X$519:$X$519</definedName>
    <definedName name="SalesQty264">'Бланк заказа'!$X$520:$X$520</definedName>
    <definedName name="SalesQty265">'Бланк заказа'!$X$521:$X$521</definedName>
    <definedName name="SalesQty266">'Бланк заказа'!$X$525:$X$525</definedName>
    <definedName name="SalesQty267">'Бланк заказа'!$X$526:$X$526</definedName>
    <definedName name="SalesQty268">'Бланк заказа'!$X$527:$X$527</definedName>
    <definedName name="SalesQty269">'Бланк заказа'!$X$528:$X$528</definedName>
    <definedName name="SalesQty27">'Бланк заказа'!$X$68:$X$68</definedName>
    <definedName name="SalesQty270">'Бланк заказа'!$X$529:$X$529</definedName>
    <definedName name="SalesQty271">'Бланк заказа'!$X$530:$X$530</definedName>
    <definedName name="SalesQty272">'Бланк заказа'!$X$531:$X$531</definedName>
    <definedName name="SalesQty273">'Бланк заказа'!$X$537:$X$537</definedName>
    <definedName name="SalesQty274">'Бланк заказа'!$X$541:$X$541</definedName>
    <definedName name="SalesQty275">'Бланк заказа'!$X$545:$X$545</definedName>
    <definedName name="SalesQty276">'Бланк заказа'!$X$549:$X$549</definedName>
    <definedName name="SalesQty277">'Бланк заказа'!$X$553:$X$553</definedName>
    <definedName name="SalesQty278">'Бланк заказа'!$X$554:$X$554</definedName>
    <definedName name="SalesQty279">'Бланк заказа'!$X$559:$X$559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заказа'!$X$25:$X$25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заказа'!$X$26:$X$26</definedName>
    <definedName name="SalesQty50">'Бланк заказа'!$X$108:$X$108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заказа'!$X$125:$X$125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заказа'!$X$140:$X$140</definedName>
    <definedName name="SalesQty64">'Бланк заказа'!$X$141:$X$141</definedName>
    <definedName name="SalesQty65">'Бланк заказа'!$X$146:$X$146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заказа'!$X$153:$X$153</definedName>
    <definedName name="SalesQty7">'Бланк заказа'!$X$31:$X$31</definedName>
    <definedName name="SalesQty70">'Бланк заказа'!$X$158:$X$158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заказа'!$X$166:$X$166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заказа'!$Y$41:$Y$41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заказа'!$Y$251:$Y$251</definedName>
    <definedName name="SalesRoundBox124">'Бланк заказа'!$Y$255:$Y$255</definedName>
    <definedName name="SalesRoundBox125">'Бланк заказа'!$Y$256:$Y$256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заказа'!$Y$286:$Y$286</definedName>
    <definedName name="SalesRoundBox147">'Бланк заказа'!$Y$287:$Y$287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заказа'!$Y$298:$Y$298</definedName>
    <definedName name="SalesRoundBox155">'Бланк заказа'!$Y$302:$Y$302</definedName>
    <definedName name="SalesRoundBox156">'Бланк заказа'!$Y$306:$Y$306</definedName>
    <definedName name="SalesRoundBox157">'Бланк заказа'!$Y$310:$Y$310</definedName>
    <definedName name="SalesRoundBox158">'Бланк заказа'!$Y$311:$Y$311</definedName>
    <definedName name="SalesRoundBox159">'Бланк заказа'!$Y$312:$Y$312</definedName>
    <definedName name="SalesRoundBox16">'Бланк заказа'!$Y$50:$Y$50</definedName>
    <definedName name="SalesRoundBox160">'Бланк заказа'!$Y$313:$Y$313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заказа'!$Y$321:$Y$321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заказа'!$Y$330:$Y$330</definedName>
    <definedName name="SalesRoundBox17">'Бланк заказа'!$Y$55:$Y$55</definedName>
    <definedName name="SalesRoundBox170">'Бланк заказа'!$Y$331:$Y$331</definedName>
    <definedName name="SalesRoundBox171">'Бланк заказа'!$Y$332:$Y$332</definedName>
    <definedName name="SalesRoundBox172">'Бланк заказа'!$Y$337:$Y$337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заказа'!$Y$351:$Y$351</definedName>
    <definedName name="SalesRoundBox18">'Бланк заказа'!$Y$56:$Y$56</definedName>
    <definedName name="SalesRoundBox180">'Бланк заказа'!$Y$355:$Y$355</definedName>
    <definedName name="SalesRoundBox181">'Бланк заказа'!$Y$360:$Y$360</definedName>
    <definedName name="SalesRoundBox182">'Бланк заказа'!$Y$361:$Y$361</definedName>
    <definedName name="SalesRoundBox183">'Бланк заказа'!$Y$362:$Y$362</definedName>
    <definedName name="SalesRoundBox184">'Бланк заказа'!$Y$367:$Y$367</definedName>
    <definedName name="SalesRoundBox185">'Бланк заказа'!$Y$368:$Y$368</definedName>
    <definedName name="SalesRoundBox186">'Бланк заказа'!$Y$369:$Y$369</definedName>
    <definedName name="SalesRoundBox187">'Бланк заказа'!$Y$370:$Y$370</definedName>
    <definedName name="SalesRoundBox188">'Бланк заказа'!$Y$371:$Y$371</definedName>
    <definedName name="SalesRoundBox189">'Бланк заказа'!$Y$372:$Y$372</definedName>
    <definedName name="SalesRoundBox19">'Бланк заказа'!$Y$57:$Y$57</definedName>
    <definedName name="SalesRoundBox190">'Бланк заказа'!$Y$373:$Y$373</definedName>
    <definedName name="SalesRoundBox191">'Бланк заказа'!$Y$377:$Y$377</definedName>
    <definedName name="SalesRoundBox192">'Бланк заказа'!$Y$378:$Y$378</definedName>
    <definedName name="SalesRoundBox193">'Бланк заказа'!$Y$379:$Y$379</definedName>
    <definedName name="SalesRoundBox194">'Бланк заказа'!$Y$380:$Y$380</definedName>
    <definedName name="SalesRoundBox195">'Бланк заказа'!$Y$381:$Y$381</definedName>
    <definedName name="SalesRoundBox196">'Бланк заказа'!$Y$382:$Y$382</definedName>
    <definedName name="SalesRoundBox197">'Бланк заказа'!$Y$383:$Y$383</definedName>
    <definedName name="SalesRoundBox198">'Бланк заказа'!$Y$387:$Y$387</definedName>
    <definedName name="SalesRoundBox199">'Бланк заказа'!$Y$388:$Y$388</definedName>
    <definedName name="SalesRoundBox2">'Бланк заказа'!$Y$23:$Y$23</definedName>
    <definedName name="SalesRoundBox20">'Бланк заказа'!$Y$58:$Y$58</definedName>
    <definedName name="SalesRoundBox200">'Бланк заказа'!$Y$389:$Y$389</definedName>
    <definedName name="SalesRoundBox201">'Бланк заказа'!$Y$390:$Y$390</definedName>
    <definedName name="SalesRoundBox202">'Бланк заказа'!$Y$394:$Y$394</definedName>
    <definedName name="SalesRoundBox203">'Бланк заказа'!$Y$395:$Y$395</definedName>
    <definedName name="SalesRoundBox204">'Бланк заказа'!$Y$396:$Y$396</definedName>
    <definedName name="SalesRoundBox205">'Бланк заказа'!$Y$400:$Y$400</definedName>
    <definedName name="SalesRoundBox206">'Бланк заказа'!$Y$401:$Y$401</definedName>
    <definedName name="SalesRoundBox207">'Бланк заказа'!$Y$402:$Y$402</definedName>
    <definedName name="SalesRoundBox208">'Бланк заказа'!$Y$403:$Y$403</definedName>
    <definedName name="SalesRoundBox209">'Бланк заказа'!$Y$407:$Y$407</definedName>
    <definedName name="SalesRoundBox21">'Бланк заказа'!$Y$59:$Y$59</definedName>
    <definedName name="SalesRoundBox210">'Бланк заказа'!$Y$408:$Y$408</definedName>
    <definedName name="SalesRoundBox211">'Бланк заказа'!$Y$409:$Y$409</definedName>
    <definedName name="SalesRoundBox212">'Бланк заказа'!$Y$413:$Y$413</definedName>
    <definedName name="SalesRoundBox213">'Бланк заказа'!$Y$414:$Y$414</definedName>
    <definedName name="SalesRoundBox214">'Бланк заказа'!$Y$415:$Y$415</definedName>
    <definedName name="SalesRoundBox215">'Бланк заказа'!$Y$420:$Y$420</definedName>
    <definedName name="SalesRoundBox216">'Бланк заказа'!$Y$421:$Y$421</definedName>
    <definedName name="SalesRoundBox217">'Бланк заказа'!$Y$422:$Y$422</definedName>
    <definedName name="SalesRoundBox218">'Бланк заказа'!$Y$423:$Y$423</definedName>
    <definedName name="SalesRoundBox219">'Бланк заказа'!$Y$428:$Y$428</definedName>
    <definedName name="SalesRoundBox22">'Бланк заказа'!$Y$60:$Y$60</definedName>
    <definedName name="SalesRoundBox220">'Бланк заказа'!$Y$429:$Y$429</definedName>
    <definedName name="SalesRoundBox221">'Бланк заказа'!$Y$430:$Y$430</definedName>
    <definedName name="SalesRoundBox222">'Бланк заказа'!$Y$436:$Y$436</definedName>
    <definedName name="SalesRoundBox223">'Бланк заказа'!$Y$437:$Y$437</definedName>
    <definedName name="SalesRoundBox224">'Бланк заказа'!$Y$438:$Y$438</definedName>
    <definedName name="SalesRoundBox225">'Бланк заказа'!$Y$439:$Y$439</definedName>
    <definedName name="SalesRoundBox226">'Бланк заказа'!$Y$440:$Y$440</definedName>
    <definedName name="SalesRoundBox227">'Бланк заказа'!$Y$441:$Y$441</definedName>
    <definedName name="SalesRoundBox228">'Бланк заказа'!$Y$442:$Y$442</definedName>
    <definedName name="SalesRoundBox229">'Бланк заказа'!$Y$443:$Y$443</definedName>
    <definedName name="SalesRoundBox23">'Бланк заказа'!$Y$61:$Y$61</definedName>
    <definedName name="SalesRoundBox230">'Бланк заказа'!$Y$447:$Y$447</definedName>
    <definedName name="SalesRoundBox231">'Бланк заказа'!$Y$448:$Y$448</definedName>
    <definedName name="SalesRoundBox232">'Бланк заказа'!$Y$449:$Y$449</definedName>
    <definedName name="SalesRoundBox233">'Бланк заказа'!$Y$453:$Y$453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заказа'!$Y$460:$Y$460</definedName>
    <definedName name="SalesRoundBox238">'Бланк заказа'!$Y$465:$Y$465</definedName>
    <definedName name="SalesRoundBox239">'Бланк заказа'!$Y$466:$Y$466</definedName>
    <definedName name="SalesRoundBox24">'Бланк заказа'!$Y$62:$Y$62</definedName>
    <definedName name="SalesRoundBox240">'Бланк заказа'!$Y$470:$Y$470</definedName>
    <definedName name="SalesRoundBox241">'Бланк заказа'!$Y$474:$Y$474</definedName>
    <definedName name="SalesRoundBox242">'Бланк заказа'!$Y$475:$Y$475</definedName>
    <definedName name="SalesRoundBox243">'Бланк заказа'!$Y$476:$Y$476</definedName>
    <definedName name="SalesRoundBox244">'Бланк заказа'!$Y$482:$Y$482</definedName>
    <definedName name="SalesRoundBox245">'Бланк заказа'!$Y$483:$Y$483</definedName>
    <definedName name="SalesRoundBox246">'Бланк заказа'!$Y$484:$Y$484</definedName>
    <definedName name="SalesRoundBox247">'Бланк заказа'!$Y$485:$Y$485</definedName>
    <definedName name="SalesRoundBox248">'Бланк заказа'!$Y$486:$Y$486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заказа'!$Y$496:$Y$496</definedName>
    <definedName name="SalesRoundBox252">'Бланк заказа'!$Y$500:$Y$500</definedName>
    <definedName name="SalesRoundBox253">'Бланк заказа'!$Y$501:$Y$501</definedName>
    <definedName name="SalesRoundBox254">'Бланк заказа'!$Y$502:$Y$502</definedName>
    <definedName name="SalesRoundBox255">'Бланк заказа'!$Y$508:$Y$508</definedName>
    <definedName name="SalesRoundBox256">'Бланк заказа'!$Y$509:$Y$509</definedName>
    <definedName name="SalesRoundBox257">'Бланк заказа'!$Y$510:$Y$510</definedName>
    <definedName name="SalesRoundBox258">'Бланк заказа'!$Y$511:$Y$511</definedName>
    <definedName name="SalesRoundBox259">'Бланк заказа'!$Y$512:$Y$512</definedName>
    <definedName name="SalesRoundBox26">'Бланк заказа'!$Y$67:$Y$67</definedName>
    <definedName name="SalesRoundBox260">'Бланк заказа'!$Y$513:$Y$513</definedName>
    <definedName name="SalesRoundBox261">'Бланк заказа'!$Y$514:$Y$514</definedName>
    <definedName name="SalesRoundBox262">'Бланк заказа'!$Y$515:$Y$515</definedName>
    <definedName name="SalesRoundBox263">'Бланк заказа'!$Y$519:$Y$519</definedName>
    <definedName name="SalesRoundBox264">'Бланк заказа'!$Y$520:$Y$520</definedName>
    <definedName name="SalesRoundBox265">'Бланк заказа'!$Y$521:$Y$521</definedName>
    <definedName name="SalesRoundBox266">'Бланк заказа'!$Y$525:$Y$525</definedName>
    <definedName name="SalesRoundBox267">'Бланк заказа'!$Y$526:$Y$526</definedName>
    <definedName name="SalesRoundBox268">'Бланк заказа'!$Y$527:$Y$527</definedName>
    <definedName name="SalesRoundBox269">'Бланк заказа'!$Y$528:$Y$528</definedName>
    <definedName name="SalesRoundBox27">'Бланк заказа'!$Y$68:$Y$68</definedName>
    <definedName name="SalesRoundBox270">'Бланк заказа'!$Y$529:$Y$529</definedName>
    <definedName name="SalesRoundBox271">'Бланк заказа'!$Y$530:$Y$530</definedName>
    <definedName name="SalesRoundBox272">'Бланк заказа'!$Y$531:$Y$531</definedName>
    <definedName name="SalesRoundBox273">'Бланк заказа'!$Y$537:$Y$537</definedName>
    <definedName name="SalesRoundBox274">'Бланк заказа'!$Y$541:$Y$541</definedName>
    <definedName name="SalesRoundBox275">'Бланк заказа'!$Y$545:$Y$545</definedName>
    <definedName name="SalesRoundBox276">'Бланк заказа'!$Y$549:$Y$549</definedName>
    <definedName name="SalesRoundBox277">'Бланк заказа'!$Y$553:$Y$553</definedName>
    <definedName name="SalesRoundBox278">'Бланк заказа'!$Y$554:$Y$554</definedName>
    <definedName name="SalesRoundBox279">'Бланк заказа'!$Y$559:$Y$559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заказа'!$Y$25:$Y$25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заказа'!$Y$26:$Y$26</definedName>
    <definedName name="SalesRoundBox50">'Бланк заказа'!$Y$108:$Y$108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заказа'!$Y$125:$Y$125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заказа'!$Y$140:$Y$140</definedName>
    <definedName name="SalesRoundBox64">'Бланк заказа'!$Y$141:$Y$141</definedName>
    <definedName name="SalesRoundBox65">'Бланк заказа'!$Y$146:$Y$146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заказа'!$Y$153:$Y$153</definedName>
    <definedName name="SalesRoundBox7">'Бланк заказа'!$Y$31:$Y$31</definedName>
    <definedName name="SalesRoundBox70">'Бланк заказа'!$Y$158:$Y$158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заказа'!$Y$166:$Y$166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заказа'!$W$41:$W$41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заказа'!$W$251:$W$251</definedName>
    <definedName name="UnitOfMeasure124">'Бланк заказа'!$W$255:$W$255</definedName>
    <definedName name="UnitOfMeasure125">'Бланк заказа'!$W$256:$W$256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заказа'!$W$286:$W$286</definedName>
    <definedName name="UnitOfMeasure147">'Бланк заказа'!$W$287:$W$287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заказа'!$W$298:$W$298</definedName>
    <definedName name="UnitOfMeasure155">'Бланк заказа'!$W$302:$W$302</definedName>
    <definedName name="UnitOfMeasure156">'Бланк заказа'!$W$306:$W$306</definedName>
    <definedName name="UnitOfMeasure157">'Бланк заказа'!$W$310:$W$310</definedName>
    <definedName name="UnitOfMeasure158">'Бланк заказа'!$W$311:$W$311</definedName>
    <definedName name="UnitOfMeasure159">'Бланк заказа'!$W$312:$W$312</definedName>
    <definedName name="UnitOfMeasure16">'Бланк заказа'!$W$50:$W$50</definedName>
    <definedName name="UnitOfMeasure160">'Бланк заказа'!$W$313:$W$313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заказа'!$W$321:$W$321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заказа'!$W$330:$W$330</definedName>
    <definedName name="UnitOfMeasure17">'Бланк заказа'!$W$55:$W$55</definedName>
    <definedName name="UnitOfMeasure170">'Бланк заказа'!$W$331:$W$331</definedName>
    <definedName name="UnitOfMeasure171">'Бланк заказа'!$W$332:$W$332</definedName>
    <definedName name="UnitOfMeasure172">'Бланк заказа'!$W$337:$W$337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заказа'!$W$351:$W$351</definedName>
    <definedName name="UnitOfMeasure18">'Бланк заказа'!$W$56:$W$56</definedName>
    <definedName name="UnitOfMeasure180">'Бланк заказа'!$W$355:$W$355</definedName>
    <definedName name="UnitOfMeasure181">'Бланк заказа'!$W$360:$W$360</definedName>
    <definedName name="UnitOfMeasure182">'Бланк заказа'!$W$361:$W$361</definedName>
    <definedName name="UnitOfMeasure183">'Бланк заказа'!$W$362:$W$362</definedName>
    <definedName name="UnitOfMeasure184">'Бланк заказа'!$W$367:$W$367</definedName>
    <definedName name="UnitOfMeasure185">'Бланк заказа'!$W$368:$W$368</definedName>
    <definedName name="UnitOfMeasure186">'Бланк заказа'!$W$369:$W$369</definedName>
    <definedName name="UnitOfMeasure187">'Бланк заказа'!$W$370:$W$370</definedName>
    <definedName name="UnitOfMeasure188">'Бланк заказа'!$W$371:$W$371</definedName>
    <definedName name="UnitOfMeasure189">'Бланк заказа'!$W$372:$W$372</definedName>
    <definedName name="UnitOfMeasure19">'Бланк заказа'!$W$57:$W$57</definedName>
    <definedName name="UnitOfMeasure190">'Бланк заказа'!$W$373:$W$373</definedName>
    <definedName name="UnitOfMeasure191">'Бланк заказа'!$W$377:$W$377</definedName>
    <definedName name="UnitOfMeasure192">'Бланк заказа'!$W$378:$W$378</definedName>
    <definedName name="UnitOfMeasure193">'Бланк заказа'!$W$379:$W$379</definedName>
    <definedName name="UnitOfMeasure194">'Бланк заказа'!$W$380:$W$380</definedName>
    <definedName name="UnitOfMeasure195">'Бланк заказа'!$W$381:$W$381</definedName>
    <definedName name="UnitOfMeasure196">'Бланк заказа'!$W$382:$W$382</definedName>
    <definedName name="UnitOfMeasure197">'Бланк заказа'!$W$383:$W$383</definedName>
    <definedName name="UnitOfMeasure198">'Бланк заказа'!$W$387:$W$387</definedName>
    <definedName name="UnitOfMeasure199">'Бланк заказа'!$W$388:$W$388</definedName>
    <definedName name="UnitOfMeasure2">'Бланк заказа'!$W$23:$W$23</definedName>
    <definedName name="UnitOfMeasure20">'Бланк заказа'!$W$58:$W$58</definedName>
    <definedName name="UnitOfMeasure200">'Бланк заказа'!$W$389:$W$389</definedName>
    <definedName name="UnitOfMeasure201">'Бланк заказа'!$W$390:$W$390</definedName>
    <definedName name="UnitOfMeasure202">'Бланк заказа'!$W$394:$W$394</definedName>
    <definedName name="UnitOfMeasure203">'Бланк заказа'!$W$395:$W$395</definedName>
    <definedName name="UnitOfMeasure204">'Бланк заказа'!$W$396:$W$396</definedName>
    <definedName name="UnitOfMeasure205">'Бланк заказа'!$W$400:$W$400</definedName>
    <definedName name="UnitOfMeasure206">'Бланк заказа'!$W$401:$W$401</definedName>
    <definedName name="UnitOfMeasure207">'Бланк заказа'!$W$402:$W$402</definedName>
    <definedName name="UnitOfMeasure208">'Бланк заказа'!$W$403:$W$403</definedName>
    <definedName name="UnitOfMeasure209">'Бланк заказа'!$W$407:$W$407</definedName>
    <definedName name="UnitOfMeasure21">'Бланк заказа'!$W$59:$W$59</definedName>
    <definedName name="UnitOfMeasure210">'Бланк заказа'!$W$408:$W$408</definedName>
    <definedName name="UnitOfMeasure211">'Бланк заказа'!$W$409:$W$409</definedName>
    <definedName name="UnitOfMeasure212">'Бланк заказа'!$W$413:$W$413</definedName>
    <definedName name="UnitOfMeasure213">'Бланк заказа'!$W$414:$W$414</definedName>
    <definedName name="UnitOfMeasure214">'Бланк заказа'!$W$415:$W$415</definedName>
    <definedName name="UnitOfMeasure215">'Бланк заказа'!$W$420:$W$420</definedName>
    <definedName name="UnitOfMeasure216">'Бланк заказа'!$W$421:$W$421</definedName>
    <definedName name="UnitOfMeasure217">'Бланк заказа'!$W$422:$W$422</definedName>
    <definedName name="UnitOfMeasure218">'Бланк заказа'!$W$423:$W$423</definedName>
    <definedName name="UnitOfMeasure219">'Бланк заказа'!$W$428:$W$428</definedName>
    <definedName name="UnitOfMeasure22">'Бланк заказа'!$W$60:$W$60</definedName>
    <definedName name="UnitOfMeasure220">'Бланк заказа'!$W$429:$W$429</definedName>
    <definedName name="UnitOfMeasure221">'Бланк заказа'!$W$430:$W$430</definedName>
    <definedName name="UnitOfMeasure222">'Бланк заказа'!$W$436:$W$436</definedName>
    <definedName name="UnitOfMeasure223">'Бланк заказа'!$W$437:$W$437</definedName>
    <definedName name="UnitOfMeasure224">'Бланк заказа'!$W$438:$W$438</definedName>
    <definedName name="UnitOfMeasure225">'Бланк заказа'!$W$439:$W$439</definedName>
    <definedName name="UnitOfMeasure226">'Бланк заказа'!$W$440:$W$440</definedName>
    <definedName name="UnitOfMeasure227">'Бланк заказа'!$W$441:$W$441</definedName>
    <definedName name="UnitOfMeasure228">'Бланк заказа'!$W$442:$W$442</definedName>
    <definedName name="UnitOfMeasure229">'Бланк заказа'!$W$443:$W$443</definedName>
    <definedName name="UnitOfMeasure23">'Бланк заказа'!$W$61:$W$61</definedName>
    <definedName name="UnitOfMeasure230">'Бланк заказа'!$W$447:$W$447</definedName>
    <definedName name="UnitOfMeasure231">'Бланк заказа'!$W$448:$W$448</definedName>
    <definedName name="UnitOfMeasure232">'Бланк заказа'!$W$449:$W$449</definedName>
    <definedName name="UnitOfMeasure233">'Бланк заказа'!$W$453:$W$453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заказа'!$W$460:$W$460</definedName>
    <definedName name="UnitOfMeasure238">'Бланк заказа'!$W$465:$W$465</definedName>
    <definedName name="UnitOfMeasure239">'Бланк заказа'!$W$466:$W$466</definedName>
    <definedName name="UnitOfMeasure24">'Бланк заказа'!$W$62:$W$62</definedName>
    <definedName name="UnitOfMeasure240">'Бланк заказа'!$W$470:$W$470</definedName>
    <definedName name="UnitOfMeasure241">'Бланк заказа'!$W$474:$W$474</definedName>
    <definedName name="UnitOfMeasure242">'Бланк заказа'!$W$475:$W$475</definedName>
    <definedName name="UnitOfMeasure243">'Бланк заказа'!$W$476:$W$476</definedName>
    <definedName name="UnitOfMeasure244">'Бланк заказа'!$W$482:$W$482</definedName>
    <definedName name="UnitOfMeasure245">'Бланк заказа'!$W$483:$W$483</definedName>
    <definedName name="UnitOfMeasure246">'Бланк заказа'!$W$484:$W$484</definedName>
    <definedName name="UnitOfMeasure247">'Бланк заказа'!$W$485:$W$485</definedName>
    <definedName name="UnitOfMeasure248">'Бланк заказа'!$W$486:$W$486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заказа'!$W$496:$W$496</definedName>
    <definedName name="UnitOfMeasure252">'Бланк заказа'!$W$500:$W$500</definedName>
    <definedName name="UnitOfMeasure253">'Бланк заказа'!$W$501:$W$501</definedName>
    <definedName name="UnitOfMeasure254">'Бланк заказа'!$W$502:$W$502</definedName>
    <definedName name="UnitOfMeasure255">'Бланк заказа'!$W$508:$W$508</definedName>
    <definedName name="UnitOfMeasure256">'Бланк заказа'!$W$509:$W$509</definedName>
    <definedName name="UnitOfMeasure257">'Бланк заказа'!$W$510:$W$510</definedName>
    <definedName name="UnitOfMeasure258">'Бланк заказа'!$W$511:$W$511</definedName>
    <definedName name="UnitOfMeasure259">'Бланк заказа'!$W$512:$W$512</definedName>
    <definedName name="UnitOfMeasure26">'Бланк заказа'!$W$67:$W$67</definedName>
    <definedName name="UnitOfMeasure260">'Бланк заказа'!$W$513:$W$513</definedName>
    <definedName name="UnitOfMeasure261">'Бланк заказа'!$W$514:$W$514</definedName>
    <definedName name="UnitOfMeasure262">'Бланк заказа'!$W$515:$W$515</definedName>
    <definedName name="UnitOfMeasure263">'Бланк заказа'!$W$519:$W$519</definedName>
    <definedName name="UnitOfMeasure264">'Бланк заказа'!$W$520:$W$520</definedName>
    <definedName name="UnitOfMeasure265">'Бланк заказа'!$W$521:$W$521</definedName>
    <definedName name="UnitOfMeasure266">'Бланк заказа'!$W$525:$W$525</definedName>
    <definedName name="UnitOfMeasure267">'Бланк заказа'!$W$526:$W$526</definedName>
    <definedName name="UnitOfMeasure268">'Бланк заказа'!$W$527:$W$527</definedName>
    <definedName name="UnitOfMeasure269">'Бланк заказа'!$W$528:$W$528</definedName>
    <definedName name="UnitOfMeasure27">'Бланк заказа'!$W$68:$W$68</definedName>
    <definedName name="UnitOfMeasure270">'Бланк заказа'!$W$529:$W$529</definedName>
    <definedName name="UnitOfMeasure271">'Бланк заказа'!$W$530:$W$530</definedName>
    <definedName name="UnitOfMeasure272">'Бланк заказа'!$W$531:$W$531</definedName>
    <definedName name="UnitOfMeasure273">'Бланк заказа'!$W$537:$W$537</definedName>
    <definedName name="UnitOfMeasure274">'Бланк заказа'!$W$541:$W$541</definedName>
    <definedName name="UnitOfMeasure275">'Бланк заказа'!$W$545:$W$545</definedName>
    <definedName name="UnitOfMeasure276">'Бланк заказа'!$W$549:$W$549</definedName>
    <definedName name="UnitOfMeasure277">'Бланк заказа'!$W$553:$W$553</definedName>
    <definedName name="UnitOfMeasure278">'Бланк заказа'!$W$554:$W$554</definedName>
    <definedName name="UnitOfMeasure279">'Бланк заказа'!$W$559:$W$559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заказа'!$W$25:$W$25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заказа'!$W$26:$W$26</definedName>
    <definedName name="UnitOfMeasure50">'Бланк заказа'!$W$108:$W$108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заказа'!$W$125:$W$125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заказа'!$W$140:$W$140</definedName>
    <definedName name="UnitOfMeasure64">'Бланк заказа'!$W$141:$W$141</definedName>
    <definedName name="UnitOfMeasure65">'Бланк заказа'!$W$146:$W$146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заказа'!$W$153:$W$153</definedName>
    <definedName name="UnitOfMeasure7">'Бланк заказа'!$W$31:$W$31</definedName>
    <definedName name="UnitOfMeasure70">'Бланк заказа'!$W$158:$W$158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заказа'!$W$166:$W$166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1" i="2" l="1"/>
  <c r="X560" i="2"/>
  <c r="BO559" i="2"/>
  <c r="BM559" i="2"/>
  <c r="Y559" i="2"/>
  <c r="AD572" i="2" s="1"/>
  <c r="P559" i="2"/>
  <c r="X556" i="2"/>
  <c r="X555" i="2"/>
  <c r="BO554" i="2"/>
  <c r="BM554" i="2"/>
  <c r="Y554" i="2"/>
  <c r="P554" i="2"/>
  <c r="BO553" i="2"/>
  <c r="BM553" i="2"/>
  <c r="Y553" i="2"/>
  <c r="Y555" i="2" s="1"/>
  <c r="P553" i="2"/>
  <c r="X551" i="2"/>
  <c r="X550" i="2"/>
  <c r="BO549" i="2"/>
  <c r="BM549" i="2"/>
  <c r="Y549" i="2"/>
  <c r="Y550" i="2" s="1"/>
  <c r="P549" i="2"/>
  <c r="X547" i="2"/>
  <c r="X546" i="2"/>
  <c r="BO545" i="2"/>
  <c r="BM545" i="2"/>
  <c r="Y545" i="2"/>
  <c r="Z545" i="2" s="1"/>
  <c r="Z546" i="2" s="1"/>
  <c r="P545" i="2"/>
  <c r="X543" i="2"/>
  <c r="X542" i="2"/>
  <c r="BO541" i="2"/>
  <c r="BM541" i="2"/>
  <c r="Y541" i="2"/>
  <c r="P541" i="2"/>
  <c r="X539" i="2"/>
  <c r="X538" i="2"/>
  <c r="BO537" i="2"/>
  <c r="BM537" i="2"/>
  <c r="Y537" i="2"/>
  <c r="P537" i="2"/>
  <c r="X533" i="2"/>
  <c r="X532" i="2"/>
  <c r="BO531" i="2"/>
  <c r="BM531" i="2"/>
  <c r="Y531" i="2"/>
  <c r="Z531" i="2" s="1"/>
  <c r="P531" i="2"/>
  <c r="BO530" i="2"/>
  <c r="BM530" i="2"/>
  <c r="Y530" i="2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P527" i="2" s="1"/>
  <c r="P527" i="2"/>
  <c r="BO526" i="2"/>
  <c r="BM526" i="2"/>
  <c r="Y526" i="2"/>
  <c r="Z526" i="2" s="1"/>
  <c r="P526" i="2"/>
  <c r="BO525" i="2"/>
  <c r="BM525" i="2"/>
  <c r="Y525" i="2"/>
  <c r="P525" i="2"/>
  <c r="X523" i="2"/>
  <c r="X522" i="2"/>
  <c r="BO521" i="2"/>
  <c r="BM521" i="2"/>
  <c r="Y521" i="2"/>
  <c r="Z521" i="2" s="1"/>
  <c r="P521" i="2"/>
  <c r="BO520" i="2"/>
  <c r="BM520" i="2"/>
  <c r="Y520" i="2"/>
  <c r="P520" i="2"/>
  <c r="BO519" i="2"/>
  <c r="BM519" i="2"/>
  <c r="Y519" i="2"/>
  <c r="Y523" i="2" s="1"/>
  <c r="P519" i="2"/>
  <c r="X517" i="2"/>
  <c r="X516" i="2"/>
  <c r="BO515" i="2"/>
  <c r="BM515" i="2"/>
  <c r="Y515" i="2"/>
  <c r="BP515" i="2" s="1"/>
  <c r="P515" i="2"/>
  <c r="BO514" i="2"/>
  <c r="BM514" i="2"/>
  <c r="Y514" i="2"/>
  <c r="BP514" i="2" s="1"/>
  <c r="P514" i="2"/>
  <c r="BO513" i="2"/>
  <c r="BM513" i="2"/>
  <c r="Y513" i="2"/>
  <c r="BP513" i="2" s="1"/>
  <c r="P513" i="2"/>
  <c r="BO512" i="2"/>
  <c r="BM512" i="2"/>
  <c r="Y512" i="2"/>
  <c r="BP512" i="2" s="1"/>
  <c r="P512" i="2"/>
  <c r="BO511" i="2"/>
  <c r="BM511" i="2"/>
  <c r="Y511" i="2"/>
  <c r="Z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P508" i="2"/>
  <c r="X504" i="2"/>
  <c r="X503" i="2"/>
  <c r="BO502" i="2"/>
  <c r="BM502" i="2"/>
  <c r="Y502" i="2"/>
  <c r="BP502" i="2" s="1"/>
  <c r="P502" i="2"/>
  <c r="BO501" i="2"/>
  <c r="BM501" i="2"/>
  <c r="Y501" i="2"/>
  <c r="BP501" i="2" s="1"/>
  <c r="P501" i="2"/>
  <c r="BO500" i="2"/>
  <c r="BM500" i="2"/>
  <c r="Y500" i="2"/>
  <c r="P500" i="2"/>
  <c r="X498" i="2"/>
  <c r="X497" i="2"/>
  <c r="BO496" i="2"/>
  <c r="BM496" i="2"/>
  <c r="Y496" i="2"/>
  <c r="Y498" i="2" s="1"/>
  <c r="P496" i="2"/>
  <c r="X493" i="2"/>
  <c r="X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Z486" i="2" s="1"/>
  <c r="P486" i="2"/>
  <c r="BO485" i="2"/>
  <c r="BM485" i="2"/>
  <c r="Y485" i="2"/>
  <c r="BP485" i="2" s="1"/>
  <c r="P485" i="2"/>
  <c r="BO484" i="2"/>
  <c r="BM484" i="2"/>
  <c r="Y484" i="2"/>
  <c r="BP484" i="2" s="1"/>
  <c r="P484" i="2"/>
  <c r="BO483" i="2"/>
  <c r="BM483" i="2"/>
  <c r="Y483" i="2"/>
  <c r="Z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BP476" i="2" s="1"/>
  <c r="P476" i="2"/>
  <c r="BO475" i="2"/>
  <c r="BM475" i="2"/>
  <c r="Y475" i="2"/>
  <c r="BP475" i="2" s="1"/>
  <c r="P475" i="2"/>
  <c r="BO474" i="2"/>
  <c r="BM474" i="2"/>
  <c r="Y474" i="2"/>
  <c r="Z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Z466" i="2" s="1"/>
  <c r="P466" i="2"/>
  <c r="BO465" i="2"/>
  <c r="BM465" i="2"/>
  <c r="Y465" i="2"/>
  <c r="Z465" i="2" s="1"/>
  <c r="P465" i="2"/>
  <c r="X462" i="2"/>
  <c r="X461" i="2"/>
  <c r="BO460" i="2"/>
  <c r="BM460" i="2"/>
  <c r="Y460" i="2"/>
  <c r="BN460" i="2" s="1"/>
  <c r="P460" i="2"/>
  <c r="BO459" i="2"/>
  <c r="BM459" i="2"/>
  <c r="Y459" i="2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Y457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BP447" i="2" s="1"/>
  <c r="P447" i="2"/>
  <c r="X445" i="2"/>
  <c r="X444" i="2"/>
  <c r="BO443" i="2"/>
  <c r="BM443" i="2"/>
  <c r="Y443" i="2"/>
  <c r="Z443" i="2" s="1"/>
  <c r="P443" i="2"/>
  <c r="BO442" i="2"/>
  <c r="BM442" i="2"/>
  <c r="Y442" i="2"/>
  <c r="P442" i="2"/>
  <c r="BO441" i="2"/>
  <c r="BM441" i="2"/>
  <c r="Y441" i="2"/>
  <c r="BP441" i="2" s="1"/>
  <c r="P441" i="2"/>
  <c r="BO440" i="2"/>
  <c r="BM440" i="2"/>
  <c r="Y440" i="2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P436" i="2"/>
  <c r="X432" i="2"/>
  <c r="X431" i="2"/>
  <c r="BO430" i="2"/>
  <c r="BM430" i="2"/>
  <c r="Y430" i="2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BO422" i="2"/>
  <c r="BM422" i="2"/>
  <c r="Y422" i="2"/>
  <c r="P422" i="2"/>
  <c r="BO421" i="2"/>
  <c r="BM421" i="2"/>
  <c r="Y421" i="2"/>
  <c r="Z421" i="2" s="1"/>
  <c r="P421" i="2"/>
  <c r="BO420" i="2"/>
  <c r="BM420" i="2"/>
  <c r="Y420" i="2"/>
  <c r="P420" i="2"/>
  <c r="X417" i="2"/>
  <c r="X416" i="2"/>
  <c r="BO415" i="2"/>
  <c r="BM415" i="2"/>
  <c r="Y415" i="2"/>
  <c r="BN415" i="2" s="1"/>
  <c r="P415" i="2"/>
  <c r="BO414" i="2"/>
  <c r="BM414" i="2"/>
  <c r="Y414" i="2"/>
  <c r="P414" i="2"/>
  <c r="BO413" i="2"/>
  <c r="BM413" i="2"/>
  <c r="Y413" i="2"/>
  <c r="P413" i="2"/>
  <c r="X411" i="2"/>
  <c r="X410" i="2"/>
  <c r="BO409" i="2"/>
  <c r="BM409" i="2"/>
  <c r="Y409" i="2"/>
  <c r="BN409" i="2" s="1"/>
  <c r="P409" i="2"/>
  <c r="BO408" i="2"/>
  <c r="BM408" i="2"/>
  <c r="Y408" i="2"/>
  <c r="BP408" i="2" s="1"/>
  <c r="P408" i="2"/>
  <c r="BO407" i="2"/>
  <c r="BM407" i="2"/>
  <c r="Y407" i="2"/>
  <c r="Z407" i="2" s="1"/>
  <c r="P407" i="2"/>
  <c r="X405" i="2"/>
  <c r="X404" i="2"/>
  <c r="BO403" i="2"/>
  <c r="BM403" i="2"/>
  <c r="Y403" i="2"/>
  <c r="BP403" i="2" s="1"/>
  <c r="P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Z400" i="2" s="1"/>
  <c r="P400" i="2"/>
  <c r="X398" i="2"/>
  <c r="X397" i="2"/>
  <c r="BO396" i="2"/>
  <c r="BM396" i="2"/>
  <c r="Y396" i="2"/>
  <c r="BN396" i="2" s="1"/>
  <c r="P396" i="2"/>
  <c r="BO395" i="2"/>
  <c r="BM395" i="2"/>
  <c r="Y395" i="2"/>
  <c r="P395" i="2"/>
  <c r="BO394" i="2"/>
  <c r="BM394" i="2"/>
  <c r="Y394" i="2"/>
  <c r="BP394" i="2" s="1"/>
  <c r="P394" i="2"/>
  <c r="X392" i="2"/>
  <c r="X391" i="2"/>
  <c r="BO390" i="2"/>
  <c r="BM390" i="2"/>
  <c r="Y390" i="2"/>
  <c r="P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P387" i="2"/>
  <c r="X385" i="2"/>
  <c r="X384" i="2"/>
  <c r="BO383" i="2"/>
  <c r="BM383" i="2"/>
  <c r="Y383" i="2"/>
  <c r="BP383" i="2" s="1"/>
  <c r="P383" i="2"/>
  <c r="BO382" i="2"/>
  <c r="BM382" i="2"/>
  <c r="Y382" i="2"/>
  <c r="BN382" i="2" s="1"/>
  <c r="P382" i="2"/>
  <c r="BO381" i="2"/>
  <c r="BM381" i="2"/>
  <c r="Y381" i="2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BP371" i="2" s="1"/>
  <c r="P371" i="2"/>
  <c r="BO370" i="2"/>
  <c r="BM370" i="2"/>
  <c r="Y370" i="2"/>
  <c r="P370" i="2"/>
  <c r="BO369" i="2"/>
  <c r="BM369" i="2"/>
  <c r="Y369" i="2"/>
  <c r="BN369" i="2" s="1"/>
  <c r="P369" i="2"/>
  <c r="BO368" i="2"/>
  <c r="BM368" i="2"/>
  <c r="Y368" i="2"/>
  <c r="P368" i="2"/>
  <c r="BO367" i="2"/>
  <c r="BM367" i="2"/>
  <c r="Y367" i="2"/>
  <c r="P367" i="2"/>
  <c r="X364" i="2"/>
  <c r="X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X357" i="2"/>
  <c r="X356" i="2"/>
  <c r="BO355" i="2"/>
  <c r="BM355" i="2"/>
  <c r="Y355" i="2"/>
  <c r="Y356" i="2" s="1"/>
  <c r="P355" i="2"/>
  <c r="X353" i="2"/>
  <c r="X352" i="2"/>
  <c r="BP351" i="2"/>
  <c r="BO351" i="2"/>
  <c r="BM351" i="2"/>
  <c r="Y351" i="2"/>
  <c r="P351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BP344" i="2" s="1"/>
  <c r="P344" i="2"/>
  <c r="X342" i="2"/>
  <c r="X341" i="2"/>
  <c r="BO340" i="2"/>
  <c r="BM340" i="2"/>
  <c r="Y340" i="2"/>
  <c r="Z340" i="2" s="1"/>
  <c r="P340" i="2"/>
  <c r="BO339" i="2"/>
  <c r="BM339" i="2"/>
  <c r="Y339" i="2"/>
  <c r="P339" i="2"/>
  <c r="BO338" i="2"/>
  <c r="BM338" i="2"/>
  <c r="Y338" i="2"/>
  <c r="P338" i="2"/>
  <c r="BO337" i="2"/>
  <c r="BM337" i="2"/>
  <c r="Y337" i="2"/>
  <c r="BP337" i="2" s="1"/>
  <c r="P337" i="2"/>
  <c r="X334" i="2"/>
  <c r="X333" i="2"/>
  <c r="BO332" i="2"/>
  <c r="BM332" i="2"/>
  <c r="Y332" i="2"/>
  <c r="Z332" i="2" s="1"/>
  <c r="P332" i="2"/>
  <c r="BO331" i="2"/>
  <c r="BM331" i="2"/>
  <c r="Y331" i="2"/>
  <c r="BP331" i="2" s="1"/>
  <c r="P331" i="2"/>
  <c r="BO330" i="2"/>
  <c r="BM330" i="2"/>
  <c r="Y330" i="2"/>
  <c r="P330" i="2"/>
  <c r="X327" i="2"/>
  <c r="X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BP322" i="2" s="1"/>
  <c r="P322" i="2"/>
  <c r="BO321" i="2"/>
  <c r="BM321" i="2"/>
  <c r="Y321" i="2"/>
  <c r="P321" i="2"/>
  <c r="BO320" i="2"/>
  <c r="BM320" i="2"/>
  <c r="Y320" i="2"/>
  <c r="BN320" i="2" s="1"/>
  <c r="P320" i="2"/>
  <c r="BO319" i="2"/>
  <c r="BM319" i="2"/>
  <c r="Y319" i="2"/>
  <c r="BP319" i="2" s="1"/>
  <c r="P319" i="2"/>
  <c r="BO318" i="2"/>
  <c r="BM318" i="2"/>
  <c r="Y318" i="2"/>
  <c r="BN318" i="2" s="1"/>
  <c r="P318" i="2"/>
  <c r="X315" i="2"/>
  <c r="X314" i="2"/>
  <c r="BO313" i="2"/>
  <c r="BM313" i="2"/>
  <c r="Y313" i="2"/>
  <c r="BP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X308" i="2"/>
  <c r="X307" i="2"/>
  <c r="BO306" i="2"/>
  <c r="BM306" i="2"/>
  <c r="Y306" i="2"/>
  <c r="Y308" i="2" s="1"/>
  <c r="P306" i="2"/>
  <c r="X304" i="2"/>
  <c r="X303" i="2"/>
  <c r="BO302" i="2"/>
  <c r="BM302" i="2"/>
  <c r="Y302" i="2"/>
  <c r="Y303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BP296" i="2" s="1"/>
  <c r="P296" i="2"/>
  <c r="BO295" i="2"/>
  <c r="BM295" i="2"/>
  <c r="Y295" i="2"/>
  <c r="Z295" i="2" s="1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P292" i="2"/>
  <c r="X289" i="2"/>
  <c r="X288" i="2"/>
  <c r="BO287" i="2"/>
  <c r="BM287" i="2"/>
  <c r="Y287" i="2"/>
  <c r="Z287" i="2" s="1"/>
  <c r="P287" i="2"/>
  <c r="BO286" i="2"/>
  <c r="BM286" i="2"/>
  <c r="Y286" i="2"/>
  <c r="P286" i="2"/>
  <c r="X284" i="2"/>
  <c r="X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P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BP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BN271" i="2" s="1"/>
  <c r="P271" i="2"/>
  <c r="X269" i="2"/>
  <c r="X268" i="2"/>
  <c r="BO267" i="2"/>
  <c r="BM267" i="2"/>
  <c r="Y267" i="2"/>
  <c r="P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Z264" i="2" s="1"/>
  <c r="P264" i="2"/>
  <c r="BO263" i="2"/>
  <c r="BM263" i="2"/>
  <c r="Y263" i="2"/>
  <c r="P263" i="2"/>
  <c r="BO262" i="2"/>
  <c r="BM262" i="2"/>
  <c r="Y262" i="2"/>
  <c r="BP262" i="2" s="1"/>
  <c r="P262" i="2"/>
  <c r="BO261" i="2"/>
  <c r="BM261" i="2"/>
  <c r="Y261" i="2"/>
  <c r="P261" i="2"/>
  <c r="BO260" i="2"/>
  <c r="BM260" i="2"/>
  <c r="Y260" i="2"/>
  <c r="Z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BO250" i="2"/>
  <c r="BM250" i="2"/>
  <c r="Y250" i="2"/>
  <c r="BP250" i="2" s="1"/>
  <c r="P250" i="2"/>
  <c r="BO249" i="2"/>
  <c r="BM249" i="2"/>
  <c r="Y249" i="2"/>
  <c r="BN249" i="2" s="1"/>
  <c r="P249" i="2"/>
  <c r="X246" i="2"/>
  <c r="X245" i="2"/>
  <c r="BO244" i="2"/>
  <c r="BM244" i="2"/>
  <c r="Y244" i="2"/>
  <c r="Y246" i="2" s="1"/>
  <c r="P244" i="2"/>
  <c r="X242" i="2"/>
  <c r="X241" i="2"/>
  <c r="BO240" i="2"/>
  <c r="BM240" i="2"/>
  <c r="Y240" i="2"/>
  <c r="P240" i="2"/>
  <c r="BO239" i="2"/>
  <c r="BM239" i="2"/>
  <c r="Y239" i="2"/>
  <c r="Z239" i="2" s="1"/>
  <c r="P239" i="2"/>
  <c r="BO238" i="2"/>
  <c r="BM238" i="2"/>
  <c r="Y238" i="2"/>
  <c r="Z238" i="2" s="1"/>
  <c r="P238" i="2"/>
  <c r="X236" i="2"/>
  <c r="X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P231" i="2"/>
  <c r="BO230" i="2"/>
  <c r="BM230" i="2"/>
  <c r="Y230" i="2"/>
  <c r="BN230" i="2" s="1"/>
  <c r="P230" i="2"/>
  <c r="X228" i="2"/>
  <c r="X227" i="2"/>
  <c r="BO226" i="2"/>
  <c r="BM226" i="2"/>
  <c r="Y226" i="2"/>
  <c r="P226" i="2"/>
  <c r="BO225" i="2"/>
  <c r="BM225" i="2"/>
  <c r="Y225" i="2"/>
  <c r="BP225" i="2" s="1"/>
  <c r="P225" i="2"/>
  <c r="BO224" i="2"/>
  <c r="BM224" i="2"/>
  <c r="Y224" i="2"/>
  <c r="P224" i="2"/>
  <c r="BO223" i="2"/>
  <c r="BM223" i="2"/>
  <c r="Y223" i="2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BP219" i="2" s="1"/>
  <c r="P219" i="2"/>
  <c r="BO218" i="2"/>
  <c r="BM218" i="2"/>
  <c r="Y218" i="2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P215" i="2"/>
  <c r="BO214" i="2"/>
  <c r="BM214" i="2"/>
  <c r="Y214" i="2"/>
  <c r="BP214" i="2" s="1"/>
  <c r="P214" i="2"/>
  <c r="X212" i="2"/>
  <c r="X211" i="2"/>
  <c r="BO210" i="2"/>
  <c r="BM210" i="2"/>
  <c r="Y210" i="2"/>
  <c r="BN210" i="2" s="1"/>
  <c r="P210" i="2"/>
  <c r="X207" i="2"/>
  <c r="X206" i="2"/>
  <c r="BO205" i="2"/>
  <c r="BM205" i="2"/>
  <c r="Y205" i="2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Y191" i="2" s="1"/>
  <c r="P189" i="2"/>
  <c r="X187" i="2"/>
  <c r="X186" i="2"/>
  <c r="BO185" i="2"/>
  <c r="BM185" i="2"/>
  <c r="Y185" i="2"/>
  <c r="BN185" i="2" s="1"/>
  <c r="P185" i="2"/>
  <c r="BO184" i="2"/>
  <c r="BM184" i="2"/>
  <c r="Y184" i="2"/>
  <c r="Y187" i="2" s="1"/>
  <c r="P184" i="2"/>
  <c r="X182" i="2"/>
  <c r="X181" i="2"/>
  <c r="BO180" i="2"/>
  <c r="BM180" i="2"/>
  <c r="Z180" i="2"/>
  <c r="Y180" i="2"/>
  <c r="BN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P177" i="2"/>
  <c r="BO176" i="2"/>
  <c r="BM176" i="2"/>
  <c r="Y176" i="2"/>
  <c r="P176" i="2"/>
  <c r="BO175" i="2"/>
  <c r="BM175" i="2"/>
  <c r="Y175" i="2"/>
  <c r="BN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Z172" i="2" s="1"/>
  <c r="P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N165" i="2" s="1"/>
  <c r="P165" i="2"/>
  <c r="X163" i="2"/>
  <c r="X162" i="2"/>
  <c r="BO161" i="2"/>
  <c r="BM161" i="2"/>
  <c r="Y161" i="2"/>
  <c r="P161" i="2"/>
  <c r="BO160" i="2"/>
  <c r="BM160" i="2"/>
  <c r="Y160" i="2"/>
  <c r="Z160" i="2" s="1"/>
  <c r="P160" i="2"/>
  <c r="BO159" i="2"/>
  <c r="BM159" i="2"/>
  <c r="Y159" i="2"/>
  <c r="P159" i="2"/>
  <c r="BO158" i="2"/>
  <c r="BM158" i="2"/>
  <c r="Y158" i="2"/>
  <c r="BN158" i="2" s="1"/>
  <c r="P158" i="2"/>
  <c r="X155" i="2"/>
  <c r="X154" i="2"/>
  <c r="BO153" i="2"/>
  <c r="BM153" i="2"/>
  <c r="Y153" i="2"/>
  <c r="Z153" i="2" s="1"/>
  <c r="Z154" i="2" s="1"/>
  <c r="P153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N147" i="2" s="1"/>
  <c r="P147" i="2"/>
  <c r="BO146" i="2"/>
  <c r="BM146" i="2"/>
  <c r="Y146" i="2"/>
  <c r="P146" i="2"/>
  <c r="X143" i="2"/>
  <c r="X142" i="2"/>
  <c r="BO141" i="2"/>
  <c r="BM141" i="2"/>
  <c r="Y141" i="2"/>
  <c r="Z141" i="2" s="1"/>
  <c r="P141" i="2"/>
  <c r="BO140" i="2"/>
  <c r="BM140" i="2"/>
  <c r="Y140" i="2"/>
  <c r="Y143" i="2" s="1"/>
  <c r="P140" i="2"/>
  <c r="X138" i="2"/>
  <c r="X137" i="2"/>
  <c r="BO136" i="2"/>
  <c r="BM136" i="2"/>
  <c r="Y136" i="2"/>
  <c r="P136" i="2"/>
  <c r="BO135" i="2"/>
  <c r="BM135" i="2"/>
  <c r="Y135" i="2"/>
  <c r="P135" i="2"/>
  <c r="X133" i="2"/>
  <c r="X132" i="2"/>
  <c r="BO131" i="2"/>
  <c r="BM131" i="2"/>
  <c r="Y131" i="2"/>
  <c r="BP131" i="2" s="1"/>
  <c r="P131" i="2"/>
  <c r="BO130" i="2"/>
  <c r="BM130" i="2"/>
  <c r="Y130" i="2"/>
  <c r="Z130" i="2" s="1"/>
  <c r="P130" i="2"/>
  <c r="X127" i="2"/>
  <c r="X126" i="2"/>
  <c r="BO125" i="2"/>
  <c r="BM125" i="2"/>
  <c r="Y125" i="2"/>
  <c r="P125" i="2"/>
  <c r="X123" i="2"/>
  <c r="X122" i="2"/>
  <c r="BO121" i="2"/>
  <c r="BM121" i="2"/>
  <c r="Y121" i="2"/>
  <c r="P121" i="2"/>
  <c r="BO120" i="2"/>
  <c r="BM120" i="2"/>
  <c r="Y120" i="2"/>
  <c r="BP120" i="2" s="1"/>
  <c r="P120" i="2"/>
  <c r="BO119" i="2"/>
  <c r="BM119" i="2"/>
  <c r="Y119" i="2"/>
  <c r="P119" i="2"/>
  <c r="BO118" i="2"/>
  <c r="BM118" i="2"/>
  <c r="Y118" i="2"/>
  <c r="Z118" i="2" s="1"/>
  <c r="P118" i="2"/>
  <c r="X116" i="2"/>
  <c r="X115" i="2"/>
  <c r="BO114" i="2"/>
  <c r="BM114" i="2"/>
  <c r="Y114" i="2"/>
  <c r="P114" i="2"/>
  <c r="BO113" i="2"/>
  <c r="BM113" i="2"/>
  <c r="Y113" i="2"/>
  <c r="Z113" i="2" s="1"/>
  <c r="P113" i="2"/>
  <c r="BO112" i="2"/>
  <c r="BM112" i="2"/>
  <c r="Y112" i="2"/>
  <c r="P112" i="2"/>
  <c r="X110" i="2"/>
  <c r="X109" i="2"/>
  <c r="BO108" i="2"/>
  <c r="BM108" i="2"/>
  <c r="Y108" i="2"/>
  <c r="BP108" i="2" s="1"/>
  <c r="P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P102" i="2"/>
  <c r="X99" i="2"/>
  <c r="X98" i="2"/>
  <c r="BO97" i="2"/>
  <c r="BM97" i="2"/>
  <c r="Y97" i="2"/>
  <c r="BP97" i="2" s="1"/>
  <c r="P97" i="2"/>
  <c r="BO96" i="2"/>
  <c r="BM96" i="2"/>
  <c r="Y96" i="2"/>
  <c r="Z96" i="2" s="1"/>
  <c r="P96" i="2"/>
  <c r="BO95" i="2"/>
  <c r="BM95" i="2"/>
  <c r="Y95" i="2"/>
  <c r="P95" i="2"/>
  <c r="BO94" i="2"/>
  <c r="BM94" i="2"/>
  <c r="Y94" i="2"/>
  <c r="P94" i="2"/>
  <c r="X92" i="2"/>
  <c r="X91" i="2"/>
  <c r="BO90" i="2"/>
  <c r="BM90" i="2"/>
  <c r="Y90" i="2"/>
  <c r="P90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BO86" i="2"/>
  <c r="BM86" i="2"/>
  <c r="Y86" i="2"/>
  <c r="P86" i="2"/>
  <c r="BO85" i="2"/>
  <c r="BM85" i="2"/>
  <c r="Y85" i="2"/>
  <c r="BN85" i="2" s="1"/>
  <c r="P85" i="2"/>
  <c r="X82" i="2"/>
  <c r="X81" i="2"/>
  <c r="BO80" i="2"/>
  <c r="BM80" i="2"/>
  <c r="Y80" i="2"/>
  <c r="P80" i="2"/>
  <c r="BO79" i="2"/>
  <c r="BM79" i="2"/>
  <c r="Y79" i="2"/>
  <c r="BP79" i="2" s="1"/>
  <c r="P79" i="2"/>
  <c r="BO78" i="2"/>
  <c r="BM78" i="2"/>
  <c r="Y78" i="2"/>
  <c r="Y82" i="2" s="1"/>
  <c r="P78" i="2"/>
  <c r="X76" i="2"/>
  <c r="X75" i="2"/>
  <c r="BO74" i="2"/>
  <c r="BM74" i="2"/>
  <c r="Y74" i="2"/>
  <c r="Z74" i="2" s="1"/>
  <c r="P74" i="2"/>
  <c r="BO73" i="2"/>
  <c r="BM73" i="2"/>
  <c r="Y73" i="2"/>
  <c r="Z73" i="2" s="1"/>
  <c r="Z75" i="2" s="1"/>
  <c r="P73" i="2"/>
  <c r="X71" i="2"/>
  <c r="X70" i="2"/>
  <c r="BO69" i="2"/>
  <c r="BM69" i="2"/>
  <c r="Y69" i="2"/>
  <c r="Z69" i="2" s="1"/>
  <c r="P69" i="2"/>
  <c r="BO68" i="2"/>
  <c r="BM68" i="2"/>
  <c r="Y68" i="2"/>
  <c r="P68" i="2"/>
  <c r="BO67" i="2"/>
  <c r="BM67" i="2"/>
  <c r="Y67" i="2"/>
  <c r="P67" i="2"/>
  <c r="BO66" i="2"/>
  <c r="BM66" i="2"/>
  <c r="Y66" i="2"/>
  <c r="P66" i="2"/>
  <c r="X64" i="2"/>
  <c r="X63" i="2"/>
  <c r="BO62" i="2"/>
  <c r="BM62" i="2"/>
  <c r="Y62" i="2"/>
  <c r="P62" i="2"/>
  <c r="BO61" i="2"/>
  <c r="BM61" i="2"/>
  <c r="Y61" i="2"/>
  <c r="BP61" i="2" s="1"/>
  <c r="P61" i="2"/>
  <c r="BO60" i="2"/>
  <c r="BM60" i="2"/>
  <c r="Y60" i="2"/>
  <c r="Z60" i="2" s="1"/>
  <c r="P60" i="2"/>
  <c r="BO59" i="2"/>
  <c r="BM59" i="2"/>
  <c r="Y59" i="2"/>
  <c r="Z59" i="2" s="1"/>
  <c r="P59" i="2"/>
  <c r="BO58" i="2"/>
  <c r="BM58" i="2"/>
  <c r="Y58" i="2"/>
  <c r="P58" i="2"/>
  <c r="BO57" i="2"/>
  <c r="BM57" i="2"/>
  <c r="Y57" i="2"/>
  <c r="BN57" i="2" s="1"/>
  <c r="P57" i="2"/>
  <c r="BO56" i="2"/>
  <c r="BM56" i="2"/>
  <c r="Y56" i="2"/>
  <c r="BP56" i="2" s="1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Z49" i="2" s="1"/>
  <c r="P49" i="2"/>
  <c r="BO48" i="2"/>
  <c r="BM48" i="2"/>
  <c r="Y48" i="2"/>
  <c r="Z48" i="2" s="1"/>
  <c r="P48" i="2"/>
  <c r="BO47" i="2"/>
  <c r="BM47" i="2"/>
  <c r="Y47" i="2"/>
  <c r="P47" i="2"/>
  <c r="X43" i="2"/>
  <c r="X42" i="2"/>
  <c r="BO41" i="2"/>
  <c r="BM41" i="2"/>
  <c r="Y41" i="2"/>
  <c r="BP41" i="2" s="1"/>
  <c r="P41" i="2"/>
  <c r="BO40" i="2"/>
  <c r="BM40" i="2"/>
  <c r="Y40" i="2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P31" i="2" s="1"/>
  <c r="P31" i="2"/>
  <c r="BO30" i="2"/>
  <c r="BM30" i="2"/>
  <c r="Y30" i="2"/>
  <c r="P30" i="2"/>
  <c r="X28" i="2"/>
  <c r="X27" i="2"/>
  <c r="BO26" i="2"/>
  <c r="BM26" i="2"/>
  <c r="Y26" i="2"/>
  <c r="Z26" i="2" s="1"/>
  <c r="P26" i="2"/>
  <c r="BO25" i="2"/>
  <c r="BM25" i="2"/>
  <c r="Y25" i="2"/>
  <c r="BN25" i="2" s="1"/>
  <c r="P25" i="2"/>
  <c r="BO24" i="2"/>
  <c r="BM24" i="2"/>
  <c r="Y24" i="2"/>
  <c r="BN24" i="2" s="1"/>
  <c r="P24" i="2"/>
  <c r="BO23" i="2"/>
  <c r="BM23" i="2"/>
  <c r="Y23" i="2"/>
  <c r="BN23" i="2" s="1"/>
  <c r="P23" i="2"/>
  <c r="BO22" i="2"/>
  <c r="BM22" i="2"/>
  <c r="Y22" i="2"/>
  <c r="BN22" i="2" s="1"/>
  <c r="P22" i="2"/>
  <c r="H10" i="2"/>
  <c r="A9" i="2"/>
  <c r="F9" i="2" s="1"/>
  <c r="D7" i="2"/>
  <c r="Q6" i="2"/>
  <c r="P2" i="2"/>
  <c r="Y504" i="2" l="1"/>
  <c r="Z271" i="2"/>
  <c r="Z394" i="2"/>
  <c r="BN394" i="2"/>
  <c r="Z455" i="2"/>
  <c r="Z202" i="2"/>
  <c r="Z293" i="2"/>
  <c r="BN293" i="2"/>
  <c r="BP379" i="2"/>
  <c r="Z23" i="2"/>
  <c r="Z147" i="2"/>
  <c r="BP217" i="2"/>
  <c r="Z273" i="2"/>
  <c r="BN273" i="2"/>
  <c r="Z362" i="2"/>
  <c r="BN362" i="2"/>
  <c r="Z382" i="2"/>
  <c r="Z429" i="2"/>
  <c r="BN429" i="2"/>
  <c r="Y122" i="2"/>
  <c r="Z22" i="2"/>
  <c r="Z57" i="2"/>
  <c r="Z120" i="2"/>
  <c r="Z158" i="2"/>
  <c r="BP185" i="2"/>
  <c r="Z203" i="2"/>
  <c r="BN203" i="2"/>
  <c r="BP220" i="2"/>
  <c r="Z232" i="2"/>
  <c r="Z272" i="2"/>
  <c r="Z302" i="2"/>
  <c r="Z303" i="2" s="1"/>
  <c r="BN302" i="2"/>
  <c r="BP302" i="2"/>
  <c r="Z346" i="2"/>
  <c r="Z361" i="2"/>
  <c r="Z371" i="2"/>
  <c r="Z383" i="2"/>
  <c r="BN383" i="2"/>
  <c r="Z415" i="2"/>
  <c r="BP496" i="2"/>
  <c r="BP526" i="2"/>
  <c r="BN39" i="2"/>
  <c r="BP55" i="2"/>
  <c r="BP62" i="2"/>
  <c r="BN62" i="2"/>
  <c r="BP66" i="2"/>
  <c r="Y71" i="2"/>
  <c r="BP67" i="2"/>
  <c r="BN67" i="2"/>
  <c r="Z67" i="2"/>
  <c r="BN119" i="2"/>
  <c r="BN149" i="2"/>
  <c r="BP149" i="2"/>
  <c r="BP201" i="2"/>
  <c r="Z201" i="2"/>
  <c r="BN204" i="2"/>
  <c r="BN218" i="2"/>
  <c r="Z218" i="2"/>
  <c r="BN223" i="2"/>
  <c r="Z223" i="2"/>
  <c r="BN255" i="2"/>
  <c r="BN263" i="2"/>
  <c r="Z263" i="2"/>
  <c r="BN287" i="2"/>
  <c r="BN295" i="2"/>
  <c r="BN310" i="2"/>
  <c r="BP338" i="2"/>
  <c r="BN338" i="2"/>
  <c r="Z338" i="2"/>
  <c r="BN355" i="2"/>
  <c r="Y357" i="2"/>
  <c r="T572" i="2"/>
  <c r="Z360" i="2"/>
  <c r="Z363" i="2" s="1"/>
  <c r="BN367" i="2"/>
  <c r="Z367" i="2"/>
  <c r="BN373" i="2"/>
  <c r="Z373" i="2"/>
  <c r="BP381" i="2"/>
  <c r="Z381" i="2"/>
  <c r="BN387" i="2"/>
  <c r="Z387" i="2"/>
  <c r="BN400" i="2"/>
  <c r="Y467" i="2"/>
  <c r="Y492" i="2"/>
  <c r="Z491" i="2"/>
  <c r="Z492" i="2" s="1"/>
  <c r="Y543" i="2"/>
  <c r="BP541" i="2"/>
  <c r="BN549" i="2"/>
  <c r="BP22" i="2"/>
  <c r="BN48" i="2"/>
  <c r="Z55" i="2"/>
  <c r="Z56" i="2"/>
  <c r="BP57" i="2"/>
  <c r="BN59" i="2"/>
  <c r="BN80" i="2"/>
  <c r="Z80" i="2"/>
  <c r="BN90" i="2"/>
  <c r="Z90" i="2"/>
  <c r="BN113" i="2"/>
  <c r="BP177" i="2"/>
  <c r="Z177" i="2"/>
  <c r="BN193" i="2"/>
  <c r="BN200" i="2"/>
  <c r="Z200" i="2"/>
  <c r="BP216" i="2"/>
  <c r="BN216" i="2"/>
  <c r="Z216" i="2"/>
  <c r="BN221" i="2"/>
  <c r="Z221" i="2"/>
  <c r="BP223" i="2"/>
  <c r="BP224" i="2"/>
  <c r="BN224" i="2"/>
  <c r="Z224" i="2"/>
  <c r="BN225" i="2"/>
  <c r="BN234" i="2"/>
  <c r="Z234" i="2"/>
  <c r="BN251" i="2"/>
  <c r="Z251" i="2"/>
  <c r="Y257" i="2"/>
  <c r="BN262" i="2"/>
  <c r="Z262" i="2"/>
  <c r="BP263" i="2"/>
  <c r="BN264" i="2"/>
  <c r="BN282" i="2"/>
  <c r="Z282" i="2"/>
  <c r="BP325" i="2"/>
  <c r="BN325" i="2"/>
  <c r="Z325" i="2"/>
  <c r="BN337" i="2"/>
  <c r="Z337" i="2"/>
  <c r="S572" i="2"/>
  <c r="Z351" i="2"/>
  <c r="Z352" i="2" s="1"/>
  <c r="BP367" i="2"/>
  <c r="BP368" i="2"/>
  <c r="Z368" i="2"/>
  <c r="BP373" i="2"/>
  <c r="BN380" i="2"/>
  <c r="Z380" i="2"/>
  <c r="BP387" i="2"/>
  <c r="BP413" i="2"/>
  <c r="Z413" i="2"/>
  <c r="BP439" i="2"/>
  <c r="Z439" i="2"/>
  <c r="BN443" i="2"/>
  <c r="BN448" i="2"/>
  <c r="Z448" i="2"/>
  <c r="BN484" i="2"/>
  <c r="BN510" i="2"/>
  <c r="BN521" i="2"/>
  <c r="BN527" i="2"/>
  <c r="BN69" i="2"/>
  <c r="Y109" i="2"/>
  <c r="BN103" i="2"/>
  <c r="BN106" i="2"/>
  <c r="BN118" i="2"/>
  <c r="BN141" i="2"/>
  <c r="BP147" i="2"/>
  <c r="BN148" i="2"/>
  <c r="BP158" i="2"/>
  <c r="BN160" i="2"/>
  <c r="BP180" i="2"/>
  <c r="BP202" i="2"/>
  <c r="Y211" i="2"/>
  <c r="BN256" i="2"/>
  <c r="BP271" i="2"/>
  <c r="BP272" i="2"/>
  <c r="BN276" i="2"/>
  <c r="Y334" i="2"/>
  <c r="BN331" i="2"/>
  <c r="BP361" i="2"/>
  <c r="BP382" i="2"/>
  <c r="BN407" i="2"/>
  <c r="BP415" i="2"/>
  <c r="BN441" i="2"/>
  <c r="BP455" i="2"/>
  <c r="BN466" i="2"/>
  <c r="BN485" i="2"/>
  <c r="BN509" i="2"/>
  <c r="BN531" i="2"/>
  <c r="BN545" i="2"/>
  <c r="BP24" i="2"/>
  <c r="BP37" i="2"/>
  <c r="BP49" i="2"/>
  <c r="BP74" i="2"/>
  <c r="BN79" i="2"/>
  <c r="BP121" i="2"/>
  <c r="Z121" i="2"/>
  <c r="Y127" i="2"/>
  <c r="BP125" i="2"/>
  <c r="Z136" i="2"/>
  <c r="BN136" i="2"/>
  <c r="BN173" i="2"/>
  <c r="Z173" i="2"/>
  <c r="BP205" i="2"/>
  <c r="BN205" i="2"/>
  <c r="BN231" i="2"/>
  <c r="BP231" i="2"/>
  <c r="Z231" i="2"/>
  <c r="Y300" i="2"/>
  <c r="BN292" i="2"/>
  <c r="BP292" i="2"/>
  <c r="Z292" i="2"/>
  <c r="Z298" i="2"/>
  <c r="BN298" i="2"/>
  <c r="BN345" i="2"/>
  <c r="BP345" i="2"/>
  <c r="Z345" i="2"/>
  <c r="BP378" i="2"/>
  <c r="Z378" i="2"/>
  <c r="Z414" i="2"/>
  <c r="BN414" i="2"/>
  <c r="W572" i="2"/>
  <c r="BP428" i="2"/>
  <c r="Y432" i="2"/>
  <c r="BP449" i="2"/>
  <c r="Z449" i="2"/>
  <c r="BP60" i="2"/>
  <c r="Y167" i="2"/>
  <c r="BN166" i="2"/>
  <c r="BP166" i="2"/>
  <c r="Y182" i="2"/>
  <c r="BP170" i="2"/>
  <c r="Z170" i="2"/>
  <c r="BN176" i="2"/>
  <c r="BP176" i="2"/>
  <c r="Z176" i="2"/>
  <c r="BN215" i="2"/>
  <c r="BP215" i="2"/>
  <c r="Z215" i="2"/>
  <c r="BN233" i="2"/>
  <c r="BP233" i="2"/>
  <c r="Z233" i="2"/>
  <c r="BN261" i="2"/>
  <c r="BP261" i="2"/>
  <c r="Z261" i="2"/>
  <c r="BN281" i="2"/>
  <c r="BP281" i="2"/>
  <c r="Z281" i="2"/>
  <c r="BP286" i="2"/>
  <c r="BN286" i="2"/>
  <c r="Z321" i="2"/>
  <c r="BN321" i="2"/>
  <c r="V572" i="2"/>
  <c r="BN420" i="2"/>
  <c r="BP420" i="2"/>
  <c r="Z420" i="2"/>
  <c r="Z423" i="2"/>
  <c r="BN423" i="2"/>
  <c r="X572" i="2"/>
  <c r="BN436" i="2"/>
  <c r="BP436" i="2"/>
  <c r="Z436" i="2"/>
  <c r="BN438" i="2"/>
  <c r="BP438" i="2"/>
  <c r="Z438" i="2"/>
  <c r="Y488" i="2"/>
  <c r="Y517" i="2"/>
  <c r="BN508" i="2"/>
  <c r="BP525" i="2"/>
  <c r="BN525" i="2"/>
  <c r="BN554" i="2"/>
  <c r="BP554" i="2"/>
  <c r="BP25" i="2"/>
  <c r="BN37" i="2"/>
  <c r="Y52" i="2"/>
  <c r="BP48" i="2"/>
  <c r="BN49" i="2"/>
  <c r="BP69" i="2"/>
  <c r="BN74" i="2"/>
  <c r="Z79" i="2"/>
  <c r="Z104" i="2"/>
  <c r="BN104" i="2"/>
  <c r="BP119" i="2"/>
  <c r="Z119" i="2"/>
  <c r="BN121" i="2"/>
  <c r="Z166" i="2"/>
  <c r="BP171" i="2"/>
  <c r="BN178" i="2"/>
  <c r="BP178" i="2"/>
  <c r="Z178" i="2"/>
  <c r="BP226" i="2"/>
  <c r="BN226" i="2"/>
  <c r="BP266" i="2"/>
  <c r="BN266" i="2"/>
  <c r="BN339" i="2"/>
  <c r="BP339" i="2"/>
  <c r="Z339" i="2"/>
  <c r="BN370" i="2"/>
  <c r="BP370" i="2"/>
  <c r="Z370" i="2"/>
  <c r="BN390" i="2"/>
  <c r="BP390" i="2"/>
  <c r="Z390" i="2"/>
  <c r="BN422" i="2"/>
  <c r="BP422" i="2"/>
  <c r="BN440" i="2"/>
  <c r="BP440" i="2"/>
  <c r="BP459" i="2"/>
  <c r="Y462" i="2"/>
  <c r="BN459" i="2"/>
  <c r="Y472" i="2"/>
  <c r="BP470" i="2"/>
  <c r="BP520" i="2"/>
  <c r="BN520" i="2"/>
  <c r="AC572" i="2"/>
  <c r="BN537" i="2"/>
  <c r="Y28" i="2"/>
  <c r="Z25" i="2"/>
  <c r="Y42" i="2"/>
  <c r="Y63" i="2"/>
  <c r="BP59" i="2"/>
  <c r="BN60" i="2"/>
  <c r="Z66" i="2"/>
  <c r="Y75" i="2"/>
  <c r="Y76" i="2"/>
  <c r="BP90" i="2"/>
  <c r="BP94" i="2"/>
  <c r="Y98" i="2"/>
  <c r="Y99" i="2"/>
  <c r="BN95" i="2"/>
  <c r="BP114" i="2"/>
  <c r="BN114" i="2"/>
  <c r="BP136" i="2"/>
  <c r="Y142" i="2"/>
  <c r="Z140" i="2"/>
  <c r="BP161" i="2"/>
  <c r="BN161" i="2"/>
  <c r="BN170" i="2"/>
  <c r="Z171" i="2"/>
  <c r="BP173" i="2"/>
  <c r="BN240" i="2"/>
  <c r="BP240" i="2"/>
  <c r="Z274" i="2"/>
  <c r="BN274" i="2"/>
  <c r="BN372" i="2"/>
  <c r="BP372" i="2"/>
  <c r="Z372" i="2"/>
  <c r="Y398" i="2"/>
  <c r="BN395" i="2"/>
  <c r="BP395" i="2"/>
  <c r="Z395" i="2"/>
  <c r="BP414" i="2"/>
  <c r="BP430" i="2"/>
  <c r="Z430" i="2"/>
  <c r="BP442" i="2"/>
  <c r="Z442" i="2"/>
  <c r="AA572" i="2"/>
  <c r="Y497" i="2"/>
  <c r="Z496" i="2"/>
  <c r="Z497" i="2" s="1"/>
  <c r="BN515" i="2"/>
  <c r="Z515" i="2"/>
  <c r="BP530" i="2"/>
  <c r="BN530" i="2"/>
  <c r="Y241" i="2"/>
  <c r="BP238" i="2"/>
  <c r="Y252" i="2"/>
  <c r="BP249" i="2"/>
  <c r="BN250" i="2"/>
  <c r="Y258" i="2"/>
  <c r="BP264" i="2"/>
  <c r="BN265" i="2"/>
  <c r="BN277" i="2"/>
  <c r="BN294" i="2"/>
  <c r="BP295" i="2"/>
  <c r="BN297" i="2"/>
  <c r="Y304" i="2"/>
  <c r="Y326" i="2"/>
  <c r="BP318" i="2"/>
  <c r="BN332" i="2"/>
  <c r="Y342" i="2"/>
  <c r="BN340" i="2"/>
  <c r="Y348" i="2"/>
  <c r="Y364" i="2"/>
  <c r="Y384" i="2"/>
  <c r="Y385" i="2"/>
  <c r="BP407" i="2"/>
  <c r="Y411" i="2"/>
  <c r="BP443" i="2"/>
  <c r="Y451" i="2"/>
  <c r="Y461" i="2"/>
  <c r="Y572" i="2"/>
  <c r="BN474" i="2"/>
  <c r="BN483" i="2"/>
  <c r="BN486" i="2"/>
  <c r="BN511" i="2"/>
  <c r="BN528" i="2"/>
  <c r="BP103" i="2"/>
  <c r="BP113" i="2"/>
  <c r="Y123" i="2"/>
  <c r="BP141" i="2"/>
  <c r="BP160" i="2"/>
  <c r="BP165" i="2"/>
  <c r="BP172" i="2"/>
  <c r="BP175" i="2"/>
  <c r="Z184" i="2"/>
  <c r="K572" i="2"/>
  <c r="Z204" i="2"/>
  <c r="BP210" i="2"/>
  <c r="Y212" i="2"/>
  <c r="Z219" i="2"/>
  <c r="Z225" i="2"/>
  <c r="BP230" i="2"/>
  <c r="Y284" i="2"/>
  <c r="BP306" i="2"/>
  <c r="R572" i="2"/>
  <c r="BN351" i="2"/>
  <c r="Y352" i="2"/>
  <c r="BP369" i="2"/>
  <c r="Z377" i="2"/>
  <c r="BP377" i="2"/>
  <c r="Y392" i="2"/>
  <c r="BP389" i="2"/>
  <c r="BP396" i="2"/>
  <c r="Y417" i="2"/>
  <c r="Z441" i="2"/>
  <c r="BP448" i="2"/>
  <c r="BP466" i="2"/>
  <c r="Y468" i="2"/>
  <c r="Y489" i="2"/>
  <c r="Y493" i="2"/>
  <c r="BP118" i="2"/>
  <c r="I572" i="2"/>
  <c r="Z148" i="2"/>
  <c r="J572" i="2"/>
  <c r="Z174" i="2"/>
  <c r="BP218" i="2"/>
  <c r="Z222" i="2"/>
  <c r="Y236" i="2"/>
  <c r="Y242" i="2"/>
  <c r="Y253" i="2"/>
  <c r="Y269" i="2"/>
  <c r="Y299" i="2"/>
  <c r="Z294" i="2"/>
  <c r="Y327" i="2"/>
  <c r="BP340" i="2"/>
  <c r="Y347" i="2"/>
  <c r="U572" i="2"/>
  <c r="Y375" i="2"/>
  <c r="Y410" i="2"/>
  <c r="Y425" i="2"/>
  <c r="Y444" i="2"/>
  <c r="BP483" i="2"/>
  <c r="BP491" i="2"/>
  <c r="Z135" i="2"/>
  <c r="Y137" i="2"/>
  <c r="BP135" i="2"/>
  <c r="BN135" i="2"/>
  <c r="BN30" i="2"/>
  <c r="Z30" i="2"/>
  <c r="Y33" i="2"/>
  <c r="Y32" i="2"/>
  <c r="BN88" i="2"/>
  <c r="Z88" i="2"/>
  <c r="BP30" i="2"/>
  <c r="Z112" i="2"/>
  <c r="Y116" i="2"/>
  <c r="BP112" i="2"/>
  <c r="BN112" i="2"/>
  <c r="Y115" i="2"/>
  <c r="Z102" i="2"/>
  <c r="Y110" i="2"/>
  <c r="G572" i="2"/>
  <c r="BP102" i="2"/>
  <c r="BN102" i="2"/>
  <c r="E572" i="2"/>
  <c r="Z179" i="2"/>
  <c r="Y181" i="2"/>
  <c r="BP179" i="2"/>
  <c r="BN179" i="2"/>
  <c r="Z267" i="2"/>
  <c r="BN267" i="2"/>
  <c r="BP267" i="2"/>
  <c r="H572" i="2"/>
  <c r="Y133" i="2"/>
  <c r="BN130" i="2"/>
  <c r="BP130" i="2"/>
  <c r="Y43" i="2"/>
  <c r="BN40" i="2"/>
  <c r="BP40" i="2"/>
  <c r="Z40" i="2"/>
  <c r="BN86" i="2"/>
  <c r="BP86" i="2"/>
  <c r="X563" i="2"/>
  <c r="X564" i="2"/>
  <c r="Z86" i="2"/>
  <c r="BN96" i="2"/>
  <c r="BP96" i="2"/>
  <c r="Y138" i="2"/>
  <c r="B572" i="2"/>
  <c r="BN107" i="2"/>
  <c r="BP107" i="2"/>
  <c r="Z107" i="2"/>
  <c r="Z159" i="2"/>
  <c r="Y163" i="2"/>
  <c r="BP159" i="2"/>
  <c r="Y162" i="2"/>
  <c r="BN159" i="2"/>
  <c r="Z142" i="2"/>
  <c r="Z467" i="2"/>
  <c r="Z68" i="2"/>
  <c r="Y70" i="2"/>
  <c r="BP68" i="2"/>
  <c r="BN68" i="2"/>
  <c r="Y132" i="2"/>
  <c r="BP88" i="2"/>
  <c r="X566" i="2"/>
  <c r="Z47" i="2"/>
  <c r="D572" i="2"/>
  <c r="Y51" i="2"/>
  <c r="BP47" i="2"/>
  <c r="BN47" i="2"/>
  <c r="Y92" i="2"/>
  <c r="Z58" i="2"/>
  <c r="BP58" i="2"/>
  <c r="BN58" i="2"/>
  <c r="Y64" i="2"/>
  <c r="X562" i="2"/>
  <c r="Y155" i="2"/>
  <c r="Y154" i="2"/>
  <c r="BN153" i="2"/>
  <c r="BP153" i="2"/>
  <c r="Y477" i="2"/>
  <c r="L572" i="2"/>
  <c r="H9" i="2"/>
  <c r="BP23" i="2"/>
  <c r="Z31" i="2"/>
  <c r="BP80" i="2"/>
  <c r="Z89" i="2"/>
  <c r="Z146" i="2"/>
  <c r="Z244" i="2"/>
  <c r="Z245" i="2" s="1"/>
  <c r="Z280" i="2"/>
  <c r="Z313" i="2"/>
  <c r="Z324" i="2"/>
  <c r="Y341" i="2"/>
  <c r="Z403" i="2"/>
  <c r="Y424" i="2"/>
  <c r="Y445" i="2"/>
  <c r="Z454" i="2"/>
  <c r="BN491" i="2"/>
  <c r="Z502" i="2"/>
  <c r="Z514" i="2"/>
  <c r="BN526" i="2"/>
  <c r="Y539" i="2"/>
  <c r="Y551" i="2"/>
  <c r="M572" i="2"/>
  <c r="Z78" i="2"/>
  <c r="Z189" i="2"/>
  <c r="Z190" i="2" s="1"/>
  <c r="Y194" i="2"/>
  <c r="Y206" i="2"/>
  <c r="Z214" i="2"/>
  <c r="Y227" i="2"/>
  <c r="J9" i="2"/>
  <c r="BN26" i="2"/>
  <c r="Z38" i="2"/>
  <c r="Z50" i="2"/>
  <c r="Z61" i="2"/>
  <c r="BN73" i="2"/>
  <c r="Z94" i="2"/>
  <c r="Z105" i="2"/>
  <c r="BN140" i="2"/>
  <c r="BN174" i="2"/>
  <c r="BN184" i="2"/>
  <c r="BN219" i="2"/>
  <c r="BN239" i="2"/>
  <c r="Z250" i="2"/>
  <c r="Z255" i="2"/>
  <c r="Z265" i="2"/>
  <c r="Z275" i="2"/>
  <c r="BP277" i="2"/>
  <c r="BP287" i="2"/>
  <c r="Z296" i="2"/>
  <c r="BP298" i="2"/>
  <c r="BP310" i="2"/>
  <c r="Z319" i="2"/>
  <c r="BP321" i="2"/>
  <c r="Z330" i="2"/>
  <c r="BP332" i="2"/>
  <c r="BN368" i="2"/>
  <c r="BN378" i="2"/>
  <c r="BN388" i="2"/>
  <c r="Y391" i="2"/>
  <c r="BP400" i="2"/>
  <c r="Z408" i="2"/>
  <c r="BN421" i="2"/>
  <c r="BN439" i="2"/>
  <c r="BN449" i="2"/>
  <c r="Z459" i="2"/>
  <c r="BP474" i="2"/>
  <c r="Z484" i="2"/>
  <c r="BP486" i="2"/>
  <c r="Z509" i="2"/>
  <c r="BP511" i="2"/>
  <c r="Z519" i="2"/>
  <c r="BP521" i="2"/>
  <c r="Z529" i="2"/>
  <c r="BP531" i="2"/>
  <c r="BP545" i="2"/>
  <c r="Y556" i="2"/>
  <c r="O572" i="2"/>
  <c r="BN31" i="2"/>
  <c r="BN78" i="2"/>
  <c r="Y81" i="2"/>
  <c r="BN89" i="2"/>
  <c r="BN146" i="2"/>
  <c r="BN189" i="2"/>
  <c r="BN214" i="2"/>
  <c r="BN244" i="2"/>
  <c r="BN280" i="2"/>
  <c r="Y283" i="2"/>
  <c r="BN313" i="2"/>
  <c r="BN324" i="2"/>
  <c r="BN403" i="2"/>
  <c r="BN454" i="2"/>
  <c r="Y478" i="2"/>
  <c r="BN502" i="2"/>
  <c r="BN514" i="2"/>
  <c r="P572" i="2"/>
  <c r="F10" i="2"/>
  <c r="Z24" i="2"/>
  <c r="BP26" i="2"/>
  <c r="BN38" i="2"/>
  <c r="BP73" i="2"/>
  <c r="BN94" i="2"/>
  <c r="BN105" i="2"/>
  <c r="BP140" i="2"/>
  <c r="Z149" i="2"/>
  <c r="Y207" i="2"/>
  <c r="Y228" i="2"/>
  <c r="BP239" i="2"/>
  <c r="Y268" i="2"/>
  <c r="BN275" i="2"/>
  <c r="Y288" i="2"/>
  <c r="BN296" i="2"/>
  <c r="Z306" i="2"/>
  <c r="Z307" i="2" s="1"/>
  <c r="BN319" i="2"/>
  <c r="BN330" i="2"/>
  <c r="Y333" i="2"/>
  <c r="BP388" i="2"/>
  <c r="Z396" i="2"/>
  <c r="BN408" i="2"/>
  <c r="BP421" i="2"/>
  <c r="Z437" i="2"/>
  <c r="Z447" i="2"/>
  <c r="Z470" i="2"/>
  <c r="Z471" i="2" s="1"/>
  <c r="BN519" i="2"/>
  <c r="Y522" i="2"/>
  <c r="BN529" i="2"/>
  <c r="Y532" i="2"/>
  <c r="Z541" i="2"/>
  <c r="Z542" i="2" s="1"/>
  <c r="Y546" i="2"/>
  <c r="Z553" i="2"/>
  <c r="Q572" i="2"/>
  <c r="BN66" i="2"/>
  <c r="BP78" i="2"/>
  <c r="Z87" i="2"/>
  <c r="Z97" i="2"/>
  <c r="Z108" i="2"/>
  <c r="BN120" i="2"/>
  <c r="Z131" i="2"/>
  <c r="Z132" i="2" s="1"/>
  <c r="BP146" i="2"/>
  <c r="Y168" i="2"/>
  <c r="BN177" i="2"/>
  <c r="BP189" i="2"/>
  <c r="BN201" i="2"/>
  <c r="BN222" i="2"/>
  <c r="BN232" i="2"/>
  <c r="Y235" i="2"/>
  <c r="BP244" i="2"/>
  <c r="BN260" i="2"/>
  <c r="Z278" i="2"/>
  <c r="Z311" i="2"/>
  <c r="Z322" i="2"/>
  <c r="BN346" i="2"/>
  <c r="BN360" i="2"/>
  <c r="Y363" i="2"/>
  <c r="BN371" i="2"/>
  <c r="Y374" i="2"/>
  <c r="BN381" i="2"/>
  <c r="Z401" i="2"/>
  <c r="BN413" i="2"/>
  <c r="Y416" i="2"/>
  <c r="BN430" i="2"/>
  <c r="BN442" i="2"/>
  <c r="BN465" i="2"/>
  <c r="Z475" i="2"/>
  <c r="Z487" i="2"/>
  <c r="Z500" i="2"/>
  <c r="Z512" i="2"/>
  <c r="Z559" i="2"/>
  <c r="Z560" i="2" s="1"/>
  <c r="BP184" i="2"/>
  <c r="Y195" i="2"/>
  <c r="Z217" i="2"/>
  <c r="Y27" i="2"/>
  <c r="BP50" i="2"/>
  <c r="BN125" i="2"/>
  <c r="BN172" i="2"/>
  <c r="BN306" i="2"/>
  <c r="BP330" i="2"/>
  <c r="Y353" i="2"/>
  <c r="BN437" i="2"/>
  <c r="BN447" i="2"/>
  <c r="Y450" i="2"/>
  <c r="BN470" i="2"/>
  <c r="Z482" i="2"/>
  <c r="BP519" i="2"/>
  <c r="Z527" i="2"/>
  <c r="BN541" i="2"/>
  <c r="BN553" i="2"/>
  <c r="A10" i="2"/>
  <c r="BN61" i="2"/>
  <c r="Z125" i="2"/>
  <c r="Z126" i="2" s="1"/>
  <c r="Z41" i="2"/>
  <c r="BN56" i="2"/>
  <c r="BN41" i="2"/>
  <c r="BN87" i="2"/>
  <c r="BN97" i="2"/>
  <c r="BN108" i="2"/>
  <c r="BN131" i="2"/>
  <c r="Z165" i="2"/>
  <c r="Z175" i="2"/>
  <c r="Z185" i="2"/>
  <c r="Y190" i="2"/>
  <c r="Z199" i="2"/>
  <c r="Z210" i="2"/>
  <c r="Z211" i="2" s="1"/>
  <c r="Z220" i="2"/>
  <c r="Z230" i="2"/>
  <c r="Z240" i="2"/>
  <c r="Z241" i="2" s="1"/>
  <c r="Y245" i="2"/>
  <c r="BP260" i="2"/>
  <c r="BN278" i="2"/>
  <c r="Y289" i="2"/>
  <c r="BN311" i="2"/>
  <c r="Y314" i="2"/>
  <c r="BN322" i="2"/>
  <c r="Z344" i="2"/>
  <c r="BP360" i="2"/>
  <c r="Z369" i="2"/>
  <c r="Z379" i="2"/>
  <c r="Z389" i="2"/>
  <c r="BN401" i="2"/>
  <c r="Y404" i="2"/>
  <c r="Z422" i="2"/>
  <c r="Z428" i="2"/>
  <c r="Z440" i="2"/>
  <c r="BP465" i="2"/>
  <c r="BN475" i="2"/>
  <c r="BN487" i="2"/>
  <c r="BN500" i="2"/>
  <c r="Y503" i="2"/>
  <c r="BN512" i="2"/>
  <c r="Y533" i="2"/>
  <c r="Y547" i="2"/>
  <c r="BN559" i="2"/>
  <c r="BP553" i="2"/>
  <c r="Z39" i="2"/>
  <c r="Z62" i="2"/>
  <c r="Z85" i="2"/>
  <c r="Z95" i="2"/>
  <c r="Z106" i="2"/>
  <c r="BN199" i="2"/>
  <c r="Z256" i="2"/>
  <c r="Z266" i="2"/>
  <c r="Z276" i="2"/>
  <c r="Z286" i="2"/>
  <c r="Z288" i="2" s="1"/>
  <c r="Z297" i="2"/>
  <c r="Z320" i="2"/>
  <c r="Z331" i="2"/>
  <c r="BN344" i="2"/>
  <c r="Z355" i="2"/>
  <c r="Z356" i="2" s="1"/>
  <c r="Z409" i="2"/>
  <c r="BN428" i="2"/>
  <c r="Y431" i="2"/>
  <c r="Z460" i="2"/>
  <c r="Z485" i="2"/>
  <c r="BP500" i="2"/>
  <c r="Z510" i="2"/>
  <c r="Z520" i="2"/>
  <c r="Z530" i="2"/>
  <c r="BP559" i="2"/>
  <c r="C572" i="2"/>
  <c r="Y126" i="2"/>
  <c r="Y150" i="2"/>
  <c r="Y307" i="2"/>
  <c r="Y315" i="2"/>
  <c r="Y397" i="2"/>
  <c r="Y405" i="2"/>
  <c r="Y471" i="2"/>
  <c r="BP482" i="2"/>
  <c r="Z525" i="2"/>
  <c r="Z537" i="2"/>
  <c r="Z538" i="2" s="1"/>
  <c r="Y542" i="2"/>
  <c r="Z549" i="2"/>
  <c r="Z550" i="2" s="1"/>
  <c r="Z554" i="2"/>
  <c r="Y560" i="2"/>
  <c r="Z279" i="2"/>
  <c r="Z312" i="2"/>
  <c r="Z323" i="2"/>
  <c r="Z402" i="2"/>
  <c r="Z453" i="2"/>
  <c r="Z476" i="2"/>
  <c r="Z501" i="2"/>
  <c r="Z513" i="2"/>
  <c r="F572" i="2"/>
  <c r="BP85" i="2"/>
  <c r="BP95" i="2"/>
  <c r="Z114" i="2"/>
  <c r="Y151" i="2"/>
  <c r="Z161" i="2"/>
  <c r="Y186" i="2"/>
  <c r="Z193" i="2"/>
  <c r="Z194" i="2" s="1"/>
  <c r="Z205" i="2"/>
  <c r="Z226" i="2"/>
  <c r="BN238" i="2"/>
  <c r="Z249" i="2"/>
  <c r="Z318" i="2"/>
  <c r="BP320" i="2"/>
  <c r="BP355" i="2"/>
  <c r="BP409" i="2"/>
  <c r="BP460" i="2"/>
  <c r="BN496" i="2"/>
  <c r="Z508" i="2"/>
  <c r="Z528" i="2"/>
  <c r="Z572" i="2"/>
  <c r="Y91" i="2"/>
  <c r="BN279" i="2"/>
  <c r="BN312" i="2"/>
  <c r="BN323" i="2"/>
  <c r="BN402" i="2"/>
  <c r="BN453" i="2"/>
  <c r="Y456" i="2"/>
  <c r="BN476" i="2"/>
  <c r="BN501" i="2"/>
  <c r="BN513" i="2"/>
  <c r="Y516" i="2"/>
  <c r="BP537" i="2"/>
  <c r="BP549" i="2"/>
  <c r="Y561" i="2"/>
  <c r="AB572" i="2"/>
  <c r="BP453" i="2"/>
  <c r="Y538" i="2"/>
  <c r="BP508" i="2"/>
  <c r="Z341" i="2" l="1"/>
  <c r="Z431" i="2"/>
  <c r="Z167" i="2"/>
  <c r="Z450" i="2"/>
  <c r="Z235" i="2"/>
  <c r="Z81" i="2"/>
  <c r="Z137" i="2"/>
  <c r="Z122" i="2"/>
  <c r="Z416" i="2"/>
  <c r="Z91" i="2"/>
  <c r="Z391" i="2"/>
  <c r="Z374" i="2"/>
  <c r="Z347" i="2"/>
  <c r="Z186" i="2"/>
  <c r="Z397" i="2"/>
  <c r="Z27" i="2"/>
  <c r="Z410" i="2"/>
  <c r="Z252" i="2"/>
  <c r="Z424" i="2"/>
  <c r="Z384" i="2"/>
  <c r="Z181" i="2"/>
  <c r="Z488" i="2"/>
  <c r="Z70" i="2"/>
  <c r="Y563" i="2"/>
  <c r="Z283" i="2"/>
  <c r="Z444" i="2"/>
  <c r="Y562" i="2"/>
  <c r="Z51" i="2"/>
  <c r="Z162" i="2"/>
  <c r="Z477" i="2"/>
  <c r="Y564" i="2"/>
  <c r="Z333" i="2"/>
  <c r="Z115" i="2"/>
  <c r="Z42" i="2"/>
  <c r="Z206" i="2"/>
  <c r="Z503" i="2"/>
  <c r="Z404" i="2"/>
  <c r="Z314" i="2"/>
  <c r="Z555" i="2"/>
  <c r="Z299" i="2"/>
  <c r="Z268" i="2"/>
  <c r="X565" i="2"/>
  <c r="Z326" i="2"/>
  <c r="Z98" i="2"/>
  <c r="Z532" i="2"/>
  <c r="Z522" i="2"/>
  <c r="Z32" i="2"/>
  <c r="Z109" i="2"/>
  <c r="Z461" i="2"/>
  <c r="Z227" i="2"/>
  <c r="Y566" i="2"/>
  <c r="Z257" i="2"/>
  <c r="Z456" i="2"/>
  <c r="Z150" i="2"/>
  <c r="Z516" i="2"/>
  <c r="Z63" i="2"/>
  <c r="Y565" i="2" l="1"/>
  <c r="Z567" i="2"/>
</calcChain>
</file>

<file path=xl/sharedStrings.xml><?xml version="1.0" encoding="utf-8"?>
<sst xmlns="http://schemas.openxmlformats.org/spreadsheetml/2006/main" count="4250" uniqueCount="899">
  <si>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</si>
  <si>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</si>
  <si>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</si>
  <si>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</si>
  <si>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</si>
  <si>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</si>
  <si>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</si>
  <si>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</si>
  <si>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</si>
  <si>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</si>
  <si>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</si>
  <si>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</si>
  <si>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</si>
  <si>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</si>
  <si>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</si>
  <si>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</si>
  <si>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</si>
  <si>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</si>
  <si>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</si>
  <si>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</si>
  <si>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</si>
  <si>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</si>
  <si>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</si>
  <si>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</si>
  <si>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</si>
  <si>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</si>
  <si>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</si>
  <si>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</si>
  <si>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</si>
  <si>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</si>
  <si>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</si>
  <si>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</si>
  <si>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</si>
  <si>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</si>
  <si>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</si>
  <si>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</si>
  <si>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</si>
  <si>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</si>
  <si>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</si>
  <si>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</si>
  <si>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</si>
  <si>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</si>
  <si>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</si>
  <si>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</si>
  <si>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</si>
  <si>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</si>
  <si>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</si>
  <si>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</si>
  <si>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</si>
  <si>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</si>
  <si>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</si>
  <si>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</si>
  <si>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</si>
  <si>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</si>
  <si>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</si>
  <si>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</si>
  <si>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</si>
  <si>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</si>
  <si>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</si>
  <si>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</si>
  <si>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</si>
  <si>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</si>
  <si>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</si>
  <si>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</si>
  <si>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</si>
  <si>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</si>
  <si>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</si>
  <si>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</si>
  <si>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02.11.2026</t>
  </si>
  <si>
    <t>28.10.2026</t>
  </si>
  <si>
    <t>ОБЩЕСТВО С ОГРАНИЧЕННОЙ ОТВЕТСТВЕННОСТЬЮ "КСК ТРЕЙД"</t>
  </si>
  <si>
    <t>590943</t>
  </si>
  <si>
    <t>Телефоны для заказов: 8(919)002-63-01  E-mail: kolbasa@abi.ru Телефон сотрудников склада: 8(910)775-52-91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</si>
  <si>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</si>
  <si>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</si>
  <si>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</si>
  <si>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</si>
  <si>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</si>
  <si>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</si>
  <si>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</si>
  <si>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</si>
  <si>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</si>
  <si>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</si>
  <si>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</si>
  <si>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</si>
  <si>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</si>
  <si>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</si>
  <si>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</si>
  <si>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</si>
  <si>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</si>
  <si>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</si>
  <si>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</si>
  <si>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</si>
  <si>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</si>
  <si>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</si>
  <si>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</si>
  <si>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SU004189</t>
  </si>
  <si>
    <t>P005558</t>
  </si>
  <si>
    <t>ЕАЭС N RU Д-RU.РА06.В.50313/26</t>
  </si>
  <si>
    <t>СНК</t>
  </si>
  <si>
    <t>Новинка</t>
  </si>
  <si>
    <t>МЗР</t>
  </si>
  <si>
    <t>22</t>
  </si>
  <si>
    <t>SU004193</t>
  </si>
  <si>
    <t>P005562</t>
  </si>
  <si>
    <t>ЕАЭС N RU Д-RU.РА03.В.86273/26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</si>
  <si>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</si>
  <si>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</si>
  <si>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</si>
  <si>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</si>
  <si>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</si>
  <si>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</si>
  <si>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</si>
  <si>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</si>
  <si>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</si>
  <si>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</si>
  <si>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</si>
  <si>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</si>
  <si>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</si>
  <si>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</si>
  <si>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</si>
  <si>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</si>
  <si>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</si>
  <si>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</si>
  <si>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</si>
  <si>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</si>
  <si>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</si>
  <si>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</si>
  <si>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</si>
  <si>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</si>
  <si>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</si>
  <si>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</si>
  <si>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</si>
  <si>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СК2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</si>
  <si>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</si>
  <si>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</si>
  <si>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</si>
  <si>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</si>
  <si>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</si>
  <si>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</si>
  <si>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</si>
  <si>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</si>
  <si>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</si>
  <si>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</si>
  <si>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</si>
  <si>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</si>
  <si>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</si>
  <si>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</si>
  <si>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Д-RU.РА06.В.81850/26, 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</si>
  <si>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</si>
  <si>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</si>
  <si>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</si>
  <si>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</si>
  <si>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</si>
  <si>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</si>
  <si>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</si>
  <si>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ЕАЭС N RU Д-RU.РА06.В.81983/26, ЕАЭС N RU Д-RU.РА09.В.72428/25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</si>
  <si>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</si>
  <si>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</si>
  <si>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</si>
  <si>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</si>
  <si>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</si>
  <si>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</si>
  <si>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</si>
  <si>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</si>
  <si>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</si>
  <si>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P005024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</si>
  <si>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</si>
  <si>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</si>
  <si>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</si>
  <si>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</si>
  <si>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</si>
  <si>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</si>
  <si>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</si>
  <si>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</si>
  <si>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</si>
  <si>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</si>
  <si>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</si>
  <si>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</si>
  <si>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</si>
  <si>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</si>
  <si>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</si>
  <si>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</si>
  <si>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</si>
  <si>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</si>
  <si>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</si>
  <si>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</si>
  <si>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</si>
  <si>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</si>
  <si>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</si>
  <si>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</si>
  <si>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</si>
  <si>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</si>
  <si>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</si>
  <si>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</si>
  <si>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</si>
  <si>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</si>
  <si>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</si>
  <si>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</si>
  <si>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</si>
  <si>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</si>
  <si>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</si>
  <si>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</si>
  <si>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</si>
  <si>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</si>
  <si>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</si>
  <si>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</si>
  <si>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</si>
  <si>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</si>
  <si>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</si>
  <si>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</si>
  <si>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</si>
  <si>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</si>
  <si>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</si>
  <si>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</si>
  <si>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</si>
  <si>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</si>
  <si>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</si>
  <si>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</si>
  <si>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</si>
  <si>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</si>
  <si>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</si>
  <si>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</si>
  <si>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</si>
  <si>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</si>
  <si>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</si>
  <si>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</si>
  <si>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</si>
  <si>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</si>
  <si>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</si>
  <si>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</si>
  <si>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</si>
  <si>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</si>
  <si>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</si>
  <si>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18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</si>
  <si>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</si>
  <si>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</si>
  <si>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</si>
  <si>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</si>
  <si>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</si>
  <si>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</si>
  <si>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</si>
  <si>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</si>
  <si>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</si>
  <si>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</si>
  <si>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</si>
  <si>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</si>
  <si>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</si>
  <si>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</si>
  <si>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</si>
  <si>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</si>
  <si>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</si>
  <si>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</si>
  <si>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</si>
  <si>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</si>
  <si>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</si>
  <si>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Копченые колбасы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</si>
  <si>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</si>
  <si>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</si>
  <si>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</si>
  <si>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</si>
  <si>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</si>
  <si>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</si>
  <si>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</si>
  <si>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</si>
  <si>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</si>
  <si>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</si>
  <si>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</si>
  <si>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</si>
  <si>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</si>
  <si>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</si>
  <si>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</si>
  <si>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</si>
  <si>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</si>
  <si>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</si>
  <si>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</si>
  <si>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</si>
  <si>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SU004197</t>
  </si>
  <si>
    <t>P005566</t>
  </si>
  <si>
    <t>ЕАЭС N RU Д-RU.РА04.В.38451/26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</si>
  <si>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</si>
  <si>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</si>
  <si>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</si>
  <si>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</si>
  <si>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</si>
  <si>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</si>
  <si>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</si>
  <si>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</si>
  <si>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</si>
  <si>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</si>
  <si>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</si>
  <si>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</si>
  <si>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</si>
  <si>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</si>
  <si>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</si>
  <si>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</si>
  <si>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SU004314</t>
  </si>
  <si>
    <t>P005656</t>
  </si>
  <si>
    <t>ЕАЭС N RU Д-RU.РА06.В.37475/26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</si>
  <si>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</si>
  <si>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</si>
  <si>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</si>
  <si>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</si>
  <si>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</si>
  <si>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</si>
  <si>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</si>
  <si>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</si>
  <si>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</si>
  <si>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</si>
  <si>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</si>
  <si>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</si>
  <si>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</si>
  <si>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</si>
  <si>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</si>
  <si>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</si>
  <si>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</si>
  <si>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</si>
  <si>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</si>
  <si>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</si>
  <si>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</si>
  <si>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</si>
  <si>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</si>
  <si>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</si>
  <si>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</si>
  <si>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</si>
  <si>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</si>
  <si>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</si>
  <si>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</si>
  <si>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</si>
  <si>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</si>
  <si>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</si>
  <si>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</si>
  <si>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</si>
  <si>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</si>
  <si>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</si>
  <si>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</si>
  <si>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</si>
  <si>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</si>
  <si>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</si>
  <si>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</si>
  <si>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</si>
  <si>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</si>
  <si>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</si>
  <si>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</si>
  <si>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</si>
  <si>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</si>
  <si>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</si>
  <si>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</si>
  <si>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</si>
  <si>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</si>
  <si>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</si>
  <si>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</si>
  <si>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</si>
  <si>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</si>
  <si>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</si>
  <si>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</si>
  <si>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</si>
  <si>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</si>
  <si>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</si>
  <si>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</si>
  <si>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</si>
  <si>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</si>
  <si>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</si>
  <si>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</si>
  <si>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</si>
  <si>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</si>
  <si>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</si>
  <si>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</si>
  <si>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</si>
  <si>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</si>
  <si>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</si>
  <si>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</si>
  <si>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</si>
  <si>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P005669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</si>
  <si>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</si>
  <si>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</si>
  <si>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</si>
  <si>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</si>
  <si>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</si>
  <si>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</si>
  <si>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</si>
  <si>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</si>
  <si>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</si>
  <si>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</si>
  <si>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</si>
  <si>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</si>
  <si>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</si>
  <si>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</si>
  <si>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</si>
  <si>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</si>
  <si>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</si>
  <si>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</si>
  <si>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</si>
  <si>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</si>
  <si>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</si>
  <si>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</si>
  <si>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</si>
  <si>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</si>
  <si>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</si>
  <si>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</si>
  <si>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</si>
  <si>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</si>
  <si>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</si>
  <si>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</si>
  <si>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</si>
  <si>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</si>
  <si>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</si>
  <si>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</si>
  <si>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</si>
  <si>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</si>
  <si>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</si>
  <si>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</si>
  <si>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</si>
  <si>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</si>
  <si>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</si>
  <si>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</si>
  <si>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</si>
  <si>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</si>
  <si>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</si>
  <si>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</si>
  <si>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</si>
  <si>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</si>
  <si>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</si>
  <si>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</si>
  <si>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</si>
  <si>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</si>
  <si>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</si>
  <si>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</si>
  <si>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</si>
  <si>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</si>
  <si>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</si>
  <si>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P005734</t>
  </si>
  <si>
    <t>Вареные колбасы «Сочинка» фикс.вес 0,45 п/а ТМ «Стародворье»</t>
  </si>
  <si>
    <t>ЕАЭС N RU Д-RU.РА07.В.75364/26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</si>
  <si>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</si>
  <si>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</si>
  <si>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</si>
  <si>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</si>
  <si>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</si>
  <si>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</si>
  <si>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</si>
  <si>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</si>
  <si>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</si>
  <si>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</si>
  <si>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</si>
  <si>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</si>
  <si>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</si>
  <si>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</si>
  <si>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</si>
  <si>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</si>
  <si>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</si>
  <si>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</si>
  <si>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</si>
  <si>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</si>
  <si>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</si>
  <si>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</si>
  <si>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</si>
  <si>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</si>
  <si>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</si>
  <si>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SU004362</t>
  </si>
  <si>
    <t>P005717</t>
  </si>
  <si>
    <t>ЕАЭС N RU Д-RU.РА09.В.39078/25, ЕАЭС N RU Д-RU.РА10.В.20056/25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</si>
  <si>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</si>
  <si>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</si>
  <si>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</si>
  <si>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</si>
  <si>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</si>
  <si>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</si>
  <si>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</si>
  <si>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</si>
  <si>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SU002842</t>
  </si>
  <si>
    <t>P003262</t>
  </si>
  <si>
    <t>SU002992</t>
  </si>
  <si>
    <t>P004147</t>
  </si>
  <si>
    <t>SU002618</t>
  </si>
  <si>
    <t>P003957</t>
  </si>
  <si>
    <t>SU004178</t>
  </si>
  <si>
    <t>P005433</t>
  </si>
  <si>
    <t>ЕАЭС N RU Д-RU.РА09.В.39078/25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</si>
  <si>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</si>
  <si>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</si>
  <si>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</si>
  <si>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</si>
  <si>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</si>
  <si>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</si>
  <si>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</si>
  <si>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</si>
  <si>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</si>
  <si>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</si>
  <si>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</si>
  <si>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</si>
  <si>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</si>
  <si>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</si>
  <si>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</si>
  <si>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</si>
  <si>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</si>
  <si>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</si>
  <si>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</si>
  <si>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</si>
  <si>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</si>
  <si>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</si>
  <si>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</si>
  <si>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</si>
  <si>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</si>
  <si>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</si>
  <si>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</si>
  <si>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</si>
  <si>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</si>
  <si>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</si>
  <si>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</si>
  <si>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</si>
  <si>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</si>
  <si>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</si>
  <si>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</si>
  <si>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</si>
  <si>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</si>
  <si>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</si>
  <si>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</si>
  <si>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</si>
  <si>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</si>
  <si>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</si>
  <si>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</si>
  <si>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</si>
  <si>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</si>
  <si>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</si>
  <si>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</si>
  <si>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</si>
  <si>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</si>
  <si>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</si>
  <si>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</si>
  <si>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</si>
  <si>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</si>
  <si>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SU004266</t>
  </si>
  <si>
    <t>P005543</t>
  </si>
  <si>
    <t>ЕАЭС N RU Д-RU.РА08.В.91639/26</t>
  </si>
  <si>
    <t>SU003389</t>
  </si>
  <si>
    <t>P004212</t>
  </si>
  <si>
    <t>ЕАЭС N RU Д-RU.РА03.В.10450/26, ЕАЭС N RU Д-RU.РА05.В.80817/24</t>
  </si>
  <si>
    <t>SU003958</t>
  </si>
  <si>
    <t>P005075</t>
  </si>
  <si>
    <t>ЕАЭС N RU Д-RU.РА06.В.34651/25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</si>
  <si>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</si>
  <si>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</si>
  <si>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</si>
  <si>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</si>
  <si>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</si>
  <si>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</si>
  <si>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</si>
  <si>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</si>
  <si>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</si>
  <si>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</si>
  <si>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</si>
  <si>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</si>
  <si>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</si>
  <si>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</si>
  <si>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</si>
  <si>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</si>
  <si>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</si>
  <si>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</si>
  <si>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</si>
  <si>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</si>
  <si>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</si>
  <si>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</si>
  <si>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</si>
  <si>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</si>
  <si>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</si>
  <si>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</si>
  <si>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</si>
  <si>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</si>
  <si>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</si>
  <si>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</si>
  <si>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</si>
  <si>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</si>
  <si>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</si>
  <si>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</si>
  <si>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</si>
  <si>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</si>
  <si>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</si>
  <si>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</si>
  <si>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</si>
  <si>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</si>
  <si>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</si>
  <si>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</si>
  <si>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</si>
  <si>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</si>
  <si>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</si>
  <si>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Д-RU.РА01.В.22820/26, ЕАЭС N RU Д-RU.РА01.В.25881/24, ЕАЭС N RU Д-RU.РА01.В.25922/24</t>
  </si>
  <si>
    <t>Добродворская</t>
  </si>
  <si>
    <t>SU003223</t>
  </si>
  <si>
    <t>P003870</t>
  </si>
  <si>
    <t>ЕАЭС N RU Д-RU.РА02.В.97873/26</t>
  </si>
  <si>
    <t>SU003203</t>
  </si>
  <si>
    <t>P003853</t>
  </si>
  <si>
    <t>ЕАЭС N RU Д-RU.РА02.В.84124/26, ЕАЭС N RU Д-RU.РА02.В.84211/26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</si>
  <si>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</si>
  <si>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</si>
  <si>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</si>
  <si>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</si>
  <si>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</si>
  <si>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</si>
  <si>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</si>
  <si>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</si>
  <si>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</si>
  <si>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</si>
  <si>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</si>
  <si>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</si>
  <si>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</si>
  <si>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</si>
  <si>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</si>
  <si>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</si>
  <si>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</si>
  <si>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</si>
  <si>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</si>
  <si>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</si>
  <si>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</si>
  <si>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</si>
  <si>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</si>
  <si>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</si>
  <si>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</si>
  <si>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</si>
  <si>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</si>
  <si>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</si>
  <si>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</si>
  <si>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</si>
  <si>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</si>
  <si>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</si>
  <si>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</si>
  <si>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</si>
  <si>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</si>
  <si>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</si>
  <si>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</si>
  <si>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</si>
  <si>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</si>
  <si>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</si>
  <si>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</si>
  <si>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</si>
  <si>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</si>
  <si>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</si>
  <si>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</si>
  <si>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</si>
  <si>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</si>
  <si>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</si>
  <si>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</si>
  <si>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</si>
  <si>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</si>
  <si>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</si>
  <si>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</si>
  <si>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</si>
  <si>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</si>
  <si>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</si>
  <si>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</si>
  <si>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</si>
  <si>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</si>
  <si>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</si>
  <si>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</si>
  <si>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</si>
  <si>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</si>
  <si>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</si>
  <si>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</si>
  <si>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</si>
  <si>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</si>
  <si>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</si>
  <si>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</si>
  <si>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</si>
  <si>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</si>
  <si>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</si>
  <si>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</si>
  <si>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</si>
  <si>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</si>
  <si>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</si>
  <si>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</si>
  <si>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</si>
  <si>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</si>
  <si>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</si>
  <si>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</si>
  <si>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</si>
  <si>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</si>
  <si>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</si>
  <si>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</si>
  <si>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</si>
  <si>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</si>
  <si>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</si>
  <si>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</si>
  <si>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</si>
  <si>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</si>
  <si>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</si>
  <si>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</si>
  <si>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</si>
  <si>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</si>
  <si>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</si>
  <si>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</si>
  <si>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P005759</t>
  </si>
  <si>
    <t>ЕАЭС N RU Д-RU.РА07.В.75409/26</t>
  </si>
  <si>
    <t>SU004292</t>
  </si>
  <si>
    <t>P005582</t>
  </si>
  <si>
    <t>ЕАЭС N RU Д-RU.РА04.В.42602/26</t>
  </si>
  <si>
    <t>P005760</t>
  </si>
  <si>
    <t>ЕАЭС N RU Д-RU.РА07.В.75456/26</t>
  </si>
  <si>
    <t>SU004382</t>
  </si>
  <si>
    <t>P005751</t>
  </si>
  <si>
    <t>Сосиски «Традиционные для Хореки» Весовой ТМ «Стародворье»</t>
  </si>
  <si>
    <t>ЕАЭС N RU Д-RU.РА08.В.06545/26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</si>
  <si>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</si>
  <si>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</si>
  <si>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</si>
  <si>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</si>
  <si>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</si>
  <si>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</si>
  <si>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</si>
  <si>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</si>
  <si>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</si>
  <si>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</si>
  <si>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</si>
  <si>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</si>
  <si>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</si>
  <si>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</si>
  <si>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</si>
  <si>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</si>
  <si>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</si>
  <si>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</si>
  <si>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</si>
  <si>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</si>
  <si>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</si>
  <si>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</si>
  <si>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</si>
  <si>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</si>
  <si>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</si>
  <si>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</si>
  <si>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</si>
  <si>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</si>
  <si>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</si>
  <si>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</si>
  <si>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</si>
  <si>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</si>
  <si>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</si>
  <si>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</si>
  <si>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</si>
  <si>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</si>
  <si>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</si>
  <si>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</si>
  <si>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</si>
  <si>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</si>
  <si>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</si>
  <si>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</si>
  <si>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</si>
  <si>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</si>
  <si>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</si>
  <si>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</si>
  <si>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</si>
  <si>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</si>
  <si>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</si>
  <si>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</si>
  <si>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</si>
  <si>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</si>
  <si>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</si>
  <si>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</si>
  <si>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</si>
  <si>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</si>
  <si>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</si>
  <si>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</si>
  <si>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</si>
  <si>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</si>
  <si>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</si>
  <si>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</si>
  <si>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</si>
  <si>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</si>
  <si>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</si>
  <si>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</si>
  <si>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</si>
  <si>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P005707</t>
  </si>
  <si>
    <t>ЕАЭС N RU Д-RU.РА07.В.06102/26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</si>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</sst>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0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9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2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81" t="s">
        <v>26</v>
      </c>
      <c r="E1" s="981"/>
      <c r="F1" s="981"/>
      <c r="G1" s="14" t="s">
        <v>67</v>
      </c>
      <c r="H1" s="981" t="s">
        <v>47</v>
      </c>
      <c r="I1" s="981"/>
      <c r="J1" s="981"/>
      <c r="K1" s="981"/>
      <c r="L1" s="981"/>
      <c r="M1" s="981"/>
      <c r="N1" s="981"/>
      <c r="O1" s="981"/>
      <c r="P1" s="981"/>
      <c r="Q1" s="981"/>
      <c r="R1" s="982" t="s">
        <v>68</v>
      </c>
      <c r="S1" s="983"/>
      <c r="T1" s="983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8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84"/>
      <c r="R2" s="984"/>
      <c r="S2" s="984"/>
      <c r="T2" s="984"/>
      <c r="U2" s="984"/>
      <c r="V2" s="984"/>
      <c r="W2" s="984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84"/>
      <c r="Q3" s="984"/>
      <c r="R3" s="984"/>
      <c r="S3" s="984"/>
      <c r="T3" s="984"/>
      <c r="U3" s="984"/>
      <c r="V3" s="984"/>
      <c r="W3" s="984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85" t="s">
        <v>8</v>
      </c>
      <c r="B5" s="985"/>
      <c r="C5" s="985"/>
      <c r="D5" s="986"/>
      <c r="E5" s="986"/>
      <c r="F5" s="987" t="s">
        <v>14</v>
      </c>
      <c r="G5" s="987"/>
      <c r="H5" s="986" t="s">
        <v>898</v>
      </c>
      <c r="I5" s="986"/>
      <c r="J5" s="986"/>
      <c r="K5" s="986"/>
      <c r="L5" s="986"/>
      <c r="M5" s="986"/>
      <c r="N5" s="72"/>
      <c r="P5" s="27" t="s">
        <v>4</v>
      </c>
      <c r="Q5" s="988">
        <v>46327</v>
      </c>
      <c r="R5" s="988"/>
      <c r="T5" s="989" t="s">
        <v>3</v>
      </c>
      <c r="U5" s="990"/>
      <c r="V5" s="991" t="s">
        <v>879</v>
      </c>
      <c r="W5" s="992"/>
      <c r="AB5" s="59"/>
      <c r="AC5" s="59"/>
      <c r="AD5" s="59"/>
      <c r="AE5" s="59"/>
    </row>
    <row r="6" spans="1:32" s="17" customFormat="1" ht="24" customHeight="1" x14ac:dyDescent="0.2">
      <c r="A6" s="985" t="s">
        <v>1</v>
      </c>
      <c r="B6" s="985"/>
      <c r="C6" s="985"/>
      <c r="D6" s="993" t="s">
        <v>880</v>
      </c>
      <c r="E6" s="993"/>
      <c r="F6" s="993"/>
      <c r="G6" s="993"/>
      <c r="H6" s="993"/>
      <c r="I6" s="993"/>
      <c r="J6" s="993"/>
      <c r="K6" s="993"/>
      <c r="L6" s="993"/>
      <c r="M6" s="993"/>
      <c r="N6" s="73"/>
      <c r="P6" s="27" t="s">
        <v>27</v>
      </c>
      <c r="Q6" s="994" t="str">
        <f>IF(Q5=0," ",CHOOSE(WEEKDAY(Q5,2),"Понедельник","Вторник","Среда","Четверг","Пятница","Суббота","Воскресенье"))</f>
        <v>Воскресенье</v>
      </c>
      <c r="R6" s="994"/>
      <c r="T6" s="995" t="s">
        <v>5</v>
      </c>
      <c r="U6" s="996"/>
      <c r="V6" s="997" t="s">
        <v>70</v>
      </c>
      <c r="W6" s="998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03" t="str">
        <f>IFERROR(VLOOKUP(DeliveryAddress,Table,3,0),1)</f>
        <v>1</v>
      </c>
      <c r="E7" s="1004"/>
      <c r="F7" s="1004"/>
      <c r="G7" s="1004"/>
      <c r="H7" s="1004"/>
      <c r="I7" s="1004"/>
      <c r="J7" s="1004"/>
      <c r="K7" s="1004"/>
      <c r="L7" s="1004"/>
      <c r="M7" s="1005"/>
      <c r="N7" s="74"/>
      <c r="P7" s="29"/>
      <c r="Q7" s="48"/>
      <c r="R7" s="48"/>
      <c r="T7" s="995"/>
      <c r="U7" s="996"/>
      <c r="V7" s="999"/>
      <c r="W7" s="1000"/>
      <c r="AB7" s="59"/>
      <c r="AC7" s="59"/>
      <c r="AD7" s="59"/>
      <c r="AE7" s="59"/>
    </row>
    <row r="8" spans="1:32" s="17" customFormat="1" ht="25.5" customHeight="1" x14ac:dyDescent="0.2">
      <c r="A8" s="1006" t="s">
        <v>58</v>
      </c>
      <c r="B8" s="1006"/>
      <c r="C8" s="1006"/>
      <c r="D8" s="1007"/>
      <c r="E8" s="1007"/>
      <c r="F8" s="1007"/>
      <c r="G8" s="1007"/>
      <c r="H8" s="1007"/>
      <c r="I8" s="1007"/>
      <c r="J8" s="1007"/>
      <c r="K8" s="1007"/>
      <c r="L8" s="1007"/>
      <c r="M8" s="1007"/>
      <c r="N8" s="75"/>
      <c r="P8" s="27" t="s">
        <v>11</v>
      </c>
      <c r="Q8" s="966">
        <v>0.5</v>
      </c>
      <c r="R8" s="966"/>
      <c r="T8" s="995"/>
      <c r="U8" s="996"/>
      <c r="V8" s="999"/>
      <c r="W8" s="1000"/>
      <c r="AB8" s="59"/>
      <c r="AC8" s="59"/>
      <c r="AD8" s="59"/>
      <c r="AE8" s="59"/>
    </row>
    <row r="9" spans="1:32" s="17" customFormat="1" ht="39.950000000000003" customHeight="1" x14ac:dyDescent="0.2">
      <c r="A9" s="9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56"/>
      <c r="C9" s="956"/>
      <c r="D9" s="957" t="s">
        <v>46</v>
      </c>
      <c r="E9" s="958"/>
      <c r="F9" s="9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56"/>
      <c r="H9" s="1008" t="str">
        <f>IF(AND($A$9="Тип доверенности/получателя при получении в адресе перегруза:",$D$9="Разовая доверенность"),"Введите ФИО","")</f>
        <v/>
      </c>
      <c r="I9" s="1008"/>
      <c r="J9" s="100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08"/>
      <c r="L9" s="1008"/>
      <c r="M9" s="1008"/>
      <c r="N9" s="70"/>
      <c r="P9" s="31" t="s">
        <v>15</v>
      </c>
      <c r="Q9" s="1009"/>
      <c r="R9" s="1009"/>
      <c r="T9" s="995"/>
      <c r="U9" s="996"/>
      <c r="V9" s="1001"/>
      <c r="W9" s="1002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56"/>
      <c r="C10" s="956"/>
      <c r="D10" s="957"/>
      <c r="E10" s="958"/>
      <c r="F10" s="9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56"/>
      <c r="H10" s="959" t="str">
        <f>IFERROR(VLOOKUP($D$10,Proxy,2,FALSE),"")</f>
        <v/>
      </c>
      <c r="I10" s="959"/>
      <c r="J10" s="959"/>
      <c r="K10" s="959"/>
      <c r="L10" s="959"/>
      <c r="M10" s="959"/>
      <c r="N10" s="71"/>
      <c r="P10" s="31" t="s">
        <v>32</v>
      </c>
      <c r="Q10" s="960"/>
      <c r="R10" s="960"/>
      <c r="U10" s="29" t="s">
        <v>12</v>
      </c>
      <c r="V10" s="961" t="s">
        <v>71</v>
      </c>
      <c r="W10" s="96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63"/>
      <c r="R11" s="963"/>
      <c r="U11" s="29" t="s">
        <v>28</v>
      </c>
      <c r="V11" s="964" t="s">
        <v>55</v>
      </c>
      <c r="W11" s="9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65" t="s">
        <v>72</v>
      </c>
      <c r="B12" s="965"/>
      <c r="C12" s="965"/>
      <c r="D12" s="965"/>
      <c r="E12" s="965"/>
      <c r="F12" s="965"/>
      <c r="G12" s="965"/>
      <c r="H12" s="965"/>
      <c r="I12" s="965"/>
      <c r="J12" s="965"/>
      <c r="K12" s="965"/>
      <c r="L12" s="965"/>
      <c r="M12" s="965"/>
      <c r="N12" s="76"/>
      <c r="P12" s="27" t="s">
        <v>30</v>
      </c>
      <c r="Q12" s="966"/>
      <c r="R12" s="966"/>
      <c r="S12" s="28"/>
      <c r="T12"/>
      <c r="U12" s="29" t="s">
        <v>46</v>
      </c>
      <c r="V12" s="967"/>
      <c r="W12" s="967"/>
      <c r="X12"/>
      <c r="AB12" s="59"/>
      <c r="AC12" s="59"/>
      <c r="AD12" s="59"/>
      <c r="AE12" s="59"/>
    </row>
    <row r="13" spans="1:32" s="17" customFormat="1" ht="23.25" customHeight="1" x14ac:dyDescent="0.2">
      <c r="A13" s="965" t="s">
        <v>73</v>
      </c>
      <c r="B13" s="965"/>
      <c r="C13" s="965"/>
      <c r="D13" s="965"/>
      <c r="E13" s="965"/>
      <c r="F13" s="965"/>
      <c r="G13" s="965"/>
      <c r="H13" s="965"/>
      <c r="I13" s="965"/>
      <c r="J13" s="965"/>
      <c r="K13" s="965"/>
      <c r="L13" s="965"/>
      <c r="M13" s="965"/>
      <c r="N13" s="76"/>
      <c r="O13" s="31"/>
      <c r="P13" s="31" t="s">
        <v>31</v>
      </c>
      <c r="Q13" s="964"/>
      <c r="R13" s="9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65" t="s">
        <v>74</v>
      </c>
      <c r="B14" s="965"/>
      <c r="C14" s="965"/>
      <c r="D14" s="965"/>
      <c r="E14" s="965"/>
      <c r="F14" s="965"/>
      <c r="G14" s="965"/>
      <c r="H14" s="965"/>
      <c r="I14" s="965"/>
      <c r="J14" s="965"/>
      <c r="K14" s="965"/>
      <c r="L14" s="965"/>
      <c r="M14" s="96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68" t="s">
        <v>75</v>
      </c>
      <c r="B15" s="968"/>
      <c r="C15" s="968"/>
      <c r="D15" s="968"/>
      <c r="E15" s="968"/>
      <c r="F15" s="968"/>
      <c r="G15" s="968"/>
      <c r="H15" s="968"/>
      <c r="I15" s="968"/>
      <c r="J15" s="968"/>
      <c r="K15" s="968"/>
      <c r="L15" s="968"/>
      <c r="M15" s="968"/>
      <c r="N15" s="77"/>
      <c r="O15"/>
      <c r="P15" s="969" t="s">
        <v>61</v>
      </c>
      <c r="Q15" s="969"/>
      <c r="R15" s="969"/>
      <c r="S15" s="969"/>
      <c r="T15" s="969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70"/>
      <c r="Q16" s="970"/>
      <c r="R16" s="970"/>
      <c r="S16" s="970"/>
      <c r="T16" s="9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39" t="s">
        <v>59</v>
      </c>
      <c r="B17" s="939" t="s">
        <v>49</v>
      </c>
      <c r="C17" s="973" t="s">
        <v>48</v>
      </c>
      <c r="D17" s="975" t="s">
        <v>50</v>
      </c>
      <c r="E17" s="976"/>
      <c r="F17" s="939" t="s">
        <v>21</v>
      </c>
      <c r="G17" s="939" t="s">
        <v>24</v>
      </c>
      <c r="H17" s="939" t="s">
        <v>22</v>
      </c>
      <c r="I17" s="939" t="s">
        <v>23</v>
      </c>
      <c r="J17" s="939" t="s">
        <v>16</v>
      </c>
      <c r="K17" s="939" t="s">
        <v>66</v>
      </c>
      <c r="L17" s="939" t="s">
        <v>64</v>
      </c>
      <c r="M17" s="939" t="s">
        <v>2</v>
      </c>
      <c r="N17" s="939" t="s">
        <v>63</v>
      </c>
      <c r="O17" s="939" t="s">
        <v>25</v>
      </c>
      <c r="P17" s="975" t="s">
        <v>17</v>
      </c>
      <c r="Q17" s="979"/>
      <c r="R17" s="979"/>
      <c r="S17" s="979"/>
      <c r="T17" s="976"/>
      <c r="U17" s="971" t="s">
        <v>56</v>
      </c>
      <c r="V17" s="972"/>
      <c r="W17" s="939" t="s">
        <v>6</v>
      </c>
      <c r="X17" s="939" t="s">
        <v>41</v>
      </c>
      <c r="Y17" s="941" t="s">
        <v>54</v>
      </c>
      <c r="Z17" s="943" t="s">
        <v>18</v>
      </c>
      <c r="AA17" s="945" t="s">
        <v>60</v>
      </c>
      <c r="AB17" s="945" t="s">
        <v>19</v>
      </c>
      <c r="AC17" s="945" t="s">
        <v>65</v>
      </c>
      <c r="AD17" s="947" t="s">
        <v>57</v>
      </c>
      <c r="AE17" s="948"/>
      <c r="AF17" s="949"/>
      <c r="AG17" s="82"/>
      <c r="BD17" s="81" t="s">
        <v>62</v>
      </c>
    </row>
    <row r="18" spans="1:68" ht="14.25" customHeight="1" x14ac:dyDescent="0.2">
      <c r="A18" s="940"/>
      <c r="B18" s="940"/>
      <c r="C18" s="974"/>
      <c r="D18" s="977"/>
      <c r="E18" s="978"/>
      <c r="F18" s="940"/>
      <c r="G18" s="940"/>
      <c r="H18" s="940"/>
      <c r="I18" s="940"/>
      <c r="J18" s="940"/>
      <c r="K18" s="940"/>
      <c r="L18" s="940"/>
      <c r="M18" s="940"/>
      <c r="N18" s="940"/>
      <c r="O18" s="940"/>
      <c r="P18" s="977"/>
      <c r="Q18" s="980"/>
      <c r="R18" s="980"/>
      <c r="S18" s="980"/>
      <c r="T18" s="978"/>
      <c r="U18" s="83" t="s">
        <v>44</v>
      </c>
      <c r="V18" s="83" t="s">
        <v>43</v>
      </c>
      <c r="W18" s="940"/>
      <c r="X18" s="940"/>
      <c r="Y18" s="942"/>
      <c r="Z18" s="944"/>
      <c r="AA18" s="946"/>
      <c r="AB18" s="946"/>
      <c r="AC18" s="946"/>
      <c r="AD18" s="950"/>
      <c r="AE18" s="951"/>
      <c r="AF18" s="952"/>
      <c r="AG18" s="82"/>
      <c r="BD18" s="81"/>
    </row>
    <row r="19" spans="1:68" ht="27.75" hidden="1" customHeight="1" x14ac:dyDescent="0.2">
      <c r="A19" s="666" t="s">
        <v>76</v>
      </c>
      <c r="B19" s="666"/>
      <c r="C19" s="666"/>
      <c r="D19" s="666"/>
      <c r="E19" s="666"/>
      <c r="F19" s="666"/>
      <c r="G19" s="666"/>
      <c r="H19" s="666"/>
      <c r="I19" s="666"/>
      <c r="J19" s="666"/>
      <c r="K19" s="666"/>
      <c r="L19" s="666"/>
      <c r="M19" s="666"/>
      <c r="N19" s="666"/>
      <c r="O19" s="666"/>
      <c r="P19" s="666"/>
      <c r="Q19" s="666"/>
      <c r="R19" s="666"/>
      <c r="S19" s="666"/>
      <c r="T19" s="666"/>
      <c r="U19" s="666"/>
      <c r="V19" s="666"/>
      <c r="W19" s="666"/>
      <c r="X19" s="666"/>
      <c r="Y19" s="666"/>
      <c r="Z19" s="666"/>
      <c r="AA19" s="54"/>
      <c r="AB19" s="54"/>
      <c r="AC19" s="54"/>
    </row>
    <row r="20" spans="1:68" ht="16.5" hidden="1" customHeight="1" x14ac:dyDescent="0.25">
      <c r="A20" s="647" t="s">
        <v>76</v>
      </c>
      <c r="B20" s="647"/>
      <c r="C20" s="647"/>
      <c r="D20" s="647"/>
      <c r="E20" s="647"/>
      <c r="F20" s="647"/>
      <c r="G20" s="647"/>
      <c r="H20" s="647"/>
      <c r="I20" s="647"/>
      <c r="J20" s="647"/>
      <c r="K20" s="647"/>
      <c r="L20" s="647"/>
      <c r="M20" s="647"/>
      <c r="N20" s="647"/>
      <c r="O20" s="647"/>
      <c r="P20" s="647"/>
      <c r="Q20" s="647"/>
      <c r="R20" s="647"/>
      <c r="S20" s="647"/>
      <c r="T20" s="647"/>
      <c r="U20" s="647"/>
      <c r="V20" s="647"/>
      <c r="W20" s="647"/>
      <c r="X20" s="647"/>
      <c r="Y20" s="647"/>
      <c r="Z20" s="647"/>
      <c r="AA20" s="65"/>
      <c r="AB20" s="65"/>
      <c r="AC20" s="79"/>
    </row>
    <row r="21" spans="1:68" ht="14.25" hidden="1" customHeight="1" x14ac:dyDescent="0.25">
      <c r="A21" s="648" t="s">
        <v>77</v>
      </c>
      <c r="B21" s="648"/>
      <c r="C21" s="648"/>
      <c r="D21" s="648"/>
      <c r="E21" s="648"/>
      <c r="F21" s="648"/>
      <c r="G21" s="648"/>
      <c r="H21" s="648"/>
      <c r="I21" s="648"/>
      <c r="J21" s="648"/>
      <c r="K21" s="648"/>
      <c r="L21" s="648"/>
      <c r="M21" s="648"/>
      <c r="N21" s="648"/>
      <c r="O21" s="648"/>
      <c r="P21" s="648"/>
      <c r="Q21" s="648"/>
      <c r="R21" s="648"/>
      <c r="S21" s="648"/>
      <c r="T21" s="648"/>
      <c r="U21" s="648"/>
      <c r="V21" s="648"/>
      <c r="W21" s="648"/>
      <c r="X21" s="648"/>
      <c r="Y21" s="648"/>
      <c r="Z21" s="64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4301051866</v>
      </c>
      <c r="D22" s="649">
        <v>4680115885912</v>
      </c>
      <c r="E22" s="649"/>
      <c r="F22" s="62">
        <v>0.3</v>
      </c>
      <c r="G22" s="37">
        <v>6</v>
      </c>
      <c r="H22" s="62">
        <v>1.8</v>
      </c>
      <c r="I22" s="62">
        <v>3.18</v>
      </c>
      <c r="J22" s="37">
        <v>182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53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51"/>
      <c r="R22" s="651"/>
      <c r="S22" s="651"/>
      <c r="T22" s="65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4301051776</v>
      </c>
      <c r="D23" s="649">
        <v>4607091388237</v>
      </c>
      <c r="E23" s="649"/>
      <c r="F23" s="62">
        <v>0.42</v>
      </c>
      <c r="G23" s="37">
        <v>6</v>
      </c>
      <c r="H23" s="62">
        <v>2.52</v>
      </c>
      <c r="I23" s="62">
        <v>2.766</v>
      </c>
      <c r="J23" s="37">
        <v>182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5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51"/>
      <c r="R23" s="651"/>
      <c r="S23" s="651"/>
      <c r="T23" s="65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IFERROR(IF(Y23=0,"",ROUNDUP(Y23/H23,0)*0.00651),"")</f>
        <v/>
      </c>
      <c r="AA23" s="68" t="s">
        <v>46</v>
      </c>
      <c r="AB23" s="69" t="s">
        <v>46</v>
      </c>
      <c r="AC23" s="88" t="s">
        <v>80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27" hidden="1" customHeight="1" x14ac:dyDescent="0.25">
      <c r="A24" s="63" t="s">
        <v>85</v>
      </c>
      <c r="B24" s="63" t="s">
        <v>86</v>
      </c>
      <c r="C24" s="36">
        <v>4301052063</v>
      </c>
      <c r="D24" s="649">
        <v>4680115887350</v>
      </c>
      <c r="E24" s="649"/>
      <c r="F24" s="62">
        <v>0.3</v>
      </c>
      <c r="G24" s="37">
        <v>6</v>
      </c>
      <c r="H24" s="62">
        <v>1.8</v>
      </c>
      <c r="I24" s="62">
        <v>3.18</v>
      </c>
      <c r="J24" s="37">
        <v>182</v>
      </c>
      <c r="K24" s="37" t="s">
        <v>82</v>
      </c>
      <c r="L24" s="37" t="s">
        <v>46</v>
      </c>
      <c r="M24" s="38" t="s">
        <v>88</v>
      </c>
      <c r="N24" s="38"/>
      <c r="O24" s="37">
        <v>40</v>
      </c>
      <c r="P24" s="95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4" s="651"/>
      <c r="R24" s="651"/>
      <c r="S24" s="651"/>
      <c r="T24" s="652"/>
      <c r="U24" s="39" t="s">
        <v>46</v>
      </c>
      <c r="V24" s="39" t="s">
        <v>46</v>
      </c>
      <c r="W24" s="40" t="s">
        <v>0</v>
      </c>
      <c r="X24" s="58">
        <v>0</v>
      </c>
      <c r="Y24" s="55">
        <f>IFERROR(IF(X24="",0,CEILING((X24/$H24),1)*$H24),"")</f>
        <v>0</v>
      </c>
      <c r="Z24" s="41" t="str">
        <f>IFERROR(IF(Y24=0,"",ROUNDUP(Y24/H24,0)*0.00651),"")</f>
        <v/>
      </c>
      <c r="AA24" s="68" t="s">
        <v>46</v>
      </c>
      <c r="AB24" s="69" t="s">
        <v>46</v>
      </c>
      <c r="AC24" s="90" t="s">
        <v>87</v>
      </c>
      <c r="AG24" s="78"/>
      <c r="AJ24" s="84" t="s">
        <v>46</v>
      </c>
      <c r="AK24" s="84">
        <v>0</v>
      </c>
      <c r="BB24" s="91" t="s">
        <v>67</v>
      </c>
      <c r="BM24" s="78">
        <f>IFERROR(X24*I24/H24,"0")</f>
        <v>0</v>
      </c>
      <c r="BN24" s="78">
        <f>IFERROR(Y24*I24/H24,"0")</f>
        <v>0</v>
      </c>
      <c r="BO24" s="78">
        <f>IFERROR(1/J24*(X24/H24),"0")</f>
        <v>0</v>
      </c>
      <c r="BP24" s="78">
        <f>IFERROR(1/J24*(Y24/H24),"0")</f>
        <v>0</v>
      </c>
    </row>
    <row r="25" spans="1:68" ht="27" hidden="1" customHeight="1" x14ac:dyDescent="0.25">
      <c r="A25" s="63" t="s">
        <v>89</v>
      </c>
      <c r="B25" s="63" t="s">
        <v>90</v>
      </c>
      <c r="C25" s="36">
        <v>4301051863</v>
      </c>
      <c r="D25" s="649">
        <v>4680115885905</v>
      </c>
      <c r="E25" s="649"/>
      <c r="F25" s="62">
        <v>0.3</v>
      </c>
      <c r="G25" s="37">
        <v>6</v>
      </c>
      <c r="H25" s="62">
        <v>1.8</v>
      </c>
      <c r="I25" s="62">
        <v>3.18</v>
      </c>
      <c r="J25" s="37">
        <v>182</v>
      </c>
      <c r="K25" s="37" t="s">
        <v>82</v>
      </c>
      <c r="L25" s="37" t="s">
        <v>46</v>
      </c>
      <c r="M25" s="38" t="s">
        <v>88</v>
      </c>
      <c r="N25" s="38"/>
      <c r="O25" s="37">
        <v>40</v>
      </c>
      <c r="P25" s="93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5" s="651"/>
      <c r="R25" s="651"/>
      <c r="S25" s="651"/>
      <c r="T25" s="652"/>
      <c r="U25" s="39" t="s">
        <v>46</v>
      </c>
      <c r="V25" s="39" t="s">
        <v>46</v>
      </c>
      <c r="W25" s="40" t="s">
        <v>0</v>
      </c>
      <c r="X25" s="58">
        <v>0</v>
      </c>
      <c r="Y25" s="55">
        <f>IFERROR(IF(X25="",0,CEILING((X25/$H25),1)*$H25),"")</f>
        <v>0</v>
      </c>
      <c r="Z25" s="41" t="str">
        <f>IFERROR(IF(Y25=0,"",ROUNDUP(Y25/H25,0)*0.00651),"")</f>
        <v/>
      </c>
      <c r="AA25" s="68" t="s">
        <v>46</v>
      </c>
      <c r="AB25" s="69" t="s">
        <v>46</v>
      </c>
      <c r="AC25" s="92" t="s">
        <v>91</v>
      </c>
      <c r="AG25" s="78"/>
      <c r="AJ25" s="84" t="s">
        <v>46</v>
      </c>
      <c r="AK25" s="84">
        <v>0</v>
      </c>
      <c r="BB25" s="93" t="s">
        <v>67</v>
      </c>
      <c r="BM25" s="78">
        <f>IFERROR(X25*I25/H25,"0")</f>
        <v>0</v>
      </c>
      <c r="BN25" s="78">
        <f>IFERROR(Y25*I25/H25,"0")</f>
        <v>0</v>
      </c>
      <c r="BO25" s="78">
        <f>IFERROR(1/J25*(X25/H25),"0")</f>
        <v>0</v>
      </c>
      <c r="BP25" s="78">
        <f>IFERROR(1/J25*(Y25/H25),"0")</f>
        <v>0</v>
      </c>
    </row>
    <row r="26" spans="1:68" ht="27" hidden="1" customHeight="1" x14ac:dyDescent="0.25">
      <c r="A26" s="63" t="s">
        <v>92</v>
      </c>
      <c r="B26" s="63" t="s">
        <v>93</v>
      </c>
      <c r="C26" s="36">
        <v>4301052071</v>
      </c>
      <c r="D26" s="649">
        <v>4680115887619</v>
      </c>
      <c r="E26" s="649"/>
      <c r="F26" s="62">
        <v>0.33</v>
      </c>
      <c r="G26" s="37">
        <v>6</v>
      </c>
      <c r="H26" s="62">
        <v>1.98</v>
      </c>
      <c r="I26" s="62">
        <v>2.16</v>
      </c>
      <c r="J26" s="37">
        <v>182</v>
      </c>
      <c r="K26" s="37" t="s">
        <v>82</v>
      </c>
      <c r="L26" s="37" t="s">
        <v>46</v>
      </c>
      <c r="M26" s="38" t="s">
        <v>81</v>
      </c>
      <c r="N26" s="38"/>
      <c r="O26" s="37">
        <v>40</v>
      </c>
      <c r="P26" s="93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26" s="651"/>
      <c r="R26" s="651"/>
      <c r="S26" s="651"/>
      <c r="T26" s="65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94" t="s">
        <v>94</v>
      </c>
      <c r="AG26" s="78"/>
      <c r="AJ26" s="84" t="s">
        <v>46</v>
      </c>
      <c r="AK26" s="84">
        <v>0</v>
      </c>
      <c r="BB26" s="95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idden="1" x14ac:dyDescent="0.2">
      <c r="A27" s="656"/>
      <c r="B27" s="656"/>
      <c r="C27" s="656"/>
      <c r="D27" s="656"/>
      <c r="E27" s="656"/>
      <c r="F27" s="656"/>
      <c r="G27" s="656"/>
      <c r="H27" s="656"/>
      <c r="I27" s="656"/>
      <c r="J27" s="656"/>
      <c r="K27" s="656"/>
      <c r="L27" s="656"/>
      <c r="M27" s="656"/>
      <c r="N27" s="656"/>
      <c r="O27" s="657"/>
      <c r="P27" s="653" t="s">
        <v>40</v>
      </c>
      <c r="Q27" s="654"/>
      <c r="R27" s="654"/>
      <c r="S27" s="654"/>
      <c r="T27" s="654"/>
      <c r="U27" s="654"/>
      <c r="V27" s="655"/>
      <c r="W27" s="42" t="s">
        <v>39</v>
      </c>
      <c r="X27" s="43">
        <f>IFERROR(X22/H22,"0")+IFERROR(X23/H23,"0")+IFERROR(X24/H24,"0")+IFERROR(X25/H25,"0")+IFERROR(X26/H26,"0")</f>
        <v>0</v>
      </c>
      <c r="Y27" s="43">
        <f>IFERROR(Y22/H22,"0")+IFERROR(Y23/H23,"0")+IFERROR(Y24/H24,"0")+IFERROR(Y25/H25,"0")+IFERROR(Y26/H26,"0")</f>
        <v>0</v>
      </c>
      <c r="Z27" s="43">
        <f>IFERROR(IF(Z22="",0,Z22),"0")+IFERROR(IF(Z23="",0,Z23),"0")+IFERROR(IF(Z24="",0,Z24),"0")+IFERROR(IF(Z25="",0,Z25),"0")+IFERROR(IF(Z26="",0,Z26),"0")</f>
        <v>0</v>
      </c>
      <c r="AA27" s="67"/>
      <c r="AB27" s="67"/>
      <c r="AC27" s="67"/>
    </row>
    <row r="28" spans="1:68" hidden="1" x14ac:dyDescent="0.2">
      <c r="A28" s="656"/>
      <c r="B28" s="656"/>
      <c r="C28" s="656"/>
      <c r="D28" s="656"/>
      <c r="E28" s="656"/>
      <c r="F28" s="656"/>
      <c r="G28" s="656"/>
      <c r="H28" s="656"/>
      <c r="I28" s="656"/>
      <c r="J28" s="656"/>
      <c r="K28" s="656"/>
      <c r="L28" s="656"/>
      <c r="M28" s="656"/>
      <c r="N28" s="656"/>
      <c r="O28" s="657"/>
      <c r="P28" s="653" t="s">
        <v>40</v>
      </c>
      <c r="Q28" s="654"/>
      <c r="R28" s="654"/>
      <c r="S28" s="654"/>
      <c r="T28" s="654"/>
      <c r="U28" s="654"/>
      <c r="V28" s="655"/>
      <c r="W28" s="42" t="s">
        <v>0</v>
      </c>
      <c r="X28" s="43">
        <f>IFERROR(SUM(X22:X26),"0")</f>
        <v>0</v>
      </c>
      <c r="Y28" s="43">
        <f>IFERROR(SUM(Y22:Y26),"0")</f>
        <v>0</v>
      </c>
      <c r="Z28" s="42"/>
      <c r="AA28" s="67"/>
      <c r="AB28" s="67"/>
      <c r="AC28" s="67"/>
    </row>
    <row r="29" spans="1:68" ht="14.25" hidden="1" customHeight="1" x14ac:dyDescent="0.25">
      <c r="A29" s="648" t="s">
        <v>95</v>
      </c>
      <c r="B29" s="648"/>
      <c r="C29" s="648"/>
      <c r="D29" s="648"/>
      <c r="E29" s="648"/>
      <c r="F29" s="648"/>
      <c r="G29" s="648"/>
      <c r="H29" s="648"/>
      <c r="I29" s="648"/>
      <c r="J29" s="648"/>
      <c r="K29" s="648"/>
      <c r="L29" s="648"/>
      <c r="M29" s="648"/>
      <c r="N29" s="648"/>
      <c r="O29" s="648"/>
      <c r="P29" s="648"/>
      <c r="Q29" s="648"/>
      <c r="R29" s="648"/>
      <c r="S29" s="648"/>
      <c r="T29" s="648"/>
      <c r="U29" s="648"/>
      <c r="V29" s="648"/>
      <c r="W29" s="648"/>
      <c r="X29" s="648"/>
      <c r="Y29" s="648"/>
      <c r="Z29" s="648"/>
      <c r="AA29" s="66"/>
      <c r="AB29" s="66"/>
      <c r="AC29" s="80"/>
    </row>
    <row r="30" spans="1:68" ht="27" hidden="1" customHeight="1" x14ac:dyDescent="0.25">
      <c r="A30" s="63" t="s">
        <v>96</v>
      </c>
      <c r="B30" s="63" t="s">
        <v>97</v>
      </c>
      <c r="C30" s="36">
        <v>4301032059</v>
      </c>
      <c r="D30" s="649">
        <v>4680115889262</v>
      </c>
      <c r="E30" s="649"/>
      <c r="F30" s="62">
        <v>0.05</v>
      </c>
      <c r="G30" s="37">
        <v>8</v>
      </c>
      <c r="H30" s="62">
        <v>0.4</v>
      </c>
      <c r="I30" s="62">
        <v>0.57999999999999996</v>
      </c>
      <c r="J30" s="37">
        <v>330</v>
      </c>
      <c r="K30" s="37" t="s">
        <v>102</v>
      </c>
      <c r="L30" s="37" t="s">
        <v>46</v>
      </c>
      <c r="M30" s="38" t="s">
        <v>101</v>
      </c>
      <c r="N30" s="38"/>
      <c r="O30" s="37">
        <v>180</v>
      </c>
      <c r="P30" s="937" t="str">
        <f>HYPERLINK("https://abi.ru/products/Охлажденные/Ядрена копоть/Ядрена копоть/Сырокопченые колбасы/P005558/","Сырокопченые колбасы «Колбаски со вкусом Бургер на огне» Фикс.вес 0,05 gel ТМ «Ядрена копоть»")</f>
        <v>Сырокопченые колбасы «Колбаски со вкусом Бургер на огне» Фикс.вес 0,05 gel ТМ «Ядрена копоть»</v>
      </c>
      <c r="Q30" s="651"/>
      <c r="R30" s="651"/>
      <c r="S30" s="651"/>
      <c r="T30" s="65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IFERROR(IF(Y30=0,"",ROUNDUP(Y30/H30,0)*0.00337),"")</f>
        <v/>
      </c>
      <c r="AA30" s="68" t="s">
        <v>46</v>
      </c>
      <c r="AB30" s="69" t="s">
        <v>100</v>
      </c>
      <c r="AC30" s="96" t="s">
        <v>98</v>
      </c>
      <c r="AG30" s="78"/>
      <c r="AJ30" s="84" t="s">
        <v>46</v>
      </c>
      <c r="AK30" s="84">
        <v>0</v>
      </c>
      <c r="BB30" s="97" t="s">
        <v>99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103</v>
      </c>
      <c r="B31" s="63" t="s">
        <v>104</v>
      </c>
      <c r="C31" s="36">
        <v>4301032063</v>
      </c>
      <c r="D31" s="649">
        <v>4680115889040</v>
      </c>
      <c r="E31" s="649"/>
      <c r="F31" s="62">
        <v>0.04</v>
      </c>
      <c r="G31" s="37">
        <v>8</v>
      </c>
      <c r="H31" s="62">
        <v>0.32</v>
      </c>
      <c r="I31" s="62">
        <v>0.5</v>
      </c>
      <c r="J31" s="37">
        <v>330</v>
      </c>
      <c r="K31" s="37" t="s">
        <v>102</v>
      </c>
      <c r="L31" s="37" t="s">
        <v>46</v>
      </c>
      <c r="M31" s="38" t="s">
        <v>101</v>
      </c>
      <c r="N31" s="38"/>
      <c r="O31" s="37">
        <v>120</v>
      </c>
      <c r="P31" s="938" t="str">
        <f>HYPERLINK("https://abi.ru/products/Охлажденные/Ядрена копоть/Ядрена копоть/Сырокопченые колбасы/P005562/","Сырокопченые колбасы «Мясные стики со вкусом Жгучий Хабанеро» Фикс.вес 0,04 gel ТМ «Ядрена копоть»")</f>
        <v>Сырокопченые колбасы «Мясные стики со вкусом Жгучий Хабанеро» Фикс.вес 0,04 gel ТМ «Ядрена копоть»</v>
      </c>
      <c r="Q31" s="651"/>
      <c r="R31" s="651"/>
      <c r="S31" s="651"/>
      <c r="T31" s="65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IFERROR(IF(Y31=0,"",ROUNDUP(Y31/H31,0)*0.00337),"")</f>
        <v/>
      </c>
      <c r="AA31" s="68" t="s">
        <v>46</v>
      </c>
      <c r="AB31" s="69" t="s">
        <v>100</v>
      </c>
      <c r="AC31" s="98" t="s">
        <v>105</v>
      </c>
      <c r="AG31" s="78"/>
      <c r="AJ31" s="84" t="s">
        <v>46</v>
      </c>
      <c r="AK31" s="84">
        <v>0</v>
      </c>
      <c r="BB31" s="99" t="s">
        <v>99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56"/>
      <c r="B32" s="656"/>
      <c r="C32" s="656"/>
      <c r="D32" s="656"/>
      <c r="E32" s="656"/>
      <c r="F32" s="656"/>
      <c r="G32" s="656"/>
      <c r="H32" s="656"/>
      <c r="I32" s="656"/>
      <c r="J32" s="656"/>
      <c r="K32" s="656"/>
      <c r="L32" s="656"/>
      <c r="M32" s="656"/>
      <c r="N32" s="656"/>
      <c r="O32" s="657"/>
      <c r="P32" s="653" t="s">
        <v>40</v>
      </c>
      <c r="Q32" s="654"/>
      <c r="R32" s="654"/>
      <c r="S32" s="654"/>
      <c r="T32" s="654"/>
      <c r="U32" s="654"/>
      <c r="V32" s="655"/>
      <c r="W32" s="42" t="s">
        <v>39</v>
      </c>
      <c r="X32" s="43">
        <f>IFERROR(X30/H30,"0")+IFERROR(X31/H31,"0")</f>
        <v>0</v>
      </c>
      <c r="Y32" s="43">
        <f>IFERROR(Y30/H30,"0")+IFERROR(Y31/H31,"0")</f>
        <v>0</v>
      </c>
      <c r="Z32" s="43">
        <f>IFERROR(IF(Z30="",0,Z30),"0")+IFERROR(IF(Z31="",0,Z31),"0")</f>
        <v>0</v>
      </c>
      <c r="AA32" s="67"/>
      <c r="AB32" s="67"/>
      <c r="AC32" s="67"/>
    </row>
    <row r="33" spans="1:68" hidden="1" x14ac:dyDescent="0.2">
      <c r="A33" s="656"/>
      <c r="B33" s="656"/>
      <c r="C33" s="656"/>
      <c r="D33" s="656"/>
      <c r="E33" s="656"/>
      <c r="F33" s="656"/>
      <c r="G33" s="656"/>
      <c r="H33" s="656"/>
      <c r="I33" s="656"/>
      <c r="J33" s="656"/>
      <c r="K33" s="656"/>
      <c r="L33" s="656"/>
      <c r="M33" s="656"/>
      <c r="N33" s="656"/>
      <c r="O33" s="657"/>
      <c r="P33" s="653" t="s">
        <v>40</v>
      </c>
      <c r="Q33" s="654"/>
      <c r="R33" s="654"/>
      <c r="S33" s="654"/>
      <c r="T33" s="654"/>
      <c r="U33" s="654"/>
      <c r="V33" s="655"/>
      <c r="W33" s="42" t="s">
        <v>0</v>
      </c>
      <c r="X33" s="43">
        <f>IFERROR(SUM(X30:X31),"0")</f>
        <v>0</v>
      </c>
      <c r="Y33" s="43">
        <f>IFERROR(SUM(Y30:Y31),"0")</f>
        <v>0</v>
      </c>
      <c r="Z33" s="42"/>
      <c r="AA33" s="67"/>
      <c r="AB33" s="67"/>
      <c r="AC33" s="67"/>
    </row>
    <row r="34" spans="1:68" ht="27.75" hidden="1" customHeight="1" x14ac:dyDescent="0.2">
      <c r="A34" s="666" t="s">
        <v>45</v>
      </c>
      <c r="B34" s="666"/>
      <c r="C34" s="666"/>
      <c r="D34" s="666"/>
      <c r="E34" s="666"/>
      <c r="F34" s="666"/>
      <c r="G34" s="666"/>
      <c r="H34" s="666"/>
      <c r="I34" s="666"/>
      <c r="J34" s="666"/>
      <c r="K34" s="666"/>
      <c r="L34" s="666"/>
      <c r="M34" s="666"/>
      <c r="N34" s="666"/>
      <c r="O34" s="666"/>
      <c r="P34" s="666"/>
      <c r="Q34" s="666"/>
      <c r="R34" s="666"/>
      <c r="S34" s="666"/>
      <c r="T34" s="666"/>
      <c r="U34" s="666"/>
      <c r="V34" s="666"/>
      <c r="W34" s="666"/>
      <c r="X34" s="666"/>
      <c r="Y34" s="666"/>
      <c r="Z34" s="666"/>
      <c r="AA34" s="54"/>
      <c r="AB34" s="54"/>
      <c r="AC34" s="54"/>
    </row>
    <row r="35" spans="1:68" ht="16.5" hidden="1" customHeight="1" x14ac:dyDescent="0.25">
      <c r="A35" s="647" t="s">
        <v>106</v>
      </c>
      <c r="B35" s="647"/>
      <c r="C35" s="647"/>
      <c r="D35" s="647"/>
      <c r="E35" s="647"/>
      <c r="F35" s="647"/>
      <c r="G35" s="647"/>
      <c r="H35" s="647"/>
      <c r="I35" s="647"/>
      <c r="J35" s="647"/>
      <c r="K35" s="647"/>
      <c r="L35" s="647"/>
      <c r="M35" s="647"/>
      <c r="N35" s="647"/>
      <c r="O35" s="647"/>
      <c r="P35" s="647"/>
      <c r="Q35" s="647"/>
      <c r="R35" s="647"/>
      <c r="S35" s="647"/>
      <c r="T35" s="647"/>
      <c r="U35" s="647"/>
      <c r="V35" s="647"/>
      <c r="W35" s="647"/>
      <c r="X35" s="647"/>
      <c r="Y35" s="647"/>
      <c r="Z35" s="647"/>
      <c r="AA35" s="65"/>
      <c r="AB35" s="65"/>
      <c r="AC35" s="79"/>
    </row>
    <row r="36" spans="1:68" ht="14.25" hidden="1" customHeight="1" x14ac:dyDescent="0.25">
      <c r="A36" s="648" t="s">
        <v>77</v>
      </c>
      <c r="B36" s="648"/>
      <c r="C36" s="648"/>
      <c r="D36" s="648"/>
      <c r="E36" s="648"/>
      <c r="F36" s="648"/>
      <c r="G36" s="648"/>
      <c r="H36" s="648"/>
      <c r="I36" s="648"/>
      <c r="J36" s="648"/>
      <c r="K36" s="648"/>
      <c r="L36" s="648"/>
      <c r="M36" s="648"/>
      <c r="N36" s="648"/>
      <c r="O36" s="648"/>
      <c r="P36" s="648"/>
      <c r="Q36" s="648"/>
      <c r="R36" s="648"/>
      <c r="S36" s="648"/>
      <c r="T36" s="648"/>
      <c r="U36" s="648"/>
      <c r="V36" s="648"/>
      <c r="W36" s="648"/>
      <c r="X36" s="648"/>
      <c r="Y36" s="648"/>
      <c r="Z36" s="648"/>
      <c r="AA36" s="66"/>
      <c r="AB36" s="66"/>
      <c r="AC36" s="80"/>
    </row>
    <row r="37" spans="1:68" ht="27" hidden="1" customHeight="1" x14ac:dyDescent="0.25">
      <c r="A37" s="63" t="s">
        <v>107</v>
      </c>
      <c r="B37" s="63" t="s">
        <v>108</v>
      </c>
      <c r="C37" s="36">
        <v>4301052187</v>
      </c>
      <c r="D37" s="649">
        <v>4680115889354</v>
      </c>
      <c r="E37" s="64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82</v>
      </c>
      <c r="L37" s="37" t="s">
        <v>46</v>
      </c>
      <c r="M37" s="38" t="s">
        <v>88</v>
      </c>
      <c r="N37" s="38"/>
      <c r="O37" s="37">
        <v>40</v>
      </c>
      <c r="P37" s="930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51"/>
      <c r="R37" s="651"/>
      <c r="S37" s="651"/>
      <c r="T37" s="65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109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110</v>
      </c>
      <c r="B38" s="63" t="s">
        <v>111</v>
      </c>
      <c r="C38" s="36">
        <v>4301052198</v>
      </c>
      <c r="D38" s="649">
        <v>4680115888463</v>
      </c>
      <c r="E38" s="649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82</v>
      </c>
      <c r="L38" s="37" t="s">
        <v>46</v>
      </c>
      <c r="M38" s="38" t="s">
        <v>81</v>
      </c>
      <c r="N38" s="38"/>
      <c r="O38" s="37">
        <v>40</v>
      </c>
      <c r="P38" s="931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51"/>
      <c r="R38" s="651"/>
      <c r="S38" s="651"/>
      <c r="T38" s="65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112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113</v>
      </c>
      <c r="B39" s="63" t="s">
        <v>114</v>
      </c>
      <c r="C39" s="36">
        <v>4301052259</v>
      </c>
      <c r="D39" s="649">
        <v>4680115889590</v>
      </c>
      <c r="E39" s="649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82</v>
      </c>
      <c r="L39" s="37" t="s">
        <v>46</v>
      </c>
      <c r="M39" s="38" t="s">
        <v>81</v>
      </c>
      <c r="N39" s="38"/>
      <c r="O39" s="37">
        <v>40</v>
      </c>
      <c r="P39" s="932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51"/>
      <c r="R39" s="651"/>
      <c r="S39" s="651"/>
      <c r="T39" s="65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115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116</v>
      </c>
      <c r="B40" s="63" t="s">
        <v>117</v>
      </c>
      <c r="C40" s="36">
        <v>4301052184</v>
      </c>
      <c r="D40" s="649">
        <v>4680115888272</v>
      </c>
      <c r="E40" s="64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82</v>
      </c>
      <c r="L40" s="37" t="s">
        <v>46</v>
      </c>
      <c r="M40" s="38" t="s">
        <v>81</v>
      </c>
      <c r="N40" s="38"/>
      <c r="O40" s="37">
        <v>40</v>
      </c>
      <c r="P40" s="93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51"/>
      <c r="R40" s="651"/>
      <c r="S40" s="651"/>
      <c r="T40" s="65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118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119</v>
      </c>
      <c r="B41" s="63" t="s">
        <v>120</v>
      </c>
      <c r="C41" s="36">
        <v>4301052188</v>
      </c>
      <c r="D41" s="649">
        <v>4680115888364</v>
      </c>
      <c r="E41" s="64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82</v>
      </c>
      <c r="L41" s="37" t="s">
        <v>46</v>
      </c>
      <c r="M41" s="38" t="s">
        <v>81</v>
      </c>
      <c r="N41" s="38"/>
      <c r="O41" s="37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51"/>
      <c r="R41" s="651"/>
      <c r="S41" s="651"/>
      <c r="T41" s="65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121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56"/>
      <c r="B42" s="656"/>
      <c r="C42" s="656"/>
      <c r="D42" s="656"/>
      <c r="E42" s="656"/>
      <c r="F42" s="656"/>
      <c r="G42" s="656"/>
      <c r="H42" s="656"/>
      <c r="I42" s="656"/>
      <c r="J42" s="656"/>
      <c r="K42" s="656"/>
      <c r="L42" s="656"/>
      <c r="M42" s="656"/>
      <c r="N42" s="656"/>
      <c r="O42" s="657"/>
      <c r="P42" s="653" t="s">
        <v>40</v>
      </c>
      <c r="Q42" s="654"/>
      <c r="R42" s="654"/>
      <c r="S42" s="654"/>
      <c r="T42" s="654"/>
      <c r="U42" s="654"/>
      <c r="V42" s="655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56"/>
      <c r="B43" s="656"/>
      <c r="C43" s="656"/>
      <c r="D43" s="656"/>
      <c r="E43" s="656"/>
      <c r="F43" s="656"/>
      <c r="G43" s="656"/>
      <c r="H43" s="656"/>
      <c r="I43" s="656"/>
      <c r="J43" s="656"/>
      <c r="K43" s="656"/>
      <c r="L43" s="656"/>
      <c r="M43" s="656"/>
      <c r="N43" s="656"/>
      <c r="O43" s="657"/>
      <c r="P43" s="653" t="s">
        <v>40</v>
      </c>
      <c r="Q43" s="654"/>
      <c r="R43" s="654"/>
      <c r="S43" s="654"/>
      <c r="T43" s="654"/>
      <c r="U43" s="654"/>
      <c r="V43" s="655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66" t="s">
        <v>122</v>
      </c>
      <c r="B44" s="666"/>
      <c r="C44" s="666"/>
      <c r="D44" s="666"/>
      <c r="E44" s="666"/>
      <c r="F44" s="666"/>
      <c r="G44" s="666"/>
      <c r="H44" s="666"/>
      <c r="I44" s="666"/>
      <c r="J44" s="666"/>
      <c r="K44" s="666"/>
      <c r="L44" s="666"/>
      <c r="M44" s="666"/>
      <c r="N44" s="666"/>
      <c r="O44" s="666"/>
      <c r="P44" s="666"/>
      <c r="Q44" s="666"/>
      <c r="R44" s="666"/>
      <c r="S44" s="666"/>
      <c r="T44" s="666"/>
      <c r="U44" s="666"/>
      <c r="V44" s="666"/>
      <c r="W44" s="666"/>
      <c r="X44" s="666"/>
      <c r="Y44" s="666"/>
      <c r="Z44" s="666"/>
      <c r="AA44" s="54"/>
      <c r="AB44" s="54"/>
      <c r="AC44" s="54"/>
    </row>
    <row r="45" spans="1:68" ht="16.5" hidden="1" customHeight="1" x14ac:dyDescent="0.25">
      <c r="A45" s="647" t="s">
        <v>123</v>
      </c>
      <c r="B45" s="647"/>
      <c r="C45" s="647"/>
      <c r="D45" s="647"/>
      <c r="E45" s="647"/>
      <c r="F45" s="647"/>
      <c r="G45" s="647"/>
      <c r="H45" s="647"/>
      <c r="I45" s="647"/>
      <c r="J45" s="647"/>
      <c r="K45" s="647"/>
      <c r="L45" s="647"/>
      <c r="M45" s="647"/>
      <c r="N45" s="647"/>
      <c r="O45" s="647"/>
      <c r="P45" s="647"/>
      <c r="Q45" s="647"/>
      <c r="R45" s="647"/>
      <c r="S45" s="647"/>
      <c r="T45" s="647"/>
      <c r="U45" s="647"/>
      <c r="V45" s="647"/>
      <c r="W45" s="647"/>
      <c r="X45" s="647"/>
      <c r="Y45" s="647"/>
      <c r="Z45" s="647"/>
      <c r="AA45" s="65"/>
      <c r="AB45" s="65"/>
      <c r="AC45" s="79"/>
    </row>
    <row r="46" spans="1:68" ht="14.25" hidden="1" customHeight="1" x14ac:dyDescent="0.25">
      <c r="A46" s="648" t="s">
        <v>124</v>
      </c>
      <c r="B46" s="648"/>
      <c r="C46" s="648"/>
      <c r="D46" s="648"/>
      <c r="E46" s="648"/>
      <c r="F46" s="648"/>
      <c r="G46" s="648"/>
      <c r="H46" s="648"/>
      <c r="I46" s="648"/>
      <c r="J46" s="648"/>
      <c r="K46" s="648"/>
      <c r="L46" s="648"/>
      <c r="M46" s="648"/>
      <c r="N46" s="648"/>
      <c r="O46" s="648"/>
      <c r="P46" s="648"/>
      <c r="Q46" s="648"/>
      <c r="R46" s="648"/>
      <c r="S46" s="648"/>
      <c r="T46" s="648"/>
      <c r="U46" s="648"/>
      <c r="V46" s="648"/>
      <c r="W46" s="648"/>
      <c r="X46" s="648"/>
      <c r="Y46" s="648"/>
      <c r="Z46" s="648"/>
      <c r="AA46" s="66"/>
      <c r="AB46" s="66"/>
      <c r="AC46" s="80"/>
    </row>
    <row r="47" spans="1:68" ht="16.5" customHeight="1" x14ac:dyDescent="0.25">
      <c r="A47" s="63" t="s">
        <v>125</v>
      </c>
      <c r="B47" s="63" t="s">
        <v>126</v>
      </c>
      <c r="C47" s="36">
        <v>4301011380</v>
      </c>
      <c r="D47" s="649">
        <v>4607091385670</v>
      </c>
      <c r="E47" s="649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129</v>
      </c>
      <c r="L47" s="37" t="s">
        <v>46</v>
      </c>
      <c r="M47" s="38" t="s">
        <v>128</v>
      </c>
      <c r="N47" s="38"/>
      <c r="O47" s="37">
        <v>50</v>
      </c>
      <c r="P47" s="92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51"/>
      <c r="R47" s="651"/>
      <c r="S47" s="651"/>
      <c r="T47" s="652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130</v>
      </c>
      <c r="B48" s="63" t="s">
        <v>131</v>
      </c>
      <c r="C48" s="36">
        <v>4301012053</v>
      </c>
      <c r="D48" s="649">
        <v>4680115887725</v>
      </c>
      <c r="E48" s="649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134</v>
      </c>
      <c r="L48" s="37" t="s">
        <v>46</v>
      </c>
      <c r="M48" s="38" t="s">
        <v>133</v>
      </c>
      <c r="N48" s="38"/>
      <c r="O48" s="37">
        <v>30</v>
      </c>
      <c r="P48" s="92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51"/>
      <c r="R48" s="651"/>
      <c r="S48" s="651"/>
      <c r="T48" s="65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135</v>
      </c>
      <c r="B49" s="63" t="s">
        <v>136</v>
      </c>
      <c r="C49" s="36">
        <v>4301011382</v>
      </c>
      <c r="D49" s="649">
        <v>4607091385687</v>
      </c>
      <c r="E49" s="649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137</v>
      </c>
      <c r="L49" s="37" t="s">
        <v>46</v>
      </c>
      <c r="M49" s="38" t="s">
        <v>81</v>
      </c>
      <c r="N49" s="38"/>
      <c r="O49" s="37">
        <v>50</v>
      </c>
      <c r="P49" s="92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51"/>
      <c r="R49" s="651"/>
      <c r="S49" s="651"/>
      <c r="T49" s="652"/>
      <c r="U49" s="39" t="s">
        <v>46</v>
      </c>
      <c r="V49" s="39" t="s">
        <v>46</v>
      </c>
      <c r="W49" s="40" t="s">
        <v>0</v>
      </c>
      <c r="X49" s="58">
        <v>24</v>
      </c>
      <c r="Y49" s="55">
        <f>IFERROR(IF(X49="",0,CEILING((X49/$H49),1)*$H49),"")</f>
        <v>24</v>
      </c>
      <c r="Z49" s="41">
        <f>IFERROR(IF(Y49=0,"",ROUNDUP(Y49/H49,0)*0.00902),"")</f>
        <v>5.4120000000000001E-2</v>
      </c>
      <c r="AA49" s="68" t="s">
        <v>46</v>
      </c>
      <c r="AB49" s="69" t="s">
        <v>46</v>
      </c>
      <c r="AC49" s="114" t="s">
        <v>127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25.14</v>
      </c>
      <c r="BN49" s="78">
        <f>IFERROR(Y49*I49/H49,"0")</f>
        <v>25.14</v>
      </c>
      <c r="BO49" s="78">
        <f>IFERROR(1/J49*(X49/H49),"0")</f>
        <v>4.5454545454545456E-2</v>
      </c>
      <c r="BP49" s="78">
        <f>IFERROR(1/J49*(Y49/H49),"0")</f>
        <v>4.5454545454545456E-2</v>
      </c>
    </row>
    <row r="50" spans="1:68" ht="27" hidden="1" customHeight="1" x14ac:dyDescent="0.25">
      <c r="A50" s="63" t="s">
        <v>138</v>
      </c>
      <c r="B50" s="63" t="s">
        <v>139</v>
      </c>
      <c r="C50" s="36">
        <v>4301011565</v>
      </c>
      <c r="D50" s="649">
        <v>4680115882539</v>
      </c>
      <c r="E50" s="649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137</v>
      </c>
      <c r="L50" s="37" t="s">
        <v>46</v>
      </c>
      <c r="M50" s="38" t="s">
        <v>81</v>
      </c>
      <c r="N50" s="38"/>
      <c r="O50" s="37">
        <v>50</v>
      </c>
      <c r="P50" s="9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51"/>
      <c r="R50" s="651"/>
      <c r="S50" s="651"/>
      <c r="T50" s="652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127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656"/>
      <c r="B51" s="656"/>
      <c r="C51" s="656"/>
      <c r="D51" s="656"/>
      <c r="E51" s="656"/>
      <c r="F51" s="656"/>
      <c r="G51" s="656"/>
      <c r="H51" s="656"/>
      <c r="I51" s="656"/>
      <c r="J51" s="656"/>
      <c r="K51" s="656"/>
      <c r="L51" s="656"/>
      <c r="M51" s="656"/>
      <c r="N51" s="656"/>
      <c r="O51" s="657"/>
      <c r="P51" s="653" t="s">
        <v>40</v>
      </c>
      <c r="Q51" s="654"/>
      <c r="R51" s="654"/>
      <c r="S51" s="654"/>
      <c r="T51" s="654"/>
      <c r="U51" s="654"/>
      <c r="V51" s="655"/>
      <c r="W51" s="42" t="s">
        <v>39</v>
      </c>
      <c r="X51" s="43">
        <f>IFERROR(X47/H47,"0")+IFERROR(X48/H48,"0")+IFERROR(X49/H49,"0")+IFERROR(X50/H50,"0")</f>
        <v>15.25925925925926</v>
      </c>
      <c r="Y51" s="43">
        <f>IFERROR(Y47/H47,"0")+IFERROR(Y48/H48,"0")+IFERROR(Y49/H49,"0")+IFERROR(Y50/H50,"0")</f>
        <v>16</v>
      </c>
      <c r="Z51" s="43">
        <f>IFERROR(IF(Z47="",0,Z47),"0")+IFERROR(IF(Z48="",0,Z48),"0")+IFERROR(IF(Z49="",0,Z49),"0")+IFERROR(IF(Z50="",0,Z50),"0")</f>
        <v>0.24392</v>
      </c>
      <c r="AA51" s="67"/>
      <c r="AB51" s="67"/>
      <c r="AC51" s="67"/>
    </row>
    <row r="52" spans="1:68" x14ac:dyDescent="0.2">
      <c r="A52" s="656"/>
      <c r="B52" s="656"/>
      <c r="C52" s="656"/>
      <c r="D52" s="656"/>
      <c r="E52" s="656"/>
      <c r="F52" s="656"/>
      <c r="G52" s="656"/>
      <c r="H52" s="656"/>
      <c r="I52" s="656"/>
      <c r="J52" s="656"/>
      <c r="K52" s="656"/>
      <c r="L52" s="656"/>
      <c r="M52" s="656"/>
      <c r="N52" s="656"/>
      <c r="O52" s="657"/>
      <c r="P52" s="653" t="s">
        <v>40</v>
      </c>
      <c r="Q52" s="654"/>
      <c r="R52" s="654"/>
      <c r="S52" s="654"/>
      <c r="T52" s="654"/>
      <c r="U52" s="654"/>
      <c r="V52" s="655"/>
      <c r="W52" s="42" t="s">
        <v>0</v>
      </c>
      <c r="X52" s="43">
        <f>IFERROR(SUM(X47:X50),"0")</f>
        <v>124</v>
      </c>
      <c r="Y52" s="43">
        <f>IFERROR(SUM(Y47:Y50),"0")</f>
        <v>132</v>
      </c>
      <c r="Z52" s="42"/>
      <c r="AA52" s="67"/>
      <c r="AB52" s="67"/>
      <c r="AC52" s="67"/>
    </row>
    <row r="53" spans="1:68" ht="16.5" hidden="1" customHeight="1" x14ac:dyDescent="0.25">
      <c r="A53" s="647" t="s">
        <v>140</v>
      </c>
      <c r="B53" s="647"/>
      <c r="C53" s="647"/>
      <c r="D53" s="647"/>
      <c r="E53" s="647"/>
      <c r="F53" s="647"/>
      <c r="G53" s="647"/>
      <c r="H53" s="647"/>
      <c r="I53" s="647"/>
      <c r="J53" s="647"/>
      <c r="K53" s="647"/>
      <c r="L53" s="647"/>
      <c r="M53" s="647"/>
      <c r="N53" s="647"/>
      <c r="O53" s="647"/>
      <c r="P53" s="647"/>
      <c r="Q53" s="647"/>
      <c r="R53" s="647"/>
      <c r="S53" s="647"/>
      <c r="T53" s="647"/>
      <c r="U53" s="647"/>
      <c r="V53" s="647"/>
      <c r="W53" s="647"/>
      <c r="X53" s="647"/>
      <c r="Y53" s="647"/>
      <c r="Z53" s="647"/>
      <c r="AA53" s="65"/>
      <c r="AB53" s="65"/>
      <c r="AC53" s="79"/>
    </row>
    <row r="54" spans="1:68" ht="14.25" hidden="1" customHeight="1" x14ac:dyDescent="0.25">
      <c r="A54" s="648" t="s">
        <v>124</v>
      </c>
      <c r="B54" s="648"/>
      <c r="C54" s="648"/>
      <c r="D54" s="648"/>
      <c r="E54" s="648"/>
      <c r="F54" s="648"/>
      <c r="G54" s="648"/>
      <c r="H54" s="648"/>
      <c r="I54" s="648"/>
      <c r="J54" s="648"/>
      <c r="K54" s="648"/>
      <c r="L54" s="648"/>
      <c r="M54" s="648"/>
      <c r="N54" s="648"/>
      <c r="O54" s="648"/>
      <c r="P54" s="648"/>
      <c r="Q54" s="648"/>
      <c r="R54" s="648"/>
      <c r="S54" s="648"/>
      <c r="T54" s="648"/>
      <c r="U54" s="648"/>
      <c r="V54" s="648"/>
      <c r="W54" s="648"/>
      <c r="X54" s="648"/>
      <c r="Y54" s="648"/>
      <c r="Z54" s="648"/>
      <c r="AA54" s="66"/>
      <c r="AB54" s="66"/>
      <c r="AC54" s="80"/>
    </row>
    <row r="55" spans="1:68" ht="27" hidden="1" customHeight="1" x14ac:dyDescent="0.25">
      <c r="A55" s="63" t="s">
        <v>141</v>
      </c>
      <c r="B55" s="63" t="s">
        <v>142</v>
      </c>
      <c r="C55" s="36">
        <v>4301012161</v>
      </c>
      <c r="D55" s="649">
        <v>4680115885882</v>
      </c>
      <c r="E55" s="649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129</v>
      </c>
      <c r="L55" s="37" t="s">
        <v>46</v>
      </c>
      <c r="M55" s="38" t="s">
        <v>128</v>
      </c>
      <c r="N55" s="38"/>
      <c r="O55" s="37">
        <v>50</v>
      </c>
      <c r="P55" s="92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51"/>
      <c r="R55" s="651"/>
      <c r="S55" s="651"/>
      <c r="T55" s="65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2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143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2" si="1">IFERROR(X55*I55/H55,"0")</f>
        <v>0</v>
      </c>
      <c r="BN55" s="78">
        <f t="shared" ref="BN55:BN62" si="2">IFERROR(Y55*I55/H55,"0")</f>
        <v>0</v>
      </c>
      <c r="BO55" s="78">
        <f t="shared" ref="BO55:BO62" si="3">IFERROR(1/J55*(X55/H55),"0")</f>
        <v>0</v>
      </c>
      <c r="BP55" s="78">
        <f t="shared" ref="BP55:BP62" si="4">IFERROR(1/J55*(Y55/H55),"0")</f>
        <v>0</v>
      </c>
    </row>
    <row r="56" spans="1:68" ht="27" hidden="1" customHeight="1" x14ac:dyDescent="0.25">
      <c r="A56" s="63" t="s">
        <v>144</v>
      </c>
      <c r="B56" s="63" t="s">
        <v>145</v>
      </c>
      <c r="C56" s="36">
        <v>4301011816</v>
      </c>
      <c r="D56" s="649">
        <v>4680115881426</v>
      </c>
      <c r="E56" s="64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129</v>
      </c>
      <c r="L56" s="37" t="s">
        <v>46</v>
      </c>
      <c r="M56" s="38" t="s">
        <v>128</v>
      </c>
      <c r="N56" s="38"/>
      <c r="O56" s="37">
        <v>50</v>
      </c>
      <c r="P56" s="92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51"/>
      <c r="R56" s="651"/>
      <c r="S56" s="651"/>
      <c r="T56" s="65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146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37.5" hidden="1" customHeight="1" x14ac:dyDescent="0.25">
      <c r="A57" s="63" t="s">
        <v>144</v>
      </c>
      <c r="B57" s="63" t="s">
        <v>147</v>
      </c>
      <c r="C57" s="36">
        <v>4301012162</v>
      </c>
      <c r="D57" s="649">
        <v>4680115881426</v>
      </c>
      <c r="E57" s="649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129</v>
      </c>
      <c r="L57" s="37" t="s">
        <v>46</v>
      </c>
      <c r="M57" s="38" t="s">
        <v>128</v>
      </c>
      <c r="N57" s="38"/>
      <c r="O57" s="37">
        <v>50</v>
      </c>
      <c r="P57" s="917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51"/>
      <c r="R57" s="651"/>
      <c r="S57" s="651"/>
      <c r="T57" s="65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148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149</v>
      </c>
      <c r="B58" s="63" t="s">
        <v>150</v>
      </c>
      <c r="C58" s="36">
        <v>4301012259</v>
      </c>
      <c r="D58" s="649">
        <v>4680115880283</v>
      </c>
      <c r="E58" s="649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137</v>
      </c>
      <c r="L58" s="37" t="s">
        <v>46</v>
      </c>
      <c r="M58" s="38" t="s">
        <v>128</v>
      </c>
      <c r="N58" s="38"/>
      <c r="O58" s="37">
        <v>45</v>
      </c>
      <c r="P58" s="9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51"/>
      <c r="R58" s="651"/>
      <c r="S58" s="651"/>
      <c r="T58" s="652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151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152</v>
      </c>
      <c r="B59" s="63" t="s">
        <v>153</v>
      </c>
      <c r="C59" s="36">
        <v>4301011806</v>
      </c>
      <c r="D59" s="649">
        <v>4680115881525</v>
      </c>
      <c r="E59" s="64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137</v>
      </c>
      <c r="L59" s="37" t="s">
        <v>46</v>
      </c>
      <c r="M59" s="38" t="s">
        <v>128</v>
      </c>
      <c r="N59" s="38"/>
      <c r="O59" s="37">
        <v>50</v>
      </c>
      <c r="P59" s="91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51"/>
      <c r="R59" s="651"/>
      <c r="S59" s="651"/>
      <c r="T59" s="65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154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152</v>
      </c>
      <c r="B60" s="63" t="s">
        <v>155</v>
      </c>
      <c r="C60" s="36">
        <v>4301012159</v>
      </c>
      <c r="D60" s="649">
        <v>4680115881525</v>
      </c>
      <c r="E60" s="649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137</v>
      </c>
      <c r="L60" s="37" t="s">
        <v>46</v>
      </c>
      <c r="M60" s="38" t="s">
        <v>128</v>
      </c>
      <c r="N60" s="38"/>
      <c r="O60" s="37">
        <v>50</v>
      </c>
      <c r="P60" s="920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51"/>
      <c r="R60" s="651"/>
      <c r="S60" s="651"/>
      <c r="T60" s="65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156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157</v>
      </c>
      <c r="B61" s="63" t="s">
        <v>158</v>
      </c>
      <c r="C61" s="36">
        <v>4301012165</v>
      </c>
      <c r="D61" s="649">
        <v>4680115885899</v>
      </c>
      <c r="E61" s="649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82</v>
      </c>
      <c r="L61" s="37" t="s">
        <v>46</v>
      </c>
      <c r="M61" s="38" t="s">
        <v>128</v>
      </c>
      <c r="N61" s="38"/>
      <c r="O61" s="37">
        <v>50</v>
      </c>
      <c r="P61" s="921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51"/>
      <c r="R61" s="651"/>
      <c r="S61" s="651"/>
      <c r="T61" s="65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143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159</v>
      </c>
      <c r="B62" s="63" t="s">
        <v>160</v>
      </c>
      <c r="C62" s="36">
        <v>4301012158</v>
      </c>
      <c r="D62" s="649">
        <v>4680115881419</v>
      </c>
      <c r="E62" s="649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137</v>
      </c>
      <c r="L62" s="37" t="s">
        <v>46</v>
      </c>
      <c r="M62" s="38" t="s">
        <v>128</v>
      </c>
      <c r="N62" s="38"/>
      <c r="O62" s="37">
        <v>50</v>
      </c>
      <c r="P62" s="922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2" s="651"/>
      <c r="R62" s="651"/>
      <c r="S62" s="651"/>
      <c r="T62" s="65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156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idden="1" x14ac:dyDescent="0.2">
      <c r="A63" s="656"/>
      <c r="B63" s="656"/>
      <c r="C63" s="656"/>
      <c r="D63" s="656"/>
      <c r="E63" s="656"/>
      <c r="F63" s="656"/>
      <c r="G63" s="656"/>
      <c r="H63" s="656"/>
      <c r="I63" s="656"/>
      <c r="J63" s="656"/>
      <c r="K63" s="656"/>
      <c r="L63" s="656"/>
      <c r="M63" s="656"/>
      <c r="N63" s="656"/>
      <c r="O63" s="657"/>
      <c r="P63" s="653" t="s">
        <v>40</v>
      </c>
      <c r="Q63" s="654"/>
      <c r="R63" s="654"/>
      <c r="S63" s="654"/>
      <c r="T63" s="654"/>
      <c r="U63" s="654"/>
      <c r="V63" s="655"/>
      <c r="W63" s="42" t="s">
        <v>39</v>
      </c>
      <c r="X63" s="43">
        <f>IFERROR(X55/H55,"0")+IFERROR(X56/H56,"0")+IFERROR(X57/H57,"0")+IFERROR(X58/H58,"0")+IFERROR(X59/H59,"0")+IFERROR(X60/H60,"0")+IFERROR(X61/H61,"0")+IFERROR(X62/H62,"0")</f>
        <v>0</v>
      </c>
      <c r="Y63" s="43">
        <f>IFERROR(Y55/H55,"0")+IFERROR(Y56/H56,"0")+IFERROR(Y57/H57,"0")+IFERROR(Y58/H58,"0")+IFERROR(Y59/H59,"0")+IFERROR(Y60/H60,"0")+IFERROR(Y61/H61,"0")+IFERROR(Y62/H62,"0")</f>
        <v>0</v>
      </c>
      <c r="Z63" s="43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7"/>
      <c r="AB63" s="67"/>
      <c r="AC63" s="67"/>
    </row>
    <row r="64" spans="1:68" hidden="1" x14ac:dyDescent="0.2">
      <c r="A64" s="656"/>
      <c r="B64" s="656"/>
      <c r="C64" s="656"/>
      <c r="D64" s="656"/>
      <c r="E64" s="656"/>
      <c r="F64" s="656"/>
      <c r="G64" s="656"/>
      <c r="H64" s="656"/>
      <c r="I64" s="656"/>
      <c r="J64" s="656"/>
      <c r="K64" s="656"/>
      <c r="L64" s="656"/>
      <c r="M64" s="656"/>
      <c r="N64" s="656"/>
      <c r="O64" s="657"/>
      <c r="P64" s="653" t="s">
        <v>40</v>
      </c>
      <c r="Q64" s="654"/>
      <c r="R64" s="654"/>
      <c r="S64" s="654"/>
      <c r="T64" s="654"/>
      <c r="U64" s="654"/>
      <c r="V64" s="655"/>
      <c r="W64" s="42" t="s">
        <v>0</v>
      </c>
      <c r="X64" s="43">
        <f>IFERROR(SUM(X55:X62),"0")</f>
        <v>0</v>
      </c>
      <c r="Y64" s="43">
        <f>IFERROR(SUM(Y55:Y62),"0")</f>
        <v>0</v>
      </c>
      <c r="Z64" s="42"/>
      <c r="AA64" s="67"/>
      <c r="AB64" s="67"/>
      <c r="AC64" s="67"/>
    </row>
    <row r="65" spans="1:68" ht="14.25" hidden="1" customHeight="1" x14ac:dyDescent="0.25">
      <c r="A65" s="648" t="s">
        <v>161</v>
      </c>
      <c r="B65" s="648"/>
      <c r="C65" s="648"/>
      <c r="D65" s="648"/>
      <c r="E65" s="648"/>
      <c r="F65" s="648"/>
      <c r="G65" s="648"/>
      <c r="H65" s="648"/>
      <c r="I65" s="648"/>
      <c r="J65" s="648"/>
      <c r="K65" s="648"/>
      <c r="L65" s="648"/>
      <c r="M65" s="648"/>
      <c r="N65" s="648"/>
      <c r="O65" s="648"/>
      <c r="P65" s="648"/>
      <c r="Q65" s="648"/>
      <c r="R65" s="648"/>
      <c r="S65" s="648"/>
      <c r="T65" s="648"/>
      <c r="U65" s="648"/>
      <c r="V65" s="648"/>
      <c r="W65" s="648"/>
      <c r="X65" s="648"/>
      <c r="Y65" s="648"/>
      <c r="Z65" s="648"/>
      <c r="AA65" s="66"/>
      <c r="AB65" s="66"/>
      <c r="AC65" s="80"/>
    </row>
    <row r="66" spans="1:68" ht="27" customHeight="1" x14ac:dyDescent="0.25">
      <c r="A66" s="63" t="s">
        <v>162</v>
      </c>
      <c r="B66" s="63" t="s">
        <v>163</v>
      </c>
      <c r="C66" s="36">
        <v>4301020390</v>
      </c>
      <c r="D66" s="649">
        <v>4680115881440</v>
      </c>
      <c r="E66" s="649"/>
      <c r="F66" s="62">
        <v>1.35</v>
      </c>
      <c r="G66" s="37">
        <v>8</v>
      </c>
      <c r="H66" s="62">
        <v>10.8</v>
      </c>
      <c r="I66" s="62">
        <v>11.21</v>
      </c>
      <c r="J66" s="37">
        <v>64</v>
      </c>
      <c r="K66" s="37" t="s">
        <v>129</v>
      </c>
      <c r="L66" s="37" t="s">
        <v>46</v>
      </c>
      <c r="M66" s="38" t="s">
        <v>128</v>
      </c>
      <c r="N66" s="38"/>
      <c r="O66" s="37">
        <v>50</v>
      </c>
      <c r="P66" s="923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6" s="651"/>
      <c r="R66" s="651"/>
      <c r="S66" s="651"/>
      <c r="T66" s="652"/>
      <c r="U66" s="39" t="s">
        <v>46</v>
      </c>
      <c r="V66" s="39" t="s">
        <v>46</v>
      </c>
      <c r="W66" s="40" t="s">
        <v>0</v>
      </c>
      <c r="X66" s="58">
        <v>50</v>
      </c>
      <c r="Y66" s="55">
        <f>IFERROR(IF(X66="",0,CEILING((X66/$H66),1)*$H66),"")</f>
        <v>54</v>
      </c>
      <c r="Z66" s="41">
        <f>IFERROR(IF(Y66=0,"",ROUNDUP(Y66/H66,0)*0.01898),"")</f>
        <v>9.4899999999999998E-2</v>
      </c>
      <c r="AA66" s="68" t="s">
        <v>46</v>
      </c>
      <c r="AB66" s="69" t="s">
        <v>46</v>
      </c>
      <c r="AC66" s="134" t="s">
        <v>164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51.898148148148145</v>
      </c>
      <c r="BN66" s="78">
        <f>IFERROR(Y66*I66/H66,"0")</f>
        <v>56.05</v>
      </c>
      <c r="BO66" s="78">
        <f>IFERROR(1/J66*(X66/H66),"0")</f>
        <v>7.2337962962962965E-2</v>
      </c>
      <c r="BP66" s="78">
        <f>IFERROR(1/J66*(Y66/H66),"0")</f>
        <v>7.8125E-2</v>
      </c>
    </row>
    <row r="67" spans="1:68" ht="16.5" hidden="1" customHeight="1" x14ac:dyDescent="0.25">
      <c r="A67" s="63" t="s">
        <v>165</v>
      </c>
      <c r="B67" s="63" t="s">
        <v>166</v>
      </c>
      <c r="C67" s="36">
        <v>4301020403</v>
      </c>
      <c r="D67" s="649">
        <v>4680115885950</v>
      </c>
      <c r="E67" s="649"/>
      <c r="F67" s="62">
        <v>0.37</v>
      </c>
      <c r="G67" s="37">
        <v>6</v>
      </c>
      <c r="H67" s="62">
        <v>2.2200000000000002</v>
      </c>
      <c r="I67" s="62">
        <v>2.4</v>
      </c>
      <c r="J67" s="37">
        <v>182</v>
      </c>
      <c r="K67" s="37" t="s">
        <v>82</v>
      </c>
      <c r="L67" s="37" t="s">
        <v>46</v>
      </c>
      <c r="M67" s="38" t="s">
        <v>128</v>
      </c>
      <c r="N67" s="38"/>
      <c r="O67" s="37">
        <v>50</v>
      </c>
      <c r="P67" s="912" t="str">
        <f>HYPERLINK("https://abi.ru/products/Охлажденные/Вязанка/Филейская/Ветчины/P005024/","Ветчины «Филейская» Фикс.вес 0,37 п/а ТМ «Вязанка»")</f>
        <v>Ветчины «Филейская» Фикс.вес 0,37 п/а ТМ «Вязанка»</v>
      </c>
      <c r="Q67" s="651"/>
      <c r="R67" s="651"/>
      <c r="S67" s="651"/>
      <c r="T67" s="65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167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16.5" hidden="1" customHeight="1" x14ac:dyDescent="0.25">
      <c r="A68" s="63" t="s">
        <v>168</v>
      </c>
      <c r="B68" s="63" t="s">
        <v>169</v>
      </c>
      <c r="C68" s="36">
        <v>4301020371</v>
      </c>
      <c r="D68" s="649">
        <v>4680115887688</v>
      </c>
      <c r="E68" s="649"/>
      <c r="F68" s="62">
        <v>0.1</v>
      </c>
      <c r="G68" s="37">
        <v>10</v>
      </c>
      <c r="H68" s="62">
        <v>1</v>
      </c>
      <c r="I68" s="62">
        <v>1.21</v>
      </c>
      <c r="J68" s="37">
        <v>192</v>
      </c>
      <c r="K68" s="37" t="s">
        <v>134</v>
      </c>
      <c r="L68" s="37" t="s">
        <v>46</v>
      </c>
      <c r="M68" s="38" t="s">
        <v>133</v>
      </c>
      <c r="N68" s="38"/>
      <c r="O68" s="37">
        <v>30</v>
      </c>
      <c r="P68" s="91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51"/>
      <c r="R68" s="651"/>
      <c r="S68" s="651"/>
      <c r="T68" s="652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IFERROR(IF(Y68=0,"",ROUNDUP(Y68/H68,0)*0.00726),"")</f>
        <v/>
      </c>
      <c r="AA68" s="68" t="s">
        <v>46</v>
      </c>
      <c r="AB68" s="69" t="s">
        <v>46</v>
      </c>
      <c r="AC68" s="138" t="s">
        <v>170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27" hidden="1" customHeight="1" x14ac:dyDescent="0.25">
      <c r="A69" s="63" t="s">
        <v>171</v>
      </c>
      <c r="B69" s="63" t="s">
        <v>172</v>
      </c>
      <c r="C69" s="36">
        <v>4301020389</v>
      </c>
      <c r="D69" s="649">
        <v>4680115881433</v>
      </c>
      <c r="E69" s="649"/>
      <c r="F69" s="62">
        <v>0.45</v>
      </c>
      <c r="G69" s="37">
        <v>6</v>
      </c>
      <c r="H69" s="62">
        <v>2.7</v>
      </c>
      <c r="I69" s="62">
        <v>2.88</v>
      </c>
      <c r="J69" s="37">
        <v>182</v>
      </c>
      <c r="K69" s="37" t="s">
        <v>82</v>
      </c>
      <c r="L69" s="37" t="s">
        <v>46</v>
      </c>
      <c r="M69" s="38" t="s">
        <v>128</v>
      </c>
      <c r="N69" s="38"/>
      <c r="O69" s="37">
        <v>50</v>
      </c>
      <c r="P69" s="9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9" s="651"/>
      <c r="R69" s="651"/>
      <c r="S69" s="651"/>
      <c r="T69" s="652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164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x14ac:dyDescent="0.2">
      <c r="A70" s="656"/>
      <c r="B70" s="656"/>
      <c r="C70" s="656"/>
      <c r="D70" s="656"/>
      <c r="E70" s="656"/>
      <c r="F70" s="656"/>
      <c r="G70" s="656"/>
      <c r="H70" s="656"/>
      <c r="I70" s="656"/>
      <c r="J70" s="656"/>
      <c r="K70" s="656"/>
      <c r="L70" s="656"/>
      <c r="M70" s="656"/>
      <c r="N70" s="656"/>
      <c r="O70" s="657"/>
      <c r="P70" s="653" t="s">
        <v>40</v>
      </c>
      <c r="Q70" s="654"/>
      <c r="R70" s="654"/>
      <c r="S70" s="654"/>
      <c r="T70" s="654"/>
      <c r="U70" s="654"/>
      <c r="V70" s="655"/>
      <c r="W70" s="42" t="s">
        <v>39</v>
      </c>
      <c r="X70" s="43">
        <f>IFERROR(X66/H66,"0")+IFERROR(X67/H67,"0")+IFERROR(X68/H68,"0")+IFERROR(X69/H69,"0")</f>
        <v>4.6296296296296298</v>
      </c>
      <c r="Y70" s="43">
        <f>IFERROR(Y66/H66,"0")+IFERROR(Y67/H67,"0")+IFERROR(Y68/H68,"0")+IFERROR(Y69/H69,"0")</f>
        <v>5</v>
      </c>
      <c r="Z70" s="43">
        <f>IFERROR(IF(Z66="",0,Z66),"0")+IFERROR(IF(Z67="",0,Z67),"0")+IFERROR(IF(Z68="",0,Z68),"0")+IFERROR(IF(Z69="",0,Z69),"0")</f>
        <v>9.4899999999999998E-2</v>
      </c>
      <c r="AA70" s="67"/>
      <c r="AB70" s="67"/>
      <c r="AC70" s="67"/>
    </row>
    <row r="71" spans="1:68" x14ac:dyDescent="0.2">
      <c r="A71" s="656"/>
      <c r="B71" s="656"/>
      <c r="C71" s="656"/>
      <c r="D71" s="656"/>
      <c r="E71" s="656"/>
      <c r="F71" s="656"/>
      <c r="G71" s="656"/>
      <c r="H71" s="656"/>
      <c r="I71" s="656"/>
      <c r="J71" s="656"/>
      <c r="K71" s="656"/>
      <c r="L71" s="656"/>
      <c r="M71" s="656"/>
      <c r="N71" s="656"/>
      <c r="O71" s="657"/>
      <c r="P71" s="653" t="s">
        <v>40</v>
      </c>
      <c r="Q71" s="654"/>
      <c r="R71" s="654"/>
      <c r="S71" s="654"/>
      <c r="T71" s="654"/>
      <c r="U71" s="654"/>
      <c r="V71" s="655"/>
      <c r="W71" s="42" t="s">
        <v>0</v>
      </c>
      <c r="X71" s="43">
        <f>IFERROR(SUM(X66:X69),"0")</f>
        <v>50</v>
      </c>
      <c r="Y71" s="43">
        <f>IFERROR(SUM(Y66:Y69),"0")</f>
        <v>54</v>
      </c>
      <c r="Z71" s="42"/>
      <c r="AA71" s="67"/>
      <c r="AB71" s="67"/>
      <c r="AC71" s="67"/>
    </row>
    <row r="72" spans="1:68" ht="14.25" hidden="1" customHeight="1" x14ac:dyDescent="0.25">
      <c r="A72" s="648" t="s">
        <v>77</v>
      </c>
      <c r="B72" s="648"/>
      <c r="C72" s="648"/>
      <c r="D72" s="648"/>
      <c r="E72" s="648"/>
      <c r="F72" s="648"/>
      <c r="G72" s="648"/>
      <c r="H72" s="648"/>
      <c r="I72" s="648"/>
      <c r="J72" s="648"/>
      <c r="K72" s="648"/>
      <c r="L72" s="648"/>
      <c r="M72" s="648"/>
      <c r="N72" s="648"/>
      <c r="O72" s="648"/>
      <c r="P72" s="648"/>
      <c r="Q72" s="648"/>
      <c r="R72" s="648"/>
      <c r="S72" s="648"/>
      <c r="T72" s="648"/>
      <c r="U72" s="648"/>
      <c r="V72" s="648"/>
      <c r="W72" s="648"/>
      <c r="X72" s="648"/>
      <c r="Y72" s="648"/>
      <c r="Z72" s="648"/>
      <c r="AA72" s="66"/>
      <c r="AB72" s="66"/>
      <c r="AC72" s="80"/>
    </row>
    <row r="73" spans="1:68" ht="16.5" hidden="1" customHeight="1" x14ac:dyDescent="0.25">
      <c r="A73" s="63" t="s">
        <v>173</v>
      </c>
      <c r="B73" s="63" t="s">
        <v>174</v>
      </c>
      <c r="C73" s="36">
        <v>4301051837</v>
      </c>
      <c r="D73" s="649">
        <v>4680115884311</v>
      </c>
      <c r="E73" s="649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82</v>
      </c>
      <c r="L73" s="37" t="s">
        <v>46</v>
      </c>
      <c r="M73" s="38" t="s">
        <v>81</v>
      </c>
      <c r="N73" s="38"/>
      <c r="O73" s="37">
        <v>40</v>
      </c>
      <c r="P73" s="91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51"/>
      <c r="R73" s="651"/>
      <c r="S73" s="651"/>
      <c r="T73" s="65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175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hidden="1" customHeight="1" x14ac:dyDescent="0.25">
      <c r="A74" s="63" t="s">
        <v>176</v>
      </c>
      <c r="B74" s="63" t="s">
        <v>177</v>
      </c>
      <c r="C74" s="36">
        <v>4301052083</v>
      </c>
      <c r="D74" s="649">
        <v>4680115884403</v>
      </c>
      <c r="E74" s="649"/>
      <c r="F74" s="62">
        <v>0.3</v>
      </c>
      <c r="G74" s="37">
        <v>6</v>
      </c>
      <c r="H74" s="62">
        <v>1.8</v>
      </c>
      <c r="I74" s="62">
        <v>1.98</v>
      </c>
      <c r="J74" s="37">
        <v>182</v>
      </c>
      <c r="K74" s="37" t="s">
        <v>82</v>
      </c>
      <c r="L74" s="37" t="s">
        <v>46</v>
      </c>
      <c r="M74" s="38" t="s">
        <v>81</v>
      </c>
      <c r="N74" s="38"/>
      <c r="O74" s="37">
        <v>40</v>
      </c>
      <c r="P74" s="91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4" s="651"/>
      <c r="R74" s="651"/>
      <c r="S74" s="651"/>
      <c r="T74" s="652"/>
      <c r="U74" s="39" t="s">
        <v>46</v>
      </c>
      <c r="V74" s="39" t="s">
        <v>46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46</v>
      </c>
      <c r="AB74" s="69" t="s">
        <v>46</v>
      </c>
      <c r="AC74" s="144" t="s">
        <v>178</v>
      </c>
      <c r="AG74" s="78"/>
      <c r="AJ74" s="84" t="s">
        <v>46</v>
      </c>
      <c r="AK74" s="84">
        <v>0</v>
      </c>
      <c r="BB74" s="145" t="s">
        <v>67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idden="1" x14ac:dyDescent="0.2">
      <c r="A75" s="656"/>
      <c r="B75" s="656"/>
      <c r="C75" s="656"/>
      <c r="D75" s="656"/>
      <c r="E75" s="656"/>
      <c r="F75" s="656"/>
      <c r="G75" s="656"/>
      <c r="H75" s="656"/>
      <c r="I75" s="656"/>
      <c r="J75" s="656"/>
      <c r="K75" s="656"/>
      <c r="L75" s="656"/>
      <c r="M75" s="656"/>
      <c r="N75" s="656"/>
      <c r="O75" s="657"/>
      <c r="P75" s="653" t="s">
        <v>40</v>
      </c>
      <c r="Q75" s="654"/>
      <c r="R75" s="654"/>
      <c r="S75" s="654"/>
      <c r="T75" s="654"/>
      <c r="U75" s="654"/>
      <c r="V75" s="655"/>
      <c r="W75" s="42" t="s">
        <v>39</v>
      </c>
      <c r="X75" s="43">
        <f>IFERROR(X73/H73,"0")+IFERROR(X74/H74,"0")</f>
        <v>0</v>
      </c>
      <c r="Y75" s="43">
        <f>IFERROR(Y73/H73,"0")+IFERROR(Y74/H74,"0")</f>
        <v>0</v>
      </c>
      <c r="Z75" s="43">
        <f>IFERROR(IF(Z73="",0,Z73),"0")+IFERROR(IF(Z74="",0,Z74),"0")</f>
        <v>0</v>
      </c>
      <c r="AA75" s="67"/>
      <c r="AB75" s="67"/>
      <c r="AC75" s="67"/>
    </row>
    <row r="76" spans="1:68" hidden="1" x14ac:dyDescent="0.2">
      <c r="A76" s="656"/>
      <c r="B76" s="656"/>
      <c r="C76" s="656"/>
      <c r="D76" s="656"/>
      <c r="E76" s="656"/>
      <c r="F76" s="656"/>
      <c r="G76" s="656"/>
      <c r="H76" s="656"/>
      <c r="I76" s="656"/>
      <c r="J76" s="656"/>
      <c r="K76" s="656"/>
      <c r="L76" s="656"/>
      <c r="M76" s="656"/>
      <c r="N76" s="656"/>
      <c r="O76" s="657"/>
      <c r="P76" s="653" t="s">
        <v>40</v>
      </c>
      <c r="Q76" s="654"/>
      <c r="R76" s="654"/>
      <c r="S76" s="654"/>
      <c r="T76" s="654"/>
      <c r="U76" s="654"/>
      <c r="V76" s="655"/>
      <c r="W76" s="42" t="s">
        <v>0</v>
      </c>
      <c r="X76" s="43">
        <f>IFERROR(SUM(X73:X74),"0")</f>
        <v>0</v>
      </c>
      <c r="Y76" s="43">
        <f>IFERROR(SUM(Y73:Y74),"0")</f>
        <v>0</v>
      </c>
      <c r="Z76" s="42"/>
      <c r="AA76" s="67"/>
      <c r="AB76" s="67"/>
      <c r="AC76" s="67"/>
    </row>
    <row r="77" spans="1:68" ht="14.25" hidden="1" customHeight="1" x14ac:dyDescent="0.25">
      <c r="A77" s="648" t="s">
        <v>179</v>
      </c>
      <c r="B77" s="648"/>
      <c r="C77" s="648"/>
      <c r="D77" s="648"/>
      <c r="E77" s="648"/>
      <c r="F77" s="648"/>
      <c r="G77" s="648"/>
      <c r="H77" s="648"/>
      <c r="I77" s="648"/>
      <c r="J77" s="648"/>
      <c r="K77" s="648"/>
      <c r="L77" s="648"/>
      <c r="M77" s="648"/>
      <c r="N77" s="648"/>
      <c r="O77" s="648"/>
      <c r="P77" s="648"/>
      <c r="Q77" s="648"/>
      <c r="R77" s="648"/>
      <c r="S77" s="648"/>
      <c r="T77" s="648"/>
      <c r="U77" s="648"/>
      <c r="V77" s="648"/>
      <c r="W77" s="648"/>
      <c r="X77" s="648"/>
      <c r="Y77" s="648"/>
      <c r="Z77" s="648"/>
      <c r="AA77" s="66"/>
      <c r="AB77" s="66"/>
      <c r="AC77" s="80"/>
    </row>
    <row r="78" spans="1:68" ht="27" hidden="1" customHeight="1" x14ac:dyDescent="0.25">
      <c r="A78" s="63" t="s">
        <v>180</v>
      </c>
      <c r="B78" s="63" t="s">
        <v>181</v>
      </c>
      <c r="C78" s="36">
        <v>4301060455</v>
      </c>
      <c r="D78" s="649">
        <v>4680115881532</v>
      </c>
      <c r="E78" s="64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129</v>
      </c>
      <c r="L78" s="37" t="s">
        <v>46</v>
      </c>
      <c r="M78" s="38" t="s">
        <v>88</v>
      </c>
      <c r="N78" s="38"/>
      <c r="O78" s="37">
        <v>30</v>
      </c>
      <c r="P78" s="90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51"/>
      <c r="R78" s="651"/>
      <c r="S78" s="651"/>
      <c r="T78" s="65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182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180</v>
      </c>
      <c r="B79" s="63" t="s">
        <v>183</v>
      </c>
      <c r="C79" s="36">
        <v>4301060526</v>
      </c>
      <c r="D79" s="649">
        <v>4680115881532</v>
      </c>
      <c r="E79" s="649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129</v>
      </c>
      <c r="L79" s="37" t="s">
        <v>46</v>
      </c>
      <c r="M79" s="38" t="s">
        <v>88</v>
      </c>
      <c r="N79" s="38"/>
      <c r="O79" s="37">
        <v>30</v>
      </c>
      <c r="P79" s="907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9" s="651"/>
      <c r="R79" s="651"/>
      <c r="S79" s="651"/>
      <c r="T79" s="65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46</v>
      </c>
      <c r="AB79" s="69" t="s">
        <v>46</v>
      </c>
      <c r="AC79" s="148" t="s">
        <v>182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184</v>
      </c>
      <c r="B80" s="63" t="s">
        <v>185</v>
      </c>
      <c r="C80" s="36">
        <v>4301060527</v>
      </c>
      <c r="D80" s="649">
        <v>4680115881464</v>
      </c>
      <c r="E80" s="649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137</v>
      </c>
      <c r="L80" s="37" t="s">
        <v>46</v>
      </c>
      <c r="M80" s="38" t="s">
        <v>81</v>
      </c>
      <c r="N80" s="38"/>
      <c r="O80" s="37">
        <v>30</v>
      </c>
      <c r="P80" s="908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51"/>
      <c r="R80" s="651"/>
      <c r="S80" s="651"/>
      <c r="T80" s="652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186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56"/>
      <c r="B81" s="656"/>
      <c r="C81" s="656"/>
      <c r="D81" s="656"/>
      <c r="E81" s="656"/>
      <c r="F81" s="656"/>
      <c r="G81" s="656"/>
      <c r="H81" s="656"/>
      <c r="I81" s="656"/>
      <c r="J81" s="656"/>
      <c r="K81" s="656"/>
      <c r="L81" s="656"/>
      <c r="M81" s="656"/>
      <c r="N81" s="656"/>
      <c r="O81" s="657"/>
      <c r="P81" s="653" t="s">
        <v>40</v>
      </c>
      <c r="Q81" s="654"/>
      <c r="R81" s="654"/>
      <c r="S81" s="654"/>
      <c r="T81" s="654"/>
      <c r="U81" s="654"/>
      <c r="V81" s="655"/>
      <c r="W81" s="42" t="s">
        <v>39</v>
      </c>
      <c r="X81" s="43">
        <f>IFERROR(X78/H78,"0")+IFERROR(X79/H79,"0")+IFERROR(X80/H80,"0")</f>
        <v>0</v>
      </c>
      <c r="Y81" s="43">
        <f>IFERROR(Y78/H78,"0")+IFERROR(Y79/H79,"0")+IFERROR(Y80/H80,"0")</f>
        <v>0</v>
      </c>
      <c r="Z81" s="43">
        <f>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56"/>
      <c r="B82" s="656"/>
      <c r="C82" s="656"/>
      <c r="D82" s="656"/>
      <c r="E82" s="656"/>
      <c r="F82" s="656"/>
      <c r="G82" s="656"/>
      <c r="H82" s="656"/>
      <c r="I82" s="656"/>
      <c r="J82" s="656"/>
      <c r="K82" s="656"/>
      <c r="L82" s="656"/>
      <c r="M82" s="656"/>
      <c r="N82" s="656"/>
      <c r="O82" s="657"/>
      <c r="P82" s="653" t="s">
        <v>40</v>
      </c>
      <c r="Q82" s="654"/>
      <c r="R82" s="654"/>
      <c r="S82" s="654"/>
      <c r="T82" s="654"/>
      <c r="U82" s="654"/>
      <c r="V82" s="655"/>
      <c r="W82" s="42" t="s">
        <v>0</v>
      </c>
      <c r="X82" s="43">
        <f>IFERROR(SUM(X78:X80),"0")</f>
        <v>0</v>
      </c>
      <c r="Y82" s="43">
        <f>IFERROR(SUM(Y78:Y80),"0")</f>
        <v>0</v>
      </c>
      <c r="Z82" s="42"/>
      <c r="AA82" s="67"/>
      <c r="AB82" s="67"/>
      <c r="AC82" s="67"/>
    </row>
    <row r="83" spans="1:68" ht="16.5" hidden="1" customHeight="1" x14ac:dyDescent="0.25">
      <c r="A83" s="647" t="s">
        <v>187</v>
      </c>
      <c r="B83" s="647"/>
      <c r="C83" s="647"/>
      <c r="D83" s="647"/>
      <c r="E83" s="647"/>
      <c r="F83" s="647"/>
      <c r="G83" s="647"/>
      <c r="H83" s="647"/>
      <c r="I83" s="647"/>
      <c r="J83" s="647"/>
      <c r="K83" s="647"/>
      <c r="L83" s="647"/>
      <c r="M83" s="647"/>
      <c r="N83" s="647"/>
      <c r="O83" s="647"/>
      <c r="P83" s="647"/>
      <c r="Q83" s="647"/>
      <c r="R83" s="647"/>
      <c r="S83" s="647"/>
      <c r="T83" s="647"/>
      <c r="U83" s="647"/>
      <c r="V83" s="647"/>
      <c r="W83" s="647"/>
      <c r="X83" s="647"/>
      <c r="Y83" s="647"/>
      <c r="Z83" s="647"/>
      <c r="AA83" s="65"/>
      <c r="AB83" s="65"/>
      <c r="AC83" s="79"/>
    </row>
    <row r="84" spans="1:68" ht="14.25" hidden="1" customHeight="1" x14ac:dyDescent="0.25">
      <c r="A84" s="648" t="s">
        <v>124</v>
      </c>
      <c r="B84" s="648"/>
      <c r="C84" s="648"/>
      <c r="D84" s="648"/>
      <c r="E84" s="648"/>
      <c r="F84" s="648"/>
      <c r="G84" s="648"/>
      <c r="H84" s="648"/>
      <c r="I84" s="648"/>
      <c r="J84" s="648"/>
      <c r="K84" s="648"/>
      <c r="L84" s="648"/>
      <c r="M84" s="648"/>
      <c r="N84" s="648"/>
      <c r="O84" s="648"/>
      <c r="P84" s="648"/>
      <c r="Q84" s="648"/>
      <c r="R84" s="648"/>
      <c r="S84" s="648"/>
      <c r="T84" s="648"/>
      <c r="U84" s="648"/>
      <c r="V84" s="648"/>
      <c r="W84" s="648"/>
      <c r="X84" s="648"/>
      <c r="Y84" s="648"/>
      <c r="Z84" s="648"/>
      <c r="AA84" s="66"/>
      <c r="AB84" s="66"/>
      <c r="AC84" s="80"/>
    </row>
    <row r="85" spans="1:68" ht="27" customHeight="1" x14ac:dyDescent="0.25">
      <c r="A85" s="63" t="s">
        <v>188</v>
      </c>
      <c r="B85" s="63" t="s">
        <v>189</v>
      </c>
      <c r="C85" s="36">
        <v>4301011468</v>
      </c>
      <c r="D85" s="649">
        <v>4680115881327</v>
      </c>
      <c r="E85" s="64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129</v>
      </c>
      <c r="L85" s="37" t="s">
        <v>46</v>
      </c>
      <c r="M85" s="38" t="s">
        <v>88</v>
      </c>
      <c r="N85" s="38"/>
      <c r="O85" s="37">
        <v>50</v>
      </c>
      <c r="P85" s="90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51"/>
      <c r="R85" s="651"/>
      <c r="S85" s="651"/>
      <c r="T85" s="652"/>
      <c r="U85" s="39" t="s">
        <v>46</v>
      </c>
      <c r="V85" s="39" t="s">
        <v>46</v>
      </c>
      <c r="W85" s="40" t="s">
        <v>0</v>
      </c>
      <c r="X85" s="58">
        <v>50</v>
      </c>
      <c r="Y85" s="55">
        <f t="shared" ref="Y85:Y90" si="5">IFERROR(IF(X85="",0,CEILING((X85/$H85),1)*$H85),"")</f>
        <v>54</v>
      </c>
      <c r="Z85" s="41">
        <f>IFERROR(IF(Y85=0,"",ROUNDUP(Y85/H85,0)*0.01898),"")</f>
        <v>9.4899999999999998E-2</v>
      </c>
      <c r="AA85" s="68" t="s">
        <v>46</v>
      </c>
      <c r="AB85" s="69" t="s">
        <v>46</v>
      </c>
      <c r="AC85" s="152" t="s">
        <v>190</v>
      </c>
      <c r="AG85" s="78"/>
      <c r="AJ85" s="84" t="s">
        <v>46</v>
      </c>
      <c r="AK85" s="84">
        <v>0</v>
      </c>
      <c r="BB85" s="153" t="s">
        <v>67</v>
      </c>
      <c r="BM85" s="78">
        <f t="shared" ref="BM85:BM90" si="6">IFERROR(X85*I85/H85,"0")</f>
        <v>51.898148148148145</v>
      </c>
      <c r="BN85" s="78">
        <f t="shared" ref="BN85:BN90" si="7">IFERROR(Y85*I85/H85,"0")</f>
        <v>56.05</v>
      </c>
      <c r="BO85" s="78">
        <f t="shared" ref="BO85:BO90" si="8">IFERROR(1/J85*(X85/H85),"0")</f>
        <v>7.2337962962962965E-2</v>
      </c>
      <c r="BP85" s="78">
        <f t="shared" ref="BP85:BP90" si="9">IFERROR(1/J85*(Y85/H85),"0")</f>
        <v>7.8125E-2</v>
      </c>
    </row>
    <row r="86" spans="1:68" ht="27" hidden="1" customHeight="1" x14ac:dyDescent="0.25">
      <c r="A86" s="63" t="s">
        <v>188</v>
      </c>
      <c r="B86" s="63" t="s">
        <v>191</v>
      </c>
      <c r="C86" s="36">
        <v>4301012251</v>
      </c>
      <c r="D86" s="649">
        <v>4680115881327</v>
      </c>
      <c r="E86" s="649"/>
      <c r="F86" s="62">
        <v>1.35</v>
      </c>
      <c r="G86" s="37">
        <v>8</v>
      </c>
      <c r="H86" s="62">
        <v>10.8</v>
      </c>
      <c r="I86" s="62">
        <v>11.21</v>
      </c>
      <c r="J86" s="37">
        <v>64</v>
      </c>
      <c r="K86" s="37" t="s">
        <v>129</v>
      </c>
      <c r="L86" s="37" t="s">
        <v>46</v>
      </c>
      <c r="M86" s="38" t="s">
        <v>128</v>
      </c>
      <c r="N86" s="38"/>
      <c r="O86" s="37">
        <v>50</v>
      </c>
      <c r="P86" s="91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6" s="651"/>
      <c r="R86" s="651"/>
      <c r="S86" s="651"/>
      <c r="T86" s="65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IFERROR(IF(Y86=0,"",ROUNDUP(Y86/H86,0)*0.01898),"")</f>
        <v/>
      </c>
      <c r="AA86" s="68" t="s">
        <v>46</v>
      </c>
      <c r="AB86" s="69" t="s">
        <v>46</v>
      </c>
      <c r="AC86" s="154" t="s">
        <v>190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192</v>
      </c>
      <c r="B87" s="63" t="s">
        <v>193</v>
      </c>
      <c r="C87" s="36">
        <v>4301012392</v>
      </c>
      <c r="D87" s="649">
        <v>4680115887732</v>
      </c>
      <c r="E87" s="649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134</v>
      </c>
      <c r="L87" s="37" t="s">
        <v>46</v>
      </c>
      <c r="M87" s="38" t="s">
        <v>133</v>
      </c>
      <c r="N87" s="38"/>
      <c r="O87" s="37">
        <v>30</v>
      </c>
      <c r="P87" s="911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7" s="651"/>
      <c r="R87" s="651"/>
      <c r="S87" s="651"/>
      <c r="T87" s="65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194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195</v>
      </c>
      <c r="B88" s="63" t="s">
        <v>196</v>
      </c>
      <c r="C88" s="36">
        <v>4301011476</v>
      </c>
      <c r="D88" s="649">
        <v>4680115881518</v>
      </c>
      <c r="E88" s="64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137</v>
      </c>
      <c r="L88" s="37" t="s">
        <v>46</v>
      </c>
      <c r="M88" s="38" t="s">
        <v>81</v>
      </c>
      <c r="N88" s="38"/>
      <c r="O88" s="37">
        <v>50</v>
      </c>
      <c r="P88" s="89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51"/>
      <c r="R88" s="651"/>
      <c r="S88" s="651"/>
      <c r="T88" s="65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190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195</v>
      </c>
      <c r="B89" s="63" t="s">
        <v>197</v>
      </c>
      <c r="C89" s="36">
        <v>4301012252</v>
      </c>
      <c r="D89" s="649">
        <v>4680115881518</v>
      </c>
      <c r="E89" s="649"/>
      <c r="F89" s="62">
        <v>0.4</v>
      </c>
      <c r="G89" s="37">
        <v>10</v>
      </c>
      <c r="H89" s="62">
        <v>4</v>
      </c>
      <c r="I89" s="62">
        <v>4.1900000000000004</v>
      </c>
      <c r="J89" s="37">
        <v>132</v>
      </c>
      <c r="K89" s="37" t="s">
        <v>137</v>
      </c>
      <c r="L89" s="37" t="s">
        <v>46</v>
      </c>
      <c r="M89" s="38" t="s">
        <v>128</v>
      </c>
      <c r="N89" s="38"/>
      <c r="O89" s="37">
        <v>50</v>
      </c>
      <c r="P89" s="90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9" s="651"/>
      <c r="R89" s="651"/>
      <c r="S89" s="651"/>
      <c r="T89" s="65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190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customHeight="1" x14ac:dyDescent="0.25">
      <c r="A90" s="63" t="s">
        <v>198</v>
      </c>
      <c r="B90" s="63" t="s">
        <v>199</v>
      </c>
      <c r="C90" s="36">
        <v>4301012250</v>
      </c>
      <c r="D90" s="649">
        <v>4680115881303</v>
      </c>
      <c r="E90" s="649"/>
      <c r="F90" s="62">
        <v>0.45</v>
      </c>
      <c r="G90" s="37">
        <v>10</v>
      </c>
      <c r="H90" s="62">
        <v>4.5</v>
      </c>
      <c r="I90" s="62">
        <v>4.6900000000000004</v>
      </c>
      <c r="J90" s="37">
        <v>132</v>
      </c>
      <c r="K90" s="37" t="s">
        <v>137</v>
      </c>
      <c r="L90" s="37" t="s">
        <v>46</v>
      </c>
      <c r="M90" s="38" t="s">
        <v>128</v>
      </c>
      <c r="N90" s="38"/>
      <c r="O90" s="37">
        <v>50</v>
      </c>
      <c r="P90" s="90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0" s="651"/>
      <c r="R90" s="651"/>
      <c r="S90" s="651"/>
      <c r="T90" s="652"/>
      <c r="U90" s="39" t="s">
        <v>46</v>
      </c>
      <c r="V90" s="39" t="s">
        <v>46</v>
      </c>
      <c r="W90" s="40" t="s">
        <v>0</v>
      </c>
      <c r="X90" s="58">
        <v>43.2</v>
      </c>
      <c r="Y90" s="55">
        <f t="shared" si="5"/>
        <v>45</v>
      </c>
      <c r="Z90" s="41">
        <f>IFERROR(IF(Y90=0,"",ROUNDUP(Y90/H90,0)*0.00902),"")</f>
        <v>9.0200000000000002E-2</v>
      </c>
      <c r="AA90" s="68" t="s">
        <v>46</v>
      </c>
      <c r="AB90" s="69" t="s">
        <v>46</v>
      </c>
      <c r="AC90" s="162" t="s">
        <v>190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45.024000000000008</v>
      </c>
      <c r="BN90" s="78">
        <f t="shared" si="7"/>
        <v>46.900000000000006</v>
      </c>
      <c r="BO90" s="78">
        <f t="shared" si="8"/>
        <v>7.2727272727272738E-2</v>
      </c>
      <c r="BP90" s="78">
        <f t="shared" si="9"/>
        <v>7.575757575757576E-2</v>
      </c>
    </row>
    <row r="91" spans="1:68" x14ac:dyDescent="0.2">
      <c r="A91" s="656"/>
      <c r="B91" s="656"/>
      <c r="C91" s="656"/>
      <c r="D91" s="656"/>
      <c r="E91" s="656"/>
      <c r="F91" s="656"/>
      <c r="G91" s="656"/>
      <c r="H91" s="656"/>
      <c r="I91" s="656"/>
      <c r="J91" s="656"/>
      <c r="K91" s="656"/>
      <c r="L91" s="656"/>
      <c r="M91" s="656"/>
      <c r="N91" s="656"/>
      <c r="O91" s="657"/>
      <c r="P91" s="653" t="s">
        <v>40</v>
      </c>
      <c r="Q91" s="654"/>
      <c r="R91" s="654"/>
      <c r="S91" s="654"/>
      <c r="T91" s="654"/>
      <c r="U91" s="654"/>
      <c r="V91" s="655"/>
      <c r="W91" s="42" t="s">
        <v>39</v>
      </c>
      <c r="X91" s="43">
        <f>IFERROR(X85/H85,"0")+IFERROR(X86/H86,"0")+IFERROR(X87/H87,"0")+IFERROR(X88/H88,"0")+IFERROR(X89/H89,"0")+IFERROR(X90/H90,"0")</f>
        <v>14.229629629629631</v>
      </c>
      <c r="Y91" s="43">
        <f>IFERROR(Y85/H85,"0")+IFERROR(Y86/H86,"0")+IFERROR(Y87/H87,"0")+IFERROR(Y88/H88,"0")+IFERROR(Y89/H89,"0")+IFERROR(Y90/H90,"0")</f>
        <v>15</v>
      </c>
      <c r="Z91" s="43">
        <f>IFERROR(IF(Z85="",0,Z85),"0")+IFERROR(IF(Z86="",0,Z86),"0")+IFERROR(IF(Z87="",0,Z87),"0")+IFERROR(IF(Z88="",0,Z88),"0")+IFERROR(IF(Z89="",0,Z89),"0")+IFERROR(IF(Z90="",0,Z90),"0")</f>
        <v>0.18509999999999999</v>
      </c>
      <c r="AA91" s="67"/>
      <c r="AB91" s="67"/>
      <c r="AC91" s="67"/>
    </row>
    <row r="92" spans="1:68" x14ac:dyDescent="0.2">
      <c r="A92" s="656"/>
      <c r="B92" s="656"/>
      <c r="C92" s="656"/>
      <c r="D92" s="656"/>
      <c r="E92" s="656"/>
      <c r="F92" s="656"/>
      <c r="G92" s="656"/>
      <c r="H92" s="656"/>
      <c r="I92" s="656"/>
      <c r="J92" s="656"/>
      <c r="K92" s="656"/>
      <c r="L92" s="656"/>
      <c r="M92" s="656"/>
      <c r="N92" s="656"/>
      <c r="O92" s="657"/>
      <c r="P92" s="653" t="s">
        <v>40</v>
      </c>
      <c r="Q92" s="654"/>
      <c r="R92" s="654"/>
      <c r="S92" s="654"/>
      <c r="T92" s="654"/>
      <c r="U92" s="654"/>
      <c r="V92" s="655"/>
      <c r="W92" s="42" t="s">
        <v>0</v>
      </c>
      <c r="X92" s="43">
        <f>IFERROR(SUM(X85:X90),"0")</f>
        <v>93.2</v>
      </c>
      <c r="Y92" s="43">
        <f>IFERROR(SUM(Y85:Y90),"0")</f>
        <v>99</v>
      </c>
      <c r="Z92" s="42"/>
      <c r="AA92" s="67"/>
      <c r="AB92" s="67"/>
      <c r="AC92" s="67"/>
    </row>
    <row r="93" spans="1:68" ht="14.25" hidden="1" customHeight="1" x14ac:dyDescent="0.25">
      <c r="A93" s="648" t="s">
        <v>77</v>
      </c>
      <c r="B93" s="648"/>
      <c r="C93" s="648"/>
      <c r="D93" s="648"/>
      <c r="E93" s="648"/>
      <c r="F93" s="648"/>
      <c r="G93" s="648"/>
      <c r="H93" s="648"/>
      <c r="I93" s="648"/>
      <c r="J93" s="648"/>
      <c r="K93" s="648"/>
      <c r="L93" s="648"/>
      <c r="M93" s="648"/>
      <c r="N93" s="648"/>
      <c r="O93" s="648"/>
      <c r="P93" s="648"/>
      <c r="Q93" s="648"/>
      <c r="R93" s="648"/>
      <c r="S93" s="648"/>
      <c r="T93" s="648"/>
      <c r="U93" s="648"/>
      <c r="V93" s="648"/>
      <c r="W93" s="648"/>
      <c r="X93" s="648"/>
      <c r="Y93" s="648"/>
      <c r="Z93" s="648"/>
      <c r="AA93" s="66"/>
      <c r="AB93" s="66"/>
      <c r="AC93" s="80"/>
    </row>
    <row r="94" spans="1:68" ht="27" hidden="1" customHeight="1" x14ac:dyDescent="0.25">
      <c r="A94" s="63" t="s">
        <v>200</v>
      </c>
      <c r="B94" s="63" t="s">
        <v>201</v>
      </c>
      <c r="C94" s="36">
        <v>4301052101</v>
      </c>
      <c r="D94" s="649">
        <v>4607091386967</v>
      </c>
      <c r="E94" s="649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129</v>
      </c>
      <c r="L94" s="37" t="s">
        <v>46</v>
      </c>
      <c r="M94" s="38" t="s">
        <v>88</v>
      </c>
      <c r="N94" s="38"/>
      <c r="O94" s="37">
        <v>45</v>
      </c>
      <c r="P94" s="902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4" s="651"/>
      <c r="R94" s="651"/>
      <c r="S94" s="651"/>
      <c r="T94" s="65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202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203</v>
      </c>
      <c r="B95" s="63" t="s">
        <v>204</v>
      </c>
      <c r="C95" s="36">
        <v>4301052090</v>
      </c>
      <c r="D95" s="649">
        <v>4680115884953</v>
      </c>
      <c r="E95" s="649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82</v>
      </c>
      <c r="L95" s="37" t="s">
        <v>46</v>
      </c>
      <c r="M95" s="38" t="s">
        <v>81</v>
      </c>
      <c r="N95" s="38"/>
      <c r="O95" s="37">
        <v>45</v>
      </c>
      <c r="P95" s="903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5" s="651"/>
      <c r="R95" s="651"/>
      <c r="S95" s="651"/>
      <c r="T95" s="65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205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206</v>
      </c>
      <c r="B96" s="63" t="s">
        <v>207</v>
      </c>
      <c r="C96" s="36">
        <v>4301052094</v>
      </c>
      <c r="D96" s="649">
        <v>4607091385731</v>
      </c>
      <c r="E96" s="649"/>
      <c r="F96" s="62">
        <v>0.45</v>
      </c>
      <c r="G96" s="37">
        <v>6</v>
      </c>
      <c r="H96" s="62">
        <v>2.7</v>
      </c>
      <c r="I96" s="62">
        <v>2.952</v>
      </c>
      <c r="J96" s="37">
        <v>182</v>
      </c>
      <c r="K96" s="37" t="s">
        <v>82</v>
      </c>
      <c r="L96" s="37" t="s">
        <v>46</v>
      </c>
      <c r="M96" s="38" t="s">
        <v>88</v>
      </c>
      <c r="N96" s="38"/>
      <c r="O96" s="37">
        <v>45</v>
      </c>
      <c r="P96" s="904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6" s="651"/>
      <c r="R96" s="651"/>
      <c r="S96" s="651"/>
      <c r="T96" s="65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202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16.5" hidden="1" customHeight="1" x14ac:dyDescent="0.25">
      <c r="A97" s="63" t="s">
        <v>208</v>
      </c>
      <c r="B97" s="63" t="s">
        <v>209</v>
      </c>
      <c r="C97" s="36">
        <v>4301052092</v>
      </c>
      <c r="D97" s="649">
        <v>4680115880894</v>
      </c>
      <c r="E97" s="649"/>
      <c r="F97" s="62">
        <v>0.33</v>
      </c>
      <c r="G97" s="37">
        <v>6</v>
      </c>
      <c r="H97" s="62">
        <v>1.98</v>
      </c>
      <c r="I97" s="62">
        <v>2.238</v>
      </c>
      <c r="J97" s="37">
        <v>182</v>
      </c>
      <c r="K97" s="37" t="s">
        <v>82</v>
      </c>
      <c r="L97" s="37" t="s">
        <v>46</v>
      </c>
      <c r="M97" s="38" t="s">
        <v>81</v>
      </c>
      <c r="N97" s="38"/>
      <c r="O97" s="37">
        <v>45</v>
      </c>
      <c r="P97" s="90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7" s="651"/>
      <c r="R97" s="651"/>
      <c r="S97" s="651"/>
      <c r="T97" s="65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210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idden="1" x14ac:dyDescent="0.2">
      <c r="A98" s="656"/>
      <c r="B98" s="656"/>
      <c r="C98" s="656"/>
      <c r="D98" s="656"/>
      <c r="E98" s="656"/>
      <c r="F98" s="656"/>
      <c r="G98" s="656"/>
      <c r="H98" s="656"/>
      <c r="I98" s="656"/>
      <c r="J98" s="656"/>
      <c r="K98" s="656"/>
      <c r="L98" s="656"/>
      <c r="M98" s="656"/>
      <c r="N98" s="656"/>
      <c r="O98" s="657"/>
      <c r="P98" s="653" t="s">
        <v>40</v>
      </c>
      <c r="Q98" s="654"/>
      <c r="R98" s="654"/>
      <c r="S98" s="654"/>
      <c r="T98" s="654"/>
      <c r="U98" s="654"/>
      <c r="V98" s="655"/>
      <c r="W98" s="42" t="s">
        <v>39</v>
      </c>
      <c r="X98" s="43">
        <f>IFERROR(X94/H94,"0")+IFERROR(X95/H95,"0")+IFERROR(X96/H96,"0")+IFERROR(X97/H97,"0")</f>
        <v>0</v>
      </c>
      <c r="Y98" s="43">
        <f>IFERROR(Y94/H94,"0")+IFERROR(Y95/H95,"0")+IFERROR(Y96/H96,"0")+IFERROR(Y97/H97,"0")</f>
        <v>0</v>
      </c>
      <c r="Z98" s="43">
        <f>IFERROR(IF(Z94="",0,Z94),"0")+IFERROR(IF(Z95="",0,Z95),"0")+IFERROR(IF(Z96="",0,Z96),"0")+IFERROR(IF(Z97="",0,Z97),"0")</f>
        <v>0</v>
      </c>
      <c r="AA98" s="67"/>
      <c r="AB98" s="67"/>
      <c r="AC98" s="67"/>
    </row>
    <row r="99" spans="1:68" hidden="1" x14ac:dyDescent="0.2">
      <c r="A99" s="656"/>
      <c r="B99" s="656"/>
      <c r="C99" s="656"/>
      <c r="D99" s="656"/>
      <c r="E99" s="656"/>
      <c r="F99" s="656"/>
      <c r="G99" s="656"/>
      <c r="H99" s="656"/>
      <c r="I99" s="656"/>
      <c r="J99" s="656"/>
      <c r="K99" s="656"/>
      <c r="L99" s="656"/>
      <c r="M99" s="656"/>
      <c r="N99" s="656"/>
      <c r="O99" s="657"/>
      <c r="P99" s="653" t="s">
        <v>40</v>
      </c>
      <c r="Q99" s="654"/>
      <c r="R99" s="654"/>
      <c r="S99" s="654"/>
      <c r="T99" s="654"/>
      <c r="U99" s="654"/>
      <c r="V99" s="655"/>
      <c r="W99" s="42" t="s">
        <v>0</v>
      </c>
      <c r="X99" s="43">
        <f>IFERROR(SUM(X94:X97),"0")</f>
        <v>0</v>
      </c>
      <c r="Y99" s="43">
        <f>IFERROR(SUM(Y94:Y97),"0")</f>
        <v>0</v>
      </c>
      <c r="Z99" s="42"/>
      <c r="AA99" s="67"/>
      <c r="AB99" s="67"/>
      <c r="AC99" s="67"/>
    </row>
    <row r="100" spans="1:68" ht="16.5" hidden="1" customHeight="1" x14ac:dyDescent="0.25">
      <c r="A100" s="647" t="s">
        <v>211</v>
      </c>
      <c r="B100" s="647"/>
      <c r="C100" s="647"/>
      <c r="D100" s="647"/>
      <c r="E100" s="647"/>
      <c r="F100" s="647"/>
      <c r="G100" s="647"/>
      <c r="H100" s="647"/>
      <c r="I100" s="647"/>
      <c r="J100" s="647"/>
      <c r="K100" s="647"/>
      <c r="L100" s="647"/>
      <c r="M100" s="647"/>
      <c r="N100" s="647"/>
      <c r="O100" s="647"/>
      <c r="P100" s="647"/>
      <c r="Q100" s="647"/>
      <c r="R100" s="647"/>
      <c r="S100" s="647"/>
      <c r="T100" s="647"/>
      <c r="U100" s="647"/>
      <c r="V100" s="647"/>
      <c r="W100" s="647"/>
      <c r="X100" s="647"/>
      <c r="Y100" s="647"/>
      <c r="Z100" s="647"/>
      <c r="AA100" s="65"/>
      <c r="AB100" s="65"/>
      <c r="AC100" s="79"/>
    </row>
    <row r="101" spans="1:68" ht="14.25" hidden="1" customHeight="1" x14ac:dyDescent="0.25">
      <c r="A101" s="648" t="s">
        <v>124</v>
      </c>
      <c r="B101" s="648"/>
      <c r="C101" s="648"/>
      <c r="D101" s="648"/>
      <c r="E101" s="648"/>
      <c r="F101" s="648"/>
      <c r="G101" s="648"/>
      <c r="H101" s="648"/>
      <c r="I101" s="648"/>
      <c r="J101" s="648"/>
      <c r="K101" s="648"/>
      <c r="L101" s="648"/>
      <c r="M101" s="648"/>
      <c r="N101" s="648"/>
      <c r="O101" s="648"/>
      <c r="P101" s="648"/>
      <c r="Q101" s="648"/>
      <c r="R101" s="648"/>
      <c r="S101" s="648"/>
      <c r="T101" s="648"/>
      <c r="U101" s="648"/>
      <c r="V101" s="648"/>
      <c r="W101" s="648"/>
      <c r="X101" s="648"/>
      <c r="Y101" s="648"/>
      <c r="Z101" s="648"/>
      <c r="AA101" s="66"/>
      <c r="AB101" s="66"/>
      <c r="AC101" s="80"/>
    </row>
    <row r="102" spans="1:68" ht="37.5" customHeight="1" x14ac:dyDescent="0.25">
      <c r="A102" s="63" t="s">
        <v>212</v>
      </c>
      <c r="B102" s="63" t="s">
        <v>213</v>
      </c>
      <c r="C102" s="36">
        <v>4301011514</v>
      </c>
      <c r="D102" s="649">
        <v>4680115882133</v>
      </c>
      <c r="E102" s="64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129</v>
      </c>
      <c r="L102" s="37" t="s">
        <v>46</v>
      </c>
      <c r="M102" s="38" t="s">
        <v>128</v>
      </c>
      <c r="N102" s="38"/>
      <c r="O102" s="37">
        <v>50</v>
      </c>
      <c r="P102" s="8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2" s="651"/>
      <c r="R102" s="651"/>
      <c r="S102" s="651"/>
      <c r="T102" s="652"/>
      <c r="U102" s="39" t="s">
        <v>46</v>
      </c>
      <c r="V102" s="39" t="s">
        <v>46</v>
      </c>
      <c r="W102" s="40" t="s">
        <v>0</v>
      </c>
      <c r="X102" s="58">
        <v>100</v>
      </c>
      <c r="Y102" s="55">
        <f t="shared" ref="Y102:Y108" si="10">IFERROR(IF(X102="",0,CEILING((X102/$H102),1)*$H102),"")</f>
        <v>108</v>
      </c>
      <c r="Z102" s="41">
        <f>IFERROR(IF(Y102=0,"",ROUNDUP(Y102/H102,0)*0.01898),"")</f>
        <v>0.1898</v>
      </c>
      <c r="AA102" s="68" t="s">
        <v>46</v>
      </c>
      <c r="AB102" s="69" t="s">
        <v>46</v>
      </c>
      <c r="AC102" s="172" t="s">
        <v>214</v>
      </c>
      <c r="AG102" s="78"/>
      <c r="AJ102" s="84" t="s">
        <v>46</v>
      </c>
      <c r="AK102" s="84">
        <v>0</v>
      </c>
      <c r="BB102" s="173" t="s">
        <v>67</v>
      </c>
      <c r="BM102" s="78">
        <f t="shared" ref="BM102:BM108" si="11">IFERROR(X102*I102/H102,"0")</f>
        <v>103.79629629629629</v>
      </c>
      <c r="BN102" s="78">
        <f t="shared" ref="BN102:BN108" si="12">IFERROR(Y102*I102/H102,"0")</f>
        <v>112.1</v>
      </c>
      <c r="BO102" s="78">
        <f t="shared" ref="BO102:BO108" si="13">IFERROR(1/J102*(X102/H102),"0")</f>
        <v>0.14467592592592593</v>
      </c>
      <c r="BP102" s="78">
        <f t="shared" ref="BP102:BP108" si="14">IFERROR(1/J102*(Y102/H102),"0")</f>
        <v>0.15625</v>
      </c>
    </row>
    <row r="103" spans="1:68" ht="27" hidden="1" customHeight="1" x14ac:dyDescent="0.25">
      <c r="A103" s="63" t="s">
        <v>212</v>
      </c>
      <c r="B103" s="63" t="s">
        <v>215</v>
      </c>
      <c r="C103" s="36">
        <v>4301012256</v>
      </c>
      <c r="D103" s="649">
        <v>4680115882133</v>
      </c>
      <c r="E103" s="64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129</v>
      </c>
      <c r="L103" s="37" t="s">
        <v>46</v>
      </c>
      <c r="M103" s="38" t="s">
        <v>128</v>
      </c>
      <c r="N103" s="38"/>
      <c r="O103" s="37">
        <v>50</v>
      </c>
      <c r="P103" s="894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3" s="651"/>
      <c r="R103" s="651"/>
      <c r="S103" s="651"/>
      <c r="T103" s="65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74" t="s">
        <v>216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217</v>
      </c>
      <c r="B104" s="63" t="s">
        <v>218</v>
      </c>
      <c r="C104" s="36">
        <v>4301012379</v>
      </c>
      <c r="D104" s="649">
        <v>4680115887718</v>
      </c>
      <c r="E104" s="649"/>
      <c r="F104" s="62">
        <v>0.11</v>
      </c>
      <c r="G104" s="37">
        <v>6</v>
      </c>
      <c r="H104" s="62">
        <v>0.66</v>
      </c>
      <c r="I104" s="62">
        <v>0.82599999999999996</v>
      </c>
      <c r="J104" s="37">
        <v>192</v>
      </c>
      <c r="K104" s="37" t="s">
        <v>134</v>
      </c>
      <c r="L104" s="37" t="s">
        <v>46</v>
      </c>
      <c r="M104" s="38" t="s">
        <v>133</v>
      </c>
      <c r="N104" s="38"/>
      <c r="O104" s="37">
        <v>30</v>
      </c>
      <c r="P104" s="895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51"/>
      <c r="R104" s="651"/>
      <c r="S104" s="651"/>
      <c r="T104" s="65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6" t="s">
        <v>219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220</v>
      </c>
      <c r="B105" s="63" t="s">
        <v>221</v>
      </c>
      <c r="C105" s="36">
        <v>4301012253</v>
      </c>
      <c r="D105" s="649">
        <v>4680115880269</v>
      </c>
      <c r="E105" s="649"/>
      <c r="F105" s="62">
        <v>0.375</v>
      </c>
      <c r="G105" s="37">
        <v>10</v>
      </c>
      <c r="H105" s="62">
        <v>3.75</v>
      </c>
      <c r="I105" s="62">
        <v>3.94</v>
      </c>
      <c r="J105" s="37">
        <v>132</v>
      </c>
      <c r="K105" s="37" t="s">
        <v>137</v>
      </c>
      <c r="L105" s="37" t="s">
        <v>46</v>
      </c>
      <c r="M105" s="38" t="s">
        <v>128</v>
      </c>
      <c r="N105" s="38"/>
      <c r="O105" s="37">
        <v>50</v>
      </c>
      <c r="P105" s="896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5" s="651"/>
      <c r="R105" s="651"/>
      <c r="S105" s="651"/>
      <c r="T105" s="65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216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customHeight="1" x14ac:dyDescent="0.25">
      <c r="A106" s="63" t="s">
        <v>222</v>
      </c>
      <c r="B106" s="63" t="s">
        <v>223</v>
      </c>
      <c r="C106" s="36">
        <v>4301012254</v>
      </c>
      <c r="D106" s="649">
        <v>4680115880429</v>
      </c>
      <c r="E106" s="649"/>
      <c r="F106" s="62">
        <v>0.45</v>
      </c>
      <c r="G106" s="37">
        <v>10</v>
      </c>
      <c r="H106" s="62">
        <v>4.5</v>
      </c>
      <c r="I106" s="62">
        <v>4.6900000000000004</v>
      </c>
      <c r="J106" s="37">
        <v>132</v>
      </c>
      <c r="K106" s="37" t="s">
        <v>137</v>
      </c>
      <c r="L106" s="37" t="s">
        <v>46</v>
      </c>
      <c r="M106" s="38" t="s">
        <v>128</v>
      </c>
      <c r="N106" s="38"/>
      <c r="O106" s="37">
        <v>50</v>
      </c>
      <c r="P106" s="897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6" s="651"/>
      <c r="R106" s="651"/>
      <c r="S106" s="651"/>
      <c r="T106" s="652"/>
      <c r="U106" s="39" t="s">
        <v>46</v>
      </c>
      <c r="V106" s="39" t="s">
        <v>46</v>
      </c>
      <c r="W106" s="40" t="s">
        <v>0</v>
      </c>
      <c r="X106" s="58">
        <v>27</v>
      </c>
      <c r="Y106" s="55">
        <f t="shared" si="10"/>
        <v>27</v>
      </c>
      <c r="Z106" s="41">
        <f>IFERROR(IF(Y106=0,"",ROUNDUP(Y106/H106,0)*0.00902),"")</f>
        <v>5.4120000000000001E-2</v>
      </c>
      <c r="AA106" s="68" t="s">
        <v>46</v>
      </c>
      <c r="AB106" s="69" t="s">
        <v>46</v>
      </c>
      <c r="AC106" s="180" t="s">
        <v>216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28.14</v>
      </c>
      <c r="BN106" s="78">
        <f t="shared" si="12"/>
        <v>28.14</v>
      </c>
      <c r="BO106" s="78">
        <f t="shared" si="13"/>
        <v>4.5454545454545456E-2</v>
      </c>
      <c r="BP106" s="78">
        <f t="shared" si="14"/>
        <v>4.5454545454545456E-2</v>
      </c>
    </row>
    <row r="107" spans="1:68" ht="27" hidden="1" customHeight="1" x14ac:dyDescent="0.25">
      <c r="A107" s="63" t="s">
        <v>224</v>
      </c>
      <c r="B107" s="63" t="s">
        <v>225</v>
      </c>
      <c r="C107" s="36">
        <v>4301012255</v>
      </c>
      <c r="D107" s="649">
        <v>4680115881457</v>
      </c>
      <c r="E107" s="649"/>
      <c r="F107" s="62">
        <v>0.75</v>
      </c>
      <c r="G107" s="37">
        <v>6</v>
      </c>
      <c r="H107" s="62">
        <v>4.5</v>
      </c>
      <c r="I107" s="62">
        <v>4.6900000000000004</v>
      </c>
      <c r="J107" s="37">
        <v>132</v>
      </c>
      <c r="K107" s="37" t="s">
        <v>137</v>
      </c>
      <c r="L107" s="37" t="s">
        <v>46</v>
      </c>
      <c r="M107" s="38" t="s">
        <v>128</v>
      </c>
      <c r="N107" s="38"/>
      <c r="O107" s="37">
        <v>50</v>
      </c>
      <c r="P107" s="898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7" s="651"/>
      <c r="R107" s="651"/>
      <c r="S107" s="651"/>
      <c r="T107" s="65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82" t="s">
        <v>216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27" hidden="1" customHeight="1" x14ac:dyDescent="0.25">
      <c r="A108" s="63" t="s">
        <v>226</v>
      </c>
      <c r="B108" s="63" t="s">
        <v>227</v>
      </c>
      <c r="C108" s="36">
        <v>4301012366</v>
      </c>
      <c r="D108" s="649">
        <v>4680115889477</v>
      </c>
      <c r="E108" s="649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82</v>
      </c>
      <c r="L108" s="37" t="s">
        <v>46</v>
      </c>
      <c r="M108" s="38" t="s">
        <v>128</v>
      </c>
      <c r="N108" s="38"/>
      <c r="O108" s="37">
        <v>55</v>
      </c>
      <c r="P108" s="8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8" s="651"/>
      <c r="R108" s="651"/>
      <c r="S108" s="651"/>
      <c r="T108" s="65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IFERROR(IF(Y108=0,"",ROUNDUP(Y108/H108,0)*0.00651),"")</f>
        <v/>
      </c>
      <c r="AA108" s="68" t="s">
        <v>46</v>
      </c>
      <c r="AB108" s="69" t="s">
        <v>46</v>
      </c>
      <c r="AC108" s="184" t="s">
        <v>228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x14ac:dyDescent="0.2">
      <c r="A109" s="656"/>
      <c r="B109" s="656"/>
      <c r="C109" s="656"/>
      <c r="D109" s="656"/>
      <c r="E109" s="656"/>
      <c r="F109" s="656"/>
      <c r="G109" s="656"/>
      <c r="H109" s="656"/>
      <c r="I109" s="656"/>
      <c r="J109" s="656"/>
      <c r="K109" s="656"/>
      <c r="L109" s="656"/>
      <c r="M109" s="656"/>
      <c r="N109" s="656"/>
      <c r="O109" s="657"/>
      <c r="P109" s="653" t="s">
        <v>40</v>
      </c>
      <c r="Q109" s="654"/>
      <c r="R109" s="654"/>
      <c r="S109" s="654"/>
      <c r="T109" s="654"/>
      <c r="U109" s="654"/>
      <c r="V109" s="655"/>
      <c r="W109" s="42" t="s">
        <v>39</v>
      </c>
      <c r="X109" s="43">
        <f>IFERROR(X102/H102,"0")+IFERROR(X103/H103,"0")+IFERROR(X104/H104,"0")+IFERROR(X105/H105,"0")+IFERROR(X106/H106,"0")+IFERROR(X107/H107,"0")+IFERROR(X108/H108,"0")</f>
        <v>15.25925925925926</v>
      </c>
      <c r="Y109" s="43">
        <f>IFERROR(Y102/H102,"0")+IFERROR(Y103/H103,"0")+IFERROR(Y104/H104,"0")+IFERROR(Y105/H105,"0")+IFERROR(Y106/H106,"0")+IFERROR(Y107/H107,"0")+IFERROR(Y108/H108,"0")</f>
        <v>16</v>
      </c>
      <c r="Z109" s="43">
        <f>IFERROR(IF(Z102="",0,Z102),"0")+IFERROR(IF(Z103="",0,Z103),"0")+IFERROR(IF(Z104="",0,Z104),"0")+IFERROR(IF(Z105="",0,Z105),"0")+IFERROR(IF(Z106="",0,Z106),"0")+IFERROR(IF(Z107="",0,Z107),"0")+IFERROR(IF(Z108="",0,Z108),"0")</f>
        <v>0.24392</v>
      </c>
      <c r="AA109" s="67"/>
      <c r="AB109" s="67"/>
      <c r="AC109" s="67"/>
    </row>
    <row r="110" spans="1:68" x14ac:dyDescent="0.2">
      <c r="A110" s="656"/>
      <c r="B110" s="656"/>
      <c r="C110" s="656"/>
      <c r="D110" s="656"/>
      <c r="E110" s="656"/>
      <c r="F110" s="656"/>
      <c r="G110" s="656"/>
      <c r="H110" s="656"/>
      <c r="I110" s="656"/>
      <c r="J110" s="656"/>
      <c r="K110" s="656"/>
      <c r="L110" s="656"/>
      <c r="M110" s="656"/>
      <c r="N110" s="656"/>
      <c r="O110" s="657"/>
      <c r="P110" s="653" t="s">
        <v>40</v>
      </c>
      <c r="Q110" s="654"/>
      <c r="R110" s="654"/>
      <c r="S110" s="654"/>
      <c r="T110" s="654"/>
      <c r="U110" s="654"/>
      <c r="V110" s="655"/>
      <c r="W110" s="42" t="s">
        <v>0</v>
      </c>
      <c r="X110" s="43">
        <f>IFERROR(SUM(X102:X108),"0")</f>
        <v>127</v>
      </c>
      <c r="Y110" s="43">
        <f>IFERROR(SUM(Y102:Y108),"0")</f>
        <v>135</v>
      </c>
      <c r="Z110" s="42"/>
      <c r="AA110" s="67"/>
      <c r="AB110" s="67"/>
      <c r="AC110" s="67"/>
    </row>
    <row r="111" spans="1:68" ht="14.25" hidden="1" customHeight="1" x14ac:dyDescent="0.25">
      <c r="A111" s="648" t="s">
        <v>161</v>
      </c>
      <c r="B111" s="648"/>
      <c r="C111" s="648"/>
      <c r="D111" s="648"/>
      <c r="E111" s="648"/>
      <c r="F111" s="648"/>
      <c r="G111" s="648"/>
      <c r="H111" s="648"/>
      <c r="I111" s="648"/>
      <c r="J111" s="648"/>
      <c r="K111" s="648"/>
      <c r="L111" s="648"/>
      <c r="M111" s="648"/>
      <c r="N111" s="648"/>
      <c r="O111" s="648"/>
      <c r="P111" s="648"/>
      <c r="Q111" s="648"/>
      <c r="R111" s="648"/>
      <c r="S111" s="648"/>
      <c r="T111" s="648"/>
      <c r="U111" s="648"/>
      <c r="V111" s="648"/>
      <c r="W111" s="648"/>
      <c r="X111" s="648"/>
      <c r="Y111" s="648"/>
      <c r="Z111" s="648"/>
      <c r="AA111" s="66"/>
      <c r="AB111" s="66"/>
      <c r="AC111" s="80"/>
    </row>
    <row r="112" spans="1:68" ht="27" hidden="1" customHeight="1" x14ac:dyDescent="0.25">
      <c r="A112" s="63" t="s">
        <v>229</v>
      </c>
      <c r="B112" s="63" t="s">
        <v>230</v>
      </c>
      <c r="C112" s="36">
        <v>4301020391</v>
      </c>
      <c r="D112" s="649">
        <v>4680115881488</v>
      </c>
      <c r="E112" s="64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129</v>
      </c>
      <c r="L112" s="37" t="s">
        <v>46</v>
      </c>
      <c r="M112" s="38" t="s">
        <v>128</v>
      </c>
      <c r="N112" s="38"/>
      <c r="O112" s="37">
        <v>55</v>
      </c>
      <c r="P112" s="8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51"/>
      <c r="R112" s="651"/>
      <c r="S112" s="651"/>
      <c r="T112" s="65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6" t="s">
        <v>231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232</v>
      </c>
      <c r="B113" s="63" t="s">
        <v>233</v>
      </c>
      <c r="C113" s="36">
        <v>4301020393</v>
      </c>
      <c r="D113" s="649">
        <v>4680115882775</v>
      </c>
      <c r="E113" s="649"/>
      <c r="F113" s="62">
        <v>0.3</v>
      </c>
      <c r="G113" s="37">
        <v>8</v>
      </c>
      <c r="H113" s="62">
        <v>2.4</v>
      </c>
      <c r="I113" s="62">
        <v>2.5</v>
      </c>
      <c r="J113" s="37">
        <v>234</v>
      </c>
      <c r="K113" s="37" t="s">
        <v>234</v>
      </c>
      <c r="L113" s="37" t="s">
        <v>46</v>
      </c>
      <c r="M113" s="38" t="s">
        <v>128</v>
      </c>
      <c r="N113" s="38"/>
      <c r="O113" s="37">
        <v>55</v>
      </c>
      <c r="P113" s="8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3" s="651"/>
      <c r="R113" s="651"/>
      <c r="S113" s="651"/>
      <c r="T113" s="65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IFERROR(IF(Y113=0,"",ROUNDUP(Y113/H113,0)*0.00502),"")</f>
        <v/>
      </c>
      <c r="AA113" s="68" t="s">
        <v>46</v>
      </c>
      <c r="AB113" s="69" t="s">
        <v>46</v>
      </c>
      <c r="AC113" s="188" t="s">
        <v>231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235</v>
      </c>
      <c r="B114" s="63" t="s">
        <v>236</v>
      </c>
      <c r="C114" s="36">
        <v>4301020392</v>
      </c>
      <c r="D114" s="649">
        <v>4680115880658</v>
      </c>
      <c r="E114" s="649"/>
      <c r="F114" s="62">
        <v>0.4</v>
      </c>
      <c r="G114" s="37">
        <v>6</v>
      </c>
      <c r="H114" s="62">
        <v>2.4</v>
      </c>
      <c r="I114" s="62">
        <v>2.58</v>
      </c>
      <c r="J114" s="37">
        <v>182</v>
      </c>
      <c r="K114" s="37" t="s">
        <v>82</v>
      </c>
      <c r="L114" s="37" t="s">
        <v>46</v>
      </c>
      <c r="M114" s="38" t="s">
        <v>128</v>
      </c>
      <c r="N114" s="38"/>
      <c r="O114" s="37">
        <v>55</v>
      </c>
      <c r="P114" s="8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4" s="651"/>
      <c r="R114" s="651"/>
      <c r="S114" s="651"/>
      <c r="T114" s="65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46</v>
      </c>
      <c r="AB114" s="69" t="s">
        <v>46</v>
      </c>
      <c r="AC114" s="190" t="s">
        <v>231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idden="1" x14ac:dyDescent="0.2">
      <c r="A115" s="656"/>
      <c r="B115" s="656"/>
      <c r="C115" s="656"/>
      <c r="D115" s="656"/>
      <c r="E115" s="656"/>
      <c r="F115" s="656"/>
      <c r="G115" s="656"/>
      <c r="H115" s="656"/>
      <c r="I115" s="656"/>
      <c r="J115" s="656"/>
      <c r="K115" s="656"/>
      <c r="L115" s="656"/>
      <c r="M115" s="656"/>
      <c r="N115" s="656"/>
      <c r="O115" s="657"/>
      <c r="P115" s="653" t="s">
        <v>40</v>
      </c>
      <c r="Q115" s="654"/>
      <c r="R115" s="654"/>
      <c r="S115" s="654"/>
      <c r="T115" s="654"/>
      <c r="U115" s="654"/>
      <c r="V115" s="655"/>
      <c r="W115" s="42" t="s">
        <v>39</v>
      </c>
      <c r="X115" s="43">
        <f>IFERROR(X112/H112,"0")+IFERROR(X113/H113,"0")+IFERROR(X114/H114,"0")</f>
        <v>0</v>
      </c>
      <c r="Y115" s="43">
        <f>IFERROR(Y112/H112,"0")+IFERROR(Y113/H113,"0")+IFERROR(Y114/H114,"0")</f>
        <v>0</v>
      </c>
      <c r="Z115" s="43">
        <f>IFERROR(IF(Z112="",0,Z112),"0")+IFERROR(IF(Z113="",0,Z113),"0")+IFERROR(IF(Z114="",0,Z114),"0")</f>
        <v>0</v>
      </c>
      <c r="AA115" s="67"/>
      <c r="AB115" s="67"/>
      <c r="AC115" s="67"/>
    </row>
    <row r="116" spans="1:68" hidden="1" x14ac:dyDescent="0.2">
      <c r="A116" s="656"/>
      <c r="B116" s="656"/>
      <c r="C116" s="656"/>
      <c r="D116" s="656"/>
      <c r="E116" s="656"/>
      <c r="F116" s="656"/>
      <c r="G116" s="656"/>
      <c r="H116" s="656"/>
      <c r="I116" s="656"/>
      <c r="J116" s="656"/>
      <c r="K116" s="656"/>
      <c r="L116" s="656"/>
      <c r="M116" s="656"/>
      <c r="N116" s="656"/>
      <c r="O116" s="657"/>
      <c r="P116" s="653" t="s">
        <v>40</v>
      </c>
      <c r="Q116" s="654"/>
      <c r="R116" s="654"/>
      <c r="S116" s="654"/>
      <c r="T116" s="654"/>
      <c r="U116" s="654"/>
      <c r="V116" s="655"/>
      <c r="W116" s="42" t="s">
        <v>0</v>
      </c>
      <c r="X116" s="43">
        <f>IFERROR(SUM(X112:X114),"0")</f>
        <v>0</v>
      </c>
      <c r="Y116" s="43">
        <f>IFERROR(SUM(Y112:Y114),"0")</f>
        <v>0</v>
      </c>
      <c r="Z116" s="42"/>
      <c r="AA116" s="67"/>
      <c r="AB116" s="67"/>
      <c r="AC116" s="67"/>
    </row>
    <row r="117" spans="1:68" ht="14.25" hidden="1" customHeight="1" x14ac:dyDescent="0.25">
      <c r="A117" s="648" t="s">
        <v>77</v>
      </c>
      <c r="B117" s="648"/>
      <c r="C117" s="648"/>
      <c r="D117" s="648"/>
      <c r="E117" s="648"/>
      <c r="F117" s="648"/>
      <c r="G117" s="648"/>
      <c r="H117" s="648"/>
      <c r="I117" s="648"/>
      <c r="J117" s="648"/>
      <c r="K117" s="648"/>
      <c r="L117" s="648"/>
      <c r="M117" s="648"/>
      <c r="N117" s="648"/>
      <c r="O117" s="648"/>
      <c r="P117" s="648"/>
      <c r="Q117" s="648"/>
      <c r="R117" s="648"/>
      <c r="S117" s="648"/>
      <c r="T117" s="648"/>
      <c r="U117" s="648"/>
      <c r="V117" s="648"/>
      <c r="W117" s="648"/>
      <c r="X117" s="648"/>
      <c r="Y117" s="648"/>
      <c r="Z117" s="648"/>
      <c r="AA117" s="66"/>
      <c r="AB117" s="66"/>
      <c r="AC117" s="80"/>
    </row>
    <row r="118" spans="1:68" ht="27" hidden="1" customHeight="1" x14ac:dyDescent="0.25">
      <c r="A118" s="63" t="s">
        <v>237</v>
      </c>
      <c r="B118" s="63" t="s">
        <v>238</v>
      </c>
      <c r="C118" s="36">
        <v>4301052088</v>
      </c>
      <c r="D118" s="649">
        <v>4607091385168</v>
      </c>
      <c r="E118" s="649"/>
      <c r="F118" s="62">
        <v>1.35</v>
      </c>
      <c r="G118" s="37">
        <v>6</v>
      </c>
      <c r="H118" s="62">
        <v>8.1</v>
      </c>
      <c r="I118" s="62">
        <v>8.5879999999999992</v>
      </c>
      <c r="J118" s="37">
        <v>64</v>
      </c>
      <c r="K118" s="37" t="s">
        <v>129</v>
      </c>
      <c r="L118" s="37" t="s">
        <v>46</v>
      </c>
      <c r="M118" s="38" t="s">
        <v>81</v>
      </c>
      <c r="N118" s="38"/>
      <c r="O118" s="37">
        <v>45</v>
      </c>
      <c r="P118" s="8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8" s="651"/>
      <c r="R118" s="651"/>
      <c r="S118" s="651"/>
      <c r="T118" s="652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IFERROR(IF(Y118=0,"",ROUNDUP(Y118/H118,0)*0.01898),"")</f>
        <v/>
      </c>
      <c r="AA118" s="68" t="s">
        <v>46</v>
      </c>
      <c r="AB118" s="69" t="s">
        <v>46</v>
      </c>
      <c r="AC118" s="192" t="s">
        <v>239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4301052087</v>
      </c>
      <c r="D119" s="649">
        <v>4607091383256</v>
      </c>
      <c r="E119" s="649"/>
      <c r="F119" s="62">
        <v>0.33</v>
      </c>
      <c r="G119" s="37">
        <v>6</v>
      </c>
      <c r="H119" s="62">
        <v>1.98</v>
      </c>
      <c r="I119" s="62">
        <v>2.226</v>
      </c>
      <c r="J119" s="37">
        <v>182</v>
      </c>
      <c r="K119" s="37" t="s">
        <v>82</v>
      </c>
      <c r="L119" s="37" t="s">
        <v>46</v>
      </c>
      <c r="M119" s="38" t="s">
        <v>81</v>
      </c>
      <c r="N119" s="38"/>
      <c r="O119" s="37">
        <v>45</v>
      </c>
      <c r="P119" s="884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19" s="651"/>
      <c r="R119" s="651"/>
      <c r="S119" s="651"/>
      <c r="T119" s="65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239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242</v>
      </c>
      <c r="B120" s="63" t="s">
        <v>243</v>
      </c>
      <c r="C120" s="36">
        <v>4301052086</v>
      </c>
      <c r="D120" s="649">
        <v>4607091385748</v>
      </c>
      <c r="E120" s="649"/>
      <c r="F120" s="62">
        <v>0.45</v>
      </c>
      <c r="G120" s="37">
        <v>6</v>
      </c>
      <c r="H120" s="62">
        <v>2.7</v>
      </c>
      <c r="I120" s="62">
        <v>2.952</v>
      </c>
      <c r="J120" s="37">
        <v>182</v>
      </c>
      <c r="K120" s="37" t="s">
        <v>82</v>
      </c>
      <c r="L120" s="37" t="s">
        <v>46</v>
      </c>
      <c r="M120" s="38" t="s">
        <v>81</v>
      </c>
      <c r="N120" s="38"/>
      <c r="O120" s="37">
        <v>45</v>
      </c>
      <c r="P120" s="885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0" s="651"/>
      <c r="R120" s="651"/>
      <c r="S120" s="651"/>
      <c r="T120" s="65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239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16.5" hidden="1" customHeight="1" x14ac:dyDescent="0.25">
      <c r="A121" s="63" t="s">
        <v>244</v>
      </c>
      <c r="B121" s="63" t="s">
        <v>245</v>
      </c>
      <c r="C121" s="36">
        <v>4301052085</v>
      </c>
      <c r="D121" s="649">
        <v>4680115884533</v>
      </c>
      <c r="E121" s="649"/>
      <c r="F121" s="62">
        <v>0.3</v>
      </c>
      <c r="G121" s="37">
        <v>6</v>
      </c>
      <c r="H121" s="62">
        <v>1.8</v>
      </c>
      <c r="I121" s="62">
        <v>1.98</v>
      </c>
      <c r="J121" s="37">
        <v>182</v>
      </c>
      <c r="K121" s="37" t="s">
        <v>82</v>
      </c>
      <c r="L121" s="37" t="s">
        <v>46</v>
      </c>
      <c r="M121" s="38" t="s">
        <v>81</v>
      </c>
      <c r="N121" s="38"/>
      <c r="O121" s="37">
        <v>45</v>
      </c>
      <c r="P121" s="886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1" s="651"/>
      <c r="R121" s="651"/>
      <c r="S121" s="651"/>
      <c r="T121" s="65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246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idden="1" x14ac:dyDescent="0.2">
      <c r="A122" s="656"/>
      <c r="B122" s="656"/>
      <c r="C122" s="656"/>
      <c r="D122" s="656"/>
      <c r="E122" s="656"/>
      <c r="F122" s="656"/>
      <c r="G122" s="656"/>
      <c r="H122" s="656"/>
      <c r="I122" s="656"/>
      <c r="J122" s="656"/>
      <c r="K122" s="656"/>
      <c r="L122" s="656"/>
      <c r="M122" s="656"/>
      <c r="N122" s="656"/>
      <c r="O122" s="657"/>
      <c r="P122" s="653" t="s">
        <v>40</v>
      </c>
      <c r="Q122" s="654"/>
      <c r="R122" s="654"/>
      <c r="S122" s="654"/>
      <c r="T122" s="654"/>
      <c r="U122" s="654"/>
      <c r="V122" s="655"/>
      <c r="W122" s="42" t="s">
        <v>39</v>
      </c>
      <c r="X122" s="43">
        <f>IFERROR(X118/H118,"0")+IFERROR(X119/H119,"0")+IFERROR(X120/H120,"0")+IFERROR(X121/H121,"0")</f>
        <v>0</v>
      </c>
      <c r="Y122" s="43">
        <f>IFERROR(Y118/H118,"0")+IFERROR(Y119/H119,"0")+IFERROR(Y120/H120,"0")+IFERROR(Y121/H121,"0")</f>
        <v>0</v>
      </c>
      <c r="Z122" s="43">
        <f>IFERROR(IF(Z118="",0,Z118),"0")+IFERROR(IF(Z119="",0,Z119),"0")+IFERROR(IF(Z120="",0,Z120),"0")+IFERROR(IF(Z121="",0,Z121),"0")</f>
        <v>0</v>
      </c>
      <c r="AA122" s="67"/>
      <c r="AB122" s="67"/>
      <c r="AC122" s="67"/>
    </row>
    <row r="123" spans="1:68" hidden="1" x14ac:dyDescent="0.2">
      <c r="A123" s="656"/>
      <c r="B123" s="656"/>
      <c r="C123" s="656"/>
      <c r="D123" s="656"/>
      <c r="E123" s="656"/>
      <c r="F123" s="656"/>
      <c r="G123" s="656"/>
      <c r="H123" s="656"/>
      <c r="I123" s="656"/>
      <c r="J123" s="656"/>
      <c r="K123" s="656"/>
      <c r="L123" s="656"/>
      <c r="M123" s="656"/>
      <c r="N123" s="656"/>
      <c r="O123" s="657"/>
      <c r="P123" s="653" t="s">
        <v>40</v>
      </c>
      <c r="Q123" s="654"/>
      <c r="R123" s="654"/>
      <c r="S123" s="654"/>
      <c r="T123" s="654"/>
      <c r="U123" s="654"/>
      <c r="V123" s="655"/>
      <c r="W123" s="42" t="s">
        <v>0</v>
      </c>
      <c r="X123" s="43">
        <f>IFERROR(SUM(X118:X121),"0")</f>
        <v>0</v>
      </c>
      <c r="Y123" s="43">
        <f>IFERROR(SUM(Y118:Y121),"0")</f>
        <v>0</v>
      </c>
      <c r="Z123" s="42"/>
      <c r="AA123" s="67"/>
      <c r="AB123" s="67"/>
      <c r="AC123" s="67"/>
    </row>
    <row r="124" spans="1:68" ht="14.25" hidden="1" customHeight="1" x14ac:dyDescent="0.25">
      <c r="A124" s="648" t="s">
        <v>179</v>
      </c>
      <c r="B124" s="648"/>
      <c r="C124" s="648"/>
      <c r="D124" s="648"/>
      <c r="E124" s="648"/>
      <c r="F124" s="648"/>
      <c r="G124" s="648"/>
      <c r="H124" s="648"/>
      <c r="I124" s="648"/>
      <c r="J124" s="648"/>
      <c r="K124" s="648"/>
      <c r="L124" s="648"/>
      <c r="M124" s="648"/>
      <c r="N124" s="648"/>
      <c r="O124" s="648"/>
      <c r="P124" s="648"/>
      <c r="Q124" s="648"/>
      <c r="R124" s="648"/>
      <c r="S124" s="648"/>
      <c r="T124" s="648"/>
      <c r="U124" s="648"/>
      <c r="V124" s="648"/>
      <c r="W124" s="648"/>
      <c r="X124" s="648"/>
      <c r="Y124" s="648"/>
      <c r="Z124" s="648"/>
      <c r="AA124" s="66"/>
      <c r="AB124" s="66"/>
      <c r="AC124" s="80"/>
    </row>
    <row r="125" spans="1:68" ht="16.5" hidden="1" customHeight="1" x14ac:dyDescent="0.25">
      <c r="A125" s="63" t="s">
        <v>247</v>
      </c>
      <c r="B125" s="63" t="s">
        <v>248</v>
      </c>
      <c r="C125" s="36">
        <v>4301060525</v>
      </c>
      <c r="D125" s="649">
        <v>4680115880238</v>
      </c>
      <c r="E125" s="649"/>
      <c r="F125" s="62">
        <v>0.33</v>
      </c>
      <c r="G125" s="37">
        <v>6</v>
      </c>
      <c r="H125" s="62">
        <v>1.98</v>
      </c>
      <c r="I125" s="62">
        <v>2.238</v>
      </c>
      <c r="J125" s="37">
        <v>182</v>
      </c>
      <c r="K125" s="37" t="s">
        <v>82</v>
      </c>
      <c r="L125" s="37" t="s">
        <v>46</v>
      </c>
      <c r="M125" s="38" t="s">
        <v>81</v>
      </c>
      <c r="N125" s="38"/>
      <c r="O125" s="37">
        <v>40</v>
      </c>
      <c r="P125" s="887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5" s="651"/>
      <c r="R125" s="651"/>
      <c r="S125" s="651"/>
      <c r="T125" s="652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0" t="s">
        <v>249</v>
      </c>
      <c r="AG125" s="78"/>
      <c r="AJ125" s="84" t="s">
        <v>46</v>
      </c>
      <c r="AK125" s="84">
        <v>0</v>
      </c>
      <c r="BB125" s="201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hidden="1" x14ac:dyDescent="0.2">
      <c r="A126" s="656"/>
      <c r="B126" s="656"/>
      <c r="C126" s="656"/>
      <c r="D126" s="656"/>
      <c r="E126" s="656"/>
      <c r="F126" s="656"/>
      <c r="G126" s="656"/>
      <c r="H126" s="656"/>
      <c r="I126" s="656"/>
      <c r="J126" s="656"/>
      <c r="K126" s="656"/>
      <c r="L126" s="656"/>
      <c r="M126" s="656"/>
      <c r="N126" s="656"/>
      <c r="O126" s="657"/>
      <c r="P126" s="653" t="s">
        <v>40</v>
      </c>
      <c r="Q126" s="654"/>
      <c r="R126" s="654"/>
      <c r="S126" s="654"/>
      <c r="T126" s="654"/>
      <c r="U126" s="654"/>
      <c r="V126" s="655"/>
      <c r="W126" s="42" t="s">
        <v>39</v>
      </c>
      <c r="X126" s="43">
        <f>IFERROR(X125/H125,"0")</f>
        <v>0</v>
      </c>
      <c r="Y126" s="43">
        <f>IFERROR(Y125/H125,"0")</f>
        <v>0</v>
      </c>
      <c r="Z126" s="43">
        <f>IFERROR(IF(Z125="",0,Z125),"0")</f>
        <v>0</v>
      </c>
      <c r="AA126" s="67"/>
      <c r="AB126" s="67"/>
      <c r="AC126" s="67"/>
    </row>
    <row r="127" spans="1:68" hidden="1" x14ac:dyDescent="0.2">
      <c r="A127" s="656"/>
      <c r="B127" s="656"/>
      <c r="C127" s="656"/>
      <c r="D127" s="656"/>
      <c r="E127" s="656"/>
      <c r="F127" s="656"/>
      <c r="G127" s="656"/>
      <c r="H127" s="656"/>
      <c r="I127" s="656"/>
      <c r="J127" s="656"/>
      <c r="K127" s="656"/>
      <c r="L127" s="656"/>
      <c r="M127" s="656"/>
      <c r="N127" s="656"/>
      <c r="O127" s="657"/>
      <c r="P127" s="653" t="s">
        <v>40</v>
      </c>
      <c r="Q127" s="654"/>
      <c r="R127" s="654"/>
      <c r="S127" s="654"/>
      <c r="T127" s="654"/>
      <c r="U127" s="654"/>
      <c r="V127" s="655"/>
      <c r="W127" s="42" t="s">
        <v>0</v>
      </c>
      <c r="X127" s="43">
        <f>IFERROR(SUM(X125:X125),"0")</f>
        <v>0</v>
      </c>
      <c r="Y127" s="43">
        <f>IFERROR(SUM(Y125:Y125),"0")</f>
        <v>0</v>
      </c>
      <c r="Z127" s="42"/>
      <c r="AA127" s="67"/>
      <c r="AB127" s="67"/>
      <c r="AC127" s="67"/>
    </row>
    <row r="128" spans="1:68" ht="16.5" hidden="1" customHeight="1" x14ac:dyDescent="0.25">
      <c r="A128" s="647" t="s">
        <v>250</v>
      </c>
      <c r="B128" s="647"/>
      <c r="C128" s="647"/>
      <c r="D128" s="647"/>
      <c r="E128" s="647"/>
      <c r="F128" s="647"/>
      <c r="G128" s="647"/>
      <c r="H128" s="647"/>
      <c r="I128" s="647"/>
      <c r="J128" s="647"/>
      <c r="K128" s="647"/>
      <c r="L128" s="647"/>
      <c r="M128" s="647"/>
      <c r="N128" s="647"/>
      <c r="O128" s="647"/>
      <c r="P128" s="647"/>
      <c r="Q128" s="647"/>
      <c r="R128" s="647"/>
      <c r="S128" s="647"/>
      <c r="T128" s="647"/>
      <c r="U128" s="647"/>
      <c r="V128" s="647"/>
      <c r="W128" s="647"/>
      <c r="X128" s="647"/>
      <c r="Y128" s="647"/>
      <c r="Z128" s="647"/>
      <c r="AA128" s="65"/>
      <c r="AB128" s="65"/>
      <c r="AC128" s="79"/>
    </row>
    <row r="129" spans="1:68" ht="14.25" hidden="1" customHeight="1" x14ac:dyDescent="0.25">
      <c r="A129" s="648" t="s">
        <v>124</v>
      </c>
      <c r="B129" s="648"/>
      <c r="C129" s="648"/>
      <c r="D129" s="648"/>
      <c r="E129" s="648"/>
      <c r="F129" s="648"/>
      <c r="G129" s="648"/>
      <c r="H129" s="648"/>
      <c r="I129" s="648"/>
      <c r="J129" s="648"/>
      <c r="K129" s="648"/>
      <c r="L129" s="648"/>
      <c r="M129" s="648"/>
      <c r="N129" s="648"/>
      <c r="O129" s="648"/>
      <c r="P129" s="648"/>
      <c r="Q129" s="648"/>
      <c r="R129" s="648"/>
      <c r="S129" s="648"/>
      <c r="T129" s="648"/>
      <c r="U129" s="648"/>
      <c r="V129" s="648"/>
      <c r="W129" s="648"/>
      <c r="X129" s="648"/>
      <c r="Y129" s="648"/>
      <c r="Z129" s="648"/>
      <c r="AA129" s="66"/>
      <c r="AB129" s="66"/>
      <c r="AC129" s="80"/>
    </row>
    <row r="130" spans="1:68" ht="27" hidden="1" customHeight="1" x14ac:dyDescent="0.25">
      <c r="A130" s="63" t="s">
        <v>251</v>
      </c>
      <c r="B130" s="63" t="s">
        <v>252</v>
      </c>
      <c r="C130" s="36">
        <v>4301011562</v>
      </c>
      <c r="D130" s="649">
        <v>4680115882577</v>
      </c>
      <c r="E130" s="649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82</v>
      </c>
      <c r="L130" s="37" t="s">
        <v>46</v>
      </c>
      <c r="M130" s="38" t="s">
        <v>254</v>
      </c>
      <c r="N130" s="38"/>
      <c r="O130" s="37">
        <v>90</v>
      </c>
      <c r="P130" s="87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51"/>
      <c r="R130" s="651"/>
      <c r="S130" s="651"/>
      <c r="T130" s="652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253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t="27" hidden="1" customHeight="1" x14ac:dyDescent="0.25">
      <c r="A131" s="63" t="s">
        <v>251</v>
      </c>
      <c r="B131" s="63" t="s">
        <v>255</v>
      </c>
      <c r="C131" s="36">
        <v>4301011564</v>
      </c>
      <c r="D131" s="649">
        <v>4680115882577</v>
      </c>
      <c r="E131" s="64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82</v>
      </c>
      <c r="L131" s="37" t="s">
        <v>46</v>
      </c>
      <c r="M131" s="38" t="s">
        <v>254</v>
      </c>
      <c r="N131" s="38"/>
      <c r="O131" s="37">
        <v>90</v>
      </c>
      <c r="P131" s="88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51"/>
      <c r="R131" s="651"/>
      <c r="S131" s="651"/>
      <c r="T131" s="65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253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idden="1" x14ac:dyDescent="0.2">
      <c r="A132" s="656"/>
      <c r="B132" s="656"/>
      <c r="C132" s="656"/>
      <c r="D132" s="656"/>
      <c r="E132" s="656"/>
      <c r="F132" s="656"/>
      <c r="G132" s="656"/>
      <c r="H132" s="656"/>
      <c r="I132" s="656"/>
      <c r="J132" s="656"/>
      <c r="K132" s="656"/>
      <c r="L132" s="656"/>
      <c r="M132" s="656"/>
      <c r="N132" s="656"/>
      <c r="O132" s="657"/>
      <c r="P132" s="653" t="s">
        <v>40</v>
      </c>
      <c r="Q132" s="654"/>
      <c r="R132" s="654"/>
      <c r="S132" s="654"/>
      <c r="T132" s="654"/>
      <c r="U132" s="654"/>
      <c r="V132" s="655"/>
      <c r="W132" s="42" t="s">
        <v>39</v>
      </c>
      <c r="X132" s="43">
        <f>IFERROR(X130/H130,"0")+IFERROR(X131/H131,"0")</f>
        <v>0</v>
      </c>
      <c r="Y132" s="43">
        <f>IFERROR(Y130/H130,"0")+IFERROR(Y131/H131,"0")</f>
        <v>0</v>
      </c>
      <c r="Z132" s="43">
        <f>IFERROR(IF(Z130="",0,Z130),"0")+IFERROR(IF(Z131="",0,Z131),"0")</f>
        <v>0</v>
      </c>
      <c r="AA132" s="67"/>
      <c r="AB132" s="67"/>
      <c r="AC132" s="67"/>
    </row>
    <row r="133" spans="1:68" hidden="1" x14ac:dyDescent="0.2">
      <c r="A133" s="656"/>
      <c r="B133" s="656"/>
      <c r="C133" s="656"/>
      <c r="D133" s="656"/>
      <c r="E133" s="656"/>
      <c r="F133" s="656"/>
      <c r="G133" s="656"/>
      <c r="H133" s="656"/>
      <c r="I133" s="656"/>
      <c r="J133" s="656"/>
      <c r="K133" s="656"/>
      <c r="L133" s="656"/>
      <c r="M133" s="656"/>
      <c r="N133" s="656"/>
      <c r="O133" s="657"/>
      <c r="P133" s="653" t="s">
        <v>40</v>
      </c>
      <c r="Q133" s="654"/>
      <c r="R133" s="654"/>
      <c r="S133" s="654"/>
      <c r="T133" s="654"/>
      <c r="U133" s="654"/>
      <c r="V133" s="655"/>
      <c r="W133" s="42" t="s">
        <v>0</v>
      </c>
      <c r="X133" s="43">
        <f>IFERROR(SUM(X130:X131),"0")</f>
        <v>0</v>
      </c>
      <c r="Y133" s="43">
        <f>IFERROR(SUM(Y130:Y131),"0")</f>
        <v>0</v>
      </c>
      <c r="Z133" s="42"/>
      <c r="AA133" s="67"/>
      <c r="AB133" s="67"/>
      <c r="AC133" s="67"/>
    </row>
    <row r="134" spans="1:68" ht="14.25" hidden="1" customHeight="1" x14ac:dyDescent="0.25">
      <c r="A134" s="648" t="s">
        <v>256</v>
      </c>
      <c r="B134" s="648"/>
      <c r="C134" s="648"/>
      <c r="D134" s="648"/>
      <c r="E134" s="648"/>
      <c r="F134" s="648"/>
      <c r="G134" s="648"/>
      <c r="H134" s="648"/>
      <c r="I134" s="648"/>
      <c r="J134" s="648"/>
      <c r="K134" s="648"/>
      <c r="L134" s="648"/>
      <c r="M134" s="648"/>
      <c r="N134" s="648"/>
      <c r="O134" s="648"/>
      <c r="P134" s="648"/>
      <c r="Q134" s="648"/>
      <c r="R134" s="648"/>
      <c r="S134" s="648"/>
      <c r="T134" s="648"/>
      <c r="U134" s="648"/>
      <c r="V134" s="648"/>
      <c r="W134" s="648"/>
      <c r="X134" s="648"/>
      <c r="Y134" s="648"/>
      <c r="Z134" s="648"/>
      <c r="AA134" s="66"/>
      <c r="AB134" s="66"/>
      <c r="AC134" s="80"/>
    </row>
    <row r="135" spans="1:68" ht="27" hidden="1" customHeight="1" x14ac:dyDescent="0.25">
      <c r="A135" s="63" t="s">
        <v>257</v>
      </c>
      <c r="B135" s="63" t="s">
        <v>258</v>
      </c>
      <c r="C135" s="36">
        <v>4301031234</v>
      </c>
      <c r="D135" s="649">
        <v>4680115883444</v>
      </c>
      <c r="E135" s="649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82</v>
      </c>
      <c r="L135" s="37" t="s">
        <v>46</v>
      </c>
      <c r="M135" s="38" t="s">
        <v>254</v>
      </c>
      <c r="N135" s="38"/>
      <c r="O135" s="37">
        <v>90</v>
      </c>
      <c r="P135" s="881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651"/>
      <c r="R135" s="651"/>
      <c r="S135" s="651"/>
      <c r="T135" s="65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259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257</v>
      </c>
      <c r="B136" s="63" t="s">
        <v>260</v>
      </c>
      <c r="C136" s="36">
        <v>4301031235</v>
      </c>
      <c r="D136" s="649">
        <v>4680115883444</v>
      </c>
      <c r="E136" s="64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82</v>
      </c>
      <c r="L136" s="37" t="s">
        <v>46</v>
      </c>
      <c r="M136" s="38" t="s">
        <v>254</v>
      </c>
      <c r="N136" s="38"/>
      <c r="O136" s="37">
        <v>90</v>
      </c>
      <c r="P136" s="88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651"/>
      <c r="R136" s="651"/>
      <c r="S136" s="651"/>
      <c r="T136" s="65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259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idden="1" x14ac:dyDescent="0.2">
      <c r="A137" s="656"/>
      <c r="B137" s="656"/>
      <c r="C137" s="656"/>
      <c r="D137" s="656"/>
      <c r="E137" s="656"/>
      <c r="F137" s="656"/>
      <c r="G137" s="656"/>
      <c r="H137" s="656"/>
      <c r="I137" s="656"/>
      <c r="J137" s="656"/>
      <c r="K137" s="656"/>
      <c r="L137" s="656"/>
      <c r="M137" s="656"/>
      <c r="N137" s="656"/>
      <c r="O137" s="657"/>
      <c r="P137" s="653" t="s">
        <v>40</v>
      </c>
      <c r="Q137" s="654"/>
      <c r="R137" s="654"/>
      <c r="S137" s="654"/>
      <c r="T137" s="654"/>
      <c r="U137" s="654"/>
      <c r="V137" s="655"/>
      <c r="W137" s="42" t="s">
        <v>39</v>
      </c>
      <c r="X137" s="43">
        <f>IFERROR(X135/H135,"0")+IFERROR(X136/H136,"0")</f>
        <v>0</v>
      </c>
      <c r="Y137" s="43">
        <f>IFERROR(Y135/H135,"0")+IFERROR(Y136/H136,"0")</f>
        <v>0</v>
      </c>
      <c r="Z137" s="43">
        <f>IFERROR(IF(Z135="",0,Z135),"0")+IFERROR(IF(Z136="",0,Z136),"0")</f>
        <v>0</v>
      </c>
      <c r="AA137" s="67"/>
      <c r="AB137" s="67"/>
      <c r="AC137" s="67"/>
    </row>
    <row r="138" spans="1:68" hidden="1" x14ac:dyDescent="0.2">
      <c r="A138" s="656"/>
      <c r="B138" s="656"/>
      <c r="C138" s="656"/>
      <c r="D138" s="656"/>
      <c r="E138" s="656"/>
      <c r="F138" s="656"/>
      <c r="G138" s="656"/>
      <c r="H138" s="656"/>
      <c r="I138" s="656"/>
      <c r="J138" s="656"/>
      <c r="K138" s="656"/>
      <c r="L138" s="656"/>
      <c r="M138" s="656"/>
      <c r="N138" s="656"/>
      <c r="O138" s="657"/>
      <c r="P138" s="653" t="s">
        <v>40</v>
      </c>
      <c r="Q138" s="654"/>
      <c r="R138" s="654"/>
      <c r="S138" s="654"/>
      <c r="T138" s="654"/>
      <c r="U138" s="654"/>
      <c r="V138" s="655"/>
      <c r="W138" s="42" t="s">
        <v>0</v>
      </c>
      <c r="X138" s="43">
        <f>IFERROR(SUM(X135:X136),"0")</f>
        <v>0</v>
      </c>
      <c r="Y138" s="43">
        <f>IFERROR(SUM(Y135:Y136),"0")</f>
        <v>0</v>
      </c>
      <c r="Z138" s="42"/>
      <c r="AA138" s="67"/>
      <c r="AB138" s="67"/>
      <c r="AC138" s="67"/>
    </row>
    <row r="139" spans="1:68" ht="14.25" hidden="1" customHeight="1" x14ac:dyDescent="0.25">
      <c r="A139" s="648" t="s">
        <v>77</v>
      </c>
      <c r="B139" s="648"/>
      <c r="C139" s="648"/>
      <c r="D139" s="648"/>
      <c r="E139" s="648"/>
      <c r="F139" s="648"/>
      <c r="G139" s="648"/>
      <c r="H139" s="648"/>
      <c r="I139" s="648"/>
      <c r="J139" s="648"/>
      <c r="K139" s="648"/>
      <c r="L139" s="648"/>
      <c r="M139" s="648"/>
      <c r="N139" s="648"/>
      <c r="O139" s="648"/>
      <c r="P139" s="648"/>
      <c r="Q139" s="648"/>
      <c r="R139" s="648"/>
      <c r="S139" s="648"/>
      <c r="T139" s="648"/>
      <c r="U139" s="648"/>
      <c r="V139" s="648"/>
      <c r="W139" s="648"/>
      <c r="X139" s="648"/>
      <c r="Y139" s="648"/>
      <c r="Z139" s="648"/>
      <c r="AA139" s="66"/>
      <c r="AB139" s="66"/>
      <c r="AC139" s="80"/>
    </row>
    <row r="140" spans="1:68" ht="16.5" hidden="1" customHeight="1" x14ac:dyDescent="0.25">
      <c r="A140" s="63" t="s">
        <v>261</v>
      </c>
      <c r="B140" s="63" t="s">
        <v>262</v>
      </c>
      <c r="C140" s="36">
        <v>4301051476</v>
      </c>
      <c r="D140" s="649">
        <v>4680115882584</v>
      </c>
      <c r="E140" s="649"/>
      <c r="F140" s="62">
        <v>0.33</v>
      </c>
      <c r="G140" s="37">
        <v>8</v>
      </c>
      <c r="H140" s="62">
        <v>2.64</v>
      </c>
      <c r="I140" s="62">
        <v>2.9079999999999999</v>
      </c>
      <c r="J140" s="37">
        <v>182</v>
      </c>
      <c r="K140" s="37" t="s">
        <v>82</v>
      </c>
      <c r="L140" s="37" t="s">
        <v>46</v>
      </c>
      <c r="M140" s="38" t="s">
        <v>254</v>
      </c>
      <c r="N140" s="38"/>
      <c r="O140" s="37">
        <v>60</v>
      </c>
      <c r="P140" s="8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0" s="651"/>
      <c r="R140" s="651"/>
      <c r="S140" s="651"/>
      <c r="T140" s="65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0" t="s">
        <v>253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16.5" hidden="1" customHeight="1" x14ac:dyDescent="0.25">
      <c r="A141" s="63" t="s">
        <v>261</v>
      </c>
      <c r="B141" s="63" t="s">
        <v>263</v>
      </c>
      <c r="C141" s="36">
        <v>4301051477</v>
      </c>
      <c r="D141" s="649">
        <v>4680115882584</v>
      </c>
      <c r="E141" s="64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82</v>
      </c>
      <c r="L141" s="37" t="s">
        <v>46</v>
      </c>
      <c r="M141" s="38" t="s">
        <v>254</v>
      </c>
      <c r="N141" s="38"/>
      <c r="O141" s="37">
        <v>60</v>
      </c>
      <c r="P141" s="87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1" s="651"/>
      <c r="R141" s="651"/>
      <c r="S141" s="651"/>
      <c r="T141" s="65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253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56"/>
      <c r="B142" s="656"/>
      <c r="C142" s="656"/>
      <c r="D142" s="656"/>
      <c r="E142" s="656"/>
      <c r="F142" s="656"/>
      <c r="G142" s="656"/>
      <c r="H142" s="656"/>
      <c r="I142" s="656"/>
      <c r="J142" s="656"/>
      <c r="K142" s="656"/>
      <c r="L142" s="656"/>
      <c r="M142" s="656"/>
      <c r="N142" s="656"/>
      <c r="O142" s="657"/>
      <c r="P142" s="653" t="s">
        <v>40</v>
      </c>
      <c r="Q142" s="654"/>
      <c r="R142" s="654"/>
      <c r="S142" s="654"/>
      <c r="T142" s="654"/>
      <c r="U142" s="654"/>
      <c r="V142" s="655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56"/>
      <c r="B143" s="656"/>
      <c r="C143" s="656"/>
      <c r="D143" s="656"/>
      <c r="E143" s="656"/>
      <c r="F143" s="656"/>
      <c r="G143" s="656"/>
      <c r="H143" s="656"/>
      <c r="I143" s="656"/>
      <c r="J143" s="656"/>
      <c r="K143" s="656"/>
      <c r="L143" s="656"/>
      <c r="M143" s="656"/>
      <c r="N143" s="656"/>
      <c r="O143" s="657"/>
      <c r="P143" s="653" t="s">
        <v>40</v>
      </c>
      <c r="Q143" s="654"/>
      <c r="R143" s="654"/>
      <c r="S143" s="654"/>
      <c r="T143" s="654"/>
      <c r="U143" s="654"/>
      <c r="V143" s="655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6.5" hidden="1" customHeight="1" x14ac:dyDescent="0.25">
      <c r="A144" s="647" t="s">
        <v>264</v>
      </c>
      <c r="B144" s="647"/>
      <c r="C144" s="647"/>
      <c r="D144" s="647"/>
      <c r="E144" s="647"/>
      <c r="F144" s="647"/>
      <c r="G144" s="647"/>
      <c r="H144" s="647"/>
      <c r="I144" s="647"/>
      <c r="J144" s="647"/>
      <c r="K144" s="647"/>
      <c r="L144" s="647"/>
      <c r="M144" s="647"/>
      <c r="N144" s="647"/>
      <c r="O144" s="647"/>
      <c r="P144" s="647"/>
      <c r="Q144" s="647"/>
      <c r="R144" s="647"/>
      <c r="S144" s="647"/>
      <c r="T144" s="647"/>
      <c r="U144" s="647"/>
      <c r="V144" s="647"/>
      <c r="W144" s="647"/>
      <c r="X144" s="647"/>
      <c r="Y144" s="647"/>
      <c r="Z144" s="647"/>
      <c r="AA144" s="65"/>
      <c r="AB144" s="65"/>
      <c r="AC144" s="79"/>
    </row>
    <row r="145" spans="1:68" ht="14.25" hidden="1" customHeight="1" x14ac:dyDescent="0.25">
      <c r="A145" s="648" t="s">
        <v>77</v>
      </c>
      <c r="B145" s="648"/>
      <c r="C145" s="648"/>
      <c r="D145" s="648"/>
      <c r="E145" s="648"/>
      <c r="F145" s="648"/>
      <c r="G145" s="648"/>
      <c r="H145" s="648"/>
      <c r="I145" s="648"/>
      <c r="J145" s="648"/>
      <c r="K145" s="648"/>
      <c r="L145" s="648"/>
      <c r="M145" s="648"/>
      <c r="N145" s="648"/>
      <c r="O145" s="648"/>
      <c r="P145" s="648"/>
      <c r="Q145" s="648"/>
      <c r="R145" s="648"/>
      <c r="S145" s="648"/>
      <c r="T145" s="648"/>
      <c r="U145" s="648"/>
      <c r="V145" s="648"/>
      <c r="W145" s="648"/>
      <c r="X145" s="648"/>
      <c r="Y145" s="648"/>
      <c r="Z145" s="648"/>
      <c r="AA145" s="66"/>
      <c r="AB145" s="66"/>
      <c r="AC145" s="80"/>
    </row>
    <row r="146" spans="1:68" ht="27" hidden="1" customHeight="1" x14ac:dyDescent="0.25">
      <c r="A146" s="63" t="s">
        <v>265</v>
      </c>
      <c r="B146" s="63" t="s">
        <v>266</v>
      </c>
      <c r="C146" s="36">
        <v>4301052254</v>
      </c>
      <c r="D146" s="649">
        <v>4680115888203</v>
      </c>
      <c r="E146" s="649"/>
      <c r="F146" s="62">
        <v>0.22</v>
      </c>
      <c r="G146" s="37">
        <v>6</v>
      </c>
      <c r="H146" s="62">
        <v>1.32</v>
      </c>
      <c r="I146" s="62">
        <v>1.5660000000000001</v>
      </c>
      <c r="J146" s="37">
        <v>182</v>
      </c>
      <c r="K146" s="37" t="s">
        <v>82</v>
      </c>
      <c r="L146" s="37" t="s">
        <v>46</v>
      </c>
      <c r="M146" s="38" t="s">
        <v>88</v>
      </c>
      <c r="N146" s="38"/>
      <c r="O146" s="37">
        <v>40</v>
      </c>
      <c r="P146" s="87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6" s="651"/>
      <c r="R146" s="651"/>
      <c r="S146" s="651"/>
      <c r="T146" s="65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14" t="s">
        <v>267</v>
      </c>
      <c r="AG146" s="78"/>
      <c r="AJ146" s="84" t="s">
        <v>46</v>
      </c>
      <c r="AK146" s="84">
        <v>0</v>
      </c>
      <c r="BB146" s="215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hidden="1" customHeight="1" x14ac:dyDescent="0.25">
      <c r="A147" s="63" t="s">
        <v>268</v>
      </c>
      <c r="B147" s="63" t="s">
        <v>269</v>
      </c>
      <c r="C147" s="36">
        <v>4301052252</v>
      </c>
      <c r="D147" s="649">
        <v>4680115888180</v>
      </c>
      <c r="E147" s="64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82</v>
      </c>
      <c r="L147" s="37" t="s">
        <v>46</v>
      </c>
      <c r="M147" s="38" t="s">
        <v>88</v>
      </c>
      <c r="N147" s="38"/>
      <c r="O147" s="37">
        <v>40</v>
      </c>
      <c r="P147" s="876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7" s="651"/>
      <c r="R147" s="651"/>
      <c r="S147" s="651"/>
      <c r="T147" s="65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270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271</v>
      </c>
      <c r="B148" s="63" t="s">
        <v>272</v>
      </c>
      <c r="C148" s="36">
        <v>4301052253</v>
      </c>
      <c r="D148" s="649">
        <v>4680115888197</v>
      </c>
      <c r="E148" s="64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82</v>
      </c>
      <c r="L148" s="37" t="s">
        <v>46</v>
      </c>
      <c r="M148" s="38" t="s">
        <v>88</v>
      </c>
      <c r="N148" s="38"/>
      <c r="O148" s="37">
        <v>40</v>
      </c>
      <c r="P148" s="877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8" s="651"/>
      <c r="R148" s="651"/>
      <c r="S148" s="651"/>
      <c r="T148" s="65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273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274</v>
      </c>
      <c r="B149" s="63" t="s">
        <v>275</v>
      </c>
      <c r="C149" s="36">
        <v>4301052255</v>
      </c>
      <c r="D149" s="649">
        <v>4680115888210</v>
      </c>
      <c r="E149" s="64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82</v>
      </c>
      <c r="L149" s="37" t="s">
        <v>46</v>
      </c>
      <c r="M149" s="38" t="s">
        <v>88</v>
      </c>
      <c r="N149" s="38"/>
      <c r="O149" s="37">
        <v>40</v>
      </c>
      <c r="P149" s="87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49" s="651"/>
      <c r="R149" s="651"/>
      <c r="S149" s="651"/>
      <c r="T149" s="65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276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656"/>
      <c r="B150" s="656"/>
      <c r="C150" s="656"/>
      <c r="D150" s="656"/>
      <c r="E150" s="656"/>
      <c r="F150" s="656"/>
      <c r="G150" s="656"/>
      <c r="H150" s="656"/>
      <c r="I150" s="656"/>
      <c r="J150" s="656"/>
      <c r="K150" s="656"/>
      <c r="L150" s="656"/>
      <c r="M150" s="656"/>
      <c r="N150" s="656"/>
      <c r="O150" s="657"/>
      <c r="P150" s="653" t="s">
        <v>40</v>
      </c>
      <c r="Q150" s="654"/>
      <c r="R150" s="654"/>
      <c r="S150" s="654"/>
      <c r="T150" s="654"/>
      <c r="U150" s="654"/>
      <c r="V150" s="655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656"/>
      <c r="B151" s="656"/>
      <c r="C151" s="656"/>
      <c r="D151" s="656"/>
      <c r="E151" s="656"/>
      <c r="F151" s="656"/>
      <c r="G151" s="656"/>
      <c r="H151" s="656"/>
      <c r="I151" s="656"/>
      <c r="J151" s="656"/>
      <c r="K151" s="656"/>
      <c r="L151" s="656"/>
      <c r="M151" s="656"/>
      <c r="N151" s="656"/>
      <c r="O151" s="657"/>
      <c r="P151" s="653" t="s">
        <v>40</v>
      </c>
      <c r="Q151" s="654"/>
      <c r="R151" s="654"/>
      <c r="S151" s="654"/>
      <c r="T151" s="654"/>
      <c r="U151" s="654"/>
      <c r="V151" s="655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4.25" hidden="1" customHeight="1" x14ac:dyDescent="0.25">
      <c r="A152" s="648" t="s">
        <v>95</v>
      </c>
      <c r="B152" s="648"/>
      <c r="C152" s="648"/>
      <c r="D152" s="648"/>
      <c r="E152" s="648"/>
      <c r="F152" s="648"/>
      <c r="G152" s="648"/>
      <c r="H152" s="648"/>
      <c r="I152" s="648"/>
      <c r="J152" s="648"/>
      <c r="K152" s="648"/>
      <c r="L152" s="648"/>
      <c r="M152" s="648"/>
      <c r="N152" s="648"/>
      <c r="O152" s="648"/>
      <c r="P152" s="648"/>
      <c r="Q152" s="648"/>
      <c r="R152" s="648"/>
      <c r="S152" s="648"/>
      <c r="T152" s="648"/>
      <c r="U152" s="648"/>
      <c r="V152" s="648"/>
      <c r="W152" s="648"/>
      <c r="X152" s="648"/>
      <c r="Y152" s="648"/>
      <c r="Z152" s="648"/>
      <c r="AA152" s="66"/>
      <c r="AB152" s="66"/>
      <c r="AC152" s="80"/>
    </row>
    <row r="153" spans="1:68" ht="27" hidden="1" customHeight="1" x14ac:dyDescent="0.25">
      <c r="A153" s="63" t="s">
        <v>277</v>
      </c>
      <c r="B153" s="63" t="s">
        <v>278</v>
      </c>
      <c r="C153" s="36">
        <v>4301032067</v>
      </c>
      <c r="D153" s="649">
        <v>4680115889132</v>
      </c>
      <c r="E153" s="649"/>
      <c r="F153" s="62">
        <v>0.04</v>
      </c>
      <c r="G153" s="37">
        <v>8</v>
      </c>
      <c r="H153" s="62">
        <v>0.32</v>
      </c>
      <c r="I153" s="62">
        <v>0.5</v>
      </c>
      <c r="J153" s="37">
        <v>330</v>
      </c>
      <c r="K153" s="37" t="s">
        <v>102</v>
      </c>
      <c r="L153" s="37" t="s">
        <v>46</v>
      </c>
      <c r="M153" s="38" t="s">
        <v>101</v>
      </c>
      <c r="N153" s="38"/>
      <c r="O153" s="37">
        <v>120</v>
      </c>
      <c r="P153" s="86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3" s="651"/>
      <c r="R153" s="651"/>
      <c r="S153" s="651"/>
      <c r="T153" s="652"/>
      <c r="U153" s="39" t="s">
        <v>46</v>
      </c>
      <c r="V153" s="39" t="s">
        <v>46</v>
      </c>
      <c r="W153" s="40" t="s">
        <v>0</v>
      </c>
      <c r="X153" s="58">
        <v>0</v>
      </c>
      <c r="Y153" s="55">
        <f>IFERROR(IF(X153="",0,CEILING((X153/$H153),1)*$H153),"")</f>
        <v>0</v>
      </c>
      <c r="Z153" s="41" t="str">
        <f>IFERROR(IF(Y153=0,"",ROUNDUP(Y153/H153,0)*0.00337),"")</f>
        <v/>
      </c>
      <c r="AA153" s="68" t="s">
        <v>46</v>
      </c>
      <c r="AB153" s="69" t="s">
        <v>46</v>
      </c>
      <c r="AC153" s="222" t="s">
        <v>279</v>
      </c>
      <c r="AG153" s="78"/>
      <c r="AJ153" s="84" t="s">
        <v>46</v>
      </c>
      <c r="AK153" s="84">
        <v>0</v>
      </c>
      <c r="BB153" s="223" t="s">
        <v>99</v>
      </c>
      <c r="BM153" s="78">
        <f>IFERROR(X153*I153/H153,"0")</f>
        <v>0</v>
      </c>
      <c r="BN153" s="78">
        <f>IFERROR(Y153*I153/H153,"0")</f>
        <v>0</v>
      </c>
      <c r="BO153" s="78">
        <f>IFERROR(1/J153*(X153/H153),"0")</f>
        <v>0</v>
      </c>
      <c r="BP153" s="78">
        <f>IFERROR(1/J153*(Y153/H153),"0")</f>
        <v>0</v>
      </c>
    </row>
    <row r="154" spans="1:68" hidden="1" x14ac:dyDescent="0.2">
      <c r="A154" s="656"/>
      <c r="B154" s="656"/>
      <c r="C154" s="656"/>
      <c r="D154" s="656"/>
      <c r="E154" s="656"/>
      <c r="F154" s="656"/>
      <c r="G154" s="656"/>
      <c r="H154" s="656"/>
      <c r="I154" s="656"/>
      <c r="J154" s="656"/>
      <c r="K154" s="656"/>
      <c r="L154" s="656"/>
      <c r="M154" s="656"/>
      <c r="N154" s="656"/>
      <c r="O154" s="657"/>
      <c r="P154" s="653" t="s">
        <v>40</v>
      </c>
      <c r="Q154" s="654"/>
      <c r="R154" s="654"/>
      <c r="S154" s="654"/>
      <c r="T154" s="654"/>
      <c r="U154" s="654"/>
      <c r="V154" s="655"/>
      <c r="W154" s="42" t="s">
        <v>39</v>
      </c>
      <c r="X154" s="43">
        <f>IFERROR(X153/H153,"0")</f>
        <v>0</v>
      </c>
      <c r="Y154" s="43">
        <f>IFERROR(Y153/H153,"0")</f>
        <v>0</v>
      </c>
      <c r="Z154" s="43">
        <f>IFERROR(IF(Z153="",0,Z153),"0")</f>
        <v>0</v>
      </c>
      <c r="AA154" s="67"/>
      <c r="AB154" s="67"/>
      <c r="AC154" s="67"/>
    </row>
    <row r="155" spans="1:68" hidden="1" x14ac:dyDescent="0.2">
      <c r="A155" s="656"/>
      <c r="B155" s="656"/>
      <c r="C155" s="656"/>
      <c r="D155" s="656"/>
      <c r="E155" s="656"/>
      <c r="F155" s="656"/>
      <c r="G155" s="656"/>
      <c r="H155" s="656"/>
      <c r="I155" s="656"/>
      <c r="J155" s="656"/>
      <c r="K155" s="656"/>
      <c r="L155" s="656"/>
      <c r="M155" s="656"/>
      <c r="N155" s="656"/>
      <c r="O155" s="657"/>
      <c r="P155" s="653" t="s">
        <v>40</v>
      </c>
      <c r="Q155" s="654"/>
      <c r="R155" s="654"/>
      <c r="S155" s="654"/>
      <c r="T155" s="654"/>
      <c r="U155" s="654"/>
      <c r="V155" s="655"/>
      <c r="W155" s="42" t="s">
        <v>0</v>
      </c>
      <c r="X155" s="43">
        <f>IFERROR(SUM(X153:X153),"0")</f>
        <v>0</v>
      </c>
      <c r="Y155" s="43">
        <f>IFERROR(SUM(Y153:Y153),"0")</f>
        <v>0</v>
      </c>
      <c r="Z155" s="42"/>
      <c r="AA155" s="67"/>
      <c r="AB155" s="67"/>
      <c r="AC155" s="67"/>
    </row>
    <row r="156" spans="1:68" ht="16.5" hidden="1" customHeight="1" x14ac:dyDescent="0.25">
      <c r="A156" s="647" t="s">
        <v>122</v>
      </c>
      <c r="B156" s="647"/>
      <c r="C156" s="647"/>
      <c r="D156" s="647"/>
      <c r="E156" s="647"/>
      <c r="F156" s="647"/>
      <c r="G156" s="647"/>
      <c r="H156" s="647"/>
      <c r="I156" s="647"/>
      <c r="J156" s="647"/>
      <c r="K156" s="647"/>
      <c r="L156" s="647"/>
      <c r="M156" s="647"/>
      <c r="N156" s="647"/>
      <c r="O156" s="647"/>
      <c r="P156" s="647"/>
      <c r="Q156" s="647"/>
      <c r="R156" s="647"/>
      <c r="S156" s="647"/>
      <c r="T156" s="647"/>
      <c r="U156" s="647"/>
      <c r="V156" s="647"/>
      <c r="W156" s="647"/>
      <c r="X156" s="647"/>
      <c r="Y156" s="647"/>
      <c r="Z156" s="647"/>
      <c r="AA156" s="65"/>
      <c r="AB156" s="65"/>
      <c r="AC156" s="79"/>
    </row>
    <row r="157" spans="1:68" ht="14.25" hidden="1" customHeight="1" x14ac:dyDescent="0.25">
      <c r="A157" s="648" t="s">
        <v>124</v>
      </c>
      <c r="B157" s="648"/>
      <c r="C157" s="648"/>
      <c r="D157" s="648"/>
      <c r="E157" s="648"/>
      <c r="F157" s="648"/>
      <c r="G157" s="648"/>
      <c r="H157" s="648"/>
      <c r="I157" s="648"/>
      <c r="J157" s="648"/>
      <c r="K157" s="648"/>
      <c r="L157" s="648"/>
      <c r="M157" s="648"/>
      <c r="N157" s="648"/>
      <c r="O157" s="648"/>
      <c r="P157" s="648"/>
      <c r="Q157" s="648"/>
      <c r="R157" s="648"/>
      <c r="S157" s="648"/>
      <c r="T157" s="648"/>
      <c r="U157" s="648"/>
      <c r="V157" s="648"/>
      <c r="W157" s="648"/>
      <c r="X157" s="648"/>
      <c r="Y157" s="648"/>
      <c r="Z157" s="648"/>
      <c r="AA157" s="66"/>
      <c r="AB157" s="66"/>
      <c r="AC157" s="80"/>
    </row>
    <row r="158" spans="1:68" ht="27" hidden="1" customHeight="1" x14ac:dyDescent="0.25">
      <c r="A158" s="63" t="s">
        <v>280</v>
      </c>
      <c r="B158" s="63" t="s">
        <v>281</v>
      </c>
      <c r="C158" s="36">
        <v>4301012338</v>
      </c>
      <c r="D158" s="649">
        <v>4680115887374</v>
      </c>
      <c r="E158" s="649"/>
      <c r="F158" s="62">
        <v>1</v>
      </c>
      <c r="G158" s="37">
        <v>6</v>
      </c>
      <c r="H158" s="62">
        <v>6</v>
      </c>
      <c r="I158" s="62">
        <v>6.35</v>
      </c>
      <c r="J158" s="37">
        <v>104</v>
      </c>
      <c r="K158" s="37" t="s">
        <v>129</v>
      </c>
      <c r="L158" s="37" t="s">
        <v>46</v>
      </c>
      <c r="M158" s="38" t="s">
        <v>128</v>
      </c>
      <c r="N158" s="38"/>
      <c r="O158" s="37">
        <v>55</v>
      </c>
      <c r="P158" s="87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8" s="651"/>
      <c r="R158" s="651"/>
      <c r="S158" s="651"/>
      <c r="T158" s="652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IFERROR(IF(Y158=0,"",ROUNDUP(Y158/H158,0)*0.01196),"")</f>
        <v/>
      </c>
      <c r="AA158" s="68" t="s">
        <v>46</v>
      </c>
      <c r="AB158" s="69" t="s">
        <v>46</v>
      </c>
      <c r="AC158" s="224" t="s">
        <v>282</v>
      </c>
      <c r="AG158" s="78"/>
      <c r="AJ158" s="84" t="s">
        <v>46</v>
      </c>
      <c r="AK158" s="84">
        <v>0</v>
      </c>
      <c r="BB158" s="225" t="s">
        <v>67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t="27" hidden="1" customHeight="1" x14ac:dyDescent="0.25">
      <c r="A159" s="63" t="s">
        <v>283</v>
      </c>
      <c r="B159" s="63" t="s">
        <v>284</v>
      </c>
      <c r="C159" s="36">
        <v>4301011705</v>
      </c>
      <c r="D159" s="649">
        <v>4607091384604</v>
      </c>
      <c r="E159" s="649"/>
      <c r="F159" s="62">
        <v>0.4</v>
      </c>
      <c r="G159" s="37">
        <v>10</v>
      </c>
      <c r="H159" s="62">
        <v>4</v>
      </c>
      <c r="I159" s="62">
        <v>4.1900000000000004</v>
      </c>
      <c r="J159" s="37">
        <v>132</v>
      </c>
      <c r="K159" s="37" t="s">
        <v>137</v>
      </c>
      <c r="L159" s="37" t="s">
        <v>46</v>
      </c>
      <c r="M159" s="38" t="s">
        <v>128</v>
      </c>
      <c r="N159" s="38"/>
      <c r="O159" s="37">
        <v>50</v>
      </c>
      <c r="P159" s="87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9" s="651"/>
      <c r="R159" s="651"/>
      <c r="S159" s="651"/>
      <c r="T159" s="65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IFERROR(IF(Y159=0,"",ROUNDUP(Y159/H159,0)*0.00902),"")</f>
        <v/>
      </c>
      <c r="AA159" s="68" t="s">
        <v>46</v>
      </c>
      <c r="AB159" s="69" t="s">
        <v>46</v>
      </c>
      <c r="AC159" s="226" t="s">
        <v>285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283</v>
      </c>
      <c r="B160" s="63" t="s">
        <v>286</v>
      </c>
      <c r="C160" s="36">
        <v>4301012258</v>
      </c>
      <c r="D160" s="649">
        <v>4607091384604</v>
      </c>
      <c r="E160" s="64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137</v>
      </c>
      <c r="L160" s="37" t="s">
        <v>46</v>
      </c>
      <c r="M160" s="38" t="s">
        <v>128</v>
      </c>
      <c r="N160" s="38"/>
      <c r="O160" s="37">
        <v>50</v>
      </c>
      <c r="P160" s="87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0" s="651"/>
      <c r="R160" s="651"/>
      <c r="S160" s="651"/>
      <c r="T160" s="65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285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16.5" hidden="1" customHeight="1" x14ac:dyDescent="0.25">
      <c r="A161" s="63" t="s">
        <v>287</v>
      </c>
      <c r="B161" s="63" t="s">
        <v>288</v>
      </c>
      <c r="C161" s="36">
        <v>4301012344</v>
      </c>
      <c r="D161" s="649">
        <v>4680115888876</v>
      </c>
      <c r="E161" s="649"/>
      <c r="F161" s="62">
        <v>0.43</v>
      </c>
      <c r="G161" s="37">
        <v>6</v>
      </c>
      <c r="H161" s="62">
        <v>2.58</v>
      </c>
      <c r="I161" s="62">
        <v>2.76</v>
      </c>
      <c r="J161" s="37">
        <v>182</v>
      </c>
      <c r="K161" s="37" t="s">
        <v>82</v>
      </c>
      <c r="L161" s="37" t="s">
        <v>46</v>
      </c>
      <c r="M161" s="38" t="s">
        <v>81</v>
      </c>
      <c r="N161" s="38"/>
      <c r="O161" s="37">
        <v>55</v>
      </c>
      <c r="P161" s="87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1" s="651"/>
      <c r="R161" s="651"/>
      <c r="S161" s="651"/>
      <c r="T161" s="65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IFERROR(IF(Y161=0,"",ROUNDUP(Y161/H161,0)*0.00651),"")</f>
        <v/>
      </c>
      <c r="AA161" s="68" t="s">
        <v>46</v>
      </c>
      <c r="AB161" s="69" t="s">
        <v>46</v>
      </c>
      <c r="AC161" s="230" t="s">
        <v>289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656"/>
      <c r="B162" s="656"/>
      <c r="C162" s="656"/>
      <c r="D162" s="656"/>
      <c r="E162" s="656"/>
      <c r="F162" s="656"/>
      <c r="G162" s="656"/>
      <c r="H162" s="656"/>
      <c r="I162" s="656"/>
      <c r="J162" s="656"/>
      <c r="K162" s="656"/>
      <c r="L162" s="656"/>
      <c r="M162" s="656"/>
      <c r="N162" s="656"/>
      <c r="O162" s="657"/>
      <c r="P162" s="653" t="s">
        <v>40</v>
      </c>
      <c r="Q162" s="654"/>
      <c r="R162" s="654"/>
      <c r="S162" s="654"/>
      <c r="T162" s="654"/>
      <c r="U162" s="654"/>
      <c r="V162" s="655"/>
      <c r="W162" s="42" t="s">
        <v>39</v>
      </c>
      <c r="X162" s="43">
        <f>IFERROR(X158/H158,"0")+IFERROR(X159/H159,"0")+IFERROR(X160/H160,"0")+IFERROR(X161/H161,"0")</f>
        <v>0</v>
      </c>
      <c r="Y162" s="43">
        <f>IFERROR(Y158/H158,"0")+IFERROR(Y159/H159,"0")+IFERROR(Y160/H160,"0")+IFERROR(Y161/H161,"0")</f>
        <v>0</v>
      </c>
      <c r="Z162" s="43">
        <f>IFERROR(IF(Z158="",0,Z158),"0")+IFERROR(IF(Z159="",0,Z159),"0")+IFERROR(IF(Z160="",0,Z160),"0")+IFERROR(IF(Z161="",0,Z161),"0")</f>
        <v>0</v>
      </c>
      <c r="AA162" s="67"/>
      <c r="AB162" s="67"/>
      <c r="AC162" s="67"/>
    </row>
    <row r="163" spans="1:68" hidden="1" x14ac:dyDescent="0.2">
      <c r="A163" s="656"/>
      <c r="B163" s="656"/>
      <c r="C163" s="656"/>
      <c r="D163" s="656"/>
      <c r="E163" s="656"/>
      <c r="F163" s="656"/>
      <c r="G163" s="656"/>
      <c r="H163" s="656"/>
      <c r="I163" s="656"/>
      <c r="J163" s="656"/>
      <c r="K163" s="656"/>
      <c r="L163" s="656"/>
      <c r="M163" s="656"/>
      <c r="N163" s="656"/>
      <c r="O163" s="657"/>
      <c r="P163" s="653" t="s">
        <v>40</v>
      </c>
      <c r="Q163" s="654"/>
      <c r="R163" s="654"/>
      <c r="S163" s="654"/>
      <c r="T163" s="654"/>
      <c r="U163" s="654"/>
      <c r="V163" s="655"/>
      <c r="W163" s="42" t="s">
        <v>0</v>
      </c>
      <c r="X163" s="43">
        <f>IFERROR(SUM(X158:X161),"0")</f>
        <v>0</v>
      </c>
      <c r="Y163" s="43">
        <f>IFERROR(SUM(Y158:Y161),"0")</f>
        <v>0</v>
      </c>
      <c r="Z163" s="42"/>
      <c r="AA163" s="67"/>
      <c r="AB163" s="67"/>
      <c r="AC163" s="67"/>
    </row>
    <row r="164" spans="1:68" ht="14.25" hidden="1" customHeight="1" x14ac:dyDescent="0.25">
      <c r="A164" s="648" t="s">
        <v>161</v>
      </c>
      <c r="B164" s="648"/>
      <c r="C164" s="648"/>
      <c r="D164" s="648"/>
      <c r="E164" s="648"/>
      <c r="F164" s="648"/>
      <c r="G164" s="648"/>
      <c r="H164" s="648"/>
      <c r="I164" s="648"/>
      <c r="J164" s="648"/>
      <c r="K164" s="648"/>
      <c r="L164" s="648"/>
      <c r="M164" s="648"/>
      <c r="N164" s="648"/>
      <c r="O164" s="648"/>
      <c r="P164" s="648"/>
      <c r="Q164" s="648"/>
      <c r="R164" s="648"/>
      <c r="S164" s="648"/>
      <c r="T164" s="648"/>
      <c r="U164" s="648"/>
      <c r="V164" s="648"/>
      <c r="W164" s="648"/>
      <c r="X164" s="648"/>
      <c r="Y164" s="648"/>
      <c r="Z164" s="648"/>
      <c r="AA164" s="66"/>
      <c r="AB164" s="66"/>
      <c r="AC164" s="80"/>
    </row>
    <row r="165" spans="1:68" ht="16.5" hidden="1" customHeight="1" x14ac:dyDescent="0.25">
      <c r="A165" s="63" t="s">
        <v>290</v>
      </c>
      <c r="B165" s="63" t="s">
        <v>291</v>
      </c>
      <c r="C165" s="36">
        <v>4301020410</v>
      </c>
      <c r="D165" s="649">
        <v>4680115887695</v>
      </c>
      <c r="E165" s="649"/>
      <c r="F165" s="62">
        <v>0.12</v>
      </c>
      <c r="G165" s="37">
        <v>6</v>
      </c>
      <c r="H165" s="62">
        <v>0.72</v>
      </c>
      <c r="I165" s="62">
        <v>0.85</v>
      </c>
      <c r="J165" s="37">
        <v>234</v>
      </c>
      <c r="K165" s="37" t="s">
        <v>234</v>
      </c>
      <c r="L165" s="37" t="s">
        <v>46</v>
      </c>
      <c r="M165" s="38" t="s">
        <v>133</v>
      </c>
      <c r="N165" s="38"/>
      <c r="O165" s="37">
        <v>30</v>
      </c>
      <c r="P165" s="86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51"/>
      <c r="R165" s="651"/>
      <c r="S165" s="651"/>
      <c r="T165" s="652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IFERROR(IF(Y165=0,"",ROUNDUP(Y165/H165,0)*0.00556),"")</f>
        <v/>
      </c>
      <c r="AA165" s="68" t="s">
        <v>46</v>
      </c>
      <c r="AB165" s="69" t="s">
        <v>46</v>
      </c>
      <c r="AC165" s="232" t="s">
        <v>292</v>
      </c>
      <c r="AG165" s="78"/>
      <c r="AJ165" s="84" t="s">
        <v>46</v>
      </c>
      <c r="AK165" s="84">
        <v>0</v>
      </c>
      <c r="BB165" s="233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16.5" hidden="1" customHeight="1" x14ac:dyDescent="0.25">
      <c r="A166" s="63" t="s">
        <v>293</v>
      </c>
      <c r="B166" s="63" t="s">
        <v>294</v>
      </c>
      <c r="C166" s="36">
        <v>4301020439</v>
      </c>
      <c r="D166" s="649">
        <v>4680115889491</v>
      </c>
      <c r="E166" s="649"/>
      <c r="F166" s="62">
        <v>0.3</v>
      </c>
      <c r="G166" s="37">
        <v>8</v>
      </c>
      <c r="H166" s="62">
        <v>2.4</v>
      </c>
      <c r="I166" s="62">
        <v>2.5</v>
      </c>
      <c r="J166" s="37">
        <v>234</v>
      </c>
      <c r="K166" s="37" t="s">
        <v>234</v>
      </c>
      <c r="L166" s="37" t="s">
        <v>46</v>
      </c>
      <c r="M166" s="38" t="s">
        <v>128</v>
      </c>
      <c r="N166" s="38"/>
      <c r="O166" s="37">
        <v>55</v>
      </c>
      <c r="P166" s="86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6" s="651"/>
      <c r="R166" s="651"/>
      <c r="S166" s="651"/>
      <c r="T166" s="65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IFERROR(IF(Y166=0,"",ROUNDUP(Y166/H166,0)*0.00502),"")</f>
        <v/>
      </c>
      <c r="AA166" s="68" t="s">
        <v>46</v>
      </c>
      <c r="AB166" s="69" t="s">
        <v>46</v>
      </c>
      <c r="AC166" s="234" t="s">
        <v>295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56"/>
      <c r="B167" s="656"/>
      <c r="C167" s="656"/>
      <c r="D167" s="656"/>
      <c r="E167" s="656"/>
      <c r="F167" s="656"/>
      <c r="G167" s="656"/>
      <c r="H167" s="656"/>
      <c r="I167" s="656"/>
      <c r="J167" s="656"/>
      <c r="K167" s="656"/>
      <c r="L167" s="656"/>
      <c r="M167" s="656"/>
      <c r="N167" s="656"/>
      <c r="O167" s="657"/>
      <c r="P167" s="653" t="s">
        <v>40</v>
      </c>
      <c r="Q167" s="654"/>
      <c r="R167" s="654"/>
      <c r="S167" s="654"/>
      <c r="T167" s="654"/>
      <c r="U167" s="654"/>
      <c r="V167" s="655"/>
      <c r="W167" s="42" t="s">
        <v>39</v>
      </c>
      <c r="X167" s="43">
        <f>IFERROR(X165/H165,"0")+IFERROR(X166/H166,"0")</f>
        <v>0</v>
      </c>
      <c r="Y167" s="43">
        <f>IFERROR(Y165/H165,"0")+IFERROR(Y166/H166,"0")</f>
        <v>0</v>
      </c>
      <c r="Z167" s="43">
        <f>IFERROR(IF(Z165="",0,Z165),"0")+IFERROR(IF(Z166="",0,Z166),"0")</f>
        <v>0</v>
      </c>
      <c r="AA167" s="67"/>
      <c r="AB167" s="67"/>
      <c r="AC167" s="67"/>
    </row>
    <row r="168" spans="1:68" hidden="1" x14ac:dyDescent="0.2">
      <c r="A168" s="656"/>
      <c r="B168" s="656"/>
      <c r="C168" s="656"/>
      <c r="D168" s="656"/>
      <c r="E168" s="656"/>
      <c r="F168" s="656"/>
      <c r="G168" s="656"/>
      <c r="H168" s="656"/>
      <c r="I168" s="656"/>
      <c r="J168" s="656"/>
      <c r="K168" s="656"/>
      <c r="L168" s="656"/>
      <c r="M168" s="656"/>
      <c r="N168" s="656"/>
      <c r="O168" s="657"/>
      <c r="P168" s="653" t="s">
        <v>40</v>
      </c>
      <c r="Q168" s="654"/>
      <c r="R168" s="654"/>
      <c r="S168" s="654"/>
      <c r="T168" s="654"/>
      <c r="U168" s="654"/>
      <c r="V168" s="655"/>
      <c r="W168" s="42" t="s">
        <v>0</v>
      </c>
      <c r="X168" s="43">
        <f>IFERROR(SUM(X165:X166),"0")</f>
        <v>0</v>
      </c>
      <c r="Y168" s="43">
        <f>IFERROR(SUM(Y165:Y166),"0")</f>
        <v>0</v>
      </c>
      <c r="Z168" s="42"/>
      <c r="AA168" s="67"/>
      <c r="AB168" s="67"/>
      <c r="AC168" s="67"/>
    </row>
    <row r="169" spans="1:68" ht="14.25" hidden="1" customHeight="1" x14ac:dyDescent="0.25">
      <c r="A169" s="648" t="s">
        <v>256</v>
      </c>
      <c r="B169" s="648"/>
      <c r="C169" s="648"/>
      <c r="D169" s="648"/>
      <c r="E169" s="648"/>
      <c r="F169" s="648"/>
      <c r="G169" s="648"/>
      <c r="H169" s="648"/>
      <c r="I169" s="648"/>
      <c r="J169" s="648"/>
      <c r="K169" s="648"/>
      <c r="L169" s="648"/>
      <c r="M169" s="648"/>
      <c r="N169" s="648"/>
      <c r="O169" s="648"/>
      <c r="P169" s="648"/>
      <c r="Q169" s="648"/>
      <c r="R169" s="648"/>
      <c r="S169" s="648"/>
      <c r="T169" s="648"/>
      <c r="U169" s="648"/>
      <c r="V169" s="648"/>
      <c r="W169" s="648"/>
      <c r="X169" s="648"/>
      <c r="Y169" s="648"/>
      <c r="Z169" s="648"/>
      <c r="AA169" s="66"/>
      <c r="AB169" s="66"/>
      <c r="AC169" s="80"/>
    </row>
    <row r="170" spans="1:68" ht="27" hidden="1" customHeight="1" x14ac:dyDescent="0.25">
      <c r="A170" s="63" t="s">
        <v>296</v>
      </c>
      <c r="B170" s="63" t="s">
        <v>297</v>
      </c>
      <c r="C170" s="36">
        <v>4301031527</v>
      </c>
      <c r="D170" s="649">
        <v>4680115889613</v>
      </c>
      <c r="E170" s="649"/>
      <c r="F170" s="62">
        <v>1.1499999999999999</v>
      </c>
      <c r="G170" s="37">
        <v>4</v>
      </c>
      <c r="H170" s="62">
        <v>4.5999999999999996</v>
      </c>
      <c r="I170" s="62">
        <v>4.95</v>
      </c>
      <c r="J170" s="37">
        <v>104</v>
      </c>
      <c r="K170" s="37" t="s">
        <v>129</v>
      </c>
      <c r="L170" s="37" t="s">
        <v>46</v>
      </c>
      <c r="M170" s="38" t="s">
        <v>133</v>
      </c>
      <c r="N170" s="38"/>
      <c r="O170" s="37">
        <v>45</v>
      </c>
      <c r="P170" s="865" t="str">
        <f>HYPERLINK("https://abi.ru/products/Охлажденные/Вязанка/Вязанка/Копченые колбасы/P005656/","Копченые колбасы «Сервелат Европейский» Весовой фиброуз ТМ «Вязанка»")</f>
        <v>Копченые колбасы «Сервелат Европейский» Весовой фиброуз ТМ «Вязанка»</v>
      </c>
      <c r="Q170" s="651"/>
      <c r="R170" s="651"/>
      <c r="S170" s="651"/>
      <c r="T170" s="652"/>
      <c r="U170" s="39" t="s">
        <v>46</v>
      </c>
      <c r="V170" s="39" t="s">
        <v>46</v>
      </c>
      <c r="W170" s="40" t="s">
        <v>0</v>
      </c>
      <c r="X170" s="58">
        <v>0</v>
      </c>
      <c r="Y170" s="55">
        <f t="shared" ref="Y170:Y180" si="15">IFERROR(IF(X170="",0,CEILING((X170/$H170),1)*$H170),"")</f>
        <v>0</v>
      </c>
      <c r="Z170" s="41" t="str">
        <f>IFERROR(IF(Y170=0,"",ROUNDUP(Y170/H170,0)*0.01196),"")</f>
        <v/>
      </c>
      <c r="AA170" s="68" t="s">
        <v>46</v>
      </c>
      <c r="AB170" s="69" t="s">
        <v>100</v>
      </c>
      <c r="AC170" s="236" t="s">
        <v>298</v>
      </c>
      <c r="AG170" s="78"/>
      <c r="AJ170" s="84" t="s">
        <v>46</v>
      </c>
      <c r="AK170" s="84">
        <v>0</v>
      </c>
      <c r="BB170" s="237" t="s">
        <v>67</v>
      </c>
      <c r="BM170" s="78">
        <f t="shared" ref="BM170:BM180" si="16">IFERROR(X170*I170/H170,"0")</f>
        <v>0</v>
      </c>
      <c r="BN170" s="78">
        <f t="shared" ref="BN170:BN180" si="17">IFERROR(Y170*I170/H170,"0")</f>
        <v>0</v>
      </c>
      <c r="BO170" s="78">
        <f t="shared" ref="BO170:BO180" si="18">IFERROR(1/J170*(X170/H170),"0")</f>
        <v>0</v>
      </c>
      <c r="BP170" s="78">
        <f t="shared" ref="BP170:BP180" si="19">IFERROR(1/J170*(Y170/H170),"0")</f>
        <v>0</v>
      </c>
    </row>
    <row r="171" spans="1:68" ht="27" hidden="1" customHeight="1" x14ac:dyDescent="0.25">
      <c r="A171" s="63" t="s">
        <v>299</v>
      </c>
      <c r="B171" s="63" t="s">
        <v>300</v>
      </c>
      <c r="C171" s="36">
        <v>4301031496</v>
      </c>
      <c r="D171" s="649">
        <v>4680115887428</v>
      </c>
      <c r="E171" s="64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137</v>
      </c>
      <c r="L171" s="37" t="s">
        <v>46</v>
      </c>
      <c r="M171" s="38" t="s">
        <v>133</v>
      </c>
      <c r="N171" s="38"/>
      <c r="O171" s="37">
        <v>40</v>
      </c>
      <c r="P171" s="86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51"/>
      <c r="R171" s="651"/>
      <c r="S171" s="651"/>
      <c r="T171" s="65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si="15"/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301</v>
      </c>
      <c r="AG171" s="78"/>
      <c r="AJ171" s="84" t="s">
        <v>46</v>
      </c>
      <c r="AK171" s="84">
        <v>0</v>
      </c>
      <c r="BB171" s="239" t="s">
        <v>67</v>
      </c>
      <c r="BM171" s="78">
        <f t="shared" si="16"/>
        <v>0</v>
      </c>
      <c r="BN171" s="78">
        <f t="shared" si="17"/>
        <v>0</v>
      </c>
      <c r="BO171" s="78">
        <f t="shared" si="18"/>
        <v>0</v>
      </c>
      <c r="BP171" s="78">
        <f t="shared" si="19"/>
        <v>0</v>
      </c>
    </row>
    <row r="172" spans="1:68" ht="27" hidden="1" customHeight="1" x14ac:dyDescent="0.25">
      <c r="A172" s="63" t="s">
        <v>302</v>
      </c>
      <c r="B172" s="63" t="s">
        <v>303</v>
      </c>
      <c r="C172" s="36">
        <v>4301031509</v>
      </c>
      <c r="D172" s="649">
        <v>4680115889170</v>
      </c>
      <c r="E172" s="64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137</v>
      </c>
      <c r="L172" s="37" t="s">
        <v>46</v>
      </c>
      <c r="M172" s="38" t="s">
        <v>133</v>
      </c>
      <c r="N172" s="38"/>
      <c r="O172" s="37">
        <v>45</v>
      </c>
      <c r="P172" s="86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51"/>
      <c r="R172" s="651"/>
      <c r="S172" s="651"/>
      <c r="T172" s="652"/>
      <c r="U172" s="39" t="s">
        <v>46</v>
      </c>
      <c r="V172" s="39" t="s">
        <v>46</v>
      </c>
      <c r="W172" s="40" t="s">
        <v>0</v>
      </c>
      <c r="X172" s="58">
        <v>0</v>
      </c>
      <c r="Y172" s="55">
        <f t="shared" si="15"/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40" t="s">
        <v>304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0</v>
      </c>
      <c r="BN172" s="78">
        <f t="shared" si="17"/>
        <v>0</v>
      </c>
      <c r="BO172" s="78">
        <f t="shared" si="18"/>
        <v>0</v>
      </c>
      <c r="BP172" s="78">
        <f t="shared" si="19"/>
        <v>0</v>
      </c>
    </row>
    <row r="173" spans="1:68" ht="27" hidden="1" customHeight="1" x14ac:dyDescent="0.25">
      <c r="A173" s="63" t="s">
        <v>305</v>
      </c>
      <c r="B173" s="63" t="s">
        <v>306</v>
      </c>
      <c r="C173" s="36">
        <v>4301031522</v>
      </c>
      <c r="D173" s="649">
        <v>4680115887398</v>
      </c>
      <c r="E173" s="64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137</v>
      </c>
      <c r="L173" s="37" t="s">
        <v>46</v>
      </c>
      <c r="M173" s="38" t="s">
        <v>133</v>
      </c>
      <c r="N173" s="38"/>
      <c r="O173" s="37">
        <v>45</v>
      </c>
      <c r="P173" s="86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51"/>
      <c r="R173" s="651"/>
      <c r="S173" s="651"/>
      <c r="T173" s="65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307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308</v>
      </c>
      <c r="B174" s="63" t="s">
        <v>309</v>
      </c>
      <c r="C174" s="36">
        <v>4301031520</v>
      </c>
      <c r="D174" s="649">
        <v>4680115887336</v>
      </c>
      <c r="E174" s="64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137</v>
      </c>
      <c r="L174" s="37" t="s">
        <v>46</v>
      </c>
      <c r="M174" s="38" t="s">
        <v>133</v>
      </c>
      <c r="N174" s="38"/>
      <c r="O174" s="37">
        <v>45</v>
      </c>
      <c r="P174" s="856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51"/>
      <c r="R174" s="651"/>
      <c r="S174" s="651"/>
      <c r="T174" s="65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310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311</v>
      </c>
      <c r="B175" s="63" t="s">
        <v>312</v>
      </c>
      <c r="C175" s="36">
        <v>4301031528</v>
      </c>
      <c r="D175" s="649">
        <v>4680115887787</v>
      </c>
      <c r="E175" s="64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134</v>
      </c>
      <c r="L175" s="37" t="s">
        <v>46</v>
      </c>
      <c r="M175" s="38" t="s">
        <v>133</v>
      </c>
      <c r="N175" s="38"/>
      <c r="O175" s="37">
        <v>45</v>
      </c>
      <c r="P175" s="857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51"/>
      <c r="R175" s="651"/>
      <c r="S175" s="651"/>
      <c r="T175" s="65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313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314</v>
      </c>
      <c r="B176" s="63" t="s">
        <v>315</v>
      </c>
      <c r="C176" s="36">
        <v>4301031448</v>
      </c>
      <c r="D176" s="649">
        <v>4680115887503</v>
      </c>
      <c r="E176" s="64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234</v>
      </c>
      <c r="L176" s="37" t="s">
        <v>46</v>
      </c>
      <c r="M176" s="38" t="s">
        <v>133</v>
      </c>
      <c r="N176" s="38"/>
      <c r="O176" s="37">
        <v>40</v>
      </c>
      <c r="P176" s="858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51"/>
      <c r="R176" s="651"/>
      <c r="S176" s="651"/>
      <c r="T176" s="65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301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316</v>
      </c>
      <c r="B177" s="63" t="s">
        <v>317</v>
      </c>
      <c r="C177" s="36">
        <v>4301031389</v>
      </c>
      <c r="D177" s="649">
        <v>4680115887763</v>
      </c>
      <c r="E177" s="64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312</v>
      </c>
      <c r="K177" s="37" t="s">
        <v>134</v>
      </c>
      <c r="L177" s="37" t="s">
        <v>46</v>
      </c>
      <c r="M177" s="38" t="s">
        <v>133</v>
      </c>
      <c r="N177" s="38"/>
      <c r="O177" s="37">
        <v>45</v>
      </c>
      <c r="P177" s="859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51"/>
      <c r="R177" s="651"/>
      <c r="S177" s="651"/>
      <c r="T177" s="65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318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319</v>
      </c>
      <c r="B178" s="63" t="s">
        <v>320</v>
      </c>
      <c r="C178" s="36">
        <v>4301031521</v>
      </c>
      <c r="D178" s="649">
        <v>4680115887480</v>
      </c>
      <c r="E178" s="64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234</v>
      </c>
      <c r="L178" s="37" t="s">
        <v>46</v>
      </c>
      <c r="M178" s="38" t="s">
        <v>133</v>
      </c>
      <c r="N178" s="38"/>
      <c r="O178" s="37">
        <v>45</v>
      </c>
      <c r="P178" s="86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51"/>
      <c r="R178" s="651"/>
      <c r="S178" s="651"/>
      <c r="T178" s="65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307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321</v>
      </c>
      <c r="B179" s="63" t="s">
        <v>322</v>
      </c>
      <c r="C179" s="36">
        <v>4301031434</v>
      </c>
      <c r="D179" s="649">
        <v>4680115888067</v>
      </c>
      <c r="E179" s="649"/>
      <c r="F179" s="62">
        <v>0.09</v>
      </c>
      <c r="G179" s="37">
        <v>10</v>
      </c>
      <c r="H179" s="62">
        <v>0.9</v>
      </c>
      <c r="I179" s="62">
        <v>1</v>
      </c>
      <c r="J179" s="37">
        <v>312</v>
      </c>
      <c r="K179" s="37" t="s">
        <v>134</v>
      </c>
      <c r="L179" s="37" t="s">
        <v>46</v>
      </c>
      <c r="M179" s="38" t="s">
        <v>133</v>
      </c>
      <c r="N179" s="38"/>
      <c r="O179" s="37">
        <v>45</v>
      </c>
      <c r="P179" s="86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51"/>
      <c r="R179" s="651"/>
      <c r="S179" s="651"/>
      <c r="T179" s="65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323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324</v>
      </c>
      <c r="B180" s="63" t="s">
        <v>325</v>
      </c>
      <c r="C180" s="36">
        <v>4301031519</v>
      </c>
      <c r="D180" s="649">
        <v>4680115887435</v>
      </c>
      <c r="E180" s="64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234</v>
      </c>
      <c r="L180" s="37" t="s">
        <v>46</v>
      </c>
      <c r="M180" s="38" t="s">
        <v>133</v>
      </c>
      <c r="N180" s="38"/>
      <c r="O180" s="37">
        <v>45</v>
      </c>
      <c r="P180" s="86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51"/>
      <c r="R180" s="651"/>
      <c r="S180" s="651"/>
      <c r="T180" s="65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310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hidden="1" x14ac:dyDescent="0.2">
      <c r="A181" s="656"/>
      <c r="B181" s="656"/>
      <c r="C181" s="656"/>
      <c r="D181" s="656"/>
      <c r="E181" s="656"/>
      <c r="F181" s="656"/>
      <c r="G181" s="656"/>
      <c r="H181" s="656"/>
      <c r="I181" s="656"/>
      <c r="J181" s="656"/>
      <c r="K181" s="656"/>
      <c r="L181" s="656"/>
      <c r="M181" s="656"/>
      <c r="N181" s="656"/>
      <c r="O181" s="657"/>
      <c r="P181" s="653" t="s">
        <v>40</v>
      </c>
      <c r="Q181" s="654"/>
      <c r="R181" s="654"/>
      <c r="S181" s="654"/>
      <c r="T181" s="654"/>
      <c r="U181" s="654"/>
      <c r="V181" s="655"/>
      <c r="W181" s="42" t="s">
        <v>39</v>
      </c>
      <c r="X181" s="43">
        <f>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43">
        <f>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43">
        <f>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67"/>
      <c r="AB181" s="67"/>
      <c r="AC181" s="67"/>
    </row>
    <row r="182" spans="1:68" hidden="1" x14ac:dyDescent="0.2">
      <c r="A182" s="656"/>
      <c r="B182" s="656"/>
      <c r="C182" s="656"/>
      <c r="D182" s="656"/>
      <c r="E182" s="656"/>
      <c r="F182" s="656"/>
      <c r="G182" s="656"/>
      <c r="H182" s="656"/>
      <c r="I182" s="656"/>
      <c r="J182" s="656"/>
      <c r="K182" s="656"/>
      <c r="L182" s="656"/>
      <c r="M182" s="656"/>
      <c r="N182" s="656"/>
      <c r="O182" s="657"/>
      <c r="P182" s="653" t="s">
        <v>40</v>
      </c>
      <c r="Q182" s="654"/>
      <c r="R182" s="654"/>
      <c r="S182" s="654"/>
      <c r="T182" s="654"/>
      <c r="U182" s="654"/>
      <c r="V182" s="655"/>
      <c r="W182" s="42" t="s">
        <v>0</v>
      </c>
      <c r="X182" s="43">
        <f>IFERROR(SUM(X170:X180),"0")</f>
        <v>0</v>
      </c>
      <c r="Y182" s="43">
        <f>IFERROR(SUM(Y170:Y180),"0")</f>
        <v>0</v>
      </c>
      <c r="Z182" s="42"/>
      <c r="AA182" s="67"/>
      <c r="AB182" s="67"/>
      <c r="AC182" s="67"/>
    </row>
    <row r="183" spans="1:68" ht="14.25" hidden="1" customHeight="1" x14ac:dyDescent="0.25">
      <c r="A183" s="648" t="s">
        <v>77</v>
      </c>
      <c r="B183" s="648"/>
      <c r="C183" s="648"/>
      <c r="D183" s="648"/>
      <c r="E183" s="648"/>
      <c r="F183" s="648"/>
      <c r="G183" s="648"/>
      <c r="H183" s="648"/>
      <c r="I183" s="648"/>
      <c r="J183" s="648"/>
      <c r="K183" s="648"/>
      <c r="L183" s="648"/>
      <c r="M183" s="648"/>
      <c r="N183" s="648"/>
      <c r="O183" s="648"/>
      <c r="P183" s="648"/>
      <c r="Q183" s="648"/>
      <c r="R183" s="648"/>
      <c r="S183" s="648"/>
      <c r="T183" s="648"/>
      <c r="U183" s="648"/>
      <c r="V183" s="648"/>
      <c r="W183" s="648"/>
      <c r="X183" s="648"/>
      <c r="Y183" s="648"/>
      <c r="Z183" s="648"/>
      <c r="AA183" s="66"/>
      <c r="AB183" s="66"/>
      <c r="AC183" s="80"/>
    </row>
    <row r="184" spans="1:68" ht="16.5" hidden="1" customHeight="1" x14ac:dyDescent="0.25">
      <c r="A184" s="63" t="s">
        <v>326</v>
      </c>
      <c r="B184" s="63" t="s">
        <v>327</v>
      </c>
      <c r="C184" s="36">
        <v>4301052193</v>
      </c>
      <c r="D184" s="649">
        <v>4680115888395</v>
      </c>
      <c r="E184" s="64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82</v>
      </c>
      <c r="L184" s="37" t="s">
        <v>46</v>
      </c>
      <c r="M184" s="38" t="s">
        <v>88</v>
      </c>
      <c r="N184" s="38"/>
      <c r="O184" s="37">
        <v>40</v>
      </c>
      <c r="P184" s="852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51"/>
      <c r="R184" s="651"/>
      <c r="S184" s="651"/>
      <c r="T184" s="65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329</v>
      </c>
      <c r="B185" s="63" t="s">
        <v>330</v>
      </c>
      <c r="C185" s="36">
        <v>4301052191</v>
      </c>
      <c r="D185" s="649">
        <v>4680115888371</v>
      </c>
      <c r="E185" s="64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82</v>
      </c>
      <c r="L185" s="37" t="s">
        <v>46</v>
      </c>
      <c r="M185" s="38" t="s">
        <v>88</v>
      </c>
      <c r="N185" s="38"/>
      <c r="O185" s="37">
        <v>40</v>
      </c>
      <c r="P185" s="853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51"/>
      <c r="R185" s="651"/>
      <c r="S185" s="651"/>
      <c r="T185" s="65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331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56"/>
      <c r="B186" s="656"/>
      <c r="C186" s="656"/>
      <c r="D186" s="656"/>
      <c r="E186" s="656"/>
      <c r="F186" s="656"/>
      <c r="G186" s="656"/>
      <c r="H186" s="656"/>
      <c r="I186" s="656"/>
      <c r="J186" s="656"/>
      <c r="K186" s="656"/>
      <c r="L186" s="656"/>
      <c r="M186" s="656"/>
      <c r="N186" s="656"/>
      <c r="O186" s="657"/>
      <c r="P186" s="653" t="s">
        <v>40</v>
      </c>
      <c r="Q186" s="654"/>
      <c r="R186" s="654"/>
      <c r="S186" s="654"/>
      <c r="T186" s="654"/>
      <c r="U186" s="654"/>
      <c r="V186" s="655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56"/>
      <c r="B187" s="656"/>
      <c r="C187" s="656"/>
      <c r="D187" s="656"/>
      <c r="E187" s="656"/>
      <c r="F187" s="656"/>
      <c r="G187" s="656"/>
      <c r="H187" s="656"/>
      <c r="I187" s="656"/>
      <c r="J187" s="656"/>
      <c r="K187" s="656"/>
      <c r="L187" s="656"/>
      <c r="M187" s="656"/>
      <c r="N187" s="656"/>
      <c r="O187" s="657"/>
      <c r="P187" s="653" t="s">
        <v>40</v>
      </c>
      <c r="Q187" s="654"/>
      <c r="R187" s="654"/>
      <c r="S187" s="654"/>
      <c r="T187" s="654"/>
      <c r="U187" s="654"/>
      <c r="V187" s="655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8" t="s">
        <v>95</v>
      </c>
      <c r="B188" s="648"/>
      <c r="C188" s="648"/>
      <c r="D188" s="648"/>
      <c r="E188" s="648"/>
      <c r="F188" s="648"/>
      <c r="G188" s="648"/>
      <c r="H188" s="648"/>
      <c r="I188" s="648"/>
      <c r="J188" s="648"/>
      <c r="K188" s="648"/>
      <c r="L188" s="648"/>
      <c r="M188" s="648"/>
      <c r="N188" s="648"/>
      <c r="O188" s="648"/>
      <c r="P188" s="648"/>
      <c r="Q188" s="648"/>
      <c r="R188" s="648"/>
      <c r="S188" s="648"/>
      <c r="T188" s="648"/>
      <c r="U188" s="648"/>
      <c r="V188" s="648"/>
      <c r="W188" s="648"/>
      <c r="X188" s="648"/>
      <c r="Y188" s="648"/>
      <c r="Z188" s="648"/>
      <c r="AA188" s="66"/>
      <c r="AB188" s="66"/>
      <c r="AC188" s="80"/>
    </row>
    <row r="189" spans="1:68" ht="16.5" hidden="1" customHeight="1" x14ac:dyDescent="0.25">
      <c r="A189" s="63" t="s">
        <v>332</v>
      </c>
      <c r="B189" s="63" t="s">
        <v>333</v>
      </c>
      <c r="C189" s="36">
        <v>4301032058</v>
      </c>
      <c r="D189" s="649">
        <v>4680115889026</v>
      </c>
      <c r="E189" s="64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335</v>
      </c>
      <c r="L189" s="37" t="s">
        <v>46</v>
      </c>
      <c r="M189" s="38" t="s">
        <v>101</v>
      </c>
      <c r="N189" s="38"/>
      <c r="O189" s="37">
        <v>60</v>
      </c>
      <c r="P189" s="854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51"/>
      <c r="R189" s="651"/>
      <c r="S189" s="651"/>
      <c r="T189" s="65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334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56"/>
      <c r="B190" s="656"/>
      <c r="C190" s="656"/>
      <c r="D190" s="656"/>
      <c r="E190" s="656"/>
      <c r="F190" s="656"/>
      <c r="G190" s="656"/>
      <c r="H190" s="656"/>
      <c r="I190" s="656"/>
      <c r="J190" s="656"/>
      <c r="K190" s="656"/>
      <c r="L190" s="656"/>
      <c r="M190" s="656"/>
      <c r="N190" s="656"/>
      <c r="O190" s="657"/>
      <c r="P190" s="653" t="s">
        <v>40</v>
      </c>
      <c r="Q190" s="654"/>
      <c r="R190" s="654"/>
      <c r="S190" s="654"/>
      <c r="T190" s="654"/>
      <c r="U190" s="654"/>
      <c r="V190" s="655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56"/>
      <c r="B191" s="656"/>
      <c r="C191" s="656"/>
      <c r="D191" s="656"/>
      <c r="E191" s="656"/>
      <c r="F191" s="656"/>
      <c r="G191" s="656"/>
      <c r="H191" s="656"/>
      <c r="I191" s="656"/>
      <c r="J191" s="656"/>
      <c r="K191" s="656"/>
      <c r="L191" s="656"/>
      <c r="M191" s="656"/>
      <c r="N191" s="656"/>
      <c r="O191" s="657"/>
      <c r="P191" s="653" t="s">
        <v>40</v>
      </c>
      <c r="Q191" s="654"/>
      <c r="R191" s="654"/>
      <c r="S191" s="654"/>
      <c r="T191" s="654"/>
      <c r="U191" s="654"/>
      <c r="V191" s="655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8" t="s">
        <v>336</v>
      </c>
      <c r="B192" s="648"/>
      <c r="C192" s="648"/>
      <c r="D192" s="648"/>
      <c r="E192" s="648"/>
      <c r="F192" s="648"/>
      <c r="G192" s="648"/>
      <c r="H192" s="648"/>
      <c r="I192" s="648"/>
      <c r="J192" s="648"/>
      <c r="K192" s="648"/>
      <c r="L192" s="648"/>
      <c r="M192" s="648"/>
      <c r="N192" s="648"/>
      <c r="O192" s="648"/>
      <c r="P192" s="648"/>
      <c r="Q192" s="648"/>
      <c r="R192" s="648"/>
      <c r="S192" s="648"/>
      <c r="T192" s="648"/>
      <c r="U192" s="648"/>
      <c r="V192" s="648"/>
      <c r="W192" s="648"/>
      <c r="X192" s="648"/>
      <c r="Y192" s="648"/>
      <c r="Z192" s="648"/>
      <c r="AA192" s="66"/>
      <c r="AB192" s="66"/>
      <c r="AC192" s="80"/>
    </row>
    <row r="193" spans="1:68" ht="27" hidden="1" customHeight="1" x14ac:dyDescent="0.25">
      <c r="A193" s="63" t="s">
        <v>337</v>
      </c>
      <c r="B193" s="63" t="s">
        <v>338</v>
      </c>
      <c r="C193" s="36">
        <v>4301041009</v>
      </c>
      <c r="D193" s="649">
        <v>4680115889033</v>
      </c>
      <c r="E193" s="64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335</v>
      </c>
      <c r="L193" s="37" t="s">
        <v>46</v>
      </c>
      <c r="M193" s="38" t="s">
        <v>101</v>
      </c>
      <c r="N193" s="38"/>
      <c r="O193" s="37">
        <v>60</v>
      </c>
      <c r="P193" s="855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51"/>
      <c r="R193" s="651"/>
      <c r="S193" s="651"/>
      <c r="T193" s="65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339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56"/>
      <c r="B194" s="656"/>
      <c r="C194" s="656"/>
      <c r="D194" s="656"/>
      <c r="E194" s="656"/>
      <c r="F194" s="656"/>
      <c r="G194" s="656"/>
      <c r="H194" s="656"/>
      <c r="I194" s="656"/>
      <c r="J194" s="656"/>
      <c r="K194" s="656"/>
      <c r="L194" s="656"/>
      <c r="M194" s="656"/>
      <c r="N194" s="656"/>
      <c r="O194" s="657"/>
      <c r="P194" s="653" t="s">
        <v>40</v>
      </c>
      <c r="Q194" s="654"/>
      <c r="R194" s="654"/>
      <c r="S194" s="654"/>
      <c r="T194" s="654"/>
      <c r="U194" s="654"/>
      <c r="V194" s="655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56"/>
      <c r="B195" s="656"/>
      <c r="C195" s="656"/>
      <c r="D195" s="656"/>
      <c r="E195" s="656"/>
      <c r="F195" s="656"/>
      <c r="G195" s="656"/>
      <c r="H195" s="656"/>
      <c r="I195" s="656"/>
      <c r="J195" s="656"/>
      <c r="K195" s="656"/>
      <c r="L195" s="656"/>
      <c r="M195" s="656"/>
      <c r="N195" s="656"/>
      <c r="O195" s="657"/>
      <c r="P195" s="653" t="s">
        <v>40</v>
      </c>
      <c r="Q195" s="654"/>
      <c r="R195" s="654"/>
      <c r="S195" s="654"/>
      <c r="T195" s="654"/>
      <c r="U195" s="654"/>
      <c r="V195" s="655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66" t="s">
        <v>340</v>
      </c>
      <c r="B196" s="666"/>
      <c r="C196" s="666"/>
      <c r="D196" s="666"/>
      <c r="E196" s="666"/>
      <c r="F196" s="666"/>
      <c r="G196" s="666"/>
      <c r="H196" s="666"/>
      <c r="I196" s="666"/>
      <c r="J196" s="666"/>
      <c r="K196" s="666"/>
      <c r="L196" s="666"/>
      <c r="M196" s="666"/>
      <c r="N196" s="666"/>
      <c r="O196" s="666"/>
      <c r="P196" s="666"/>
      <c r="Q196" s="666"/>
      <c r="R196" s="666"/>
      <c r="S196" s="666"/>
      <c r="T196" s="666"/>
      <c r="U196" s="666"/>
      <c r="V196" s="666"/>
      <c r="W196" s="666"/>
      <c r="X196" s="666"/>
      <c r="Y196" s="666"/>
      <c r="Z196" s="666"/>
      <c r="AA196" s="54"/>
      <c r="AB196" s="54"/>
      <c r="AC196" s="54"/>
    </row>
    <row r="197" spans="1:68" ht="16.5" hidden="1" customHeight="1" x14ac:dyDescent="0.25">
      <c r="A197" s="647" t="s">
        <v>341</v>
      </c>
      <c r="B197" s="647"/>
      <c r="C197" s="647"/>
      <c r="D197" s="647"/>
      <c r="E197" s="647"/>
      <c r="F197" s="647"/>
      <c r="G197" s="647"/>
      <c r="H197" s="647"/>
      <c r="I197" s="647"/>
      <c r="J197" s="647"/>
      <c r="K197" s="647"/>
      <c r="L197" s="647"/>
      <c r="M197" s="647"/>
      <c r="N197" s="647"/>
      <c r="O197" s="647"/>
      <c r="P197" s="647"/>
      <c r="Q197" s="647"/>
      <c r="R197" s="647"/>
      <c r="S197" s="647"/>
      <c r="T197" s="647"/>
      <c r="U197" s="647"/>
      <c r="V197" s="647"/>
      <c r="W197" s="647"/>
      <c r="X197" s="647"/>
      <c r="Y197" s="647"/>
      <c r="Z197" s="647"/>
      <c r="AA197" s="65"/>
      <c r="AB197" s="65"/>
      <c r="AC197" s="79"/>
    </row>
    <row r="198" spans="1:68" ht="14.25" hidden="1" customHeight="1" x14ac:dyDescent="0.25">
      <c r="A198" s="648" t="s">
        <v>124</v>
      </c>
      <c r="B198" s="648"/>
      <c r="C198" s="648"/>
      <c r="D198" s="648"/>
      <c r="E198" s="648"/>
      <c r="F198" s="648"/>
      <c r="G198" s="648"/>
      <c r="H198" s="648"/>
      <c r="I198" s="648"/>
      <c r="J198" s="648"/>
      <c r="K198" s="648"/>
      <c r="L198" s="648"/>
      <c r="M198" s="648"/>
      <c r="N198" s="648"/>
      <c r="O198" s="648"/>
      <c r="P198" s="648"/>
      <c r="Q198" s="648"/>
      <c r="R198" s="648"/>
      <c r="S198" s="648"/>
      <c r="T198" s="648"/>
      <c r="U198" s="648"/>
      <c r="V198" s="648"/>
      <c r="W198" s="648"/>
      <c r="X198" s="648"/>
      <c r="Y198" s="648"/>
      <c r="Z198" s="648"/>
      <c r="AA198" s="66"/>
      <c r="AB198" s="66"/>
      <c r="AC198" s="80"/>
    </row>
    <row r="199" spans="1:68" ht="27" hidden="1" customHeight="1" x14ac:dyDescent="0.25">
      <c r="A199" s="63" t="s">
        <v>342</v>
      </c>
      <c r="B199" s="63" t="s">
        <v>343</v>
      </c>
      <c r="C199" s="36">
        <v>4301011223</v>
      </c>
      <c r="D199" s="649">
        <v>4607091383423</v>
      </c>
      <c r="E199" s="64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129</v>
      </c>
      <c r="L199" s="37" t="s">
        <v>46</v>
      </c>
      <c r="M199" s="38" t="s">
        <v>81</v>
      </c>
      <c r="N199" s="38"/>
      <c r="O199" s="37">
        <v>35</v>
      </c>
      <c r="P199" s="84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51"/>
      <c r="R199" s="651"/>
      <c r="S199" s="651"/>
      <c r="T199" s="65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127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344</v>
      </c>
      <c r="B200" s="63" t="s">
        <v>345</v>
      </c>
      <c r="C200" s="36">
        <v>4301012340</v>
      </c>
      <c r="D200" s="649">
        <v>4680115888760</v>
      </c>
      <c r="E200" s="64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129</v>
      </c>
      <c r="L200" s="37" t="s">
        <v>46</v>
      </c>
      <c r="M200" s="38" t="s">
        <v>81</v>
      </c>
      <c r="N200" s="38"/>
      <c r="O200" s="37">
        <v>35</v>
      </c>
      <c r="P200" s="84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51"/>
      <c r="R200" s="651"/>
      <c r="S200" s="651"/>
      <c r="T200" s="65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346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347</v>
      </c>
      <c r="B201" s="63" t="s">
        <v>348</v>
      </c>
      <c r="C201" s="36">
        <v>4301012341</v>
      </c>
      <c r="D201" s="649">
        <v>4680115888807</v>
      </c>
      <c r="E201" s="64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129</v>
      </c>
      <c r="L201" s="37" t="s">
        <v>46</v>
      </c>
      <c r="M201" s="38" t="s">
        <v>81</v>
      </c>
      <c r="N201" s="38"/>
      <c r="O201" s="37">
        <v>35</v>
      </c>
      <c r="P201" s="84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51"/>
      <c r="R201" s="651"/>
      <c r="S201" s="651"/>
      <c r="T201" s="65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349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350</v>
      </c>
      <c r="B202" s="63" t="s">
        <v>351</v>
      </c>
      <c r="C202" s="36">
        <v>4301012342</v>
      </c>
      <c r="D202" s="649">
        <v>4680115888852</v>
      </c>
      <c r="E202" s="64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129</v>
      </c>
      <c r="L202" s="37" t="s">
        <v>46</v>
      </c>
      <c r="M202" s="38" t="s">
        <v>81</v>
      </c>
      <c r="N202" s="38"/>
      <c r="O202" s="37">
        <v>35</v>
      </c>
      <c r="P202" s="84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51"/>
      <c r="R202" s="651"/>
      <c r="S202" s="651"/>
      <c r="T202" s="65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352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353</v>
      </c>
      <c r="B203" s="63" t="s">
        <v>354</v>
      </c>
      <c r="C203" s="36">
        <v>4301012370</v>
      </c>
      <c r="D203" s="649">
        <v>4680115886957</v>
      </c>
      <c r="E203" s="64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129</v>
      </c>
      <c r="L203" s="37" t="s">
        <v>46</v>
      </c>
      <c r="M203" s="38" t="s">
        <v>81</v>
      </c>
      <c r="N203" s="38"/>
      <c r="O203" s="37">
        <v>35</v>
      </c>
      <c r="P203" s="85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51"/>
      <c r="R203" s="651"/>
      <c r="S203" s="651"/>
      <c r="T203" s="65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355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356</v>
      </c>
      <c r="B204" s="63" t="s">
        <v>357</v>
      </c>
      <c r="C204" s="36">
        <v>4301012098</v>
      </c>
      <c r="D204" s="649">
        <v>4680115885660</v>
      </c>
      <c r="E204" s="64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129</v>
      </c>
      <c r="L204" s="37" t="s">
        <v>46</v>
      </c>
      <c r="M204" s="38" t="s">
        <v>81</v>
      </c>
      <c r="N204" s="38"/>
      <c r="O204" s="37">
        <v>35</v>
      </c>
      <c r="P204" s="85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51"/>
      <c r="R204" s="651"/>
      <c r="S204" s="651"/>
      <c r="T204" s="65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358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359</v>
      </c>
      <c r="B205" s="63" t="s">
        <v>360</v>
      </c>
      <c r="C205" s="36">
        <v>4301012369</v>
      </c>
      <c r="D205" s="649">
        <v>4680115886773</v>
      </c>
      <c r="E205" s="64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129</v>
      </c>
      <c r="L205" s="37" t="s">
        <v>46</v>
      </c>
      <c r="M205" s="38" t="s">
        <v>81</v>
      </c>
      <c r="N205" s="38"/>
      <c r="O205" s="37">
        <v>35</v>
      </c>
      <c r="P205" s="84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51"/>
      <c r="R205" s="651"/>
      <c r="S205" s="651"/>
      <c r="T205" s="65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361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56"/>
      <c r="B206" s="656"/>
      <c r="C206" s="656"/>
      <c r="D206" s="656"/>
      <c r="E206" s="656"/>
      <c r="F206" s="656"/>
      <c r="G206" s="656"/>
      <c r="H206" s="656"/>
      <c r="I206" s="656"/>
      <c r="J206" s="656"/>
      <c r="K206" s="656"/>
      <c r="L206" s="656"/>
      <c r="M206" s="656"/>
      <c r="N206" s="656"/>
      <c r="O206" s="657"/>
      <c r="P206" s="653" t="s">
        <v>40</v>
      </c>
      <c r="Q206" s="654"/>
      <c r="R206" s="654"/>
      <c r="S206" s="654"/>
      <c r="T206" s="654"/>
      <c r="U206" s="654"/>
      <c r="V206" s="655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56"/>
      <c r="B207" s="656"/>
      <c r="C207" s="656"/>
      <c r="D207" s="656"/>
      <c r="E207" s="656"/>
      <c r="F207" s="656"/>
      <c r="G207" s="656"/>
      <c r="H207" s="656"/>
      <c r="I207" s="656"/>
      <c r="J207" s="656"/>
      <c r="K207" s="656"/>
      <c r="L207" s="656"/>
      <c r="M207" s="656"/>
      <c r="N207" s="656"/>
      <c r="O207" s="657"/>
      <c r="P207" s="653" t="s">
        <v>40</v>
      </c>
      <c r="Q207" s="654"/>
      <c r="R207" s="654"/>
      <c r="S207" s="654"/>
      <c r="T207" s="654"/>
      <c r="U207" s="654"/>
      <c r="V207" s="655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7" t="s">
        <v>362</v>
      </c>
      <c r="B208" s="647"/>
      <c r="C208" s="647"/>
      <c r="D208" s="647"/>
      <c r="E208" s="647"/>
      <c r="F208" s="647"/>
      <c r="G208" s="647"/>
      <c r="H208" s="647"/>
      <c r="I208" s="647"/>
      <c r="J208" s="647"/>
      <c r="K208" s="647"/>
      <c r="L208" s="647"/>
      <c r="M208" s="647"/>
      <c r="N208" s="647"/>
      <c r="O208" s="647"/>
      <c r="P208" s="647"/>
      <c r="Q208" s="647"/>
      <c r="R208" s="647"/>
      <c r="S208" s="647"/>
      <c r="T208" s="647"/>
      <c r="U208" s="647"/>
      <c r="V208" s="647"/>
      <c r="W208" s="647"/>
      <c r="X208" s="647"/>
      <c r="Y208" s="647"/>
      <c r="Z208" s="647"/>
      <c r="AA208" s="65"/>
      <c r="AB208" s="65"/>
      <c r="AC208" s="79"/>
    </row>
    <row r="209" spans="1:68" ht="14.25" hidden="1" customHeight="1" x14ac:dyDescent="0.25">
      <c r="A209" s="648" t="s">
        <v>161</v>
      </c>
      <c r="B209" s="648"/>
      <c r="C209" s="648"/>
      <c r="D209" s="648"/>
      <c r="E209" s="648"/>
      <c r="F209" s="648"/>
      <c r="G209" s="648"/>
      <c r="H209" s="648"/>
      <c r="I209" s="648"/>
      <c r="J209" s="648"/>
      <c r="K209" s="648"/>
      <c r="L209" s="648"/>
      <c r="M209" s="648"/>
      <c r="N209" s="648"/>
      <c r="O209" s="648"/>
      <c r="P209" s="648"/>
      <c r="Q209" s="648"/>
      <c r="R209" s="648"/>
      <c r="S209" s="648"/>
      <c r="T209" s="648"/>
      <c r="U209" s="648"/>
      <c r="V209" s="648"/>
      <c r="W209" s="648"/>
      <c r="X209" s="648"/>
      <c r="Y209" s="648"/>
      <c r="Z209" s="648"/>
      <c r="AA209" s="66"/>
      <c r="AB209" s="66"/>
      <c r="AC209" s="80"/>
    </row>
    <row r="210" spans="1:68" ht="27" hidden="1" customHeight="1" x14ac:dyDescent="0.25">
      <c r="A210" s="63" t="s">
        <v>363</v>
      </c>
      <c r="B210" s="63" t="s">
        <v>364</v>
      </c>
      <c r="C210" s="36">
        <v>4301020323</v>
      </c>
      <c r="D210" s="649">
        <v>4680115886223</v>
      </c>
      <c r="E210" s="64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234</v>
      </c>
      <c r="L210" s="37" t="s">
        <v>46</v>
      </c>
      <c r="M210" s="38" t="s">
        <v>133</v>
      </c>
      <c r="N210" s="38"/>
      <c r="O210" s="37">
        <v>40</v>
      </c>
      <c r="P210" s="84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51"/>
      <c r="R210" s="651"/>
      <c r="S210" s="651"/>
      <c r="T210" s="65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365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56"/>
      <c r="B211" s="656"/>
      <c r="C211" s="656"/>
      <c r="D211" s="656"/>
      <c r="E211" s="656"/>
      <c r="F211" s="656"/>
      <c r="G211" s="656"/>
      <c r="H211" s="656"/>
      <c r="I211" s="656"/>
      <c r="J211" s="656"/>
      <c r="K211" s="656"/>
      <c r="L211" s="656"/>
      <c r="M211" s="656"/>
      <c r="N211" s="656"/>
      <c r="O211" s="657"/>
      <c r="P211" s="653" t="s">
        <v>40</v>
      </c>
      <c r="Q211" s="654"/>
      <c r="R211" s="654"/>
      <c r="S211" s="654"/>
      <c r="T211" s="654"/>
      <c r="U211" s="654"/>
      <c r="V211" s="655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56"/>
      <c r="B212" s="656"/>
      <c r="C212" s="656"/>
      <c r="D212" s="656"/>
      <c r="E212" s="656"/>
      <c r="F212" s="656"/>
      <c r="G212" s="656"/>
      <c r="H212" s="656"/>
      <c r="I212" s="656"/>
      <c r="J212" s="656"/>
      <c r="K212" s="656"/>
      <c r="L212" s="656"/>
      <c r="M212" s="656"/>
      <c r="N212" s="656"/>
      <c r="O212" s="657"/>
      <c r="P212" s="653" t="s">
        <v>40</v>
      </c>
      <c r="Q212" s="654"/>
      <c r="R212" s="654"/>
      <c r="S212" s="654"/>
      <c r="T212" s="654"/>
      <c r="U212" s="654"/>
      <c r="V212" s="655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8" t="s">
        <v>256</v>
      </c>
      <c r="B213" s="648"/>
      <c r="C213" s="648"/>
      <c r="D213" s="648"/>
      <c r="E213" s="648"/>
      <c r="F213" s="648"/>
      <c r="G213" s="648"/>
      <c r="H213" s="648"/>
      <c r="I213" s="648"/>
      <c r="J213" s="648"/>
      <c r="K213" s="648"/>
      <c r="L213" s="648"/>
      <c r="M213" s="648"/>
      <c r="N213" s="648"/>
      <c r="O213" s="648"/>
      <c r="P213" s="648"/>
      <c r="Q213" s="648"/>
      <c r="R213" s="648"/>
      <c r="S213" s="648"/>
      <c r="T213" s="648"/>
      <c r="U213" s="648"/>
      <c r="V213" s="648"/>
      <c r="W213" s="648"/>
      <c r="X213" s="648"/>
      <c r="Y213" s="648"/>
      <c r="Z213" s="648"/>
      <c r="AA213" s="66"/>
      <c r="AB213" s="66"/>
      <c r="AC213" s="80"/>
    </row>
    <row r="214" spans="1:68" ht="27" hidden="1" customHeight="1" x14ac:dyDescent="0.25">
      <c r="A214" s="63" t="s">
        <v>366</v>
      </c>
      <c r="B214" s="63" t="s">
        <v>367</v>
      </c>
      <c r="C214" s="36">
        <v>4301031191</v>
      </c>
      <c r="D214" s="649">
        <v>4680115880993</v>
      </c>
      <c r="E214" s="64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137</v>
      </c>
      <c r="L214" s="37" t="s">
        <v>46</v>
      </c>
      <c r="M214" s="38" t="s">
        <v>133</v>
      </c>
      <c r="N214" s="38"/>
      <c r="O214" s="37">
        <v>40</v>
      </c>
      <c r="P214" s="84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51"/>
      <c r="R214" s="651"/>
      <c r="S214" s="651"/>
      <c r="T214" s="65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368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369</v>
      </c>
      <c r="B215" s="63" t="s">
        <v>370</v>
      </c>
      <c r="C215" s="36">
        <v>4301031204</v>
      </c>
      <c r="D215" s="649">
        <v>4680115881761</v>
      </c>
      <c r="E215" s="64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137</v>
      </c>
      <c r="L215" s="37" t="s">
        <v>46</v>
      </c>
      <c r="M215" s="38" t="s">
        <v>133</v>
      </c>
      <c r="N215" s="38"/>
      <c r="O215" s="37">
        <v>40</v>
      </c>
      <c r="P215" s="84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51"/>
      <c r="R215" s="651"/>
      <c r="S215" s="651"/>
      <c r="T215" s="65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371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372</v>
      </c>
      <c r="B216" s="63" t="s">
        <v>373</v>
      </c>
      <c r="C216" s="36">
        <v>4301031532</v>
      </c>
      <c r="D216" s="649">
        <v>4680115881563</v>
      </c>
      <c r="E216" s="64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137</v>
      </c>
      <c r="L216" s="37" t="s">
        <v>46</v>
      </c>
      <c r="M216" s="38" t="s">
        <v>133</v>
      </c>
      <c r="N216" s="38"/>
      <c r="O216" s="37">
        <v>45</v>
      </c>
      <c r="P216" s="833" t="str">
        <f>HYPERLINK("https://abi.ru/products/Охлажденные/Стародворье/Мясорубская/Копченые колбасы/P005669/","Копченые колбасы «Сервелат Мясорубский с мелкорубленным окороком» Весовой фиброуз ТМ «Стародворье»")</f>
        <v>Копченые колбасы «Сервелат Мясорубский с мелкорубленным окороком» Весовой фиброуз ТМ «Стародворье»</v>
      </c>
      <c r="Q216" s="651"/>
      <c r="R216" s="651"/>
      <c r="S216" s="651"/>
      <c r="T216" s="65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374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375</v>
      </c>
      <c r="B217" s="63" t="s">
        <v>376</v>
      </c>
      <c r="C217" s="36">
        <v>4301031447</v>
      </c>
      <c r="D217" s="649">
        <v>4680115887565</v>
      </c>
      <c r="E217" s="649"/>
      <c r="F217" s="62">
        <v>0.08</v>
      </c>
      <c r="G217" s="37">
        <v>10</v>
      </c>
      <c r="H217" s="62">
        <v>0.8</v>
      </c>
      <c r="I217" s="62">
        <v>0.93</v>
      </c>
      <c r="J217" s="37">
        <v>234</v>
      </c>
      <c r="K217" s="37" t="s">
        <v>234</v>
      </c>
      <c r="L217" s="37" t="s">
        <v>46</v>
      </c>
      <c r="M217" s="38" t="s">
        <v>133</v>
      </c>
      <c r="N217" s="38"/>
      <c r="O217" s="37">
        <v>45</v>
      </c>
      <c r="P217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51"/>
      <c r="R217" s="651"/>
      <c r="S217" s="651"/>
      <c r="T217" s="65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377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378</v>
      </c>
      <c r="B218" s="63" t="s">
        <v>379</v>
      </c>
      <c r="C218" s="36">
        <v>4301031199</v>
      </c>
      <c r="D218" s="649">
        <v>4680115880986</v>
      </c>
      <c r="E218" s="64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234</v>
      </c>
      <c r="L218" s="37" t="s">
        <v>46</v>
      </c>
      <c r="M218" s="38" t="s">
        <v>133</v>
      </c>
      <c r="N218" s="38"/>
      <c r="O218" s="37">
        <v>40</v>
      </c>
      <c r="P218" s="83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51"/>
      <c r="R218" s="651"/>
      <c r="S218" s="651"/>
      <c r="T218" s="65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368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380</v>
      </c>
      <c r="B219" s="63" t="s">
        <v>381</v>
      </c>
      <c r="C219" s="36">
        <v>4301031443</v>
      </c>
      <c r="D219" s="649">
        <v>4680115887213</v>
      </c>
      <c r="E219" s="64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234</v>
      </c>
      <c r="L219" s="37" t="s">
        <v>46</v>
      </c>
      <c r="M219" s="38" t="s">
        <v>133</v>
      </c>
      <c r="N219" s="38"/>
      <c r="O219" s="37">
        <v>45</v>
      </c>
      <c r="P219" s="83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51"/>
      <c r="R219" s="651"/>
      <c r="S219" s="651"/>
      <c r="T219" s="65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383</v>
      </c>
      <c r="B220" s="63" t="s">
        <v>384</v>
      </c>
      <c r="C220" s="36">
        <v>4301031205</v>
      </c>
      <c r="D220" s="649">
        <v>4680115881785</v>
      </c>
      <c r="E220" s="64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234</v>
      </c>
      <c r="L220" s="37" t="s">
        <v>46</v>
      </c>
      <c r="M220" s="38" t="s">
        <v>133</v>
      </c>
      <c r="N220" s="38"/>
      <c r="O220" s="37">
        <v>40</v>
      </c>
      <c r="P220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51"/>
      <c r="R220" s="651"/>
      <c r="S220" s="651"/>
      <c r="T220" s="65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371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385</v>
      </c>
      <c r="B221" s="63" t="s">
        <v>386</v>
      </c>
      <c r="C221" s="36">
        <v>4301031499</v>
      </c>
      <c r="D221" s="649">
        <v>4680115888432</v>
      </c>
      <c r="E221" s="64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234</v>
      </c>
      <c r="L221" s="37" t="s">
        <v>46</v>
      </c>
      <c r="M221" s="38" t="s">
        <v>133</v>
      </c>
      <c r="N221" s="38"/>
      <c r="O221" s="37">
        <v>45</v>
      </c>
      <c r="P221" s="83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51"/>
      <c r="R221" s="651"/>
      <c r="S221" s="651"/>
      <c r="T221" s="65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387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388</v>
      </c>
      <c r="B222" s="63" t="s">
        <v>389</v>
      </c>
      <c r="C222" s="36">
        <v>4301031503</v>
      </c>
      <c r="D222" s="649">
        <v>4680115886537</v>
      </c>
      <c r="E222" s="64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234</v>
      </c>
      <c r="L222" s="37" t="s">
        <v>46</v>
      </c>
      <c r="M222" s="38" t="s">
        <v>133</v>
      </c>
      <c r="N222" s="38"/>
      <c r="O222" s="37">
        <v>45</v>
      </c>
      <c r="P222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51"/>
      <c r="R222" s="651"/>
      <c r="S222" s="651"/>
      <c r="T222" s="65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390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391</v>
      </c>
      <c r="B223" s="63" t="s">
        <v>392</v>
      </c>
      <c r="C223" s="36">
        <v>4301031279</v>
      </c>
      <c r="D223" s="649">
        <v>4680115887596</v>
      </c>
      <c r="E223" s="649"/>
      <c r="F223" s="62">
        <v>0.08</v>
      </c>
      <c r="G223" s="37">
        <v>10</v>
      </c>
      <c r="H223" s="62">
        <v>0.8</v>
      </c>
      <c r="I223" s="62">
        <v>1.01</v>
      </c>
      <c r="J223" s="37">
        <v>312</v>
      </c>
      <c r="K223" s="37" t="s">
        <v>134</v>
      </c>
      <c r="L223" s="37" t="s">
        <v>46</v>
      </c>
      <c r="M223" s="38" t="s">
        <v>133</v>
      </c>
      <c r="N223" s="38"/>
      <c r="O223" s="37">
        <v>45</v>
      </c>
      <c r="P223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51"/>
      <c r="R223" s="651"/>
      <c r="S223" s="651"/>
      <c r="T223" s="65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393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customHeight="1" x14ac:dyDescent="0.25">
      <c r="A224" s="63" t="s">
        <v>394</v>
      </c>
      <c r="B224" s="63" t="s">
        <v>395</v>
      </c>
      <c r="C224" s="36">
        <v>4301031530</v>
      </c>
      <c r="D224" s="649">
        <v>4680115881679</v>
      </c>
      <c r="E224" s="64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234</v>
      </c>
      <c r="L224" s="37" t="s">
        <v>46</v>
      </c>
      <c r="M224" s="38" t="s">
        <v>133</v>
      </c>
      <c r="N224" s="38"/>
      <c r="O224" s="37">
        <v>45</v>
      </c>
      <c r="P224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51"/>
      <c r="R224" s="651"/>
      <c r="S224" s="651"/>
      <c r="T224" s="652"/>
      <c r="U224" s="39" t="s">
        <v>46</v>
      </c>
      <c r="V224" s="39" t="s">
        <v>46</v>
      </c>
      <c r="W224" s="40" t="s">
        <v>0</v>
      </c>
      <c r="X224" s="58">
        <v>21</v>
      </c>
      <c r="Y224" s="55">
        <f t="shared" si="26"/>
        <v>21</v>
      </c>
      <c r="Z224" s="41">
        <f>IFERROR(IF(Y224=0,"",ROUNDUP(Y224/H224,0)*0.00502),"")</f>
        <v>5.0200000000000002E-2</v>
      </c>
      <c r="AA224" s="68" t="s">
        <v>46</v>
      </c>
      <c r="AB224" s="69" t="s">
        <v>46</v>
      </c>
      <c r="AC224" s="302" t="s">
        <v>374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22</v>
      </c>
      <c r="BN224" s="78">
        <f t="shared" si="28"/>
        <v>22</v>
      </c>
      <c r="BO224" s="78">
        <f t="shared" si="29"/>
        <v>4.2735042735042736E-2</v>
      </c>
      <c r="BP224" s="78">
        <f t="shared" si="30"/>
        <v>4.2735042735042736E-2</v>
      </c>
    </row>
    <row r="225" spans="1:68" ht="27" hidden="1" customHeight="1" x14ac:dyDescent="0.25">
      <c r="A225" s="63" t="s">
        <v>396</v>
      </c>
      <c r="B225" s="63" t="s">
        <v>397</v>
      </c>
      <c r="C225" s="36">
        <v>4301031531</v>
      </c>
      <c r="D225" s="649">
        <v>4680115880191</v>
      </c>
      <c r="E225" s="64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82</v>
      </c>
      <c r="L225" s="37" t="s">
        <v>46</v>
      </c>
      <c r="M225" s="38" t="s">
        <v>133</v>
      </c>
      <c r="N225" s="38"/>
      <c r="O225" s="37">
        <v>45</v>
      </c>
      <c r="P225" s="82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51"/>
      <c r="R225" s="651"/>
      <c r="S225" s="651"/>
      <c r="T225" s="65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398</v>
      </c>
      <c r="B226" s="63" t="s">
        <v>399</v>
      </c>
      <c r="C226" s="36">
        <v>4301031245</v>
      </c>
      <c r="D226" s="649">
        <v>4680115883963</v>
      </c>
      <c r="E226" s="64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234</v>
      </c>
      <c r="L226" s="37" t="s">
        <v>46</v>
      </c>
      <c r="M226" s="38" t="s">
        <v>133</v>
      </c>
      <c r="N226" s="38"/>
      <c r="O226" s="37">
        <v>40</v>
      </c>
      <c r="P226" s="82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51"/>
      <c r="R226" s="651"/>
      <c r="S226" s="651"/>
      <c r="T226" s="65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400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x14ac:dyDescent="0.2">
      <c r="A227" s="656"/>
      <c r="B227" s="656"/>
      <c r="C227" s="656"/>
      <c r="D227" s="656"/>
      <c r="E227" s="656"/>
      <c r="F227" s="656"/>
      <c r="G227" s="656"/>
      <c r="H227" s="656"/>
      <c r="I227" s="656"/>
      <c r="J227" s="656"/>
      <c r="K227" s="656"/>
      <c r="L227" s="656"/>
      <c r="M227" s="656"/>
      <c r="N227" s="656"/>
      <c r="O227" s="657"/>
      <c r="P227" s="653" t="s">
        <v>40</v>
      </c>
      <c r="Q227" s="654"/>
      <c r="R227" s="654"/>
      <c r="S227" s="654"/>
      <c r="T227" s="654"/>
      <c r="U227" s="654"/>
      <c r="V227" s="655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10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10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5.0200000000000002E-2</v>
      </c>
      <c r="AA227" s="67"/>
      <c r="AB227" s="67"/>
      <c r="AC227" s="67"/>
    </row>
    <row r="228" spans="1:68" x14ac:dyDescent="0.2">
      <c r="A228" s="656"/>
      <c r="B228" s="656"/>
      <c r="C228" s="656"/>
      <c r="D228" s="656"/>
      <c r="E228" s="656"/>
      <c r="F228" s="656"/>
      <c r="G228" s="656"/>
      <c r="H228" s="656"/>
      <c r="I228" s="656"/>
      <c r="J228" s="656"/>
      <c r="K228" s="656"/>
      <c r="L228" s="656"/>
      <c r="M228" s="656"/>
      <c r="N228" s="656"/>
      <c r="O228" s="657"/>
      <c r="P228" s="653" t="s">
        <v>40</v>
      </c>
      <c r="Q228" s="654"/>
      <c r="R228" s="654"/>
      <c r="S228" s="654"/>
      <c r="T228" s="654"/>
      <c r="U228" s="654"/>
      <c r="V228" s="655"/>
      <c r="W228" s="42" t="s">
        <v>0</v>
      </c>
      <c r="X228" s="43">
        <f>IFERROR(SUM(X214:X226),"0")</f>
        <v>21</v>
      </c>
      <c r="Y228" s="43">
        <f>IFERROR(SUM(Y214:Y226),"0")</f>
        <v>21</v>
      </c>
      <c r="Z228" s="42"/>
      <c r="AA228" s="67"/>
      <c r="AB228" s="67"/>
      <c r="AC228" s="67"/>
    </row>
    <row r="229" spans="1:68" ht="14.25" hidden="1" customHeight="1" x14ac:dyDescent="0.25">
      <c r="A229" s="648" t="s">
        <v>77</v>
      </c>
      <c r="B229" s="648"/>
      <c r="C229" s="648"/>
      <c r="D229" s="648"/>
      <c r="E229" s="648"/>
      <c r="F229" s="648"/>
      <c r="G229" s="648"/>
      <c r="H229" s="648"/>
      <c r="I229" s="648"/>
      <c r="J229" s="648"/>
      <c r="K229" s="648"/>
      <c r="L229" s="648"/>
      <c r="M229" s="648"/>
      <c r="N229" s="648"/>
      <c r="O229" s="648"/>
      <c r="P229" s="648"/>
      <c r="Q229" s="648"/>
      <c r="R229" s="648"/>
      <c r="S229" s="648"/>
      <c r="T229" s="648"/>
      <c r="U229" s="648"/>
      <c r="V229" s="648"/>
      <c r="W229" s="648"/>
      <c r="X229" s="648"/>
      <c r="Y229" s="648"/>
      <c r="Z229" s="648"/>
      <c r="AA229" s="66"/>
      <c r="AB229" s="66"/>
      <c r="AC229" s="80"/>
    </row>
    <row r="230" spans="1:68" ht="16.5" hidden="1" customHeight="1" x14ac:dyDescent="0.25">
      <c r="A230" s="63" t="s">
        <v>401</v>
      </c>
      <c r="B230" s="63" t="s">
        <v>402</v>
      </c>
      <c r="C230" s="36">
        <v>4301052279</v>
      </c>
      <c r="D230" s="649">
        <v>4680115888692</v>
      </c>
      <c r="E230" s="64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129</v>
      </c>
      <c r="L230" s="37" t="s">
        <v>46</v>
      </c>
      <c r="M230" s="38" t="s">
        <v>88</v>
      </c>
      <c r="N230" s="38"/>
      <c r="O230" s="37">
        <v>40</v>
      </c>
      <c r="P230" s="82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51"/>
      <c r="R230" s="651"/>
      <c r="S230" s="651"/>
      <c r="T230" s="65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403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404</v>
      </c>
      <c r="B231" s="63" t="s">
        <v>405</v>
      </c>
      <c r="C231" s="36">
        <v>4301052280</v>
      </c>
      <c r="D231" s="649">
        <v>4680115888722</v>
      </c>
      <c r="E231" s="64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129</v>
      </c>
      <c r="L231" s="37" t="s">
        <v>46</v>
      </c>
      <c r="M231" s="38" t="s">
        <v>88</v>
      </c>
      <c r="N231" s="38"/>
      <c r="O231" s="37">
        <v>40</v>
      </c>
      <c r="P231" s="829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51"/>
      <c r="R231" s="651"/>
      <c r="S231" s="651"/>
      <c r="T231" s="65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406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407</v>
      </c>
      <c r="B232" s="63" t="s">
        <v>408</v>
      </c>
      <c r="C232" s="36">
        <v>4301052276</v>
      </c>
      <c r="D232" s="649">
        <v>4680115888951</v>
      </c>
      <c r="E232" s="64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137</v>
      </c>
      <c r="L232" s="37" t="s">
        <v>46</v>
      </c>
      <c r="M232" s="38" t="s">
        <v>88</v>
      </c>
      <c r="N232" s="38"/>
      <c r="O232" s="37">
        <v>40</v>
      </c>
      <c r="P232" s="83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51"/>
      <c r="R232" s="651"/>
      <c r="S232" s="651"/>
      <c r="T232" s="65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403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409</v>
      </c>
      <c r="B233" s="63" t="s">
        <v>410</v>
      </c>
      <c r="C233" s="36">
        <v>4301052278</v>
      </c>
      <c r="D233" s="649">
        <v>4680115888975</v>
      </c>
      <c r="E233" s="64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137</v>
      </c>
      <c r="L233" s="37" t="s">
        <v>46</v>
      </c>
      <c r="M233" s="38" t="s">
        <v>88</v>
      </c>
      <c r="N233" s="38"/>
      <c r="O233" s="37">
        <v>40</v>
      </c>
      <c r="P233" s="831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51"/>
      <c r="R233" s="651"/>
      <c r="S233" s="651"/>
      <c r="T233" s="65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411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412</v>
      </c>
      <c r="B234" s="63" t="s">
        <v>413</v>
      </c>
      <c r="C234" s="36">
        <v>4301052277</v>
      </c>
      <c r="D234" s="649">
        <v>4680115888982</v>
      </c>
      <c r="E234" s="64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137</v>
      </c>
      <c r="L234" s="37" t="s">
        <v>46</v>
      </c>
      <c r="M234" s="38" t="s">
        <v>88</v>
      </c>
      <c r="N234" s="38"/>
      <c r="O234" s="37">
        <v>40</v>
      </c>
      <c r="P234" s="832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51"/>
      <c r="R234" s="651"/>
      <c r="S234" s="651"/>
      <c r="T234" s="65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406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56"/>
      <c r="B235" s="656"/>
      <c r="C235" s="656"/>
      <c r="D235" s="656"/>
      <c r="E235" s="656"/>
      <c r="F235" s="656"/>
      <c r="G235" s="656"/>
      <c r="H235" s="656"/>
      <c r="I235" s="656"/>
      <c r="J235" s="656"/>
      <c r="K235" s="656"/>
      <c r="L235" s="656"/>
      <c r="M235" s="656"/>
      <c r="N235" s="656"/>
      <c r="O235" s="657"/>
      <c r="P235" s="653" t="s">
        <v>40</v>
      </c>
      <c r="Q235" s="654"/>
      <c r="R235" s="654"/>
      <c r="S235" s="654"/>
      <c r="T235" s="654"/>
      <c r="U235" s="654"/>
      <c r="V235" s="655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56"/>
      <c r="B236" s="656"/>
      <c r="C236" s="656"/>
      <c r="D236" s="656"/>
      <c r="E236" s="656"/>
      <c r="F236" s="656"/>
      <c r="G236" s="656"/>
      <c r="H236" s="656"/>
      <c r="I236" s="656"/>
      <c r="J236" s="656"/>
      <c r="K236" s="656"/>
      <c r="L236" s="656"/>
      <c r="M236" s="656"/>
      <c r="N236" s="656"/>
      <c r="O236" s="657"/>
      <c r="P236" s="653" t="s">
        <v>40</v>
      </c>
      <c r="Q236" s="654"/>
      <c r="R236" s="654"/>
      <c r="S236" s="654"/>
      <c r="T236" s="654"/>
      <c r="U236" s="654"/>
      <c r="V236" s="655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8" t="s">
        <v>95</v>
      </c>
      <c r="B237" s="648"/>
      <c r="C237" s="648"/>
      <c r="D237" s="648"/>
      <c r="E237" s="648"/>
      <c r="F237" s="648"/>
      <c r="G237" s="648"/>
      <c r="H237" s="648"/>
      <c r="I237" s="648"/>
      <c r="J237" s="648"/>
      <c r="K237" s="648"/>
      <c r="L237" s="648"/>
      <c r="M237" s="648"/>
      <c r="N237" s="648"/>
      <c r="O237" s="648"/>
      <c r="P237" s="648"/>
      <c r="Q237" s="648"/>
      <c r="R237" s="648"/>
      <c r="S237" s="648"/>
      <c r="T237" s="648"/>
      <c r="U237" s="648"/>
      <c r="V237" s="648"/>
      <c r="W237" s="648"/>
      <c r="X237" s="648"/>
      <c r="Y237" s="648"/>
      <c r="Z237" s="648"/>
      <c r="AA237" s="66"/>
      <c r="AB237" s="66"/>
      <c r="AC237" s="80"/>
    </row>
    <row r="238" spans="1:68" ht="27" hidden="1" customHeight="1" x14ac:dyDescent="0.25">
      <c r="A238" s="63" t="s">
        <v>414</v>
      </c>
      <c r="B238" s="63" t="s">
        <v>415</v>
      </c>
      <c r="C238" s="36">
        <v>4301032053</v>
      </c>
      <c r="D238" s="649">
        <v>4680115886780</v>
      </c>
      <c r="E238" s="64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335</v>
      </c>
      <c r="L238" s="37" t="s">
        <v>46</v>
      </c>
      <c r="M238" s="38" t="s">
        <v>101</v>
      </c>
      <c r="N238" s="38"/>
      <c r="O238" s="37">
        <v>60</v>
      </c>
      <c r="P238" s="82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51"/>
      <c r="R238" s="651"/>
      <c r="S238" s="651"/>
      <c r="T238" s="65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416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417</v>
      </c>
      <c r="B239" s="63" t="s">
        <v>418</v>
      </c>
      <c r="C239" s="36">
        <v>4301032051</v>
      </c>
      <c r="D239" s="649">
        <v>4680115886742</v>
      </c>
      <c r="E239" s="64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335</v>
      </c>
      <c r="L239" s="37" t="s">
        <v>46</v>
      </c>
      <c r="M239" s="38" t="s">
        <v>101</v>
      </c>
      <c r="N239" s="38"/>
      <c r="O239" s="37">
        <v>90</v>
      </c>
      <c r="P239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51"/>
      <c r="R239" s="651"/>
      <c r="S239" s="651"/>
      <c r="T239" s="65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419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420</v>
      </c>
      <c r="B240" s="63" t="s">
        <v>421</v>
      </c>
      <c r="C240" s="36">
        <v>4301032052</v>
      </c>
      <c r="D240" s="649">
        <v>4680115886766</v>
      </c>
      <c r="E240" s="64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335</v>
      </c>
      <c r="L240" s="37" t="s">
        <v>46</v>
      </c>
      <c r="M240" s="38" t="s">
        <v>101</v>
      </c>
      <c r="N240" s="38"/>
      <c r="O240" s="37">
        <v>90</v>
      </c>
      <c r="P240" s="82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51"/>
      <c r="R240" s="651"/>
      <c r="S240" s="651"/>
      <c r="T240" s="65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419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56"/>
      <c r="B241" s="656"/>
      <c r="C241" s="656"/>
      <c r="D241" s="656"/>
      <c r="E241" s="656"/>
      <c r="F241" s="656"/>
      <c r="G241" s="656"/>
      <c r="H241" s="656"/>
      <c r="I241" s="656"/>
      <c r="J241" s="656"/>
      <c r="K241" s="656"/>
      <c r="L241" s="656"/>
      <c r="M241" s="656"/>
      <c r="N241" s="656"/>
      <c r="O241" s="657"/>
      <c r="P241" s="653" t="s">
        <v>40</v>
      </c>
      <c r="Q241" s="654"/>
      <c r="R241" s="654"/>
      <c r="S241" s="654"/>
      <c r="T241" s="654"/>
      <c r="U241" s="654"/>
      <c r="V241" s="655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56"/>
      <c r="B242" s="656"/>
      <c r="C242" s="656"/>
      <c r="D242" s="656"/>
      <c r="E242" s="656"/>
      <c r="F242" s="656"/>
      <c r="G242" s="656"/>
      <c r="H242" s="656"/>
      <c r="I242" s="656"/>
      <c r="J242" s="656"/>
      <c r="K242" s="656"/>
      <c r="L242" s="656"/>
      <c r="M242" s="656"/>
      <c r="N242" s="656"/>
      <c r="O242" s="657"/>
      <c r="P242" s="653" t="s">
        <v>40</v>
      </c>
      <c r="Q242" s="654"/>
      <c r="R242" s="654"/>
      <c r="S242" s="654"/>
      <c r="T242" s="654"/>
      <c r="U242" s="654"/>
      <c r="V242" s="655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8" t="s">
        <v>422</v>
      </c>
      <c r="B243" s="648"/>
      <c r="C243" s="648"/>
      <c r="D243" s="648"/>
      <c r="E243" s="648"/>
      <c r="F243" s="648"/>
      <c r="G243" s="648"/>
      <c r="H243" s="648"/>
      <c r="I243" s="648"/>
      <c r="J243" s="648"/>
      <c r="K243" s="648"/>
      <c r="L243" s="648"/>
      <c r="M243" s="648"/>
      <c r="N243" s="648"/>
      <c r="O243" s="648"/>
      <c r="P243" s="648"/>
      <c r="Q243" s="648"/>
      <c r="R243" s="648"/>
      <c r="S243" s="648"/>
      <c r="T243" s="648"/>
      <c r="U243" s="648"/>
      <c r="V243" s="648"/>
      <c r="W243" s="648"/>
      <c r="X243" s="648"/>
      <c r="Y243" s="648"/>
      <c r="Z243" s="648"/>
      <c r="AA243" s="66"/>
      <c r="AB243" s="66"/>
      <c r="AC243" s="80"/>
    </row>
    <row r="244" spans="1:68" ht="27" hidden="1" customHeight="1" x14ac:dyDescent="0.25">
      <c r="A244" s="63" t="s">
        <v>423</v>
      </c>
      <c r="B244" s="63" t="s">
        <v>424</v>
      </c>
      <c r="C244" s="36">
        <v>4301170013</v>
      </c>
      <c r="D244" s="649">
        <v>4680115886797</v>
      </c>
      <c r="E244" s="64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335</v>
      </c>
      <c r="L244" s="37" t="s">
        <v>46</v>
      </c>
      <c r="M244" s="38" t="s">
        <v>101</v>
      </c>
      <c r="N244" s="38"/>
      <c r="O244" s="37">
        <v>90</v>
      </c>
      <c r="P244" s="82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51"/>
      <c r="R244" s="651"/>
      <c r="S244" s="651"/>
      <c r="T244" s="65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419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56"/>
      <c r="B245" s="656"/>
      <c r="C245" s="656"/>
      <c r="D245" s="656"/>
      <c r="E245" s="656"/>
      <c r="F245" s="656"/>
      <c r="G245" s="656"/>
      <c r="H245" s="656"/>
      <c r="I245" s="656"/>
      <c r="J245" s="656"/>
      <c r="K245" s="656"/>
      <c r="L245" s="656"/>
      <c r="M245" s="656"/>
      <c r="N245" s="656"/>
      <c r="O245" s="657"/>
      <c r="P245" s="653" t="s">
        <v>40</v>
      </c>
      <c r="Q245" s="654"/>
      <c r="R245" s="654"/>
      <c r="S245" s="654"/>
      <c r="T245" s="654"/>
      <c r="U245" s="654"/>
      <c r="V245" s="655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56"/>
      <c r="B246" s="656"/>
      <c r="C246" s="656"/>
      <c r="D246" s="656"/>
      <c r="E246" s="656"/>
      <c r="F246" s="656"/>
      <c r="G246" s="656"/>
      <c r="H246" s="656"/>
      <c r="I246" s="656"/>
      <c r="J246" s="656"/>
      <c r="K246" s="656"/>
      <c r="L246" s="656"/>
      <c r="M246" s="656"/>
      <c r="N246" s="656"/>
      <c r="O246" s="657"/>
      <c r="P246" s="653" t="s">
        <v>40</v>
      </c>
      <c r="Q246" s="654"/>
      <c r="R246" s="654"/>
      <c r="S246" s="654"/>
      <c r="T246" s="654"/>
      <c r="U246" s="654"/>
      <c r="V246" s="655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7" t="s">
        <v>425</v>
      </c>
      <c r="B247" s="647"/>
      <c r="C247" s="647"/>
      <c r="D247" s="647"/>
      <c r="E247" s="647"/>
      <c r="F247" s="647"/>
      <c r="G247" s="647"/>
      <c r="H247" s="647"/>
      <c r="I247" s="647"/>
      <c r="J247" s="647"/>
      <c r="K247" s="647"/>
      <c r="L247" s="647"/>
      <c r="M247" s="647"/>
      <c r="N247" s="647"/>
      <c r="O247" s="647"/>
      <c r="P247" s="647"/>
      <c r="Q247" s="647"/>
      <c r="R247" s="647"/>
      <c r="S247" s="647"/>
      <c r="T247" s="647"/>
      <c r="U247" s="647"/>
      <c r="V247" s="647"/>
      <c r="W247" s="647"/>
      <c r="X247" s="647"/>
      <c r="Y247" s="647"/>
      <c r="Z247" s="647"/>
      <c r="AA247" s="65"/>
      <c r="AB247" s="65"/>
      <c r="AC247" s="79"/>
    </row>
    <row r="248" spans="1:68" ht="14.25" hidden="1" customHeight="1" x14ac:dyDescent="0.25">
      <c r="A248" s="648" t="s">
        <v>124</v>
      </c>
      <c r="B248" s="648"/>
      <c r="C248" s="648"/>
      <c r="D248" s="648"/>
      <c r="E248" s="648"/>
      <c r="F248" s="648"/>
      <c r="G248" s="648"/>
      <c r="H248" s="648"/>
      <c r="I248" s="648"/>
      <c r="J248" s="648"/>
      <c r="K248" s="648"/>
      <c r="L248" s="648"/>
      <c r="M248" s="648"/>
      <c r="N248" s="648"/>
      <c r="O248" s="648"/>
      <c r="P248" s="648"/>
      <c r="Q248" s="648"/>
      <c r="R248" s="648"/>
      <c r="S248" s="648"/>
      <c r="T248" s="648"/>
      <c r="U248" s="648"/>
      <c r="V248" s="648"/>
      <c r="W248" s="648"/>
      <c r="X248" s="648"/>
      <c r="Y248" s="648"/>
      <c r="Z248" s="648"/>
      <c r="AA248" s="66"/>
      <c r="AB248" s="66"/>
      <c r="AC248" s="80"/>
    </row>
    <row r="249" spans="1:68" ht="27" hidden="1" customHeight="1" x14ac:dyDescent="0.25">
      <c r="A249" s="63" t="s">
        <v>426</v>
      </c>
      <c r="B249" s="63" t="s">
        <v>427</v>
      </c>
      <c r="C249" s="36">
        <v>4301011450</v>
      </c>
      <c r="D249" s="649">
        <v>4680115881402</v>
      </c>
      <c r="E249" s="64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129</v>
      </c>
      <c r="L249" s="37" t="s">
        <v>46</v>
      </c>
      <c r="M249" s="38" t="s">
        <v>128</v>
      </c>
      <c r="N249" s="38"/>
      <c r="O249" s="37">
        <v>55</v>
      </c>
      <c r="P249" s="81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51"/>
      <c r="R249" s="651"/>
      <c r="S249" s="651"/>
      <c r="T249" s="65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428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429</v>
      </c>
      <c r="B250" s="63" t="s">
        <v>430</v>
      </c>
      <c r="C250" s="36">
        <v>4301011768</v>
      </c>
      <c r="D250" s="649">
        <v>4680115881396</v>
      </c>
      <c r="E250" s="64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82</v>
      </c>
      <c r="L250" s="37" t="s">
        <v>46</v>
      </c>
      <c r="M250" s="38" t="s">
        <v>128</v>
      </c>
      <c r="N250" s="38"/>
      <c r="O250" s="37">
        <v>55</v>
      </c>
      <c r="P250" s="81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51"/>
      <c r="R250" s="651"/>
      <c r="S250" s="651"/>
      <c r="T250" s="65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428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429</v>
      </c>
      <c r="B251" s="63" t="s">
        <v>431</v>
      </c>
      <c r="C251" s="36">
        <v>4301012403</v>
      </c>
      <c r="D251" s="649">
        <v>4680115889903</v>
      </c>
      <c r="E251" s="649"/>
      <c r="F251" s="62">
        <v>0.45</v>
      </c>
      <c r="G251" s="37">
        <v>6</v>
      </c>
      <c r="H251" s="62">
        <v>2.7</v>
      </c>
      <c r="I251" s="62">
        <v>2.88</v>
      </c>
      <c r="J251" s="37">
        <v>182</v>
      </c>
      <c r="K251" s="37" t="s">
        <v>82</v>
      </c>
      <c r="L251" s="37" t="s">
        <v>46</v>
      </c>
      <c r="M251" s="38" t="s">
        <v>128</v>
      </c>
      <c r="N251" s="38"/>
      <c r="O251" s="37">
        <v>55</v>
      </c>
      <c r="P251" s="819" t="s">
        <v>432</v>
      </c>
      <c r="Q251" s="651"/>
      <c r="R251" s="651"/>
      <c r="S251" s="651"/>
      <c r="T251" s="652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IFERROR(IF(Y251=0,"",ROUNDUP(Y251/H251,0)*0.00651),"")</f>
        <v/>
      </c>
      <c r="AA251" s="68" t="s">
        <v>46</v>
      </c>
      <c r="AB251" s="69" t="s">
        <v>46</v>
      </c>
      <c r="AC251" s="330" t="s">
        <v>433</v>
      </c>
      <c r="AG251" s="78"/>
      <c r="AJ251" s="84" t="s">
        <v>46</v>
      </c>
      <c r="AK251" s="84">
        <v>0</v>
      </c>
      <c r="BB251" s="33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56"/>
      <c r="B252" s="656"/>
      <c r="C252" s="656"/>
      <c r="D252" s="656"/>
      <c r="E252" s="656"/>
      <c r="F252" s="656"/>
      <c r="G252" s="656"/>
      <c r="H252" s="656"/>
      <c r="I252" s="656"/>
      <c r="J252" s="656"/>
      <c r="K252" s="656"/>
      <c r="L252" s="656"/>
      <c r="M252" s="656"/>
      <c r="N252" s="656"/>
      <c r="O252" s="657"/>
      <c r="P252" s="653" t="s">
        <v>40</v>
      </c>
      <c r="Q252" s="654"/>
      <c r="R252" s="654"/>
      <c r="S252" s="654"/>
      <c r="T252" s="654"/>
      <c r="U252" s="654"/>
      <c r="V252" s="655"/>
      <c r="W252" s="42" t="s">
        <v>39</v>
      </c>
      <c r="X252" s="43">
        <f>IFERROR(X249/H249,"0")+IFERROR(X250/H250,"0")+IFERROR(X251/H251,"0")</f>
        <v>0</v>
      </c>
      <c r="Y252" s="43">
        <f>IFERROR(Y249/H249,"0")+IFERROR(Y250/H250,"0")+IFERROR(Y251/H251,"0")</f>
        <v>0</v>
      </c>
      <c r="Z252" s="43">
        <f>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56"/>
      <c r="B253" s="656"/>
      <c r="C253" s="656"/>
      <c r="D253" s="656"/>
      <c r="E253" s="656"/>
      <c r="F253" s="656"/>
      <c r="G253" s="656"/>
      <c r="H253" s="656"/>
      <c r="I253" s="656"/>
      <c r="J253" s="656"/>
      <c r="K253" s="656"/>
      <c r="L253" s="656"/>
      <c r="M253" s="656"/>
      <c r="N253" s="656"/>
      <c r="O253" s="657"/>
      <c r="P253" s="653" t="s">
        <v>40</v>
      </c>
      <c r="Q253" s="654"/>
      <c r="R253" s="654"/>
      <c r="S253" s="654"/>
      <c r="T253" s="654"/>
      <c r="U253" s="654"/>
      <c r="V253" s="655"/>
      <c r="W253" s="42" t="s">
        <v>0</v>
      </c>
      <c r="X253" s="43">
        <f>IFERROR(SUM(X249:X251),"0")</f>
        <v>0</v>
      </c>
      <c r="Y253" s="43">
        <f>IFERROR(SUM(Y249:Y251),"0")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48" t="s">
        <v>161</v>
      </c>
      <c r="B254" s="648"/>
      <c r="C254" s="648"/>
      <c r="D254" s="648"/>
      <c r="E254" s="648"/>
      <c r="F254" s="648"/>
      <c r="G254" s="648"/>
      <c r="H254" s="648"/>
      <c r="I254" s="648"/>
      <c r="J254" s="648"/>
      <c r="K254" s="648"/>
      <c r="L254" s="648"/>
      <c r="M254" s="648"/>
      <c r="N254" s="648"/>
      <c r="O254" s="648"/>
      <c r="P254" s="648"/>
      <c r="Q254" s="648"/>
      <c r="R254" s="648"/>
      <c r="S254" s="648"/>
      <c r="T254" s="648"/>
      <c r="U254" s="648"/>
      <c r="V254" s="648"/>
      <c r="W254" s="648"/>
      <c r="X254" s="648"/>
      <c r="Y254" s="648"/>
      <c r="Z254" s="648"/>
      <c r="AA254" s="66"/>
      <c r="AB254" s="66"/>
      <c r="AC254" s="80"/>
    </row>
    <row r="255" spans="1:68" ht="16.5" hidden="1" customHeight="1" x14ac:dyDescent="0.25">
      <c r="A255" s="63" t="s">
        <v>434</v>
      </c>
      <c r="B255" s="63" t="s">
        <v>435</v>
      </c>
      <c r="C255" s="36">
        <v>4301020261</v>
      </c>
      <c r="D255" s="649">
        <v>4680115882935</v>
      </c>
      <c r="E255" s="649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129</v>
      </c>
      <c r="L255" s="37" t="s">
        <v>46</v>
      </c>
      <c r="M255" s="38" t="s">
        <v>128</v>
      </c>
      <c r="N255" s="38"/>
      <c r="O255" s="37">
        <v>50</v>
      </c>
      <c r="P255" s="82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5" s="651"/>
      <c r="R255" s="651"/>
      <c r="S255" s="651"/>
      <c r="T255" s="65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2" t="s">
        <v>436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16.5" hidden="1" customHeight="1" x14ac:dyDescent="0.25">
      <c r="A256" s="63" t="s">
        <v>437</v>
      </c>
      <c r="B256" s="63" t="s">
        <v>438</v>
      </c>
      <c r="C256" s="36">
        <v>4301020220</v>
      </c>
      <c r="D256" s="649">
        <v>4680115880764</v>
      </c>
      <c r="E256" s="649"/>
      <c r="F256" s="62">
        <v>0.35</v>
      </c>
      <c r="G256" s="37">
        <v>6</v>
      </c>
      <c r="H256" s="62">
        <v>2.1</v>
      </c>
      <c r="I256" s="62">
        <v>2.2799999999999998</v>
      </c>
      <c r="J256" s="37">
        <v>182</v>
      </c>
      <c r="K256" s="37" t="s">
        <v>82</v>
      </c>
      <c r="L256" s="37" t="s">
        <v>46</v>
      </c>
      <c r="M256" s="38" t="s">
        <v>128</v>
      </c>
      <c r="N256" s="38"/>
      <c r="O256" s="37">
        <v>50</v>
      </c>
      <c r="P256" s="82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6" s="651"/>
      <c r="R256" s="651"/>
      <c r="S256" s="651"/>
      <c r="T256" s="652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34" t="s">
        <v>436</v>
      </c>
      <c r="AG256" s="78"/>
      <c r="AJ256" s="84" t="s">
        <v>46</v>
      </c>
      <c r="AK256" s="84">
        <v>0</v>
      </c>
      <c r="BB256" s="33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656"/>
      <c r="B257" s="656"/>
      <c r="C257" s="656"/>
      <c r="D257" s="656"/>
      <c r="E257" s="656"/>
      <c r="F257" s="656"/>
      <c r="G257" s="656"/>
      <c r="H257" s="656"/>
      <c r="I257" s="656"/>
      <c r="J257" s="656"/>
      <c r="K257" s="656"/>
      <c r="L257" s="656"/>
      <c r="M257" s="656"/>
      <c r="N257" s="656"/>
      <c r="O257" s="657"/>
      <c r="P257" s="653" t="s">
        <v>40</v>
      </c>
      <c r="Q257" s="654"/>
      <c r="R257" s="654"/>
      <c r="S257" s="654"/>
      <c r="T257" s="654"/>
      <c r="U257" s="654"/>
      <c r="V257" s="655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656"/>
      <c r="B258" s="656"/>
      <c r="C258" s="656"/>
      <c r="D258" s="656"/>
      <c r="E258" s="656"/>
      <c r="F258" s="656"/>
      <c r="G258" s="656"/>
      <c r="H258" s="656"/>
      <c r="I258" s="656"/>
      <c r="J258" s="656"/>
      <c r="K258" s="656"/>
      <c r="L258" s="656"/>
      <c r="M258" s="656"/>
      <c r="N258" s="656"/>
      <c r="O258" s="657"/>
      <c r="P258" s="653" t="s">
        <v>40</v>
      </c>
      <c r="Q258" s="654"/>
      <c r="R258" s="654"/>
      <c r="S258" s="654"/>
      <c r="T258" s="654"/>
      <c r="U258" s="654"/>
      <c r="V258" s="655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648" t="s">
        <v>256</v>
      </c>
      <c r="B259" s="648"/>
      <c r="C259" s="648"/>
      <c r="D259" s="648"/>
      <c r="E259" s="648"/>
      <c r="F259" s="648"/>
      <c r="G259" s="648"/>
      <c r="H259" s="648"/>
      <c r="I259" s="648"/>
      <c r="J259" s="648"/>
      <c r="K259" s="648"/>
      <c r="L259" s="648"/>
      <c r="M259" s="648"/>
      <c r="N259" s="648"/>
      <c r="O259" s="648"/>
      <c r="P259" s="648"/>
      <c r="Q259" s="648"/>
      <c r="R259" s="648"/>
      <c r="S259" s="648"/>
      <c r="T259" s="648"/>
      <c r="U259" s="648"/>
      <c r="V259" s="648"/>
      <c r="W259" s="648"/>
      <c r="X259" s="648"/>
      <c r="Y259" s="648"/>
      <c r="Z259" s="648"/>
      <c r="AA259" s="66"/>
      <c r="AB259" s="66"/>
      <c r="AC259" s="80"/>
    </row>
    <row r="260" spans="1:68" ht="27" hidden="1" customHeight="1" x14ac:dyDescent="0.25">
      <c r="A260" s="63" t="s">
        <v>439</v>
      </c>
      <c r="B260" s="63" t="s">
        <v>440</v>
      </c>
      <c r="C260" s="36">
        <v>4301031224</v>
      </c>
      <c r="D260" s="649">
        <v>4680115882683</v>
      </c>
      <c r="E260" s="64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137</v>
      </c>
      <c r="L260" s="37" t="s">
        <v>46</v>
      </c>
      <c r="M260" s="38" t="s">
        <v>133</v>
      </c>
      <c r="N260" s="38"/>
      <c r="O260" s="37">
        <v>40</v>
      </c>
      <c r="P260" s="8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0" s="651"/>
      <c r="R260" s="651"/>
      <c r="S260" s="651"/>
      <c r="T260" s="65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ref="Y260:Y267" si="31">IFERROR(IF(X260="",0,CEILING((X260/$H260),1)*$H260),"")</f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441</v>
      </c>
      <c r="AG260" s="78"/>
      <c r="AJ260" s="84" t="s">
        <v>46</v>
      </c>
      <c r="AK260" s="84">
        <v>0</v>
      </c>
      <c r="BB260" s="337" t="s">
        <v>67</v>
      </c>
      <c r="BM260" s="78">
        <f t="shared" ref="BM260:BM267" si="32">IFERROR(X260*I260/H260,"0")</f>
        <v>0</v>
      </c>
      <c r="BN260" s="78">
        <f t="shared" ref="BN260:BN267" si="33">IFERROR(Y260*I260/H260,"0")</f>
        <v>0</v>
      </c>
      <c r="BO260" s="78">
        <f t="shared" ref="BO260:BO267" si="34">IFERROR(1/J260*(X260/H260),"0")</f>
        <v>0</v>
      </c>
      <c r="BP260" s="78">
        <f t="shared" ref="BP260:BP267" si="35">IFERROR(1/J260*(Y260/H260),"0")</f>
        <v>0</v>
      </c>
    </row>
    <row r="261" spans="1:68" ht="27" customHeight="1" x14ac:dyDescent="0.25">
      <c r="A261" s="63" t="s">
        <v>442</v>
      </c>
      <c r="B261" s="63" t="s">
        <v>443</v>
      </c>
      <c r="C261" s="36">
        <v>4301031230</v>
      </c>
      <c r="D261" s="649">
        <v>4680115882690</v>
      </c>
      <c r="E261" s="64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137</v>
      </c>
      <c r="L261" s="37" t="s">
        <v>46</v>
      </c>
      <c r="M261" s="38" t="s">
        <v>133</v>
      </c>
      <c r="N261" s="38"/>
      <c r="O261" s="37">
        <v>40</v>
      </c>
      <c r="P261" s="8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1" s="651"/>
      <c r="R261" s="651"/>
      <c r="S261" s="651"/>
      <c r="T261" s="652"/>
      <c r="U261" s="39" t="s">
        <v>46</v>
      </c>
      <c r="V261" s="39" t="s">
        <v>46</v>
      </c>
      <c r="W261" s="40" t="s">
        <v>0</v>
      </c>
      <c r="X261" s="58">
        <v>150</v>
      </c>
      <c r="Y261" s="55">
        <f t="shared" si="31"/>
        <v>151.20000000000002</v>
      </c>
      <c r="Z261" s="41">
        <f>IFERROR(IF(Y261=0,"",ROUNDUP(Y261/H261,0)*0.00902),"")</f>
        <v>0.25256000000000001</v>
      </c>
      <c r="AA261" s="68" t="s">
        <v>46</v>
      </c>
      <c r="AB261" s="69" t="s">
        <v>46</v>
      </c>
      <c r="AC261" s="338" t="s">
        <v>444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155.27777777777777</v>
      </c>
      <c r="BN261" s="78">
        <f t="shared" si="33"/>
        <v>156.52000000000001</v>
      </c>
      <c r="BO261" s="78">
        <f t="shared" si="34"/>
        <v>0.21043771043771042</v>
      </c>
      <c r="BP261" s="78">
        <f t="shared" si="35"/>
        <v>0.21212121212121213</v>
      </c>
    </row>
    <row r="262" spans="1:68" ht="27" hidden="1" customHeight="1" x14ac:dyDescent="0.25">
      <c r="A262" s="63" t="s">
        <v>445</v>
      </c>
      <c r="B262" s="63" t="s">
        <v>446</v>
      </c>
      <c r="C262" s="36">
        <v>4301031220</v>
      </c>
      <c r="D262" s="649">
        <v>4680115882669</v>
      </c>
      <c r="E262" s="64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137</v>
      </c>
      <c r="L262" s="37" t="s">
        <v>46</v>
      </c>
      <c r="M262" s="38" t="s">
        <v>133</v>
      </c>
      <c r="N262" s="38"/>
      <c r="O262" s="37">
        <v>40</v>
      </c>
      <c r="P262" s="8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2" s="651"/>
      <c r="R262" s="651"/>
      <c r="S262" s="651"/>
      <c r="T262" s="65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447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448</v>
      </c>
      <c r="B263" s="63" t="s">
        <v>449</v>
      </c>
      <c r="C263" s="36">
        <v>4301031221</v>
      </c>
      <c r="D263" s="649">
        <v>4680115882676</v>
      </c>
      <c r="E263" s="649"/>
      <c r="F263" s="62">
        <v>0.9</v>
      </c>
      <c r="G263" s="37">
        <v>6</v>
      </c>
      <c r="H263" s="62">
        <v>5.4</v>
      </c>
      <c r="I263" s="62">
        <v>5.59</v>
      </c>
      <c r="J263" s="37">
        <v>132</v>
      </c>
      <c r="K263" s="37" t="s">
        <v>137</v>
      </c>
      <c r="L263" s="37" t="s">
        <v>46</v>
      </c>
      <c r="M263" s="38" t="s">
        <v>133</v>
      </c>
      <c r="N263" s="38"/>
      <c r="O263" s="37">
        <v>40</v>
      </c>
      <c r="P263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3" s="651"/>
      <c r="R263" s="651"/>
      <c r="S263" s="651"/>
      <c r="T263" s="65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IFERROR(IF(Y263=0,"",ROUNDUP(Y263/H263,0)*0.00902),"")</f>
        <v/>
      </c>
      <c r="AA263" s="68" t="s">
        <v>46</v>
      </c>
      <c r="AB263" s="69" t="s">
        <v>46</v>
      </c>
      <c r="AC263" s="342" t="s">
        <v>450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451</v>
      </c>
      <c r="B264" s="63" t="s">
        <v>452</v>
      </c>
      <c r="C264" s="36">
        <v>4301031223</v>
      </c>
      <c r="D264" s="649">
        <v>4680115884014</v>
      </c>
      <c r="E264" s="649"/>
      <c r="F264" s="62">
        <v>0.3</v>
      </c>
      <c r="G264" s="37">
        <v>6</v>
      </c>
      <c r="H264" s="62">
        <v>1.8</v>
      </c>
      <c r="I264" s="62">
        <v>1.93</v>
      </c>
      <c r="J264" s="37">
        <v>234</v>
      </c>
      <c r="K264" s="37" t="s">
        <v>234</v>
      </c>
      <c r="L264" s="37" t="s">
        <v>46</v>
      </c>
      <c r="M264" s="38" t="s">
        <v>133</v>
      </c>
      <c r="N264" s="38"/>
      <c r="O264" s="37">
        <v>40</v>
      </c>
      <c r="P264" s="81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4" s="651"/>
      <c r="R264" s="651"/>
      <c r="S264" s="651"/>
      <c r="T264" s="65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441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453</v>
      </c>
      <c r="B265" s="63" t="s">
        <v>454</v>
      </c>
      <c r="C265" s="36">
        <v>4301031222</v>
      </c>
      <c r="D265" s="649">
        <v>4680115884007</v>
      </c>
      <c r="E265" s="64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234</v>
      </c>
      <c r="L265" s="37" t="s">
        <v>46</v>
      </c>
      <c r="M265" s="38" t="s">
        <v>133</v>
      </c>
      <c r="N265" s="38"/>
      <c r="O265" s="37">
        <v>40</v>
      </c>
      <c r="P265" s="81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5" s="651"/>
      <c r="R265" s="651"/>
      <c r="S265" s="651"/>
      <c r="T265" s="65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444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455</v>
      </c>
      <c r="B266" s="63" t="s">
        <v>456</v>
      </c>
      <c r="C266" s="36">
        <v>4301031229</v>
      </c>
      <c r="D266" s="649">
        <v>4680115884038</v>
      </c>
      <c r="E266" s="64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234</v>
      </c>
      <c r="L266" s="37" t="s">
        <v>46</v>
      </c>
      <c r="M266" s="38" t="s">
        <v>133</v>
      </c>
      <c r="N266" s="38"/>
      <c r="O266" s="37">
        <v>40</v>
      </c>
      <c r="P266" s="81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6" s="651"/>
      <c r="R266" s="651"/>
      <c r="S266" s="651"/>
      <c r="T266" s="65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447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t="27" hidden="1" customHeight="1" x14ac:dyDescent="0.25">
      <c r="A267" s="63" t="s">
        <v>457</v>
      </c>
      <c r="B267" s="63" t="s">
        <v>458</v>
      </c>
      <c r="C267" s="36">
        <v>4301031225</v>
      </c>
      <c r="D267" s="649">
        <v>4680115884021</v>
      </c>
      <c r="E267" s="649"/>
      <c r="F267" s="62">
        <v>0.3</v>
      </c>
      <c r="G267" s="37">
        <v>6</v>
      </c>
      <c r="H267" s="62">
        <v>1.8</v>
      </c>
      <c r="I267" s="62">
        <v>1.9</v>
      </c>
      <c r="J267" s="37">
        <v>234</v>
      </c>
      <c r="K267" s="37" t="s">
        <v>234</v>
      </c>
      <c r="L267" s="37" t="s">
        <v>46</v>
      </c>
      <c r="M267" s="38" t="s">
        <v>133</v>
      </c>
      <c r="N267" s="38"/>
      <c r="O267" s="37">
        <v>40</v>
      </c>
      <c r="P267" s="81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7" s="651"/>
      <c r="R267" s="651"/>
      <c r="S267" s="651"/>
      <c r="T267" s="652"/>
      <c r="U267" s="39" t="s">
        <v>46</v>
      </c>
      <c r="V267" s="39" t="s">
        <v>46</v>
      </c>
      <c r="W267" s="40" t="s">
        <v>0</v>
      </c>
      <c r="X267" s="58">
        <v>0</v>
      </c>
      <c r="Y267" s="55">
        <f t="shared" si="31"/>
        <v>0</v>
      </c>
      <c r="Z267" s="41" t="str">
        <f>IFERROR(IF(Y267=0,"",ROUNDUP(Y267/H267,0)*0.00502),"")</f>
        <v/>
      </c>
      <c r="AA267" s="68" t="s">
        <v>46</v>
      </c>
      <c r="AB267" s="69" t="s">
        <v>46</v>
      </c>
      <c r="AC267" s="350" t="s">
        <v>450</v>
      </c>
      <c r="AG267" s="78"/>
      <c r="AJ267" s="84" t="s">
        <v>46</v>
      </c>
      <c r="AK267" s="84">
        <v>0</v>
      </c>
      <c r="BB267" s="351" t="s">
        <v>67</v>
      </c>
      <c r="BM267" s="78">
        <f t="shared" si="32"/>
        <v>0</v>
      </c>
      <c r="BN267" s="78">
        <f t="shared" si="33"/>
        <v>0</v>
      </c>
      <c r="BO267" s="78">
        <f t="shared" si="34"/>
        <v>0</v>
      </c>
      <c r="BP267" s="78">
        <f t="shared" si="35"/>
        <v>0</v>
      </c>
    </row>
    <row r="268" spans="1:68" x14ac:dyDescent="0.2">
      <c r="A268" s="656"/>
      <c r="B268" s="656"/>
      <c r="C268" s="656"/>
      <c r="D268" s="656"/>
      <c r="E268" s="656"/>
      <c r="F268" s="656"/>
      <c r="G268" s="656"/>
      <c r="H268" s="656"/>
      <c r="I268" s="656"/>
      <c r="J268" s="656"/>
      <c r="K268" s="656"/>
      <c r="L268" s="656"/>
      <c r="M268" s="656"/>
      <c r="N268" s="656"/>
      <c r="O268" s="657"/>
      <c r="P268" s="653" t="s">
        <v>40</v>
      </c>
      <c r="Q268" s="654"/>
      <c r="R268" s="654"/>
      <c r="S268" s="654"/>
      <c r="T268" s="654"/>
      <c r="U268" s="654"/>
      <c r="V268" s="655"/>
      <c r="W268" s="42" t="s">
        <v>39</v>
      </c>
      <c r="X268" s="43">
        <f>IFERROR(X260/H260,"0")+IFERROR(X261/H261,"0")+IFERROR(X262/H262,"0")+IFERROR(X263/H263,"0")+IFERROR(X264/H264,"0")+IFERROR(X265/H265,"0")+IFERROR(X266/H266,"0")+IFERROR(X267/H267,"0")</f>
        <v>27.777777777777775</v>
      </c>
      <c r="Y268" s="43">
        <f>IFERROR(Y260/H260,"0")+IFERROR(Y261/H261,"0")+IFERROR(Y262/H262,"0")+IFERROR(Y263/H263,"0")+IFERROR(Y264/H264,"0")+IFERROR(Y265/H265,"0")+IFERROR(Y266/H266,"0")+IFERROR(Y267/H267,"0")</f>
        <v>28</v>
      </c>
      <c r="Z268" s="43">
        <f>IFERROR(IF(Z260="",0,Z260),"0")+IFERROR(IF(Z261="",0,Z261),"0")+IFERROR(IF(Z262="",0,Z262),"0")+IFERROR(IF(Z263="",0,Z263),"0")+IFERROR(IF(Z264="",0,Z264),"0")+IFERROR(IF(Z265="",0,Z265),"0")+IFERROR(IF(Z266="",0,Z266),"0")+IFERROR(IF(Z267="",0,Z267),"0")</f>
        <v>0.25256000000000001</v>
      </c>
      <c r="AA268" s="67"/>
      <c r="AB268" s="67"/>
      <c r="AC268" s="67"/>
    </row>
    <row r="269" spans="1:68" x14ac:dyDescent="0.2">
      <c r="A269" s="656"/>
      <c r="B269" s="656"/>
      <c r="C269" s="656"/>
      <c r="D269" s="656"/>
      <c r="E269" s="656"/>
      <c r="F269" s="656"/>
      <c r="G269" s="656"/>
      <c r="H269" s="656"/>
      <c r="I269" s="656"/>
      <c r="J269" s="656"/>
      <c r="K269" s="656"/>
      <c r="L269" s="656"/>
      <c r="M269" s="656"/>
      <c r="N269" s="656"/>
      <c r="O269" s="657"/>
      <c r="P269" s="653" t="s">
        <v>40</v>
      </c>
      <c r="Q269" s="654"/>
      <c r="R269" s="654"/>
      <c r="S269" s="654"/>
      <c r="T269" s="654"/>
      <c r="U269" s="654"/>
      <c r="V269" s="655"/>
      <c r="W269" s="42" t="s">
        <v>0</v>
      </c>
      <c r="X269" s="43">
        <f>IFERROR(SUM(X260:X267),"0")</f>
        <v>150</v>
      </c>
      <c r="Y269" s="43">
        <f>IFERROR(SUM(Y260:Y267),"0")</f>
        <v>151.20000000000002</v>
      </c>
      <c r="Z269" s="42"/>
      <c r="AA269" s="67"/>
      <c r="AB269" s="67"/>
      <c r="AC269" s="67"/>
    </row>
    <row r="270" spans="1:68" ht="14.25" hidden="1" customHeight="1" x14ac:dyDescent="0.25">
      <c r="A270" s="648" t="s">
        <v>77</v>
      </c>
      <c r="B270" s="648"/>
      <c r="C270" s="648"/>
      <c r="D270" s="648"/>
      <c r="E270" s="648"/>
      <c r="F270" s="648"/>
      <c r="G270" s="648"/>
      <c r="H270" s="648"/>
      <c r="I270" s="648"/>
      <c r="J270" s="648"/>
      <c r="K270" s="648"/>
      <c r="L270" s="648"/>
      <c r="M270" s="648"/>
      <c r="N270" s="648"/>
      <c r="O270" s="648"/>
      <c r="P270" s="648"/>
      <c r="Q270" s="648"/>
      <c r="R270" s="648"/>
      <c r="S270" s="648"/>
      <c r="T270" s="648"/>
      <c r="U270" s="648"/>
      <c r="V270" s="648"/>
      <c r="W270" s="648"/>
      <c r="X270" s="648"/>
      <c r="Y270" s="648"/>
      <c r="Z270" s="648"/>
      <c r="AA270" s="66"/>
      <c r="AB270" s="66"/>
      <c r="AC270" s="80"/>
    </row>
    <row r="271" spans="1:68" ht="27" hidden="1" customHeight="1" x14ac:dyDescent="0.25">
      <c r="A271" s="63" t="s">
        <v>459</v>
      </c>
      <c r="B271" s="63" t="s">
        <v>460</v>
      </c>
      <c r="C271" s="36">
        <v>4301052272</v>
      </c>
      <c r="D271" s="649">
        <v>4680115889873</v>
      </c>
      <c r="E271" s="649"/>
      <c r="F271" s="62">
        <v>0.8</v>
      </c>
      <c r="G271" s="37">
        <v>6</v>
      </c>
      <c r="H271" s="62">
        <v>4.8</v>
      </c>
      <c r="I271" s="62">
        <v>5.1619999999999999</v>
      </c>
      <c r="J271" s="37">
        <v>104</v>
      </c>
      <c r="K271" s="37" t="s">
        <v>129</v>
      </c>
      <c r="L271" s="37" t="s">
        <v>46</v>
      </c>
      <c r="M271" s="38" t="s">
        <v>81</v>
      </c>
      <c r="N271" s="38"/>
      <c r="O271" s="37">
        <v>45</v>
      </c>
      <c r="P271" s="802" t="str">
        <f>HYPERLINK("https://abi.ru/products/Охлажденные/Стародворье/Сочинка/Сосиски/P005717/","Сосиски «Сочинки» Фикс.вес 0,8 п/а ТМ «Стародворье»")</f>
        <v>Сосиски «Сочинки» Фикс.вес 0,8 п/а ТМ «Стародворье»</v>
      </c>
      <c r="Q271" s="651"/>
      <c r="R271" s="651"/>
      <c r="S271" s="651"/>
      <c r="T271" s="65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ref="Y271:Y282" si="36">IFERROR(IF(X271="",0,CEILING((X271/$H271),1)*$H271),"")</f>
        <v>0</v>
      </c>
      <c r="Z271" s="41" t="str">
        <f>IFERROR(IF(Y271=0,"",ROUNDUP(Y271/H271,0)*0.01196),"")</f>
        <v/>
      </c>
      <c r="AA271" s="68" t="s">
        <v>46</v>
      </c>
      <c r="AB271" s="69" t="s">
        <v>100</v>
      </c>
      <c r="AC271" s="352" t="s">
        <v>461</v>
      </c>
      <c r="AG271" s="78"/>
      <c r="AJ271" s="84" t="s">
        <v>46</v>
      </c>
      <c r="AK271" s="84">
        <v>0</v>
      </c>
      <c r="BB271" s="353" t="s">
        <v>67</v>
      </c>
      <c r="BM271" s="78">
        <f t="shared" ref="BM271:BM282" si="37">IFERROR(X271*I271/H271,"0")</f>
        <v>0</v>
      </c>
      <c r="BN271" s="78">
        <f t="shared" ref="BN271:BN282" si="38">IFERROR(Y271*I271/H271,"0")</f>
        <v>0</v>
      </c>
      <c r="BO271" s="78">
        <f t="shared" ref="BO271:BO282" si="39">IFERROR(1/J271*(X271/H271),"0")</f>
        <v>0</v>
      </c>
      <c r="BP271" s="78">
        <f t="shared" ref="BP271:BP282" si="40">IFERROR(1/J271*(Y271/H271),"0")</f>
        <v>0</v>
      </c>
    </row>
    <row r="272" spans="1:68" ht="27" hidden="1" customHeight="1" x14ac:dyDescent="0.25">
      <c r="A272" s="63" t="s">
        <v>462</v>
      </c>
      <c r="B272" s="63" t="s">
        <v>463</v>
      </c>
      <c r="C272" s="36">
        <v>4301051408</v>
      </c>
      <c r="D272" s="649">
        <v>4680115881594</v>
      </c>
      <c r="E272" s="649"/>
      <c r="F272" s="62">
        <v>1.35</v>
      </c>
      <c r="G272" s="37">
        <v>6</v>
      </c>
      <c r="H272" s="62">
        <v>8.1</v>
      </c>
      <c r="I272" s="62">
        <v>8.5939999999999994</v>
      </c>
      <c r="J272" s="37">
        <v>64</v>
      </c>
      <c r="K272" s="37" t="s">
        <v>129</v>
      </c>
      <c r="L272" s="37" t="s">
        <v>46</v>
      </c>
      <c r="M272" s="38" t="s">
        <v>81</v>
      </c>
      <c r="N272" s="38"/>
      <c r="O272" s="37">
        <v>40</v>
      </c>
      <c r="P272" s="80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2" s="651"/>
      <c r="R272" s="651"/>
      <c r="S272" s="651"/>
      <c r="T272" s="65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464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465</v>
      </c>
      <c r="B273" s="63" t="s">
        <v>466</v>
      </c>
      <c r="C273" s="36">
        <v>4301051411</v>
      </c>
      <c r="D273" s="649">
        <v>4680115881617</v>
      </c>
      <c r="E273" s="649"/>
      <c r="F273" s="62">
        <v>1.35</v>
      </c>
      <c r="G273" s="37">
        <v>6</v>
      </c>
      <c r="H273" s="62">
        <v>8.1</v>
      </c>
      <c r="I273" s="62">
        <v>8.5760000000000005</v>
      </c>
      <c r="J273" s="37">
        <v>64</v>
      </c>
      <c r="K273" s="37" t="s">
        <v>129</v>
      </c>
      <c r="L273" s="37" t="s">
        <v>46</v>
      </c>
      <c r="M273" s="38" t="s">
        <v>81</v>
      </c>
      <c r="N273" s="38"/>
      <c r="O273" s="37">
        <v>40</v>
      </c>
      <c r="P273" s="80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3" s="651"/>
      <c r="R273" s="651"/>
      <c r="S273" s="651"/>
      <c r="T273" s="65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IFERROR(IF(Y273=0,"",ROUNDUP(Y273/H273,0)*0.01898),"")</f>
        <v/>
      </c>
      <c r="AA273" s="68" t="s">
        <v>46</v>
      </c>
      <c r="AB273" s="69" t="s">
        <v>46</v>
      </c>
      <c r="AC273" s="356" t="s">
        <v>467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468</v>
      </c>
      <c r="B274" s="63" t="s">
        <v>469</v>
      </c>
      <c r="C274" s="36">
        <v>4301051656</v>
      </c>
      <c r="D274" s="649">
        <v>4680115880573</v>
      </c>
      <c r="E274" s="649"/>
      <c r="F274" s="62">
        <v>1.45</v>
      </c>
      <c r="G274" s="37">
        <v>6</v>
      </c>
      <c r="H274" s="62">
        <v>8.6999999999999993</v>
      </c>
      <c r="I274" s="62">
        <v>9.1940000000000008</v>
      </c>
      <c r="J274" s="37">
        <v>64</v>
      </c>
      <c r="K274" s="37" t="s">
        <v>129</v>
      </c>
      <c r="L274" s="37" t="s">
        <v>46</v>
      </c>
      <c r="M274" s="38" t="s">
        <v>81</v>
      </c>
      <c r="N274" s="38"/>
      <c r="O274" s="37">
        <v>45</v>
      </c>
      <c r="P274" s="8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4" s="651"/>
      <c r="R274" s="651"/>
      <c r="S274" s="651"/>
      <c r="T274" s="65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IFERROR(IF(Y274=0,"",ROUNDUP(Y274/H274,0)*0.01898),"")</f>
        <v/>
      </c>
      <c r="AA274" s="68" t="s">
        <v>46</v>
      </c>
      <c r="AB274" s="69" t="s">
        <v>46</v>
      </c>
      <c r="AC274" s="358" t="s">
        <v>461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customHeight="1" x14ac:dyDescent="0.25">
      <c r="A275" s="63" t="s">
        <v>470</v>
      </c>
      <c r="B275" s="63" t="s">
        <v>471</v>
      </c>
      <c r="C275" s="36">
        <v>4301051407</v>
      </c>
      <c r="D275" s="649">
        <v>4680115882195</v>
      </c>
      <c r="E275" s="649"/>
      <c r="F275" s="62">
        <v>0.4</v>
      </c>
      <c r="G275" s="37">
        <v>6</v>
      </c>
      <c r="H275" s="62">
        <v>2.4</v>
      </c>
      <c r="I275" s="62">
        <v>2.67</v>
      </c>
      <c r="J275" s="37">
        <v>182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0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5" s="651"/>
      <c r="R275" s="651"/>
      <c r="S275" s="651"/>
      <c r="T275" s="652"/>
      <c r="U275" s="39" t="s">
        <v>46</v>
      </c>
      <c r="V275" s="39" t="s">
        <v>46</v>
      </c>
      <c r="W275" s="40" t="s">
        <v>0</v>
      </c>
      <c r="X275" s="58">
        <v>192</v>
      </c>
      <c r="Y275" s="55">
        <f t="shared" si="36"/>
        <v>192</v>
      </c>
      <c r="Z275" s="41">
        <f>IFERROR(IF(Y275=0,"",ROUNDUP(Y275/H275,0)*0.00651),"")</f>
        <v>0.52080000000000004</v>
      </c>
      <c r="AA275" s="68" t="s">
        <v>46</v>
      </c>
      <c r="AB275" s="69" t="s">
        <v>46</v>
      </c>
      <c r="AC275" s="360" t="s">
        <v>464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213.6</v>
      </c>
      <c r="BN275" s="78">
        <f t="shared" si="38"/>
        <v>213.6</v>
      </c>
      <c r="BO275" s="78">
        <f t="shared" si="39"/>
        <v>0.43956043956043961</v>
      </c>
      <c r="BP275" s="78">
        <f t="shared" si="40"/>
        <v>0.43956043956043961</v>
      </c>
    </row>
    <row r="276" spans="1:68" ht="27" hidden="1" customHeight="1" x14ac:dyDescent="0.25">
      <c r="A276" s="63" t="s">
        <v>472</v>
      </c>
      <c r="B276" s="63" t="s">
        <v>473</v>
      </c>
      <c r="C276" s="36">
        <v>4301051752</v>
      </c>
      <c r="D276" s="649">
        <v>4680115882607</v>
      </c>
      <c r="E276" s="649"/>
      <c r="F276" s="62">
        <v>0.3</v>
      </c>
      <c r="G276" s="37">
        <v>6</v>
      </c>
      <c r="H276" s="62">
        <v>1.8</v>
      </c>
      <c r="I276" s="62">
        <v>2.052</v>
      </c>
      <c r="J276" s="37">
        <v>182</v>
      </c>
      <c r="K276" s="37" t="s">
        <v>82</v>
      </c>
      <c r="L276" s="37" t="s">
        <v>46</v>
      </c>
      <c r="M276" s="38" t="s">
        <v>88</v>
      </c>
      <c r="N276" s="38"/>
      <c r="O276" s="37">
        <v>45</v>
      </c>
      <c r="P276" s="80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6" s="651"/>
      <c r="R276" s="651"/>
      <c r="S276" s="651"/>
      <c r="T276" s="65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461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customHeight="1" x14ac:dyDescent="0.25">
      <c r="A277" s="63" t="s">
        <v>474</v>
      </c>
      <c r="B277" s="63" t="s">
        <v>475</v>
      </c>
      <c r="C277" s="36">
        <v>4301051666</v>
      </c>
      <c r="D277" s="649">
        <v>4680115880092</v>
      </c>
      <c r="E277" s="649"/>
      <c r="F277" s="62">
        <v>0.4</v>
      </c>
      <c r="G277" s="37">
        <v>6</v>
      </c>
      <c r="H277" s="62">
        <v>2.4</v>
      </c>
      <c r="I277" s="62">
        <v>2.6520000000000001</v>
      </c>
      <c r="J277" s="37">
        <v>182</v>
      </c>
      <c r="K277" s="37" t="s">
        <v>82</v>
      </c>
      <c r="L277" s="37" t="s">
        <v>46</v>
      </c>
      <c r="M277" s="38" t="s">
        <v>81</v>
      </c>
      <c r="N277" s="38"/>
      <c r="O277" s="37">
        <v>45</v>
      </c>
      <c r="P277" s="80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7" s="651"/>
      <c r="R277" s="651"/>
      <c r="S277" s="651"/>
      <c r="T277" s="652"/>
      <c r="U277" s="39" t="s">
        <v>46</v>
      </c>
      <c r="V277" s="39" t="s">
        <v>46</v>
      </c>
      <c r="W277" s="40" t="s">
        <v>0</v>
      </c>
      <c r="X277" s="58">
        <v>96</v>
      </c>
      <c r="Y277" s="55">
        <f t="shared" si="36"/>
        <v>96</v>
      </c>
      <c r="Z277" s="41">
        <f>IFERROR(IF(Y277=0,"",ROUNDUP(Y277/H277,0)*0.00651),"")</f>
        <v>0.26040000000000002</v>
      </c>
      <c r="AA277" s="68" t="s">
        <v>46</v>
      </c>
      <c r="AB277" s="69" t="s">
        <v>46</v>
      </c>
      <c r="AC277" s="364" t="s">
        <v>461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106.08000000000001</v>
      </c>
      <c r="BN277" s="78">
        <f t="shared" si="38"/>
        <v>106.08000000000001</v>
      </c>
      <c r="BO277" s="78">
        <f t="shared" si="39"/>
        <v>0.2197802197802198</v>
      </c>
      <c r="BP277" s="78">
        <f t="shared" si="40"/>
        <v>0.2197802197802198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4301052214</v>
      </c>
      <c r="D278" s="649">
        <v>4680115889064</v>
      </c>
      <c r="E278" s="649"/>
      <c r="F278" s="62">
        <v>0.7</v>
      </c>
      <c r="G278" s="37">
        <v>6</v>
      </c>
      <c r="H278" s="62">
        <v>4.2</v>
      </c>
      <c r="I278" s="62">
        <v>4.6159999999999997</v>
      </c>
      <c r="J278" s="37">
        <v>104</v>
      </c>
      <c r="K278" s="37" t="s">
        <v>129</v>
      </c>
      <c r="L278" s="37" t="s">
        <v>46</v>
      </c>
      <c r="M278" s="38" t="s">
        <v>81</v>
      </c>
      <c r="N278" s="38"/>
      <c r="O278" s="37">
        <v>45</v>
      </c>
      <c r="P278" s="795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8" s="651"/>
      <c r="R278" s="651"/>
      <c r="S278" s="651"/>
      <c r="T278" s="65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IFERROR(IF(Y278=0,"",ROUNDUP(Y278/H278,0)*0.01196),"")</f>
        <v/>
      </c>
      <c r="AA278" s="68" t="s">
        <v>46</v>
      </c>
      <c r="AB278" s="69" t="s">
        <v>46</v>
      </c>
      <c r="AC278" s="366" t="s">
        <v>478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4301051668</v>
      </c>
      <c r="D279" s="649">
        <v>4680115880221</v>
      </c>
      <c r="E279" s="64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82</v>
      </c>
      <c r="L279" s="37" t="s">
        <v>46</v>
      </c>
      <c r="M279" s="38" t="s">
        <v>81</v>
      </c>
      <c r="N279" s="38"/>
      <c r="O279" s="37">
        <v>45</v>
      </c>
      <c r="P279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9" s="651"/>
      <c r="R279" s="651"/>
      <c r="S279" s="651"/>
      <c r="T279" s="65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461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customHeight="1" x14ac:dyDescent="0.25">
      <c r="A280" s="63" t="s">
        <v>481</v>
      </c>
      <c r="B280" s="63" t="s">
        <v>482</v>
      </c>
      <c r="C280" s="36">
        <v>4301051945</v>
      </c>
      <c r="D280" s="649">
        <v>4680115880504</v>
      </c>
      <c r="E280" s="649"/>
      <c r="F280" s="62">
        <v>0.4</v>
      </c>
      <c r="G280" s="37">
        <v>6</v>
      </c>
      <c r="H280" s="62">
        <v>2.4</v>
      </c>
      <c r="I280" s="62">
        <v>2.6520000000000001</v>
      </c>
      <c r="J280" s="37">
        <v>182</v>
      </c>
      <c r="K280" s="37" t="s">
        <v>82</v>
      </c>
      <c r="L280" s="37" t="s">
        <v>46</v>
      </c>
      <c r="M280" s="38" t="s">
        <v>88</v>
      </c>
      <c r="N280" s="38"/>
      <c r="O280" s="37">
        <v>40</v>
      </c>
      <c r="P280" s="79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0" s="651"/>
      <c r="R280" s="651"/>
      <c r="S280" s="651"/>
      <c r="T280" s="652"/>
      <c r="U280" s="39" t="s">
        <v>46</v>
      </c>
      <c r="V280" s="39" t="s">
        <v>46</v>
      </c>
      <c r="W280" s="40" t="s">
        <v>0</v>
      </c>
      <c r="X280" s="58">
        <v>96</v>
      </c>
      <c r="Y280" s="55">
        <f t="shared" si="36"/>
        <v>96</v>
      </c>
      <c r="Z280" s="41">
        <f>IFERROR(IF(Y280=0,"",ROUNDUP(Y280/H280,0)*0.00651),"")</f>
        <v>0.26040000000000002</v>
      </c>
      <c r="AA280" s="68" t="s">
        <v>46</v>
      </c>
      <c r="AB280" s="69" t="s">
        <v>46</v>
      </c>
      <c r="AC280" s="370" t="s">
        <v>483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106.08000000000001</v>
      </c>
      <c r="BN280" s="78">
        <f t="shared" si="38"/>
        <v>106.08000000000001</v>
      </c>
      <c r="BO280" s="78">
        <f t="shared" si="39"/>
        <v>0.2197802197802198</v>
      </c>
      <c r="BP280" s="78">
        <f t="shared" si="40"/>
        <v>0.2197802197802198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4301051410</v>
      </c>
      <c r="D281" s="649">
        <v>4680115882164</v>
      </c>
      <c r="E281" s="649"/>
      <c r="F281" s="62">
        <v>0.4</v>
      </c>
      <c r="G281" s="37">
        <v>6</v>
      </c>
      <c r="H281" s="62">
        <v>2.4</v>
      </c>
      <c r="I281" s="62">
        <v>2.6579999999999999</v>
      </c>
      <c r="J281" s="37">
        <v>182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79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1" s="651"/>
      <c r="R281" s="651"/>
      <c r="S281" s="651"/>
      <c r="T281" s="65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486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t="27" hidden="1" customHeight="1" x14ac:dyDescent="0.25">
      <c r="A282" s="63" t="s">
        <v>487</v>
      </c>
      <c r="B282" s="63" t="s">
        <v>488</v>
      </c>
      <c r="C282" s="36">
        <v>4301052180</v>
      </c>
      <c r="D282" s="649">
        <v>4680115888340</v>
      </c>
      <c r="E282" s="649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82</v>
      </c>
      <c r="L282" s="37" t="s">
        <v>46</v>
      </c>
      <c r="M282" s="38" t="s">
        <v>81</v>
      </c>
      <c r="N282" s="38"/>
      <c r="O282" s="37">
        <v>45</v>
      </c>
      <c r="P282" s="79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2" s="651"/>
      <c r="R282" s="651"/>
      <c r="S282" s="651"/>
      <c r="T282" s="65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6"/>
        <v>0</v>
      </c>
      <c r="Z282" s="41" t="str">
        <f>IFERROR(IF(Y282=0,"",ROUNDUP(Y282/H282,0)*0.00651),"")</f>
        <v/>
      </c>
      <c r="AA282" s="68" t="s">
        <v>46</v>
      </c>
      <c r="AB282" s="69" t="s">
        <v>46</v>
      </c>
      <c r="AC282" s="374" t="s">
        <v>489</v>
      </c>
      <c r="AG282" s="78"/>
      <c r="AJ282" s="84" t="s">
        <v>46</v>
      </c>
      <c r="AK282" s="84">
        <v>0</v>
      </c>
      <c r="BB282" s="375" t="s">
        <v>67</v>
      </c>
      <c r="BM282" s="78">
        <f t="shared" si="37"/>
        <v>0</v>
      </c>
      <c r="BN282" s="78">
        <f t="shared" si="38"/>
        <v>0</v>
      </c>
      <c r="BO282" s="78">
        <f t="shared" si="39"/>
        <v>0</v>
      </c>
      <c r="BP282" s="78">
        <f t="shared" si="40"/>
        <v>0</v>
      </c>
    </row>
    <row r="283" spans="1:68" x14ac:dyDescent="0.2">
      <c r="A283" s="656"/>
      <c r="B283" s="656"/>
      <c r="C283" s="656"/>
      <c r="D283" s="656"/>
      <c r="E283" s="656"/>
      <c r="F283" s="656"/>
      <c r="G283" s="656"/>
      <c r="H283" s="656"/>
      <c r="I283" s="656"/>
      <c r="J283" s="656"/>
      <c r="K283" s="656"/>
      <c r="L283" s="656"/>
      <c r="M283" s="656"/>
      <c r="N283" s="656"/>
      <c r="O283" s="657"/>
      <c r="P283" s="653" t="s">
        <v>40</v>
      </c>
      <c r="Q283" s="654"/>
      <c r="R283" s="654"/>
      <c r="S283" s="654"/>
      <c r="T283" s="654"/>
      <c r="U283" s="654"/>
      <c r="V283" s="655"/>
      <c r="W283" s="42" t="s">
        <v>39</v>
      </c>
      <c r="X283" s="43">
        <f>IFERROR(X271/H271,"0")+IFERROR(X272/H272,"0")+IFERROR(X273/H273,"0")+IFERROR(X274/H274,"0")+IFERROR(X275/H275,"0")+IFERROR(X276/H276,"0")+IFERROR(X277/H277,"0")+IFERROR(X278/H278,"0")+IFERROR(X279/H279,"0")+IFERROR(X280/H280,"0")+IFERROR(X281/H281,"0")+IFERROR(X282/H282,"0")</f>
        <v>160</v>
      </c>
      <c r="Y283" s="43">
        <f>IFERROR(Y271/H271,"0")+IFERROR(Y272/H272,"0")+IFERROR(Y273/H273,"0")+IFERROR(Y274/H274,"0")+IFERROR(Y275/H275,"0")+IFERROR(Y276/H276,"0")+IFERROR(Y277/H277,"0")+IFERROR(Y278/H278,"0")+IFERROR(Y279/H279,"0")+IFERROR(Y280/H280,"0")+IFERROR(Y281/H281,"0")+IFERROR(Y282/H282,"0")</f>
        <v>160</v>
      </c>
      <c r="Z283" s="43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+IFERROR(IF(Z282="",0,Z282),"0")</f>
        <v>1.0416000000000001</v>
      </c>
      <c r="AA283" s="67"/>
      <c r="AB283" s="67"/>
      <c r="AC283" s="67"/>
    </row>
    <row r="284" spans="1:68" x14ac:dyDescent="0.2">
      <c r="A284" s="656"/>
      <c r="B284" s="656"/>
      <c r="C284" s="656"/>
      <c r="D284" s="656"/>
      <c r="E284" s="656"/>
      <c r="F284" s="656"/>
      <c r="G284" s="656"/>
      <c r="H284" s="656"/>
      <c r="I284" s="656"/>
      <c r="J284" s="656"/>
      <c r="K284" s="656"/>
      <c r="L284" s="656"/>
      <c r="M284" s="656"/>
      <c r="N284" s="656"/>
      <c r="O284" s="657"/>
      <c r="P284" s="653" t="s">
        <v>40</v>
      </c>
      <c r="Q284" s="654"/>
      <c r="R284" s="654"/>
      <c r="S284" s="654"/>
      <c r="T284" s="654"/>
      <c r="U284" s="654"/>
      <c r="V284" s="655"/>
      <c r="W284" s="42" t="s">
        <v>0</v>
      </c>
      <c r="X284" s="43">
        <f>IFERROR(SUM(X271:X282),"0")</f>
        <v>384</v>
      </c>
      <c r="Y284" s="43">
        <f>IFERROR(SUM(Y271:Y282),"0")</f>
        <v>384</v>
      </c>
      <c r="Z284" s="42"/>
      <c r="AA284" s="67"/>
      <c r="AB284" s="67"/>
      <c r="AC284" s="67"/>
    </row>
    <row r="285" spans="1:68" ht="14.25" hidden="1" customHeight="1" x14ac:dyDescent="0.25">
      <c r="A285" s="648" t="s">
        <v>179</v>
      </c>
      <c r="B285" s="648"/>
      <c r="C285" s="648"/>
      <c r="D285" s="648"/>
      <c r="E285" s="648"/>
      <c r="F285" s="648"/>
      <c r="G285" s="648"/>
      <c r="H285" s="648"/>
      <c r="I285" s="648"/>
      <c r="J285" s="648"/>
      <c r="K285" s="648"/>
      <c r="L285" s="648"/>
      <c r="M285" s="648"/>
      <c r="N285" s="648"/>
      <c r="O285" s="648"/>
      <c r="P285" s="648"/>
      <c r="Q285" s="648"/>
      <c r="R285" s="648"/>
      <c r="S285" s="648"/>
      <c r="T285" s="648"/>
      <c r="U285" s="648"/>
      <c r="V285" s="648"/>
      <c r="W285" s="648"/>
      <c r="X285" s="648"/>
      <c r="Y285" s="648"/>
      <c r="Z285" s="648"/>
      <c r="AA285" s="66"/>
      <c r="AB285" s="66"/>
      <c r="AC285" s="80"/>
    </row>
    <row r="286" spans="1:68" ht="27" hidden="1" customHeight="1" x14ac:dyDescent="0.25">
      <c r="A286" s="63" t="s">
        <v>490</v>
      </c>
      <c r="B286" s="63" t="s">
        <v>491</v>
      </c>
      <c r="C286" s="36">
        <v>4301060463</v>
      </c>
      <c r="D286" s="649">
        <v>4680115880818</v>
      </c>
      <c r="E286" s="64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82</v>
      </c>
      <c r="L286" s="37" t="s">
        <v>46</v>
      </c>
      <c r="M286" s="38" t="s">
        <v>88</v>
      </c>
      <c r="N286" s="38"/>
      <c r="O286" s="37">
        <v>40</v>
      </c>
      <c r="P286" s="80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6" s="651"/>
      <c r="R286" s="651"/>
      <c r="S286" s="651"/>
      <c r="T286" s="65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492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t="27" hidden="1" customHeight="1" x14ac:dyDescent="0.25">
      <c r="A287" s="63" t="s">
        <v>493</v>
      </c>
      <c r="B287" s="63" t="s">
        <v>494</v>
      </c>
      <c r="C287" s="36">
        <v>4301060389</v>
      </c>
      <c r="D287" s="649">
        <v>4680115880801</v>
      </c>
      <c r="E287" s="649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82</v>
      </c>
      <c r="L287" s="37" t="s">
        <v>46</v>
      </c>
      <c r="M287" s="38" t="s">
        <v>81</v>
      </c>
      <c r="N287" s="38"/>
      <c r="O287" s="37">
        <v>40</v>
      </c>
      <c r="P287" s="80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7" s="651"/>
      <c r="R287" s="651"/>
      <c r="S287" s="651"/>
      <c r="T287" s="652"/>
      <c r="U287" s="39" t="s">
        <v>46</v>
      </c>
      <c r="V287" s="39" t="s">
        <v>46</v>
      </c>
      <c r="W287" s="40" t="s">
        <v>0</v>
      </c>
      <c r="X287" s="58">
        <v>0</v>
      </c>
      <c r="Y287" s="55">
        <f>IFERROR(IF(X287="",0,CEILING((X287/$H287),1)*$H287),"")</f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78" t="s">
        <v>495</v>
      </c>
      <c r="AG287" s="78"/>
      <c r="AJ287" s="84" t="s">
        <v>46</v>
      </c>
      <c r="AK287" s="84">
        <v>0</v>
      </c>
      <c r="BB287" s="379" t="s">
        <v>67</v>
      </c>
      <c r="BM287" s="78">
        <f>IFERROR(X287*I287/H287,"0")</f>
        <v>0</v>
      </c>
      <c r="BN287" s="78">
        <f>IFERROR(Y287*I287/H287,"0")</f>
        <v>0</v>
      </c>
      <c r="BO287" s="78">
        <f>IFERROR(1/J287*(X287/H287),"0")</f>
        <v>0</v>
      </c>
      <c r="BP287" s="78">
        <f>IFERROR(1/J287*(Y287/H287),"0")</f>
        <v>0</v>
      </c>
    </row>
    <row r="288" spans="1:68" hidden="1" x14ac:dyDescent="0.2">
      <c r="A288" s="656"/>
      <c r="B288" s="656"/>
      <c r="C288" s="656"/>
      <c r="D288" s="656"/>
      <c r="E288" s="656"/>
      <c r="F288" s="656"/>
      <c r="G288" s="656"/>
      <c r="H288" s="656"/>
      <c r="I288" s="656"/>
      <c r="J288" s="656"/>
      <c r="K288" s="656"/>
      <c r="L288" s="656"/>
      <c r="M288" s="656"/>
      <c r="N288" s="656"/>
      <c r="O288" s="657"/>
      <c r="P288" s="653" t="s">
        <v>40</v>
      </c>
      <c r="Q288" s="654"/>
      <c r="R288" s="654"/>
      <c r="S288" s="654"/>
      <c r="T288" s="654"/>
      <c r="U288" s="654"/>
      <c r="V288" s="655"/>
      <c r="W288" s="42" t="s">
        <v>39</v>
      </c>
      <c r="X288" s="43">
        <f>IFERROR(X286/H286,"0")+IFERROR(X287/H287,"0")</f>
        <v>0</v>
      </c>
      <c r="Y288" s="43">
        <f>IFERROR(Y286/H286,"0")+IFERROR(Y287/H287,"0")</f>
        <v>0</v>
      </c>
      <c r="Z288" s="43">
        <f>IFERROR(IF(Z286="",0,Z286),"0")+IFERROR(IF(Z287="",0,Z287),"0")</f>
        <v>0</v>
      </c>
      <c r="AA288" s="67"/>
      <c r="AB288" s="67"/>
      <c r="AC288" s="67"/>
    </row>
    <row r="289" spans="1:68" hidden="1" x14ac:dyDescent="0.2">
      <c r="A289" s="656"/>
      <c r="B289" s="656"/>
      <c r="C289" s="656"/>
      <c r="D289" s="656"/>
      <c r="E289" s="656"/>
      <c r="F289" s="656"/>
      <c r="G289" s="656"/>
      <c r="H289" s="656"/>
      <c r="I289" s="656"/>
      <c r="J289" s="656"/>
      <c r="K289" s="656"/>
      <c r="L289" s="656"/>
      <c r="M289" s="656"/>
      <c r="N289" s="656"/>
      <c r="O289" s="657"/>
      <c r="P289" s="653" t="s">
        <v>40</v>
      </c>
      <c r="Q289" s="654"/>
      <c r="R289" s="654"/>
      <c r="S289" s="654"/>
      <c r="T289" s="654"/>
      <c r="U289" s="654"/>
      <c r="V289" s="655"/>
      <c r="W289" s="42" t="s">
        <v>0</v>
      </c>
      <c r="X289" s="43">
        <f>IFERROR(SUM(X286:X287),"0")</f>
        <v>0</v>
      </c>
      <c r="Y289" s="43">
        <f>IFERROR(SUM(Y286:Y287),"0")</f>
        <v>0</v>
      </c>
      <c r="Z289" s="42"/>
      <c r="AA289" s="67"/>
      <c r="AB289" s="67"/>
      <c r="AC289" s="67"/>
    </row>
    <row r="290" spans="1:68" ht="16.5" hidden="1" customHeight="1" x14ac:dyDescent="0.25">
      <c r="A290" s="647" t="s">
        <v>496</v>
      </c>
      <c r="B290" s="647"/>
      <c r="C290" s="647"/>
      <c r="D290" s="647"/>
      <c r="E290" s="647"/>
      <c r="F290" s="647"/>
      <c r="G290" s="647"/>
      <c r="H290" s="647"/>
      <c r="I290" s="647"/>
      <c r="J290" s="647"/>
      <c r="K290" s="647"/>
      <c r="L290" s="647"/>
      <c r="M290" s="647"/>
      <c r="N290" s="647"/>
      <c r="O290" s="647"/>
      <c r="P290" s="647"/>
      <c r="Q290" s="647"/>
      <c r="R290" s="647"/>
      <c r="S290" s="647"/>
      <c r="T290" s="647"/>
      <c r="U290" s="647"/>
      <c r="V290" s="647"/>
      <c r="W290" s="647"/>
      <c r="X290" s="647"/>
      <c r="Y290" s="647"/>
      <c r="Z290" s="647"/>
      <c r="AA290" s="65"/>
      <c r="AB290" s="65"/>
      <c r="AC290" s="79"/>
    </row>
    <row r="291" spans="1:68" ht="14.25" hidden="1" customHeight="1" x14ac:dyDescent="0.25">
      <c r="A291" s="648" t="s">
        <v>124</v>
      </c>
      <c r="B291" s="648"/>
      <c r="C291" s="648"/>
      <c r="D291" s="648"/>
      <c r="E291" s="648"/>
      <c r="F291" s="648"/>
      <c r="G291" s="648"/>
      <c r="H291" s="648"/>
      <c r="I291" s="648"/>
      <c r="J291" s="648"/>
      <c r="K291" s="648"/>
      <c r="L291" s="648"/>
      <c r="M291" s="648"/>
      <c r="N291" s="648"/>
      <c r="O291" s="648"/>
      <c r="P291" s="648"/>
      <c r="Q291" s="648"/>
      <c r="R291" s="648"/>
      <c r="S291" s="648"/>
      <c r="T291" s="648"/>
      <c r="U291" s="648"/>
      <c r="V291" s="648"/>
      <c r="W291" s="648"/>
      <c r="X291" s="648"/>
      <c r="Y291" s="648"/>
      <c r="Z291" s="648"/>
      <c r="AA291" s="66"/>
      <c r="AB291" s="66"/>
      <c r="AC291" s="80"/>
    </row>
    <row r="292" spans="1:68" ht="27" hidden="1" customHeight="1" x14ac:dyDescent="0.25">
      <c r="A292" s="63" t="s">
        <v>497</v>
      </c>
      <c r="B292" s="63" t="s">
        <v>498</v>
      </c>
      <c r="C292" s="36">
        <v>4301011826</v>
      </c>
      <c r="D292" s="649">
        <v>4680115884137</v>
      </c>
      <c r="E292" s="64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129</v>
      </c>
      <c r="L292" s="37" t="s">
        <v>46</v>
      </c>
      <c r="M292" s="38" t="s">
        <v>128</v>
      </c>
      <c r="N292" s="38"/>
      <c r="O292" s="37">
        <v>55</v>
      </c>
      <c r="P292" s="78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2" s="651"/>
      <c r="R292" s="651"/>
      <c r="S292" s="651"/>
      <c r="T292" s="65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ref="Y292:Y298" si="41">IFERROR(IF(X292="",0,CEILING((X292/$H292),1)*$H292),"")</f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499</v>
      </c>
      <c r="AG292" s="78"/>
      <c r="AJ292" s="84" t="s">
        <v>46</v>
      </c>
      <c r="AK292" s="84">
        <v>0</v>
      </c>
      <c r="BB292" s="381" t="s">
        <v>67</v>
      </c>
      <c r="BM292" s="78">
        <f t="shared" ref="BM292:BM298" si="42">IFERROR(X292*I292/H292,"0")</f>
        <v>0</v>
      </c>
      <c r="BN292" s="78">
        <f t="shared" ref="BN292:BN298" si="43">IFERROR(Y292*I292/H292,"0")</f>
        <v>0</v>
      </c>
      <c r="BO292" s="78">
        <f t="shared" ref="BO292:BO298" si="44">IFERROR(1/J292*(X292/H292),"0")</f>
        <v>0</v>
      </c>
      <c r="BP292" s="78">
        <f t="shared" ref="BP292:BP298" si="45">IFERROR(1/J292*(Y292/H292),"0")</f>
        <v>0</v>
      </c>
    </row>
    <row r="293" spans="1:68" ht="27" hidden="1" customHeight="1" x14ac:dyDescent="0.25">
      <c r="A293" s="63" t="s">
        <v>500</v>
      </c>
      <c r="B293" s="63" t="s">
        <v>501</v>
      </c>
      <c r="C293" s="36">
        <v>4301011724</v>
      </c>
      <c r="D293" s="649">
        <v>4680115884236</v>
      </c>
      <c r="E293" s="64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129</v>
      </c>
      <c r="L293" s="37" t="s">
        <v>46</v>
      </c>
      <c r="M293" s="38" t="s">
        <v>128</v>
      </c>
      <c r="N293" s="38"/>
      <c r="O293" s="37">
        <v>55</v>
      </c>
      <c r="P293" s="79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3" s="651"/>
      <c r="R293" s="651"/>
      <c r="S293" s="651"/>
      <c r="T293" s="65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502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503</v>
      </c>
      <c r="B294" s="63" t="s">
        <v>504</v>
      </c>
      <c r="C294" s="36">
        <v>4301011721</v>
      </c>
      <c r="D294" s="649">
        <v>4680115884175</v>
      </c>
      <c r="E294" s="649"/>
      <c r="F294" s="62">
        <v>1.45</v>
      </c>
      <c r="G294" s="37">
        <v>8</v>
      </c>
      <c r="H294" s="62">
        <v>11.6</v>
      </c>
      <c r="I294" s="62">
        <v>12.01</v>
      </c>
      <c r="J294" s="37">
        <v>64</v>
      </c>
      <c r="K294" s="37" t="s">
        <v>129</v>
      </c>
      <c r="L294" s="37" t="s">
        <v>46</v>
      </c>
      <c r="M294" s="38" t="s">
        <v>128</v>
      </c>
      <c r="N294" s="38"/>
      <c r="O294" s="37">
        <v>55</v>
      </c>
      <c r="P294" s="79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4" s="651"/>
      <c r="R294" s="651"/>
      <c r="S294" s="651"/>
      <c r="T294" s="65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IFERROR(IF(Y294=0,"",ROUNDUP(Y294/H294,0)*0.01898),"")</f>
        <v/>
      </c>
      <c r="AA294" s="68" t="s">
        <v>46</v>
      </c>
      <c r="AB294" s="69" t="s">
        <v>46</v>
      </c>
      <c r="AC294" s="384" t="s">
        <v>358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505</v>
      </c>
      <c r="B295" s="63" t="s">
        <v>506</v>
      </c>
      <c r="C295" s="36">
        <v>4301011824</v>
      </c>
      <c r="D295" s="649">
        <v>4680115884144</v>
      </c>
      <c r="E295" s="64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137</v>
      </c>
      <c r="L295" s="37" t="s">
        <v>46</v>
      </c>
      <c r="M295" s="38" t="s">
        <v>128</v>
      </c>
      <c r="N295" s="38"/>
      <c r="O295" s="37">
        <v>55</v>
      </c>
      <c r="P295" s="79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5" s="651"/>
      <c r="R295" s="651"/>
      <c r="S295" s="651"/>
      <c r="T295" s="65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499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507</v>
      </c>
      <c r="B296" s="63" t="s">
        <v>508</v>
      </c>
      <c r="C296" s="36">
        <v>4301012149</v>
      </c>
      <c r="D296" s="649">
        <v>4680115886551</v>
      </c>
      <c r="E296" s="649"/>
      <c r="F296" s="62">
        <v>0.4</v>
      </c>
      <c r="G296" s="37">
        <v>10</v>
      </c>
      <c r="H296" s="62">
        <v>4</v>
      </c>
      <c r="I296" s="62">
        <v>4.1900000000000004</v>
      </c>
      <c r="J296" s="37">
        <v>132</v>
      </c>
      <c r="K296" s="37" t="s">
        <v>137</v>
      </c>
      <c r="L296" s="37" t="s">
        <v>46</v>
      </c>
      <c r="M296" s="38" t="s">
        <v>128</v>
      </c>
      <c r="N296" s="38"/>
      <c r="O296" s="37">
        <v>55</v>
      </c>
      <c r="P296" s="79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6" s="651"/>
      <c r="R296" s="651"/>
      <c r="S296" s="651"/>
      <c r="T296" s="65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IFERROR(IF(Y296=0,"",ROUNDUP(Y296/H296,0)*0.00902),"")</f>
        <v/>
      </c>
      <c r="AA296" s="68" t="s">
        <v>46</v>
      </c>
      <c r="AB296" s="69" t="s">
        <v>46</v>
      </c>
      <c r="AC296" s="388" t="s">
        <v>509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510</v>
      </c>
      <c r="B297" s="63" t="s">
        <v>511</v>
      </c>
      <c r="C297" s="36">
        <v>4301012228</v>
      </c>
      <c r="D297" s="649">
        <v>4680115887282</v>
      </c>
      <c r="E297" s="649"/>
      <c r="F297" s="62">
        <v>0.4</v>
      </c>
      <c r="G297" s="37">
        <v>6</v>
      </c>
      <c r="H297" s="62">
        <v>2.4</v>
      </c>
      <c r="I297" s="62">
        <v>2.58</v>
      </c>
      <c r="J297" s="37">
        <v>182</v>
      </c>
      <c r="K297" s="37" t="s">
        <v>82</v>
      </c>
      <c r="L297" s="37" t="s">
        <v>46</v>
      </c>
      <c r="M297" s="38" t="s">
        <v>128</v>
      </c>
      <c r="N297" s="38"/>
      <c r="O297" s="37">
        <v>55</v>
      </c>
      <c r="P297" s="79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7" s="651"/>
      <c r="R297" s="651"/>
      <c r="S297" s="651"/>
      <c r="T297" s="65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390" t="s">
        <v>512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t="27" hidden="1" customHeight="1" x14ac:dyDescent="0.25">
      <c r="A298" s="63" t="s">
        <v>513</v>
      </c>
      <c r="B298" s="63" t="s">
        <v>514</v>
      </c>
      <c r="C298" s="36">
        <v>4301011722</v>
      </c>
      <c r="D298" s="649">
        <v>4680115884205</v>
      </c>
      <c r="E298" s="649"/>
      <c r="F298" s="62">
        <v>0.4</v>
      </c>
      <c r="G298" s="37">
        <v>10</v>
      </c>
      <c r="H298" s="62">
        <v>4</v>
      </c>
      <c r="I298" s="62">
        <v>4.1900000000000004</v>
      </c>
      <c r="J298" s="37">
        <v>132</v>
      </c>
      <c r="K298" s="37" t="s">
        <v>137</v>
      </c>
      <c r="L298" s="37" t="s">
        <v>46</v>
      </c>
      <c r="M298" s="38" t="s">
        <v>128</v>
      </c>
      <c r="N298" s="38"/>
      <c r="O298" s="37">
        <v>55</v>
      </c>
      <c r="P298" s="78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8" s="651"/>
      <c r="R298" s="651"/>
      <c r="S298" s="651"/>
      <c r="T298" s="652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1"/>
        <v>0</v>
      </c>
      <c r="Z298" s="41" t="str">
        <f>IFERROR(IF(Y298=0,"",ROUNDUP(Y298/H298,0)*0.00902),"")</f>
        <v/>
      </c>
      <c r="AA298" s="68" t="s">
        <v>46</v>
      </c>
      <c r="AB298" s="69" t="s">
        <v>46</v>
      </c>
      <c r="AC298" s="392" t="s">
        <v>358</v>
      </c>
      <c r="AG298" s="78"/>
      <c r="AJ298" s="84" t="s">
        <v>46</v>
      </c>
      <c r="AK298" s="84">
        <v>0</v>
      </c>
      <c r="BB298" s="393" t="s">
        <v>67</v>
      </c>
      <c r="BM298" s="78">
        <f t="shared" si="42"/>
        <v>0</v>
      </c>
      <c r="BN298" s="78">
        <f t="shared" si="43"/>
        <v>0</v>
      </c>
      <c r="BO298" s="78">
        <f t="shared" si="44"/>
        <v>0</v>
      </c>
      <c r="BP298" s="78">
        <f t="shared" si="45"/>
        <v>0</v>
      </c>
    </row>
    <row r="299" spans="1:68" hidden="1" x14ac:dyDescent="0.2">
      <c r="A299" s="656"/>
      <c r="B299" s="656"/>
      <c r="C299" s="656"/>
      <c r="D299" s="656"/>
      <c r="E299" s="656"/>
      <c r="F299" s="656"/>
      <c r="G299" s="656"/>
      <c r="H299" s="656"/>
      <c r="I299" s="656"/>
      <c r="J299" s="656"/>
      <c r="K299" s="656"/>
      <c r="L299" s="656"/>
      <c r="M299" s="656"/>
      <c r="N299" s="656"/>
      <c r="O299" s="657"/>
      <c r="P299" s="653" t="s">
        <v>40</v>
      </c>
      <c r="Q299" s="654"/>
      <c r="R299" s="654"/>
      <c r="S299" s="654"/>
      <c r="T299" s="654"/>
      <c r="U299" s="654"/>
      <c r="V299" s="655"/>
      <c r="W299" s="42" t="s">
        <v>39</v>
      </c>
      <c r="X299" s="43">
        <f>IFERROR(X292/H292,"0")+IFERROR(X293/H293,"0")+IFERROR(X294/H294,"0")+IFERROR(X295/H295,"0")+IFERROR(X296/H296,"0")+IFERROR(X297/H297,"0")+IFERROR(X298/H298,"0")</f>
        <v>0</v>
      </c>
      <c r="Y299" s="43">
        <f>IFERROR(Y292/H292,"0")+IFERROR(Y293/H293,"0")+IFERROR(Y294/H294,"0")+IFERROR(Y295/H295,"0")+IFERROR(Y296/H296,"0")+IFERROR(Y297/H297,"0")+IFERROR(Y298/H298,"0")</f>
        <v>0</v>
      </c>
      <c r="Z299" s="43">
        <f>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56"/>
      <c r="B300" s="656"/>
      <c r="C300" s="656"/>
      <c r="D300" s="656"/>
      <c r="E300" s="656"/>
      <c r="F300" s="656"/>
      <c r="G300" s="656"/>
      <c r="H300" s="656"/>
      <c r="I300" s="656"/>
      <c r="J300" s="656"/>
      <c r="K300" s="656"/>
      <c r="L300" s="656"/>
      <c r="M300" s="656"/>
      <c r="N300" s="656"/>
      <c r="O300" s="657"/>
      <c r="P300" s="653" t="s">
        <v>40</v>
      </c>
      <c r="Q300" s="654"/>
      <c r="R300" s="654"/>
      <c r="S300" s="654"/>
      <c r="T300" s="654"/>
      <c r="U300" s="654"/>
      <c r="V300" s="655"/>
      <c r="W300" s="42" t="s">
        <v>0</v>
      </c>
      <c r="X300" s="43">
        <f>IFERROR(SUM(X292:X298),"0")</f>
        <v>0</v>
      </c>
      <c r="Y300" s="43">
        <f>IFERROR(SUM(Y292:Y298),"0")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48" t="s">
        <v>161</v>
      </c>
      <c r="B301" s="648"/>
      <c r="C301" s="648"/>
      <c r="D301" s="648"/>
      <c r="E301" s="648"/>
      <c r="F301" s="648"/>
      <c r="G301" s="648"/>
      <c r="H301" s="648"/>
      <c r="I301" s="648"/>
      <c r="J301" s="648"/>
      <c r="K301" s="648"/>
      <c r="L301" s="648"/>
      <c r="M301" s="648"/>
      <c r="N301" s="648"/>
      <c r="O301" s="648"/>
      <c r="P301" s="648"/>
      <c r="Q301" s="648"/>
      <c r="R301" s="648"/>
      <c r="S301" s="648"/>
      <c r="T301" s="648"/>
      <c r="U301" s="648"/>
      <c r="V301" s="648"/>
      <c r="W301" s="648"/>
      <c r="X301" s="648"/>
      <c r="Y301" s="648"/>
      <c r="Z301" s="648"/>
      <c r="AA301" s="66"/>
      <c r="AB301" s="66"/>
      <c r="AC301" s="80"/>
    </row>
    <row r="302" spans="1:68" ht="27" hidden="1" customHeight="1" x14ac:dyDescent="0.25">
      <c r="A302" s="63" t="s">
        <v>515</v>
      </c>
      <c r="B302" s="63" t="s">
        <v>516</v>
      </c>
      <c r="C302" s="36">
        <v>4301020377</v>
      </c>
      <c r="D302" s="649">
        <v>4680115885981</v>
      </c>
      <c r="E302" s="649"/>
      <c r="F302" s="62">
        <v>0.33</v>
      </c>
      <c r="G302" s="37">
        <v>6</v>
      </c>
      <c r="H302" s="62">
        <v>1.98</v>
      </c>
      <c r="I302" s="62">
        <v>2.08</v>
      </c>
      <c r="J302" s="37">
        <v>234</v>
      </c>
      <c r="K302" s="37" t="s">
        <v>234</v>
      </c>
      <c r="L302" s="37" t="s">
        <v>46</v>
      </c>
      <c r="M302" s="38" t="s">
        <v>81</v>
      </c>
      <c r="N302" s="38"/>
      <c r="O302" s="37">
        <v>50</v>
      </c>
      <c r="P302" s="78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2" s="651"/>
      <c r="R302" s="651"/>
      <c r="S302" s="651"/>
      <c r="T302" s="652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IFERROR(IF(Y302=0,"",ROUNDUP(Y302/H302,0)*0.00502),"")</f>
        <v/>
      </c>
      <c r="AA302" s="68" t="s">
        <v>46</v>
      </c>
      <c r="AB302" s="69" t="s">
        <v>46</v>
      </c>
      <c r="AC302" s="394" t="s">
        <v>517</v>
      </c>
      <c r="AG302" s="78"/>
      <c r="AJ302" s="84" t="s">
        <v>46</v>
      </c>
      <c r="AK302" s="84">
        <v>0</v>
      </c>
      <c r="BB302" s="395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idden="1" x14ac:dyDescent="0.2">
      <c r="A303" s="656"/>
      <c r="B303" s="656"/>
      <c r="C303" s="656"/>
      <c r="D303" s="656"/>
      <c r="E303" s="656"/>
      <c r="F303" s="656"/>
      <c r="G303" s="656"/>
      <c r="H303" s="656"/>
      <c r="I303" s="656"/>
      <c r="J303" s="656"/>
      <c r="K303" s="656"/>
      <c r="L303" s="656"/>
      <c r="M303" s="656"/>
      <c r="N303" s="656"/>
      <c r="O303" s="657"/>
      <c r="P303" s="653" t="s">
        <v>40</v>
      </c>
      <c r="Q303" s="654"/>
      <c r="R303" s="654"/>
      <c r="S303" s="654"/>
      <c r="T303" s="654"/>
      <c r="U303" s="654"/>
      <c r="V303" s="655"/>
      <c r="W303" s="42" t="s">
        <v>39</v>
      </c>
      <c r="X303" s="43">
        <f>IFERROR(X302/H302,"0")</f>
        <v>0</v>
      </c>
      <c r="Y303" s="43">
        <f>IFERROR(Y302/H302,"0")</f>
        <v>0</v>
      </c>
      <c r="Z303" s="43">
        <f>IFERROR(IF(Z302="",0,Z302),"0")</f>
        <v>0</v>
      </c>
      <c r="AA303" s="67"/>
      <c r="AB303" s="67"/>
      <c r="AC303" s="67"/>
    </row>
    <row r="304" spans="1:68" hidden="1" x14ac:dyDescent="0.2">
      <c r="A304" s="656"/>
      <c r="B304" s="656"/>
      <c r="C304" s="656"/>
      <c r="D304" s="656"/>
      <c r="E304" s="656"/>
      <c r="F304" s="656"/>
      <c r="G304" s="656"/>
      <c r="H304" s="656"/>
      <c r="I304" s="656"/>
      <c r="J304" s="656"/>
      <c r="K304" s="656"/>
      <c r="L304" s="656"/>
      <c r="M304" s="656"/>
      <c r="N304" s="656"/>
      <c r="O304" s="657"/>
      <c r="P304" s="653" t="s">
        <v>40</v>
      </c>
      <c r="Q304" s="654"/>
      <c r="R304" s="654"/>
      <c r="S304" s="654"/>
      <c r="T304" s="654"/>
      <c r="U304" s="654"/>
      <c r="V304" s="655"/>
      <c r="W304" s="42" t="s">
        <v>0</v>
      </c>
      <c r="X304" s="43">
        <f>IFERROR(SUM(X302:X302),"0")</f>
        <v>0</v>
      </c>
      <c r="Y304" s="43">
        <f>IFERROR(SUM(Y302:Y302),"0")</f>
        <v>0</v>
      </c>
      <c r="Z304" s="42"/>
      <c r="AA304" s="67"/>
      <c r="AB304" s="67"/>
      <c r="AC304" s="67"/>
    </row>
    <row r="305" spans="1:68" ht="14.25" hidden="1" customHeight="1" x14ac:dyDescent="0.25">
      <c r="A305" s="648" t="s">
        <v>518</v>
      </c>
      <c r="B305" s="648"/>
      <c r="C305" s="648"/>
      <c r="D305" s="648"/>
      <c r="E305" s="648"/>
      <c r="F305" s="648"/>
      <c r="G305" s="648"/>
      <c r="H305" s="648"/>
      <c r="I305" s="648"/>
      <c r="J305" s="648"/>
      <c r="K305" s="648"/>
      <c r="L305" s="648"/>
      <c r="M305" s="648"/>
      <c r="N305" s="648"/>
      <c r="O305" s="648"/>
      <c r="P305" s="648"/>
      <c r="Q305" s="648"/>
      <c r="R305" s="648"/>
      <c r="S305" s="648"/>
      <c r="T305" s="648"/>
      <c r="U305" s="648"/>
      <c r="V305" s="648"/>
      <c r="W305" s="648"/>
      <c r="X305" s="648"/>
      <c r="Y305" s="648"/>
      <c r="Z305" s="648"/>
      <c r="AA305" s="66"/>
      <c r="AB305" s="66"/>
      <c r="AC305" s="80"/>
    </row>
    <row r="306" spans="1:68" ht="27" hidden="1" customHeight="1" x14ac:dyDescent="0.25">
      <c r="A306" s="63" t="s">
        <v>519</v>
      </c>
      <c r="B306" s="63" t="s">
        <v>520</v>
      </c>
      <c r="C306" s="36">
        <v>4301040362</v>
      </c>
      <c r="D306" s="649">
        <v>4680115886803</v>
      </c>
      <c r="E306" s="649"/>
      <c r="F306" s="62">
        <v>0.12</v>
      </c>
      <c r="G306" s="37">
        <v>15</v>
      </c>
      <c r="H306" s="62">
        <v>1.8</v>
      </c>
      <c r="I306" s="62">
        <v>1.9750000000000001</v>
      </c>
      <c r="J306" s="37">
        <v>216</v>
      </c>
      <c r="K306" s="37" t="s">
        <v>335</v>
      </c>
      <c r="L306" s="37" t="s">
        <v>46</v>
      </c>
      <c r="M306" s="38" t="s">
        <v>101</v>
      </c>
      <c r="N306" s="38"/>
      <c r="O306" s="37">
        <v>45</v>
      </c>
      <c r="P306" s="78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6" s="651"/>
      <c r="R306" s="651"/>
      <c r="S306" s="651"/>
      <c r="T306" s="652"/>
      <c r="U306" s="39" t="s">
        <v>46</v>
      </c>
      <c r="V306" s="39" t="s">
        <v>46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IFERROR(IF(Y306=0,"",ROUNDUP(Y306/H306,0)*0.0059),"")</f>
        <v/>
      </c>
      <c r="AA306" s="68" t="s">
        <v>46</v>
      </c>
      <c r="AB306" s="69" t="s">
        <v>46</v>
      </c>
      <c r="AC306" s="396" t="s">
        <v>521</v>
      </c>
      <c r="AG306" s="78"/>
      <c r="AJ306" s="84" t="s">
        <v>46</v>
      </c>
      <c r="AK306" s="84">
        <v>0</v>
      </c>
      <c r="BB306" s="397" t="s">
        <v>67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idden="1" x14ac:dyDescent="0.2">
      <c r="A307" s="656"/>
      <c r="B307" s="656"/>
      <c r="C307" s="656"/>
      <c r="D307" s="656"/>
      <c r="E307" s="656"/>
      <c r="F307" s="656"/>
      <c r="G307" s="656"/>
      <c r="H307" s="656"/>
      <c r="I307" s="656"/>
      <c r="J307" s="656"/>
      <c r="K307" s="656"/>
      <c r="L307" s="656"/>
      <c r="M307" s="656"/>
      <c r="N307" s="656"/>
      <c r="O307" s="657"/>
      <c r="P307" s="653" t="s">
        <v>40</v>
      </c>
      <c r="Q307" s="654"/>
      <c r="R307" s="654"/>
      <c r="S307" s="654"/>
      <c r="T307" s="654"/>
      <c r="U307" s="654"/>
      <c r="V307" s="655"/>
      <c r="W307" s="42" t="s">
        <v>39</v>
      </c>
      <c r="X307" s="43">
        <f>IFERROR(X306/H306,"0")</f>
        <v>0</v>
      </c>
      <c r="Y307" s="43">
        <f>IFERROR(Y306/H306,"0")</f>
        <v>0</v>
      </c>
      <c r="Z307" s="43">
        <f>IFERROR(IF(Z306="",0,Z306),"0")</f>
        <v>0</v>
      </c>
      <c r="AA307" s="67"/>
      <c r="AB307" s="67"/>
      <c r="AC307" s="67"/>
    </row>
    <row r="308" spans="1:68" hidden="1" x14ac:dyDescent="0.2">
      <c r="A308" s="656"/>
      <c r="B308" s="656"/>
      <c r="C308" s="656"/>
      <c r="D308" s="656"/>
      <c r="E308" s="656"/>
      <c r="F308" s="656"/>
      <c r="G308" s="656"/>
      <c r="H308" s="656"/>
      <c r="I308" s="656"/>
      <c r="J308" s="656"/>
      <c r="K308" s="656"/>
      <c r="L308" s="656"/>
      <c r="M308" s="656"/>
      <c r="N308" s="656"/>
      <c r="O308" s="657"/>
      <c r="P308" s="653" t="s">
        <v>40</v>
      </c>
      <c r="Q308" s="654"/>
      <c r="R308" s="654"/>
      <c r="S308" s="654"/>
      <c r="T308" s="654"/>
      <c r="U308" s="654"/>
      <c r="V308" s="655"/>
      <c r="W308" s="42" t="s">
        <v>0</v>
      </c>
      <c r="X308" s="43">
        <f>IFERROR(SUM(X306:X306),"0")</f>
        <v>0</v>
      </c>
      <c r="Y308" s="43">
        <f>IFERROR(SUM(Y306:Y306),"0")</f>
        <v>0</v>
      </c>
      <c r="Z308" s="42"/>
      <c r="AA308" s="67"/>
      <c r="AB308" s="67"/>
      <c r="AC308" s="67"/>
    </row>
    <row r="309" spans="1:68" ht="14.25" hidden="1" customHeight="1" x14ac:dyDescent="0.25">
      <c r="A309" s="648" t="s">
        <v>336</v>
      </c>
      <c r="B309" s="648"/>
      <c r="C309" s="648"/>
      <c r="D309" s="648"/>
      <c r="E309" s="648"/>
      <c r="F309" s="648"/>
      <c r="G309" s="648"/>
      <c r="H309" s="648"/>
      <c r="I309" s="648"/>
      <c r="J309" s="648"/>
      <c r="K309" s="648"/>
      <c r="L309" s="648"/>
      <c r="M309" s="648"/>
      <c r="N309" s="648"/>
      <c r="O309" s="648"/>
      <c r="P309" s="648"/>
      <c r="Q309" s="648"/>
      <c r="R309" s="648"/>
      <c r="S309" s="648"/>
      <c r="T309" s="648"/>
      <c r="U309" s="648"/>
      <c r="V309" s="648"/>
      <c r="W309" s="648"/>
      <c r="X309" s="648"/>
      <c r="Y309" s="648"/>
      <c r="Z309" s="648"/>
      <c r="AA309" s="66"/>
      <c r="AB309" s="66"/>
      <c r="AC309" s="80"/>
    </row>
    <row r="310" spans="1:68" ht="27" hidden="1" customHeight="1" x14ac:dyDescent="0.25">
      <c r="A310" s="63" t="s">
        <v>522</v>
      </c>
      <c r="B310" s="63" t="s">
        <v>523</v>
      </c>
      <c r="C310" s="36">
        <v>4301041008</v>
      </c>
      <c r="D310" s="649">
        <v>4680115886681</v>
      </c>
      <c r="E310" s="649"/>
      <c r="F310" s="62">
        <v>0.12</v>
      </c>
      <c r="G310" s="37">
        <v>15</v>
      </c>
      <c r="H310" s="62">
        <v>1.8</v>
      </c>
      <c r="I310" s="62">
        <v>1.9750000000000001</v>
      </c>
      <c r="J310" s="37">
        <v>216</v>
      </c>
      <c r="K310" s="37" t="s">
        <v>335</v>
      </c>
      <c r="L310" s="37" t="s">
        <v>46</v>
      </c>
      <c r="M310" s="38" t="s">
        <v>101</v>
      </c>
      <c r="N310" s="38"/>
      <c r="O310" s="37">
        <v>90</v>
      </c>
      <c r="P310" s="7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51"/>
      <c r="R310" s="651"/>
      <c r="S310" s="651"/>
      <c r="T310" s="65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524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t="27" hidden="1" customHeight="1" x14ac:dyDescent="0.25">
      <c r="A311" s="63" t="s">
        <v>525</v>
      </c>
      <c r="B311" s="63" t="s">
        <v>526</v>
      </c>
      <c r="C311" s="36">
        <v>4301041007</v>
      </c>
      <c r="D311" s="649">
        <v>4680115886735</v>
      </c>
      <c r="E311" s="649"/>
      <c r="F311" s="62">
        <v>0.05</v>
      </c>
      <c r="G311" s="37">
        <v>18</v>
      </c>
      <c r="H311" s="62">
        <v>0.9</v>
      </c>
      <c r="I311" s="62">
        <v>1.0900000000000001</v>
      </c>
      <c r="J311" s="37">
        <v>216</v>
      </c>
      <c r="K311" s="37" t="s">
        <v>335</v>
      </c>
      <c r="L311" s="37" t="s">
        <v>46</v>
      </c>
      <c r="M311" s="38" t="s">
        <v>101</v>
      </c>
      <c r="N311" s="38"/>
      <c r="O311" s="37">
        <v>90</v>
      </c>
      <c r="P311" s="7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51"/>
      <c r="R311" s="651"/>
      <c r="S311" s="651"/>
      <c r="T311" s="65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0" t="s">
        <v>524</v>
      </c>
      <c r="AG311" s="78"/>
      <c r="AJ311" s="84" t="s">
        <v>46</v>
      </c>
      <c r="AK311" s="84">
        <v>0</v>
      </c>
      <c r="BB311" s="401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hidden="1" customHeight="1" x14ac:dyDescent="0.25">
      <c r="A312" s="63" t="s">
        <v>527</v>
      </c>
      <c r="B312" s="63" t="s">
        <v>528</v>
      </c>
      <c r="C312" s="36">
        <v>4301041006</v>
      </c>
      <c r="D312" s="649">
        <v>4680115886728</v>
      </c>
      <c r="E312" s="649"/>
      <c r="F312" s="62">
        <v>5.5E-2</v>
      </c>
      <c r="G312" s="37">
        <v>18</v>
      </c>
      <c r="H312" s="62">
        <v>0.99</v>
      </c>
      <c r="I312" s="62">
        <v>1.18</v>
      </c>
      <c r="J312" s="37">
        <v>216</v>
      </c>
      <c r="K312" s="37" t="s">
        <v>335</v>
      </c>
      <c r="L312" s="37" t="s">
        <v>46</v>
      </c>
      <c r="M312" s="38" t="s">
        <v>101</v>
      </c>
      <c r="N312" s="38"/>
      <c r="O312" s="37">
        <v>90</v>
      </c>
      <c r="P312" s="78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12" s="651"/>
      <c r="R312" s="651"/>
      <c r="S312" s="651"/>
      <c r="T312" s="652"/>
      <c r="U312" s="39" t="s">
        <v>46</v>
      </c>
      <c r="V312" s="39" t="s">
        <v>46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IFERROR(IF(Y312=0,"",ROUNDUP(Y312/H312,0)*0.0059),"")</f>
        <v/>
      </c>
      <c r="AA312" s="68" t="s">
        <v>46</v>
      </c>
      <c r="AB312" s="69" t="s">
        <v>46</v>
      </c>
      <c r="AC312" s="402" t="s">
        <v>524</v>
      </c>
      <c r="AG312" s="78"/>
      <c r="AJ312" s="84" t="s">
        <v>46</v>
      </c>
      <c r="AK312" s="84">
        <v>0</v>
      </c>
      <c r="BB312" s="403" t="s">
        <v>67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hidden="1" customHeight="1" x14ac:dyDescent="0.25">
      <c r="A313" s="63" t="s">
        <v>529</v>
      </c>
      <c r="B313" s="63" t="s">
        <v>530</v>
      </c>
      <c r="C313" s="36">
        <v>4301041005</v>
      </c>
      <c r="D313" s="649">
        <v>4680115886711</v>
      </c>
      <c r="E313" s="649"/>
      <c r="F313" s="62">
        <v>5.5E-2</v>
      </c>
      <c r="G313" s="37">
        <v>18</v>
      </c>
      <c r="H313" s="62">
        <v>0.99</v>
      </c>
      <c r="I313" s="62">
        <v>1.18</v>
      </c>
      <c r="J313" s="37">
        <v>216</v>
      </c>
      <c r="K313" s="37" t="s">
        <v>335</v>
      </c>
      <c r="L313" s="37" t="s">
        <v>46</v>
      </c>
      <c r="M313" s="38" t="s">
        <v>101</v>
      </c>
      <c r="N313" s="38"/>
      <c r="O313" s="37">
        <v>90</v>
      </c>
      <c r="P313" s="78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13" s="651"/>
      <c r="R313" s="651"/>
      <c r="S313" s="651"/>
      <c r="T313" s="652"/>
      <c r="U313" s="39" t="s">
        <v>46</v>
      </c>
      <c r="V313" s="39" t="s">
        <v>46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IFERROR(IF(Y313=0,"",ROUNDUP(Y313/H313,0)*0.0059),"")</f>
        <v/>
      </c>
      <c r="AA313" s="68" t="s">
        <v>46</v>
      </c>
      <c r="AB313" s="69" t="s">
        <v>46</v>
      </c>
      <c r="AC313" s="404" t="s">
        <v>524</v>
      </c>
      <c r="AG313" s="78"/>
      <c r="AJ313" s="84" t="s">
        <v>46</v>
      </c>
      <c r="AK313" s="84">
        <v>0</v>
      </c>
      <c r="BB313" s="405" t="s">
        <v>67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idden="1" x14ac:dyDescent="0.2">
      <c r="A314" s="656"/>
      <c r="B314" s="656"/>
      <c r="C314" s="656"/>
      <c r="D314" s="656"/>
      <c r="E314" s="656"/>
      <c r="F314" s="656"/>
      <c r="G314" s="656"/>
      <c r="H314" s="656"/>
      <c r="I314" s="656"/>
      <c r="J314" s="656"/>
      <c r="K314" s="656"/>
      <c r="L314" s="656"/>
      <c r="M314" s="656"/>
      <c r="N314" s="656"/>
      <c r="O314" s="657"/>
      <c r="P314" s="653" t="s">
        <v>40</v>
      </c>
      <c r="Q314" s="654"/>
      <c r="R314" s="654"/>
      <c r="S314" s="654"/>
      <c r="T314" s="654"/>
      <c r="U314" s="654"/>
      <c r="V314" s="655"/>
      <c r="W314" s="42" t="s">
        <v>39</v>
      </c>
      <c r="X314" s="43">
        <f>IFERROR(X310/H310,"0")+IFERROR(X311/H311,"0")+IFERROR(X312/H312,"0")+IFERROR(X313/H313,"0")</f>
        <v>0</v>
      </c>
      <c r="Y314" s="43">
        <f>IFERROR(Y310/H310,"0")+IFERROR(Y311/H311,"0")+IFERROR(Y312/H312,"0")+IFERROR(Y313/H313,"0")</f>
        <v>0</v>
      </c>
      <c r="Z314" s="43">
        <f>IFERROR(IF(Z310="",0,Z310),"0")+IFERROR(IF(Z311="",0,Z311),"0")+IFERROR(IF(Z312="",0,Z312),"0")+IFERROR(IF(Z313="",0,Z313),"0")</f>
        <v>0</v>
      </c>
      <c r="AA314" s="67"/>
      <c r="AB314" s="67"/>
      <c r="AC314" s="67"/>
    </row>
    <row r="315" spans="1:68" hidden="1" x14ac:dyDescent="0.2">
      <c r="A315" s="656"/>
      <c r="B315" s="656"/>
      <c r="C315" s="656"/>
      <c r="D315" s="656"/>
      <c r="E315" s="656"/>
      <c r="F315" s="656"/>
      <c r="G315" s="656"/>
      <c r="H315" s="656"/>
      <c r="I315" s="656"/>
      <c r="J315" s="656"/>
      <c r="K315" s="656"/>
      <c r="L315" s="656"/>
      <c r="M315" s="656"/>
      <c r="N315" s="656"/>
      <c r="O315" s="657"/>
      <c r="P315" s="653" t="s">
        <v>40</v>
      </c>
      <c r="Q315" s="654"/>
      <c r="R315" s="654"/>
      <c r="S315" s="654"/>
      <c r="T315" s="654"/>
      <c r="U315" s="654"/>
      <c r="V315" s="655"/>
      <c r="W315" s="42" t="s">
        <v>0</v>
      </c>
      <c r="X315" s="43">
        <f>IFERROR(SUM(X310:X313),"0")</f>
        <v>0</v>
      </c>
      <c r="Y315" s="43">
        <f>IFERROR(SUM(Y310:Y313),"0")</f>
        <v>0</v>
      </c>
      <c r="Z315" s="42"/>
      <c r="AA315" s="67"/>
      <c r="AB315" s="67"/>
      <c r="AC315" s="67"/>
    </row>
    <row r="316" spans="1:68" ht="16.5" hidden="1" customHeight="1" x14ac:dyDescent="0.25">
      <c r="A316" s="647" t="s">
        <v>531</v>
      </c>
      <c r="B316" s="647"/>
      <c r="C316" s="647"/>
      <c r="D316" s="647"/>
      <c r="E316" s="647"/>
      <c r="F316" s="647"/>
      <c r="G316" s="647"/>
      <c r="H316" s="647"/>
      <c r="I316" s="647"/>
      <c r="J316" s="647"/>
      <c r="K316" s="647"/>
      <c r="L316" s="647"/>
      <c r="M316" s="647"/>
      <c r="N316" s="647"/>
      <c r="O316" s="647"/>
      <c r="P316" s="647"/>
      <c r="Q316" s="647"/>
      <c r="R316" s="647"/>
      <c r="S316" s="647"/>
      <c r="T316" s="647"/>
      <c r="U316" s="647"/>
      <c r="V316" s="647"/>
      <c r="W316" s="647"/>
      <c r="X316" s="647"/>
      <c r="Y316" s="647"/>
      <c r="Z316" s="647"/>
      <c r="AA316" s="65"/>
      <c r="AB316" s="65"/>
      <c r="AC316" s="79"/>
    </row>
    <row r="317" spans="1:68" ht="14.25" hidden="1" customHeight="1" x14ac:dyDescent="0.25">
      <c r="A317" s="648" t="s">
        <v>124</v>
      </c>
      <c r="B317" s="648"/>
      <c r="C317" s="648"/>
      <c r="D317" s="648"/>
      <c r="E317" s="648"/>
      <c r="F317" s="648"/>
      <c r="G317" s="648"/>
      <c r="H317" s="648"/>
      <c r="I317" s="648"/>
      <c r="J317" s="648"/>
      <c r="K317" s="648"/>
      <c r="L317" s="648"/>
      <c r="M317" s="648"/>
      <c r="N317" s="648"/>
      <c r="O317" s="648"/>
      <c r="P317" s="648"/>
      <c r="Q317" s="648"/>
      <c r="R317" s="648"/>
      <c r="S317" s="648"/>
      <c r="T317" s="648"/>
      <c r="U317" s="648"/>
      <c r="V317" s="648"/>
      <c r="W317" s="648"/>
      <c r="X317" s="648"/>
      <c r="Y317" s="648"/>
      <c r="Z317" s="648"/>
      <c r="AA317" s="66"/>
      <c r="AB317" s="66"/>
      <c r="AC317" s="80"/>
    </row>
    <row r="318" spans="1:68" ht="27" hidden="1" customHeight="1" x14ac:dyDescent="0.25">
      <c r="A318" s="63" t="s">
        <v>532</v>
      </c>
      <c r="B318" s="63" t="s">
        <v>533</v>
      </c>
      <c r="C318" s="36">
        <v>4301012362</v>
      </c>
      <c r="D318" s="649">
        <v>4680115889507</v>
      </c>
      <c r="E318" s="64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129</v>
      </c>
      <c r="L318" s="37" t="s">
        <v>46</v>
      </c>
      <c r="M318" s="38" t="s">
        <v>128</v>
      </c>
      <c r="N318" s="38"/>
      <c r="O318" s="37">
        <v>55</v>
      </c>
      <c r="P318" s="784" t="str">
        <f>HYPERLINK("https://abi.ru/products/Охлажденные/Стародворье/Филедворская по-стародворски/Вареные колбасы/P005543/","Вареные колбасы «Докторская по-стародворски» Классическая Весовой п/а ТМ «Стародворье»")</f>
        <v>Вареные колбасы «Докторская по-стародворски» Классическая Весовой п/а ТМ «Стародворье»</v>
      </c>
      <c r="Q318" s="651"/>
      <c r="R318" s="651"/>
      <c r="S318" s="651"/>
      <c r="T318" s="652"/>
      <c r="U318" s="39" t="s">
        <v>46</v>
      </c>
      <c r="V318" s="39" t="s">
        <v>46</v>
      </c>
      <c r="W318" s="40" t="s">
        <v>0</v>
      </c>
      <c r="X318" s="58">
        <v>0</v>
      </c>
      <c r="Y318" s="55">
        <f t="shared" ref="Y318:Y325" si="46">IFERROR(IF(X318="",0,CEILING((X318/$H318),1)*$H318),"")</f>
        <v>0</v>
      </c>
      <c r="Z318" s="41" t="str">
        <f t="shared" ref="Z318:Z323" si="47">IFERROR(IF(Y318=0,"",ROUNDUP(Y318/H318,0)*0.01898),"")</f>
        <v/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ref="BM318:BM325" si="48">IFERROR(X318*I318/H318,"0")</f>
        <v>0</v>
      </c>
      <c r="BN318" s="78">
        <f t="shared" ref="BN318:BN325" si="49">IFERROR(Y318*I318/H318,"0")</f>
        <v>0</v>
      </c>
      <c r="BO318" s="78">
        <f t="shared" ref="BO318:BO325" si="50">IFERROR(1/J318*(X318/H318),"0")</f>
        <v>0</v>
      </c>
      <c r="BP318" s="78">
        <f t="shared" ref="BP318:BP325" si="51">IFERROR(1/J318*(Y318/H318),"0")</f>
        <v>0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4301011855</v>
      </c>
      <c r="D319" s="649">
        <v>4680115885837</v>
      </c>
      <c r="E319" s="649"/>
      <c r="F319" s="62">
        <v>1.35</v>
      </c>
      <c r="G319" s="37">
        <v>8</v>
      </c>
      <c r="H319" s="62">
        <v>10.8</v>
      </c>
      <c r="I319" s="62">
        <v>11.21</v>
      </c>
      <c r="J319" s="37">
        <v>64</v>
      </c>
      <c r="K319" s="37" t="s">
        <v>129</v>
      </c>
      <c r="L319" s="37" t="s">
        <v>46</v>
      </c>
      <c r="M319" s="38" t="s">
        <v>128</v>
      </c>
      <c r="N319" s="38"/>
      <c r="O319" s="37">
        <v>55</v>
      </c>
      <c r="P319" s="78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9" s="651"/>
      <c r="R319" s="651"/>
      <c r="S319" s="651"/>
      <c r="T319" s="65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 t="shared" si="47"/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8"/>
        <v>0</v>
      </c>
      <c r="BN319" s="78">
        <f t="shared" si="49"/>
        <v>0</v>
      </c>
      <c r="BO319" s="78">
        <f t="shared" si="50"/>
        <v>0</v>
      </c>
      <c r="BP319" s="78">
        <f t="shared" si="51"/>
        <v>0</v>
      </c>
    </row>
    <row r="320" spans="1:68" ht="27" hidden="1" customHeight="1" x14ac:dyDescent="0.25">
      <c r="A320" s="63" t="s">
        <v>538</v>
      </c>
      <c r="B320" s="63" t="s">
        <v>539</v>
      </c>
      <c r="C320" s="36">
        <v>4301012212</v>
      </c>
      <c r="D320" s="649">
        <v>4680115887077</v>
      </c>
      <c r="E320" s="649"/>
      <c r="F320" s="62">
        <v>1.35</v>
      </c>
      <c r="G320" s="37">
        <v>8</v>
      </c>
      <c r="H320" s="62">
        <v>10.8</v>
      </c>
      <c r="I320" s="62">
        <v>11.21</v>
      </c>
      <c r="J320" s="37">
        <v>64</v>
      </c>
      <c r="K320" s="37" t="s">
        <v>129</v>
      </c>
      <c r="L320" s="37" t="s">
        <v>46</v>
      </c>
      <c r="M320" s="38" t="s">
        <v>128</v>
      </c>
      <c r="N320" s="38"/>
      <c r="O320" s="37">
        <v>55</v>
      </c>
      <c r="P320" s="774" t="str">
        <f>HYPERLINK("https://abi.ru/products/Охлажденные/Стародворье/Филедворская по-стародворски/Вареные колбасы/P005075/","Вареные колбасы «Молочная» Весовой п/а ТМ «Стародворье»")</f>
        <v>Вареные колбасы «Молочная» Весовой п/а ТМ «Стародворье»</v>
      </c>
      <c r="Q320" s="651"/>
      <c r="R320" s="651"/>
      <c r="S320" s="651"/>
      <c r="T320" s="65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 t="shared" si="47"/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8"/>
        <v>0</v>
      </c>
      <c r="BN320" s="78">
        <f t="shared" si="49"/>
        <v>0</v>
      </c>
      <c r="BO320" s="78">
        <f t="shared" si="50"/>
        <v>0</v>
      </c>
      <c r="BP320" s="78">
        <f t="shared" si="51"/>
        <v>0</v>
      </c>
    </row>
    <row r="321" spans="1:68" ht="27" hidden="1" customHeight="1" x14ac:dyDescent="0.25">
      <c r="A321" s="63" t="s">
        <v>541</v>
      </c>
      <c r="B321" s="63" t="s">
        <v>542</v>
      </c>
      <c r="C321" s="36">
        <v>4301012390</v>
      </c>
      <c r="D321" s="649">
        <v>4680115889637</v>
      </c>
      <c r="E321" s="649"/>
      <c r="F321" s="62">
        <v>1.35</v>
      </c>
      <c r="G321" s="37">
        <v>8</v>
      </c>
      <c r="H321" s="62">
        <v>10.8</v>
      </c>
      <c r="I321" s="62">
        <v>11.21</v>
      </c>
      <c r="J321" s="37">
        <v>64</v>
      </c>
      <c r="K321" s="37" t="s">
        <v>129</v>
      </c>
      <c r="L321" s="37" t="s">
        <v>46</v>
      </c>
      <c r="M321" s="38" t="s">
        <v>128</v>
      </c>
      <c r="N321" s="38"/>
      <c r="O321" s="37">
        <v>55</v>
      </c>
      <c r="P321" s="7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1" s="651"/>
      <c r="R321" s="651"/>
      <c r="S321" s="651"/>
      <c r="T321" s="652"/>
      <c r="U321" s="39" t="s">
        <v>46</v>
      </c>
      <c r="V321" s="39" t="s">
        <v>46</v>
      </c>
      <c r="W321" s="40" t="s">
        <v>0</v>
      </c>
      <c r="X321" s="58">
        <v>0</v>
      </c>
      <c r="Y321" s="55">
        <f t="shared" si="46"/>
        <v>0</v>
      </c>
      <c r="Z321" s="41" t="str">
        <f t="shared" si="47"/>
        <v/>
      </c>
      <c r="AA321" s="68" t="s">
        <v>46</v>
      </c>
      <c r="AB321" s="69" t="s">
        <v>46</v>
      </c>
      <c r="AC321" s="412" t="s">
        <v>543</v>
      </c>
      <c r="AG321" s="78"/>
      <c r="AJ321" s="84" t="s">
        <v>46</v>
      </c>
      <c r="AK321" s="84">
        <v>0</v>
      </c>
      <c r="BB321" s="413" t="s">
        <v>67</v>
      </c>
      <c r="BM321" s="78">
        <f t="shared" si="48"/>
        <v>0</v>
      </c>
      <c r="BN321" s="78">
        <f t="shared" si="49"/>
        <v>0</v>
      </c>
      <c r="BO321" s="78">
        <f t="shared" si="50"/>
        <v>0</v>
      </c>
      <c r="BP321" s="78">
        <f t="shared" si="51"/>
        <v>0</v>
      </c>
    </row>
    <row r="322" spans="1:68" ht="37.5" hidden="1" customHeight="1" x14ac:dyDescent="0.25">
      <c r="A322" s="63" t="s">
        <v>544</v>
      </c>
      <c r="B322" s="63" t="s">
        <v>545</v>
      </c>
      <c r="C322" s="36">
        <v>4301012234</v>
      </c>
      <c r="D322" s="649">
        <v>4680115887237</v>
      </c>
      <c r="E322" s="649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129</v>
      </c>
      <c r="L322" s="37" t="s">
        <v>46</v>
      </c>
      <c r="M322" s="38" t="s">
        <v>128</v>
      </c>
      <c r="N322" s="38"/>
      <c r="O322" s="37">
        <v>55</v>
      </c>
      <c r="P322" s="77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2" s="651"/>
      <c r="R322" s="651"/>
      <c r="S322" s="651"/>
      <c r="T322" s="652"/>
      <c r="U322" s="39" t="s">
        <v>46</v>
      </c>
      <c r="V322" s="39" t="s">
        <v>46</v>
      </c>
      <c r="W322" s="40" t="s">
        <v>0</v>
      </c>
      <c r="X322" s="58">
        <v>0</v>
      </c>
      <c r="Y322" s="55">
        <f t="shared" si="46"/>
        <v>0</v>
      </c>
      <c r="Z322" s="41" t="str">
        <f t="shared" si="47"/>
        <v/>
      </c>
      <c r="AA322" s="68" t="s">
        <v>46</v>
      </c>
      <c r="AB322" s="69" t="s">
        <v>46</v>
      </c>
      <c r="AC322" s="414" t="s">
        <v>546</v>
      </c>
      <c r="AG322" s="78"/>
      <c r="AJ322" s="84" t="s">
        <v>46</v>
      </c>
      <c r="AK322" s="84">
        <v>0</v>
      </c>
      <c r="BB322" s="415" t="s">
        <v>67</v>
      </c>
      <c r="BM322" s="78">
        <f t="shared" si="48"/>
        <v>0</v>
      </c>
      <c r="BN322" s="78">
        <f t="shared" si="49"/>
        <v>0</v>
      </c>
      <c r="BO322" s="78">
        <f t="shared" si="50"/>
        <v>0</v>
      </c>
      <c r="BP322" s="78">
        <f t="shared" si="51"/>
        <v>0</v>
      </c>
    </row>
    <row r="323" spans="1:68" ht="27" hidden="1" customHeight="1" x14ac:dyDescent="0.25">
      <c r="A323" s="63" t="s">
        <v>547</v>
      </c>
      <c r="B323" s="63" t="s">
        <v>548</v>
      </c>
      <c r="C323" s="36">
        <v>4301011850</v>
      </c>
      <c r="D323" s="649">
        <v>4680115885806</v>
      </c>
      <c r="E323" s="649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129</v>
      </c>
      <c r="L323" s="37" t="s">
        <v>46</v>
      </c>
      <c r="M323" s="38" t="s">
        <v>128</v>
      </c>
      <c r="N323" s="38"/>
      <c r="O323" s="37">
        <v>55</v>
      </c>
      <c r="P323" s="7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3" s="651"/>
      <c r="R323" s="651"/>
      <c r="S323" s="651"/>
      <c r="T323" s="652"/>
      <c r="U323" s="39" t="s">
        <v>46</v>
      </c>
      <c r="V323" s="39" t="s">
        <v>46</v>
      </c>
      <c r="W323" s="40" t="s">
        <v>0</v>
      </c>
      <c r="X323" s="58">
        <v>0</v>
      </c>
      <c r="Y323" s="55">
        <f t="shared" si="46"/>
        <v>0</v>
      </c>
      <c r="Z323" s="41" t="str">
        <f t="shared" si="47"/>
        <v/>
      </c>
      <c r="AA323" s="68" t="s">
        <v>46</v>
      </c>
      <c r="AB323" s="69" t="s">
        <v>46</v>
      </c>
      <c r="AC323" s="416" t="s">
        <v>549</v>
      </c>
      <c r="AG323" s="78"/>
      <c r="AJ323" s="84" t="s">
        <v>46</v>
      </c>
      <c r="AK323" s="84">
        <v>0</v>
      </c>
      <c r="BB323" s="417" t="s">
        <v>67</v>
      </c>
      <c r="BM323" s="78">
        <f t="shared" si="48"/>
        <v>0</v>
      </c>
      <c r="BN323" s="78">
        <f t="shared" si="49"/>
        <v>0</v>
      </c>
      <c r="BO323" s="78">
        <f t="shared" si="50"/>
        <v>0</v>
      </c>
      <c r="BP323" s="78">
        <f t="shared" si="51"/>
        <v>0</v>
      </c>
    </row>
    <row r="324" spans="1:68" ht="27" hidden="1" customHeight="1" x14ac:dyDescent="0.25">
      <c r="A324" s="63" t="s">
        <v>550</v>
      </c>
      <c r="B324" s="63" t="s">
        <v>551</v>
      </c>
      <c r="C324" s="36">
        <v>4301011852</v>
      </c>
      <c r="D324" s="649">
        <v>4680115885844</v>
      </c>
      <c r="E324" s="649"/>
      <c r="F324" s="62">
        <v>0.4</v>
      </c>
      <c r="G324" s="37">
        <v>10</v>
      </c>
      <c r="H324" s="62">
        <v>4</v>
      </c>
      <c r="I324" s="62">
        <v>4.1900000000000004</v>
      </c>
      <c r="J324" s="37">
        <v>132</v>
      </c>
      <c r="K324" s="37" t="s">
        <v>137</v>
      </c>
      <c r="L324" s="37" t="s">
        <v>46</v>
      </c>
      <c r="M324" s="38" t="s">
        <v>128</v>
      </c>
      <c r="N324" s="38"/>
      <c r="O324" s="37">
        <v>55</v>
      </c>
      <c r="P324" s="7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4" s="651"/>
      <c r="R324" s="651"/>
      <c r="S324" s="651"/>
      <c r="T324" s="652"/>
      <c r="U324" s="39" t="s">
        <v>46</v>
      </c>
      <c r="V324" s="39" t="s">
        <v>46</v>
      </c>
      <c r="W324" s="40" t="s">
        <v>0</v>
      </c>
      <c r="X324" s="58">
        <v>0</v>
      </c>
      <c r="Y324" s="55">
        <f t="shared" si="46"/>
        <v>0</v>
      </c>
      <c r="Z324" s="41" t="str">
        <f>IFERROR(IF(Y324=0,"",ROUNDUP(Y324/H324,0)*0.00902),"")</f>
        <v/>
      </c>
      <c r="AA324" s="68" t="s">
        <v>46</v>
      </c>
      <c r="AB324" s="69" t="s">
        <v>46</v>
      </c>
      <c r="AC324" s="418" t="s">
        <v>552</v>
      </c>
      <c r="AG324" s="78"/>
      <c r="AJ324" s="84" t="s">
        <v>46</v>
      </c>
      <c r="AK324" s="84">
        <v>0</v>
      </c>
      <c r="BB324" s="419" t="s">
        <v>67</v>
      </c>
      <c r="BM324" s="78">
        <f t="shared" si="48"/>
        <v>0</v>
      </c>
      <c r="BN324" s="78">
        <f t="shared" si="49"/>
        <v>0</v>
      </c>
      <c r="BO324" s="78">
        <f t="shared" si="50"/>
        <v>0</v>
      </c>
      <c r="BP324" s="78">
        <f t="shared" si="51"/>
        <v>0</v>
      </c>
    </row>
    <row r="325" spans="1:68" ht="37.5" hidden="1" customHeight="1" x14ac:dyDescent="0.25">
      <c r="A325" s="63" t="s">
        <v>553</v>
      </c>
      <c r="B325" s="63" t="s">
        <v>554</v>
      </c>
      <c r="C325" s="36">
        <v>4301011851</v>
      </c>
      <c r="D325" s="649">
        <v>4680115885820</v>
      </c>
      <c r="E325" s="649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137</v>
      </c>
      <c r="L325" s="37" t="s">
        <v>46</v>
      </c>
      <c r="M325" s="38" t="s">
        <v>128</v>
      </c>
      <c r="N325" s="38"/>
      <c r="O325" s="37">
        <v>55</v>
      </c>
      <c r="P325" s="77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5" s="651"/>
      <c r="R325" s="651"/>
      <c r="S325" s="651"/>
      <c r="T325" s="652"/>
      <c r="U325" s="39" t="s">
        <v>46</v>
      </c>
      <c r="V325" s="39" t="s">
        <v>46</v>
      </c>
      <c r="W325" s="40" t="s">
        <v>0</v>
      </c>
      <c r="X325" s="58">
        <v>0</v>
      </c>
      <c r="Y325" s="55">
        <f t="shared" si="46"/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555</v>
      </c>
      <c r="AG325" s="78"/>
      <c r="AJ325" s="84" t="s">
        <v>46</v>
      </c>
      <c r="AK325" s="84">
        <v>0</v>
      </c>
      <c r="BB325" s="421" t="s">
        <v>67</v>
      </c>
      <c r="BM325" s="78">
        <f t="shared" si="48"/>
        <v>0</v>
      </c>
      <c r="BN325" s="78">
        <f t="shared" si="49"/>
        <v>0</v>
      </c>
      <c r="BO325" s="78">
        <f t="shared" si="50"/>
        <v>0</v>
      </c>
      <c r="BP325" s="78">
        <f t="shared" si="51"/>
        <v>0</v>
      </c>
    </row>
    <row r="326" spans="1:68" hidden="1" x14ac:dyDescent="0.2">
      <c r="A326" s="656"/>
      <c r="B326" s="656"/>
      <c r="C326" s="656"/>
      <c r="D326" s="656"/>
      <c r="E326" s="656"/>
      <c r="F326" s="656"/>
      <c r="G326" s="656"/>
      <c r="H326" s="656"/>
      <c r="I326" s="656"/>
      <c r="J326" s="656"/>
      <c r="K326" s="656"/>
      <c r="L326" s="656"/>
      <c r="M326" s="656"/>
      <c r="N326" s="656"/>
      <c r="O326" s="657"/>
      <c r="P326" s="653" t="s">
        <v>40</v>
      </c>
      <c r="Q326" s="654"/>
      <c r="R326" s="654"/>
      <c r="S326" s="654"/>
      <c r="T326" s="654"/>
      <c r="U326" s="654"/>
      <c r="V326" s="655"/>
      <c r="W326" s="42" t="s">
        <v>39</v>
      </c>
      <c r="X326" s="43">
        <f>IFERROR(X318/H318,"0")+IFERROR(X319/H319,"0")+IFERROR(X320/H320,"0")+IFERROR(X321/H321,"0")+IFERROR(X322/H322,"0")+IFERROR(X323/H323,"0")+IFERROR(X324/H324,"0")+IFERROR(X325/H325,"0")</f>
        <v>0</v>
      </c>
      <c r="Y326" s="43">
        <f>IFERROR(Y318/H318,"0")+IFERROR(Y319/H319,"0")+IFERROR(Y320/H320,"0")+IFERROR(Y321/H321,"0")+IFERROR(Y322/H322,"0")+IFERROR(Y323/H323,"0")+IFERROR(Y324/H324,"0")+IFERROR(Y325/H325,"0")</f>
        <v>0</v>
      </c>
      <c r="Z326" s="43">
        <f>IFERROR(IF(Z318="",0,Z318),"0")+IFERROR(IF(Z319="",0,Z319),"0")+IFERROR(IF(Z320="",0,Z320),"0")+IFERROR(IF(Z321="",0,Z321),"0")+IFERROR(IF(Z322="",0,Z322),"0")+IFERROR(IF(Z323="",0,Z323),"0")+IFERROR(IF(Z324="",0,Z324),"0")+IFERROR(IF(Z325="",0,Z325),"0")</f>
        <v>0</v>
      </c>
      <c r="AA326" s="67"/>
      <c r="AB326" s="67"/>
      <c r="AC326" s="67"/>
    </row>
    <row r="327" spans="1:68" hidden="1" x14ac:dyDescent="0.2">
      <c r="A327" s="656"/>
      <c r="B327" s="656"/>
      <c r="C327" s="656"/>
      <c r="D327" s="656"/>
      <c r="E327" s="656"/>
      <c r="F327" s="656"/>
      <c r="G327" s="656"/>
      <c r="H327" s="656"/>
      <c r="I327" s="656"/>
      <c r="J327" s="656"/>
      <c r="K327" s="656"/>
      <c r="L327" s="656"/>
      <c r="M327" s="656"/>
      <c r="N327" s="656"/>
      <c r="O327" s="657"/>
      <c r="P327" s="653" t="s">
        <v>40</v>
      </c>
      <c r="Q327" s="654"/>
      <c r="R327" s="654"/>
      <c r="S327" s="654"/>
      <c r="T327" s="654"/>
      <c r="U327" s="654"/>
      <c r="V327" s="655"/>
      <c r="W327" s="42" t="s">
        <v>0</v>
      </c>
      <c r="X327" s="43">
        <f>IFERROR(SUM(X318:X325),"0")</f>
        <v>0</v>
      </c>
      <c r="Y327" s="43">
        <f>IFERROR(SUM(Y318:Y325),"0")</f>
        <v>0</v>
      </c>
      <c r="Z327" s="42"/>
      <c r="AA327" s="67"/>
      <c r="AB327" s="67"/>
      <c r="AC327" s="67"/>
    </row>
    <row r="328" spans="1:68" ht="16.5" hidden="1" customHeight="1" x14ac:dyDescent="0.25">
      <c r="A328" s="647" t="s">
        <v>556</v>
      </c>
      <c r="B328" s="647"/>
      <c r="C328" s="647"/>
      <c r="D328" s="647"/>
      <c r="E328" s="647"/>
      <c r="F328" s="647"/>
      <c r="G328" s="647"/>
      <c r="H328" s="647"/>
      <c r="I328" s="647"/>
      <c r="J328" s="647"/>
      <c r="K328" s="647"/>
      <c r="L328" s="647"/>
      <c r="M328" s="647"/>
      <c r="N328" s="647"/>
      <c r="O328" s="647"/>
      <c r="P328" s="647"/>
      <c r="Q328" s="647"/>
      <c r="R328" s="647"/>
      <c r="S328" s="647"/>
      <c r="T328" s="647"/>
      <c r="U328" s="647"/>
      <c r="V328" s="647"/>
      <c r="W328" s="647"/>
      <c r="X328" s="647"/>
      <c r="Y328" s="647"/>
      <c r="Z328" s="647"/>
      <c r="AA328" s="65"/>
      <c r="AB328" s="65"/>
      <c r="AC328" s="79"/>
    </row>
    <row r="329" spans="1:68" ht="14.25" hidden="1" customHeight="1" x14ac:dyDescent="0.25">
      <c r="A329" s="648" t="s">
        <v>77</v>
      </c>
      <c r="B329" s="648"/>
      <c r="C329" s="648"/>
      <c r="D329" s="648"/>
      <c r="E329" s="648"/>
      <c r="F329" s="648"/>
      <c r="G329" s="648"/>
      <c r="H329" s="648"/>
      <c r="I329" s="648"/>
      <c r="J329" s="648"/>
      <c r="K329" s="648"/>
      <c r="L329" s="648"/>
      <c r="M329" s="648"/>
      <c r="N329" s="648"/>
      <c r="O329" s="648"/>
      <c r="P329" s="648"/>
      <c r="Q329" s="648"/>
      <c r="R329" s="648"/>
      <c r="S329" s="648"/>
      <c r="T329" s="648"/>
      <c r="U329" s="648"/>
      <c r="V329" s="648"/>
      <c r="W329" s="648"/>
      <c r="X329" s="648"/>
      <c r="Y329" s="648"/>
      <c r="Z329" s="648"/>
      <c r="AA329" s="66"/>
      <c r="AB329" s="66"/>
      <c r="AC329" s="80"/>
    </row>
    <row r="330" spans="1:68" ht="27" hidden="1" customHeight="1" x14ac:dyDescent="0.25">
      <c r="A330" s="63" t="s">
        <v>557</v>
      </c>
      <c r="B330" s="63" t="s">
        <v>558</v>
      </c>
      <c r="C330" s="36">
        <v>4301051893</v>
      </c>
      <c r="D330" s="649">
        <v>4680115886186</v>
      </c>
      <c r="E330" s="649"/>
      <c r="F330" s="62">
        <v>0.3</v>
      </c>
      <c r="G330" s="37">
        <v>6</v>
      </c>
      <c r="H330" s="62">
        <v>1.8</v>
      </c>
      <c r="I330" s="62">
        <v>1.98</v>
      </c>
      <c r="J330" s="37">
        <v>182</v>
      </c>
      <c r="K330" s="37" t="s">
        <v>82</v>
      </c>
      <c r="L330" s="37" t="s">
        <v>46</v>
      </c>
      <c r="M330" s="38" t="s">
        <v>81</v>
      </c>
      <c r="N330" s="38"/>
      <c r="O330" s="37">
        <v>45</v>
      </c>
      <c r="P330" s="76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0" s="651"/>
      <c r="R330" s="651"/>
      <c r="S330" s="651"/>
      <c r="T330" s="65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IFERROR(IF(Y330=0,"",ROUNDUP(Y330/H330,0)*0.00651),"")</f>
        <v/>
      </c>
      <c r="AA330" s="68" t="s">
        <v>46</v>
      </c>
      <c r="AB330" s="69" t="s">
        <v>46</v>
      </c>
      <c r="AC330" s="422" t="s">
        <v>559</v>
      </c>
      <c r="AG330" s="78"/>
      <c r="AJ330" s="84" t="s">
        <v>46</v>
      </c>
      <c r="AK330" s="84">
        <v>0</v>
      </c>
      <c r="BB330" s="423" t="s">
        <v>67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27" hidden="1" customHeight="1" x14ac:dyDescent="0.25">
      <c r="A331" s="63" t="s">
        <v>560</v>
      </c>
      <c r="B331" s="63" t="s">
        <v>561</v>
      </c>
      <c r="C331" s="36">
        <v>4301051795</v>
      </c>
      <c r="D331" s="649">
        <v>4680115881228</v>
      </c>
      <c r="E331" s="649"/>
      <c r="F331" s="62">
        <v>0.4</v>
      </c>
      <c r="G331" s="37">
        <v>6</v>
      </c>
      <c r="H331" s="62">
        <v>2.4</v>
      </c>
      <c r="I331" s="62">
        <v>2.6520000000000001</v>
      </c>
      <c r="J331" s="37">
        <v>182</v>
      </c>
      <c r="K331" s="37" t="s">
        <v>82</v>
      </c>
      <c r="L331" s="37" t="s">
        <v>46</v>
      </c>
      <c r="M331" s="38" t="s">
        <v>88</v>
      </c>
      <c r="N331" s="38"/>
      <c r="O331" s="37">
        <v>40</v>
      </c>
      <c r="P331" s="76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1" s="651"/>
      <c r="R331" s="651"/>
      <c r="S331" s="651"/>
      <c r="T331" s="652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562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563</v>
      </c>
      <c r="B332" s="63" t="s">
        <v>564</v>
      </c>
      <c r="C332" s="36">
        <v>4301051388</v>
      </c>
      <c r="D332" s="649">
        <v>4680115881211</v>
      </c>
      <c r="E332" s="649"/>
      <c r="F332" s="62">
        <v>0.4</v>
      </c>
      <c r="G332" s="37">
        <v>6</v>
      </c>
      <c r="H332" s="62">
        <v>2.4</v>
      </c>
      <c r="I332" s="62">
        <v>2.58</v>
      </c>
      <c r="J332" s="37">
        <v>182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2" s="651"/>
      <c r="R332" s="651"/>
      <c r="S332" s="651"/>
      <c r="T332" s="65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559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idden="1" x14ac:dyDescent="0.2">
      <c r="A333" s="656"/>
      <c r="B333" s="656"/>
      <c r="C333" s="656"/>
      <c r="D333" s="656"/>
      <c r="E333" s="656"/>
      <c r="F333" s="656"/>
      <c r="G333" s="656"/>
      <c r="H333" s="656"/>
      <c r="I333" s="656"/>
      <c r="J333" s="656"/>
      <c r="K333" s="656"/>
      <c r="L333" s="656"/>
      <c r="M333" s="656"/>
      <c r="N333" s="656"/>
      <c r="O333" s="657"/>
      <c r="P333" s="653" t="s">
        <v>40</v>
      </c>
      <c r="Q333" s="654"/>
      <c r="R333" s="654"/>
      <c r="S333" s="654"/>
      <c r="T333" s="654"/>
      <c r="U333" s="654"/>
      <c r="V333" s="655"/>
      <c r="W333" s="42" t="s">
        <v>39</v>
      </c>
      <c r="X333" s="43">
        <f>IFERROR(X330/H330,"0")+IFERROR(X331/H331,"0")+IFERROR(X332/H332,"0")</f>
        <v>0</v>
      </c>
      <c r="Y333" s="43">
        <f>IFERROR(Y330/H330,"0")+IFERROR(Y331/H331,"0")+IFERROR(Y332/H332,"0")</f>
        <v>0</v>
      </c>
      <c r="Z333" s="43">
        <f>IFERROR(IF(Z330="",0,Z330),"0")+IFERROR(IF(Z331="",0,Z331),"0")+IFERROR(IF(Z332="",0,Z332),"0")</f>
        <v>0</v>
      </c>
      <c r="AA333" s="67"/>
      <c r="AB333" s="67"/>
      <c r="AC333" s="67"/>
    </row>
    <row r="334" spans="1:68" hidden="1" x14ac:dyDescent="0.2">
      <c r="A334" s="656"/>
      <c r="B334" s="656"/>
      <c r="C334" s="656"/>
      <c r="D334" s="656"/>
      <c r="E334" s="656"/>
      <c r="F334" s="656"/>
      <c r="G334" s="656"/>
      <c r="H334" s="656"/>
      <c r="I334" s="656"/>
      <c r="J334" s="656"/>
      <c r="K334" s="656"/>
      <c r="L334" s="656"/>
      <c r="M334" s="656"/>
      <c r="N334" s="656"/>
      <c r="O334" s="657"/>
      <c r="P334" s="653" t="s">
        <v>40</v>
      </c>
      <c r="Q334" s="654"/>
      <c r="R334" s="654"/>
      <c r="S334" s="654"/>
      <c r="T334" s="654"/>
      <c r="U334" s="654"/>
      <c r="V334" s="655"/>
      <c r="W334" s="42" t="s">
        <v>0</v>
      </c>
      <c r="X334" s="43">
        <f>IFERROR(SUM(X330:X332),"0")</f>
        <v>0</v>
      </c>
      <c r="Y334" s="43">
        <f>IFERROR(SUM(Y330:Y332),"0")</f>
        <v>0</v>
      </c>
      <c r="Z334" s="42"/>
      <c r="AA334" s="67"/>
      <c r="AB334" s="67"/>
      <c r="AC334" s="67"/>
    </row>
    <row r="335" spans="1:68" ht="16.5" hidden="1" customHeight="1" x14ac:dyDescent="0.25">
      <c r="A335" s="647" t="s">
        <v>565</v>
      </c>
      <c r="B335" s="647"/>
      <c r="C335" s="647"/>
      <c r="D335" s="647"/>
      <c r="E335" s="647"/>
      <c r="F335" s="647"/>
      <c r="G335" s="647"/>
      <c r="H335" s="647"/>
      <c r="I335" s="647"/>
      <c r="J335" s="647"/>
      <c r="K335" s="647"/>
      <c r="L335" s="647"/>
      <c r="M335" s="647"/>
      <c r="N335" s="647"/>
      <c r="O335" s="647"/>
      <c r="P335" s="647"/>
      <c r="Q335" s="647"/>
      <c r="R335" s="647"/>
      <c r="S335" s="647"/>
      <c r="T335" s="647"/>
      <c r="U335" s="647"/>
      <c r="V335" s="647"/>
      <c r="W335" s="647"/>
      <c r="X335" s="647"/>
      <c r="Y335" s="647"/>
      <c r="Z335" s="647"/>
      <c r="AA335" s="65"/>
      <c r="AB335" s="65"/>
      <c r="AC335" s="79"/>
    </row>
    <row r="336" spans="1:68" ht="14.25" hidden="1" customHeight="1" x14ac:dyDescent="0.25">
      <c r="A336" s="648" t="s">
        <v>256</v>
      </c>
      <c r="B336" s="648"/>
      <c r="C336" s="648"/>
      <c r="D336" s="648"/>
      <c r="E336" s="648"/>
      <c r="F336" s="648"/>
      <c r="G336" s="648"/>
      <c r="H336" s="648"/>
      <c r="I336" s="648"/>
      <c r="J336" s="648"/>
      <c r="K336" s="648"/>
      <c r="L336" s="648"/>
      <c r="M336" s="648"/>
      <c r="N336" s="648"/>
      <c r="O336" s="648"/>
      <c r="P336" s="648"/>
      <c r="Q336" s="648"/>
      <c r="R336" s="648"/>
      <c r="S336" s="648"/>
      <c r="T336" s="648"/>
      <c r="U336" s="648"/>
      <c r="V336" s="648"/>
      <c r="W336" s="648"/>
      <c r="X336" s="648"/>
      <c r="Y336" s="648"/>
      <c r="Z336" s="648"/>
      <c r="AA336" s="66"/>
      <c r="AB336" s="66"/>
      <c r="AC336" s="80"/>
    </row>
    <row r="337" spans="1:68" ht="27" hidden="1" customHeight="1" x14ac:dyDescent="0.25">
      <c r="A337" s="63" t="s">
        <v>566</v>
      </c>
      <c r="B337" s="63" t="s">
        <v>567</v>
      </c>
      <c r="C337" s="36">
        <v>4301031445</v>
      </c>
      <c r="D337" s="649">
        <v>4680115888319</v>
      </c>
      <c r="E337" s="649"/>
      <c r="F337" s="62">
        <v>0.35</v>
      </c>
      <c r="G337" s="37">
        <v>6</v>
      </c>
      <c r="H337" s="62">
        <v>2.1</v>
      </c>
      <c r="I337" s="62">
        <v>2.23</v>
      </c>
      <c r="J337" s="37">
        <v>234</v>
      </c>
      <c r="K337" s="37" t="s">
        <v>234</v>
      </c>
      <c r="L337" s="37" t="s">
        <v>46</v>
      </c>
      <c r="M337" s="38" t="s">
        <v>133</v>
      </c>
      <c r="N337" s="38"/>
      <c r="O337" s="37">
        <v>45</v>
      </c>
      <c r="P337" s="77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7" s="651"/>
      <c r="R337" s="651"/>
      <c r="S337" s="651"/>
      <c r="T337" s="65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IFERROR(IF(Y337=0,"",ROUNDUP(Y337/H337,0)*0.00502),"")</f>
        <v/>
      </c>
      <c r="AA337" s="68" t="s">
        <v>46</v>
      </c>
      <c r="AB337" s="69" t="s">
        <v>46</v>
      </c>
      <c r="AC337" s="428" t="s">
        <v>568</v>
      </c>
      <c r="AG337" s="78"/>
      <c r="AJ337" s="84" t="s">
        <v>46</v>
      </c>
      <c r="AK337" s="84">
        <v>0</v>
      </c>
      <c r="BB337" s="429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27" hidden="1" customHeight="1" x14ac:dyDescent="0.25">
      <c r="A338" s="63" t="s">
        <v>569</v>
      </c>
      <c r="B338" s="63" t="s">
        <v>570</v>
      </c>
      <c r="C338" s="36">
        <v>4301031502</v>
      </c>
      <c r="D338" s="649">
        <v>4680115884700</v>
      </c>
      <c r="E338" s="649"/>
      <c r="F338" s="62">
        <v>0.57999999999999996</v>
      </c>
      <c r="G338" s="37">
        <v>4</v>
      </c>
      <c r="H338" s="62">
        <v>2.3199999999999998</v>
      </c>
      <c r="I338" s="62">
        <v>2.42</v>
      </c>
      <c r="J338" s="37">
        <v>234</v>
      </c>
      <c r="K338" s="37" t="s">
        <v>234</v>
      </c>
      <c r="L338" s="37" t="s">
        <v>46</v>
      </c>
      <c r="M338" s="38" t="s">
        <v>133</v>
      </c>
      <c r="N338" s="38"/>
      <c r="O338" s="37">
        <v>40</v>
      </c>
      <c r="P338" s="77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8" s="651"/>
      <c r="R338" s="651"/>
      <c r="S338" s="651"/>
      <c r="T338" s="652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571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572</v>
      </c>
      <c r="B339" s="63" t="s">
        <v>573</v>
      </c>
      <c r="C339" s="36">
        <v>4301031307</v>
      </c>
      <c r="D339" s="649">
        <v>4680115880344</v>
      </c>
      <c r="E339" s="649"/>
      <c r="F339" s="62">
        <v>0.28000000000000003</v>
      </c>
      <c r="G339" s="37">
        <v>6</v>
      </c>
      <c r="H339" s="62">
        <v>1.68</v>
      </c>
      <c r="I339" s="62">
        <v>1.78</v>
      </c>
      <c r="J339" s="37">
        <v>234</v>
      </c>
      <c r="K339" s="37" t="s">
        <v>234</v>
      </c>
      <c r="L339" s="37" t="s">
        <v>46</v>
      </c>
      <c r="M339" s="38" t="s">
        <v>133</v>
      </c>
      <c r="N339" s="38"/>
      <c r="O339" s="37">
        <v>40</v>
      </c>
      <c r="P339" s="77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9" s="651"/>
      <c r="R339" s="651"/>
      <c r="S339" s="651"/>
      <c r="T339" s="65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574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575</v>
      </c>
      <c r="B340" s="63" t="s">
        <v>576</v>
      </c>
      <c r="C340" s="36">
        <v>4301031501</v>
      </c>
      <c r="D340" s="649">
        <v>4680115886919</v>
      </c>
      <c r="E340" s="649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82</v>
      </c>
      <c r="L340" s="37" t="s">
        <v>46</v>
      </c>
      <c r="M340" s="38" t="s">
        <v>133</v>
      </c>
      <c r="N340" s="38"/>
      <c r="O340" s="37">
        <v>40</v>
      </c>
      <c r="P340" s="76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0" s="651"/>
      <c r="R340" s="651"/>
      <c r="S340" s="651"/>
      <c r="T340" s="65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34" t="s">
        <v>577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656"/>
      <c r="B341" s="656"/>
      <c r="C341" s="656"/>
      <c r="D341" s="656"/>
      <c r="E341" s="656"/>
      <c r="F341" s="656"/>
      <c r="G341" s="656"/>
      <c r="H341" s="656"/>
      <c r="I341" s="656"/>
      <c r="J341" s="656"/>
      <c r="K341" s="656"/>
      <c r="L341" s="656"/>
      <c r="M341" s="656"/>
      <c r="N341" s="656"/>
      <c r="O341" s="657"/>
      <c r="P341" s="653" t="s">
        <v>40</v>
      </c>
      <c r="Q341" s="654"/>
      <c r="R341" s="654"/>
      <c r="S341" s="654"/>
      <c r="T341" s="654"/>
      <c r="U341" s="654"/>
      <c r="V341" s="655"/>
      <c r="W341" s="42" t="s">
        <v>39</v>
      </c>
      <c r="X341" s="43">
        <f>IFERROR(X337/H337,"0")+IFERROR(X338/H338,"0")+IFERROR(X339/H339,"0")+IFERROR(X340/H340,"0")</f>
        <v>0</v>
      </c>
      <c r="Y341" s="43">
        <f>IFERROR(Y337/H337,"0")+IFERROR(Y338/H338,"0")+IFERROR(Y339/H339,"0")+IFERROR(Y340/H340,"0")</f>
        <v>0</v>
      </c>
      <c r="Z341" s="43">
        <f>IFERROR(IF(Z337="",0,Z337),"0")+IFERROR(IF(Z338="",0,Z338),"0")+IFERROR(IF(Z339="",0,Z339),"0")+IFERROR(IF(Z340="",0,Z340),"0")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656"/>
      <c r="B342" s="656"/>
      <c r="C342" s="656"/>
      <c r="D342" s="656"/>
      <c r="E342" s="656"/>
      <c r="F342" s="656"/>
      <c r="G342" s="656"/>
      <c r="H342" s="656"/>
      <c r="I342" s="656"/>
      <c r="J342" s="656"/>
      <c r="K342" s="656"/>
      <c r="L342" s="656"/>
      <c r="M342" s="656"/>
      <c r="N342" s="656"/>
      <c r="O342" s="657"/>
      <c r="P342" s="653" t="s">
        <v>40</v>
      </c>
      <c r="Q342" s="654"/>
      <c r="R342" s="654"/>
      <c r="S342" s="654"/>
      <c r="T342" s="654"/>
      <c r="U342" s="654"/>
      <c r="V342" s="655"/>
      <c r="W342" s="42" t="s">
        <v>0</v>
      </c>
      <c r="X342" s="43">
        <f>IFERROR(SUM(X337:X340),"0")</f>
        <v>0</v>
      </c>
      <c r="Y342" s="43">
        <f>IFERROR(SUM(Y337:Y340),"0")</f>
        <v>0</v>
      </c>
      <c r="Z342" s="42"/>
      <c r="AA342" s="67"/>
      <c r="AB342" s="67"/>
      <c r="AC342" s="67"/>
    </row>
    <row r="343" spans="1:68" ht="14.25" hidden="1" customHeight="1" x14ac:dyDescent="0.25">
      <c r="A343" s="648" t="s">
        <v>77</v>
      </c>
      <c r="B343" s="648"/>
      <c r="C343" s="648"/>
      <c r="D343" s="648"/>
      <c r="E343" s="648"/>
      <c r="F343" s="648"/>
      <c r="G343" s="648"/>
      <c r="H343" s="648"/>
      <c r="I343" s="648"/>
      <c r="J343" s="648"/>
      <c r="K343" s="648"/>
      <c r="L343" s="648"/>
      <c r="M343" s="648"/>
      <c r="N343" s="648"/>
      <c r="O343" s="648"/>
      <c r="P343" s="648"/>
      <c r="Q343" s="648"/>
      <c r="R343" s="648"/>
      <c r="S343" s="648"/>
      <c r="T343" s="648"/>
      <c r="U343" s="648"/>
      <c r="V343" s="648"/>
      <c r="W343" s="648"/>
      <c r="X343" s="648"/>
      <c r="Y343" s="648"/>
      <c r="Z343" s="648"/>
      <c r="AA343" s="66"/>
      <c r="AB343" s="66"/>
      <c r="AC343" s="80"/>
    </row>
    <row r="344" spans="1:68" ht="27" hidden="1" customHeight="1" x14ac:dyDescent="0.25">
      <c r="A344" s="63" t="s">
        <v>578</v>
      </c>
      <c r="B344" s="63" t="s">
        <v>579</v>
      </c>
      <c r="C344" s="36">
        <v>4301051782</v>
      </c>
      <c r="D344" s="649">
        <v>4680115884618</v>
      </c>
      <c r="E344" s="649"/>
      <c r="F344" s="62">
        <v>0.6</v>
      </c>
      <c r="G344" s="37">
        <v>6</v>
      </c>
      <c r="H344" s="62">
        <v>3.6</v>
      </c>
      <c r="I344" s="62">
        <v>3.79</v>
      </c>
      <c r="J344" s="37">
        <v>132</v>
      </c>
      <c r="K344" s="37" t="s">
        <v>137</v>
      </c>
      <c r="L344" s="37" t="s">
        <v>46</v>
      </c>
      <c r="M344" s="38" t="s">
        <v>81</v>
      </c>
      <c r="N344" s="38"/>
      <c r="O344" s="37">
        <v>45</v>
      </c>
      <c r="P344" s="76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4" s="651"/>
      <c r="R344" s="651"/>
      <c r="S344" s="651"/>
      <c r="T344" s="65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4301052057</v>
      </c>
      <c r="D345" s="649">
        <v>4680115887114</v>
      </c>
      <c r="E345" s="649"/>
      <c r="F345" s="62">
        <v>0.55000000000000004</v>
      </c>
      <c r="G345" s="37">
        <v>6</v>
      </c>
      <c r="H345" s="62">
        <v>3.3</v>
      </c>
      <c r="I345" s="62">
        <v>3.49</v>
      </c>
      <c r="J345" s="37">
        <v>132</v>
      </c>
      <c r="K345" s="37" t="s">
        <v>137</v>
      </c>
      <c r="L345" s="37" t="s">
        <v>46</v>
      </c>
      <c r="M345" s="38" t="s">
        <v>81</v>
      </c>
      <c r="N345" s="38"/>
      <c r="O345" s="37">
        <v>45</v>
      </c>
      <c r="P345" s="7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5" s="651"/>
      <c r="R345" s="651"/>
      <c r="S345" s="651"/>
      <c r="T345" s="65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IFERROR(IF(Y345=0,"",ROUNDUP(Y345/H345,0)*0.00902),"")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37.5" hidden="1" customHeight="1" x14ac:dyDescent="0.25">
      <c r="A346" s="63" t="s">
        <v>584</v>
      </c>
      <c r="B346" s="63" t="s">
        <v>585</v>
      </c>
      <c r="C346" s="36">
        <v>4301052066</v>
      </c>
      <c r="D346" s="649">
        <v>4680115887466</v>
      </c>
      <c r="E346" s="649"/>
      <c r="F346" s="62">
        <v>0.7</v>
      </c>
      <c r="G346" s="37">
        <v>6</v>
      </c>
      <c r="H346" s="62">
        <v>4.2</v>
      </c>
      <c r="I346" s="62">
        <v>4.6159999999999997</v>
      </c>
      <c r="J346" s="37">
        <v>104</v>
      </c>
      <c r="K346" s="37" t="s">
        <v>129</v>
      </c>
      <c r="L346" s="37" t="s">
        <v>46</v>
      </c>
      <c r="M346" s="38" t="s">
        <v>81</v>
      </c>
      <c r="N346" s="38"/>
      <c r="O346" s="37">
        <v>45</v>
      </c>
      <c r="P346" s="767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6" s="651"/>
      <c r="R346" s="651"/>
      <c r="S346" s="651"/>
      <c r="T346" s="65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IFERROR(IF(Y346=0,"",ROUNDUP(Y346/H346,0)*0.01196),"")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656"/>
      <c r="B347" s="656"/>
      <c r="C347" s="656"/>
      <c r="D347" s="656"/>
      <c r="E347" s="656"/>
      <c r="F347" s="656"/>
      <c r="G347" s="656"/>
      <c r="H347" s="656"/>
      <c r="I347" s="656"/>
      <c r="J347" s="656"/>
      <c r="K347" s="656"/>
      <c r="L347" s="656"/>
      <c r="M347" s="656"/>
      <c r="N347" s="656"/>
      <c r="O347" s="657"/>
      <c r="P347" s="653" t="s">
        <v>40</v>
      </c>
      <c r="Q347" s="654"/>
      <c r="R347" s="654"/>
      <c r="S347" s="654"/>
      <c r="T347" s="654"/>
      <c r="U347" s="654"/>
      <c r="V347" s="655"/>
      <c r="W347" s="42" t="s">
        <v>39</v>
      </c>
      <c r="X347" s="43">
        <f>IFERROR(X344/H344,"0")+IFERROR(X345/H345,"0")+IFERROR(X346/H346,"0")</f>
        <v>0</v>
      </c>
      <c r="Y347" s="43">
        <f>IFERROR(Y344/H344,"0")+IFERROR(Y345/H345,"0")+IFERROR(Y346/H346,"0")</f>
        <v>0</v>
      </c>
      <c r="Z347" s="43">
        <f>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656"/>
      <c r="B348" s="656"/>
      <c r="C348" s="656"/>
      <c r="D348" s="656"/>
      <c r="E348" s="656"/>
      <c r="F348" s="656"/>
      <c r="G348" s="656"/>
      <c r="H348" s="656"/>
      <c r="I348" s="656"/>
      <c r="J348" s="656"/>
      <c r="K348" s="656"/>
      <c r="L348" s="656"/>
      <c r="M348" s="656"/>
      <c r="N348" s="656"/>
      <c r="O348" s="657"/>
      <c r="P348" s="653" t="s">
        <v>40</v>
      </c>
      <c r="Q348" s="654"/>
      <c r="R348" s="654"/>
      <c r="S348" s="654"/>
      <c r="T348" s="654"/>
      <c r="U348" s="654"/>
      <c r="V348" s="655"/>
      <c r="W348" s="42" t="s">
        <v>0</v>
      </c>
      <c r="X348" s="43">
        <f>IFERROR(SUM(X344:X346),"0")</f>
        <v>0</v>
      </c>
      <c r="Y348" s="43">
        <f>IFERROR(SUM(Y344:Y346),"0")</f>
        <v>0</v>
      </c>
      <c r="Z348" s="42"/>
      <c r="AA348" s="67"/>
      <c r="AB348" s="67"/>
      <c r="AC348" s="67"/>
    </row>
    <row r="349" spans="1:68" ht="16.5" hidden="1" customHeight="1" x14ac:dyDescent="0.25">
      <c r="A349" s="647" t="s">
        <v>587</v>
      </c>
      <c r="B349" s="647"/>
      <c r="C349" s="647"/>
      <c r="D349" s="647"/>
      <c r="E349" s="647"/>
      <c r="F349" s="647"/>
      <c r="G349" s="647"/>
      <c r="H349" s="647"/>
      <c r="I349" s="647"/>
      <c r="J349" s="647"/>
      <c r="K349" s="647"/>
      <c r="L349" s="647"/>
      <c r="M349" s="647"/>
      <c r="N349" s="647"/>
      <c r="O349" s="647"/>
      <c r="P349" s="647"/>
      <c r="Q349" s="647"/>
      <c r="R349" s="647"/>
      <c r="S349" s="647"/>
      <c r="T349" s="647"/>
      <c r="U349" s="647"/>
      <c r="V349" s="647"/>
      <c r="W349" s="647"/>
      <c r="X349" s="647"/>
      <c r="Y349" s="647"/>
      <c r="Z349" s="647"/>
      <c r="AA349" s="65"/>
      <c r="AB349" s="65"/>
      <c r="AC349" s="79"/>
    </row>
    <row r="350" spans="1:68" ht="14.25" hidden="1" customHeight="1" x14ac:dyDescent="0.25">
      <c r="A350" s="648" t="s">
        <v>256</v>
      </c>
      <c r="B350" s="648"/>
      <c r="C350" s="648"/>
      <c r="D350" s="648"/>
      <c r="E350" s="648"/>
      <c r="F350" s="648"/>
      <c r="G350" s="648"/>
      <c r="H350" s="648"/>
      <c r="I350" s="648"/>
      <c r="J350" s="648"/>
      <c r="K350" s="648"/>
      <c r="L350" s="648"/>
      <c r="M350" s="648"/>
      <c r="N350" s="648"/>
      <c r="O350" s="648"/>
      <c r="P350" s="648"/>
      <c r="Q350" s="648"/>
      <c r="R350" s="648"/>
      <c r="S350" s="648"/>
      <c r="T350" s="648"/>
      <c r="U350" s="648"/>
      <c r="V350" s="648"/>
      <c r="W350" s="648"/>
      <c r="X350" s="648"/>
      <c r="Y350" s="648"/>
      <c r="Z350" s="648"/>
      <c r="AA350" s="66"/>
      <c r="AB350" s="66"/>
      <c r="AC350" s="80"/>
    </row>
    <row r="351" spans="1:68" ht="37.5" hidden="1" customHeight="1" x14ac:dyDescent="0.25">
      <c r="A351" s="63" t="s">
        <v>588</v>
      </c>
      <c r="B351" s="63" t="s">
        <v>589</v>
      </c>
      <c r="C351" s="36">
        <v>4301031283</v>
      </c>
      <c r="D351" s="649">
        <v>4680115886001</v>
      </c>
      <c r="E351" s="649"/>
      <c r="F351" s="62">
        <v>0.73</v>
      </c>
      <c r="G351" s="37">
        <v>6</v>
      </c>
      <c r="H351" s="62">
        <v>4.38</v>
      </c>
      <c r="I351" s="62">
        <v>4.57</v>
      </c>
      <c r="J351" s="37">
        <v>132</v>
      </c>
      <c r="K351" s="37" t="s">
        <v>137</v>
      </c>
      <c r="L351" s="37" t="s">
        <v>46</v>
      </c>
      <c r="M351" s="38" t="s">
        <v>133</v>
      </c>
      <c r="N351" s="38"/>
      <c r="O351" s="37">
        <v>45</v>
      </c>
      <c r="P351" s="760" t="str">
        <f>HYPERLINK("https://abi.ru/products/Охлажденные/Стародворье/Добродворская/Копченые колбасы/P003870/","Копченые колбасы «Сервелат Добродворский» Фикс.вес 0,73 фиброуз ТМ «Стародворье»")</f>
        <v>Копченые колбасы «Сервелат Добродворский» Фикс.вес 0,73 фиброуз ТМ «Стародворье»</v>
      </c>
      <c r="Q351" s="651"/>
      <c r="R351" s="651"/>
      <c r="S351" s="651"/>
      <c r="T351" s="65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2" t="s">
        <v>590</v>
      </c>
      <c r="AG351" s="78"/>
      <c r="AJ351" s="84" t="s">
        <v>46</v>
      </c>
      <c r="AK351" s="84">
        <v>0</v>
      </c>
      <c r="BB351" s="443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656"/>
      <c r="B352" s="656"/>
      <c r="C352" s="656"/>
      <c r="D352" s="656"/>
      <c r="E352" s="656"/>
      <c r="F352" s="656"/>
      <c r="G352" s="656"/>
      <c r="H352" s="656"/>
      <c r="I352" s="656"/>
      <c r="J352" s="656"/>
      <c r="K352" s="656"/>
      <c r="L352" s="656"/>
      <c r="M352" s="656"/>
      <c r="N352" s="656"/>
      <c r="O352" s="657"/>
      <c r="P352" s="653" t="s">
        <v>40</v>
      </c>
      <c r="Q352" s="654"/>
      <c r="R352" s="654"/>
      <c r="S352" s="654"/>
      <c r="T352" s="654"/>
      <c r="U352" s="654"/>
      <c r="V352" s="655"/>
      <c r="W352" s="42" t="s">
        <v>39</v>
      </c>
      <c r="X352" s="43">
        <f>IFERROR(X351/H351,"0")</f>
        <v>0</v>
      </c>
      <c r="Y352" s="43">
        <f>IFERROR(Y351/H351,"0")</f>
        <v>0</v>
      </c>
      <c r="Z352" s="43">
        <f>IFERROR(IF(Z351="",0,Z351),"0")</f>
        <v>0</v>
      </c>
      <c r="AA352" s="67"/>
      <c r="AB352" s="67"/>
      <c r="AC352" s="67"/>
    </row>
    <row r="353" spans="1:68" hidden="1" x14ac:dyDescent="0.2">
      <c r="A353" s="656"/>
      <c r="B353" s="656"/>
      <c r="C353" s="656"/>
      <c r="D353" s="656"/>
      <c r="E353" s="656"/>
      <c r="F353" s="656"/>
      <c r="G353" s="656"/>
      <c r="H353" s="656"/>
      <c r="I353" s="656"/>
      <c r="J353" s="656"/>
      <c r="K353" s="656"/>
      <c r="L353" s="656"/>
      <c r="M353" s="656"/>
      <c r="N353" s="656"/>
      <c r="O353" s="657"/>
      <c r="P353" s="653" t="s">
        <v>40</v>
      </c>
      <c r="Q353" s="654"/>
      <c r="R353" s="654"/>
      <c r="S353" s="654"/>
      <c r="T353" s="654"/>
      <c r="U353" s="654"/>
      <c r="V353" s="655"/>
      <c r="W353" s="42" t="s">
        <v>0</v>
      </c>
      <c r="X353" s="43">
        <f>IFERROR(SUM(X351:X351),"0")</f>
        <v>0</v>
      </c>
      <c r="Y353" s="43">
        <f>IFERROR(SUM(Y351:Y351),"0")</f>
        <v>0</v>
      </c>
      <c r="Z353" s="42"/>
      <c r="AA353" s="67"/>
      <c r="AB353" s="67"/>
      <c r="AC353" s="67"/>
    </row>
    <row r="354" spans="1:68" ht="14.25" hidden="1" customHeight="1" x14ac:dyDescent="0.25">
      <c r="A354" s="648" t="s">
        <v>77</v>
      </c>
      <c r="B354" s="648"/>
      <c r="C354" s="648"/>
      <c r="D354" s="648"/>
      <c r="E354" s="648"/>
      <c r="F354" s="648"/>
      <c r="G354" s="648"/>
      <c r="H354" s="648"/>
      <c r="I354" s="648"/>
      <c r="J354" s="648"/>
      <c r="K354" s="648"/>
      <c r="L354" s="648"/>
      <c r="M354" s="648"/>
      <c r="N354" s="648"/>
      <c r="O354" s="648"/>
      <c r="P354" s="648"/>
      <c r="Q354" s="648"/>
      <c r="R354" s="648"/>
      <c r="S354" s="648"/>
      <c r="T354" s="648"/>
      <c r="U354" s="648"/>
      <c r="V354" s="648"/>
      <c r="W354" s="648"/>
      <c r="X354" s="648"/>
      <c r="Y354" s="648"/>
      <c r="Z354" s="648"/>
      <c r="AA354" s="66"/>
      <c r="AB354" s="66"/>
      <c r="AC354" s="80"/>
    </row>
    <row r="355" spans="1:68" ht="27" hidden="1" customHeight="1" x14ac:dyDescent="0.25">
      <c r="A355" s="63" t="s">
        <v>591</v>
      </c>
      <c r="B355" s="63" t="s">
        <v>592</v>
      </c>
      <c r="C355" s="36">
        <v>4301051597</v>
      </c>
      <c r="D355" s="649">
        <v>4680115886087</v>
      </c>
      <c r="E355" s="649"/>
      <c r="F355" s="62">
        <v>1</v>
      </c>
      <c r="G355" s="37">
        <v>8</v>
      </c>
      <c r="H355" s="62">
        <v>8</v>
      </c>
      <c r="I355" s="62">
        <v>8.41</v>
      </c>
      <c r="J355" s="37">
        <v>64</v>
      </c>
      <c r="K355" s="37" t="s">
        <v>129</v>
      </c>
      <c r="L355" s="37" t="s">
        <v>46</v>
      </c>
      <c r="M355" s="38" t="s">
        <v>81</v>
      </c>
      <c r="N355" s="38"/>
      <c r="O355" s="37">
        <v>45</v>
      </c>
      <c r="P355" s="761" t="str">
        <f>HYPERLINK("https://abi.ru/products/Охлажденные/Стародворье/Добродворская/Сосиски/P003853/","Сосиски «Добродворские с куриной грудкой» Фикс.вес 1 п/а ТМ «Стародворье»")</f>
        <v>Сосиски «Добродворские с куриной грудкой» Фикс.вес 1 п/а ТМ «Стародворье»</v>
      </c>
      <c r="Q355" s="651"/>
      <c r="R355" s="651"/>
      <c r="S355" s="651"/>
      <c r="T355" s="652"/>
      <c r="U355" s="39" t="s">
        <v>46</v>
      </c>
      <c r="V355" s="39" t="s">
        <v>46</v>
      </c>
      <c r="W355" s="40" t="s">
        <v>0</v>
      </c>
      <c r="X355" s="58">
        <v>0</v>
      </c>
      <c r="Y355" s="55">
        <f>IFERROR(IF(X355="",0,CEILING((X355/$H355),1)*$H355),"")</f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4" t="s">
        <v>593</v>
      </c>
      <c r="AG355" s="78"/>
      <c r="AJ355" s="84" t="s">
        <v>46</v>
      </c>
      <c r="AK355" s="84">
        <v>0</v>
      </c>
      <c r="BB355" s="445" t="s">
        <v>67</v>
      </c>
      <c r="BM355" s="78">
        <f>IFERROR(X355*I355/H355,"0")</f>
        <v>0</v>
      </c>
      <c r="BN355" s="78">
        <f>IFERROR(Y355*I355/H355,"0")</f>
        <v>0</v>
      </c>
      <c r="BO355" s="78">
        <f>IFERROR(1/J355*(X355/H355),"0")</f>
        <v>0</v>
      </c>
      <c r="BP355" s="78">
        <f>IFERROR(1/J355*(Y355/H355),"0")</f>
        <v>0</v>
      </c>
    </row>
    <row r="356" spans="1:68" hidden="1" x14ac:dyDescent="0.2">
      <c r="A356" s="656"/>
      <c r="B356" s="656"/>
      <c r="C356" s="656"/>
      <c r="D356" s="656"/>
      <c r="E356" s="656"/>
      <c r="F356" s="656"/>
      <c r="G356" s="656"/>
      <c r="H356" s="656"/>
      <c r="I356" s="656"/>
      <c r="J356" s="656"/>
      <c r="K356" s="656"/>
      <c r="L356" s="656"/>
      <c r="M356" s="656"/>
      <c r="N356" s="656"/>
      <c r="O356" s="657"/>
      <c r="P356" s="653" t="s">
        <v>40</v>
      </c>
      <c r="Q356" s="654"/>
      <c r="R356" s="654"/>
      <c r="S356" s="654"/>
      <c r="T356" s="654"/>
      <c r="U356" s="654"/>
      <c r="V356" s="655"/>
      <c r="W356" s="42" t="s">
        <v>39</v>
      </c>
      <c r="X356" s="43">
        <f>IFERROR(X355/H355,"0")</f>
        <v>0</v>
      </c>
      <c r="Y356" s="43">
        <f>IFERROR(Y355/H355,"0")</f>
        <v>0</v>
      </c>
      <c r="Z356" s="43">
        <f>IFERROR(IF(Z355="",0,Z355),"0")</f>
        <v>0</v>
      </c>
      <c r="AA356" s="67"/>
      <c r="AB356" s="67"/>
      <c r="AC356" s="67"/>
    </row>
    <row r="357" spans="1:68" hidden="1" x14ac:dyDescent="0.2">
      <c r="A357" s="656"/>
      <c r="B357" s="656"/>
      <c r="C357" s="656"/>
      <c r="D357" s="656"/>
      <c r="E357" s="656"/>
      <c r="F357" s="656"/>
      <c r="G357" s="656"/>
      <c r="H357" s="656"/>
      <c r="I357" s="656"/>
      <c r="J357" s="656"/>
      <c r="K357" s="656"/>
      <c r="L357" s="656"/>
      <c r="M357" s="656"/>
      <c r="N357" s="656"/>
      <c r="O357" s="657"/>
      <c r="P357" s="653" t="s">
        <v>40</v>
      </c>
      <c r="Q357" s="654"/>
      <c r="R357" s="654"/>
      <c r="S357" s="654"/>
      <c r="T357" s="654"/>
      <c r="U357" s="654"/>
      <c r="V357" s="655"/>
      <c r="W357" s="42" t="s">
        <v>0</v>
      </c>
      <c r="X357" s="43">
        <f>IFERROR(SUM(X355:X355),"0")</f>
        <v>0</v>
      </c>
      <c r="Y357" s="43">
        <f>IFERROR(SUM(Y355:Y355),"0")</f>
        <v>0</v>
      </c>
      <c r="Z357" s="42"/>
      <c r="AA357" s="67"/>
      <c r="AB357" s="67"/>
      <c r="AC357" s="67"/>
    </row>
    <row r="358" spans="1:68" ht="16.5" hidden="1" customHeight="1" x14ac:dyDescent="0.25">
      <c r="A358" s="647" t="s">
        <v>594</v>
      </c>
      <c r="B358" s="647"/>
      <c r="C358" s="647"/>
      <c r="D358" s="647"/>
      <c r="E358" s="647"/>
      <c r="F358" s="647"/>
      <c r="G358" s="647"/>
      <c r="H358" s="647"/>
      <c r="I358" s="647"/>
      <c r="J358" s="647"/>
      <c r="K358" s="647"/>
      <c r="L358" s="647"/>
      <c r="M358" s="647"/>
      <c r="N358" s="647"/>
      <c r="O358" s="647"/>
      <c r="P358" s="647"/>
      <c r="Q358" s="647"/>
      <c r="R358" s="647"/>
      <c r="S358" s="647"/>
      <c r="T358" s="647"/>
      <c r="U358" s="647"/>
      <c r="V358" s="647"/>
      <c r="W358" s="647"/>
      <c r="X358" s="647"/>
      <c r="Y358" s="647"/>
      <c r="Z358" s="647"/>
      <c r="AA358" s="65"/>
      <c r="AB358" s="65"/>
      <c r="AC358" s="79"/>
    </row>
    <row r="359" spans="1:68" ht="14.25" hidden="1" customHeight="1" x14ac:dyDescent="0.25">
      <c r="A359" s="648" t="s">
        <v>124</v>
      </c>
      <c r="B359" s="648"/>
      <c r="C359" s="648"/>
      <c r="D359" s="648"/>
      <c r="E359" s="648"/>
      <c r="F359" s="648"/>
      <c r="G359" s="648"/>
      <c r="H359" s="648"/>
      <c r="I359" s="648"/>
      <c r="J359" s="648"/>
      <c r="K359" s="648"/>
      <c r="L359" s="648"/>
      <c r="M359" s="648"/>
      <c r="N359" s="648"/>
      <c r="O359" s="648"/>
      <c r="P359" s="648"/>
      <c r="Q359" s="648"/>
      <c r="R359" s="648"/>
      <c r="S359" s="648"/>
      <c r="T359" s="648"/>
      <c r="U359" s="648"/>
      <c r="V359" s="648"/>
      <c r="W359" s="648"/>
      <c r="X359" s="648"/>
      <c r="Y359" s="648"/>
      <c r="Z359" s="648"/>
      <c r="AA359" s="66"/>
      <c r="AB359" s="66"/>
      <c r="AC359" s="80"/>
    </row>
    <row r="360" spans="1:68" ht="27" hidden="1" customHeight="1" x14ac:dyDescent="0.25">
      <c r="A360" s="63" t="s">
        <v>595</v>
      </c>
      <c r="B360" s="63" t="s">
        <v>596</v>
      </c>
      <c r="C360" s="36">
        <v>4301012324</v>
      </c>
      <c r="D360" s="649">
        <v>4680115887947</v>
      </c>
      <c r="E360" s="649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129</v>
      </c>
      <c r="L360" s="37" t="s">
        <v>46</v>
      </c>
      <c r="M360" s="38" t="s">
        <v>81</v>
      </c>
      <c r="N360" s="38"/>
      <c r="O360" s="37">
        <v>60</v>
      </c>
      <c r="P360" s="76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0" s="651"/>
      <c r="R360" s="651"/>
      <c r="S360" s="651"/>
      <c r="T360" s="652"/>
      <c r="U360" s="39" t="s">
        <v>46</v>
      </c>
      <c r="V360" s="39" t="s">
        <v>46</v>
      </c>
      <c r="W360" s="40" t="s">
        <v>0</v>
      </c>
      <c r="X360" s="58">
        <v>0</v>
      </c>
      <c r="Y360" s="55">
        <f>IFERROR(IF(X360="",0,CEILING((X360/$H360),1)*$H360),"")</f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46" t="s">
        <v>349</v>
      </c>
      <c r="AG360" s="78"/>
      <c r="AJ360" s="84" t="s">
        <v>46</v>
      </c>
      <c r="AK360" s="84">
        <v>0</v>
      </c>
      <c r="BB360" s="447" t="s">
        <v>67</v>
      </c>
      <c r="BM360" s="78">
        <f>IFERROR(X360*I360/H360,"0")</f>
        <v>0</v>
      </c>
      <c r="BN360" s="78">
        <f>IFERROR(Y360*I360/H360,"0")</f>
        <v>0</v>
      </c>
      <c r="BO360" s="78">
        <f>IFERROR(1/J360*(X360/H360),"0")</f>
        <v>0</v>
      </c>
      <c r="BP360" s="78">
        <f>IFERROR(1/J360*(Y360/H360),"0")</f>
        <v>0</v>
      </c>
    </row>
    <row r="361" spans="1:68" ht="27" hidden="1" customHeight="1" x14ac:dyDescent="0.25">
      <c r="A361" s="63" t="s">
        <v>597</v>
      </c>
      <c r="B361" s="63" t="s">
        <v>598</v>
      </c>
      <c r="C361" s="36">
        <v>4301012325</v>
      </c>
      <c r="D361" s="649">
        <v>4680115887978</v>
      </c>
      <c r="E361" s="649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129</v>
      </c>
      <c r="L361" s="37" t="s">
        <v>46</v>
      </c>
      <c r="M361" s="38" t="s">
        <v>81</v>
      </c>
      <c r="N361" s="38"/>
      <c r="O361" s="37">
        <v>60</v>
      </c>
      <c r="P361" s="76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1" s="651"/>
      <c r="R361" s="651"/>
      <c r="S361" s="651"/>
      <c r="T361" s="652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48" t="s">
        <v>599</v>
      </c>
      <c r="AG361" s="78"/>
      <c r="AJ361" s="84" t="s">
        <v>46</v>
      </c>
      <c r="AK361" s="84">
        <v>0</v>
      </c>
      <c r="BB361" s="449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ht="27" hidden="1" customHeight="1" x14ac:dyDescent="0.25">
      <c r="A362" s="63" t="s">
        <v>600</v>
      </c>
      <c r="B362" s="63" t="s">
        <v>601</v>
      </c>
      <c r="C362" s="36">
        <v>4301012327</v>
      </c>
      <c r="D362" s="649">
        <v>4680115887992</v>
      </c>
      <c r="E362" s="649"/>
      <c r="F362" s="62">
        <v>1.3</v>
      </c>
      <c r="G362" s="37">
        <v>6</v>
      </c>
      <c r="H362" s="62">
        <v>7.8</v>
      </c>
      <c r="I362" s="62">
        <v>8.2100000000000009</v>
      </c>
      <c r="J362" s="37">
        <v>64</v>
      </c>
      <c r="K362" s="37" t="s">
        <v>129</v>
      </c>
      <c r="L362" s="37" t="s">
        <v>46</v>
      </c>
      <c r="M362" s="38" t="s">
        <v>81</v>
      </c>
      <c r="N362" s="38"/>
      <c r="O362" s="37">
        <v>60</v>
      </c>
      <c r="P362" s="75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2" s="651"/>
      <c r="R362" s="651"/>
      <c r="S362" s="651"/>
      <c r="T362" s="652"/>
      <c r="U362" s="39" t="s">
        <v>46</v>
      </c>
      <c r="V362" s="39" t="s">
        <v>46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0" t="s">
        <v>602</v>
      </c>
      <c r="AG362" s="78"/>
      <c r="AJ362" s="84" t="s">
        <v>46</v>
      </c>
      <c r="AK362" s="84">
        <v>0</v>
      </c>
      <c r="BB362" s="451" t="s">
        <v>67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hidden="1" x14ac:dyDescent="0.2">
      <c r="A363" s="656"/>
      <c r="B363" s="656"/>
      <c r="C363" s="656"/>
      <c r="D363" s="656"/>
      <c r="E363" s="656"/>
      <c r="F363" s="656"/>
      <c r="G363" s="656"/>
      <c r="H363" s="656"/>
      <c r="I363" s="656"/>
      <c r="J363" s="656"/>
      <c r="K363" s="656"/>
      <c r="L363" s="656"/>
      <c r="M363" s="656"/>
      <c r="N363" s="656"/>
      <c r="O363" s="657"/>
      <c r="P363" s="653" t="s">
        <v>40</v>
      </c>
      <c r="Q363" s="654"/>
      <c r="R363" s="654"/>
      <c r="S363" s="654"/>
      <c r="T363" s="654"/>
      <c r="U363" s="654"/>
      <c r="V363" s="655"/>
      <c r="W363" s="42" t="s">
        <v>39</v>
      </c>
      <c r="X363" s="43">
        <f>IFERROR(X360/H360,"0")+IFERROR(X361/H361,"0")+IFERROR(X362/H362,"0")</f>
        <v>0</v>
      </c>
      <c r="Y363" s="43">
        <f>IFERROR(Y360/H360,"0")+IFERROR(Y361/H361,"0")+IFERROR(Y362/H362,"0")</f>
        <v>0</v>
      </c>
      <c r="Z363" s="43">
        <f>IFERROR(IF(Z360="",0,Z360),"0")+IFERROR(IF(Z361="",0,Z361),"0")+IFERROR(IF(Z362="",0,Z362),"0")</f>
        <v>0</v>
      </c>
      <c r="AA363" s="67"/>
      <c r="AB363" s="67"/>
      <c r="AC363" s="67"/>
    </row>
    <row r="364" spans="1:68" hidden="1" x14ac:dyDescent="0.2">
      <c r="A364" s="656"/>
      <c r="B364" s="656"/>
      <c r="C364" s="656"/>
      <c r="D364" s="656"/>
      <c r="E364" s="656"/>
      <c r="F364" s="656"/>
      <c r="G364" s="656"/>
      <c r="H364" s="656"/>
      <c r="I364" s="656"/>
      <c r="J364" s="656"/>
      <c r="K364" s="656"/>
      <c r="L364" s="656"/>
      <c r="M364" s="656"/>
      <c r="N364" s="656"/>
      <c r="O364" s="657"/>
      <c r="P364" s="653" t="s">
        <v>40</v>
      </c>
      <c r="Q364" s="654"/>
      <c r="R364" s="654"/>
      <c r="S364" s="654"/>
      <c r="T364" s="654"/>
      <c r="U364" s="654"/>
      <c r="V364" s="655"/>
      <c r="W364" s="42" t="s">
        <v>0</v>
      </c>
      <c r="X364" s="43">
        <f>IFERROR(SUM(X360:X362),"0")</f>
        <v>0</v>
      </c>
      <c r="Y364" s="43">
        <f>IFERROR(SUM(Y360:Y362),"0")</f>
        <v>0</v>
      </c>
      <c r="Z364" s="42"/>
      <c r="AA364" s="67"/>
      <c r="AB364" s="67"/>
      <c r="AC364" s="67"/>
    </row>
    <row r="365" spans="1:68" ht="16.5" hidden="1" customHeight="1" x14ac:dyDescent="0.25">
      <c r="A365" s="647" t="s">
        <v>603</v>
      </c>
      <c r="B365" s="647"/>
      <c r="C365" s="647"/>
      <c r="D365" s="647"/>
      <c r="E365" s="647"/>
      <c r="F365" s="647"/>
      <c r="G365" s="647"/>
      <c r="H365" s="647"/>
      <c r="I365" s="647"/>
      <c r="J365" s="647"/>
      <c r="K365" s="647"/>
      <c r="L365" s="647"/>
      <c r="M365" s="647"/>
      <c r="N365" s="647"/>
      <c r="O365" s="647"/>
      <c r="P365" s="647"/>
      <c r="Q365" s="647"/>
      <c r="R365" s="647"/>
      <c r="S365" s="647"/>
      <c r="T365" s="647"/>
      <c r="U365" s="647"/>
      <c r="V365" s="647"/>
      <c r="W365" s="647"/>
      <c r="X365" s="647"/>
      <c r="Y365" s="647"/>
      <c r="Z365" s="647"/>
      <c r="AA365" s="65"/>
      <c r="AB365" s="65"/>
      <c r="AC365" s="79"/>
    </row>
    <row r="366" spans="1:68" ht="14.25" hidden="1" customHeight="1" x14ac:dyDescent="0.25">
      <c r="A366" s="648" t="s">
        <v>124</v>
      </c>
      <c r="B366" s="648"/>
      <c r="C366" s="648"/>
      <c r="D366" s="648"/>
      <c r="E366" s="648"/>
      <c r="F366" s="648"/>
      <c r="G366" s="648"/>
      <c r="H366" s="648"/>
      <c r="I366" s="648"/>
      <c r="J366" s="648"/>
      <c r="K366" s="648"/>
      <c r="L366" s="648"/>
      <c r="M366" s="648"/>
      <c r="N366" s="648"/>
      <c r="O366" s="648"/>
      <c r="P366" s="648"/>
      <c r="Q366" s="648"/>
      <c r="R366" s="648"/>
      <c r="S366" s="648"/>
      <c r="T366" s="648"/>
      <c r="U366" s="648"/>
      <c r="V366" s="648"/>
      <c r="W366" s="648"/>
      <c r="X366" s="648"/>
      <c r="Y366" s="648"/>
      <c r="Z366" s="648"/>
      <c r="AA366" s="66"/>
      <c r="AB366" s="66"/>
      <c r="AC366" s="80"/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649">
        <v>4680115889293</v>
      </c>
      <c r="E367" s="649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129</v>
      </c>
      <c r="L367" s="37" t="s">
        <v>46</v>
      </c>
      <c r="M367" s="38" t="s">
        <v>128</v>
      </c>
      <c r="N367" s="38"/>
      <c r="O367" s="37">
        <v>55</v>
      </c>
      <c r="P367" s="75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651"/>
      <c r="R367" s="651"/>
      <c r="S367" s="651"/>
      <c r="T367" s="65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ref="Y367:Y373" si="52">IFERROR(IF(X367="",0,CEILING((X367/$H367),1)*$H367),"")</f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52" t="s">
        <v>606</v>
      </c>
      <c r="AG367" s="78"/>
      <c r="AJ367" s="84" t="s">
        <v>46</v>
      </c>
      <c r="AK367" s="84">
        <v>0</v>
      </c>
      <c r="BB367" s="453" t="s">
        <v>67</v>
      </c>
      <c r="BM367" s="78">
        <f t="shared" ref="BM367:BM373" si="53">IFERROR(X367*I367/H367,"0")</f>
        <v>0</v>
      </c>
      <c r="BN367" s="78">
        <f t="shared" ref="BN367:BN373" si="54">IFERROR(Y367*I367/H367,"0")</f>
        <v>0</v>
      </c>
      <c r="BO367" s="78">
        <f t="shared" ref="BO367:BO373" si="55">IFERROR(1/J367*(X367/H367),"0")</f>
        <v>0</v>
      </c>
      <c r="BP367" s="78">
        <f t="shared" ref="BP367:BP373" si="56">IFERROR(1/J367*(Y367/H367),"0")</f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649">
        <v>4680115887190</v>
      </c>
      <c r="E368" s="649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129</v>
      </c>
      <c r="L368" s="37" t="s">
        <v>46</v>
      </c>
      <c r="M368" s="38" t="s">
        <v>128</v>
      </c>
      <c r="N368" s="38"/>
      <c r="O368" s="37">
        <v>55</v>
      </c>
      <c r="P368" s="75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651"/>
      <c r="R368" s="651"/>
      <c r="S368" s="651"/>
      <c r="T368" s="65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2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54" t="s">
        <v>609</v>
      </c>
      <c r="AG368" s="78"/>
      <c r="AJ368" s="84" t="s">
        <v>46</v>
      </c>
      <c r="AK368" s="84">
        <v>0</v>
      </c>
      <c r="BB368" s="455" t="s">
        <v>67</v>
      </c>
      <c r="BM368" s="78">
        <f t="shared" si="53"/>
        <v>0</v>
      </c>
      <c r="BN368" s="78">
        <f t="shared" si="54"/>
        <v>0</v>
      </c>
      <c r="BO368" s="78">
        <f t="shared" si="55"/>
        <v>0</v>
      </c>
      <c r="BP368" s="78">
        <f t="shared" si="56"/>
        <v>0</v>
      </c>
    </row>
    <row r="369" spans="1:68" ht="27" hidden="1" customHeight="1" x14ac:dyDescent="0.25">
      <c r="A369" s="63" t="s">
        <v>610</v>
      </c>
      <c r="B369" s="63" t="s">
        <v>611</v>
      </c>
      <c r="C369" s="36">
        <v>4301012400</v>
      </c>
      <c r="D369" s="649">
        <v>4680115889880</v>
      </c>
      <c r="E369" s="649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129</v>
      </c>
      <c r="L369" s="37" t="s">
        <v>46</v>
      </c>
      <c r="M369" s="38" t="s">
        <v>128</v>
      </c>
      <c r="N369" s="38"/>
      <c r="O369" s="37">
        <v>55</v>
      </c>
      <c r="P369" s="757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9" s="651"/>
      <c r="R369" s="651"/>
      <c r="S369" s="651"/>
      <c r="T369" s="65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2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56" t="s">
        <v>509</v>
      </c>
      <c r="AG369" s="78"/>
      <c r="AJ369" s="84" t="s">
        <v>46</v>
      </c>
      <c r="AK369" s="84">
        <v>0</v>
      </c>
      <c r="BB369" s="457" t="s">
        <v>67</v>
      </c>
      <c r="BM369" s="78">
        <f t="shared" si="53"/>
        <v>0</v>
      </c>
      <c r="BN369" s="78">
        <f t="shared" si="54"/>
        <v>0</v>
      </c>
      <c r="BO369" s="78">
        <f t="shared" si="55"/>
        <v>0</v>
      </c>
      <c r="BP369" s="78">
        <f t="shared" si="56"/>
        <v>0</v>
      </c>
    </row>
    <row r="370" spans="1:68" ht="37.5" hidden="1" customHeight="1" x14ac:dyDescent="0.25">
      <c r="A370" s="63" t="s">
        <v>612</v>
      </c>
      <c r="B370" s="63" t="s">
        <v>613</v>
      </c>
      <c r="C370" s="36">
        <v>4301012233</v>
      </c>
      <c r="D370" s="649">
        <v>4680115887138</v>
      </c>
      <c r="E370" s="649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129</v>
      </c>
      <c r="L370" s="37" t="s">
        <v>46</v>
      </c>
      <c r="M370" s="38" t="s">
        <v>128</v>
      </c>
      <c r="N370" s="38"/>
      <c r="O370" s="37">
        <v>55</v>
      </c>
      <c r="P370" s="75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0" s="651"/>
      <c r="R370" s="651"/>
      <c r="S370" s="651"/>
      <c r="T370" s="652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2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58" t="s">
        <v>614</v>
      </c>
      <c r="AG370" s="78"/>
      <c r="AJ370" s="84" t="s">
        <v>46</v>
      </c>
      <c r="AK370" s="84">
        <v>0</v>
      </c>
      <c r="BB370" s="459" t="s">
        <v>67</v>
      </c>
      <c r="BM370" s="78">
        <f t="shared" si="53"/>
        <v>0</v>
      </c>
      <c r="BN370" s="78">
        <f t="shared" si="54"/>
        <v>0</v>
      </c>
      <c r="BO370" s="78">
        <f t="shared" si="55"/>
        <v>0</v>
      </c>
      <c r="BP370" s="78">
        <f t="shared" si="56"/>
        <v>0</v>
      </c>
    </row>
    <row r="371" spans="1:68" ht="27" hidden="1" customHeight="1" x14ac:dyDescent="0.25">
      <c r="A371" s="63" t="s">
        <v>615</v>
      </c>
      <c r="B371" s="63" t="s">
        <v>616</v>
      </c>
      <c r="C371" s="36">
        <v>4301012016</v>
      </c>
      <c r="D371" s="649">
        <v>4680115885554</v>
      </c>
      <c r="E371" s="649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129</v>
      </c>
      <c r="L371" s="37" t="s">
        <v>46</v>
      </c>
      <c r="M371" s="38" t="s">
        <v>81</v>
      </c>
      <c r="N371" s="38"/>
      <c r="O371" s="37">
        <v>55</v>
      </c>
      <c r="P371" s="7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1" s="651"/>
      <c r="R371" s="651"/>
      <c r="S371" s="651"/>
      <c r="T371" s="652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2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60" t="s">
        <v>617</v>
      </c>
      <c r="AG371" s="78"/>
      <c r="AJ371" s="84" t="s">
        <v>46</v>
      </c>
      <c r="AK371" s="84">
        <v>0</v>
      </c>
      <c r="BB371" s="461" t="s">
        <v>67</v>
      </c>
      <c r="BM371" s="78">
        <f t="shared" si="53"/>
        <v>0</v>
      </c>
      <c r="BN371" s="78">
        <f t="shared" si="54"/>
        <v>0</v>
      </c>
      <c r="BO371" s="78">
        <f t="shared" si="55"/>
        <v>0</v>
      </c>
      <c r="BP371" s="78">
        <f t="shared" si="56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4301012236</v>
      </c>
      <c r="D372" s="649">
        <v>4680115887220</v>
      </c>
      <c r="E372" s="649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137</v>
      </c>
      <c r="L372" s="37" t="s">
        <v>46</v>
      </c>
      <c r="M372" s="38" t="s">
        <v>128</v>
      </c>
      <c r="N372" s="38"/>
      <c r="O372" s="37">
        <v>55</v>
      </c>
      <c r="P372" s="74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2" s="651"/>
      <c r="R372" s="651"/>
      <c r="S372" s="651"/>
      <c r="T372" s="65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2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2" t="s">
        <v>609</v>
      </c>
      <c r="AG372" s="78"/>
      <c r="AJ372" s="84" t="s">
        <v>46</v>
      </c>
      <c r="AK372" s="84">
        <v>0</v>
      </c>
      <c r="BB372" s="463" t="s">
        <v>67</v>
      </c>
      <c r="BM372" s="78">
        <f t="shared" si="53"/>
        <v>0</v>
      </c>
      <c r="BN372" s="78">
        <f t="shared" si="54"/>
        <v>0</v>
      </c>
      <c r="BO372" s="78">
        <f t="shared" si="55"/>
        <v>0</v>
      </c>
      <c r="BP372" s="78">
        <f t="shared" si="56"/>
        <v>0</v>
      </c>
    </row>
    <row r="373" spans="1:68" ht="27" hidden="1" customHeight="1" x14ac:dyDescent="0.25">
      <c r="A373" s="63" t="s">
        <v>620</v>
      </c>
      <c r="B373" s="63" t="s">
        <v>621</v>
      </c>
      <c r="C373" s="36">
        <v>4301011859</v>
      </c>
      <c r="D373" s="649">
        <v>4680115885608</v>
      </c>
      <c r="E373" s="649"/>
      <c r="F373" s="62">
        <v>0.4</v>
      </c>
      <c r="G373" s="37">
        <v>10</v>
      </c>
      <c r="H373" s="62">
        <v>4</v>
      </c>
      <c r="I373" s="62">
        <v>4.1900000000000004</v>
      </c>
      <c r="J373" s="37">
        <v>132</v>
      </c>
      <c r="K373" s="37" t="s">
        <v>137</v>
      </c>
      <c r="L373" s="37" t="s">
        <v>46</v>
      </c>
      <c r="M373" s="38" t="s">
        <v>128</v>
      </c>
      <c r="N373" s="38"/>
      <c r="O373" s="37">
        <v>55</v>
      </c>
      <c r="P373" s="748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3" s="651"/>
      <c r="R373" s="651"/>
      <c r="S373" s="651"/>
      <c r="T373" s="65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2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4" t="s">
        <v>622</v>
      </c>
      <c r="AG373" s="78"/>
      <c r="AJ373" s="84" t="s">
        <v>46</v>
      </c>
      <c r="AK373" s="84">
        <v>0</v>
      </c>
      <c r="BB373" s="465" t="s">
        <v>67</v>
      </c>
      <c r="BM373" s="78">
        <f t="shared" si="53"/>
        <v>0</v>
      </c>
      <c r="BN373" s="78">
        <f t="shared" si="54"/>
        <v>0</v>
      </c>
      <c r="BO373" s="78">
        <f t="shared" si="55"/>
        <v>0</v>
      </c>
      <c r="BP373" s="78">
        <f t="shared" si="56"/>
        <v>0</v>
      </c>
    </row>
    <row r="374" spans="1:68" hidden="1" x14ac:dyDescent="0.2">
      <c r="A374" s="656"/>
      <c r="B374" s="656"/>
      <c r="C374" s="656"/>
      <c r="D374" s="656"/>
      <c r="E374" s="656"/>
      <c r="F374" s="656"/>
      <c r="G374" s="656"/>
      <c r="H374" s="656"/>
      <c r="I374" s="656"/>
      <c r="J374" s="656"/>
      <c r="K374" s="656"/>
      <c r="L374" s="656"/>
      <c r="M374" s="656"/>
      <c r="N374" s="656"/>
      <c r="O374" s="657"/>
      <c r="P374" s="653" t="s">
        <v>40</v>
      </c>
      <c r="Q374" s="654"/>
      <c r="R374" s="654"/>
      <c r="S374" s="654"/>
      <c r="T374" s="654"/>
      <c r="U374" s="654"/>
      <c r="V374" s="655"/>
      <c r="W374" s="42" t="s">
        <v>39</v>
      </c>
      <c r="X374" s="43">
        <f>IFERROR(X367/H367,"0")+IFERROR(X368/H368,"0")+IFERROR(X369/H369,"0")+IFERROR(X370/H370,"0")+IFERROR(X371/H371,"0")+IFERROR(X372/H372,"0")+IFERROR(X373/H373,"0")</f>
        <v>0</v>
      </c>
      <c r="Y374" s="43">
        <f>IFERROR(Y367/H367,"0")+IFERROR(Y368/H368,"0")+IFERROR(Y369/H369,"0")+IFERROR(Y370/H370,"0")+IFERROR(Y371/H371,"0")+IFERROR(Y372/H372,"0")+IFERROR(Y373/H373,"0")</f>
        <v>0</v>
      </c>
      <c r="Z374" s="43">
        <f>IFERROR(IF(Z367="",0,Z367),"0")+IFERROR(IF(Z368="",0,Z368),"0")+IFERROR(IF(Z369="",0,Z369),"0")+IFERROR(IF(Z370="",0,Z370),"0")+IFERROR(IF(Z371="",0,Z371),"0")+IFERROR(IF(Z372="",0,Z372),"0")+IFERROR(IF(Z373="",0,Z373),"0")</f>
        <v>0</v>
      </c>
      <c r="AA374" s="67"/>
      <c r="AB374" s="67"/>
      <c r="AC374" s="67"/>
    </row>
    <row r="375" spans="1:68" hidden="1" x14ac:dyDescent="0.2">
      <c r="A375" s="656"/>
      <c r="B375" s="656"/>
      <c r="C375" s="656"/>
      <c r="D375" s="656"/>
      <c r="E375" s="656"/>
      <c r="F375" s="656"/>
      <c r="G375" s="656"/>
      <c r="H375" s="656"/>
      <c r="I375" s="656"/>
      <c r="J375" s="656"/>
      <c r="K375" s="656"/>
      <c r="L375" s="656"/>
      <c r="M375" s="656"/>
      <c r="N375" s="656"/>
      <c r="O375" s="657"/>
      <c r="P375" s="653" t="s">
        <v>40</v>
      </c>
      <c r="Q375" s="654"/>
      <c r="R375" s="654"/>
      <c r="S375" s="654"/>
      <c r="T375" s="654"/>
      <c r="U375" s="654"/>
      <c r="V375" s="655"/>
      <c r="W375" s="42" t="s">
        <v>0</v>
      </c>
      <c r="X375" s="43">
        <f>IFERROR(SUM(X367:X373),"0")</f>
        <v>0</v>
      </c>
      <c r="Y375" s="43">
        <f>IFERROR(SUM(Y367:Y373),"0")</f>
        <v>0</v>
      </c>
      <c r="Z375" s="42"/>
      <c r="AA375" s="67"/>
      <c r="AB375" s="67"/>
      <c r="AC375" s="67"/>
    </row>
    <row r="376" spans="1:68" ht="14.25" hidden="1" customHeight="1" x14ac:dyDescent="0.25">
      <c r="A376" s="648" t="s">
        <v>256</v>
      </c>
      <c r="B376" s="648"/>
      <c r="C376" s="648"/>
      <c r="D376" s="648"/>
      <c r="E376" s="648"/>
      <c r="F376" s="648"/>
      <c r="G376" s="648"/>
      <c r="H376" s="648"/>
      <c r="I376" s="648"/>
      <c r="J376" s="648"/>
      <c r="K376" s="648"/>
      <c r="L376" s="648"/>
      <c r="M376" s="648"/>
      <c r="N376" s="648"/>
      <c r="O376" s="648"/>
      <c r="P376" s="648"/>
      <c r="Q376" s="648"/>
      <c r="R376" s="648"/>
      <c r="S376" s="648"/>
      <c r="T376" s="648"/>
      <c r="U376" s="648"/>
      <c r="V376" s="648"/>
      <c r="W376" s="648"/>
      <c r="X376" s="648"/>
      <c r="Y376" s="648"/>
      <c r="Z376" s="648"/>
      <c r="AA376" s="66"/>
      <c r="AB376" s="66"/>
      <c r="AC376" s="80"/>
    </row>
    <row r="377" spans="1:68" ht="27" customHeight="1" x14ac:dyDescent="0.25">
      <c r="A377" s="63" t="s">
        <v>623</v>
      </c>
      <c r="B377" s="63" t="s">
        <v>624</v>
      </c>
      <c r="C377" s="36">
        <v>4301030878</v>
      </c>
      <c r="D377" s="649">
        <v>4607091387193</v>
      </c>
      <c r="E377" s="649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137</v>
      </c>
      <c r="L377" s="37" t="s">
        <v>46</v>
      </c>
      <c r="M377" s="38" t="s">
        <v>133</v>
      </c>
      <c r="N377" s="38"/>
      <c r="O377" s="37">
        <v>35</v>
      </c>
      <c r="P377" s="74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7" s="651"/>
      <c r="R377" s="651"/>
      <c r="S377" s="651"/>
      <c r="T377" s="652"/>
      <c r="U377" s="39" t="s">
        <v>46</v>
      </c>
      <c r="V377" s="39" t="s">
        <v>46</v>
      </c>
      <c r="W377" s="40" t="s">
        <v>0</v>
      </c>
      <c r="X377" s="58">
        <v>80</v>
      </c>
      <c r="Y377" s="55">
        <f t="shared" ref="Y377:Y383" si="57">IFERROR(IF(X377="",0,CEILING((X377/$H377),1)*$H377),"")</f>
        <v>84</v>
      </c>
      <c r="Z377" s="41">
        <f>IFERROR(IF(Y377=0,"",ROUNDUP(Y377/H377,0)*0.00902),"")</f>
        <v>0.1804</v>
      </c>
      <c r="AA377" s="68" t="s">
        <v>46</v>
      </c>
      <c r="AB377" s="69" t="s">
        <v>46</v>
      </c>
      <c r="AC377" s="466" t="s">
        <v>625</v>
      </c>
      <c r="AG377" s="78"/>
      <c r="AJ377" s="84" t="s">
        <v>46</v>
      </c>
      <c r="AK377" s="84">
        <v>0</v>
      </c>
      <c r="BB377" s="467" t="s">
        <v>67</v>
      </c>
      <c r="BM377" s="78">
        <f t="shared" ref="BM377:BM383" si="58">IFERROR(X377*I377/H377,"0")</f>
        <v>84.761904761904759</v>
      </c>
      <c r="BN377" s="78">
        <f t="shared" ref="BN377:BN383" si="59">IFERROR(Y377*I377/H377,"0")</f>
        <v>89</v>
      </c>
      <c r="BO377" s="78">
        <f t="shared" ref="BO377:BO383" si="60">IFERROR(1/J377*(X377/H377),"0")</f>
        <v>0.14430014430014429</v>
      </c>
      <c r="BP377" s="78">
        <f t="shared" ref="BP377:BP383" si="61">IFERROR(1/J377*(Y377/H377),"0")</f>
        <v>0.15151515151515152</v>
      </c>
    </row>
    <row r="378" spans="1:68" ht="27" hidden="1" customHeight="1" x14ac:dyDescent="0.25">
      <c r="A378" s="63" t="s">
        <v>626</v>
      </c>
      <c r="B378" s="63" t="s">
        <v>627</v>
      </c>
      <c r="C378" s="36">
        <v>4301031153</v>
      </c>
      <c r="D378" s="649">
        <v>4607091387230</v>
      </c>
      <c r="E378" s="649"/>
      <c r="F378" s="62">
        <v>0.7</v>
      </c>
      <c r="G378" s="37">
        <v>6</v>
      </c>
      <c r="H378" s="62">
        <v>4.2</v>
      </c>
      <c r="I378" s="62">
        <v>4.45</v>
      </c>
      <c r="J378" s="37">
        <v>132</v>
      </c>
      <c r="K378" s="37" t="s">
        <v>137</v>
      </c>
      <c r="L378" s="37" t="s">
        <v>46</v>
      </c>
      <c r="M378" s="38" t="s">
        <v>133</v>
      </c>
      <c r="N378" s="38"/>
      <c r="O378" s="37">
        <v>40</v>
      </c>
      <c r="P378" s="750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8" s="651"/>
      <c r="R378" s="651"/>
      <c r="S378" s="651"/>
      <c r="T378" s="65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57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68" t="s">
        <v>628</v>
      </c>
      <c r="AG378" s="78"/>
      <c r="AJ378" s="84" t="s">
        <v>46</v>
      </c>
      <c r="AK378" s="84">
        <v>0</v>
      </c>
      <c r="BB378" s="469" t="s">
        <v>67</v>
      </c>
      <c r="BM378" s="78">
        <f t="shared" si="58"/>
        <v>0</v>
      </c>
      <c r="BN378" s="78">
        <f t="shared" si="59"/>
        <v>0</v>
      </c>
      <c r="BO378" s="78">
        <f t="shared" si="60"/>
        <v>0</v>
      </c>
      <c r="BP378" s="78">
        <f t="shared" si="61"/>
        <v>0</v>
      </c>
    </row>
    <row r="379" spans="1:68" ht="27" hidden="1" customHeight="1" x14ac:dyDescent="0.25">
      <c r="A379" s="63" t="s">
        <v>629</v>
      </c>
      <c r="B379" s="63" t="s">
        <v>630</v>
      </c>
      <c r="C379" s="36">
        <v>4301031154</v>
      </c>
      <c r="D379" s="649">
        <v>4607091387292</v>
      </c>
      <c r="E379" s="649"/>
      <c r="F379" s="62">
        <v>0.73</v>
      </c>
      <c r="G379" s="37">
        <v>6</v>
      </c>
      <c r="H379" s="62">
        <v>4.38</v>
      </c>
      <c r="I379" s="62">
        <v>4.63</v>
      </c>
      <c r="J379" s="37">
        <v>132</v>
      </c>
      <c r="K379" s="37" t="s">
        <v>137</v>
      </c>
      <c r="L379" s="37" t="s">
        <v>46</v>
      </c>
      <c r="M379" s="38" t="s">
        <v>133</v>
      </c>
      <c r="N379" s="38"/>
      <c r="O379" s="37">
        <v>45</v>
      </c>
      <c r="P379" s="7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9" s="651"/>
      <c r="R379" s="651"/>
      <c r="S379" s="651"/>
      <c r="T379" s="652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57"/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70" t="s">
        <v>631</v>
      </c>
      <c r="AG379" s="78"/>
      <c r="AJ379" s="84" t="s">
        <v>46</v>
      </c>
      <c r="AK379" s="84">
        <v>0</v>
      </c>
      <c r="BB379" s="471" t="s">
        <v>67</v>
      </c>
      <c r="BM379" s="78">
        <f t="shared" si="58"/>
        <v>0</v>
      </c>
      <c r="BN379" s="78">
        <f t="shared" si="59"/>
        <v>0</v>
      </c>
      <c r="BO379" s="78">
        <f t="shared" si="60"/>
        <v>0</v>
      </c>
      <c r="BP379" s="78">
        <f t="shared" si="61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4301031152</v>
      </c>
      <c r="D380" s="649">
        <v>4607091387285</v>
      </c>
      <c r="E380" s="649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234</v>
      </c>
      <c r="L380" s="37" t="s">
        <v>46</v>
      </c>
      <c r="M380" s="38" t="s">
        <v>133</v>
      </c>
      <c r="N380" s="38"/>
      <c r="O380" s="37">
        <v>40</v>
      </c>
      <c r="P380" s="7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0" s="651"/>
      <c r="R380" s="651"/>
      <c r="S380" s="651"/>
      <c r="T380" s="652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57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72" t="s">
        <v>628</v>
      </c>
      <c r="AG380" s="78"/>
      <c r="AJ380" s="84" t="s">
        <v>46</v>
      </c>
      <c r="AK380" s="84">
        <v>0</v>
      </c>
      <c r="BB380" s="473" t="s">
        <v>67</v>
      </c>
      <c r="BM380" s="78">
        <f t="shared" si="58"/>
        <v>0</v>
      </c>
      <c r="BN380" s="78">
        <f t="shared" si="59"/>
        <v>0</v>
      </c>
      <c r="BO380" s="78">
        <f t="shared" si="60"/>
        <v>0</v>
      </c>
      <c r="BP380" s="78">
        <f t="shared" si="61"/>
        <v>0</v>
      </c>
    </row>
    <row r="381" spans="1:68" ht="27" hidden="1" customHeight="1" x14ac:dyDescent="0.25">
      <c r="A381" s="63" t="s">
        <v>634</v>
      </c>
      <c r="B381" s="63" t="s">
        <v>635</v>
      </c>
      <c r="C381" s="36">
        <v>4301031305</v>
      </c>
      <c r="D381" s="649">
        <v>4607091389845</v>
      </c>
      <c r="E381" s="649"/>
      <c r="F381" s="62">
        <v>0.35</v>
      </c>
      <c r="G381" s="37">
        <v>6</v>
      </c>
      <c r="H381" s="62">
        <v>2.1</v>
      </c>
      <c r="I381" s="62">
        <v>2.2000000000000002</v>
      </c>
      <c r="J381" s="37">
        <v>234</v>
      </c>
      <c r="K381" s="37" t="s">
        <v>234</v>
      </c>
      <c r="L381" s="37" t="s">
        <v>46</v>
      </c>
      <c r="M381" s="38" t="s">
        <v>133</v>
      </c>
      <c r="N381" s="38"/>
      <c r="O381" s="37">
        <v>40</v>
      </c>
      <c r="P381" s="7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1" s="651"/>
      <c r="R381" s="651"/>
      <c r="S381" s="651"/>
      <c r="T381" s="652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57"/>
        <v>0</v>
      </c>
      <c r="Z381" s="41" t="str">
        <f>IFERROR(IF(Y381=0,"",ROUNDUP(Y381/H381,0)*0.00502),"")</f>
        <v/>
      </c>
      <c r="AA381" s="68" t="s">
        <v>46</v>
      </c>
      <c r="AB381" s="69" t="s">
        <v>46</v>
      </c>
      <c r="AC381" s="474" t="s">
        <v>636</v>
      </c>
      <c r="AG381" s="78"/>
      <c r="AJ381" s="84" t="s">
        <v>46</v>
      </c>
      <c r="AK381" s="84">
        <v>0</v>
      </c>
      <c r="BB381" s="475" t="s">
        <v>67</v>
      </c>
      <c r="BM381" s="78">
        <f t="shared" si="58"/>
        <v>0</v>
      </c>
      <c r="BN381" s="78">
        <f t="shared" si="59"/>
        <v>0</v>
      </c>
      <c r="BO381" s="78">
        <f t="shared" si="60"/>
        <v>0</v>
      </c>
      <c r="BP381" s="78">
        <f t="shared" si="61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4301031460</v>
      </c>
      <c r="D382" s="649">
        <v>4680115887442</v>
      </c>
      <c r="E382" s="649"/>
      <c r="F382" s="62">
        <v>0.73</v>
      </c>
      <c r="G382" s="37">
        <v>6</v>
      </c>
      <c r="H382" s="62">
        <v>4.38</v>
      </c>
      <c r="I382" s="62">
        <v>4.63</v>
      </c>
      <c r="J382" s="37">
        <v>132</v>
      </c>
      <c r="K382" s="37" t="s">
        <v>137</v>
      </c>
      <c r="L382" s="37" t="s">
        <v>46</v>
      </c>
      <c r="M382" s="38" t="s">
        <v>133</v>
      </c>
      <c r="N382" s="38"/>
      <c r="O382" s="37">
        <v>45</v>
      </c>
      <c r="P382" s="74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2" s="651"/>
      <c r="R382" s="651"/>
      <c r="S382" s="651"/>
      <c r="T382" s="652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57"/>
        <v>0</v>
      </c>
      <c r="Z382" s="41" t="str">
        <f>IFERROR(IF(Y382=0,"",ROUNDUP(Y382/H382,0)*0.00902),"")</f>
        <v/>
      </c>
      <c r="AA382" s="68" t="s">
        <v>46</v>
      </c>
      <c r="AB382" s="69" t="s">
        <v>46</v>
      </c>
      <c r="AC382" s="476" t="s">
        <v>631</v>
      </c>
      <c r="AG382" s="78"/>
      <c r="AJ382" s="84" t="s">
        <v>46</v>
      </c>
      <c r="AK382" s="84">
        <v>0</v>
      </c>
      <c r="BB382" s="477" t="s">
        <v>67</v>
      </c>
      <c r="BM382" s="78">
        <f t="shared" si="58"/>
        <v>0</v>
      </c>
      <c r="BN382" s="78">
        <f t="shared" si="59"/>
        <v>0</v>
      </c>
      <c r="BO382" s="78">
        <f t="shared" si="60"/>
        <v>0</v>
      </c>
      <c r="BP382" s="78">
        <f t="shared" si="61"/>
        <v>0</v>
      </c>
    </row>
    <row r="383" spans="1:68" ht="27" hidden="1" customHeight="1" x14ac:dyDescent="0.25">
      <c r="A383" s="63" t="s">
        <v>639</v>
      </c>
      <c r="B383" s="63" t="s">
        <v>640</v>
      </c>
      <c r="C383" s="36">
        <v>4301031066</v>
      </c>
      <c r="D383" s="649">
        <v>4607091383836</v>
      </c>
      <c r="E383" s="649"/>
      <c r="F383" s="62">
        <v>0.3</v>
      </c>
      <c r="G383" s="37">
        <v>6</v>
      </c>
      <c r="H383" s="62">
        <v>1.8</v>
      </c>
      <c r="I383" s="62">
        <v>2.028</v>
      </c>
      <c r="J383" s="37">
        <v>182</v>
      </c>
      <c r="K383" s="37" t="s">
        <v>82</v>
      </c>
      <c r="L383" s="37" t="s">
        <v>46</v>
      </c>
      <c r="M383" s="38" t="s">
        <v>133</v>
      </c>
      <c r="N383" s="38"/>
      <c r="O383" s="37">
        <v>40</v>
      </c>
      <c r="P383" s="74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3" s="651"/>
      <c r="R383" s="651"/>
      <c r="S383" s="651"/>
      <c r="T383" s="652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57"/>
        <v>0</v>
      </c>
      <c r="Z383" s="41" t="str">
        <f>IFERROR(IF(Y383=0,"",ROUNDUP(Y383/H383,0)*0.00651),"")</f>
        <v/>
      </c>
      <c r="AA383" s="68" t="s">
        <v>46</v>
      </c>
      <c r="AB383" s="69" t="s">
        <v>46</v>
      </c>
      <c r="AC383" s="478" t="s">
        <v>641</v>
      </c>
      <c r="AG383" s="78"/>
      <c r="AJ383" s="84" t="s">
        <v>46</v>
      </c>
      <c r="AK383" s="84">
        <v>0</v>
      </c>
      <c r="BB383" s="479" t="s">
        <v>67</v>
      </c>
      <c r="BM383" s="78">
        <f t="shared" si="58"/>
        <v>0</v>
      </c>
      <c r="BN383" s="78">
        <f t="shared" si="59"/>
        <v>0</v>
      </c>
      <c r="BO383" s="78">
        <f t="shared" si="60"/>
        <v>0</v>
      </c>
      <c r="BP383" s="78">
        <f t="shared" si="61"/>
        <v>0</v>
      </c>
    </row>
    <row r="384" spans="1:68" x14ac:dyDescent="0.2">
      <c r="A384" s="656"/>
      <c r="B384" s="656"/>
      <c r="C384" s="656"/>
      <c r="D384" s="656"/>
      <c r="E384" s="656"/>
      <c r="F384" s="656"/>
      <c r="G384" s="656"/>
      <c r="H384" s="656"/>
      <c r="I384" s="656"/>
      <c r="J384" s="656"/>
      <c r="K384" s="656"/>
      <c r="L384" s="656"/>
      <c r="M384" s="656"/>
      <c r="N384" s="656"/>
      <c r="O384" s="657"/>
      <c r="P384" s="653" t="s">
        <v>40</v>
      </c>
      <c r="Q384" s="654"/>
      <c r="R384" s="654"/>
      <c r="S384" s="654"/>
      <c r="T384" s="654"/>
      <c r="U384" s="654"/>
      <c r="V384" s="655"/>
      <c r="W384" s="42" t="s">
        <v>39</v>
      </c>
      <c r="X384" s="43">
        <f>IFERROR(X377/H377,"0")+IFERROR(X378/H378,"0")+IFERROR(X379/H379,"0")+IFERROR(X380/H380,"0")+IFERROR(X381/H381,"0")+IFERROR(X382/H382,"0")+IFERROR(X383/H383,"0")</f>
        <v>19.047619047619047</v>
      </c>
      <c r="Y384" s="43">
        <f>IFERROR(Y377/H377,"0")+IFERROR(Y378/H378,"0")+IFERROR(Y379/H379,"0")+IFERROR(Y380/H380,"0")+IFERROR(Y381/H381,"0")+IFERROR(Y382/H382,"0")+IFERROR(Y383/H383,"0")</f>
        <v>20</v>
      </c>
      <c r="Z384" s="43">
        <f>IFERROR(IF(Z377="",0,Z377),"0")+IFERROR(IF(Z378="",0,Z378),"0")+IFERROR(IF(Z379="",0,Z379),"0")+IFERROR(IF(Z380="",0,Z380),"0")+IFERROR(IF(Z381="",0,Z381),"0")+IFERROR(IF(Z382="",0,Z382),"0")+IFERROR(IF(Z383="",0,Z383),"0")</f>
        <v>0.1804</v>
      </c>
      <c r="AA384" s="67"/>
      <c r="AB384" s="67"/>
      <c r="AC384" s="67"/>
    </row>
    <row r="385" spans="1:68" x14ac:dyDescent="0.2">
      <c r="A385" s="656"/>
      <c r="B385" s="656"/>
      <c r="C385" s="656"/>
      <c r="D385" s="656"/>
      <c r="E385" s="656"/>
      <c r="F385" s="656"/>
      <c r="G385" s="656"/>
      <c r="H385" s="656"/>
      <c r="I385" s="656"/>
      <c r="J385" s="656"/>
      <c r="K385" s="656"/>
      <c r="L385" s="656"/>
      <c r="M385" s="656"/>
      <c r="N385" s="656"/>
      <c r="O385" s="657"/>
      <c r="P385" s="653" t="s">
        <v>40</v>
      </c>
      <c r="Q385" s="654"/>
      <c r="R385" s="654"/>
      <c r="S385" s="654"/>
      <c r="T385" s="654"/>
      <c r="U385" s="654"/>
      <c r="V385" s="655"/>
      <c r="W385" s="42" t="s">
        <v>0</v>
      </c>
      <c r="X385" s="43">
        <f>IFERROR(SUM(X377:X383),"0")</f>
        <v>80</v>
      </c>
      <c r="Y385" s="43">
        <f>IFERROR(SUM(Y377:Y383),"0")</f>
        <v>84</v>
      </c>
      <c r="Z385" s="42"/>
      <c r="AA385" s="67"/>
      <c r="AB385" s="67"/>
      <c r="AC385" s="67"/>
    </row>
    <row r="386" spans="1:68" ht="14.25" hidden="1" customHeight="1" x14ac:dyDescent="0.25">
      <c r="A386" s="648" t="s">
        <v>77</v>
      </c>
      <c r="B386" s="648"/>
      <c r="C386" s="648"/>
      <c r="D386" s="648"/>
      <c r="E386" s="648"/>
      <c r="F386" s="648"/>
      <c r="G386" s="648"/>
      <c r="H386" s="648"/>
      <c r="I386" s="648"/>
      <c r="J386" s="648"/>
      <c r="K386" s="648"/>
      <c r="L386" s="648"/>
      <c r="M386" s="648"/>
      <c r="N386" s="648"/>
      <c r="O386" s="648"/>
      <c r="P386" s="648"/>
      <c r="Q386" s="648"/>
      <c r="R386" s="648"/>
      <c r="S386" s="648"/>
      <c r="T386" s="648"/>
      <c r="U386" s="648"/>
      <c r="V386" s="648"/>
      <c r="W386" s="648"/>
      <c r="X386" s="648"/>
      <c r="Y386" s="648"/>
      <c r="Z386" s="648"/>
      <c r="AA386" s="66"/>
      <c r="AB386" s="66"/>
      <c r="AC386" s="80"/>
    </row>
    <row r="387" spans="1:68" ht="27" hidden="1" customHeight="1" x14ac:dyDescent="0.25">
      <c r="A387" s="63" t="s">
        <v>642</v>
      </c>
      <c r="B387" s="63" t="s">
        <v>643</v>
      </c>
      <c r="C387" s="36">
        <v>4301051100</v>
      </c>
      <c r="D387" s="649">
        <v>4607091387766</v>
      </c>
      <c r="E387" s="649"/>
      <c r="F387" s="62">
        <v>1.3</v>
      </c>
      <c r="G387" s="37">
        <v>6</v>
      </c>
      <c r="H387" s="62">
        <v>7.8</v>
      </c>
      <c r="I387" s="62">
        <v>8.2880000000000003</v>
      </c>
      <c r="J387" s="37">
        <v>64</v>
      </c>
      <c r="K387" s="37" t="s">
        <v>129</v>
      </c>
      <c r="L387" s="37" t="s">
        <v>46</v>
      </c>
      <c r="M387" s="38" t="s">
        <v>81</v>
      </c>
      <c r="N387" s="38"/>
      <c r="O387" s="37">
        <v>40</v>
      </c>
      <c r="P387" s="74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7" s="651"/>
      <c r="R387" s="651"/>
      <c r="S387" s="651"/>
      <c r="T387" s="65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0" t="s">
        <v>644</v>
      </c>
      <c r="AG387" s="78"/>
      <c r="AJ387" s="84" t="s">
        <v>46</v>
      </c>
      <c r="AK387" s="84">
        <v>0</v>
      </c>
      <c r="BB387" s="481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4301051818</v>
      </c>
      <c r="D388" s="649">
        <v>4607091387957</v>
      </c>
      <c r="E388" s="649"/>
      <c r="F388" s="62">
        <v>1.3</v>
      </c>
      <c r="G388" s="37">
        <v>6</v>
      </c>
      <c r="H388" s="62">
        <v>7.8</v>
      </c>
      <c r="I388" s="62">
        <v>8.2940000000000005</v>
      </c>
      <c r="J388" s="37">
        <v>64</v>
      </c>
      <c r="K388" s="37" t="s">
        <v>129</v>
      </c>
      <c r="L388" s="37" t="s">
        <v>46</v>
      </c>
      <c r="M388" s="38" t="s">
        <v>81</v>
      </c>
      <c r="N388" s="38"/>
      <c r="O388" s="37">
        <v>40</v>
      </c>
      <c r="P388" s="74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8" s="651"/>
      <c r="R388" s="651"/>
      <c r="S388" s="651"/>
      <c r="T388" s="65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82" t="s">
        <v>647</v>
      </c>
      <c r="AG388" s="78"/>
      <c r="AJ388" s="84" t="s">
        <v>46</v>
      </c>
      <c r="AK388" s="84">
        <v>0</v>
      </c>
      <c r="BB388" s="483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648</v>
      </c>
      <c r="B389" s="63" t="s">
        <v>649</v>
      </c>
      <c r="C389" s="36">
        <v>4301051819</v>
      </c>
      <c r="D389" s="649">
        <v>4607091387964</v>
      </c>
      <c r="E389" s="649"/>
      <c r="F389" s="62">
        <v>1.35</v>
      </c>
      <c r="G389" s="37">
        <v>6</v>
      </c>
      <c r="H389" s="62">
        <v>8.1</v>
      </c>
      <c r="I389" s="62">
        <v>8.5760000000000005</v>
      </c>
      <c r="J389" s="37">
        <v>64</v>
      </c>
      <c r="K389" s="37" t="s">
        <v>129</v>
      </c>
      <c r="L389" s="37" t="s">
        <v>46</v>
      </c>
      <c r="M389" s="38" t="s">
        <v>81</v>
      </c>
      <c r="N389" s="38"/>
      <c r="O389" s="37">
        <v>40</v>
      </c>
      <c r="P389" s="74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9" s="651"/>
      <c r="R389" s="651"/>
      <c r="S389" s="651"/>
      <c r="T389" s="65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4" t="s">
        <v>650</v>
      </c>
      <c r="AG389" s="78"/>
      <c r="AJ389" s="84" t="s">
        <v>46</v>
      </c>
      <c r="AK389" s="84">
        <v>0</v>
      </c>
      <c r="BB389" s="485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651</v>
      </c>
      <c r="B390" s="63" t="s">
        <v>652</v>
      </c>
      <c r="C390" s="36">
        <v>4301051734</v>
      </c>
      <c r="D390" s="649">
        <v>4680115884588</v>
      </c>
      <c r="E390" s="649"/>
      <c r="F390" s="62">
        <v>0.5</v>
      </c>
      <c r="G390" s="37">
        <v>6</v>
      </c>
      <c r="H390" s="62">
        <v>3</v>
      </c>
      <c r="I390" s="62">
        <v>3.246</v>
      </c>
      <c r="J390" s="37">
        <v>182</v>
      </c>
      <c r="K390" s="37" t="s">
        <v>82</v>
      </c>
      <c r="L390" s="37" t="s">
        <v>46</v>
      </c>
      <c r="M390" s="38" t="s">
        <v>81</v>
      </c>
      <c r="N390" s="38"/>
      <c r="O390" s="37">
        <v>40</v>
      </c>
      <c r="P390" s="74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0" s="651"/>
      <c r="R390" s="651"/>
      <c r="S390" s="651"/>
      <c r="T390" s="65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IFERROR(IF(Y390=0,"",ROUNDUP(Y390/H390,0)*0.00651),"")</f>
        <v/>
      </c>
      <c r="AA390" s="68" t="s">
        <v>46</v>
      </c>
      <c r="AB390" s="69" t="s">
        <v>46</v>
      </c>
      <c r="AC390" s="486" t="s">
        <v>644</v>
      </c>
      <c r="AG390" s="78"/>
      <c r="AJ390" s="84" t="s">
        <v>46</v>
      </c>
      <c r="AK390" s="84">
        <v>0</v>
      </c>
      <c r="BB390" s="487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idden="1" x14ac:dyDescent="0.2">
      <c r="A391" s="656"/>
      <c r="B391" s="656"/>
      <c r="C391" s="656"/>
      <c r="D391" s="656"/>
      <c r="E391" s="656"/>
      <c r="F391" s="656"/>
      <c r="G391" s="656"/>
      <c r="H391" s="656"/>
      <c r="I391" s="656"/>
      <c r="J391" s="656"/>
      <c r="K391" s="656"/>
      <c r="L391" s="656"/>
      <c r="M391" s="656"/>
      <c r="N391" s="656"/>
      <c r="O391" s="657"/>
      <c r="P391" s="653" t="s">
        <v>40</v>
      </c>
      <c r="Q391" s="654"/>
      <c r="R391" s="654"/>
      <c r="S391" s="654"/>
      <c r="T391" s="654"/>
      <c r="U391" s="654"/>
      <c r="V391" s="655"/>
      <c r="W391" s="42" t="s">
        <v>39</v>
      </c>
      <c r="X391" s="43">
        <f>IFERROR(X387/H387,"0")+IFERROR(X388/H388,"0")+IFERROR(X389/H389,"0")+IFERROR(X390/H390,"0")</f>
        <v>0</v>
      </c>
      <c r="Y391" s="43">
        <f>IFERROR(Y387/H387,"0")+IFERROR(Y388/H388,"0")+IFERROR(Y389/H389,"0")+IFERROR(Y390/H390,"0")</f>
        <v>0</v>
      </c>
      <c r="Z391" s="43">
        <f>IFERROR(IF(Z387="",0,Z387),"0")+IFERROR(IF(Z388="",0,Z388),"0")+IFERROR(IF(Z389="",0,Z389),"0")+IFERROR(IF(Z390="",0,Z390),"0")</f>
        <v>0</v>
      </c>
      <c r="AA391" s="67"/>
      <c r="AB391" s="67"/>
      <c r="AC391" s="67"/>
    </row>
    <row r="392" spans="1:68" hidden="1" x14ac:dyDescent="0.2">
      <c r="A392" s="656"/>
      <c r="B392" s="656"/>
      <c r="C392" s="656"/>
      <c r="D392" s="656"/>
      <c r="E392" s="656"/>
      <c r="F392" s="656"/>
      <c r="G392" s="656"/>
      <c r="H392" s="656"/>
      <c r="I392" s="656"/>
      <c r="J392" s="656"/>
      <c r="K392" s="656"/>
      <c r="L392" s="656"/>
      <c r="M392" s="656"/>
      <c r="N392" s="656"/>
      <c r="O392" s="657"/>
      <c r="P392" s="653" t="s">
        <v>40</v>
      </c>
      <c r="Q392" s="654"/>
      <c r="R392" s="654"/>
      <c r="S392" s="654"/>
      <c r="T392" s="654"/>
      <c r="U392" s="654"/>
      <c r="V392" s="655"/>
      <c r="W392" s="42" t="s">
        <v>0</v>
      </c>
      <c r="X392" s="43">
        <f>IFERROR(SUM(X387:X390),"0")</f>
        <v>0</v>
      </c>
      <c r="Y392" s="43">
        <f>IFERROR(SUM(Y387:Y390),"0")</f>
        <v>0</v>
      </c>
      <c r="Z392" s="42"/>
      <c r="AA392" s="67"/>
      <c r="AB392" s="67"/>
      <c r="AC392" s="67"/>
    </row>
    <row r="393" spans="1:68" ht="14.25" hidden="1" customHeight="1" x14ac:dyDescent="0.25">
      <c r="A393" s="648" t="s">
        <v>179</v>
      </c>
      <c r="B393" s="648"/>
      <c r="C393" s="648"/>
      <c r="D393" s="648"/>
      <c r="E393" s="648"/>
      <c r="F393" s="648"/>
      <c r="G393" s="648"/>
      <c r="H393" s="648"/>
      <c r="I393" s="648"/>
      <c r="J393" s="648"/>
      <c r="K393" s="648"/>
      <c r="L393" s="648"/>
      <c r="M393" s="648"/>
      <c r="N393" s="648"/>
      <c r="O393" s="648"/>
      <c r="P393" s="648"/>
      <c r="Q393" s="648"/>
      <c r="R393" s="648"/>
      <c r="S393" s="648"/>
      <c r="T393" s="648"/>
      <c r="U393" s="648"/>
      <c r="V393" s="648"/>
      <c r="W393" s="648"/>
      <c r="X393" s="648"/>
      <c r="Y393" s="648"/>
      <c r="Z393" s="648"/>
      <c r="AA393" s="66"/>
      <c r="AB393" s="66"/>
      <c r="AC393" s="80"/>
    </row>
    <row r="394" spans="1:68" ht="27" hidden="1" customHeight="1" x14ac:dyDescent="0.25">
      <c r="A394" s="63" t="s">
        <v>653</v>
      </c>
      <c r="B394" s="63" t="s">
        <v>654</v>
      </c>
      <c r="C394" s="36">
        <v>4301060387</v>
      </c>
      <c r="D394" s="649">
        <v>4607091380880</v>
      </c>
      <c r="E394" s="649"/>
      <c r="F394" s="62">
        <v>1.4</v>
      </c>
      <c r="G394" s="37">
        <v>6</v>
      </c>
      <c r="H394" s="62">
        <v>8.4</v>
      </c>
      <c r="I394" s="62">
        <v>8.8940000000000001</v>
      </c>
      <c r="J394" s="37">
        <v>64</v>
      </c>
      <c r="K394" s="37" t="s">
        <v>129</v>
      </c>
      <c r="L394" s="37" t="s">
        <v>46</v>
      </c>
      <c r="M394" s="38" t="s">
        <v>81</v>
      </c>
      <c r="N394" s="38"/>
      <c r="O394" s="37">
        <v>30</v>
      </c>
      <c r="P394" s="73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4" s="651"/>
      <c r="R394" s="651"/>
      <c r="S394" s="651"/>
      <c r="T394" s="65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IFERROR(IF(Y394=0,"",ROUNDUP(Y394/H394,0)*0.01898),"")</f>
        <v/>
      </c>
      <c r="AA394" s="68" t="s">
        <v>46</v>
      </c>
      <c r="AB394" s="69" t="s">
        <v>46</v>
      </c>
      <c r="AC394" s="488" t="s">
        <v>655</v>
      </c>
      <c r="AG394" s="78"/>
      <c r="AJ394" s="84" t="s">
        <v>46</v>
      </c>
      <c r="AK394" s="84">
        <v>0</v>
      </c>
      <c r="BB394" s="489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customHeight="1" x14ac:dyDescent="0.25">
      <c r="A395" s="63" t="s">
        <v>656</v>
      </c>
      <c r="B395" s="63" t="s">
        <v>657</v>
      </c>
      <c r="C395" s="36">
        <v>4301060406</v>
      </c>
      <c r="D395" s="649">
        <v>4607091384482</v>
      </c>
      <c r="E395" s="649"/>
      <c r="F395" s="62">
        <v>1.3</v>
      </c>
      <c r="G395" s="37">
        <v>6</v>
      </c>
      <c r="H395" s="62">
        <v>7.8</v>
      </c>
      <c r="I395" s="62">
        <v>8.2940000000000005</v>
      </c>
      <c r="J395" s="37">
        <v>64</v>
      </c>
      <c r="K395" s="37" t="s">
        <v>129</v>
      </c>
      <c r="L395" s="37" t="s">
        <v>46</v>
      </c>
      <c r="M395" s="38" t="s">
        <v>81</v>
      </c>
      <c r="N395" s="38"/>
      <c r="O395" s="37">
        <v>30</v>
      </c>
      <c r="P395" s="73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5" s="651"/>
      <c r="R395" s="651"/>
      <c r="S395" s="651"/>
      <c r="T395" s="652"/>
      <c r="U395" s="39" t="s">
        <v>46</v>
      </c>
      <c r="V395" s="39" t="s">
        <v>46</v>
      </c>
      <c r="W395" s="40" t="s">
        <v>0</v>
      </c>
      <c r="X395" s="58">
        <v>150</v>
      </c>
      <c r="Y395" s="55">
        <f>IFERROR(IF(X395="",0,CEILING((X395/$H395),1)*$H395),"")</f>
        <v>156</v>
      </c>
      <c r="Z395" s="41">
        <f>IFERROR(IF(Y395=0,"",ROUNDUP(Y395/H395,0)*0.01898),"")</f>
        <v>0.37959999999999999</v>
      </c>
      <c r="AA395" s="68" t="s">
        <v>46</v>
      </c>
      <c r="AB395" s="69" t="s">
        <v>46</v>
      </c>
      <c r="AC395" s="490" t="s">
        <v>658</v>
      </c>
      <c r="AG395" s="78"/>
      <c r="AJ395" s="84" t="s">
        <v>46</v>
      </c>
      <c r="AK395" s="84">
        <v>0</v>
      </c>
      <c r="BB395" s="491" t="s">
        <v>67</v>
      </c>
      <c r="BM395" s="78">
        <f>IFERROR(X395*I395/H395,"0")</f>
        <v>159.50000000000003</v>
      </c>
      <c r="BN395" s="78">
        <f>IFERROR(Y395*I395/H395,"0")</f>
        <v>165.88</v>
      </c>
      <c r="BO395" s="78">
        <f>IFERROR(1/J395*(X395/H395),"0")</f>
        <v>0.30048076923076922</v>
      </c>
      <c r="BP395" s="78">
        <f>IFERROR(1/J395*(Y395/H395),"0")</f>
        <v>0.3125</v>
      </c>
    </row>
    <row r="396" spans="1:68" ht="27" customHeight="1" x14ac:dyDescent="0.25">
      <c r="A396" s="63" t="s">
        <v>659</v>
      </c>
      <c r="B396" s="63" t="s">
        <v>660</v>
      </c>
      <c r="C396" s="36">
        <v>4301060484</v>
      </c>
      <c r="D396" s="649">
        <v>4607091380897</v>
      </c>
      <c r="E396" s="649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129</v>
      </c>
      <c r="L396" s="37" t="s">
        <v>46</v>
      </c>
      <c r="M396" s="38" t="s">
        <v>88</v>
      </c>
      <c r="N396" s="38"/>
      <c r="O396" s="37">
        <v>30</v>
      </c>
      <c r="P396" s="73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6" s="651"/>
      <c r="R396" s="651"/>
      <c r="S396" s="651"/>
      <c r="T396" s="652"/>
      <c r="U396" s="39" t="s">
        <v>46</v>
      </c>
      <c r="V396" s="39" t="s">
        <v>46</v>
      </c>
      <c r="W396" s="40" t="s">
        <v>0</v>
      </c>
      <c r="X396" s="58">
        <v>50</v>
      </c>
      <c r="Y396" s="55">
        <f>IFERROR(IF(X396="",0,CEILING((X396/$H396),1)*$H396),"")</f>
        <v>50.400000000000006</v>
      </c>
      <c r="Z396" s="41">
        <f>IFERROR(IF(Y396=0,"",ROUNDUP(Y396/H396,0)*0.01898),"")</f>
        <v>0.11388000000000001</v>
      </c>
      <c r="AA396" s="68" t="s">
        <v>46</v>
      </c>
      <c r="AB396" s="69" t="s">
        <v>46</v>
      </c>
      <c r="AC396" s="492" t="s">
        <v>661</v>
      </c>
      <c r="AG396" s="78"/>
      <c r="AJ396" s="84" t="s">
        <v>46</v>
      </c>
      <c r="AK396" s="84">
        <v>0</v>
      </c>
      <c r="BB396" s="493" t="s">
        <v>67</v>
      </c>
      <c r="BM396" s="78">
        <f>IFERROR(X396*I396/H396,"0")</f>
        <v>52.94047619047619</v>
      </c>
      <c r="BN396" s="78">
        <f>IFERROR(Y396*I396/H396,"0")</f>
        <v>53.364000000000004</v>
      </c>
      <c r="BO396" s="78">
        <f>IFERROR(1/J396*(X396/H396),"0")</f>
        <v>9.3005952380952384E-2</v>
      </c>
      <c r="BP396" s="78">
        <f>IFERROR(1/J396*(Y396/H396),"0")</f>
        <v>9.375E-2</v>
      </c>
    </row>
    <row r="397" spans="1:68" x14ac:dyDescent="0.2">
      <c r="A397" s="656"/>
      <c r="B397" s="656"/>
      <c r="C397" s="656"/>
      <c r="D397" s="656"/>
      <c r="E397" s="656"/>
      <c r="F397" s="656"/>
      <c r="G397" s="656"/>
      <c r="H397" s="656"/>
      <c r="I397" s="656"/>
      <c r="J397" s="656"/>
      <c r="K397" s="656"/>
      <c r="L397" s="656"/>
      <c r="M397" s="656"/>
      <c r="N397" s="656"/>
      <c r="O397" s="657"/>
      <c r="P397" s="653" t="s">
        <v>40</v>
      </c>
      <c r="Q397" s="654"/>
      <c r="R397" s="654"/>
      <c r="S397" s="654"/>
      <c r="T397" s="654"/>
      <c r="U397" s="654"/>
      <c r="V397" s="655"/>
      <c r="W397" s="42" t="s">
        <v>39</v>
      </c>
      <c r="X397" s="43">
        <f>IFERROR(X394/H394,"0")+IFERROR(X395/H395,"0")+IFERROR(X396/H396,"0")</f>
        <v>25.183150183150182</v>
      </c>
      <c r="Y397" s="43">
        <f>IFERROR(Y394/H394,"0")+IFERROR(Y395/H395,"0")+IFERROR(Y396/H396,"0")</f>
        <v>26</v>
      </c>
      <c r="Z397" s="43">
        <f>IFERROR(IF(Z394="",0,Z394),"0")+IFERROR(IF(Z395="",0,Z395),"0")+IFERROR(IF(Z396="",0,Z396),"0")</f>
        <v>0.49348000000000003</v>
      </c>
      <c r="AA397" s="67"/>
      <c r="AB397" s="67"/>
      <c r="AC397" s="67"/>
    </row>
    <row r="398" spans="1:68" x14ac:dyDescent="0.2">
      <c r="A398" s="656"/>
      <c r="B398" s="656"/>
      <c r="C398" s="656"/>
      <c r="D398" s="656"/>
      <c r="E398" s="656"/>
      <c r="F398" s="656"/>
      <c r="G398" s="656"/>
      <c r="H398" s="656"/>
      <c r="I398" s="656"/>
      <c r="J398" s="656"/>
      <c r="K398" s="656"/>
      <c r="L398" s="656"/>
      <c r="M398" s="656"/>
      <c r="N398" s="656"/>
      <c r="O398" s="657"/>
      <c r="P398" s="653" t="s">
        <v>40</v>
      </c>
      <c r="Q398" s="654"/>
      <c r="R398" s="654"/>
      <c r="S398" s="654"/>
      <c r="T398" s="654"/>
      <c r="U398" s="654"/>
      <c r="V398" s="655"/>
      <c r="W398" s="42" t="s">
        <v>0</v>
      </c>
      <c r="X398" s="43">
        <f>IFERROR(SUM(X394:X396),"0")</f>
        <v>200</v>
      </c>
      <c r="Y398" s="43">
        <f>IFERROR(SUM(Y394:Y396),"0")</f>
        <v>206.4</v>
      </c>
      <c r="Z398" s="42"/>
      <c r="AA398" s="67"/>
      <c r="AB398" s="67"/>
      <c r="AC398" s="67"/>
    </row>
    <row r="399" spans="1:68" ht="14.25" hidden="1" customHeight="1" x14ac:dyDescent="0.25">
      <c r="A399" s="648" t="s">
        <v>95</v>
      </c>
      <c r="B399" s="648"/>
      <c r="C399" s="648"/>
      <c r="D399" s="648"/>
      <c r="E399" s="648"/>
      <c r="F399" s="648"/>
      <c r="G399" s="648"/>
      <c r="H399" s="648"/>
      <c r="I399" s="648"/>
      <c r="J399" s="648"/>
      <c r="K399" s="648"/>
      <c r="L399" s="648"/>
      <c r="M399" s="648"/>
      <c r="N399" s="648"/>
      <c r="O399" s="648"/>
      <c r="P399" s="648"/>
      <c r="Q399" s="648"/>
      <c r="R399" s="648"/>
      <c r="S399" s="648"/>
      <c r="T399" s="648"/>
      <c r="U399" s="648"/>
      <c r="V399" s="648"/>
      <c r="W399" s="648"/>
      <c r="X399" s="648"/>
      <c r="Y399" s="648"/>
      <c r="Z399" s="648"/>
      <c r="AA399" s="66"/>
      <c r="AB399" s="66"/>
      <c r="AC399" s="80"/>
    </row>
    <row r="400" spans="1:68" ht="27" hidden="1" customHeight="1" x14ac:dyDescent="0.25">
      <c r="A400" s="63" t="s">
        <v>662</v>
      </c>
      <c r="B400" s="63" t="s">
        <v>663</v>
      </c>
      <c r="C400" s="36">
        <v>4301030235</v>
      </c>
      <c r="D400" s="649">
        <v>4607091388381</v>
      </c>
      <c r="E400" s="649"/>
      <c r="F400" s="62">
        <v>0.38</v>
      </c>
      <c r="G400" s="37">
        <v>8</v>
      </c>
      <c r="H400" s="62">
        <v>3.04</v>
      </c>
      <c r="I400" s="62">
        <v>3.31</v>
      </c>
      <c r="J400" s="37">
        <v>132</v>
      </c>
      <c r="K400" s="37" t="s">
        <v>137</v>
      </c>
      <c r="L400" s="37" t="s">
        <v>46</v>
      </c>
      <c r="M400" s="38" t="s">
        <v>254</v>
      </c>
      <c r="N400" s="38"/>
      <c r="O400" s="37">
        <v>180</v>
      </c>
      <c r="P400" s="738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0" s="651"/>
      <c r="R400" s="651"/>
      <c r="S400" s="651"/>
      <c r="T400" s="65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494" t="s">
        <v>664</v>
      </c>
      <c r="AG400" s="78"/>
      <c r="AJ400" s="84" t="s">
        <v>46</v>
      </c>
      <c r="AK400" s="84">
        <v>0</v>
      </c>
      <c r="BB400" s="495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4301030232</v>
      </c>
      <c r="D401" s="649">
        <v>4607091388374</v>
      </c>
      <c r="E401" s="649"/>
      <c r="F401" s="62">
        <v>0.38</v>
      </c>
      <c r="G401" s="37">
        <v>8</v>
      </c>
      <c r="H401" s="62">
        <v>3.04</v>
      </c>
      <c r="I401" s="62">
        <v>3.27</v>
      </c>
      <c r="J401" s="37">
        <v>132</v>
      </c>
      <c r="K401" s="37" t="s">
        <v>137</v>
      </c>
      <c r="L401" s="37" t="s">
        <v>46</v>
      </c>
      <c r="M401" s="38" t="s">
        <v>254</v>
      </c>
      <c r="N401" s="38"/>
      <c r="O401" s="37">
        <v>180</v>
      </c>
      <c r="P401" s="73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1" s="651"/>
      <c r="R401" s="651"/>
      <c r="S401" s="651"/>
      <c r="T401" s="65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IFERROR(IF(Y401=0,"",ROUNDUP(Y401/H401,0)*0.00902),"")</f>
        <v/>
      </c>
      <c r="AA401" s="68" t="s">
        <v>46</v>
      </c>
      <c r="AB401" s="69" t="s">
        <v>46</v>
      </c>
      <c r="AC401" s="496" t="s">
        <v>664</v>
      </c>
      <c r="AG401" s="78"/>
      <c r="AJ401" s="84" t="s">
        <v>46</v>
      </c>
      <c r="AK401" s="84">
        <v>0</v>
      </c>
      <c r="BB401" s="497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hidden="1" customHeight="1" x14ac:dyDescent="0.25">
      <c r="A402" s="63" t="s">
        <v>667</v>
      </c>
      <c r="B402" s="63" t="s">
        <v>668</v>
      </c>
      <c r="C402" s="36">
        <v>4301032015</v>
      </c>
      <c r="D402" s="649">
        <v>4607091383102</v>
      </c>
      <c r="E402" s="649"/>
      <c r="F402" s="62">
        <v>0.17</v>
      </c>
      <c r="G402" s="37">
        <v>15</v>
      </c>
      <c r="H402" s="62">
        <v>2.5499999999999998</v>
      </c>
      <c r="I402" s="62">
        <v>2.9550000000000001</v>
      </c>
      <c r="J402" s="37">
        <v>182</v>
      </c>
      <c r="K402" s="37" t="s">
        <v>82</v>
      </c>
      <c r="L402" s="37" t="s">
        <v>46</v>
      </c>
      <c r="M402" s="38" t="s">
        <v>254</v>
      </c>
      <c r="N402" s="38"/>
      <c r="O402" s="37">
        <v>180</v>
      </c>
      <c r="P402" s="74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2" s="651"/>
      <c r="R402" s="651"/>
      <c r="S402" s="651"/>
      <c r="T402" s="65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IFERROR(IF(Y402=0,"",ROUNDUP(Y402/H402,0)*0.00651),"")</f>
        <v/>
      </c>
      <c r="AA402" s="68" t="s">
        <v>46</v>
      </c>
      <c r="AB402" s="69" t="s">
        <v>46</v>
      </c>
      <c r="AC402" s="498" t="s">
        <v>664</v>
      </c>
      <c r="AG402" s="78"/>
      <c r="AJ402" s="84" t="s">
        <v>46</v>
      </c>
      <c r="AK402" s="84">
        <v>0</v>
      </c>
      <c r="BB402" s="499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669</v>
      </c>
      <c r="B403" s="63" t="s">
        <v>670</v>
      </c>
      <c r="C403" s="36">
        <v>4301030233</v>
      </c>
      <c r="D403" s="649">
        <v>4607091388404</v>
      </c>
      <c r="E403" s="649"/>
      <c r="F403" s="62">
        <v>0.17</v>
      </c>
      <c r="G403" s="37">
        <v>15</v>
      </c>
      <c r="H403" s="62">
        <v>2.5499999999999998</v>
      </c>
      <c r="I403" s="62">
        <v>2.88</v>
      </c>
      <c r="J403" s="37">
        <v>182</v>
      </c>
      <c r="K403" s="37" t="s">
        <v>82</v>
      </c>
      <c r="L403" s="37" t="s">
        <v>46</v>
      </c>
      <c r="M403" s="38" t="s">
        <v>254</v>
      </c>
      <c r="N403" s="38"/>
      <c r="O403" s="37">
        <v>180</v>
      </c>
      <c r="P403" s="73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3" s="651"/>
      <c r="R403" s="651"/>
      <c r="S403" s="651"/>
      <c r="T403" s="65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46</v>
      </c>
      <c r="AB403" s="69" t="s">
        <v>46</v>
      </c>
      <c r="AC403" s="500" t="s">
        <v>664</v>
      </c>
      <c r="AG403" s="78"/>
      <c r="AJ403" s="84" t="s">
        <v>46</v>
      </c>
      <c r="AK403" s="84">
        <v>0</v>
      </c>
      <c r="BB403" s="501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idden="1" x14ac:dyDescent="0.2">
      <c r="A404" s="656"/>
      <c r="B404" s="656"/>
      <c r="C404" s="656"/>
      <c r="D404" s="656"/>
      <c r="E404" s="656"/>
      <c r="F404" s="656"/>
      <c r="G404" s="656"/>
      <c r="H404" s="656"/>
      <c r="I404" s="656"/>
      <c r="J404" s="656"/>
      <c r="K404" s="656"/>
      <c r="L404" s="656"/>
      <c r="M404" s="656"/>
      <c r="N404" s="656"/>
      <c r="O404" s="657"/>
      <c r="P404" s="653" t="s">
        <v>40</v>
      </c>
      <c r="Q404" s="654"/>
      <c r="R404" s="654"/>
      <c r="S404" s="654"/>
      <c r="T404" s="654"/>
      <c r="U404" s="654"/>
      <c r="V404" s="655"/>
      <c r="W404" s="42" t="s">
        <v>39</v>
      </c>
      <c r="X404" s="43">
        <f>IFERROR(X400/H400,"0")+IFERROR(X401/H401,"0")+IFERROR(X402/H402,"0")+IFERROR(X403/H403,"0")</f>
        <v>0</v>
      </c>
      <c r="Y404" s="43">
        <f>IFERROR(Y400/H400,"0")+IFERROR(Y401/H401,"0")+IFERROR(Y402/H402,"0")+IFERROR(Y403/H403,"0")</f>
        <v>0</v>
      </c>
      <c r="Z404" s="43">
        <f>IFERROR(IF(Z400="",0,Z400),"0")+IFERROR(IF(Z401="",0,Z401),"0")+IFERROR(IF(Z402="",0,Z402),"0")+IFERROR(IF(Z403="",0,Z403),"0")</f>
        <v>0</v>
      </c>
      <c r="AA404" s="67"/>
      <c r="AB404" s="67"/>
      <c r="AC404" s="67"/>
    </row>
    <row r="405" spans="1:68" hidden="1" x14ac:dyDescent="0.2">
      <c r="A405" s="656"/>
      <c r="B405" s="656"/>
      <c r="C405" s="656"/>
      <c r="D405" s="656"/>
      <c r="E405" s="656"/>
      <c r="F405" s="656"/>
      <c r="G405" s="656"/>
      <c r="H405" s="656"/>
      <c r="I405" s="656"/>
      <c r="J405" s="656"/>
      <c r="K405" s="656"/>
      <c r="L405" s="656"/>
      <c r="M405" s="656"/>
      <c r="N405" s="656"/>
      <c r="O405" s="657"/>
      <c r="P405" s="653" t="s">
        <v>40</v>
      </c>
      <c r="Q405" s="654"/>
      <c r="R405" s="654"/>
      <c r="S405" s="654"/>
      <c r="T405" s="654"/>
      <c r="U405" s="654"/>
      <c r="V405" s="655"/>
      <c r="W405" s="42" t="s">
        <v>0</v>
      </c>
      <c r="X405" s="43">
        <f>IFERROR(SUM(X400:X403),"0")</f>
        <v>0</v>
      </c>
      <c r="Y405" s="43">
        <f>IFERROR(SUM(Y400:Y403),"0")</f>
        <v>0</v>
      </c>
      <c r="Z405" s="42"/>
      <c r="AA405" s="67"/>
      <c r="AB405" s="67"/>
      <c r="AC405" s="67"/>
    </row>
    <row r="406" spans="1:68" ht="14.25" hidden="1" customHeight="1" x14ac:dyDescent="0.25">
      <c r="A406" s="648" t="s">
        <v>671</v>
      </c>
      <c r="B406" s="648"/>
      <c r="C406" s="648"/>
      <c r="D406" s="648"/>
      <c r="E406" s="648"/>
      <c r="F406" s="648"/>
      <c r="G406" s="648"/>
      <c r="H406" s="648"/>
      <c r="I406" s="648"/>
      <c r="J406" s="648"/>
      <c r="K406" s="648"/>
      <c r="L406" s="648"/>
      <c r="M406" s="648"/>
      <c r="N406" s="648"/>
      <c r="O406" s="648"/>
      <c r="P406" s="648"/>
      <c r="Q406" s="648"/>
      <c r="R406" s="648"/>
      <c r="S406" s="648"/>
      <c r="T406" s="648"/>
      <c r="U406" s="648"/>
      <c r="V406" s="648"/>
      <c r="W406" s="648"/>
      <c r="X406" s="648"/>
      <c r="Y406" s="648"/>
      <c r="Z406" s="648"/>
      <c r="AA406" s="66"/>
      <c r="AB406" s="66"/>
      <c r="AC406" s="80"/>
    </row>
    <row r="407" spans="1:68" ht="16.5" hidden="1" customHeight="1" x14ac:dyDescent="0.25">
      <c r="A407" s="63" t="s">
        <v>672</v>
      </c>
      <c r="B407" s="63" t="s">
        <v>673</v>
      </c>
      <c r="C407" s="36">
        <v>4301180007</v>
      </c>
      <c r="D407" s="649">
        <v>4680115881808</v>
      </c>
      <c r="E407" s="649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82</v>
      </c>
      <c r="L407" s="37" t="s">
        <v>46</v>
      </c>
      <c r="M407" s="38" t="s">
        <v>675</v>
      </c>
      <c r="N407" s="38"/>
      <c r="O407" s="37">
        <v>731</v>
      </c>
      <c r="P407" s="73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7" s="651"/>
      <c r="R407" s="651"/>
      <c r="S407" s="651"/>
      <c r="T407" s="65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02" t="s">
        <v>674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4301180006</v>
      </c>
      <c r="D408" s="649">
        <v>4680115881822</v>
      </c>
      <c r="E408" s="649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82</v>
      </c>
      <c r="L408" s="37" t="s">
        <v>46</v>
      </c>
      <c r="M408" s="38" t="s">
        <v>675</v>
      </c>
      <c r="N408" s="38"/>
      <c r="O408" s="37">
        <v>731</v>
      </c>
      <c r="P408" s="73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8" s="651"/>
      <c r="R408" s="651"/>
      <c r="S408" s="651"/>
      <c r="T408" s="65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04" t="s">
        <v>674</v>
      </c>
      <c r="AG408" s="78"/>
      <c r="AJ408" s="84" t="s">
        <v>46</v>
      </c>
      <c r="AK408" s="84">
        <v>0</v>
      </c>
      <c r="BB408" s="505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678</v>
      </c>
      <c r="B409" s="63" t="s">
        <v>679</v>
      </c>
      <c r="C409" s="36">
        <v>4301180001</v>
      </c>
      <c r="D409" s="649">
        <v>4680115880016</v>
      </c>
      <c r="E409" s="649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82</v>
      </c>
      <c r="L409" s="37" t="s">
        <v>46</v>
      </c>
      <c r="M409" s="38" t="s">
        <v>675</v>
      </c>
      <c r="N409" s="38"/>
      <c r="O409" s="37">
        <v>731</v>
      </c>
      <c r="P409" s="73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9" s="651"/>
      <c r="R409" s="651"/>
      <c r="S409" s="651"/>
      <c r="T409" s="65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06" t="s">
        <v>674</v>
      </c>
      <c r="AG409" s="78"/>
      <c r="AJ409" s="84" t="s">
        <v>46</v>
      </c>
      <c r="AK409" s="84">
        <v>0</v>
      </c>
      <c r="BB409" s="507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idden="1" x14ac:dyDescent="0.2">
      <c r="A410" s="656"/>
      <c r="B410" s="656"/>
      <c r="C410" s="656"/>
      <c r="D410" s="656"/>
      <c r="E410" s="656"/>
      <c r="F410" s="656"/>
      <c r="G410" s="656"/>
      <c r="H410" s="656"/>
      <c r="I410" s="656"/>
      <c r="J410" s="656"/>
      <c r="K410" s="656"/>
      <c r="L410" s="656"/>
      <c r="M410" s="656"/>
      <c r="N410" s="656"/>
      <c r="O410" s="657"/>
      <c r="P410" s="653" t="s">
        <v>40</v>
      </c>
      <c r="Q410" s="654"/>
      <c r="R410" s="654"/>
      <c r="S410" s="654"/>
      <c r="T410" s="654"/>
      <c r="U410" s="654"/>
      <c r="V410" s="655"/>
      <c r="W410" s="42" t="s">
        <v>39</v>
      </c>
      <c r="X410" s="43">
        <f>IFERROR(X407/H407,"0")+IFERROR(X408/H408,"0")+IFERROR(X409/H409,"0")</f>
        <v>0</v>
      </c>
      <c r="Y410" s="43">
        <f>IFERROR(Y407/H407,"0")+IFERROR(Y408/H408,"0")+IFERROR(Y409/H409,"0")</f>
        <v>0</v>
      </c>
      <c r="Z410" s="43">
        <f>IFERROR(IF(Z407="",0,Z407),"0")+IFERROR(IF(Z408="",0,Z408),"0")+IFERROR(IF(Z409="",0,Z409),"0")</f>
        <v>0</v>
      </c>
      <c r="AA410" s="67"/>
      <c r="AB410" s="67"/>
      <c r="AC410" s="67"/>
    </row>
    <row r="411" spans="1:68" hidden="1" x14ac:dyDescent="0.2">
      <c r="A411" s="656"/>
      <c r="B411" s="656"/>
      <c r="C411" s="656"/>
      <c r="D411" s="656"/>
      <c r="E411" s="656"/>
      <c r="F411" s="656"/>
      <c r="G411" s="656"/>
      <c r="H411" s="656"/>
      <c r="I411" s="656"/>
      <c r="J411" s="656"/>
      <c r="K411" s="656"/>
      <c r="L411" s="656"/>
      <c r="M411" s="656"/>
      <c r="N411" s="656"/>
      <c r="O411" s="657"/>
      <c r="P411" s="653" t="s">
        <v>40</v>
      </c>
      <c r="Q411" s="654"/>
      <c r="R411" s="654"/>
      <c r="S411" s="654"/>
      <c r="T411" s="654"/>
      <c r="U411" s="654"/>
      <c r="V411" s="655"/>
      <c r="W411" s="42" t="s">
        <v>0</v>
      </c>
      <c r="X411" s="43">
        <f>IFERROR(SUM(X407:X409),"0")</f>
        <v>0</v>
      </c>
      <c r="Y411" s="43">
        <f>IFERROR(SUM(Y407:Y409),"0")</f>
        <v>0</v>
      </c>
      <c r="Z411" s="42"/>
      <c r="AA411" s="67"/>
      <c r="AB411" s="67"/>
      <c r="AC411" s="67"/>
    </row>
    <row r="412" spans="1:68" ht="14.25" hidden="1" customHeight="1" x14ac:dyDescent="0.25">
      <c r="A412" s="648" t="s">
        <v>680</v>
      </c>
      <c r="B412" s="648"/>
      <c r="C412" s="648"/>
      <c r="D412" s="648"/>
      <c r="E412" s="648"/>
      <c r="F412" s="648"/>
      <c r="G412" s="648"/>
      <c r="H412" s="648"/>
      <c r="I412" s="648"/>
      <c r="J412" s="648"/>
      <c r="K412" s="648"/>
      <c r="L412" s="648"/>
      <c r="M412" s="648"/>
      <c r="N412" s="648"/>
      <c r="O412" s="648"/>
      <c r="P412" s="648"/>
      <c r="Q412" s="648"/>
      <c r="R412" s="648"/>
      <c r="S412" s="648"/>
      <c r="T412" s="648"/>
      <c r="U412" s="648"/>
      <c r="V412" s="648"/>
      <c r="W412" s="648"/>
      <c r="X412" s="648"/>
      <c r="Y412" s="648"/>
      <c r="Z412" s="648"/>
      <c r="AA412" s="66"/>
      <c r="AB412" s="66"/>
      <c r="AC412" s="80"/>
    </row>
    <row r="413" spans="1:68" ht="27" hidden="1" customHeight="1" x14ac:dyDescent="0.25">
      <c r="A413" s="63" t="s">
        <v>681</v>
      </c>
      <c r="B413" s="63" t="s">
        <v>682</v>
      </c>
      <c r="C413" s="36">
        <v>4301220003</v>
      </c>
      <c r="D413" s="649">
        <v>4680115888678</v>
      </c>
      <c r="E413" s="649"/>
      <c r="F413" s="62">
        <v>0.25</v>
      </c>
      <c r="G413" s="37">
        <v>12</v>
      </c>
      <c r="H413" s="62">
        <v>3</v>
      </c>
      <c r="I413" s="62">
        <v>3.22</v>
      </c>
      <c r="J413" s="37">
        <v>224</v>
      </c>
      <c r="K413" s="37" t="s">
        <v>82</v>
      </c>
      <c r="L413" s="37" t="s">
        <v>46</v>
      </c>
      <c r="M413" s="38" t="s">
        <v>675</v>
      </c>
      <c r="N413" s="38"/>
      <c r="O413" s="37">
        <v>1096</v>
      </c>
      <c r="P413" s="73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3" s="651"/>
      <c r="R413" s="651"/>
      <c r="S413" s="651"/>
      <c r="T413" s="652"/>
      <c r="U413" s="39" t="s">
        <v>46</v>
      </c>
      <c r="V413" s="39" t="s">
        <v>46</v>
      </c>
      <c r="W413" s="40" t="s">
        <v>0</v>
      </c>
      <c r="X413" s="58">
        <v>0</v>
      </c>
      <c r="Y413" s="55">
        <f>IFERROR(IF(X413="",0,CEILING((X413/$H413),1)*$H413),"")</f>
        <v>0</v>
      </c>
      <c r="Z413" s="41" t="str">
        <f>IFERROR(IF(Y413=0,"",ROUNDUP(Y413/H413,0)*0.0045),"")</f>
        <v/>
      </c>
      <c r="AA413" s="68" t="s">
        <v>46</v>
      </c>
      <c r="AB413" s="69" t="s">
        <v>46</v>
      </c>
      <c r="AC413" s="508" t="s">
        <v>683</v>
      </c>
      <c r="AG413" s="78"/>
      <c r="AJ413" s="84" t="s">
        <v>46</v>
      </c>
      <c r="AK413" s="84">
        <v>0</v>
      </c>
      <c r="BB413" s="509" t="s">
        <v>67</v>
      </c>
      <c r="BM413" s="78">
        <f>IFERROR(X413*I413/H413,"0")</f>
        <v>0</v>
      </c>
      <c r="BN413" s="78">
        <f>IFERROR(Y413*I413/H413,"0")</f>
        <v>0</v>
      </c>
      <c r="BO413" s="78">
        <f>IFERROR(1/J413*(X413/H413),"0")</f>
        <v>0</v>
      </c>
      <c r="BP413" s="78">
        <f>IFERROR(1/J413*(Y413/H413),"0")</f>
        <v>0</v>
      </c>
    </row>
    <row r="414" spans="1:68" ht="27" hidden="1" customHeight="1" x14ac:dyDescent="0.25">
      <c r="A414" s="63" t="s">
        <v>684</v>
      </c>
      <c r="B414" s="63" t="s">
        <v>685</v>
      </c>
      <c r="C414" s="36">
        <v>4301220001</v>
      </c>
      <c r="D414" s="649">
        <v>4680115888654</v>
      </c>
      <c r="E414" s="649"/>
      <c r="F414" s="62">
        <v>0.32500000000000001</v>
      </c>
      <c r="G414" s="37">
        <v>12</v>
      </c>
      <c r="H414" s="62">
        <v>3.9</v>
      </c>
      <c r="I414" s="62">
        <v>4.17</v>
      </c>
      <c r="J414" s="37">
        <v>144</v>
      </c>
      <c r="K414" s="37" t="s">
        <v>137</v>
      </c>
      <c r="L414" s="37" t="s">
        <v>46</v>
      </c>
      <c r="M414" s="38" t="s">
        <v>675</v>
      </c>
      <c r="N414" s="38"/>
      <c r="O414" s="37">
        <v>1096</v>
      </c>
      <c r="P414" s="724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4" s="651"/>
      <c r="R414" s="651"/>
      <c r="S414" s="651"/>
      <c r="T414" s="652"/>
      <c r="U414" s="39" t="s">
        <v>46</v>
      </c>
      <c r="V414" s="39" t="s">
        <v>46</v>
      </c>
      <c r="W414" s="40" t="s">
        <v>0</v>
      </c>
      <c r="X414" s="58">
        <v>0</v>
      </c>
      <c r="Y414" s="55">
        <f>IFERROR(IF(X414="",0,CEILING((X414/$H414),1)*$H414),"")</f>
        <v>0</v>
      </c>
      <c r="Z414" s="41" t="str">
        <f>IFERROR(IF(Y414=0,"",ROUNDUP(Y414/H414,0)*0.006),"")</f>
        <v/>
      </c>
      <c r="AA414" s="68" t="s">
        <v>46</v>
      </c>
      <c r="AB414" s="69" t="s">
        <v>46</v>
      </c>
      <c r="AC414" s="510" t="s">
        <v>686</v>
      </c>
      <c r="AG414" s="78"/>
      <c r="AJ414" s="84" t="s">
        <v>46</v>
      </c>
      <c r="AK414" s="84">
        <v>0</v>
      </c>
      <c r="BB414" s="511" t="s">
        <v>67</v>
      </c>
      <c r="BM414" s="78">
        <f>IFERROR(X414*I414/H414,"0")</f>
        <v>0</v>
      </c>
      <c r="BN414" s="78">
        <f>IFERROR(Y414*I414/H414,"0")</f>
        <v>0</v>
      </c>
      <c r="BO414" s="78">
        <f>IFERROR(1/J414*(X414/H414),"0")</f>
        <v>0</v>
      </c>
      <c r="BP414" s="78">
        <f>IFERROR(1/J414*(Y414/H414),"0")</f>
        <v>0</v>
      </c>
    </row>
    <row r="415" spans="1:68" ht="27" hidden="1" customHeight="1" x14ac:dyDescent="0.25">
      <c r="A415" s="63" t="s">
        <v>687</v>
      </c>
      <c r="B415" s="63" t="s">
        <v>688</v>
      </c>
      <c r="C415" s="36">
        <v>4301220002</v>
      </c>
      <c r="D415" s="649">
        <v>4680115888753</v>
      </c>
      <c r="E415" s="649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82</v>
      </c>
      <c r="L415" s="37" t="s">
        <v>46</v>
      </c>
      <c r="M415" s="38" t="s">
        <v>675</v>
      </c>
      <c r="N415" s="38"/>
      <c r="O415" s="37">
        <v>1096</v>
      </c>
      <c r="P415" s="72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5" s="651"/>
      <c r="R415" s="651"/>
      <c r="S415" s="651"/>
      <c r="T415" s="65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12" t="s">
        <v>683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idden="1" x14ac:dyDescent="0.2">
      <c r="A416" s="656"/>
      <c r="B416" s="656"/>
      <c r="C416" s="656"/>
      <c r="D416" s="656"/>
      <c r="E416" s="656"/>
      <c r="F416" s="656"/>
      <c r="G416" s="656"/>
      <c r="H416" s="656"/>
      <c r="I416" s="656"/>
      <c r="J416" s="656"/>
      <c r="K416" s="656"/>
      <c r="L416" s="656"/>
      <c r="M416" s="656"/>
      <c r="N416" s="656"/>
      <c r="O416" s="657"/>
      <c r="P416" s="653" t="s">
        <v>40</v>
      </c>
      <c r="Q416" s="654"/>
      <c r="R416" s="654"/>
      <c r="S416" s="654"/>
      <c r="T416" s="654"/>
      <c r="U416" s="654"/>
      <c r="V416" s="655"/>
      <c r="W416" s="42" t="s">
        <v>39</v>
      </c>
      <c r="X416" s="43">
        <f>IFERROR(X413/H413,"0")+IFERROR(X414/H414,"0")+IFERROR(X415/H415,"0")</f>
        <v>0</v>
      </c>
      <c r="Y416" s="43">
        <f>IFERROR(Y413/H413,"0")+IFERROR(Y414/H414,"0")+IFERROR(Y415/H415,"0")</f>
        <v>0</v>
      </c>
      <c r="Z416" s="43">
        <f>IFERROR(IF(Z413="",0,Z413),"0")+IFERROR(IF(Z414="",0,Z414),"0")+IFERROR(IF(Z415="",0,Z415),"0")</f>
        <v>0</v>
      </c>
      <c r="AA416" s="67"/>
      <c r="AB416" s="67"/>
      <c r="AC416" s="67"/>
    </row>
    <row r="417" spans="1:68" hidden="1" x14ac:dyDescent="0.2">
      <c r="A417" s="656"/>
      <c r="B417" s="656"/>
      <c r="C417" s="656"/>
      <c r="D417" s="656"/>
      <c r="E417" s="656"/>
      <c r="F417" s="656"/>
      <c r="G417" s="656"/>
      <c r="H417" s="656"/>
      <c r="I417" s="656"/>
      <c r="J417" s="656"/>
      <c r="K417" s="656"/>
      <c r="L417" s="656"/>
      <c r="M417" s="656"/>
      <c r="N417" s="656"/>
      <c r="O417" s="657"/>
      <c r="P417" s="653" t="s">
        <v>40</v>
      </c>
      <c r="Q417" s="654"/>
      <c r="R417" s="654"/>
      <c r="S417" s="654"/>
      <c r="T417" s="654"/>
      <c r="U417" s="654"/>
      <c r="V417" s="655"/>
      <c r="W417" s="42" t="s">
        <v>0</v>
      </c>
      <c r="X417" s="43">
        <f>IFERROR(SUM(X413:X415),"0")</f>
        <v>0</v>
      </c>
      <c r="Y417" s="43">
        <f>IFERROR(SUM(Y413:Y415),"0")</f>
        <v>0</v>
      </c>
      <c r="Z417" s="42"/>
      <c r="AA417" s="67"/>
      <c r="AB417" s="67"/>
      <c r="AC417" s="67"/>
    </row>
    <row r="418" spans="1:68" ht="16.5" hidden="1" customHeight="1" x14ac:dyDescent="0.25">
      <c r="A418" s="647" t="s">
        <v>689</v>
      </c>
      <c r="B418" s="647"/>
      <c r="C418" s="647"/>
      <c r="D418" s="647"/>
      <c r="E418" s="647"/>
      <c r="F418" s="647"/>
      <c r="G418" s="647"/>
      <c r="H418" s="647"/>
      <c r="I418" s="647"/>
      <c r="J418" s="647"/>
      <c r="K418" s="647"/>
      <c r="L418" s="647"/>
      <c r="M418" s="647"/>
      <c r="N418" s="647"/>
      <c r="O418" s="647"/>
      <c r="P418" s="647"/>
      <c r="Q418" s="647"/>
      <c r="R418" s="647"/>
      <c r="S418" s="647"/>
      <c r="T418" s="647"/>
      <c r="U418" s="647"/>
      <c r="V418" s="647"/>
      <c r="W418" s="647"/>
      <c r="X418" s="647"/>
      <c r="Y418" s="647"/>
      <c r="Z418" s="647"/>
      <c r="AA418" s="65"/>
      <c r="AB418" s="65"/>
      <c r="AC418" s="79"/>
    </row>
    <row r="419" spans="1:68" ht="14.25" hidden="1" customHeight="1" x14ac:dyDescent="0.25">
      <c r="A419" s="648" t="s">
        <v>77</v>
      </c>
      <c r="B419" s="648"/>
      <c r="C419" s="648"/>
      <c r="D419" s="648"/>
      <c r="E419" s="648"/>
      <c r="F419" s="648"/>
      <c r="G419" s="648"/>
      <c r="H419" s="648"/>
      <c r="I419" s="648"/>
      <c r="J419" s="648"/>
      <c r="K419" s="648"/>
      <c r="L419" s="648"/>
      <c r="M419" s="648"/>
      <c r="N419" s="648"/>
      <c r="O419" s="648"/>
      <c r="P419" s="648"/>
      <c r="Q419" s="648"/>
      <c r="R419" s="648"/>
      <c r="S419" s="648"/>
      <c r="T419" s="648"/>
      <c r="U419" s="648"/>
      <c r="V419" s="648"/>
      <c r="W419" s="648"/>
      <c r="X419" s="648"/>
      <c r="Y419" s="648"/>
      <c r="Z419" s="648"/>
      <c r="AA419" s="66"/>
      <c r="AB419" s="66"/>
      <c r="AC419" s="80"/>
    </row>
    <row r="420" spans="1:68" ht="16.5" hidden="1" customHeight="1" x14ac:dyDescent="0.25">
      <c r="A420" s="63" t="s">
        <v>690</v>
      </c>
      <c r="B420" s="63" t="s">
        <v>691</v>
      </c>
      <c r="C420" s="36">
        <v>4301052283</v>
      </c>
      <c r="D420" s="649">
        <v>4660663720026</v>
      </c>
      <c r="E420" s="649"/>
      <c r="F420" s="62">
        <v>1.3</v>
      </c>
      <c r="G420" s="37">
        <v>6</v>
      </c>
      <c r="H420" s="62">
        <v>7.8</v>
      </c>
      <c r="I420" s="62">
        <v>8.2159999999999993</v>
      </c>
      <c r="J420" s="37">
        <v>64</v>
      </c>
      <c r="K420" s="37" t="s">
        <v>129</v>
      </c>
      <c r="L420" s="37" t="s">
        <v>46</v>
      </c>
      <c r="M420" s="38" t="s">
        <v>81</v>
      </c>
      <c r="N420" s="38"/>
      <c r="O420" s="37">
        <v>40</v>
      </c>
      <c r="P420" s="726" t="str">
        <f>HYPERLINK("https://abi.ru/products/Охлажденные/Стародворье/Хорека/Сосиски/P005759/","Сосиски «Аппетитные для Хореки» Весовой п/а ТМ «Стародворье»")</f>
        <v>Сосиски «Аппетитные для Хореки» Весовой п/а ТМ «Стародворье»</v>
      </c>
      <c r="Q420" s="651"/>
      <c r="R420" s="651"/>
      <c r="S420" s="651"/>
      <c r="T420" s="652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14" t="s">
        <v>692</v>
      </c>
      <c r="AG420" s="78"/>
      <c r="AJ420" s="84" t="s">
        <v>46</v>
      </c>
      <c r="AK420" s="84">
        <v>0</v>
      </c>
      <c r="BB420" s="515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t="16.5" hidden="1" customHeight="1" x14ac:dyDescent="0.25">
      <c r="A421" s="63" t="s">
        <v>693</v>
      </c>
      <c r="B421" s="63" t="s">
        <v>694</v>
      </c>
      <c r="C421" s="36">
        <v>4301052236</v>
      </c>
      <c r="D421" s="649">
        <v>4680115889422</v>
      </c>
      <c r="E421" s="649"/>
      <c r="F421" s="62">
        <v>1.3</v>
      </c>
      <c r="G421" s="37">
        <v>6</v>
      </c>
      <c r="H421" s="62">
        <v>7.8</v>
      </c>
      <c r="I421" s="62">
        <v>8.2100000000000009</v>
      </c>
      <c r="J421" s="37">
        <v>64</v>
      </c>
      <c r="K421" s="37" t="s">
        <v>129</v>
      </c>
      <c r="L421" s="37" t="s">
        <v>46</v>
      </c>
      <c r="M421" s="38" t="s">
        <v>81</v>
      </c>
      <c r="N421" s="38"/>
      <c r="O421" s="37">
        <v>40</v>
      </c>
      <c r="P421" s="72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1" s="651"/>
      <c r="R421" s="651"/>
      <c r="S421" s="651"/>
      <c r="T421" s="652"/>
      <c r="U421" s="39" t="s">
        <v>46</v>
      </c>
      <c r="V421" s="39" t="s">
        <v>46</v>
      </c>
      <c r="W421" s="40" t="s">
        <v>0</v>
      </c>
      <c r="X421" s="58">
        <v>0</v>
      </c>
      <c r="Y421" s="55">
        <f>IFERROR(IF(X421="",0,CEILING((X421/$H421),1)*$H421),"")</f>
        <v>0</v>
      </c>
      <c r="Z421" s="41" t="str">
        <f>IFERROR(IF(Y421=0,"",ROUNDUP(Y421/H421,0)*0.01898),"")</f>
        <v/>
      </c>
      <c r="AA421" s="68" t="s">
        <v>46</v>
      </c>
      <c r="AB421" s="69" t="s">
        <v>46</v>
      </c>
      <c r="AC421" s="516" t="s">
        <v>695</v>
      </c>
      <c r="AG421" s="78"/>
      <c r="AJ421" s="84" t="s">
        <v>46</v>
      </c>
      <c r="AK421" s="84">
        <v>0</v>
      </c>
      <c r="BB421" s="517" t="s">
        <v>67</v>
      </c>
      <c r="BM421" s="78">
        <f>IFERROR(X421*I421/H421,"0")</f>
        <v>0</v>
      </c>
      <c r="BN421" s="78">
        <f>IFERROR(Y421*I421/H421,"0")</f>
        <v>0</v>
      </c>
      <c r="BO421" s="78">
        <f>IFERROR(1/J421*(X421/H421),"0")</f>
        <v>0</v>
      </c>
      <c r="BP421" s="78">
        <f>IFERROR(1/J421*(Y421/H421),"0")</f>
        <v>0</v>
      </c>
    </row>
    <row r="422" spans="1:68" ht="16.5" hidden="1" customHeight="1" x14ac:dyDescent="0.25">
      <c r="A422" s="63" t="s">
        <v>693</v>
      </c>
      <c r="B422" s="63" t="s">
        <v>696</v>
      </c>
      <c r="C422" s="36">
        <v>4301052284</v>
      </c>
      <c r="D422" s="649">
        <v>4680115889972</v>
      </c>
      <c r="E422" s="649"/>
      <c r="F422" s="62">
        <v>1.3</v>
      </c>
      <c r="G422" s="37">
        <v>6</v>
      </c>
      <c r="H422" s="62">
        <v>7.8</v>
      </c>
      <c r="I422" s="62">
        <v>8.2159999999999993</v>
      </c>
      <c r="J422" s="37">
        <v>64</v>
      </c>
      <c r="K422" s="37" t="s">
        <v>129</v>
      </c>
      <c r="L422" s="37" t="s">
        <v>46</v>
      </c>
      <c r="M422" s="38" t="s">
        <v>81</v>
      </c>
      <c r="N422" s="38"/>
      <c r="O422" s="37">
        <v>40</v>
      </c>
      <c r="P422" s="728" t="str">
        <f>HYPERLINK("https://abi.ru/products/Охлажденные/Стародворье/Хорека/Сосиски/P005760/","Сосиски «Сочные для Хореки» Весовой п/а ТМ «Стародворье»")</f>
        <v>Сосиски «Сочные для Хореки» Весовой п/а ТМ «Стародворье»</v>
      </c>
      <c r="Q422" s="651"/>
      <c r="R422" s="651"/>
      <c r="S422" s="651"/>
      <c r="T422" s="652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18" t="s">
        <v>697</v>
      </c>
      <c r="AG422" s="78"/>
      <c r="AJ422" s="84" t="s">
        <v>46</v>
      </c>
      <c r="AK422" s="84">
        <v>0</v>
      </c>
      <c r="BB422" s="519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698</v>
      </c>
      <c r="B423" s="63" t="s">
        <v>699</v>
      </c>
      <c r="C423" s="36">
        <v>4301052281</v>
      </c>
      <c r="D423" s="649">
        <v>4660663720163</v>
      </c>
      <c r="E423" s="649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129</v>
      </c>
      <c r="L423" s="37" t="s">
        <v>46</v>
      </c>
      <c r="M423" s="38" t="s">
        <v>88</v>
      </c>
      <c r="N423" s="38"/>
      <c r="O423" s="37">
        <v>20</v>
      </c>
      <c r="P423" s="729" t="s">
        <v>700</v>
      </c>
      <c r="Q423" s="651"/>
      <c r="R423" s="651"/>
      <c r="S423" s="651"/>
      <c r="T423" s="652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20" t="s">
        <v>701</v>
      </c>
      <c r="AG423" s="78"/>
      <c r="AJ423" s="84" t="s">
        <v>46</v>
      </c>
      <c r="AK423" s="84">
        <v>0</v>
      </c>
      <c r="BB423" s="521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56"/>
      <c r="B424" s="656"/>
      <c r="C424" s="656"/>
      <c r="D424" s="656"/>
      <c r="E424" s="656"/>
      <c r="F424" s="656"/>
      <c r="G424" s="656"/>
      <c r="H424" s="656"/>
      <c r="I424" s="656"/>
      <c r="J424" s="656"/>
      <c r="K424" s="656"/>
      <c r="L424" s="656"/>
      <c r="M424" s="656"/>
      <c r="N424" s="656"/>
      <c r="O424" s="657"/>
      <c r="P424" s="653" t="s">
        <v>40</v>
      </c>
      <c r="Q424" s="654"/>
      <c r="R424" s="654"/>
      <c r="S424" s="654"/>
      <c r="T424" s="654"/>
      <c r="U424" s="654"/>
      <c r="V424" s="655"/>
      <c r="W424" s="42" t="s">
        <v>39</v>
      </c>
      <c r="X424" s="43">
        <f>IFERROR(X420/H420,"0")+IFERROR(X421/H421,"0")+IFERROR(X422/H422,"0")+IFERROR(X423/H423,"0")</f>
        <v>0</v>
      </c>
      <c r="Y424" s="43">
        <f>IFERROR(Y420/H420,"0")+IFERROR(Y421/H421,"0")+IFERROR(Y422/H422,"0")+IFERROR(Y423/H423,"0")</f>
        <v>0</v>
      </c>
      <c r="Z424" s="43">
        <f>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hidden="1" x14ac:dyDescent="0.2">
      <c r="A425" s="656"/>
      <c r="B425" s="656"/>
      <c r="C425" s="656"/>
      <c r="D425" s="656"/>
      <c r="E425" s="656"/>
      <c r="F425" s="656"/>
      <c r="G425" s="656"/>
      <c r="H425" s="656"/>
      <c r="I425" s="656"/>
      <c r="J425" s="656"/>
      <c r="K425" s="656"/>
      <c r="L425" s="656"/>
      <c r="M425" s="656"/>
      <c r="N425" s="656"/>
      <c r="O425" s="657"/>
      <c r="P425" s="653" t="s">
        <v>40</v>
      </c>
      <c r="Q425" s="654"/>
      <c r="R425" s="654"/>
      <c r="S425" s="654"/>
      <c r="T425" s="654"/>
      <c r="U425" s="654"/>
      <c r="V425" s="655"/>
      <c r="W425" s="42" t="s">
        <v>0</v>
      </c>
      <c r="X425" s="43">
        <f>IFERROR(SUM(X420:X423),"0")</f>
        <v>0</v>
      </c>
      <c r="Y425" s="43">
        <f>IFERROR(SUM(Y420:Y423),"0")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47" t="s">
        <v>702</v>
      </c>
      <c r="B426" s="647"/>
      <c r="C426" s="647"/>
      <c r="D426" s="647"/>
      <c r="E426" s="647"/>
      <c r="F426" s="647"/>
      <c r="G426" s="647"/>
      <c r="H426" s="647"/>
      <c r="I426" s="647"/>
      <c r="J426" s="647"/>
      <c r="K426" s="647"/>
      <c r="L426" s="647"/>
      <c r="M426" s="647"/>
      <c r="N426" s="647"/>
      <c r="O426" s="647"/>
      <c r="P426" s="647"/>
      <c r="Q426" s="647"/>
      <c r="R426" s="647"/>
      <c r="S426" s="647"/>
      <c r="T426" s="647"/>
      <c r="U426" s="647"/>
      <c r="V426" s="647"/>
      <c r="W426" s="647"/>
      <c r="X426" s="647"/>
      <c r="Y426" s="647"/>
      <c r="Z426" s="647"/>
      <c r="AA426" s="65"/>
      <c r="AB426" s="65"/>
      <c r="AC426" s="79"/>
    </row>
    <row r="427" spans="1:68" ht="14.25" hidden="1" customHeight="1" x14ac:dyDescent="0.25">
      <c r="A427" s="648" t="s">
        <v>77</v>
      </c>
      <c r="B427" s="648"/>
      <c r="C427" s="648"/>
      <c r="D427" s="648"/>
      <c r="E427" s="648"/>
      <c r="F427" s="648"/>
      <c r="G427" s="648"/>
      <c r="H427" s="648"/>
      <c r="I427" s="648"/>
      <c r="J427" s="648"/>
      <c r="K427" s="648"/>
      <c r="L427" s="648"/>
      <c r="M427" s="648"/>
      <c r="N427" s="648"/>
      <c r="O427" s="648"/>
      <c r="P427" s="648"/>
      <c r="Q427" s="648"/>
      <c r="R427" s="648"/>
      <c r="S427" s="648"/>
      <c r="T427" s="648"/>
      <c r="U427" s="648"/>
      <c r="V427" s="648"/>
      <c r="W427" s="648"/>
      <c r="X427" s="648"/>
      <c r="Y427" s="648"/>
      <c r="Z427" s="648"/>
      <c r="AA427" s="66"/>
      <c r="AB427" s="66"/>
      <c r="AC427" s="80"/>
    </row>
    <row r="428" spans="1:68" ht="27" hidden="1" customHeight="1" x14ac:dyDescent="0.25">
      <c r="A428" s="63" t="s">
        <v>703</v>
      </c>
      <c r="B428" s="63" t="s">
        <v>704</v>
      </c>
      <c r="C428" s="36">
        <v>4301051489</v>
      </c>
      <c r="D428" s="649">
        <v>4607091387919</v>
      </c>
      <c r="E428" s="649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129</v>
      </c>
      <c r="L428" s="37" t="s">
        <v>46</v>
      </c>
      <c r="M428" s="38" t="s">
        <v>88</v>
      </c>
      <c r="N428" s="38"/>
      <c r="O428" s="37">
        <v>45</v>
      </c>
      <c r="P428" s="72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51"/>
      <c r="R428" s="651"/>
      <c r="S428" s="651"/>
      <c r="T428" s="652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22" t="s">
        <v>705</v>
      </c>
      <c r="AG428" s="78"/>
      <c r="AJ428" s="84" t="s">
        <v>46</v>
      </c>
      <c r="AK428" s="84">
        <v>0</v>
      </c>
      <c r="BB428" s="523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706</v>
      </c>
      <c r="B429" s="63" t="s">
        <v>707</v>
      </c>
      <c r="C429" s="36">
        <v>4301051461</v>
      </c>
      <c r="D429" s="649">
        <v>4680115883604</v>
      </c>
      <c r="E429" s="649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82</v>
      </c>
      <c r="L429" s="37" t="s">
        <v>46</v>
      </c>
      <c r="M429" s="38" t="s">
        <v>81</v>
      </c>
      <c r="N429" s="38"/>
      <c r="O429" s="37">
        <v>45</v>
      </c>
      <c r="P429" s="72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51"/>
      <c r="R429" s="651"/>
      <c r="S429" s="651"/>
      <c r="T429" s="652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24" t="s">
        <v>708</v>
      </c>
      <c r="AG429" s="78"/>
      <c r="AJ429" s="84" t="s">
        <v>46</v>
      </c>
      <c r="AK429" s="84">
        <v>0</v>
      </c>
      <c r="BB429" s="525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709</v>
      </c>
      <c r="B430" s="63" t="s">
        <v>710</v>
      </c>
      <c r="C430" s="36">
        <v>4301051864</v>
      </c>
      <c r="D430" s="649">
        <v>4680115883567</v>
      </c>
      <c r="E430" s="649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82</v>
      </c>
      <c r="L430" s="37" t="s">
        <v>46</v>
      </c>
      <c r="M430" s="38" t="s">
        <v>88</v>
      </c>
      <c r="N430" s="38"/>
      <c r="O430" s="37">
        <v>40</v>
      </c>
      <c r="P430" s="723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51"/>
      <c r="R430" s="651"/>
      <c r="S430" s="651"/>
      <c r="T430" s="652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26" t="s">
        <v>711</v>
      </c>
      <c r="AG430" s="78"/>
      <c r="AJ430" s="84" t="s">
        <v>46</v>
      </c>
      <c r="AK430" s="84">
        <v>0</v>
      </c>
      <c r="BB430" s="527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56"/>
      <c r="B431" s="656"/>
      <c r="C431" s="656"/>
      <c r="D431" s="656"/>
      <c r="E431" s="656"/>
      <c r="F431" s="656"/>
      <c r="G431" s="656"/>
      <c r="H431" s="656"/>
      <c r="I431" s="656"/>
      <c r="J431" s="656"/>
      <c r="K431" s="656"/>
      <c r="L431" s="656"/>
      <c r="M431" s="656"/>
      <c r="N431" s="656"/>
      <c r="O431" s="657"/>
      <c r="P431" s="653" t="s">
        <v>40</v>
      </c>
      <c r="Q431" s="654"/>
      <c r="R431" s="654"/>
      <c r="S431" s="654"/>
      <c r="T431" s="654"/>
      <c r="U431" s="654"/>
      <c r="V431" s="655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56"/>
      <c r="B432" s="656"/>
      <c r="C432" s="656"/>
      <c r="D432" s="656"/>
      <c r="E432" s="656"/>
      <c r="F432" s="656"/>
      <c r="G432" s="656"/>
      <c r="H432" s="656"/>
      <c r="I432" s="656"/>
      <c r="J432" s="656"/>
      <c r="K432" s="656"/>
      <c r="L432" s="656"/>
      <c r="M432" s="656"/>
      <c r="N432" s="656"/>
      <c r="O432" s="657"/>
      <c r="P432" s="653" t="s">
        <v>40</v>
      </c>
      <c r="Q432" s="654"/>
      <c r="R432" s="654"/>
      <c r="S432" s="654"/>
      <c r="T432" s="654"/>
      <c r="U432" s="654"/>
      <c r="V432" s="655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66" t="s">
        <v>712</v>
      </c>
      <c r="B433" s="666"/>
      <c r="C433" s="666"/>
      <c r="D433" s="666"/>
      <c r="E433" s="666"/>
      <c r="F433" s="666"/>
      <c r="G433" s="666"/>
      <c r="H433" s="666"/>
      <c r="I433" s="666"/>
      <c r="J433" s="666"/>
      <c r="K433" s="666"/>
      <c r="L433" s="666"/>
      <c r="M433" s="666"/>
      <c r="N433" s="666"/>
      <c r="O433" s="666"/>
      <c r="P433" s="666"/>
      <c r="Q433" s="666"/>
      <c r="R433" s="666"/>
      <c r="S433" s="666"/>
      <c r="T433" s="666"/>
      <c r="U433" s="666"/>
      <c r="V433" s="666"/>
      <c r="W433" s="666"/>
      <c r="X433" s="666"/>
      <c r="Y433" s="666"/>
      <c r="Z433" s="666"/>
      <c r="AA433" s="54"/>
      <c r="AB433" s="54"/>
      <c r="AC433" s="54"/>
    </row>
    <row r="434" spans="1:68" ht="16.5" hidden="1" customHeight="1" x14ac:dyDescent="0.25">
      <c r="A434" s="647" t="s">
        <v>713</v>
      </c>
      <c r="B434" s="647"/>
      <c r="C434" s="647"/>
      <c r="D434" s="647"/>
      <c r="E434" s="647"/>
      <c r="F434" s="647"/>
      <c r="G434" s="647"/>
      <c r="H434" s="647"/>
      <c r="I434" s="647"/>
      <c r="J434" s="647"/>
      <c r="K434" s="647"/>
      <c r="L434" s="647"/>
      <c r="M434" s="647"/>
      <c r="N434" s="647"/>
      <c r="O434" s="647"/>
      <c r="P434" s="647"/>
      <c r="Q434" s="647"/>
      <c r="R434" s="647"/>
      <c r="S434" s="647"/>
      <c r="T434" s="647"/>
      <c r="U434" s="647"/>
      <c r="V434" s="647"/>
      <c r="W434" s="647"/>
      <c r="X434" s="647"/>
      <c r="Y434" s="647"/>
      <c r="Z434" s="647"/>
      <c r="AA434" s="65"/>
      <c r="AB434" s="65"/>
      <c r="AC434" s="79"/>
    </row>
    <row r="435" spans="1:68" ht="14.25" hidden="1" customHeight="1" x14ac:dyDescent="0.25">
      <c r="A435" s="648" t="s">
        <v>124</v>
      </c>
      <c r="B435" s="648"/>
      <c r="C435" s="648"/>
      <c r="D435" s="648"/>
      <c r="E435" s="648"/>
      <c r="F435" s="648"/>
      <c r="G435" s="648"/>
      <c r="H435" s="648"/>
      <c r="I435" s="648"/>
      <c r="J435" s="648"/>
      <c r="K435" s="648"/>
      <c r="L435" s="648"/>
      <c r="M435" s="648"/>
      <c r="N435" s="648"/>
      <c r="O435" s="648"/>
      <c r="P435" s="648"/>
      <c r="Q435" s="648"/>
      <c r="R435" s="648"/>
      <c r="S435" s="648"/>
      <c r="T435" s="648"/>
      <c r="U435" s="648"/>
      <c r="V435" s="648"/>
      <c r="W435" s="648"/>
      <c r="X435" s="648"/>
      <c r="Y435" s="648"/>
      <c r="Z435" s="648"/>
      <c r="AA435" s="66"/>
      <c r="AB435" s="66"/>
      <c r="AC435" s="80"/>
    </row>
    <row r="436" spans="1:68" ht="27" hidden="1" customHeight="1" x14ac:dyDescent="0.25">
      <c r="A436" s="63" t="s">
        <v>714</v>
      </c>
      <c r="B436" s="63" t="s">
        <v>715</v>
      </c>
      <c r="C436" s="36">
        <v>4301012332</v>
      </c>
      <c r="D436" s="649">
        <v>4680115888401</v>
      </c>
      <c r="E436" s="649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129</v>
      </c>
      <c r="L436" s="37" t="s">
        <v>46</v>
      </c>
      <c r="M436" s="38" t="s">
        <v>88</v>
      </c>
      <c r="N436" s="38"/>
      <c r="O436" s="37">
        <v>60</v>
      </c>
      <c r="P436" s="71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51"/>
      <c r="R436" s="651"/>
      <c r="S436" s="651"/>
      <c r="T436" s="652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62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28" t="s">
        <v>716</v>
      </c>
      <c r="AG436" s="78"/>
      <c r="AJ436" s="84" t="s">
        <v>46</v>
      </c>
      <c r="AK436" s="84">
        <v>0</v>
      </c>
      <c r="BB436" s="529" t="s">
        <v>67</v>
      </c>
      <c r="BM436" s="78">
        <f t="shared" ref="BM436:BM443" si="63">IFERROR(X436*I436/H436,"0")</f>
        <v>0</v>
      </c>
      <c r="BN436" s="78">
        <f t="shared" ref="BN436:BN443" si="64">IFERROR(Y436*I436/H436,"0")</f>
        <v>0</v>
      </c>
      <c r="BO436" s="78">
        <f t="shared" ref="BO436:BO443" si="65">IFERROR(1/J436*(X436/H436),"0")</f>
        <v>0</v>
      </c>
      <c r="BP436" s="78">
        <f t="shared" ref="BP436:BP443" si="66">IFERROR(1/J436*(Y436/H436),"0")</f>
        <v>0</v>
      </c>
    </row>
    <row r="437" spans="1:68" ht="37.5" customHeight="1" x14ac:dyDescent="0.25">
      <c r="A437" s="63" t="s">
        <v>717</v>
      </c>
      <c r="B437" s="63" t="s">
        <v>718</v>
      </c>
      <c r="C437" s="36">
        <v>4301011869</v>
      </c>
      <c r="D437" s="649">
        <v>4680115884847</v>
      </c>
      <c r="E437" s="649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129</v>
      </c>
      <c r="L437" s="37" t="s">
        <v>46</v>
      </c>
      <c r="M437" s="38" t="s">
        <v>133</v>
      </c>
      <c r="N437" s="38"/>
      <c r="O437" s="37">
        <v>60</v>
      </c>
      <c r="P437" s="71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51"/>
      <c r="R437" s="651"/>
      <c r="S437" s="651"/>
      <c r="T437" s="652"/>
      <c r="U437" s="39" t="s">
        <v>46</v>
      </c>
      <c r="V437" s="39" t="s">
        <v>46</v>
      </c>
      <c r="W437" s="40" t="s">
        <v>0</v>
      </c>
      <c r="X437" s="58">
        <v>3500</v>
      </c>
      <c r="Y437" s="55">
        <f t="shared" si="62"/>
        <v>3510</v>
      </c>
      <c r="Z437" s="41">
        <f>IFERROR(IF(Y437=0,"",ROUNDUP(Y437/H437,0)*0.02175),"")</f>
        <v>5.0894999999999992</v>
      </c>
      <c r="AA437" s="68" t="s">
        <v>46</v>
      </c>
      <c r="AB437" s="69" t="s">
        <v>46</v>
      </c>
      <c r="AC437" s="530" t="s">
        <v>719</v>
      </c>
      <c r="AG437" s="78"/>
      <c r="AJ437" s="84" t="s">
        <v>46</v>
      </c>
      <c r="AK437" s="84">
        <v>0</v>
      </c>
      <c r="BB437" s="531" t="s">
        <v>67</v>
      </c>
      <c r="BM437" s="78">
        <f t="shared" si="63"/>
        <v>3609.6666666666665</v>
      </c>
      <c r="BN437" s="78">
        <f t="shared" si="64"/>
        <v>3619.9800000000005</v>
      </c>
      <c r="BO437" s="78">
        <f t="shared" si="65"/>
        <v>4.8611111111111107</v>
      </c>
      <c r="BP437" s="78">
        <f t="shared" si="66"/>
        <v>4.875</v>
      </c>
    </row>
    <row r="438" spans="1:68" ht="27" customHeight="1" x14ac:dyDescent="0.25">
      <c r="A438" s="63" t="s">
        <v>720</v>
      </c>
      <c r="B438" s="63" t="s">
        <v>721</v>
      </c>
      <c r="C438" s="36">
        <v>4301012083</v>
      </c>
      <c r="D438" s="649">
        <v>4680115884854</v>
      </c>
      <c r="E438" s="649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129</v>
      </c>
      <c r="L438" s="37" t="s">
        <v>46</v>
      </c>
      <c r="M438" s="38" t="s">
        <v>128</v>
      </c>
      <c r="N438" s="38"/>
      <c r="O438" s="37">
        <v>60</v>
      </c>
      <c r="P438" s="71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51"/>
      <c r="R438" s="651"/>
      <c r="S438" s="651"/>
      <c r="T438" s="652"/>
      <c r="U438" s="39" t="s">
        <v>46</v>
      </c>
      <c r="V438" s="39" t="s">
        <v>46</v>
      </c>
      <c r="W438" s="40" t="s">
        <v>0</v>
      </c>
      <c r="X438" s="58">
        <v>2500</v>
      </c>
      <c r="Y438" s="55">
        <f t="shared" si="62"/>
        <v>2505</v>
      </c>
      <c r="Z438" s="41">
        <f>IFERROR(IF(Y438=0,"",ROUNDUP(Y438/H438,0)*0.02175),"")</f>
        <v>3.6322499999999995</v>
      </c>
      <c r="AA438" s="68" t="s">
        <v>46</v>
      </c>
      <c r="AB438" s="69" t="s">
        <v>46</v>
      </c>
      <c r="AC438" s="532" t="s">
        <v>722</v>
      </c>
      <c r="AG438" s="78"/>
      <c r="AJ438" s="84" t="s">
        <v>46</v>
      </c>
      <c r="AK438" s="84">
        <v>0</v>
      </c>
      <c r="BB438" s="533" t="s">
        <v>67</v>
      </c>
      <c r="BM438" s="78">
        <f t="shared" si="63"/>
        <v>2578.3333333333335</v>
      </c>
      <c r="BN438" s="78">
        <f t="shared" si="64"/>
        <v>2583.4899999999998</v>
      </c>
      <c r="BO438" s="78">
        <f t="shared" si="65"/>
        <v>3.4722222222222219</v>
      </c>
      <c r="BP438" s="78">
        <f t="shared" si="66"/>
        <v>3.4791666666666665</v>
      </c>
    </row>
    <row r="439" spans="1:68" ht="27" customHeight="1" x14ac:dyDescent="0.25">
      <c r="A439" s="63" t="s">
        <v>723</v>
      </c>
      <c r="B439" s="63" t="s">
        <v>724</v>
      </c>
      <c r="C439" s="36">
        <v>4301011867</v>
      </c>
      <c r="D439" s="649">
        <v>4680115884830</v>
      </c>
      <c r="E439" s="649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129</v>
      </c>
      <c r="L439" s="37" t="s">
        <v>46</v>
      </c>
      <c r="M439" s="38" t="s">
        <v>133</v>
      </c>
      <c r="N439" s="38"/>
      <c r="O439" s="37">
        <v>60</v>
      </c>
      <c r="P439" s="71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51"/>
      <c r="R439" s="651"/>
      <c r="S439" s="651"/>
      <c r="T439" s="652"/>
      <c r="U439" s="39" t="s">
        <v>46</v>
      </c>
      <c r="V439" s="39" t="s">
        <v>46</v>
      </c>
      <c r="W439" s="40" t="s">
        <v>0</v>
      </c>
      <c r="X439" s="58">
        <v>2000</v>
      </c>
      <c r="Y439" s="55">
        <f t="shared" si="62"/>
        <v>2010</v>
      </c>
      <c r="Z439" s="41">
        <f>IFERROR(IF(Y439=0,"",ROUNDUP(Y439/H439,0)*0.02175),"")</f>
        <v>2.9144999999999999</v>
      </c>
      <c r="AA439" s="68" t="s">
        <v>46</v>
      </c>
      <c r="AB439" s="69" t="s">
        <v>46</v>
      </c>
      <c r="AC439" s="534" t="s">
        <v>725</v>
      </c>
      <c r="AG439" s="78"/>
      <c r="AJ439" s="84" t="s">
        <v>46</v>
      </c>
      <c r="AK439" s="84">
        <v>0</v>
      </c>
      <c r="BB439" s="535" t="s">
        <v>67</v>
      </c>
      <c r="BM439" s="78">
        <f t="shared" si="63"/>
        <v>2062.6666666666665</v>
      </c>
      <c r="BN439" s="78">
        <f t="shared" si="64"/>
        <v>2072.98</v>
      </c>
      <c r="BO439" s="78">
        <f t="shared" si="65"/>
        <v>2.7777777777777777</v>
      </c>
      <c r="BP439" s="78">
        <f t="shared" si="66"/>
        <v>2.7916666666666665</v>
      </c>
    </row>
    <row r="440" spans="1:68" ht="27" hidden="1" customHeight="1" x14ac:dyDescent="0.25">
      <c r="A440" s="63" t="s">
        <v>726</v>
      </c>
      <c r="B440" s="63" t="s">
        <v>727</v>
      </c>
      <c r="C440" s="36">
        <v>4301012356</v>
      </c>
      <c r="D440" s="649">
        <v>4680115889231</v>
      </c>
      <c r="E440" s="649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129</v>
      </c>
      <c r="L440" s="37" t="s">
        <v>46</v>
      </c>
      <c r="M440" s="38" t="s">
        <v>88</v>
      </c>
      <c r="N440" s="38"/>
      <c r="O440" s="37">
        <v>60</v>
      </c>
      <c r="P440" s="71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51"/>
      <c r="R440" s="651"/>
      <c r="S440" s="651"/>
      <c r="T440" s="652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62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36" t="s">
        <v>728</v>
      </c>
      <c r="AG440" s="78"/>
      <c r="AJ440" s="84" t="s">
        <v>46</v>
      </c>
      <c r="AK440" s="84">
        <v>0</v>
      </c>
      <c r="BB440" s="537" t="s">
        <v>67</v>
      </c>
      <c r="BM440" s="78">
        <f t="shared" si="63"/>
        <v>0</v>
      </c>
      <c r="BN440" s="78">
        <f t="shared" si="64"/>
        <v>0</v>
      </c>
      <c r="BO440" s="78">
        <f t="shared" si="65"/>
        <v>0</v>
      </c>
      <c r="BP440" s="78">
        <f t="shared" si="66"/>
        <v>0</v>
      </c>
    </row>
    <row r="441" spans="1:68" ht="27" hidden="1" customHeight="1" x14ac:dyDescent="0.25">
      <c r="A441" s="63" t="s">
        <v>729</v>
      </c>
      <c r="B441" s="63" t="s">
        <v>730</v>
      </c>
      <c r="C441" s="36">
        <v>4301011433</v>
      </c>
      <c r="D441" s="649">
        <v>4680115882638</v>
      </c>
      <c r="E441" s="649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137</v>
      </c>
      <c r="L441" s="37" t="s">
        <v>46</v>
      </c>
      <c r="M441" s="38" t="s">
        <v>128</v>
      </c>
      <c r="N441" s="38"/>
      <c r="O441" s="37">
        <v>90</v>
      </c>
      <c r="P441" s="71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51"/>
      <c r="R441" s="651"/>
      <c r="S441" s="651"/>
      <c r="T441" s="652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62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38" t="s">
        <v>731</v>
      </c>
      <c r="AG441" s="78"/>
      <c r="AJ441" s="84" t="s">
        <v>46</v>
      </c>
      <c r="AK441" s="84">
        <v>0</v>
      </c>
      <c r="BB441" s="539" t="s">
        <v>67</v>
      </c>
      <c r="BM441" s="78">
        <f t="shared" si="63"/>
        <v>0</v>
      </c>
      <c r="BN441" s="78">
        <f t="shared" si="64"/>
        <v>0</v>
      </c>
      <c r="BO441" s="78">
        <f t="shared" si="65"/>
        <v>0</v>
      </c>
      <c r="BP441" s="78">
        <f t="shared" si="66"/>
        <v>0</v>
      </c>
    </row>
    <row r="442" spans="1:68" ht="27" hidden="1" customHeight="1" x14ac:dyDescent="0.25">
      <c r="A442" s="63" t="s">
        <v>732</v>
      </c>
      <c r="B442" s="63" t="s">
        <v>733</v>
      </c>
      <c r="C442" s="36">
        <v>4301011952</v>
      </c>
      <c r="D442" s="649">
        <v>4680115884922</v>
      </c>
      <c r="E442" s="649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137</v>
      </c>
      <c r="L442" s="37" t="s">
        <v>46</v>
      </c>
      <c r="M442" s="38" t="s">
        <v>133</v>
      </c>
      <c r="N442" s="38"/>
      <c r="O442" s="37">
        <v>60</v>
      </c>
      <c r="P442" s="71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51"/>
      <c r="R442" s="651"/>
      <c r="S442" s="651"/>
      <c r="T442" s="652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62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40" t="s">
        <v>734</v>
      </c>
      <c r="AG442" s="78"/>
      <c r="AJ442" s="84" t="s">
        <v>46</v>
      </c>
      <c r="AK442" s="84">
        <v>0</v>
      </c>
      <c r="BB442" s="541" t="s">
        <v>67</v>
      </c>
      <c r="BM442" s="78">
        <f t="shared" si="63"/>
        <v>0</v>
      </c>
      <c r="BN442" s="78">
        <f t="shared" si="64"/>
        <v>0</v>
      </c>
      <c r="BO442" s="78">
        <f t="shared" si="65"/>
        <v>0</v>
      </c>
      <c r="BP442" s="78">
        <f t="shared" si="66"/>
        <v>0</v>
      </c>
    </row>
    <row r="443" spans="1:68" ht="37.5" hidden="1" customHeight="1" x14ac:dyDescent="0.25">
      <c r="A443" s="63" t="s">
        <v>735</v>
      </c>
      <c r="B443" s="63" t="s">
        <v>736</v>
      </c>
      <c r="C443" s="36">
        <v>4301011868</v>
      </c>
      <c r="D443" s="649">
        <v>4680115884861</v>
      </c>
      <c r="E443" s="649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137</v>
      </c>
      <c r="L443" s="37" t="s">
        <v>46</v>
      </c>
      <c r="M443" s="38" t="s">
        <v>133</v>
      </c>
      <c r="N443" s="38"/>
      <c r="O443" s="37">
        <v>60</v>
      </c>
      <c r="P443" s="72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51"/>
      <c r="R443" s="651"/>
      <c r="S443" s="651"/>
      <c r="T443" s="652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62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42" t="s">
        <v>737</v>
      </c>
      <c r="AG443" s="78"/>
      <c r="AJ443" s="84" t="s">
        <v>46</v>
      </c>
      <c r="AK443" s="84">
        <v>0</v>
      </c>
      <c r="BB443" s="543" t="s">
        <v>67</v>
      </c>
      <c r="BM443" s="78">
        <f t="shared" si="63"/>
        <v>0</v>
      </c>
      <c r="BN443" s="78">
        <f t="shared" si="64"/>
        <v>0</v>
      </c>
      <c r="BO443" s="78">
        <f t="shared" si="65"/>
        <v>0</v>
      </c>
      <c r="BP443" s="78">
        <f t="shared" si="66"/>
        <v>0</v>
      </c>
    </row>
    <row r="444" spans="1:68" x14ac:dyDescent="0.2">
      <c r="A444" s="656"/>
      <c r="B444" s="656"/>
      <c r="C444" s="656"/>
      <c r="D444" s="656"/>
      <c r="E444" s="656"/>
      <c r="F444" s="656"/>
      <c r="G444" s="656"/>
      <c r="H444" s="656"/>
      <c r="I444" s="656"/>
      <c r="J444" s="656"/>
      <c r="K444" s="656"/>
      <c r="L444" s="656"/>
      <c r="M444" s="656"/>
      <c r="N444" s="656"/>
      <c r="O444" s="657"/>
      <c r="P444" s="653" t="s">
        <v>40</v>
      </c>
      <c r="Q444" s="654"/>
      <c r="R444" s="654"/>
      <c r="S444" s="654"/>
      <c r="T444" s="654"/>
      <c r="U444" s="654"/>
      <c r="V444" s="655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533.33333333333337</v>
      </c>
      <c r="Y444" s="43">
        <f>IFERROR(Y436/H436,"0")+IFERROR(Y437/H437,"0")+IFERROR(Y438/H438,"0")+IFERROR(Y439/H439,"0")+IFERROR(Y440/H440,"0")+IFERROR(Y441/H441,"0")+IFERROR(Y442/H442,"0")+IFERROR(Y443/H443,"0")</f>
        <v>535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11.636249999999999</v>
      </c>
      <c r="AA444" s="67"/>
      <c r="AB444" s="67"/>
      <c r="AC444" s="67"/>
    </row>
    <row r="445" spans="1:68" x14ac:dyDescent="0.2">
      <c r="A445" s="656"/>
      <c r="B445" s="656"/>
      <c r="C445" s="656"/>
      <c r="D445" s="656"/>
      <c r="E445" s="656"/>
      <c r="F445" s="656"/>
      <c r="G445" s="656"/>
      <c r="H445" s="656"/>
      <c r="I445" s="656"/>
      <c r="J445" s="656"/>
      <c r="K445" s="656"/>
      <c r="L445" s="656"/>
      <c r="M445" s="656"/>
      <c r="N445" s="656"/>
      <c r="O445" s="657"/>
      <c r="P445" s="653" t="s">
        <v>40</v>
      </c>
      <c r="Q445" s="654"/>
      <c r="R445" s="654"/>
      <c r="S445" s="654"/>
      <c r="T445" s="654"/>
      <c r="U445" s="654"/>
      <c r="V445" s="655"/>
      <c r="W445" s="42" t="s">
        <v>0</v>
      </c>
      <c r="X445" s="43">
        <f>IFERROR(SUM(X436:X443),"0")</f>
        <v>8000</v>
      </c>
      <c r="Y445" s="43">
        <f>IFERROR(SUM(Y436:Y443),"0")</f>
        <v>8025</v>
      </c>
      <c r="Z445" s="42"/>
      <c r="AA445" s="67"/>
      <c r="AB445" s="67"/>
      <c r="AC445" s="67"/>
    </row>
    <row r="446" spans="1:68" ht="14.25" hidden="1" customHeight="1" x14ac:dyDescent="0.25">
      <c r="A446" s="648" t="s">
        <v>161</v>
      </c>
      <c r="B446" s="648"/>
      <c r="C446" s="648"/>
      <c r="D446" s="648"/>
      <c r="E446" s="648"/>
      <c r="F446" s="648"/>
      <c r="G446" s="648"/>
      <c r="H446" s="648"/>
      <c r="I446" s="648"/>
      <c r="J446" s="648"/>
      <c r="K446" s="648"/>
      <c r="L446" s="648"/>
      <c r="M446" s="648"/>
      <c r="N446" s="648"/>
      <c r="O446" s="648"/>
      <c r="P446" s="648"/>
      <c r="Q446" s="648"/>
      <c r="R446" s="648"/>
      <c r="S446" s="648"/>
      <c r="T446" s="648"/>
      <c r="U446" s="648"/>
      <c r="V446" s="648"/>
      <c r="W446" s="648"/>
      <c r="X446" s="648"/>
      <c r="Y446" s="648"/>
      <c r="Z446" s="648"/>
      <c r="AA446" s="66"/>
      <c r="AB446" s="66"/>
      <c r="AC446" s="80"/>
    </row>
    <row r="447" spans="1:68" ht="27" hidden="1" customHeight="1" x14ac:dyDescent="0.25">
      <c r="A447" s="63" t="s">
        <v>738</v>
      </c>
      <c r="B447" s="63" t="s">
        <v>739</v>
      </c>
      <c r="C447" s="36">
        <v>4301020178</v>
      </c>
      <c r="D447" s="649">
        <v>4607091383980</v>
      </c>
      <c r="E447" s="649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129</v>
      </c>
      <c r="L447" s="37" t="s">
        <v>46</v>
      </c>
      <c r="M447" s="38" t="s">
        <v>128</v>
      </c>
      <c r="N447" s="38"/>
      <c r="O447" s="37">
        <v>50</v>
      </c>
      <c r="P447" s="70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51"/>
      <c r="R447" s="651"/>
      <c r="S447" s="651"/>
      <c r="T447" s="65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44" t="s">
        <v>740</v>
      </c>
      <c r="AG447" s="78"/>
      <c r="AJ447" s="84" t="s">
        <v>46</v>
      </c>
      <c r="AK447" s="84">
        <v>0</v>
      </c>
      <c r="BB447" s="545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741</v>
      </c>
      <c r="B448" s="63" t="s">
        <v>742</v>
      </c>
      <c r="C448" s="36">
        <v>4301020355</v>
      </c>
      <c r="D448" s="649">
        <v>4680115888425</v>
      </c>
      <c r="E448" s="649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129</v>
      </c>
      <c r="L448" s="37" t="s">
        <v>46</v>
      </c>
      <c r="M448" s="38" t="s">
        <v>128</v>
      </c>
      <c r="N448" s="38"/>
      <c r="O448" s="37">
        <v>50</v>
      </c>
      <c r="P448" s="70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51"/>
      <c r="R448" s="651"/>
      <c r="S448" s="651"/>
      <c r="T448" s="652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46" t="s">
        <v>743</v>
      </c>
      <c r="AG448" s="78"/>
      <c r="AJ448" s="84" t="s">
        <v>46</v>
      </c>
      <c r="AK448" s="84">
        <v>0</v>
      </c>
      <c r="BB448" s="547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744</v>
      </c>
      <c r="B449" s="63" t="s">
        <v>745</v>
      </c>
      <c r="C449" s="36">
        <v>4301020179</v>
      </c>
      <c r="D449" s="649">
        <v>4607091384178</v>
      </c>
      <c r="E449" s="649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137</v>
      </c>
      <c r="L449" s="37" t="s">
        <v>46</v>
      </c>
      <c r="M449" s="38" t="s">
        <v>128</v>
      </c>
      <c r="N449" s="38"/>
      <c r="O449" s="37">
        <v>50</v>
      </c>
      <c r="P449" s="70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51"/>
      <c r="R449" s="651"/>
      <c r="S449" s="651"/>
      <c r="T449" s="65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48" t="s">
        <v>746</v>
      </c>
      <c r="AG449" s="78"/>
      <c r="AJ449" s="84" t="s">
        <v>46</v>
      </c>
      <c r="AK449" s="84">
        <v>0</v>
      </c>
      <c r="BB449" s="549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56"/>
      <c r="B450" s="656"/>
      <c r="C450" s="656"/>
      <c r="D450" s="656"/>
      <c r="E450" s="656"/>
      <c r="F450" s="656"/>
      <c r="G450" s="656"/>
      <c r="H450" s="656"/>
      <c r="I450" s="656"/>
      <c r="J450" s="656"/>
      <c r="K450" s="656"/>
      <c r="L450" s="656"/>
      <c r="M450" s="656"/>
      <c r="N450" s="656"/>
      <c r="O450" s="657"/>
      <c r="P450" s="653" t="s">
        <v>40</v>
      </c>
      <c r="Q450" s="654"/>
      <c r="R450" s="654"/>
      <c r="S450" s="654"/>
      <c r="T450" s="654"/>
      <c r="U450" s="654"/>
      <c r="V450" s="655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56"/>
      <c r="B451" s="656"/>
      <c r="C451" s="656"/>
      <c r="D451" s="656"/>
      <c r="E451" s="656"/>
      <c r="F451" s="656"/>
      <c r="G451" s="656"/>
      <c r="H451" s="656"/>
      <c r="I451" s="656"/>
      <c r="J451" s="656"/>
      <c r="K451" s="656"/>
      <c r="L451" s="656"/>
      <c r="M451" s="656"/>
      <c r="N451" s="656"/>
      <c r="O451" s="657"/>
      <c r="P451" s="653" t="s">
        <v>40</v>
      </c>
      <c r="Q451" s="654"/>
      <c r="R451" s="654"/>
      <c r="S451" s="654"/>
      <c r="T451" s="654"/>
      <c r="U451" s="654"/>
      <c r="V451" s="655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48" t="s">
        <v>77</v>
      </c>
      <c r="B452" s="648"/>
      <c r="C452" s="648"/>
      <c r="D452" s="648"/>
      <c r="E452" s="648"/>
      <c r="F452" s="648"/>
      <c r="G452" s="648"/>
      <c r="H452" s="648"/>
      <c r="I452" s="648"/>
      <c r="J452" s="648"/>
      <c r="K452" s="648"/>
      <c r="L452" s="648"/>
      <c r="M452" s="648"/>
      <c r="N452" s="648"/>
      <c r="O452" s="648"/>
      <c r="P452" s="648"/>
      <c r="Q452" s="648"/>
      <c r="R452" s="648"/>
      <c r="S452" s="648"/>
      <c r="T452" s="648"/>
      <c r="U452" s="648"/>
      <c r="V452" s="648"/>
      <c r="W452" s="648"/>
      <c r="X452" s="648"/>
      <c r="Y452" s="648"/>
      <c r="Z452" s="648"/>
      <c r="AA452" s="66"/>
      <c r="AB452" s="66"/>
      <c r="AC452" s="80"/>
    </row>
    <row r="453" spans="1:68" ht="27" hidden="1" customHeight="1" x14ac:dyDescent="0.25">
      <c r="A453" s="63" t="s">
        <v>747</v>
      </c>
      <c r="B453" s="63" t="s">
        <v>748</v>
      </c>
      <c r="C453" s="36">
        <v>4301051903</v>
      </c>
      <c r="D453" s="649">
        <v>4607091383928</v>
      </c>
      <c r="E453" s="649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129</v>
      </c>
      <c r="L453" s="37" t="s">
        <v>46</v>
      </c>
      <c r="M453" s="38" t="s">
        <v>81</v>
      </c>
      <c r="N453" s="38"/>
      <c r="O453" s="37">
        <v>40</v>
      </c>
      <c r="P453" s="71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51"/>
      <c r="R453" s="651"/>
      <c r="S453" s="651"/>
      <c r="T453" s="65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50" t="s">
        <v>749</v>
      </c>
      <c r="AG453" s="78"/>
      <c r="AJ453" s="84" t="s">
        <v>46</v>
      </c>
      <c r="AK453" s="84">
        <v>0</v>
      </c>
      <c r="BB453" s="551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750</v>
      </c>
      <c r="B454" s="63" t="s">
        <v>751</v>
      </c>
      <c r="C454" s="36">
        <v>4301051897</v>
      </c>
      <c r="D454" s="649">
        <v>4607091384260</v>
      </c>
      <c r="E454" s="649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129</v>
      </c>
      <c r="L454" s="37" t="s">
        <v>46</v>
      </c>
      <c r="M454" s="38" t="s">
        <v>81</v>
      </c>
      <c r="N454" s="38"/>
      <c r="O454" s="37">
        <v>40</v>
      </c>
      <c r="P454" s="71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51"/>
      <c r="R454" s="651"/>
      <c r="S454" s="651"/>
      <c r="T454" s="65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752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753</v>
      </c>
      <c r="B455" s="63" t="s">
        <v>754</v>
      </c>
      <c r="C455" s="36">
        <v>4301052220</v>
      </c>
      <c r="D455" s="649">
        <v>4680115889538</v>
      </c>
      <c r="E455" s="649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129</v>
      </c>
      <c r="L455" s="37" t="s">
        <v>46</v>
      </c>
      <c r="M455" s="38" t="s">
        <v>81</v>
      </c>
      <c r="N455" s="38"/>
      <c r="O455" s="37">
        <v>45</v>
      </c>
      <c r="P455" s="71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51"/>
      <c r="R455" s="651"/>
      <c r="S455" s="651"/>
      <c r="T455" s="652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54" t="s">
        <v>755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56"/>
      <c r="B456" s="656"/>
      <c r="C456" s="656"/>
      <c r="D456" s="656"/>
      <c r="E456" s="656"/>
      <c r="F456" s="656"/>
      <c r="G456" s="656"/>
      <c r="H456" s="656"/>
      <c r="I456" s="656"/>
      <c r="J456" s="656"/>
      <c r="K456" s="656"/>
      <c r="L456" s="656"/>
      <c r="M456" s="656"/>
      <c r="N456" s="656"/>
      <c r="O456" s="657"/>
      <c r="P456" s="653" t="s">
        <v>40</v>
      </c>
      <c r="Q456" s="654"/>
      <c r="R456" s="654"/>
      <c r="S456" s="654"/>
      <c r="T456" s="654"/>
      <c r="U456" s="654"/>
      <c r="V456" s="655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56"/>
      <c r="B457" s="656"/>
      <c r="C457" s="656"/>
      <c r="D457" s="656"/>
      <c r="E457" s="656"/>
      <c r="F457" s="656"/>
      <c r="G457" s="656"/>
      <c r="H457" s="656"/>
      <c r="I457" s="656"/>
      <c r="J457" s="656"/>
      <c r="K457" s="656"/>
      <c r="L457" s="656"/>
      <c r="M457" s="656"/>
      <c r="N457" s="656"/>
      <c r="O457" s="657"/>
      <c r="P457" s="653" t="s">
        <v>40</v>
      </c>
      <c r="Q457" s="654"/>
      <c r="R457" s="654"/>
      <c r="S457" s="654"/>
      <c r="T457" s="654"/>
      <c r="U457" s="654"/>
      <c r="V457" s="655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48" t="s">
        <v>179</v>
      </c>
      <c r="B458" s="648"/>
      <c r="C458" s="648"/>
      <c r="D458" s="648"/>
      <c r="E458" s="648"/>
      <c r="F458" s="648"/>
      <c r="G458" s="648"/>
      <c r="H458" s="648"/>
      <c r="I458" s="648"/>
      <c r="J458" s="648"/>
      <c r="K458" s="648"/>
      <c r="L458" s="648"/>
      <c r="M458" s="648"/>
      <c r="N458" s="648"/>
      <c r="O458" s="648"/>
      <c r="P458" s="648"/>
      <c r="Q458" s="648"/>
      <c r="R458" s="648"/>
      <c r="S458" s="648"/>
      <c r="T458" s="648"/>
      <c r="U458" s="648"/>
      <c r="V458" s="648"/>
      <c r="W458" s="648"/>
      <c r="X458" s="648"/>
      <c r="Y458" s="648"/>
      <c r="Z458" s="648"/>
      <c r="AA458" s="66"/>
      <c r="AB458" s="66"/>
      <c r="AC458" s="80"/>
    </row>
    <row r="459" spans="1:68" ht="27" hidden="1" customHeight="1" x14ac:dyDescent="0.25">
      <c r="A459" s="63" t="s">
        <v>756</v>
      </c>
      <c r="B459" s="63" t="s">
        <v>757</v>
      </c>
      <c r="C459" s="36">
        <v>4301060537</v>
      </c>
      <c r="D459" s="649">
        <v>4680115889545</v>
      </c>
      <c r="E459" s="649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129</v>
      </c>
      <c r="L459" s="37" t="s">
        <v>46</v>
      </c>
      <c r="M459" s="38" t="s">
        <v>81</v>
      </c>
      <c r="N459" s="38"/>
      <c r="O459" s="37">
        <v>30</v>
      </c>
      <c r="P459" s="70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51"/>
      <c r="R459" s="651"/>
      <c r="S459" s="651"/>
      <c r="T459" s="65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56" t="s">
        <v>758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customHeight="1" x14ac:dyDescent="0.25">
      <c r="A460" s="63" t="s">
        <v>759</v>
      </c>
      <c r="B460" s="63" t="s">
        <v>760</v>
      </c>
      <c r="C460" s="36">
        <v>4301060524</v>
      </c>
      <c r="D460" s="649">
        <v>4607091384673</v>
      </c>
      <c r="E460" s="649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129</v>
      </c>
      <c r="L460" s="37" t="s">
        <v>46</v>
      </c>
      <c r="M460" s="38" t="s">
        <v>81</v>
      </c>
      <c r="N460" s="38"/>
      <c r="O460" s="37">
        <v>40</v>
      </c>
      <c r="P460" s="70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51"/>
      <c r="R460" s="651"/>
      <c r="S460" s="651"/>
      <c r="T460" s="652"/>
      <c r="U460" s="39" t="s">
        <v>46</v>
      </c>
      <c r="V460" s="39" t="s">
        <v>46</v>
      </c>
      <c r="W460" s="40" t="s">
        <v>0</v>
      </c>
      <c r="X460" s="58">
        <v>100</v>
      </c>
      <c r="Y460" s="55">
        <f>IFERROR(IF(X460="",0,CEILING((X460/$H460),1)*$H460),"")</f>
        <v>108</v>
      </c>
      <c r="Z460" s="41">
        <f>IFERROR(IF(Y460=0,"",ROUNDUP(Y460/H460,0)*0.01898),"")</f>
        <v>0.22776000000000002</v>
      </c>
      <c r="AA460" s="68" t="s">
        <v>46</v>
      </c>
      <c r="AB460" s="69" t="s">
        <v>46</v>
      </c>
      <c r="AC460" s="558" t="s">
        <v>761</v>
      </c>
      <c r="AG460" s="78"/>
      <c r="AJ460" s="84" t="s">
        <v>46</v>
      </c>
      <c r="AK460" s="84">
        <v>0</v>
      </c>
      <c r="BB460" s="559" t="s">
        <v>67</v>
      </c>
      <c r="BM460" s="78">
        <f>IFERROR(X460*I460/H460,"0")</f>
        <v>105.48888888888888</v>
      </c>
      <c r="BN460" s="78">
        <f>IFERROR(Y460*I460/H460,"0")</f>
        <v>113.92799999999998</v>
      </c>
      <c r="BO460" s="78">
        <f>IFERROR(1/J460*(X460/H460),"0")</f>
        <v>0.1736111111111111</v>
      </c>
      <c r="BP460" s="78">
        <f>IFERROR(1/J460*(Y460/H460),"0")</f>
        <v>0.1875</v>
      </c>
    </row>
    <row r="461" spans="1:68" x14ac:dyDescent="0.2">
      <c r="A461" s="656"/>
      <c r="B461" s="656"/>
      <c r="C461" s="656"/>
      <c r="D461" s="656"/>
      <c r="E461" s="656"/>
      <c r="F461" s="656"/>
      <c r="G461" s="656"/>
      <c r="H461" s="656"/>
      <c r="I461" s="656"/>
      <c r="J461" s="656"/>
      <c r="K461" s="656"/>
      <c r="L461" s="656"/>
      <c r="M461" s="656"/>
      <c r="N461" s="656"/>
      <c r="O461" s="657"/>
      <c r="P461" s="653" t="s">
        <v>40</v>
      </c>
      <c r="Q461" s="654"/>
      <c r="R461" s="654"/>
      <c r="S461" s="654"/>
      <c r="T461" s="654"/>
      <c r="U461" s="654"/>
      <c r="V461" s="655"/>
      <c r="W461" s="42" t="s">
        <v>39</v>
      </c>
      <c r="X461" s="43">
        <f>IFERROR(X459/H459,"0")+IFERROR(X460/H460,"0")</f>
        <v>11.111111111111111</v>
      </c>
      <c r="Y461" s="43">
        <f>IFERROR(Y459/H459,"0")+IFERROR(Y460/H460,"0")</f>
        <v>12</v>
      </c>
      <c r="Z461" s="43">
        <f>IFERROR(IF(Z459="",0,Z459),"0")+IFERROR(IF(Z460="",0,Z460),"0")</f>
        <v>0.22776000000000002</v>
      </c>
      <c r="AA461" s="67"/>
      <c r="AB461" s="67"/>
      <c r="AC461" s="67"/>
    </row>
    <row r="462" spans="1:68" x14ac:dyDescent="0.2">
      <c r="A462" s="656"/>
      <c r="B462" s="656"/>
      <c r="C462" s="656"/>
      <c r="D462" s="656"/>
      <c r="E462" s="656"/>
      <c r="F462" s="656"/>
      <c r="G462" s="656"/>
      <c r="H462" s="656"/>
      <c r="I462" s="656"/>
      <c r="J462" s="656"/>
      <c r="K462" s="656"/>
      <c r="L462" s="656"/>
      <c r="M462" s="656"/>
      <c r="N462" s="656"/>
      <c r="O462" s="657"/>
      <c r="P462" s="653" t="s">
        <v>40</v>
      </c>
      <c r="Q462" s="654"/>
      <c r="R462" s="654"/>
      <c r="S462" s="654"/>
      <c r="T462" s="654"/>
      <c r="U462" s="654"/>
      <c r="V462" s="655"/>
      <c r="W462" s="42" t="s">
        <v>0</v>
      </c>
      <c r="X462" s="43">
        <f>IFERROR(SUM(X459:X460),"0")</f>
        <v>100</v>
      </c>
      <c r="Y462" s="43">
        <f>IFERROR(SUM(Y459:Y460),"0")</f>
        <v>108</v>
      </c>
      <c r="Z462" s="42"/>
      <c r="AA462" s="67"/>
      <c r="AB462" s="67"/>
      <c r="AC462" s="67"/>
    </row>
    <row r="463" spans="1:68" ht="16.5" hidden="1" customHeight="1" x14ac:dyDescent="0.25">
      <c r="A463" s="647" t="s">
        <v>762</v>
      </c>
      <c r="B463" s="647"/>
      <c r="C463" s="647"/>
      <c r="D463" s="647"/>
      <c r="E463" s="647"/>
      <c r="F463" s="647"/>
      <c r="G463" s="647"/>
      <c r="H463" s="647"/>
      <c r="I463" s="647"/>
      <c r="J463" s="647"/>
      <c r="K463" s="647"/>
      <c r="L463" s="647"/>
      <c r="M463" s="647"/>
      <c r="N463" s="647"/>
      <c r="O463" s="647"/>
      <c r="P463" s="647"/>
      <c r="Q463" s="647"/>
      <c r="R463" s="647"/>
      <c r="S463" s="647"/>
      <c r="T463" s="647"/>
      <c r="U463" s="647"/>
      <c r="V463" s="647"/>
      <c r="W463" s="647"/>
      <c r="X463" s="647"/>
      <c r="Y463" s="647"/>
      <c r="Z463" s="647"/>
      <c r="AA463" s="65"/>
      <c r="AB463" s="65"/>
      <c r="AC463" s="79"/>
    </row>
    <row r="464" spans="1:68" ht="14.25" hidden="1" customHeight="1" x14ac:dyDescent="0.25">
      <c r="A464" s="648" t="s">
        <v>124</v>
      </c>
      <c r="B464" s="648"/>
      <c r="C464" s="648"/>
      <c r="D464" s="648"/>
      <c r="E464" s="648"/>
      <c r="F464" s="648"/>
      <c r="G464" s="648"/>
      <c r="H464" s="648"/>
      <c r="I464" s="648"/>
      <c r="J464" s="648"/>
      <c r="K464" s="648"/>
      <c r="L464" s="648"/>
      <c r="M464" s="648"/>
      <c r="N464" s="648"/>
      <c r="O464" s="648"/>
      <c r="P464" s="648"/>
      <c r="Q464" s="648"/>
      <c r="R464" s="648"/>
      <c r="S464" s="648"/>
      <c r="T464" s="648"/>
      <c r="U464" s="648"/>
      <c r="V464" s="648"/>
      <c r="W464" s="648"/>
      <c r="X464" s="648"/>
      <c r="Y464" s="648"/>
      <c r="Z464" s="648"/>
      <c r="AA464" s="66"/>
      <c r="AB464" s="66"/>
      <c r="AC464" s="80"/>
    </row>
    <row r="465" spans="1:68" ht="27" hidden="1" customHeight="1" x14ac:dyDescent="0.25">
      <c r="A465" s="63" t="s">
        <v>763</v>
      </c>
      <c r="B465" s="63" t="s">
        <v>764</v>
      </c>
      <c r="C465" s="36">
        <v>4301011875</v>
      </c>
      <c r="D465" s="649">
        <v>4680115884885</v>
      </c>
      <c r="E465" s="649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129</v>
      </c>
      <c r="L465" s="37" t="s">
        <v>46</v>
      </c>
      <c r="M465" s="38" t="s">
        <v>133</v>
      </c>
      <c r="N465" s="38"/>
      <c r="O465" s="37">
        <v>60</v>
      </c>
      <c r="P465" s="70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51"/>
      <c r="R465" s="651"/>
      <c r="S465" s="651"/>
      <c r="T465" s="652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60" t="s">
        <v>765</v>
      </c>
      <c r="AG465" s="78"/>
      <c r="AJ465" s="84" t="s">
        <v>46</v>
      </c>
      <c r="AK465" s="84">
        <v>0</v>
      </c>
      <c r="BB465" s="561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766</v>
      </c>
      <c r="B466" s="63" t="s">
        <v>767</v>
      </c>
      <c r="C466" s="36">
        <v>4301011871</v>
      </c>
      <c r="D466" s="649">
        <v>4680115884908</v>
      </c>
      <c r="E466" s="649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137</v>
      </c>
      <c r="L466" s="37" t="s">
        <v>46</v>
      </c>
      <c r="M466" s="38" t="s">
        <v>133</v>
      </c>
      <c r="N466" s="38"/>
      <c r="O466" s="37">
        <v>60</v>
      </c>
      <c r="P466" s="70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51"/>
      <c r="R466" s="651"/>
      <c r="S466" s="651"/>
      <c r="T466" s="652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62" t="s">
        <v>765</v>
      </c>
      <c r="AG466" s="78"/>
      <c r="AJ466" s="84" t="s">
        <v>46</v>
      </c>
      <c r="AK466" s="84">
        <v>0</v>
      </c>
      <c r="BB466" s="563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56"/>
      <c r="B467" s="656"/>
      <c r="C467" s="656"/>
      <c r="D467" s="656"/>
      <c r="E467" s="656"/>
      <c r="F467" s="656"/>
      <c r="G467" s="656"/>
      <c r="H467" s="656"/>
      <c r="I467" s="656"/>
      <c r="J467" s="656"/>
      <c r="K467" s="656"/>
      <c r="L467" s="656"/>
      <c r="M467" s="656"/>
      <c r="N467" s="656"/>
      <c r="O467" s="657"/>
      <c r="P467" s="653" t="s">
        <v>40</v>
      </c>
      <c r="Q467" s="654"/>
      <c r="R467" s="654"/>
      <c r="S467" s="654"/>
      <c r="T467" s="654"/>
      <c r="U467" s="654"/>
      <c r="V467" s="655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56"/>
      <c r="B468" s="656"/>
      <c r="C468" s="656"/>
      <c r="D468" s="656"/>
      <c r="E468" s="656"/>
      <c r="F468" s="656"/>
      <c r="G468" s="656"/>
      <c r="H468" s="656"/>
      <c r="I468" s="656"/>
      <c r="J468" s="656"/>
      <c r="K468" s="656"/>
      <c r="L468" s="656"/>
      <c r="M468" s="656"/>
      <c r="N468" s="656"/>
      <c r="O468" s="657"/>
      <c r="P468" s="653" t="s">
        <v>40</v>
      </c>
      <c r="Q468" s="654"/>
      <c r="R468" s="654"/>
      <c r="S468" s="654"/>
      <c r="T468" s="654"/>
      <c r="U468" s="654"/>
      <c r="V468" s="655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48" t="s">
        <v>256</v>
      </c>
      <c r="B469" s="648"/>
      <c r="C469" s="648"/>
      <c r="D469" s="648"/>
      <c r="E469" s="648"/>
      <c r="F469" s="648"/>
      <c r="G469" s="648"/>
      <c r="H469" s="648"/>
      <c r="I469" s="648"/>
      <c r="J469" s="648"/>
      <c r="K469" s="648"/>
      <c r="L469" s="648"/>
      <c r="M469" s="648"/>
      <c r="N469" s="648"/>
      <c r="O469" s="648"/>
      <c r="P469" s="648"/>
      <c r="Q469" s="648"/>
      <c r="R469" s="648"/>
      <c r="S469" s="648"/>
      <c r="T469" s="648"/>
      <c r="U469" s="648"/>
      <c r="V469" s="648"/>
      <c r="W469" s="648"/>
      <c r="X469" s="648"/>
      <c r="Y469" s="648"/>
      <c r="Z469" s="648"/>
      <c r="AA469" s="66"/>
      <c r="AB469" s="66"/>
      <c r="AC469" s="80"/>
    </row>
    <row r="470" spans="1:68" ht="27" hidden="1" customHeight="1" x14ac:dyDescent="0.25">
      <c r="A470" s="63" t="s">
        <v>768</v>
      </c>
      <c r="B470" s="63" t="s">
        <v>769</v>
      </c>
      <c r="C470" s="36">
        <v>4301031533</v>
      </c>
      <c r="D470" s="649">
        <v>4607091384802</v>
      </c>
      <c r="E470" s="649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137</v>
      </c>
      <c r="L470" s="37" t="s">
        <v>46</v>
      </c>
      <c r="M470" s="38" t="s">
        <v>133</v>
      </c>
      <c r="N470" s="38"/>
      <c r="O470" s="37">
        <v>50</v>
      </c>
      <c r="P470" s="699" t="str">
        <f>HYPERLINK("https://abi.ru/products/Охлажденные/Особый рецепт/Особая Без свинины/Копченые колбасы/P005707/","Копченые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51"/>
      <c r="R470" s="651"/>
      <c r="S470" s="651"/>
      <c r="T470" s="652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56"/>
      <c r="B471" s="656"/>
      <c r="C471" s="656"/>
      <c r="D471" s="656"/>
      <c r="E471" s="656"/>
      <c r="F471" s="656"/>
      <c r="G471" s="656"/>
      <c r="H471" s="656"/>
      <c r="I471" s="656"/>
      <c r="J471" s="656"/>
      <c r="K471" s="656"/>
      <c r="L471" s="656"/>
      <c r="M471" s="656"/>
      <c r="N471" s="656"/>
      <c r="O471" s="657"/>
      <c r="P471" s="653" t="s">
        <v>40</v>
      </c>
      <c r="Q471" s="654"/>
      <c r="R471" s="654"/>
      <c r="S471" s="654"/>
      <c r="T471" s="654"/>
      <c r="U471" s="654"/>
      <c r="V471" s="655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56"/>
      <c r="B472" s="656"/>
      <c r="C472" s="656"/>
      <c r="D472" s="656"/>
      <c r="E472" s="656"/>
      <c r="F472" s="656"/>
      <c r="G472" s="656"/>
      <c r="H472" s="656"/>
      <c r="I472" s="656"/>
      <c r="J472" s="656"/>
      <c r="K472" s="656"/>
      <c r="L472" s="656"/>
      <c r="M472" s="656"/>
      <c r="N472" s="656"/>
      <c r="O472" s="657"/>
      <c r="P472" s="653" t="s">
        <v>40</v>
      </c>
      <c r="Q472" s="654"/>
      <c r="R472" s="654"/>
      <c r="S472" s="654"/>
      <c r="T472" s="654"/>
      <c r="U472" s="654"/>
      <c r="V472" s="655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48" t="s">
        <v>77</v>
      </c>
      <c r="B473" s="648"/>
      <c r="C473" s="648"/>
      <c r="D473" s="648"/>
      <c r="E473" s="648"/>
      <c r="F473" s="648"/>
      <c r="G473" s="648"/>
      <c r="H473" s="648"/>
      <c r="I473" s="648"/>
      <c r="J473" s="648"/>
      <c r="K473" s="648"/>
      <c r="L473" s="648"/>
      <c r="M473" s="648"/>
      <c r="N473" s="648"/>
      <c r="O473" s="648"/>
      <c r="P473" s="648"/>
      <c r="Q473" s="648"/>
      <c r="R473" s="648"/>
      <c r="S473" s="648"/>
      <c r="T473" s="648"/>
      <c r="U473" s="648"/>
      <c r="V473" s="648"/>
      <c r="W473" s="648"/>
      <c r="X473" s="648"/>
      <c r="Y473" s="648"/>
      <c r="Z473" s="648"/>
      <c r="AA473" s="66"/>
      <c r="AB473" s="66"/>
      <c r="AC473" s="80"/>
    </row>
    <row r="474" spans="1:68" ht="27" hidden="1" customHeight="1" x14ac:dyDescent="0.25">
      <c r="A474" s="63" t="s">
        <v>771</v>
      </c>
      <c r="B474" s="63" t="s">
        <v>772</v>
      </c>
      <c r="C474" s="36">
        <v>4301051899</v>
      </c>
      <c r="D474" s="649">
        <v>4607091384246</v>
      </c>
      <c r="E474" s="649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129</v>
      </c>
      <c r="L474" s="37" t="s">
        <v>46</v>
      </c>
      <c r="M474" s="38" t="s">
        <v>81</v>
      </c>
      <c r="N474" s="38"/>
      <c r="O474" s="37">
        <v>40</v>
      </c>
      <c r="P474" s="70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51"/>
      <c r="R474" s="651"/>
      <c r="S474" s="651"/>
      <c r="T474" s="652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66" t="s">
        <v>773</v>
      </c>
      <c r="AG474" s="78"/>
      <c r="AJ474" s="84" t="s">
        <v>46</v>
      </c>
      <c r="AK474" s="84">
        <v>0</v>
      </c>
      <c r="BB474" s="567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4301051660</v>
      </c>
      <c r="D475" s="649">
        <v>4607091384253</v>
      </c>
      <c r="E475" s="649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82</v>
      </c>
      <c r="L475" s="37" t="s">
        <v>46</v>
      </c>
      <c r="M475" s="38" t="s">
        <v>81</v>
      </c>
      <c r="N475" s="38"/>
      <c r="O475" s="37">
        <v>40</v>
      </c>
      <c r="P475" s="7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51"/>
      <c r="R475" s="651"/>
      <c r="S475" s="651"/>
      <c r="T475" s="65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68" t="s">
        <v>773</v>
      </c>
      <c r="AG475" s="78"/>
      <c r="AJ475" s="84" t="s">
        <v>46</v>
      </c>
      <c r="AK475" s="84">
        <v>0</v>
      </c>
      <c r="BB475" s="569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774</v>
      </c>
      <c r="B476" s="63" t="s">
        <v>776</v>
      </c>
      <c r="C476" s="36">
        <v>4301052069</v>
      </c>
      <c r="D476" s="649">
        <v>4607091384253</v>
      </c>
      <c r="E476" s="649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82</v>
      </c>
      <c r="L476" s="37" t="s">
        <v>46</v>
      </c>
      <c r="M476" s="38" t="s">
        <v>81</v>
      </c>
      <c r="N476" s="38"/>
      <c r="O476" s="37">
        <v>40</v>
      </c>
      <c r="P476" s="70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51"/>
      <c r="R476" s="651"/>
      <c r="S476" s="651"/>
      <c r="T476" s="652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70" t="s">
        <v>777</v>
      </c>
      <c r="AG476" s="78"/>
      <c r="AJ476" s="84" t="s">
        <v>46</v>
      </c>
      <c r="AK476" s="84">
        <v>0</v>
      </c>
      <c r="BB476" s="571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656"/>
      <c r="B477" s="656"/>
      <c r="C477" s="656"/>
      <c r="D477" s="656"/>
      <c r="E477" s="656"/>
      <c r="F477" s="656"/>
      <c r="G477" s="656"/>
      <c r="H477" s="656"/>
      <c r="I477" s="656"/>
      <c r="J477" s="656"/>
      <c r="K477" s="656"/>
      <c r="L477" s="656"/>
      <c r="M477" s="656"/>
      <c r="N477" s="656"/>
      <c r="O477" s="657"/>
      <c r="P477" s="653" t="s">
        <v>40</v>
      </c>
      <c r="Q477" s="654"/>
      <c r="R477" s="654"/>
      <c r="S477" s="654"/>
      <c r="T477" s="654"/>
      <c r="U477" s="654"/>
      <c r="V477" s="655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656"/>
      <c r="B478" s="656"/>
      <c r="C478" s="656"/>
      <c r="D478" s="656"/>
      <c r="E478" s="656"/>
      <c r="F478" s="656"/>
      <c r="G478" s="656"/>
      <c r="H478" s="656"/>
      <c r="I478" s="656"/>
      <c r="J478" s="656"/>
      <c r="K478" s="656"/>
      <c r="L478" s="656"/>
      <c r="M478" s="656"/>
      <c r="N478" s="656"/>
      <c r="O478" s="657"/>
      <c r="P478" s="653" t="s">
        <v>40</v>
      </c>
      <c r="Q478" s="654"/>
      <c r="R478" s="654"/>
      <c r="S478" s="654"/>
      <c r="T478" s="654"/>
      <c r="U478" s="654"/>
      <c r="V478" s="655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666" t="s">
        <v>778</v>
      </c>
      <c r="B479" s="666"/>
      <c r="C479" s="666"/>
      <c r="D479" s="666"/>
      <c r="E479" s="666"/>
      <c r="F479" s="666"/>
      <c r="G479" s="666"/>
      <c r="H479" s="666"/>
      <c r="I479" s="666"/>
      <c r="J479" s="666"/>
      <c r="K479" s="666"/>
      <c r="L479" s="666"/>
      <c r="M479" s="666"/>
      <c r="N479" s="666"/>
      <c r="O479" s="666"/>
      <c r="P479" s="666"/>
      <c r="Q479" s="666"/>
      <c r="R479" s="666"/>
      <c r="S479" s="666"/>
      <c r="T479" s="666"/>
      <c r="U479" s="666"/>
      <c r="V479" s="666"/>
      <c r="W479" s="666"/>
      <c r="X479" s="666"/>
      <c r="Y479" s="666"/>
      <c r="Z479" s="666"/>
      <c r="AA479" s="54"/>
      <c r="AB479" s="54"/>
      <c r="AC479" s="54"/>
    </row>
    <row r="480" spans="1:68" ht="16.5" hidden="1" customHeight="1" x14ac:dyDescent="0.25">
      <c r="A480" s="647" t="s">
        <v>779</v>
      </c>
      <c r="B480" s="647"/>
      <c r="C480" s="647"/>
      <c r="D480" s="647"/>
      <c r="E480" s="647"/>
      <c r="F480" s="647"/>
      <c r="G480" s="647"/>
      <c r="H480" s="647"/>
      <c r="I480" s="647"/>
      <c r="J480" s="647"/>
      <c r="K480" s="647"/>
      <c r="L480" s="647"/>
      <c r="M480" s="647"/>
      <c r="N480" s="647"/>
      <c r="O480" s="647"/>
      <c r="P480" s="647"/>
      <c r="Q480" s="647"/>
      <c r="R480" s="647"/>
      <c r="S480" s="647"/>
      <c r="T480" s="647"/>
      <c r="U480" s="647"/>
      <c r="V480" s="647"/>
      <c r="W480" s="647"/>
      <c r="X480" s="647"/>
      <c r="Y480" s="647"/>
      <c r="Z480" s="647"/>
      <c r="AA480" s="65"/>
      <c r="AB480" s="65"/>
      <c r="AC480" s="79"/>
    </row>
    <row r="481" spans="1:68" ht="14.25" hidden="1" customHeight="1" x14ac:dyDescent="0.25">
      <c r="A481" s="648" t="s">
        <v>256</v>
      </c>
      <c r="B481" s="648"/>
      <c r="C481" s="648"/>
      <c r="D481" s="648"/>
      <c r="E481" s="648"/>
      <c r="F481" s="648"/>
      <c r="G481" s="648"/>
      <c r="H481" s="648"/>
      <c r="I481" s="648"/>
      <c r="J481" s="648"/>
      <c r="K481" s="648"/>
      <c r="L481" s="648"/>
      <c r="M481" s="648"/>
      <c r="N481" s="648"/>
      <c r="O481" s="648"/>
      <c r="P481" s="648"/>
      <c r="Q481" s="648"/>
      <c r="R481" s="648"/>
      <c r="S481" s="648"/>
      <c r="T481" s="648"/>
      <c r="U481" s="648"/>
      <c r="V481" s="648"/>
      <c r="W481" s="648"/>
      <c r="X481" s="648"/>
      <c r="Y481" s="648"/>
      <c r="Z481" s="648"/>
      <c r="AA481" s="66"/>
      <c r="AB481" s="66"/>
      <c r="AC481" s="80"/>
    </row>
    <row r="482" spans="1:68" ht="27" customHeight="1" x14ac:dyDescent="0.25">
      <c r="A482" s="63" t="s">
        <v>780</v>
      </c>
      <c r="B482" s="63" t="s">
        <v>781</v>
      </c>
      <c r="C482" s="36">
        <v>4301031405</v>
      </c>
      <c r="D482" s="649">
        <v>4680115886100</v>
      </c>
      <c r="E482" s="649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137</v>
      </c>
      <c r="L482" s="37" t="s">
        <v>46</v>
      </c>
      <c r="M482" s="38" t="s">
        <v>133</v>
      </c>
      <c r="N482" s="38"/>
      <c r="O482" s="37">
        <v>50</v>
      </c>
      <c r="P482" s="69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51"/>
      <c r="R482" s="651"/>
      <c r="S482" s="651"/>
      <c r="T482" s="652"/>
      <c r="U482" s="39" t="s">
        <v>46</v>
      </c>
      <c r="V482" s="39" t="s">
        <v>46</v>
      </c>
      <c r="W482" s="40" t="s">
        <v>0</v>
      </c>
      <c r="X482" s="58">
        <v>100</v>
      </c>
      <c r="Y482" s="55">
        <f t="shared" ref="Y482:Y487" si="67">IFERROR(IF(X482="",0,CEILING((X482/$H482),1)*$H482),"")</f>
        <v>102.60000000000001</v>
      </c>
      <c r="Z482" s="41">
        <f>IFERROR(IF(Y482=0,"",ROUNDUP(Y482/H482,0)*0.00902),"")</f>
        <v>0.17138</v>
      </c>
      <c r="AA482" s="68" t="s">
        <v>46</v>
      </c>
      <c r="AB482" s="69" t="s">
        <v>46</v>
      </c>
      <c r="AC482" s="572" t="s">
        <v>782</v>
      </c>
      <c r="AG482" s="78"/>
      <c r="AJ482" s="84" t="s">
        <v>46</v>
      </c>
      <c r="AK482" s="84">
        <v>0</v>
      </c>
      <c r="BB482" s="573" t="s">
        <v>67</v>
      </c>
      <c r="BM482" s="78">
        <f t="shared" ref="BM482:BM487" si="68">IFERROR(X482*I482/H482,"0")</f>
        <v>103.5185185185185</v>
      </c>
      <c r="BN482" s="78">
        <f t="shared" ref="BN482:BN487" si="69">IFERROR(Y482*I482/H482,"0")</f>
        <v>106.21</v>
      </c>
      <c r="BO482" s="78">
        <f t="shared" ref="BO482:BO487" si="70">IFERROR(1/J482*(X482/H482),"0")</f>
        <v>0.14029180695847362</v>
      </c>
      <c r="BP482" s="78">
        <f t="shared" ref="BP482:BP487" si="71">IFERROR(1/J482*(Y482/H482),"0")</f>
        <v>0.14393939393939395</v>
      </c>
    </row>
    <row r="483" spans="1:68" ht="27" customHeight="1" x14ac:dyDescent="0.25">
      <c r="A483" s="63" t="s">
        <v>783</v>
      </c>
      <c r="B483" s="63" t="s">
        <v>784</v>
      </c>
      <c r="C483" s="36">
        <v>4301031402</v>
      </c>
      <c r="D483" s="649">
        <v>4680115886124</v>
      </c>
      <c r="E483" s="649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137</v>
      </c>
      <c r="L483" s="37" t="s">
        <v>46</v>
      </c>
      <c r="M483" s="38" t="s">
        <v>133</v>
      </c>
      <c r="N483" s="38"/>
      <c r="O483" s="37">
        <v>50</v>
      </c>
      <c r="P483" s="69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51"/>
      <c r="R483" s="651"/>
      <c r="S483" s="651"/>
      <c r="T483" s="652"/>
      <c r="U483" s="39" t="s">
        <v>46</v>
      </c>
      <c r="V483" s="39" t="s">
        <v>46</v>
      </c>
      <c r="W483" s="40" t="s">
        <v>0</v>
      </c>
      <c r="X483" s="58">
        <v>250</v>
      </c>
      <c r="Y483" s="55">
        <f t="shared" si="67"/>
        <v>253.8</v>
      </c>
      <c r="Z483" s="41">
        <f>IFERROR(IF(Y483=0,"",ROUNDUP(Y483/H483,0)*0.00902),"")</f>
        <v>0.42393999999999998</v>
      </c>
      <c r="AA483" s="68" t="s">
        <v>46</v>
      </c>
      <c r="AB483" s="69" t="s">
        <v>46</v>
      </c>
      <c r="AC483" s="574" t="s">
        <v>785</v>
      </c>
      <c r="AG483" s="78"/>
      <c r="AJ483" s="84" t="s">
        <v>46</v>
      </c>
      <c r="AK483" s="84">
        <v>0</v>
      </c>
      <c r="BB483" s="575" t="s">
        <v>67</v>
      </c>
      <c r="BM483" s="78">
        <f t="shared" si="68"/>
        <v>258.7962962962963</v>
      </c>
      <c r="BN483" s="78">
        <f t="shared" si="69"/>
        <v>262.72999999999996</v>
      </c>
      <c r="BO483" s="78">
        <f t="shared" si="70"/>
        <v>0.35072951739618402</v>
      </c>
      <c r="BP483" s="78">
        <f t="shared" si="71"/>
        <v>0.35606060606060608</v>
      </c>
    </row>
    <row r="484" spans="1:68" ht="27" hidden="1" customHeight="1" x14ac:dyDescent="0.25">
      <c r="A484" s="63" t="s">
        <v>786</v>
      </c>
      <c r="B484" s="63" t="s">
        <v>787</v>
      </c>
      <c r="C484" s="36">
        <v>4301031362</v>
      </c>
      <c r="D484" s="649">
        <v>4607091384338</v>
      </c>
      <c r="E484" s="649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234</v>
      </c>
      <c r="L484" s="37" t="s">
        <v>46</v>
      </c>
      <c r="M484" s="38" t="s">
        <v>133</v>
      </c>
      <c r="N484" s="38"/>
      <c r="O484" s="37">
        <v>50</v>
      </c>
      <c r="P484" s="69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51"/>
      <c r="R484" s="651"/>
      <c r="S484" s="651"/>
      <c r="T484" s="652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67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76" t="s">
        <v>782</v>
      </c>
      <c r="AG484" s="78"/>
      <c r="AJ484" s="84" t="s">
        <v>46</v>
      </c>
      <c r="AK484" s="84">
        <v>0</v>
      </c>
      <c r="BB484" s="577" t="s">
        <v>67</v>
      </c>
      <c r="BM484" s="78">
        <f t="shared" si="68"/>
        <v>0</v>
      </c>
      <c r="BN484" s="78">
        <f t="shared" si="69"/>
        <v>0</v>
      </c>
      <c r="BO484" s="78">
        <f t="shared" si="70"/>
        <v>0</v>
      </c>
      <c r="BP484" s="78">
        <f t="shared" si="71"/>
        <v>0</v>
      </c>
    </row>
    <row r="485" spans="1:68" ht="27" hidden="1" customHeight="1" x14ac:dyDescent="0.25">
      <c r="A485" s="63" t="s">
        <v>788</v>
      </c>
      <c r="B485" s="63" t="s">
        <v>789</v>
      </c>
      <c r="C485" s="36">
        <v>4301031364</v>
      </c>
      <c r="D485" s="649">
        <v>4680115883161</v>
      </c>
      <c r="E485" s="64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234</v>
      </c>
      <c r="L485" s="37" t="s">
        <v>46</v>
      </c>
      <c r="M485" s="38" t="s">
        <v>133</v>
      </c>
      <c r="N485" s="38"/>
      <c r="O485" s="37">
        <v>50</v>
      </c>
      <c r="P485" s="69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51"/>
      <c r="R485" s="651"/>
      <c r="S485" s="651"/>
      <c r="T485" s="652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67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8" t="s">
        <v>790</v>
      </c>
      <c r="AG485" s="78"/>
      <c r="AJ485" s="84" t="s">
        <v>46</v>
      </c>
      <c r="AK485" s="84">
        <v>0</v>
      </c>
      <c r="BB485" s="579" t="s">
        <v>67</v>
      </c>
      <c r="BM485" s="78">
        <f t="shared" si="68"/>
        <v>0</v>
      </c>
      <c r="BN485" s="78">
        <f t="shared" si="69"/>
        <v>0</v>
      </c>
      <c r="BO485" s="78">
        <f t="shared" si="70"/>
        <v>0</v>
      </c>
      <c r="BP485" s="78">
        <f t="shared" si="71"/>
        <v>0</v>
      </c>
    </row>
    <row r="486" spans="1:68" ht="27" customHeight="1" x14ac:dyDescent="0.25">
      <c r="A486" s="63" t="s">
        <v>791</v>
      </c>
      <c r="B486" s="63" t="s">
        <v>792</v>
      </c>
      <c r="C486" s="36">
        <v>4301031358</v>
      </c>
      <c r="D486" s="649">
        <v>4607091389531</v>
      </c>
      <c r="E486" s="64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234</v>
      </c>
      <c r="L486" s="37" t="s">
        <v>46</v>
      </c>
      <c r="M486" s="38" t="s">
        <v>133</v>
      </c>
      <c r="N486" s="38"/>
      <c r="O486" s="37">
        <v>50</v>
      </c>
      <c r="P486" s="69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51"/>
      <c r="R486" s="651"/>
      <c r="S486" s="651"/>
      <c r="T486" s="652"/>
      <c r="U486" s="39" t="s">
        <v>46</v>
      </c>
      <c r="V486" s="39" t="s">
        <v>46</v>
      </c>
      <c r="W486" s="40" t="s">
        <v>0</v>
      </c>
      <c r="X486" s="58">
        <v>21</v>
      </c>
      <c r="Y486" s="55">
        <f t="shared" si="67"/>
        <v>21</v>
      </c>
      <c r="Z486" s="41">
        <f>IFERROR(IF(Y486=0,"",ROUNDUP(Y486/H486,0)*0.00502),"")</f>
        <v>5.0200000000000002E-2</v>
      </c>
      <c r="AA486" s="68" t="s">
        <v>46</v>
      </c>
      <c r="AB486" s="69" t="s">
        <v>46</v>
      </c>
      <c r="AC486" s="580" t="s">
        <v>793</v>
      </c>
      <c r="AG486" s="78"/>
      <c r="AJ486" s="84" t="s">
        <v>46</v>
      </c>
      <c r="AK486" s="84">
        <v>0</v>
      </c>
      <c r="BB486" s="581" t="s">
        <v>67</v>
      </c>
      <c r="BM486" s="78">
        <f t="shared" si="68"/>
        <v>22.299999999999997</v>
      </c>
      <c r="BN486" s="78">
        <f t="shared" si="69"/>
        <v>22.299999999999997</v>
      </c>
      <c r="BO486" s="78">
        <f t="shared" si="70"/>
        <v>4.2735042735042736E-2</v>
      </c>
      <c r="BP486" s="78">
        <f t="shared" si="71"/>
        <v>4.2735042735042736E-2</v>
      </c>
    </row>
    <row r="487" spans="1:68" ht="37.5" customHeight="1" x14ac:dyDescent="0.25">
      <c r="A487" s="63" t="s">
        <v>794</v>
      </c>
      <c r="B487" s="63" t="s">
        <v>795</v>
      </c>
      <c r="C487" s="36">
        <v>4301031360</v>
      </c>
      <c r="D487" s="649">
        <v>4607091384345</v>
      </c>
      <c r="E487" s="649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234</v>
      </c>
      <c r="L487" s="37" t="s">
        <v>46</v>
      </c>
      <c r="M487" s="38" t="s">
        <v>133</v>
      </c>
      <c r="N487" s="38"/>
      <c r="O487" s="37">
        <v>50</v>
      </c>
      <c r="P487" s="69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51"/>
      <c r="R487" s="651"/>
      <c r="S487" s="651"/>
      <c r="T487" s="652"/>
      <c r="U487" s="39" t="s">
        <v>46</v>
      </c>
      <c r="V487" s="39" t="s">
        <v>46</v>
      </c>
      <c r="W487" s="40" t="s">
        <v>0</v>
      </c>
      <c r="X487" s="58">
        <v>29.4</v>
      </c>
      <c r="Y487" s="55">
        <f t="shared" si="67"/>
        <v>29.400000000000002</v>
      </c>
      <c r="Z487" s="41">
        <f>IFERROR(IF(Y487=0,"",ROUNDUP(Y487/H487,0)*0.00502),"")</f>
        <v>7.0280000000000009E-2</v>
      </c>
      <c r="AA487" s="68" t="s">
        <v>46</v>
      </c>
      <c r="AB487" s="69" t="s">
        <v>46</v>
      </c>
      <c r="AC487" s="582" t="s">
        <v>790</v>
      </c>
      <c r="AG487" s="78"/>
      <c r="AJ487" s="84" t="s">
        <v>46</v>
      </c>
      <c r="AK487" s="84">
        <v>0</v>
      </c>
      <c r="BB487" s="583" t="s">
        <v>67</v>
      </c>
      <c r="BM487" s="78">
        <f t="shared" si="68"/>
        <v>31.22</v>
      </c>
      <c r="BN487" s="78">
        <f t="shared" si="69"/>
        <v>31.22</v>
      </c>
      <c r="BO487" s="78">
        <f t="shared" si="70"/>
        <v>5.9829059829059825E-2</v>
      </c>
      <c r="BP487" s="78">
        <f t="shared" si="71"/>
        <v>5.9829059829059839E-2</v>
      </c>
    </row>
    <row r="488" spans="1:68" x14ac:dyDescent="0.2">
      <c r="A488" s="656"/>
      <c r="B488" s="656"/>
      <c r="C488" s="656"/>
      <c r="D488" s="656"/>
      <c r="E488" s="656"/>
      <c r="F488" s="656"/>
      <c r="G488" s="656"/>
      <c r="H488" s="656"/>
      <c r="I488" s="656"/>
      <c r="J488" s="656"/>
      <c r="K488" s="656"/>
      <c r="L488" s="656"/>
      <c r="M488" s="656"/>
      <c r="N488" s="656"/>
      <c r="O488" s="657"/>
      <c r="P488" s="653" t="s">
        <v>40</v>
      </c>
      <c r="Q488" s="654"/>
      <c r="R488" s="654"/>
      <c r="S488" s="654"/>
      <c r="T488" s="654"/>
      <c r="U488" s="654"/>
      <c r="V488" s="655"/>
      <c r="W488" s="42" t="s">
        <v>39</v>
      </c>
      <c r="X488" s="43">
        <f>IFERROR(X482/H482,"0")+IFERROR(X483/H483,"0")+IFERROR(X484/H484,"0")+IFERROR(X485/H485,"0")+IFERROR(X486/H486,"0")+IFERROR(X487/H487,"0")</f>
        <v>88.81481481481481</v>
      </c>
      <c r="Y488" s="43">
        <f>IFERROR(Y482/H482,"0")+IFERROR(Y483/H483,"0")+IFERROR(Y484/H484,"0")+IFERROR(Y485/H485,"0")+IFERROR(Y486/H486,"0")+IFERROR(Y487/H487,"0")</f>
        <v>90</v>
      </c>
      <c r="Z488" s="43">
        <f>IFERROR(IF(Z482="",0,Z482),"0")+IFERROR(IF(Z483="",0,Z483),"0")+IFERROR(IF(Z484="",0,Z484),"0")+IFERROR(IF(Z485="",0,Z485),"0")+IFERROR(IF(Z486="",0,Z486),"0")+IFERROR(IF(Z487="",0,Z487),"0")</f>
        <v>0.71579999999999999</v>
      </c>
      <c r="AA488" s="67"/>
      <c r="AB488" s="67"/>
      <c r="AC488" s="67"/>
    </row>
    <row r="489" spans="1:68" x14ac:dyDescent="0.2">
      <c r="A489" s="656"/>
      <c r="B489" s="656"/>
      <c r="C489" s="656"/>
      <c r="D489" s="656"/>
      <c r="E489" s="656"/>
      <c r="F489" s="656"/>
      <c r="G489" s="656"/>
      <c r="H489" s="656"/>
      <c r="I489" s="656"/>
      <c r="J489" s="656"/>
      <c r="K489" s="656"/>
      <c r="L489" s="656"/>
      <c r="M489" s="656"/>
      <c r="N489" s="656"/>
      <c r="O489" s="657"/>
      <c r="P489" s="653" t="s">
        <v>40</v>
      </c>
      <c r="Q489" s="654"/>
      <c r="R489" s="654"/>
      <c r="S489" s="654"/>
      <c r="T489" s="654"/>
      <c r="U489" s="654"/>
      <c r="V489" s="655"/>
      <c r="W489" s="42" t="s">
        <v>0</v>
      </c>
      <c r="X489" s="43">
        <f>IFERROR(SUM(X482:X487),"0")</f>
        <v>400.4</v>
      </c>
      <c r="Y489" s="43">
        <f>IFERROR(SUM(Y482:Y487),"0")</f>
        <v>406.8</v>
      </c>
      <c r="Z489" s="42"/>
      <c r="AA489" s="67"/>
      <c r="AB489" s="67"/>
      <c r="AC489" s="67"/>
    </row>
    <row r="490" spans="1:68" ht="14.25" hidden="1" customHeight="1" x14ac:dyDescent="0.25">
      <c r="A490" s="648" t="s">
        <v>77</v>
      </c>
      <c r="B490" s="648"/>
      <c r="C490" s="648"/>
      <c r="D490" s="648"/>
      <c r="E490" s="648"/>
      <c r="F490" s="648"/>
      <c r="G490" s="648"/>
      <c r="H490" s="648"/>
      <c r="I490" s="648"/>
      <c r="J490" s="648"/>
      <c r="K490" s="648"/>
      <c r="L490" s="648"/>
      <c r="M490" s="648"/>
      <c r="N490" s="648"/>
      <c r="O490" s="648"/>
      <c r="P490" s="648"/>
      <c r="Q490" s="648"/>
      <c r="R490" s="648"/>
      <c r="S490" s="648"/>
      <c r="T490" s="648"/>
      <c r="U490" s="648"/>
      <c r="V490" s="648"/>
      <c r="W490" s="648"/>
      <c r="X490" s="648"/>
      <c r="Y490" s="648"/>
      <c r="Z490" s="648"/>
      <c r="AA490" s="66"/>
      <c r="AB490" s="66"/>
      <c r="AC490" s="80"/>
    </row>
    <row r="491" spans="1:68" ht="27" hidden="1" customHeight="1" x14ac:dyDescent="0.25">
      <c r="A491" s="63" t="s">
        <v>796</v>
      </c>
      <c r="B491" s="63" t="s">
        <v>797</v>
      </c>
      <c r="C491" s="36">
        <v>4301051284</v>
      </c>
      <c r="D491" s="649">
        <v>4607091384352</v>
      </c>
      <c r="E491" s="649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137</v>
      </c>
      <c r="L491" s="37" t="s">
        <v>46</v>
      </c>
      <c r="M491" s="38" t="s">
        <v>81</v>
      </c>
      <c r="N491" s="38"/>
      <c r="O491" s="37">
        <v>45</v>
      </c>
      <c r="P491" s="68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51"/>
      <c r="R491" s="651"/>
      <c r="S491" s="651"/>
      <c r="T491" s="652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84" t="s">
        <v>798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idden="1" x14ac:dyDescent="0.2">
      <c r="A492" s="656"/>
      <c r="B492" s="656"/>
      <c r="C492" s="656"/>
      <c r="D492" s="656"/>
      <c r="E492" s="656"/>
      <c r="F492" s="656"/>
      <c r="G492" s="656"/>
      <c r="H492" s="656"/>
      <c r="I492" s="656"/>
      <c r="J492" s="656"/>
      <c r="K492" s="656"/>
      <c r="L492" s="656"/>
      <c r="M492" s="656"/>
      <c r="N492" s="656"/>
      <c r="O492" s="657"/>
      <c r="P492" s="653" t="s">
        <v>40</v>
      </c>
      <c r="Q492" s="654"/>
      <c r="R492" s="654"/>
      <c r="S492" s="654"/>
      <c r="T492" s="654"/>
      <c r="U492" s="654"/>
      <c r="V492" s="655"/>
      <c r="W492" s="42" t="s">
        <v>39</v>
      </c>
      <c r="X492" s="43">
        <f>IFERROR(X491/H491,"0")</f>
        <v>0</v>
      </c>
      <c r="Y492" s="43">
        <f>IFERROR(Y491/H491,"0")</f>
        <v>0</v>
      </c>
      <c r="Z492" s="43">
        <f>IFERROR(IF(Z491="",0,Z491),"0")</f>
        <v>0</v>
      </c>
      <c r="AA492" s="67"/>
      <c r="AB492" s="67"/>
      <c r="AC492" s="67"/>
    </row>
    <row r="493" spans="1:68" hidden="1" x14ac:dyDescent="0.2">
      <c r="A493" s="656"/>
      <c r="B493" s="656"/>
      <c r="C493" s="656"/>
      <c r="D493" s="656"/>
      <c r="E493" s="656"/>
      <c r="F493" s="656"/>
      <c r="G493" s="656"/>
      <c r="H493" s="656"/>
      <c r="I493" s="656"/>
      <c r="J493" s="656"/>
      <c r="K493" s="656"/>
      <c r="L493" s="656"/>
      <c r="M493" s="656"/>
      <c r="N493" s="656"/>
      <c r="O493" s="657"/>
      <c r="P493" s="653" t="s">
        <v>40</v>
      </c>
      <c r="Q493" s="654"/>
      <c r="R493" s="654"/>
      <c r="S493" s="654"/>
      <c r="T493" s="654"/>
      <c r="U493" s="654"/>
      <c r="V493" s="655"/>
      <c r="W493" s="42" t="s">
        <v>0</v>
      </c>
      <c r="X493" s="43">
        <f>IFERROR(SUM(X491:X491),"0")</f>
        <v>0</v>
      </c>
      <c r="Y493" s="43">
        <f>IFERROR(SUM(Y491:Y491),"0")</f>
        <v>0</v>
      </c>
      <c r="Z493" s="42"/>
      <c r="AA493" s="67"/>
      <c r="AB493" s="67"/>
      <c r="AC493" s="67"/>
    </row>
    <row r="494" spans="1:68" ht="16.5" hidden="1" customHeight="1" x14ac:dyDescent="0.25">
      <c r="A494" s="647" t="s">
        <v>799</v>
      </c>
      <c r="B494" s="647"/>
      <c r="C494" s="647"/>
      <c r="D494" s="647"/>
      <c r="E494" s="647"/>
      <c r="F494" s="647"/>
      <c r="G494" s="647"/>
      <c r="H494" s="647"/>
      <c r="I494" s="647"/>
      <c r="J494" s="647"/>
      <c r="K494" s="647"/>
      <c r="L494" s="647"/>
      <c r="M494" s="647"/>
      <c r="N494" s="647"/>
      <c r="O494" s="647"/>
      <c r="P494" s="647"/>
      <c r="Q494" s="647"/>
      <c r="R494" s="647"/>
      <c r="S494" s="647"/>
      <c r="T494" s="647"/>
      <c r="U494" s="647"/>
      <c r="V494" s="647"/>
      <c r="W494" s="647"/>
      <c r="X494" s="647"/>
      <c r="Y494" s="647"/>
      <c r="Z494" s="647"/>
      <c r="AA494" s="65"/>
      <c r="AB494" s="65"/>
      <c r="AC494" s="79"/>
    </row>
    <row r="495" spans="1:68" ht="14.25" hidden="1" customHeight="1" x14ac:dyDescent="0.25">
      <c r="A495" s="648" t="s">
        <v>161</v>
      </c>
      <c r="B495" s="648"/>
      <c r="C495" s="648"/>
      <c r="D495" s="648"/>
      <c r="E495" s="648"/>
      <c r="F495" s="648"/>
      <c r="G495" s="648"/>
      <c r="H495" s="648"/>
      <c r="I495" s="648"/>
      <c r="J495" s="648"/>
      <c r="K495" s="648"/>
      <c r="L495" s="648"/>
      <c r="M495" s="648"/>
      <c r="N495" s="648"/>
      <c r="O495" s="648"/>
      <c r="P495" s="648"/>
      <c r="Q495" s="648"/>
      <c r="R495" s="648"/>
      <c r="S495" s="648"/>
      <c r="T495" s="648"/>
      <c r="U495" s="648"/>
      <c r="V495" s="648"/>
      <c r="W495" s="648"/>
      <c r="X495" s="648"/>
      <c r="Y495" s="648"/>
      <c r="Z495" s="648"/>
      <c r="AA495" s="66"/>
      <c r="AB495" s="66"/>
      <c r="AC495" s="80"/>
    </row>
    <row r="496" spans="1:68" ht="27" hidden="1" customHeight="1" x14ac:dyDescent="0.25">
      <c r="A496" s="63" t="s">
        <v>800</v>
      </c>
      <c r="B496" s="63" t="s">
        <v>801</v>
      </c>
      <c r="C496" s="36">
        <v>4301020416</v>
      </c>
      <c r="D496" s="649">
        <v>4680115885240</v>
      </c>
      <c r="E496" s="649"/>
      <c r="F496" s="62">
        <v>0.35</v>
      </c>
      <c r="G496" s="37">
        <v>6</v>
      </c>
      <c r="H496" s="62">
        <v>2.1</v>
      </c>
      <c r="I496" s="62">
        <v>2.31</v>
      </c>
      <c r="J496" s="37">
        <v>182</v>
      </c>
      <c r="K496" s="37" t="s">
        <v>82</v>
      </c>
      <c r="L496" s="37" t="s">
        <v>46</v>
      </c>
      <c r="M496" s="38" t="s">
        <v>133</v>
      </c>
      <c r="N496" s="38"/>
      <c r="O496" s="37">
        <v>40</v>
      </c>
      <c r="P496" s="6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6" s="651"/>
      <c r="R496" s="651"/>
      <c r="S496" s="651"/>
      <c r="T496" s="652"/>
      <c r="U496" s="39" t="s">
        <v>46</v>
      </c>
      <c r="V496" s="39" t="s">
        <v>46</v>
      </c>
      <c r="W496" s="40" t="s">
        <v>0</v>
      </c>
      <c r="X496" s="58">
        <v>0</v>
      </c>
      <c r="Y496" s="55">
        <f>IFERROR(IF(X496="",0,CEILING((X496/$H496),1)*$H496),"")</f>
        <v>0</v>
      </c>
      <c r="Z496" s="41" t="str">
        <f>IFERROR(IF(Y496=0,"",ROUNDUP(Y496/H496,0)*0.00651),"")</f>
        <v/>
      </c>
      <c r="AA496" s="68" t="s">
        <v>46</v>
      </c>
      <c r="AB496" s="69" t="s">
        <v>46</v>
      </c>
      <c r="AC496" s="586" t="s">
        <v>802</v>
      </c>
      <c r="AG496" s="78"/>
      <c r="AJ496" s="84" t="s">
        <v>46</v>
      </c>
      <c r="AK496" s="84">
        <v>0</v>
      </c>
      <c r="BB496" s="587" t="s">
        <v>67</v>
      </c>
      <c r="BM496" s="78">
        <f>IFERROR(X496*I496/H496,"0")</f>
        <v>0</v>
      </c>
      <c r="BN496" s="78">
        <f>IFERROR(Y496*I496/H496,"0")</f>
        <v>0</v>
      </c>
      <c r="BO496" s="78">
        <f>IFERROR(1/J496*(X496/H496),"0")</f>
        <v>0</v>
      </c>
      <c r="BP496" s="78">
        <f>IFERROR(1/J496*(Y496/H496),"0")</f>
        <v>0</v>
      </c>
    </row>
    <row r="497" spans="1:68" hidden="1" x14ac:dyDescent="0.2">
      <c r="A497" s="656"/>
      <c r="B497" s="656"/>
      <c r="C497" s="656"/>
      <c r="D497" s="656"/>
      <c r="E497" s="656"/>
      <c r="F497" s="656"/>
      <c r="G497" s="656"/>
      <c r="H497" s="656"/>
      <c r="I497" s="656"/>
      <c r="J497" s="656"/>
      <c r="K497" s="656"/>
      <c r="L497" s="656"/>
      <c r="M497" s="656"/>
      <c r="N497" s="656"/>
      <c r="O497" s="657"/>
      <c r="P497" s="653" t="s">
        <v>40</v>
      </c>
      <c r="Q497" s="654"/>
      <c r="R497" s="654"/>
      <c r="S497" s="654"/>
      <c r="T497" s="654"/>
      <c r="U497" s="654"/>
      <c r="V497" s="655"/>
      <c r="W497" s="42" t="s">
        <v>39</v>
      </c>
      <c r="X497" s="43">
        <f>IFERROR(X496/H496,"0")</f>
        <v>0</v>
      </c>
      <c r="Y497" s="43">
        <f>IFERROR(Y496/H496,"0")</f>
        <v>0</v>
      </c>
      <c r="Z497" s="43">
        <f>IFERROR(IF(Z496="",0,Z496),"0")</f>
        <v>0</v>
      </c>
      <c r="AA497" s="67"/>
      <c r="AB497" s="67"/>
      <c r="AC497" s="67"/>
    </row>
    <row r="498" spans="1:68" hidden="1" x14ac:dyDescent="0.2">
      <c r="A498" s="656"/>
      <c r="B498" s="656"/>
      <c r="C498" s="656"/>
      <c r="D498" s="656"/>
      <c r="E498" s="656"/>
      <c r="F498" s="656"/>
      <c r="G498" s="656"/>
      <c r="H498" s="656"/>
      <c r="I498" s="656"/>
      <c r="J498" s="656"/>
      <c r="K498" s="656"/>
      <c r="L498" s="656"/>
      <c r="M498" s="656"/>
      <c r="N498" s="656"/>
      <c r="O498" s="657"/>
      <c r="P498" s="653" t="s">
        <v>40</v>
      </c>
      <c r="Q498" s="654"/>
      <c r="R498" s="654"/>
      <c r="S498" s="654"/>
      <c r="T498" s="654"/>
      <c r="U498" s="654"/>
      <c r="V498" s="655"/>
      <c r="W498" s="42" t="s">
        <v>0</v>
      </c>
      <c r="X498" s="43">
        <f>IFERROR(SUM(X496:X496),"0")</f>
        <v>0</v>
      </c>
      <c r="Y498" s="43">
        <f>IFERROR(SUM(Y496:Y496),"0")</f>
        <v>0</v>
      </c>
      <c r="Z498" s="42"/>
      <c r="AA498" s="67"/>
      <c r="AB498" s="67"/>
      <c r="AC498" s="67"/>
    </row>
    <row r="499" spans="1:68" ht="14.25" hidden="1" customHeight="1" x14ac:dyDescent="0.25">
      <c r="A499" s="648" t="s">
        <v>256</v>
      </c>
      <c r="B499" s="648"/>
      <c r="C499" s="648"/>
      <c r="D499" s="648"/>
      <c r="E499" s="648"/>
      <c r="F499" s="648"/>
      <c r="G499" s="648"/>
      <c r="H499" s="648"/>
      <c r="I499" s="648"/>
      <c r="J499" s="648"/>
      <c r="K499" s="648"/>
      <c r="L499" s="648"/>
      <c r="M499" s="648"/>
      <c r="N499" s="648"/>
      <c r="O499" s="648"/>
      <c r="P499" s="648"/>
      <c r="Q499" s="648"/>
      <c r="R499" s="648"/>
      <c r="S499" s="648"/>
      <c r="T499" s="648"/>
      <c r="U499" s="648"/>
      <c r="V499" s="648"/>
      <c r="W499" s="648"/>
      <c r="X499" s="648"/>
      <c r="Y499" s="648"/>
      <c r="Z499" s="648"/>
      <c r="AA499" s="66"/>
      <c r="AB499" s="66"/>
      <c r="AC499" s="80"/>
    </row>
    <row r="500" spans="1:68" ht="27" customHeight="1" x14ac:dyDescent="0.25">
      <c r="A500" s="63" t="s">
        <v>803</v>
      </c>
      <c r="B500" s="63" t="s">
        <v>804</v>
      </c>
      <c r="C500" s="36">
        <v>4301031407</v>
      </c>
      <c r="D500" s="649">
        <v>4680115886094</v>
      </c>
      <c r="E500" s="649"/>
      <c r="F500" s="62">
        <v>0.9</v>
      </c>
      <c r="G500" s="37">
        <v>6</v>
      </c>
      <c r="H500" s="62">
        <v>5.4</v>
      </c>
      <c r="I500" s="62">
        <v>5.59</v>
      </c>
      <c r="J500" s="37">
        <v>132</v>
      </c>
      <c r="K500" s="37" t="s">
        <v>137</v>
      </c>
      <c r="L500" s="37" t="s">
        <v>46</v>
      </c>
      <c r="M500" s="38" t="s">
        <v>133</v>
      </c>
      <c r="N500" s="38"/>
      <c r="O500" s="37">
        <v>50</v>
      </c>
      <c r="P500" s="6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0" s="651"/>
      <c r="R500" s="651"/>
      <c r="S500" s="651"/>
      <c r="T500" s="652"/>
      <c r="U500" s="39" t="s">
        <v>46</v>
      </c>
      <c r="V500" s="39" t="s">
        <v>46</v>
      </c>
      <c r="W500" s="40" t="s">
        <v>0</v>
      </c>
      <c r="X500" s="58">
        <v>350</v>
      </c>
      <c r="Y500" s="55">
        <f>IFERROR(IF(X500="",0,CEILING((X500/$H500),1)*$H500),"")</f>
        <v>351</v>
      </c>
      <c r="Z500" s="41">
        <f>IFERROR(IF(Y500=0,"",ROUNDUP(Y500/H500,0)*0.00902),"")</f>
        <v>0.58630000000000004</v>
      </c>
      <c r="AA500" s="68" t="s">
        <v>46</v>
      </c>
      <c r="AB500" s="69" t="s">
        <v>46</v>
      </c>
      <c r="AC500" s="588" t="s">
        <v>805</v>
      </c>
      <c r="AG500" s="78"/>
      <c r="AJ500" s="84" t="s">
        <v>46</v>
      </c>
      <c r="AK500" s="84">
        <v>0</v>
      </c>
      <c r="BB500" s="589" t="s">
        <v>67</v>
      </c>
      <c r="BM500" s="78">
        <f>IFERROR(X500*I500/H500,"0")</f>
        <v>362.31481481481478</v>
      </c>
      <c r="BN500" s="78">
        <f>IFERROR(Y500*I500/H500,"0")</f>
        <v>363.34999999999997</v>
      </c>
      <c r="BO500" s="78">
        <f>IFERROR(1/J500*(X500/H500),"0")</f>
        <v>0.49102132435465767</v>
      </c>
      <c r="BP500" s="78">
        <f>IFERROR(1/J500*(Y500/H500),"0")</f>
        <v>0.49242424242424243</v>
      </c>
    </row>
    <row r="501" spans="1:68" ht="27" hidden="1" customHeight="1" x14ac:dyDescent="0.25">
      <c r="A501" s="63" t="s">
        <v>806</v>
      </c>
      <c r="B501" s="63" t="s">
        <v>807</v>
      </c>
      <c r="C501" s="36">
        <v>4301031373</v>
      </c>
      <c r="D501" s="649">
        <v>4680115880771</v>
      </c>
      <c r="E501" s="649"/>
      <c r="F501" s="62">
        <v>0.28000000000000003</v>
      </c>
      <c r="G501" s="37">
        <v>6</v>
      </c>
      <c r="H501" s="62">
        <v>1.68</v>
      </c>
      <c r="I501" s="62">
        <v>1.81</v>
      </c>
      <c r="J501" s="37">
        <v>234</v>
      </c>
      <c r="K501" s="37" t="s">
        <v>234</v>
      </c>
      <c r="L501" s="37" t="s">
        <v>46</v>
      </c>
      <c r="M501" s="38" t="s">
        <v>133</v>
      </c>
      <c r="N501" s="38"/>
      <c r="O501" s="37">
        <v>50</v>
      </c>
      <c r="P501" s="6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1" s="651"/>
      <c r="R501" s="651"/>
      <c r="S501" s="651"/>
      <c r="T501" s="652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IFERROR(IF(Y501=0,"",ROUNDUP(Y501/H501,0)*0.00502),"")</f>
        <v/>
      </c>
      <c r="AA501" s="68" t="s">
        <v>46</v>
      </c>
      <c r="AB501" s="69" t="s">
        <v>46</v>
      </c>
      <c r="AC501" s="590" t="s">
        <v>808</v>
      </c>
      <c r="AG501" s="78"/>
      <c r="AJ501" s="84" t="s">
        <v>46</v>
      </c>
      <c r="AK501" s="84">
        <v>0</v>
      </c>
      <c r="BB501" s="591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customHeight="1" x14ac:dyDescent="0.25">
      <c r="A502" s="63" t="s">
        <v>809</v>
      </c>
      <c r="B502" s="63" t="s">
        <v>810</v>
      </c>
      <c r="C502" s="36">
        <v>4301031359</v>
      </c>
      <c r="D502" s="649">
        <v>4607091389500</v>
      </c>
      <c r="E502" s="649"/>
      <c r="F502" s="62">
        <v>0.35</v>
      </c>
      <c r="G502" s="37">
        <v>6</v>
      </c>
      <c r="H502" s="62">
        <v>2.1</v>
      </c>
      <c r="I502" s="62">
        <v>2.23</v>
      </c>
      <c r="J502" s="37">
        <v>234</v>
      </c>
      <c r="K502" s="37" t="s">
        <v>234</v>
      </c>
      <c r="L502" s="37" t="s">
        <v>46</v>
      </c>
      <c r="M502" s="38" t="s">
        <v>133</v>
      </c>
      <c r="N502" s="38"/>
      <c r="O502" s="37">
        <v>50</v>
      </c>
      <c r="P502" s="68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2" s="651"/>
      <c r="R502" s="651"/>
      <c r="S502" s="651"/>
      <c r="T502" s="652"/>
      <c r="U502" s="39" t="s">
        <v>46</v>
      </c>
      <c r="V502" s="39" t="s">
        <v>46</v>
      </c>
      <c r="W502" s="40" t="s">
        <v>0</v>
      </c>
      <c r="X502" s="58">
        <v>21</v>
      </c>
      <c r="Y502" s="55">
        <f>IFERROR(IF(X502="",0,CEILING((X502/$H502),1)*$H502),"")</f>
        <v>21</v>
      </c>
      <c r="Z502" s="41">
        <f>IFERROR(IF(Y502=0,"",ROUNDUP(Y502/H502,0)*0.00502),"")</f>
        <v>5.0200000000000002E-2</v>
      </c>
      <c r="AA502" s="68" t="s">
        <v>46</v>
      </c>
      <c r="AB502" s="69" t="s">
        <v>46</v>
      </c>
      <c r="AC502" s="592" t="s">
        <v>808</v>
      </c>
      <c r="AG502" s="78"/>
      <c r="AJ502" s="84" t="s">
        <v>46</v>
      </c>
      <c r="AK502" s="84">
        <v>0</v>
      </c>
      <c r="BB502" s="593" t="s">
        <v>67</v>
      </c>
      <c r="BM502" s="78">
        <f>IFERROR(X502*I502/H502,"0")</f>
        <v>22.299999999999997</v>
      </c>
      <c r="BN502" s="78">
        <f>IFERROR(Y502*I502/H502,"0")</f>
        <v>22.299999999999997</v>
      </c>
      <c r="BO502" s="78">
        <f>IFERROR(1/J502*(X502/H502),"0")</f>
        <v>4.2735042735042736E-2</v>
      </c>
      <c r="BP502" s="78">
        <f>IFERROR(1/J502*(Y502/H502),"0")</f>
        <v>4.2735042735042736E-2</v>
      </c>
    </row>
    <row r="503" spans="1:68" x14ac:dyDescent="0.2">
      <c r="A503" s="656"/>
      <c r="B503" s="656"/>
      <c r="C503" s="656"/>
      <c r="D503" s="656"/>
      <c r="E503" s="656"/>
      <c r="F503" s="656"/>
      <c r="G503" s="656"/>
      <c r="H503" s="656"/>
      <c r="I503" s="656"/>
      <c r="J503" s="656"/>
      <c r="K503" s="656"/>
      <c r="L503" s="656"/>
      <c r="M503" s="656"/>
      <c r="N503" s="656"/>
      <c r="O503" s="657"/>
      <c r="P503" s="653" t="s">
        <v>40</v>
      </c>
      <c r="Q503" s="654"/>
      <c r="R503" s="654"/>
      <c r="S503" s="654"/>
      <c r="T503" s="654"/>
      <c r="U503" s="654"/>
      <c r="V503" s="655"/>
      <c r="W503" s="42" t="s">
        <v>39</v>
      </c>
      <c r="X503" s="43">
        <f>IFERROR(X500/H500,"0")+IFERROR(X501/H501,"0")+IFERROR(X502/H502,"0")</f>
        <v>74.81481481481481</v>
      </c>
      <c r="Y503" s="43">
        <f>IFERROR(Y500/H500,"0")+IFERROR(Y501/H501,"0")+IFERROR(Y502/H502,"0")</f>
        <v>75</v>
      </c>
      <c r="Z503" s="43">
        <f>IFERROR(IF(Z500="",0,Z500),"0")+IFERROR(IF(Z501="",0,Z501),"0")+IFERROR(IF(Z502="",0,Z502),"0")</f>
        <v>0.63650000000000007</v>
      </c>
      <c r="AA503" s="67"/>
      <c r="AB503" s="67"/>
      <c r="AC503" s="67"/>
    </row>
    <row r="504" spans="1:68" x14ac:dyDescent="0.2">
      <c r="A504" s="656"/>
      <c r="B504" s="656"/>
      <c r="C504" s="656"/>
      <c r="D504" s="656"/>
      <c r="E504" s="656"/>
      <c r="F504" s="656"/>
      <c r="G504" s="656"/>
      <c r="H504" s="656"/>
      <c r="I504" s="656"/>
      <c r="J504" s="656"/>
      <c r="K504" s="656"/>
      <c r="L504" s="656"/>
      <c r="M504" s="656"/>
      <c r="N504" s="656"/>
      <c r="O504" s="657"/>
      <c r="P504" s="653" t="s">
        <v>40</v>
      </c>
      <c r="Q504" s="654"/>
      <c r="R504" s="654"/>
      <c r="S504" s="654"/>
      <c r="T504" s="654"/>
      <c r="U504" s="654"/>
      <c r="V504" s="655"/>
      <c r="W504" s="42" t="s">
        <v>0</v>
      </c>
      <c r="X504" s="43">
        <f>IFERROR(SUM(X500:X502),"0")</f>
        <v>371</v>
      </c>
      <c r="Y504" s="43">
        <f>IFERROR(SUM(Y500:Y502),"0")</f>
        <v>372</v>
      </c>
      <c r="Z504" s="42"/>
      <c r="AA504" s="67"/>
      <c r="AB504" s="67"/>
      <c r="AC504" s="67"/>
    </row>
    <row r="505" spans="1:68" ht="27.75" hidden="1" customHeight="1" x14ac:dyDescent="0.2">
      <c r="A505" s="666" t="s">
        <v>811</v>
      </c>
      <c r="B505" s="666"/>
      <c r="C505" s="666"/>
      <c r="D505" s="666"/>
      <c r="E505" s="666"/>
      <c r="F505" s="666"/>
      <c r="G505" s="666"/>
      <c r="H505" s="666"/>
      <c r="I505" s="666"/>
      <c r="J505" s="666"/>
      <c r="K505" s="666"/>
      <c r="L505" s="666"/>
      <c r="M505" s="666"/>
      <c r="N505" s="666"/>
      <c r="O505" s="666"/>
      <c r="P505" s="666"/>
      <c r="Q505" s="666"/>
      <c r="R505" s="666"/>
      <c r="S505" s="666"/>
      <c r="T505" s="666"/>
      <c r="U505" s="666"/>
      <c r="V505" s="666"/>
      <c r="W505" s="666"/>
      <c r="X505" s="666"/>
      <c r="Y505" s="666"/>
      <c r="Z505" s="666"/>
      <c r="AA505" s="54"/>
      <c r="AB505" s="54"/>
      <c r="AC505" s="54"/>
    </row>
    <row r="506" spans="1:68" ht="16.5" hidden="1" customHeight="1" x14ac:dyDescent="0.25">
      <c r="A506" s="647" t="s">
        <v>811</v>
      </c>
      <c r="B506" s="647"/>
      <c r="C506" s="647"/>
      <c r="D506" s="647"/>
      <c r="E506" s="647"/>
      <c r="F506" s="647"/>
      <c r="G506" s="647"/>
      <c r="H506" s="647"/>
      <c r="I506" s="647"/>
      <c r="J506" s="647"/>
      <c r="K506" s="647"/>
      <c r="L506" s="647"/>
      <c r="M506" s="647"/>
      <c r="N506" s="647"/>
      <c r="O506" s="647"/>
      <c r="P506" s="647"/>
      <c r="Q506" s="647"/>
      <c r="R506" s="647"/>
      <c r="S506" s="647"/>
      <c r="T506" s="647"/>
      <c r="U506" s="647"/>
      <c r="V506" s="647"/>
      <c r="W506" s="647"/>
      <c r="X506" s="647"/>
      <c r="Y506" s="647"/>
      <c r="Z506" s="647"/>
      <c r="AA506" s="65"/>
      <c r="AB506" s="65"/>
      <c r="AC506" s="79"/>
    </row>
    <row r="507" spans="1:68" ht="14.25" hidden="1" customHeight="1" x14ac:dyDescent="0.25">
      <c r="A507" s="648" t="s">
        <v>124</v>
      </c>
      <c r="B507" s="648"/>
      <c r="C507" s="648"/>
      <c r="D507" s="648"/>
      <c r="E507" s="648"/>
      <c r="F507" s="648"/>
      <c r="G507" s="648"/>
      <c r="H507" s="648"/>
      <c r="I507" s="648"/>
      <c r="J507" s="648"/>
      <c r="K507" s="648"/>
      <c r="L507" s="648"/>
      <c r="M507" s="648"/>
      <c r="N507" s="648"/>
      <c r="O507" s="648"/>
      <c r="P507" s="648"/>
      <c r="Q507" s="648"/>
      <c r="R507" s="648"/>
      <c r="S507" s="648"/>
      <c r="T507" s="648"/>
      <c r="U507" s="648"/>
      <c r="V507" s="648"/>
      <c r="W507" s="648"/>
      <c r="X507" s="648"/>
      <c r="Y507" s="648"/>
      <c r="Z507" s="648"/>
      <c r="AA507" s="66"/>
      <c r="AB507" s="66"/>
      <c r="AC507" s="80"/>
    </row>
    <row r="508" spans="1:68" ht="27" hidden="1" customHeight="1" x14ac:dyDescent="0.25">
      <c r="A508" s="63" t="s">
        <v>812</v>
      </c>
      <c r="B508" s="63" t="s">
        <v>813</v>
      </c>
      <c r="C508" s="36">
        <v>4301011769</v>
      </c>
      <c r="D508" s="649">
        <v>4607091389067</v>
      </c>
      <c r="E508" s="64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129</v>
      </c>
      <c r="L508" s="37" t="s">
        <v>46</v>
      </c>
      <c r="M508" s="38" t="s">
        <v>81</v>
      </c>
      <c r="N508" s="38"/>
      <c r="O508" s="37">
        <v>60</v>
      </c>
      <c r="P508" s="68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8" s="651"/>
      <c r="R508" s="651"/>
      <c r="S508" s="651"/>
      <c r="T508" s="652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ref="Y508:Y515" si="72"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594" t="s">
        <v>127</v>
      </c>
      <c r="AG508" s="78"/>
      <c r="AJ508" s="84" t="s">
        <v>46</v>
      </c>
      <c r="AK508" s="84">
        <v>0</v>
      </c>
      <c r="BB508" s="595" t="s">
        <v>67</v>
      </c>
      <c r="BM508" s="78">
        <f t="shared" ref="BM508:BM515" si="73">IFERROR(X508*I508/H508,"0")</f>
        <v>0</v>
      </c>
      <c r="BN508" s="78">
        <f t="shared" ref="BN508:BN515" si="74">IFERROR(Y508*I508/H508,"0")</f>
        <v>0</v>
      </c>
      <c r="BO508" s="78">
        <f t="shared" ref="BO508:BO515" si="75">IFERROR(1/J508*(X508/H508),"0")</f>
        <v>0</v>
      </c>
      <c r="BP508" s="78">
        <f t="shared" ref="BP508:BP515" si="76">IFERROR(1/J508*(Y508/H508),"0")</f>
        <v>0</v>
      </c>
    </row>
    <row r="509" spans="1:68" ht="16.5" hidden="1" customHeight="1" x14ac:dyDescent="0.25">
      <c r="A509" s="63" t="s">
        <v>814</v>
      </c>
      <c r="B509" s="63" t="s">
        <v>815</v>
      </c>
      <c r="C509" s="36">
        <v>4301012380</v>
      </c>
      <c r="D509" s="649">
        <v>4680115889576</v>
      </c>
      <c r="E509" s="64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129</v>
      </c>
      <c r="L509" s="37" t="s">
        <v>46</v>
      </c>
      <c r="M509" s="38" t="s">
        <v>128</v>
      </c>
      <c r="N509" s="38"/>
      <c r="O509" s="37">
        <v>60</v>
      </c>
      <c r="P509" s="68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9" s="651"/>
      <c r="R509" s="651"/>
      <c r="S509" s="651"/>
      <c r="T509" s="65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72"/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6" t="s">
        <v>816</v>
      </c>
      <c r="AG509" s="78"/>
      <c r="AJ509" s="84" t="s">
        <v>46</v>
      </c>
      <c r="AK509" s="84">
        <v>0</v>
      </c>
      <c r="BB509" s="597" t="s">
        <v>67</v>
      </c>
      <c r="BM509" s="78">
        <f t="shared" si="73"/>
        <v>0</v>
      </c>
      <c r="BN509" s="78">
        <f t="shared" si="74"/>
        <v>0</v>
      </c>
      <c r="BO509" s="78">
        <f t="shared" si="75"/>
        <v>0</v>
      </c>
      <c r="BP509" s="78">
        <f t="shared" si="76"/>
        <v>0</v>
      </c>
    </row>
    <row r="510" spans="1:68" ht="27" hidden="1" customHeight="1" x14ac:dyDescent="0.25">
      <c r="A510" s="63" t="s">
        <v>817</v>
      </c>
      <c r="B510" s="63" t="s">
        <v>818</v>
      </c>
      <c r="C510" s="36">
        <v>4301011961</v>
      </c>
      <c r="D510" s="649">
        <v>4680115885271</v>
      </c>
      <c r="E510" s="64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129</v>
      </c>
      <c r="L510" s="37" t="s">
        <v>46</v>
      </c>
      <c r="M510" s="38" t="s">
        <v>128</v>
      </c>
      <c r="N510" s="38"/>
      <c r="O510" s="37">
        <v>60</v>
      </c>
      <c r="P510" s="68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0" s="651"/>
      <c r="R510" s="651"/>
      <c r="S510" s="651"/>
      <c r="T510" s="652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72"/>
        <v>0</v>
      </c>
      <c r="Z510" s="41" t="str">
        <f>IFERROR(IF(Y510=0,"",ROUNDUP(Y510/H510,0)*0.01196),"")</f>
        <v/>
      </c>
      <c r="AA510" s="68" t="s">
        <v>46</v>
      </c>
      <c r="AB510" s="69" t="s">
        <v>46</v>
      </c>
      <c r="AC510" s="598" t="s">
        <v>819</v>
      </c>
      <c r="AG510" s="78"/>
      <c r="AJ510" s="84" t="s">
        <v>46</v>
      </c>
      <c r="AK510" s="84">
        <v>0</v>
      </c>
      <c r="BB510" s="599" t="s">
        <v>67</v>
      </c>
      <c r="BM510" s="78">
        <f t="shared" si="73"/>
        <v>0</v>
      </c>
      <c r="BN510" s="78">
        <f t="shared" si="74"/>
        <v>0</v>
      </c>
      <c r="BO510" s="78">
        <f t="shared" si="75"/>
        <v>0</v>
      </c>
      <c r="BP510" s="78">
        <f t="shared" si="76"/>
        <v>0</v>
      </c>
    </row>
    <row r="511" spans="1:68" ht="27" hidden="1" customHeight="1" x14ac:dyDescent="0.25">
      <c r="A511" s="63" t="s">
        <v>820</v>
      </c>
      <c r="B511" s="63" t="s">
        <v>821</v>
      </c>
      <c r="C511" s="36">
        <v>4301011369</v>
      </c>
      <c r="D511" s="649">
        <v>4680115885226</v>
      </c>
      <c r="E511" s="64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129</v>
      </c>
      <c r="L511" s="37" t="s">
        <v>46</v>
      </c>
      <c r="M511" s="38" t="s">
        <v>128</v>
      </c>
      <c r="N511" s="38"/>
      <c r="O511" s="37">
        <v>60</v>
      </c>
      <c r="P511" s="68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1" s="651"/>
      <c r="R511" s="651"/>
      <c r="S511" s="651"/>
      <c r="T511" s="652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72"/>
        <v>0</v>
      </c>
      <c r="Z511" s="41" t="str">
        <f>IFERROR(IF(Y511=0,"",ROUNDUP(Y511/H511,0)*0.01196),"")</f>
        <v/>
      </c>
      <c r="AA511" s="68" t="s">
        <v>46</v>
      </c>
      <c r="AB511" s="69" t="s">
        <v>46</v>
      </c>
      <c r="AC511" s="600" t="s">
        <v>822</v>
      </c>
      <c r="AG511" s="78"/>
      <c r="AJ511" s="84" t="s">
        <v>46</v>
      </c>
      <c r="AK511" s="84">
        <v>0</v>
      </c>
      <c r="BB511" s="601" t="s">
        <v>67</v>
      </c>
      <c r="BM511" s="78">
        <f t="shared" si="73"/>
        <v>0</v>
      </c>
      <c r="BN511" s="78">
        <f t="shared" si="74"/>
        <v>0</v>
      </c>
      <c r="BO511" s="78">
        <f t="shared" si="75"/>
        <v>0</v>
      </c>
      <c r="BP511" s="78">
        <f t="shared" si="76"/>
        <v>0</v>
      </c>
    </row>
    <row r="512" spans="1:68" ht="27" hidden="1" customHeight="1" x14ac:dyDescent="0.25">
      <c r="A512" s="63" t="s">
        <v>823</v>
      </c>
      <c r="B512" s="63" t="s">
        <v>824</v>
      </c>
      <c r="C512" s="36">
        <v>4301011771</v>
      </c>
      <c r="D512" s="649">
        <v>4607091389104</v>
      </c>
      <c r="E512" s="649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129</v>
      </c>
      <c r="L512" s="37" t="s">
        <v>46</v>
      </c>
      <c r="M512" s="38" t="s">
        <v>128</v>
      </c>
      <c r="N512" s="38"/>
      <c r="O512" s="37">
        <v>60</v>
      </c>
      <c r="P512" s="6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2" s="651"/>
      <c r="R512" s="651"/>
      <c r="S512" s="651"/>
      <c r="T512" s="65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2"/>
        <v>0</v>
      </c>
      <c r="Z512" s="41" t="str">
        <f>IFERROR(IF(Y512=0,"",ROUNDUP(Y512/H512,0)*0.01196),"")</f>
        <v/>
      </c>
      <c r="AA512" s="68" t="s">
        <v>46</v>
      </c>
      <c r="AB512" s="69" t="s">
        <v>46</v>
      </c>
      <c r="AC512" s="602" t="s">
        <v>825</v>
      </c>
      <c r="AG512" s="78"/>
      <c r="AJ512" s="84" t="s">
        <v>46</v>
      </c>
      <c r="AK512" s="84">
        <v>0</v>
      </c>
      <c r="BB512" s="603" t="s">
        <v>67</v>
      </c>
      <c r="BM512" s="78">
        <f t="shared" si="73"/>
        <v>0</v>
      </c>
      <c r="BN512" s="78">
        <f t="shared" si="74"/>
        <v>0</v>
      </c>
      <c r="BO512" s="78">
        <f t="shared" si="75"/>
        <v>0</v>
      </c>
      <c r="BP512" s="78">
        <f t="shared" si="76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4301012125</v>
      </c>
      <c r="D513" s="649">
        <v>4680115886391</v>
      </c>
      <c r="E513" s="649"/>
      <c r="F513" s="62">
        <v>0.4</v>
      </c>
      <c r="G513" s="37">
        <v>6</v>
      </c>
      <c r="H513" s="62">
        <v>2.4</v>
      </c>
      <c r="I513" s="62">
        <v>2.58</v>
      </c>
      <c r="J513" s="37">
        <v>182</v>
      </c>
      <c r="K513" s="37" t="s">
        <v>82</v>
      </c>
      <c r="L513" s="37" t="s">
        <v>46</v>
      </c>
      <c r="M513" s="38" t="s">
        <v>81</v>
      </c>
      <c r="N513" s="38"/>
      <c r="O513" s="37">
        <v>60</v>
      </c>
      <c r="P513" s="677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3" s="651"/>
      <c r="R513" s="651"/>
      <c r="S513" s="651"/>
      <c r="T513" s="65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2"/>
        <v>0</v>
      </c>
      <c r="Z513" s="41" t="str">
        <f>IFERROR(IF(Y513=0,"",ROUNDUP(Y513/H513,0)*0.00651),"")</f>
        <v/>
      </c>
      <c r="AA513" s="68" t="s">
        <v>46</v>
      </c>
      <c r="AB513" s="69" t="s">
        <v>46</v>
      </c>
      <c r="AC513" s="604" t="s">
        <v>127</v>
      </c>
      <c r="AG513" s="78"/>
      <c r="AJ513" s="84" t="s">
        <v>46</v>
      </c>
      <c r="AK513" s="84">
        <v>0</v>
      </c>
      <c r="BB513" s="605" t="s">
        <v>67</v>
      </c>
      <c r="BM513" s="78">
        <f t="shared" si="73"/>
        <v>0</v>
      </c>
      <c r="BN513" s="78">
        <f t="shared" si="74"/>
        <v>0</v>
      </c>
      <c r="BO513" s="78">
        <f t="shared" si="75"/>
        <v>0</v>
      </c>
      <c r="BP513" s="78">
        <f t="shared" si="76"/>
        <v>0</v>
      </c>
    </row>
    <row r="514" spans="1:68" ht="27" hidden="1" customHeight="1" x14ac:dyDescent="0.25">
      <c r="A514" s="63" t="s">
        <v>828</v>
      </c>
      <c r="B514" s="63" t="s">
        <v>829</v>
      </c>
      <c r="C514" s="36">
        <v>4301012048</v>
      </c>
      <c r="D514" s="649">
        <v>4680115880603</v>
      </c>
      <c r="E514" s="649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137</v>
      </c>
      <c r="L514" s="37" t="s">
        <v>46</v>
      </c>
      <c r="M514" s="38" t="s">
        <v>81</v>
      </c>
      <c r="N514" s="38"/>
      <c r="O514" s="37">
        <v>60</v>
      </c>
      <c r="P514" s="67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4" s="651"/>
      <c r="R514" s="651"/>
      <c r="S514" s="651"/>
      <c r="T514" s="65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2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6" t="s">
        <v>127</v>
      </c>
      <c r="AG514" s="78"/>
      <c r="AJ514" s="84" t="s">
        <v>46</v>
      </c>
      <c r="AK514" s="84">
        <v>0</v>
      </c>
      <c r="BB514" s="607" t="s">
        <v>67</v>
      </c>
      <c r="BM514" s="78">
        <f t="shared" si="73"/>
        <v>0</v>
      </c>
      <c r="BN514" s="78">
        <f t="shared" si="74"/>
        <v>0</v>
      </c>
      <c r="BO514" s="78">
        <f t="shared" si="75"/>
        <v>0</v>
      </c>
      <c r="BP514" s="78">
        <f t="shared" si="76"/>
        <v>0</v>
      </c>
    </row>
    <row r="515" spans="1:68" ht="27" hidden="1" customHeight="1" x14ac:dyDescent="0.25">
      <c r="A515" s="63" t="s">
        <v>830</v>
      </c>
      <c r="B515" s="63" t="s">
        <v>831</v>
      </c>
      <c r="C515" s="36">
        <v>4301012034</v>
      </c>
      <c r="D515" s="649">
        <v>4607091389982</v>
      </c>
      <c r="E515" s="649"/>
      <c r="F515" s="62">
        <v>0.6</v>
      </c>
      <c r="G515" s="37">
        <v>8</v>
      </c>
      <c r="H515" s="62">
        <v>4.8</v>
      </c>
      <c r="I515" s="62">
        <v>6.91</v>
      </c>
      <c r="J515" s="37">
        <v>132</v>
      </c>
      <c r="K515" s="37" t="s">
        <v>137</v>
      </c>
      <c r="L515" s="37" t="s">
        <v>46</v>
      </c>
      <c r="M515" s="38" t="s">
        <v>128</v>
      </c>
      <c r="N515" s="38"/>
      <c r="O515" s="37">
        <v>60</v>
      </c>
      <c r="P515" s="67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5" s="651"/>
      <c r="R515" s="651"/>
      <c r="S515" s="651"/>
      <c r="T515" s="65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2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08" t="s">
        <v>825</v>
      </c>
      <c r="AG515" s="78"/>
      <c r="AJ515" s="84" t="s">
        <v>46</v>
      </c>
      <c r="AK515" s="84">
        <v>0</v>
      </c>
      <c r="BB515" s="609" t="s">
        <v>67</v>
      </c>
      <c r="BM515" s="78">
        <f t="shared" si="73"/>
        <v>0</v>
      </c>
      <c r="BN515" s="78">
        <f t="shared" si="74"/>
        <v>0</v>
      </c>
      <c r="BO515" s="78">
        <f t="shared" si="75"/>
        <v>0</v>
      </c>
      <c r="BP515" s="78">
        <f t="shared" si="76"/>
        <v>0</v>
      </c>
    </row>
    <row r="516" spans="1:68" hidden="1" x14ac:dyDescent="0.2">
      <c r="A516" s="656"/>
      <c r="B516" s="656"/>
      <c r="C516" s="656"/>
      <c r="D516" s="656"/>
      <c r="E516" s="656"/>
      <c r="F516" s="656"/>
      <c r="G516" s="656"/>
      <c r="H516" s="656"/>
      <c r="I516" s="656"/>
      <c r="J516" s="656"/>
      <c r="K516" s="656"/>
      <c r="L516" s="656"/>
      <c r="M516" s="656"/>
      <c r="N516" s="656"/>
      <c r="O516" s="657"/>
      <c r="P516" s="653" t="s">
        <v>40</v>
      </c>
      <c r="Q516" s="654"/>
      <c r="R516" s="654"/>
      <c r="S516" s="654"/>
      <c r="T516" s="654"/>
      <c r="U516" s="654"/>
      <c r="V516" s="655"/>
      <c r="W516" s="42" t="s">
        <v>39</v>
      </c>
      <c r="X516" s="43">
        <f>IFERROR(X508/H508,"0")+IFERROR(X509/H509,"0")+IFERROR(X510/H510,"0")+IFERROR(X511/H511,"0")+IFERROR(X512/H512,"0")+IFERROR(X513/H513,"0")+IFERROR(X514/H514,"0")+IFERROR(X515/H515,"0")</f>
        <v>0</v>
      </c>
      <c r="Y516" s="43">
        <f>IFERROR(Y508/H508,"0")+IFERROR(Y509/H509,"0")+IFERROR(Y510/H510,"0")+IFERROR(Y511/H511,"0")+IFERROR(Y512/H512,"0")+IFERROR(Y513/H513,"0")+IFERROR(Y514/H514,"0")+IFERROR(Y515/H515,"0")</f>
        <v>0</v>
      </c>
      <c r="Z516" s="43">
        <f>IFERROR(IF(Z508="",0,Z508),"0")+IFERROR(IF(Z509="",0,Z509),"0")+IFERROR(IF(Z510="",0,Z510),"0")+IFERROR(IF(Z511="",0,Z511),"0")+IFERROR(IF(Z512="",0,Z512),"0")+IFERROR(IF(Z513="",0,Z513),"0")+IFERROR(IF(Z514="",0,Z514),"0")+IFERROR(IF(Z515="",0,Z515),"0")</f>
        <v>0</v>
      </c>
      <c r="AA516" s="67"/>
      <c r="AB516" s="67"/>
      <c r="AC516" s="67"/>
    </row>
    <row r="517" spans="1:68" hidden="1" x14ac:dyDescent="0.2">
      <c r="A517" s="656"/>
      <c r="B517" s="656"/>
      <c r="C517" s="656"/>
      <c r="D517" s="656"/>
      <c r="E517" s="656"/>
      <c r="F517" s="656"/>
      <c r="G517" s="656"/>
      <c r="H517" s="656"/>
      <c r="I517" s="656"/>
      <c r="J517" s="656"/>
      <c r="K517" s="656"/>
      <c r="L517" s="656"/>
      <c r="M517" s="656"/>
      <c r="N517" s="656"/>
      <c r="O517" s="657"/>
      <c r="P517" s="653" t="s">
        <v>40</v>
      </c>
      <c r="Q517" s="654"/>
      <c r="R517" s="654"/>
      <c r="S517" s="654"/>
      <c r="T517" s="654"/>
      <c r="U517" s="654"/>
      <c r="V517" s="655"/>
      <c r="W517" s="42" t="s">
        <v>0</v>
      </c>
      <c r="X517" s="43">
        <f>IFERROR(SUM(X508:X515),"0")</f>
        <v>0</v>
      </c>
      <c r="Y517" s="43">
        <f>IFERROR(SUM(Y508:Y515),"0")</f>
        <v>0</v>
      </c>
      <c r="Z517" s="42"/>
      <c r="AA517" s="67"/>
      <c r="AB517" s="67"/>
      <c r="AC517" s="67"/>
    </row>
    <row r="518" spans="1:68" ht="14.25" hidden="1" customHeight="1" x14ac:dyDescent="0.25">
      <c r="A518" s="648" t="s">
        <v>161</v>
      </c>
      <c r="B518" s="648"/>
      <c r="C518" s="648"/>
      <c r="D518" s="648"/>
      <c r="E518" s="648"/>
      <c r="F518" s="648"/>
      <c r="G518" s="648"/>
      <c r="H518" s="648"/>
      <c r="I518" s="648"/>
      <c r="J518" s="648"/>
      <c r="K518" s="648"/>
      <c r="L518" s="648"/>
      <c r="M518" s="648"/>
      <c r="N518" s="648"/>
      <c r="O518" s="648"/>
      <c r="P518" s="648"/>
      <c r="Q518" s="648"/>
      <c r="R518" s="648"/>
      <c r="S518" s="648"/>
      <c r="T518" s="648"/>
      <c r="U518" s="648"/>
      <c r="V518" s="648"/>
      <c r="W518" s="648"/>
      <c r="X518" s="648"/>
      <c r="Y518" s="648"/>
      <c r="Z518" s="648"/>
      <c r="AA518" s="66"/>
      <c r="AB518" s="66"/>
      <c r="AC518" s="80"/>
    </row>
    <row r="519" spans="1:68" ht="16.5" hidden="1" customHeight="1" x14ac:dyDescent="0.25">
      <c r="A519" s="63" t="s">
        <v>832</v>
      </c>
      <c r="B519" s="63" t="s">
        <v>833</v>
      </c>
      <c r="C519" s="36">
        <v>4301020334</v>
      </c>
      <c r="D519" s="649">
        <v>4607091388930</v>
      </c>
      <c r="E519" s="649"/>
      <c r="F519" s="62">
        <v>0.88</v>
      </c>
      <c r="G519" s="37">
        <v>6</v>
      </c>
      <c r="H519" s="62">
        <v>5.28</v>
      </c>
      <c r="I519" s="62">
        <v>5.63</v>
      </c>
      <c r="J519" s="37">
        <v>104</v>
      </c>
      <c r="K519" s="37" t="s">
        <v>129</v>
      </c>
      <c r="L519" s="37" t="s">
        <v>46</v>
      </c>
      <c r="M519" s="38" t="s">
        <v>81</v>
      </c>
      <c r="N519" s="38"/>
      <c r="O519" s="37">
        <v>70</v>
      </c>
      <c r="P519" s="68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9" s="651"/>
      <c r="R519" s="651"/>
      <c r="S519" s="651"/>
      <c r="T519" s="652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IFERROR(IF(Y519=0,"",ROUNDUP(Y519/H519,0)*0.01196),"")</f>
        <v/>
      </c>
      <c r="AA519" s="68" t="s">
        <v>46</v>
      </c>
      <c r="AB519" s="69" t="s">
        <v>46</v>
      </c>
      <c r="AC519" s="610" t="s">
        <v>834</v>
      </c>
      <c r="AG519" s="78"/>
      <c r="AJ519" s="84" t="s">
        <v>46</v>
      </c>
      <c r="AK519" s="84">
        <v>0</v>
      </c>
      <c r="BB519" s="611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4301020374</v>
      </c>
      <c r="D520" s="649">
        <v>4680115886407</v>
      </c>
      <c r="E520" s="649"/>
      <c r="F520" s="62">
        <v>0.4</v>
      </c>
      <c r="G520" s="37">
        <v>6</v>
      </c>
      <c r="H520" s="62">
        <v>2.4</v>
      </c>
      <c r="I520" s="62">
        <v>2.58</v>
      </c>
      <c r="J520" s="37">
        <v>182</v>
      </c>
      <c r="K520" s="37" t="s">
        <v>82</v>
      </c>
      <c r="L520" s="37" t="s">
        <v>46</v>
      </c>
      <c r="M520" s="38" t="s">
        <v>128</v>
      </c>
      <c r="N520" s="38"/>
      <c r="O520" s="37">
        <v>70</v>
      </c>
      <c r="P520" s="68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0" s="651"/>
      <c r="R520" s="651"/>
      <c r="S520" s="651"/>
      <c r="T520" s="652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IFERROR(IF(Y520=0,"",ROUNDUP(Y520/H520,0)*0.00651),"")</f>
        <v/>
      </c>
      <c r="AA520" s="68" t="s">
        <v>46</v>
      </c>
      <c r="AB520" s="69" t="s">
        <v>46</v>
      </c>
      <c r="AC520" s="612" t="s">
        <v>834</v>
      </c>
      <c r="AG520" s="78"/>
      <c r="AJ520" s="84" t="s">
        <v>46</v>
      </c>
      <c r="AK520" s="84">
        <v>0</v>
      </c>
      <c r="BB520" s="613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ht="16.5" hidden="1" customHeight="1" x14ac:dyDescent="0.25">
      <c r="A521" s="63" t="s">
        <v>837</v>
      </c>
      <c r="B521" s="63" t="s">
        <v>838</v>
      </c>
      <c r="C521" s="36">
        <v>4301020385</v>
      </c>
      <c r="D521" s="649">
        <v>4680115880054</v>
      </c>
      <c r="E521" s="649"/>
      <c r="F521" s="62">
        <v>0.6</v>
      </c>
      <c r="G521" s="37">
        <v>8</v>
      </c>
      <c r="H521" s="62">
        <v>4.8</v>
      </c>
      <c r="I521" s="62">
        <v>6.91</v>
      </c>
      <c r="J521" s="37">
        <v>132</v>
      </c>
      <c r="K521" s="37" t="s">
        <v>137</v>
      </c>
      <c r="L521" s="37" t="s">
        <v>46</v>
      </c>
      <c r="M521" s="38" t="s">
        <v>128</v>
      </c>
      <c r="N521" s="38"/>
      <c r="O521" s="37">
        <v>70</v>
      </c>
      <c r="P521" s="68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1" s="651"/>
      <c r="R521" s="651"/>
      <c r="S521" s="651"/>
      <c r="T521" s="65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14" t="s">
        <v>834</v>
      </c>
      <c r="AG521" s="78"/>
      <c r="AJ521" s="84" t="s">
        <v>46</v>
      </c>
      <c r="AK521" s="84">
        <v>0</v>
      </c>
      <c r="BB521" s="615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56"/>
      <c r="B522" s="656"/>
      <c r="C522" s="656"/>
      <c r="D522" s="656"/>
      <c r="E522" s="656"/>
      <c r="F522" s="656"/>
      <c r="G522" s="656"/>
      <c r="H522" s="656"/>
      <c r="I522" s="656"/>
      <c r="J522" s="656"/>
      <c r="K522" s="656"/>
      <c r="L522" s="656"/>
      <c r="M522" s="656"/>
      <c r="N522" s="656"/>
      <c r="O522" s="657"/>
      <c r="P522" s="653" t="s">
        <v>40</v>
      </c>
      <c r="Q522" s="654"/>
      <c r="R522" s="654"/>
      <c r="S522" s="654"/>
      <c r="T522" s="654"/>
      <c r="U522" s="654"/>
      <c r="V522" s="655"/>
      <c r="W522" s="42" t="s">
        <v>39</v>
      </c>
      <c r="X522" s="43">
        <f>IFERROR(X519/H519,"0")+IFERROR(X520/H520,"0")+IFERROR(X521/H521,"0")</f>
        <v>0</v>
      </c>
      <c r="Y522" s="43">
        <f>IFERROR(Y519/H519,"0")+IFERROR(Y520/H520,"0")+IFERROR(Y521/H521,"0")</f>
        <v>0</v>
      </c>
      <c r="Z522" s="43">
        <f>IFERROR(IF(Z519="",0,Z519),"0")+IFERROR(IF(Z520="",0,Z520),"0")+IFERROR(IF(Z521="",0,Z521),"0")</f>
        <v>0</v>
      </c>
      <c r="AA522" s="67"/>
      <c r="AB522" s="67"/>
      <c r="AC522" s="67"/>
    </row>
    <row r="523" spans="1:68" hidden="1" x14ac:dyDescent="0.2">
      <c r="A523" s="656"/>
      <c r="B523" s="656"/>
      <c r="C523" s="656"/>
      <c r="D523" s="656"/>
      <c r="E523" s="656"/>
      <c r="F523" s="656"/>
      <c r="G523" s="656"/>
      <c r="H523" s="656"/>
      <c r="I523" s="656"/>
      <c r="J523" s="656"/>
      <c r="K523" s="656"/>
      <c r="L523" s="656"/>
      <c r="M523" s="656"/>
      <c r="N523" s="656"/>
      <c r="O523" s="657"/>
      <c r="P523" s="653" t="s">
        <v>40</v>
      </c>
      <c r="Q523" s="654"/>
      <c r="R523" s="654"/>
      <c r="S523" s="654"/>
      <c r="T523" s="654"/>
      <c r="U523" s="654"/>
      <c r="V523" s="655"/>
      <c r="W523" s="42" t="s">
        <v>0</v>
      </c>
      <c r="X523" s="43">
        <f>IFERROR(SUM(X519:X521),"0")</f>
        <v>0</v>
      </c>
      <c r="Y523" s="43">
        <f>IFERROR(SUM(Y519:Y521),"0")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8" t="s">
        <v>256</v>
      </c>
      <c r="B524" s="648"/>
      <c r="C524" s="648"/>
      <c r="D524" s="648"/>
      <c r="E524" s="648"/>
      <c r="F524" s="648"/>
      <c r="G524" s="648"/>
      <c r="H524" s="648"/>
      <c r="I524" s="648"/>
      <c r="J524" s="648"/>
      <c r="K524" s="648"/>
      <c r="L524" s="648"/>
      <c r="M524" s="648"/>
      <c r="N524" s="648"/>
      <c r="O524" s="648"/>
      <c r="P524" s="648"/>
      <c r="Q524" s="648"/>
      <c r="R524" s="648"/>
      <c r="S524" s="648"/>
      <c r="T524" s="648"/>
      <c r="U524" s="648"/>
      <c r="V524" s="648"/>
      <c r="W524" s="648"/>
      <c r="X524" s="648"/>
      <c r="Y524" s="648"/>
      <c r="Z524" s="648"/>
      <c r="AA524" s="66"/>
      <c r="AB524" s="66"/>
      <c r="AC524" s="80"/>
    </row>
    <row r="525" spans="1:68" ht="27" customHeight="1" x14ac:dyDescent="0.25">
      <c r="A525" s="63" t="s">
        <v>839</v>
      </c>
      <c r="B525" s="63" t="s">
        <v>840</v>
      </c>
      <c r="C525" s="36">
        <v>4301031349</v>
      </c>
      <c r="D525" s="649">
        <v>4680115883116</v>
      </c>
      <c r="E525" s="649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129</v>
      </c>
      <c r="L525" s="37" t="s">
        <v>46</v>
      </c>
      <c r="M525" s="38" t="s">
        <v>128</v>
      </c>
      <c r="N525" s="38"/>
      <c r="O525" s="37">
        <v>70</v>
      </c>
      <c r="P525" s="67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5" s="651"/>
      <c r="R525" s="651"/>
      <c r="S525" s="651"/>
      <c r="T525" s="652"/>
      <c r="U525" s="39" t="s">
        <v>46</v>
      </c>
      <c r="V525" s="39" t="s">
        <v>46</v>
      </c>
      <c r="W525" s="40" t="s">
        <v>0</v>
      </c>
      <c r="X525" s="58">
        <v>100</v>
      </c>
      <c r="Y525" s="55">
        <f t="shared" ref="Y525:Y531" si="77">IFERROR(IF(X525="",0,CEILING((X525/$H525),1)*$H525),"")</f>
        <v>100.32000000000001</v>
      </c>
      <c r="Z525" s="41">
        <f>IFERROR(IF(Y525=0,"",ROUNDUP(Y525/H525,0)*0.01196),"")</f>
        <v>0.22724</v>
      </c>
      <c r="AA525" s="68" t="s">
        <v>46</v>
      </c>
      <c r="AB525" s="69" t="s">
        <v>46</v>
      </c>
      <c r="AC525" s="616" t="s">
        <v>841</v>
      </c>
      <c r="AG525" s="78"/>
      <c r="AJ525" s="84" t="s">
        <v>46</v>
      </c>
      <c r="AK525" s="84">
        <v>0</v>
      </c>
      <c r="BB525" s="617" t="s">
        <v>67</v>
      </c>
      <c r="BM525" s="78">
        <f t="shared" ref="BM525:BM531" si="78">IFERROR(X525*I525/H525,"0")</f>
        <v>106.62878787878788</v>
      </c>
      <c r="BN525" s="78">
        <f t="shared" ref="BN525:BN531" si="79">IFERROR(Y525*I525/H525,"0")</f>
        <v>106.97</v>
      </c>
      <c r="BO525" s="78">
        <f t="shared" ref="BO525:BO531" si="80">IFERROR(1/J525*(X525/H525),"0")</f>
        <v>0.18210955710955709</v>
      </c>
      <c r="BP525" s="78">
        <f t="shared" ref="BP525:BP531" si="81">IFERROR(1/J525*(Y525/H525),"0")</f>
        <v>0.18269230769230771</v>
      </c>
    </row>
    <row r="526" spans="1:68" ht="27" hidden="1" customHeight="1" x14ac:dyDescent="0.25">
      <c r="A526" s="63" t="s">
        <v>842</v>
      </c>
      <c r="B526" s="63" t="s">
        <v>843</v>
      </c>
      <c r="C526" s="36">
        <v>4301031350</v>
      </c>
      <c r="D526" s="649">
        <v>4680115883093</v>
      </c>
      <c r="E526" s="649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129</v>
      </c>
      <c r="L526" s="37" t="s">
        <v>46</v>
      </c>
      <c r="M526" s="38" t="s">
        <v>133</v>
      </c>
      <c r="N526" s="38"/>
      <c r="O526" s="37">
        <v>70</v>
      </c>
      <c r="P526" s="67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6" s="651"/>
      <c r="R526" s="651"/>
      <c r="S526" s="651"/>
      <c r="T526" s="652"/>
      <c r="U526" s="39" t="s">
        <v>46</v>
      </c>
      <c r="V526" s="39" t="s">
        <v>46</v>
      </c>
      <c r="W526" s="40" t="s">
        <v>0</v>
      </c>
      <c r="X526" s="58">
        <v>0</v>
      </c>
      <c r="Y526" s="55">
        <f t="shared" si="77"/>
        <v>0</v>
      </c>
      <c r="Z526" s="41" t="str">
        <f>IFERROR(IF(Y526=0,"",ROUNDUP(Y526/H526,0)*0.01196),"")</f>
        <v/>
      </c>
      <c r="AA526" s="68" t="s">
        <v>46</v>
      </c>
      <c r="AB526" s="69" t="s">
        <v>46</v>
      </c>
      <c r="AC526" s="618" t="s">
        <v>844</v>
      </c>
      <c r="AG526" s="78"/>
      <c r="AJ526" s="84" t="s">
        <v>46</v>
      </c>
      <c r="AK526" s="84">
        <v>0</v>
      </c>
      <c r="BB526" s="619" t="s">
        <v>67</v>
      </c>
      <c r="BM526" s="78">
        <f t="shared" si="78"/>
        <v>0</v>
      </c>
      <c r="BN526" s="78">
        <f t="shared" si="79"/>
        <v>0</v>
      </c>
      <c r="BO526" s="78">
        <f t="shared" si="80"/>
        <v>0</v>
      </c>
      <c r="BP526" s="78">
        <f t="shared" si="81"/>
        <v>0</v>
      </c>
    </row>
    <row r="527" spans="1:68" ht="27" hidden="1" customHeight="1" x14ac:dyDescent="0.25">
      <c r="A527" s="63" t="s">
        <v>845</v>
      </c>
      <c r="B527" s="63" t="s">
        <v>846</v>
      </c>
      <c r="C527" s="36">
        <v>4301031353</v>
      </c>
      <c r="D527" s="649">
        <v>4680115883109</v>
      </c>
      <c r="E527" s="649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129</v>
      </c>
      <c r="L527" s="37" t="s">
        <v>46</v>
      </c>
      <c r="M527" s="38" t="s">
        <v>133</v>
      </c>
      <c r="N527" s="38"/>
      <c r="O527" s="37">
        <v>70</v>
      </c>
      <c r="P527" s="67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7" s="651"/>
      <c r="R527" s="651"/>
      <c r="S527" s="651"/>
      <c r="T527" s="652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77"/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20" t="s">
        <v>847</v>
      </c>
      <c r="AG527" s="78"/>
      <c r="AJ527" s="84" t="s">
        <v>46</v>
      </c>
      <c r="AK527" s="84">
        <v>0</v>
      </c>
      <c r="BB527" s="621" t="s">
        <v>67</v>
      </c>
      <c r="BM527" s="78">
        <f t="shared" si="78"/>
        <v>0</v>
      </c>
      <c r="BN527" s="78">
        <f t="shared" si="79"/>
        <v>0</v>
      </c>
      <c r="BO527" s="78">
        <f t="shared" si="80"/>
        <v>0</v>
      </c>
      <c r="BP527" s="78">
        <f t="shared" si="81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4301031419</v>
      </c>
      <c r="D528" s="649">
        <v>4680115882072</v>
      </c>
      <c r="E528" s="649"/>
      <c r="F528" s="62">
        <v>0.6</v>
      </c>
      <c r="G528" s="37">
        <v>8</v>
      </c>
      <c r="H528" s="62">
        <v>4.8</v>
      </c>
      <c r="I528" s="62">
        <v>6.91</v>
      </c>
      <c r="J528" s="37">
        <v>132</v>
      </c>
      <c r="K528" s="37" t="s">
        <v>137</v>
      </c>
      <c r="L528" s="37" t="s">
        <v>46</v>
      </c>
      <c r="M528" s="38" t="s">
        <v>128</v>
      </c>
      <c r="N528" s="38"/>
      <c r="O528" s="37">
        <v>70</v>
      </c>
      <c r="P528" s="67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8" s="651"/>
      <c r="R528" s="651"/>
      <c r="S528" s="651"/>
      <c r="T528" s="652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77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22" t="s">
        <v>841</v>
      </c>
      <c r="AG528" s="78"/>
      <c r="AJ528" s="84" t="s">
        <v>46</v>
      </c>
      <c r="AK528" s="84">
        <v>0</v>
      </c>
      <c r="BB528" s="623" t="s">
        <v>67</v>
      </c>
      <c r="BM528" s="78">
        <f t="shared" si="78"/>
        <v>0</v>
      </c>
      <c r="BN528" s="78">
        <f t="shared" si="79"/>
        <v>0</v>
      </c>
      <c r="BO528" s="78">
        <f t="shared" si="80"/>
        <v>0</v>
      </c>
      <c r="BP528" s="78">
        <f t="shared" si="81"/>
        <v>0</v>
      </c>
    </row>
    <row r="529" spans="1:68" ht="27" hidden="1" customHeight="1" x14ac:dyDescent="0.25">
      <c r="A529" s="63" t="s">
        <v>850</v>
      </c>
      <c r="B529" s="63" t="s">
        <v>851</v>
      </c>
      <c r="C529" s="36">
        <v>4301031352</v>
      </c>
      <c r="D529" s="649">
        <v>4680115882102</v>
      </c>
      <c r="E529" s="649"/>
      <c r="F529" s="62">
        <v>0.6</v>
      </c>
      <c r="G529" s="37">
        <v>6</v>
      </c>
      <c r="H529" s="62">
        <v>3.6</v>
      </c>
      <c r="I529" s="62">
        <v>3.79</v>
      </c>
      <c r="J529" s="37">
        <v>132</v>
      </c>
      <c r="K529" s="37" t="s">
        <v>137</v>
      </c>
      <c r="L529" s="37" t="s">
        <v>46</v>
      </c>
      <c r="M529" s="38" t="s">
        <v>133</v>
      </c>
      <c r="N529" s="38"/>
      <c r="O529" s="37">
        <v>70</v>
      </c>
      <c r="P529" s="67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9" s="651"/>
      <c r="R529" s="651"/>
      <c r="S529" s="651"/>
      <c r="T529" s="652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77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24" t="s">
        <v>844</v>
      </c>
      <c r="AG529" s="78"/>
      <c r="AJ529" s="84" t="s">
        <v>46</v>
      </c>
      <c r="AK529" s="84">
        <v>0</v>
      </c>
      <c r="BB529" s="625" t="s">
        <v>67</v>
      </c>
      <c r="BM529" s="78">
        <f t="shared" si="78"/>
        <v>0</v>
      </c>
      <c r="BN529" s="78">
        <f t="shared" si="79"/>
        <v>0</v>
      </c>
      <c r="BO529" s="78">
        <f t="shared" si="80"/>
        <v>0</v>
      </c>
      <c r="BP529" s="78">
        <f t="shared" si="81"/>
        <v>0</v>
      </c>
    </row>
    <row r="530" spans="1:68" ht="27" hidden="1" customHeight="1" x14ac:dyDescent="0.25">
      <c r="A530" s="63" t="s">
        <v>850</v>
      </c>
      <c r="B530" s="63" t="s">
        <v>852</v>
      </c>
      <c r="C530" s="36">
        <v>4301031418</v>
      </c>
      <c r="D530" s="649">
        <v>4680115882102</v>
      </c>
      <c r="E530" s="649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137</v>
      </c>
      <c r="L530" s="37" t="s">
        <v>46</v>
      </c>
      <c r="M530" s="38" t="s">
        <v>133</v>
      </c>
      <c r="N530" s="38"/>
      <c r="O530" s="37">
        <v>70</v>
      </c>
      <c r="P530" s="67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0" s="651"/>
      <c r="R530" s="651"/>
      <c r="S530" s="651"/>
      <c r="T530" s="652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77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26" t="s">
        <v>844</v>
      </c>
      <c r="AG530" s="78"/>
      <c r="AJ530" s="84" t="s">
        <v>46</v>
      </c>
      <c r="AK530" s="84">
        <v>0</v>
      </c>
      <c r="BB530" s="627" t="s">
        <v>67</v>
      </c>
      <c r="BM530" s="78">
        <f t="shared" si="78"/>
        <v>0</v>
      </c>
      <c r="BN530" s="78">
        <f t="shared" si="79"/>
        <v>0</v>
      </c>
      <c r="BO530" s="78">
        <f t="shared" si="80"/>
        <v>0</v>
      </c>
      <c r="BP530" s="78">
        <f t="shared" si="81"/>
        <v>0</v>
      </c>
    </row>
    <row r="531" spans="1:68" ht="27" hidden="1" customHeight="1" x14ac:dyDescent="0.25">
      <c r="A531" s="63" t="s">
        <v>853</v>
      </c>
      <c r="B531" s="63" t="s">
        <v>854</v>
      </c>
      <c r="C531" s="36">
        <v>4301031417</v>
      </c>
      <c r="D531" s="649">
        <v>4680115882096</v>
      </c>
      <c r="E531" s="649"/>
      <c r="F531" s="62">
        <v>0.6</v>
      </c>
      <c r="G531" s="37">
        <v>8</v>
      </c>
      <c r="H531" s="62">
        <v>4.8</v>
      </c>
      <c r="I531" s="62">
        <v>6.67</v>
      </c>
      <c r="J531" s="37">
        <v>132</v>
      </c>
      <c r="K531" s="37" t="s">
        <v>137</v>
      </c>
      <c r="L531" s="37" t="s">
        <v>46</v>
      </c>
      <c r="M531" s="38" t="s">
        <v>133</v>
      </c>
      <c r="N531" s="38"/>
      <c r="O531" s="37">
        <v>70</v>
      </c>
      <c r="P531" s="676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1" s="651"/>
      <c r="R531" s="651"/>
      <c r="S531" s="651"/>
      <c r="T531" s="652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77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28" t="s">
        <v>847</v>
      </c>
      <c r="AG531" s="78"/>
      <c r="AJ531" s="84" t="s">
        <v>46</v>
      </c>
      <c r="AK531" s="84">
        <v>0</v>
      </c>
      <c r="BB531" s="629" t="s">
        <v>67</v>
      </c>
      <c r="BM531" s="78">
        <f t="shared" si="78"/>
        <v>0</v>
      </c>
      <c r="BN531" s="78">
        <f t="shared" si="79"/>
        <v>0</v>
      </c>
      <c r="BO531" s="78">
        <f t="shared" si="80"/>
        <v>0</v>
      </c>
      <c r="BP531" s="78">
        <f t="shared" si="81"/>
        <v>0</v>
      </c>
    </row>
    <row r="532" spans="1:68" x14ac:dyDescent="0.2">
      <c r="A532" s="656"/>
      <c r="B532" s="656"/>
      <c r="C532" s="656"/>
      <c r="D532" s="656"/>
      <c r="E532" s="656"/>
      <c r="F532" s="656"/>
      <c r="G532" s="656"/>
      <c r="H532" s="656"/>
      <c r="I532" s="656"/>
      <c r="J532" s="656"/>
      <c r="K532" s="656"/>
      <c r="L532" s="656"/>
      <c r="M532" s="656"/>
      <c r="N532" s="656"/>
      <c r="O532" s="657"/>
      <c r="P532" s="653" t="s">
        <v>40</v>
      </c>
      <c r="Q532" s="654"/>
      <c r="R532" s="654"/>
      <c r="S532" s="654"/>
      <c r="T532" s="654"/>
      <c r="U532" s="654"/>
      <c r="V532" s="655"/>
      <c r="W532" s="42" t="s">
        <v>39</v>
      </c>
      <c r="X532" s="43">
        <f>IFERROR(X525/H525,"0")+IFERROR(X526/H526,"0")+IFERROR(X527/H527,"0")+IFERROR(X528/H528,"0")+IFERROR(X529/H529,"0")+IFERROR(X530/H530,"0")+IFERROR(X531/H531,"0")</f>
        <v>18.939393939393938</v>
      </c>
      <c r="Y532" s="43">
        <f>IFERROR(Y525/H525,"0")+IFERROR(Y526/H526,"0")+IFERROR(Y527/H527,"0")+IFERROR(Y528/H528,"0")+IFERROR(Y529/H529,"0")+IFERROR(Y530/H530,"0")+IFERROR(Y531/H531,"0")</f>
        <v>19</v>
      </c>
      <c r="Z532" s="43">
        <f>IFERROR(IF(Z525="",0,Z525),"0")+IFERROR(IF(Z526="",0,Z526),"0")+IFERROR(IF(Z527="",0,Z527),"0")+IFERROR(IF(Z528="",0,Z528),"0")+IFERROR(IF(Z529="",0,Z529),"0")+IFERROR(IF(Z530="",0,Z530),"0")+IFERROR(IF(Z531="",0,Z531),"0")</f>
        <v>0.22724</v>
      </c>
      <c r="AA532" s="67"/>
      <c r="AB532" s="67"/>
      <c r="AC532" s="67"/>
    </row>
    <row r="533" spans="1:68" x14ac:dyDescent="0.2">
      <c r="A533" s="656"/>
      <c r="B533" s="656"/>
      <c r="C533" s="656"/>
      <c r="D533" s="656"/>
      <c r="E533" s="656"/>
      <c r="F533" s="656"/>
      <c r="G533" s="656"/>
      <c r="H533" s="656"/>
      <c r="I533" s="656"/>
      <c r="J533" s="656"/>
      <c r="K533" s="656"/>
      <c r="L533" s="656"/>
      <c r="M533" s="656"/>
      <c r="N533" s="656"/>
      <c r="O533" s="657"/>
      <c r="P533" s="653" t="s">
        <v>40</v>
      </c>
      <c r="Q533" s="654"/>
      <c r="R533" s="654"/>
      <c r="S533" s="654"/>
      <c r="T533" s="654"/>
      <c r="U533" s="654"/>
      <c r="V533" s="655"/>
      <c r="W533" s="42" t="s">
        <v>0</v>
      </c>
      <c r="X533" s="43">
        <f>IFERROR(SUM(X525:X531),"0")</f>
        <v>100</v>
      </c>
      <c r="Y533" s="43">
        <f>IFERROR(SUM(Y525:Y531),"0")</f>
        <v>100.32000000000001</v>
      </c>
      <c r="Z533" s="42"/>
      <c r="AA533" s="67"/>
      <c r="AB533" s="67"/>
      <c r="AC533" s="67"/>
    </row>
    <row r="534" spans="1:68" ht="27.75" hidden="1" customHeight="1" x14ac:dyDescent="0.2">
      <c r="A534" s="666" t="s">
        <v>855</v>
      </c>
      <c r="B534" s="666"/>
      <c r="C534" s="666"/>
      <c r="D534" s="666"/>
      <c r="E534" s="666"/>
      <c r="F534" s="666"/>
      <c r="G534" s="666"/>
      <c r="H534" s="666"/>
      <c r="I534" s="666"/>
      <c r="J534" s="666"/>
      <c r="K534" s="666"/>
      <c r="L534" s="666"/>
      <c r="M534" s="666"/>
      <c r="N534" s="666"/>
      <c r="O534" s="666"/>
      <c r="P534" s="666"/>
      <c r="Q534" s="666"/>
      <c r="R534" s="666"/>
      <c r="S534" s="666"/>
      <c r="T534" s="666"/>
      <c r="U534" s="666"/>
      <c r="V534" s="666"/>
      <c r="W534" s="666"/>
      <c r="X534" s="666"/>
      <c r="Y534" s="666"/>
      <c r="Z534" s="666"/>
      <c r="AA534" s="54"/>
      <c r="AB534" s="54"/>
      <c r="AC534" s="54"/>
    </row>
    <row r="535" spans="1:68" ht="16.5" hidden="1" customHeight="1" x14ac:dyDescent="0.25">
      <c r="A535" s="647" t="s">
        <v>855</v>
      </c>
      <c r="B535" s="647"/>
      <c r="C535" s="647"/>
      <c r="D535" s="647"/>
      <c r="E535" s="647"/>
      <c r="F535" s="647"/>
      <c r="G535" s="647"/>
      <c r="H535" s="647"/>
      <c r="I535" s="647"/>
      <c r="J535" s="647"/>
      <c r="K535" s="647"/>
      <c r="L535" s="647"/>
      <c r="M535" s="647"/>
      <c r="N535" s="647"/>
      <c r="O535" s="647"/>
      <c r="P535" s="647"/>
      <c r="Q535" s="647"/>
      <c r="R535" s="647"/>
      <c r="S535" s="647"/>
      <c r="T535" s="647"/>
      <c r="U535" s="647"/>
      <c r="V535" s="647"/>
      <c r="W535" s="647"/>
      <c r="X535" s="647"/>
      <c r="Y535" s="647"/>
      <c r="Z535" s="647"/>
      <c r="AA535" s="65"/>
      <c r="AB535" s="65"/>
      <c r="AC535" s="79"/>
    </row>
    <row r="536" spans="1:68" ht="14.25" hidden="1" customHeight="1" x14ac:dyDescent="0.25">
      <c r="A536" s="648" t="s">
        <v>124</v>
      </c>
      <c r="B536" s="648"/>
      <c r="C536" s="648"/>
      <c r="D536" s="648"/>
      <c r="E536" s="648"/>
      <c r="F536" s="648"/>
      <c r="G536" s="648"/>
      <c r="H536" s="648"/>
      <c r="I536" s="648"/>
      <c r="J536" s="648"/>
      <c r="K536" s="648"/>
      <c r="L536" s="648"/>
      <c r="M536" s="648"/>
      <c r="N536" s="648"/>
      <c r="O536" s="648"/>
      <c r="P536" s="648"/>
      <c r="Q536" s="648"/>
      <c r="R536" s="648"/>
      <c r="S536" s="648"/>
      <c r="T536" s="648"/>
      <c r="U536" s="648"/>
      <c r="V536" s="648"/>
      <c r="W536" s="648"/>
      <c r="X536" s="648"/>
      <c r="Y536" s="648"/>
      <c r="Z536" s="648"/>
      <c r="AA536" s="66"/>
      <c r="AB536" s="66"/>
      <c r="AC536" s="80"/>
    </row>
    <row r="537" spans="1:68" ht="27" hidden="1" customHeight="1" x14ac:dyDescent="0.25">
      <c r="A537" s="63" t="s">
        <v>856</v>
      </c>
      <c r="B537" s="63" t="s">
        <v>857</v>
      </c>
      <c r="C537" s="36">
        <v>4301012386</v>
      </c>
      <c r="D537" s="649">
        <v>4680115889736</v>
      </c>
      <c r="E537" s="649"/>
      <c r="F537" s="62">
        <v>1.5</v>
      </c>
      <c r="G537" s="37">
        <v>8</v>
      </c>
      <c r="H537" s="62">
        <v>12</v>
      </c>
      <c r="I537" s="62">
        <v>12.41</v>
      </c>
      <c r="J537" s="37">
        <v>64</v>
      </c>
      <c r="K537" s="37" t="s">
        <v>129</v>
      </c>
      <c r="L537" s="37" t="s">
        <v>46</v>
      </c>
      <c r="M537" s="38" t="s">
        <v>128</v>
      </c>
      <c r="N537" s="38"/>
      <c r="O537" s="37">
        <v>50</v>
      </c>
      <c r="P537" s="667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7" s="651"/>
      <c r="R537" s="651"/>
      <c r="S537" s="651"/>
      <c r="T537" s="65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30" t="s">
        <v>858</v>
      </c>
      <c r="AG537" s="78"/>
      <c r="AJ537" s="84" t="s">
        <v>46</v>
      </c>
      <c r="AK537" s="84">
        <v>0</v>
      </c>
      <c r="BB537" s="63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idden="1" x14ac:dyDescent="0.2">
      <c r="A538" s="656"/>
      <c r="B538" s="656"/>
      <c r="C538" s="656"/>
      <c r="D538" s="656"/>
      <c r="E538" s="656"/>
      <c r="F538" s="656"/>
      <c r="G538" s="656"/>
      <c r="H538" s="656"/>
      <c r="I538" s="656"/>
      <c r="J538" s="656"/>
      <c r="K538" s="656"/>
      <c r="L538" s="656"/>
      <c r="M538" s="656"/>
      <c r="N538" s="656"/>
      <c r="O538" s="657"/>
      <c r="P538" s="653" t="s">
        <v>40</v>
      </c>
      <c r="Q538" s="654"/>
      <c r="R538" s="654"/>
      <c r="S538" s="654"/>
      <c r="T538" s="654"/>
      <c r="U538" s="654"/>
      <c r="V538" s="655"/>
      <c r="W538" s="42" t="s">
        <v>39</v>
      </c>
      <c r="X538" s="43">
        <f>IFERROR(X537/H537,"0")</f>
        <v>0</v>
      </c>
      <c r="Y538" s="43">
        <f>IFERROR(Y537/H537,"0")</f>
        <v>0</v>
      </c>
      <c r="Z538" s="43">
        <f>IFERROR(IF(Z537="",0,Z537),"0")</f>
        <v>0</v>
      </c>
      <c r="AA538" s="67"/>
      <c r="AB538" s="67"/>
      <c r="AC538" s="67"/>
    </row>
    <row r="539" spans="1:68" hidden="1" x14ac:dyDescent="0.2">
      <c r="A539" s="656"/>
      <c r="B539" s="656"/>
      <c r="C539" s="656"/>
      <c r="D539" s="656"/>
      <c r="E539" s="656"/>
      <c r="F539" s="656"/>
      <c r="G539" s="656"/>
      <c r="H539" s="656"/>
      <c r="I539" s="656"/>
      <c r="J539" s="656"/>
      <c r="K539" s="656"/>
      <c r="L539" s="656"/>
      <c r="M539" s="656"/>
      <c r="N539" s="656"/>
      <c r="O539" s="657"/>
      <c r="P539" s="653" t="s">
        <v>40</v>
      </c>
      <c r="Q539" s="654"/>
      <c r="R539" s="654"/>
      <c r="S539" s="654"/>
      <c r="T539" s="654"/>
      <c r="U539" s="654"/>
      <c r="V539" s="655"/>
      <c r="W539" s="42" t="s">
        <v>0</v>
      </c>
      <c r="X539" s="43">
        <f>IFERROR(SUM(X537:X537),"0")</f>
        <v>0</v>
      </c>
      <c r="Y539" s="43">
        <f>IFERROR(SUM(Y537:Y537),"0")</f>
        <v>0</v>
      </c>
      <c r="Z539" s="42"/>
      <c r="AA539" s="67"/>
      <c r="AB539" s="67"/>
      <c r="AC539" s="67"/>
    </row>
    <row r="540" spans="1:68" ht="14.25" hidden="1" customHeight="1" x14ac:dyDescent="0.25">
      <c r="A540" s="648" t="s">
        <v>161</v>
      </c>
      <c r="B540" s="648"/>
      <c r="C540" s="648"/>
      <c r="D540" s="648"/>
      <c r="E540" s="648"/>
      <c r="F540" s="648"/>
      <c r="G540" s="648"/>
      <c r="H540" s="648"/>
      <c r="I540" s="648"/>
      <c r="J540" s="648"/>
      <c r="K540" s="648"/>
      <c r="L540" s="648"/>
      <c r="M540" s="648"/>
      <c r="N540" s="648"/>
      <c r="O540" s="648"/>
      <c r="P540" s="648"/>
      <c r="Q540" s="648"/>
      <c r="R540" s="648"/>
      <c r="S540" s="648"/>
      <c r="T540" s="648"/>
      <c r="U540" s="648"/>
      <c r="V540" s="648"/>
      <c r="W540" s="648"/>
      <c r="X540" s="648"/>
      <c r="Y540" s="648"/>
      <c r="Z540" s="648"/>
      <c r="AA540" s="66"/>
      <c r="AB540" s="66"/>
      <c r="AC540" s="80"/>
    </row>
    <row r="541" spans="1:68" ht="27" hidden="1" customHeight="1" x14ac:dyDescent="0.25">
      <c r="A541" s="63" t="s">
        <v>859</v>
      </c>
      <c r="B541" s="63" t="s">
        <v>860</v>
      </c>
      <c r="C541" s="36">
        <v>4301020444</v>
      </c>
      <c r="D541" s="649">
        <v>4680115889781</v>
      </c>
      <c r="E541" s="649"/>
      <c r="F541" s="62">
        <v>1.5</v>
      </c>
      <c r="G541" s="37">
        <v>8</v>
      </c>
      <c r="H541" s="62">
        <v>12</v>
      </c>
      <c r="I541" s="62">
        <v>12.41</v>
      </c>
      <c r="J541" s="37">
        <v>64</v>
      </c>
      <c r="K541" s="37" t="s">
        <v>129</v>
      </c>
      <c r="L541" s="37" t="s">
        <v>46</v>
      </c>
      <c r="M541" s="38" t="s">
        <v>81</v>
      </c>
      <c r="N541" s="38"/>
      <c r="O541" s="37">
        <v>50</v>
      </c>
      <c r="P541" s="66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1" s="651"/>
      <c r="R541" s="651"/>
      <c r="S541" s="651"/>
      <c r="T541" s="652"/>
      <c r="U541" s="39" t="s">
        <v>46</v>
      </c>
      <c r="V541" s="39" t="s">
        <v>46</v>
      </c>
      <c r="W541" s="40" t="s">
        <v>0</v>
      </c>
      <c r="X541" s="58">
        <v>0</v>
      </c>
      <c r="Y541" s="55">
        <f>IFERROR(IF(X541="",0,CEILING((X541/$H541),1)*$H541),"")</f>
        <v>0</v>
      </c>
      <c r="Z541" s="41" t="str">
        <f>IFERROR(IF(Y541=0,"",ROUNDUP(Y541/H541,0)*0.01898),"")</f>
        <v/>
      </c>
      <c r="AA541" s="68" t="s">
        <v>46</v>
      </c>
      <c r="AB541" s="69" t="s">
        <v>46</v>
      </c>
      <c r="AC541" s="632" t="s">
        <v>740</v>
      </c>
      <c r="AG541" s="78"/>
      <c r="AJ541" s="84" t="s">
        <v>46</v>
      </c>
      <c r="AK541" s="84">
        <v>0</v>
      </c>
      <c r="BB541" s="633" t="s">
        <v>67</v>
      </c>
      <c r="BM541" s="78">
        <f>IFERROR(X541*I541/H541,"0")</f>
        <v>0</v>
      </c>
      <c r="BN541" s="78">
        <f>IFERROR(Y541*I541/H541,"0")</f>
        <v>0</v>
      </c>
      <c r="BO541" s="78">
        <f>IFERROR(1/J541*(X541/H541),"0")</f>
        <v>0</v>
      </c>
      <c r="BP541" s="78">
        <f>IFERROR(1/J541*(Y541/H541),"0")</f>
        <v>0</v>
      </c>
    </row>
    <row r="542" spans="1:68" hidden="1" x14ac:dyDescent="0.2">
      <c r="A542" s="656"/>
      <c r="B542" s="656"/>
      <c r="C542" s="656"/>
      <c r="D542" s="656"/>
      <c r="E542" s="656"/>
      <c r="F542" s="656"/>
      <c r="G542" s="656"/>
      <c r="H542" s="656"/>
      <c r="I542" s="656"/>
      <c r="J542" s="656"/>
      <c r="K542" s="656"/>
      <c r="L542" s="656"/>
      <c r="M542" s="656"/>
      <c r="N542" s="656"/>
      <c r="O542" s="657"/>
      <c r="P542" s="653" t="s">
        <v>40</v>
      </c>
      <c r="Q542" s="654"/>
      <c r="R542" s="654"/>
      <c r="S542" s="654"/>
      <c r="T542" s="654"/>
      <c r="U542" s="654"/>
      <c r="V542" s="655"/>
      <c r="W542" s="42" t="s">
        <v>39</v>
      </c>
      <c r="X542" s="43">
        <f>IFERROR(X541/H541,"0")</f>
        <v>0</v>
      </c>
      <c r="Y542" s="43">
        <f>IFERROR(Y541/H541,"0")</f>
        <v>0</v>
      </c>
      <c r="Z542" s="43">
        <f>IFERROR(IF(Z541="",0,Z541),"0")</f>
        <v>0</v>
      </c>
      <c r="AA542" s="67"/>
      <c r="AB542" s="67"/>
      <c r="AC542" s="67"/>
    </row>
    <row r="543" spans="1:68" hidden="1" x14ac:dyDescent="0.2">
      <c r="A543" s="656"/>
      <c r="B543" s="656"/>
      <c r="C543" s="656"/>
      <c r="D543" s="656"/>
      <c r="E543" s="656"/>
      <c r="F543" s="656"/>
      <c r="G543" s="656"/>
      <c r="H543" s="656"/>
      <c r="I543" s="656"/>
      <c r="J543" s="656"/>
      <c r="K543" s="656"/>
      <c r="L543" s="656"/>
      <c r="M543" s="656"/>
      <c r="N543" s="656"/>
      <c r="O543" s="657"/>
      <c r="P543" s="653" t="s">
        <v>40</v>
      </c>
      <c r="Q543" s="654"/>
      <c r="R543" s="654"/>
      <c r="S543" s="654"/>
      <c r="T543" s="654"/>
      <c r="U543" s="654"/>
      <c r="V543" s="655"/>
      <c r="W543" s="42" t="s">
        <v>0</v>
      </c>
      <c r="X543" s="43">
        <f>IFERROR(SUM(X541:X541),"0")</f>
        <v>0</v>
      </c>
      <c r="Y543" s="43">
        <f>IFERROR(SUM(Y541:Y541),"0")</f>
        <v>0</v>
      </c>
      <c r="Z543" s="42"/>
      <c r="AA543" s="67"/>
      <c r="AB543" s="67"/>
      <c r="AC543" s="67"/>
    </row>
    <row r="544" spans="1:68" ht="14.25" hidden="1" customHeight="1" x14ac:dyDescent="0.25">
      <c r="A544" s="648" t="s">
        <v>256</v>
      </c>
      <c r="B544" s="648"/>
      <c r="C544" s="648"/>
      <c r="D544" s="648"/>
      <c r="E544" s="648"/>
      <c r="F544" s="648"/>
      <c r="G544" s="648"/>
      <c r="H544" s="648"/>
      <c r="I544" s="648"/>
      <c r="J544" s="648"/>
      <c r="K544" s="648"/>
      <c r="L544" s="648"/>
      <c r="M544" s="648"/>
      <c r="N544" s="648"/>
      <c r="O544" s="648"/>
      <c r="P544" s="648"/>
      <c r="Q544" s="648"/>
      <c r="R544" s="648"/>
      <c r="S544" s="648"/>
      <c r="T544" s="648"/>
      <c r="U544" s="648"/>
      <c r="V544" s="648"/>
      <c r="W544" s="648"/>
      <c r="X544" s="648"/>
      <c r="Y544" s="648"/>
      <c r="Z544" s="648"/>
      <c r="AA544" s="66"/>
      <c r="AB544" s="66"/>
      <c r="AC544" s="80"/>
    </row>
    <row r="545" spans="1:68" ht="27" customHeight="1" x14ac:dyDescent="0.25">
      <c r="A545" s="63" t="s">
        <v>861</v>
      </c>
      <c r="B545" s="63" t="s">
        <v>862</v>
      </c>
      <c r="C545" s="36">
        <v>4301031523</v>
      </c>
      <c r="D545" s="649">
        <v>4680115889774</v>
      </c>
      <c r="E545" s="649"/>
      <c r="F545" s="62">
        <v>0.7</v>
      </c>
      <c r="G545" s="37">
        <v>6</v>
      </c>
      <c r="H545" s="62">
        <v>4.2</v>
      </c>
      <c r="I545" s="62">
        <v>4.45</v>
      </c>
      <c r="J545" s="37">
        <v>132</v>
      </c>
      <c r="K545" s="37" t="s">
        <v>137</v>
      </c>
      <c r="L545" s="37" t="s">
        <v>46</v>
      </c>
      <c r="M545" s="38" t="s">
        <v>133</v>
      </c>
      <c r="N545" s="38"/>
      <c r="O545" s="37">
        <v>40</v>
      </c>
      <c r="P545" s="66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5" s="651"/>
      <c r="R545" s="651"/>
      <c r="S545" s="651"/>
      <c r="T545" s="652"/>
      <c r="U545" s="39" t="s">
        <v>46</v>
      </c>
      <c r="V545" s="39" t="s">
        <v>46</v>
      </c>
      <c r="W545" s="40" t="s">
        <v>0</v>
      </c>
      <c r="X545" s="58">
        <v>120</v>
      </c>
      <c r="Y545" s="55">
        <f>IFERROR(IF(X545="",0,CEILING((X545/$H545),1)*$H545),"")</f>
        <v>121.80000000000001</v>
      </c>
      <c r="Z545" s="41">
        <f>IFERROR(IF(Y545=0,"",ROUNDUP(Y545/H545,0)*0.00902),"")</f>
        <v>0.26158000000000003</v>
      </c>
      <c r="AA545" s="68" t="s">
        <v>46</v>
      </c>
      <c r="AB545" s="69" t="s">
        <v>46</v>
      </c>
      <c r="AC545" s="634" t="s">
        <v>863</v>
      </c>
      <c r="AG545" s="78"/>
      <c r="AJ545" s="84" t="s">
        <v>46</v>
      </c>
      <c r="AK545" s="84">
        <v>0</v>
      </c>
      <c r="BB545" s="635" t="s">
        <v>67</v>
      </c>
      <c r="BM545" s="78">
        <f>IFERROR(X545*I545/H545,"0")</f>
        <v>127.14285714285714</v>
      </c>
      <c r="BN545" s="78">
        <f>IFERROR(Y545*I545/H545,"0")</f>
        <v>129.05000000000001</v>
      </c>
      <c r="BO545" s="78">
        <f>IFERROR(1/J545*(X545/H545),"0")</f>
        <v>0.21645021645021645</v>
      </c>
      <c r="BP545" s="78">
        <f>IFERROR(1/J545*(Y545/H545),"0")</f>
        <v>0.2196969696969697</v>
      </c>
    </row>
    <row r="546" spans="1:68" x14ac:dyDescent="0.2">
      <c r="A546" s="656"/>
      <c r="B546" s="656"/>
      <c r="C546" s="656"/>
      <c r="D546" s="656"/>
      <c r="E546" s="656"/>
      <c r="F546" s="656"/>
      <c r="G546" s="656"/>
      <c r="H546" s="656"/>
      <c r="I546" s="656"/>
      <c r="J546" s="656"/>
      <c r="K546" s="656"/>
      <c r="L546" s="656"/>
      <c r="M546" s="656"/>
      <c r="N546" s="656"/>
      <c r="O546" s="657"/>
      <c r="P546" s="653" t="s">
        <v>40</v>
      </c>
      <c r="Q546" s="654"/>
      <c r="R546" s="654"/>
      <c r="S546" s="654"/>
      <c r="T546" s="654"/>
      <c r="U546" s="654"/>
      <c r="V546" s="655"/>
      <c r="W546" s="42" t="s">
        <v>39</v>
      </c>
      <c r="X546" s="43">
        <f>IFERROR(X545/H545,"0")</f>
        <v>28.571428571428569</v>
      </c>
      <c r="Y546" s="43">
        <f>IFERROR(Y545/H545,"0")</f>
        <v>29</v>
      </c>
      <c r="Z546" s="43">
        <f>IFERROR(IF(Z545="",0,Z545),"0")</f>
        <v>0.26158000000000003</v>
      </c>
      <c r="AA546" s="67"/>
      <c r="AB546" s="67"/>
      <c r="AC546" s="67"/>
    </row>
    <row r="547" spans="1:68" x14ac:dyDescent="0.2">
      <c r="A547" s="656"/>
      <c r="B547" s="656"/>
      <c r="C547" s="656"/>
      <c r="D547" s="656"/>
      <c r="E547" s="656"/>
      <c r="F547" s="656"/>
      <c r="G547" s="656"/>
      <c r="H547" s="656"/>
      <c r="I547" s="656"/>
      <c r="J547" s="656"/>
      <c r="K547" s="656"/>
      <c r="L547" s="656"/>
      <c r="M547" s="656"/>
      <c r="N547" s="656"/>
      <c r="O547" s="657"/>
      <c r="P547" s="653" t="s">
        <v>40</v>
      </c>
      <c r="Q547" s="654"/>
      <c r="R547" s="654"/>
      <c r="S547" s="654"/>
      <c r="T547" s="654"/>
      <c r="U547" s="654"/>
      <c r="V547" s="655"/>
      <c r="W547" s="42" t="s">
        <v>0</v>
      </c>
      <c r="X547" s="43">
        <f>IFERROR(SUM(X545:X545),"0")</f>
        <v>120</v>
      </c>
      <c r="Y547" s="43">
        <f>IFERROR(SUM(Y545:Y545),"0")</f>
        <v>121.80000000000001</v>
      </c>
      <c r="Z547" s="42"/>
      <c r="AA547" s="67"/>
      <c r="AB547" s="67"/>
      <c r="AC547" s="67"/>
    </row>
    <row r="548" spans="1:68" ht="14.25" hidden="1" customHeight="1" x14ac:dyDescent="0.25">
      <c r="A548" s="648" t="s">
        <v>77</v>
      </c>
      <c r="B548" s="648"/>
      <c r="C548" s="648"/>
      <c r="D548" s="648"/>
      <c r="E548" s="648"/>
      <c r="F548" s="648"/>
      <c r="G548" s="648"/>
      <c r="H548" s="648"/>
      <c r="I548" s="648"/>
      <c r="J548" s="648"/>
      <c r="K548" s="648"/>
      <c r="L548" s="648"/>
      <c r="M548" s="648"/>
      <c r="N548" s="648"/>
      <c r="O548" s="648"/>
      <c r="P548" s="648"/>
      <c r="Q548" s="648"/>
      <c r="R548" s="648"/>
      <c r="S548" s="648"/>
      <c r="T548" s="648"/>
      <c r="U548" s="648"/>
      <c r="V548" s="648"/>
      <c r="W548" s="648"/>
      <c r="X548" s="648"/>
      <c r="Y548" s="648"/>
      <c r="Z548" s="648"/>
      <c r="AA548" s="66"/>
      <c r="AB548" s="66"/>
      <c r="AC548" s="80"/>
    </row>
    <row r="549" spans="1:68" ht="27" customHeight="1" x14ac:dyDescent="0.25">
      <c r="A549" s="63" t="s">
        <v>864</v>
      </c>
      <c r="B549" s="63" t="s">
        <v>865</v>
      </c>
      <c r="C549" s="36">
        <v>4301052282</v>
      </c>
      <c r="D549" s="649">
        <v>4680115889811</v>
      </c>
      <c r="E549" s="649"/>
      <c r="F549" s="62">
        <v>1.5</v>
      </c>
      <c r="G549" s="37">
        <v>6</v>
      </c>
      <c r="H549" s="62">
        <v>9</v>
      </c>
      <c r="I549" s="62">
        <v>9.4939999999999998</v>
      </c>
      <c r="J549" s="37">
        <v>64</v>
      </c>
      <c r="K549" s="37" t="s">
        <v>129</v>
      </c>
      <c r="L549" s="37" t="s">
        <v>46</v>
      </c>
      <c r="M549" s="38" t="s">
        <v>81</v>
      </c>
      <c r="N549" s="38"/>
      <c r="O549" s="37">
        <v>45</v>
      </c>
      <c r="P549" s="663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9" s="651"/>
      <c r="R549" s="651"/>
      <c r="S549" s="651"/>
      <c r="T549" s="652"/>
      <c r="U549" s="39" t="s">
        <v>46</v>
      </c>
      <c r="V549" s="39" t="s">
        <v>46</v>
      </c>
      <c r="W549" s="40" t="s">
        <v>0</v>
      </c>
      <c r="X549" s="58">
        <v>500</v>
      </c>
      <c r="Y549" s="55">
        <f>IFERROR(IF(X549="",0,CEILING((X549/$H549),1)*$H549),"")</f>
        <v>504</v>
      </c>
      <c r="Z549" s="41">
        <f>IFERROR(IF(Y549=0,"",ROUNDUP(Y549/H549,0)*0.01898),"")</f>
        <v>1.06288</v>
      </c>
      <c r="AA549" s="68" t="s">
        <v>46</v>
      </c>
      <c r="AB549" s="69" t="s">
        <v>46</v>
      </c>
      <c r="AC549" s="636" t="s">
        <v>866</v>
      </c>
      <c r="AG549" s="78"/>
      <c r="AJ549" s="84" t="s">
        <v>46</v>
      </c>
      <c r="AK549" s="84">
        <v>0</v>
      </c>
      <c r="BB549" s="637" t="s">
        <v>67</v>
      </c>
      <c r="BM549" s="78">
        <f>IFERROR(X549*I549/H549,"0")</f>
        <v>527.44444444444446</v>
      </c>
      <c r="BN549" s="78">
        <f>IFERROR(Y549*I549/H549,"0")</f>
        <v>531.66399999999999</v>
      </c>
      <c r="BO549" s="78">
        <f>IFERROR(1/J549*(X549/H549),"0")</f>
        <v>0.86805555555555558</v>
      </c>
      <c r="BP549" s="78">
        <f>IFERROR(1/J549*(Y549/H549),"0")</f>
        <v>0.875</v>
      </c>
    </row>
    <row r="550" spans="1:68" x14ac:dyDescent="0.2">
      <c r="A550" s="656"/>
      <c r="B550" s="656"/>
      <c r="C550" s="656"/>
      <c r="D550" s="656"/>
      <c r="E550" s="656"/>
      <c r="F550" s="656"/>
      <c r="G550" s="656"/>
      <c r="H550" s="656"/>
      <c r="I550" s="656"/>
      <c r="J550" s="656"/>
      <c r="K550" s="656"/>
      <c r="L550" s="656"/>
      <c r="M550" s="656"/>
      <c r="N550" s="656"/>
      <c r="O550" s="657"/>
      <c r="P550" s="653" t="s">
        <v>40</v>
      </c>
      <c r="Q550" s="654"/>
      <c r="R550" s="654"/>
      <c r="S550" s="654"/>
      <c r="T550" s="654"/>
      <c r="U550" s="654"/>
      <c r="V550" s="655"/>
      <c r="W550" s="42" t="s">
        <v>39</v>
      </c>
      <c r="X550" s="43">
        <f>IFERROR(X549/H549,"0")</f>
        <v>55.555555555555557</v>
      </c>
      <c r="Y550" s="43">
        <f>IFERROR(Y549/H549,"0")</f>
        <v>56</v>
      </c>
      <c r="Z550" s="43">
        <f>IFERROR(IF(Z549="",0,Z549),"0")</f>
        <v>1.06288</v>
      </c>
      <c r="AA550" s="67"/>
      <c r="AB550" s="67"/>
      <c r="AC550" s="67"/>
    </row>
    <row r="551" spans="1:68" x14ac:dyDescent="0.2">
      <c r="A551" s="656"/>
      <c r="B551" s="656"/>
      <c r="C551" s="656"/>
      <c r="D551" s="656"/>
      <c r="E551" s="656"/>
      <c r="F551" s="656"/>
      <c r="G551" s="656"/>
      <c r="H551" s="656"/>
      <c r="I551" s="656"/>
      <c r="J551" s="656"/>
      <c r="K551" s="656"/>
      <c r="L551" s="656"/>
      <c r="M551" s="656"/>
      <c r="N551" s="656"/>
      <c r="O551" s="657"/>
      <c r="P551" s="653" t="s">
        <v>40</v>
      </c>
      <c r="Q551" s="654"/>
      <c r="R551" s="654"/>
      <c r="S551" s="654"/>
      <c r="T551" s="654"/>
      <c r="U551" s="654"/>
      <c r="V551" s="655"/>
      <c r="W551" s="42" t="s">
        <v>0</v>
      </c>
      <c r="X551" s="43">
        <f>IFERROR(SUM(X549:X549),"0")</f>
        <v>500</v>
      </c>
      <c r="Y551" s="43">
        <f>IFERROR(SUM(Y549:Y549),"0")</f>
        <v>504</v>
      </c>
      <c r="Z551" s="42"/>
      <c r="AA551" s="67"/>
      <c r="AB551" s="67"/>
      <c r="AC551" s="67"/>
    </row>
    <row r="552" spans="1:68" ht="14.25" hidden="1" customHeight="1" x14ac:dyDescent="0.25">
      <c r="A552" s="648" t="s">
        <v>179</v>
      </c>
      <c r="B552" s="648"/>
      <c r="C552" s="648"/>
      <c r="D552" s="648"/>
      <c r="E552" s="648"/>
      <c r="F552" s="648"/>
      <c r="G552" s="648"/>
      <c r="H552" s="648"/>
      <c r="I552" s="648"/>
      <c r="J552" s="648"/>
      <c r="K552" s="648"/>
      <c r="L552" s="648"/>
      <c r="M552" s="648"/>
      <c r="N552" s="648"/>
      <c r="O552" s="648"/>
      <c r="P552" s="648"/>
      <c r="Q552" s="648"/>
      <c r="R552" s="648"/>
      <c r="S552" s="648"/>
      <c r="T552" s="648"/>
      <c r="U552" s="648"/>
      <c r="V552" s="648"/>
      <c r="W552" s="648"/>
      <c r="X552" s="648"/>
      <c r="Y552" s="648"/>
      <c r="Z552" s="648"/>
      <c r="AA552" s="66"/>
      <c r="AB552" s="66"/>
      <c r="AC552" s="80"/>
    </row>
    <row r="553" spans="1:68" ht="27" hidden="1" customHeight="1" x14ac:dyDescent="0.25">
      <c r="A553" s="63" t="s">
        <v>867</v>
      </c>
      <c r="B553" s="63" t="s">
        <v>868</v>
      </c>
      <c r="C553" s="36">
        <v>4301060543</v>
      </c>
      <c r="D553" s="649">
        <v>4680115889804</v>
      </c>
      <c r="E553" s="649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129</v>
      </c>
      <c r="L553" s="37" t="s">
        <v>46</v>
      </c>
      <c r="M553" s="38" t="s">
        <v>81</v>
      </c>
      <c r="N553" s="38"/>
      <c r="O553" s="37">
        <v>40</v>
      </c>
      <c r="P553" s="664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3" s="651"/>
      <c r="R553" s="651"/>
      <c r="S553" s="651"/>
      <c r="T553" s="652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38" t="s">
        <v>869</v>
      </c>
      <c r="AG553" s="78"/>
      <c r="AJ553" s="84" t="s">
        <v>46</v>
      </c>
      <c r="AK553" s="84">
        <v>0</v>
      </c>
      <c r="BB553" s="639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t="27" hidden="1" customHeight="1" x14ac:dyDescent="0.25">
      <c r="A554" s="63" t="s">
        <v>870</v>
      </c>
      <c r="B554" s="63" t="s">
        <v>871</v>
      </c>
      <c r="C554" s="36">
        <v>4301060544</v>
      </c>
      <c r="D554" s="649">
        <v>4680115889828</v>
      </c>
      <c r="E554" s="649"/>
      <c r="F554" s="62">
        <v>1.5</v>
      </c>
      <c r="G554" s="37">
        <v>6</v>
      </c>
      <c r="H554" s="62">
        <v>9</v>
      </c>
      <c r="I554" s="62">
        <v>9.41</v>
      </c>
      <c r="J554" s="37">
        <v>64</v>
      </c>
      <c r="K554" s="37" t="s">
        <v>129</v>
      </c>
      <c r="L554" s="37" t="s">
        <v>46</v>
      </c>
      <c r="M554" s="38" t="s">
        <v>81</v>
      </c>
      <c r="N554" s="38"/>
      <c r="O554" s="37">
        <v>40</v>
      </c>
      <c r="P554" s="665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4" s="651"/>
      <c r="R554" s="651"/>
      <c r="S554" s="651"/>
      <c r="T554" s="652"/>
      <c r="U554" s="39" t="s">
        <v>46</v>
      </c>
      <c r="V554" s="39" t="s">
        <v>46</v>
      </c>
      <c r="W554" s="40" t="s">
        <v>0</v>
      </c>
      <c r="X554" s="58">
        <v>0</v>
      </c>
      <c r="Y554" s="55">
        <f>IFERROR(IF(X554="",0,CEILING((X554/$H554),1)*$H554),"")</f>
        <v>0</v>
      </c>
      <c r="Z554" s="41" t="str">
        <f>IFERROR(IF(Y554=0,"",ROUNDUP(Y554/H554,0)*0.01898),"")</f>
        <v/>
      </c>
      <c r="AA554" s="68" t="s">
        <v>46</v>
      </c>
      <c r="AB554" s="69" t="s">
        <v>46</v>
      </c>
      <c r="AC554" s="640" t="s">
        <v>872</v>
      </c>
      <c r="AG554" s="78"/>
      <c r="AJ554" s="84" t="s">
        <v>46</v>
      </c>
      <c r="AK554" s="84">
        <v>0</v>
      </c>
      <c r="BB554" s="641" t="s">
        <v>67</v>
      </c>
      <c r="BM554" s="78">
        <f>IFERROR(X554*I554/H554,"0")</f>
        <v>0</v>
      </c>
      <c r="BN554" s="78">
        <f>IFERROR(Y554*I554/H554,"0")</f>
        <v>0</v>
      </c>
      <c r="BO554" s="78">
        <f>IFERROR(1/J554*(X554/H554),"0")</f>
        <v>0</v>
      </c>
      <c r="BP554" s="78">
        <f>IFERROR(1/J554*(Y554/H554),"0")</f>
        <v>0</v>
      </c>
    </row>
    <row r="555" spans="1:68" hidden="1" x14ac:dyDescent="0.2">
      <c r="A555" s="656"/>
      <c r="B555" s="656"/>
      <c r="C555" s="656"/>
      <c r="D555" s="656"/>
      <c r="E555" s="656"/>
      <c r="F555" s="656"/>
      <c r="G555" s="656"/>
      <c r="H555" s="656"/>
      <c r="I555" s="656"/>
      <c r="J555" s="656"/>
      <c r="K555" s="656"/>
      <c r="L555" s="656"/>
      <c r="M555" s="656"/>
      <c r="N555" s="656"/>
      <c r="O555" s="657"/>
      <c r="P555" s="653" t="s">
        <v>40</v>
      </c>
      <c r="Q555" s="654"/>
      <c r="R555" s="654"/>
      <c r="S555" s="654"/>
      <c r="T555" s="654"/>
      <c r="U555" s="654"/>
      <c r="V555" s="655"/>
      <c r="W555" s="42" t="s">
        <v>39</v>
      </c>
      <c r="X555" s="43">
        <f>IFERROR(X553/H553,"0")+IFERROR(X554/H554,"0")</f>
        <v>0</v>
      </c>
      <c r="Y555" s="43">
        <f>IFERROR(Y553/H553,"0")+IFERROR(Y554/H554,"0")</f>
        <v>0</v>
      </c>
      <c r="Z555" s="43">
        <f>IFERROR(IF(Z553="",0,Z553),"0")+IFERROR(IF(Z554="",0,Z554),"0")</f>
        <v>0</v>
      </c>
      <c r="AA555" s="67"/>
      <c r="AB555" s="67"/>
      <c r="AC555" s="67"/>
    </row>
    <row r="556" spans="1:68" hidden="1" x14ac:dyDescent="0.2">
      <c r="A556" s="656"/>
      <c r="B556" s="656"/>
      <c r="C556" s="656"/>
      <c r="D556" s="656"/>
      <c r="E556" s="656"/>
      <c r="F556" s="656"/>
      <c r="G556" s="656"/>
      <c r="H556" s="656"/>
      <c r="I556" s="656"/>
      <c r="J556" s="656"/>
      <c r="K556" s="656"/>
      <c r="L556" s="656"/>
      <c r="M556" s="656"/>
      <c r="N556" s="656"/>
      <c r="O556" s="657"/>
      <c r="P556" s="653" t="s">
        <v>40</v>
      </c>
      <c r="Q556" s="654"/>
      <c r="R556" s="654"/>
      <c r="S556" s="654"/>
      <c r="T556" s="654"/>
      <c r="U556" s="654"/>
      <c r="V556" s="655"/>
      <c r="W556" s="42" t="s">
        <v>0</v>
      </c>
      <c r="X556" s="43">
        <f>IFERROR(SUM(X553:X554),"0")</f>
        <v>0</v>
      </c>
      <c r="Y556" s="43">
        <f>IFERROR(SUM(Y553:Y554),"0")</f>
        <v>0</v>
      </c>
      <c r="Z556" s="42"/>
      <c r="AA556" s="67"/>
      <c r="AB556" s="67"/>
      <c r="AC556" s="67"/>
    </row>
    <row r="557" spans="1:68" ht="16.5" hidden="1" customHeight="1" x14ac:dyDescent="0.25">
      <c r="A557" s="647" t="s">
        <v>873</v>
      </c>
      <c r="B557" s="647"/>
      <c r="C557" s="647"/>
      <c r="D557" s="647"/>
      <c r="E557" s="647"/>
      <c r="F557" s="647"/>
      <c r="G557" s="647"/>
      <c r="H557" s="647"/>
      <c r="I557" s="647"/>
      <c r="J557" s="647"/>
      <c r="K557" s="647"/>
      <c r="L557" s="647"/>
      <c r="M557" s="647"/>
      <c r="N557" s="647"/>
      <c r="O557" s="647"/>
      <c r="P557" s="647"/>
      <c r="Q557" s="647"/>
      <c r="R557" s="647"/>
      <c r="S557" s="647"/>
      <c r="T557" s="647"/>
      <c r="U557" s="647"/>
      <c r="V557" s="647"/>
      <c r="W557" s="647"/>
      <c r="X557" s="647"/>
      <c r="Y557" s="647"/>
      <c r="Z557" s="647"/>
      <c r="AA557" s="65"/>
      <c r="AB557" s="65"/>
      <c r="AC557" s="79"/>
    </row>
    <row r="558" spans="1:68" ht="14.25" hidden="1" customHeight="1" x14ac:dyDescent="0.25">
      <c r="A558" s="648" t="s">
        <v>161</v>
      </c>
      <c r="B558" s="648"/>
      <c r="C558" s="648"/>
      <c r="D558" s="648"/>
      <c r="E558" s="648"/>
      <c r="F558" s="648"/>
      <c r="G558" s="648"/>
      <c r="H558" s="648"/>
      <c r="I558" s="648"/>
      <c r="J558" s="648"/>
      <c r="K558" s="648"/>
      <c r="L558" s="648"/>
      <c r="M558" s="648"/>
      <c r="N558" s="648"/>
      <c r="O558" s="648"/>
      <c r="P558" s="648"/>
      <c r="Q558" s="648"/>
      <c r="R558" s="648"/>
      <c r="S558" s="648"/>
      <c r="T558" s="648"/>
      <c r="U558" s="648"/>
      <c r="V558" s="648"/>
      <c r="W558" s="648"/>
      <c r="X558" s="648"/>
      <c r="Y558" s="648"/>
      <c r="Z558" s="648"/>
      <c r="AA558" s="66"/>
      <c r="AB558" s="66"/>
      <c r="AC558" s="80"/>
    </row>
    <row r="559" spans="1:68" ht="27" hidden="1" customHeight="1" x14ac:dyDescent="0.25">
      <c r="A559" s="63" t="s">
        <v>874</v>
      </c>
      <c r="B559" s="63" t="s">
        <v>875</v>
      </c>
      <c r="C559" s="36">
        <v>4301020441</v>
      </c>
      <c r="D559" s="649">
        <v>4680115889798</v>
      </c>
      <c r="E559" s="649"/>
      <c r="F559" s="62">
        <v>1.5</v>
      </c>
      <c r="G559" s="37">
        <v>8</v>
      </c>
      <c r="H559" s="62">
        <v>12</v>
      </c>
      <c r="I559" s="62">
        <v>12.41</v>
      </c>
      <c r="J559" s="37">
        <v>64</v>
      </c>
      <c r="K559" s="37" t="s">
        <v>129</v>
      </c>
      <c r="L559" s="37" t="s">
        <v>46</v>
      </c>
      <c r="M559" s="38" t="s">
        <v>128</v>
      </c>
      <c r="N559" s="38"/>
      <c r="O559" s="37">
        <v>50</v>
      </c>
      <c r="P559" s="65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9" s="651"/>
      <c r="R559" s="651"/>
      <c r="S559" s="651"/>
      <c r="T559" s="652"/>
      <c r="U559" s="39" t="s">
        <v>46</v>
      </c>
      <c r="V559" s="39" t="s">
        <v>46</v>
      </c>
      <c r="W559" s="40" t="s">
        <v>0</v>
      </c>
      <c r="X559" s="58">
        <v>0</v>
      </c>
      <c r="Y559" s="55">
        <f>IFERROR(IF(X559="",0,CEILING((X559/$H559),1)*$H559),"")</f>
        <v>0</v>
      </c>
      <c r="Z559" s="41" t="str">
        <f>IFERROR(IF(Y559=0,"",ROUNDUP(Y559/H559,0)*0.01898),"")</f>
        <v/>
      </c>
      <c r="AA559" s="68" t="s">
        <v>46</v>
      </c>
      <c r="AB559" s="69" t="s">
        <v>46</v>
      </c>
      <c r="AC559" s="642" t="s">
        <v>876</v>
      </c>
      <c r="AG559" s="78"/>
      <c r="AJ559" s="84" t="s">
        <v>46</v>
      </c>
      <c r="AK559" s="84">
        <v>0</v>
      </c>
      <c r="BB559" s="643" t="s">
        <v>67</v>
      </c>
      <c r="BM559" s="78">
        <f>IFERROR(X559*I559/H559,"0")</f>
        <v>0</v>
      </c>
      <c r="BN559" s="78">
        <f>IFERROR(Y559*I559/H559,"0")</f>
        <v>0</v>
      </c>
      <c r="BO559" s="78">
        <f>IFERROR(1/J559*(X559/H559),"0")</f>
        <v>0</v>
      </c>
      <c r="BP559" s="78">
        <f>IFERROR(1/J559*(Y559/H559),"0")</f>
        <v>0</v>
      </c>
    </row>
    <row r="560" spans="1:68" hidden="1" x14ac:dyDescent="0.2">
      <c r="A560" s="656"/>
      <c r="B560" s="656"/>
      <c r="C560" s="656"/>
      <c r="D560" s="656"/>
      <c r="E560" s="656"/>
      <c r="F560" s="656"/>
      <c r="G560" s="656"/>
      <c r="H560" s="656"/>
      <c r="I560" s="656"/>
      <c r="J560" s="656"/>
      <c r="K560" s="656"/>
      <c r="L560" s="656"/>
      <c r="M560" s="656"/>
      <c r="N560" s="656"/>
      <c r="O560" s="657"/>
      <c r="P560" s="653" t="s">
        <v>40</v>
      </c>
      <c r="Q560" s="654"/>
      <c r="R560" s="654"/>
      <c r="S560" s="654"/>
      <c r="T560" s="654"/>
      <c r="U560" s="654"/>
      <c r="V560" s="655"/>
      <c r="W560" s="42" t="s">
        <v>39</v>
      </c>
      <c r="X560" s="43">
        <f>IFERROR(X559/H559,"0")</f>
        <v>0</v>
      </c>
      <c r="Y560" s="43">
        <f>IFERROR(Y559/H559,"0")</f>
        <v>0</v>
      </c>
      <c r="Z560" s="43">
        <f>IFERROR(IF(Z559="",0,Z559),"0")</f>
        <v>0</v>
      </c>
      <c r="AA560" s="67"/>
      <c r="AB560" s="67"/>
      <c r="AC560" s="67"/>
    </row>
    <row r="561" spans="1:32" hidden="1" x14ac:dyDescent="0.2">
      <c r="A561" s="656"/>
      <c r="B561" s="656"/>
      <c r="C561" s="656"/>
      <c r="D561" s="656"/>
      <c r="E561" s="656"/>
      <c r="F561" s="656"/>
      <c r="G561" s="656"/>
      <c r="H561" s="656"/>
      <c r="I561" s="656"/>
      <c r="J561" s="656"/>
      <c r="K561" s="656"/>
      <c r="L561" s="656"/>
      <c r="M561" s="656"/>
      <c r="N561" s="656"/>
      <c r="O561" s="657"/>
      <c r="P561" s="653" t="s">
        <v>40</v>
      </c>
      <c r="Q561" s="654"/>
      <c r="R561" s="654"/>
      <c r="S561" s="654"/>
      <c r="T561" s="654"/>
      <c r="U561" s="654"/>
      <c r="V561" s="655"/>
      <c r="W561" s="42" t="s">
        <v>0</v>
      </c>
      <c r="X561" s="43">
        <f>IFERROR(SUM(X559:X559),"0")</f>
        <v>0</v>
      </c>
      <c r="Y561" s="43">
        <f>IFERROR(SUM(Y559:Y559),"0")</f>
        <v>0</v>
      </c>
      <c r="Z561" s="42"/>
      <c r="AA561" s="67"/>
      <c r="AB561" s="67"/>
      <c r="AC561" s="67"/>
    </row>
    <row r="562" spans="1:32" ht="15" customHeight="1" x14ac:dyDescent="0.2">
      <c r="A562" s="656"/>
      <c r="B562" s="656"/>
      <c r="C562" s="656"/>
      <c r="D562" s="656"/>
      <c r="E562" s="656"/>
      <c r="F562" s="656"/>
      <c r="G562" s="656"/>
      <c r="H562" s="656"/>
      <c r="I562" s="656"/>
      <c r="J562" s="656"/>
      <c r="K562" s="656"/>
      <c r="L562" s="656"/>
      <c r="M562" s="656"/>
      <c r="N562" s="656"/>
      <c r="O562" s="661"/>
      <c r="P562" s="658" t="s">
        <v>33</v>
      </c>
      <c r="Q562" s="659"/>
      <c r="R562" s="659"/>
      <c r="S562" s="659"/>
      <c r="T562" s="659"/>
      <c r="U562" s="659"/>
      <c r="V562" s="660"/>
      <c r="W562" s="42" t="s">
        <v>0</v>
      </c>
      <c r="X562" s="43">
        <f>IFERROR(X28+X33+X43+X52+X64+X71+X76+X82+X92+X99+X110+X116+X123+X127+X133+X138+X143+X151+X155+X163+X168+X182+X187+X191+X195+X207+X212+X228+X236+X242+X246+X253+X258+X269+X284+X289+X300+X304+X308+X315+X327+X334+X342+X348+X353+X357+X364+X375+X385+X392+X398+X405+X411+X417+X425+X432+X445+X451+X457+X462+X468+X472+X478+X489+X493+X498+X504+X517+X523+X533+X539+X543+X547+X551+X556+X561,"0")</f>
        <v>10820.6</v>
      </c>
      <c r="Y562" s="43">
        <f>IFERROR(Y28+Y33+Y43+Y52+Y64+Y71+Y76+Y82+Y92+Y99+Y110+Y116+Y123+Y127+Y133+Y138+Y143+Y151+Y155+Y163+Y168+Y182+Y187+Y191+Y195+Y207+Y212+Y228+Y236+Y242+Y246+Y253+Y258+Y269+Y284+Y289+Y300+Y304+Y308+Y315+Y327+Y334+Y342+Y348+Y353+Y357+Y364+Y375+Y385+Y392+Y398+Y405+Y411+Y417+Y425+Y432+Y445+Y451+Y457+Y462+Y468+Y472+Y478+Y489+Y493+Y498+Y504+Y517+Y523+Y533+Y539+Y543+Y547+Y551+Y556+Y561,"0")</f>
        <v>10904.519999999999</v>
      </c>
      <c r="Z562" s="42"/>
      <c r="AA562" s="67"/>
      <c r="AB562" s="67"/>
      <c r="AC562" s="67"/>
    </row>
    <row r="563" spans="1:32" x14ac:dyDescent="0.2">
      <c r="A563" s="656"/>
      <c r="B563" s="656"/>
      <c r="C563" s="656"/>
      <c r="D563" s="656"/>
      <c r="E563" s="656"/>
      <c r="F563" s="656"/>
      <c r="G563" s="656"/>
      <c r="H563" s="656"/>
      <c r="I563" s="656"/>
      <c r="J563" s="656"/>
      <c r="K563" s="656"/>
      <c r="L563" s="656"/>
      <c r="M563" s="656"/>
      <c r="N563" s="656"/>
      <c r="O563" s="661"/>
      <c r="P563" s="658" t="s">
        <v>34</v>
      </c>
      <c r="Q563" s="659"/>
      <c r="R563" s="659"/>
      <c r="S563" s="659"/>
      <c r="T563" s="659"/>
      <c r="U563" s="659"/>
      <c r="V563" s="660"/>
      <c r="W563" s="42" t="s">
        <v>0</v>
      </c>
      <c r="X563" s="43">
        <f>IFERROR(SUM(BM22:BM559),"0")</f>
        <v>11227.754322270319</v>
      </c>
      <c r="Y563" s="43">
        <f>IFERROR(SUM(BN22:BN559),"0")</f>
        <v>11315.175999999996</v>
      </c>
      <c r="Z563" s="42"/>
      <c r="AA563" s="67"/>
      <c r="AB563" s="67"/>
      <c r="AC563" s="67"/>
    </row>
    <row r="564" spans="1:32" x14ac:dyDescent="0.2">
      <c r="A564" s="656"/>
      <c r="B564" s="656"/>
      <c r="C564" s="656"/>
      <c r="D564" s="656"/>
      <c r="E564" s="656"/>
      <c r="F564" s="656"/>
      <c r="G564" s="656"/>
      <c r="H564" s="656"/>
      <c r="I564" s="656"/>
      <c r="J564" s="656"/>
      <c r="K564" s="656"/>
      <c r="L564" s="656"/>
      <c r="M564" s="656"/>
      <c r="N564" s="656"/>
      <c r="O564" s="661"/>
      <c r="P564" s="658" t="s">
        <v>35</v>
      </c>
      <c r="Q564" s="659"/>
      <c r="R564" s="659"/>
      <c r="S564" s="659"/>
      <c r="T564" s="659"/>
      <c r="U564" s="659"/>
      <c r="V564" s="660"/>
      <c r="W564" s="42" t="s">
        <v>20</v>
      </c>
      <c r="X564" s="44">
        <f>ROUNDUP(SUM(BO22:BO559),0)</f>
        <v>16</v>
      </c>
      <c r="Y564" s="44">
        <f>ROUNDUP(SUM(BP22:BP559),0)</f>
        <v>17</v>
      </c>
      <c r="Z564" s="42"/>
      <c r="AA564" s="67"/>
      <c r="AB564" s="67"/>
      <c r="AC564" s="67"/>
    </row>
    <row r="565" spans="1:32" x14ac:dyDescent="0.2">
      <c r="A565" s="656"/>
      <c r="B565" s="656"/>
      <c r="C565" s="656"/>
      <c r="D565" s="656"/>
      <c r="E565" s="656"/>
      <c r="F565" s="656"/>
      <c r="G565" s="656"/>
      <c r="H565" s="656"/>
      <c r="I565" s="656"/>
      <c r="J565" s="656"/>
      <c r="K565" s="656"/>
      <c r="L565" s="656"/>
      <c r="M565" s="656"/>
      <c r="N565" s="656"/>
      <c r="O565" s="661"/>
      <c r="P565" s="658" t="s">
        <v>36</v>
      </c>
      <c r="Q565" s="659"/>
      <c r="R565" s="659"/>
      <c r="S565" s="659"/>
      <c r="T565" s="659"/>
      <c r="U565" s="659"/>
      <c r="V565" s="660"/>
      <c r="W565" s="42" t="s">
        <v>0</v>
      </c>
      <c r="X565" s="43">
        <f>GrossWeightTotal+PalletQtyTotal*25</f>
        <v>11627.754322270319</v>
      </c>
      <c r="Y565" s="43">
        <f>GrossWeightTotalR+PalletQtyTotalR*25</f>
        <v>11740.175999999996</v>
      </c>
      <c r="Z565" s="42"/>
      <c r="AA565" s="67"/>
      <c r="AB565" s="67"/>
      <c r="AC565" s="67"/>
    </row>
    <row r="566" spans="1:32" x14ac:dyDescent="0.2">
      <c r="A566" s="656"/>
      <c r="B566" s="656"/>
      <c r="C566" s="656"/>
      <c r="D566" s="656"/>
      <c r="E566" s="656"/>
      <c r="F566" s="656"/>
      <c r="G566" s="656"/>
      <c r="H566" s="656"/>
      <c r="I566" s="656"/>
      <c r="J566" s="656"/>
      <c r="K566" s="656"/>
      <c r="L566" s="656"/>
      <c r="M566" s="656"/>
      <c r="N566" s="656"/>
      <c r="O566" s="661"/>
      <c r="P566" s="658" t="s">
        <v>37</v>
      </c>
      <c r="Q566" s="659"/>
      <c r="R566" s="659"/>
      <c r="S566" s="659"/>
      <c r="T566" s="659"/>
      <c r="U566" s="659"/>
      <c r="V566" s="660"/>
      <c r="W566" s="42" t="s">
        <v>20</v>
      </c>
      <c r="X566" s="43">
        <f>IFERROR(X27+X32+X42+X51+X63+X70+X75+X81+X91+X98+X109+X115+X122+X126+X132+X137+X142+X150+X154+X162+X167+X181+X186+X190+X194+X206+X211+X227+X235+X241+X245+X252+X257+X268+X283+X288+X299+X303+X307+X314+X326+X333+X341+X347+X352+X356+X363+X374+X384+X391+X397+X404+X410+X416+X424+X431+X444+X450+X456+X461+X467+X471+X477+X488+X492+X497+X503+X516+X522+X532+X538+X542+X546+X550+X555+X560,"0")</f>
        <v>1102.5267769267771</v>
      </c>
      <c r="Y566" s="43">
        <f>IFERROR(Y27+Y32+Y42+Y51+Y63+Y70+Y75+Y81+Y91+Y98+Y109+Y115+Y122+Y126+Y132+Y137+Y142+Y150+Y154+Y162+Y167+Y181+Y186+Y190+Y194+Y206+Y211+Y227+Y235+Y241+Y245+Y252+Y257+Y268+Y283+Y288+Y299+Y303+Y307+Y314+Y326+Y333+Y341+Y347+Y352+Y356+Y363+Y374+Y384+Y391+Y397+Y404+Y410+Y416+Y424+Y431+Y444+Y450+Y456+Y461+Y467+Y471+Y477+Y488+Y492+Y497+Y503+Y516+Y522+Y532+Y538+Y542+Y546+Y550+Y555+Y560,"0")</f>
        <v>1112</v>
      </c>
      <c r="Z566" s="42"/>
      <c r="AA566" s="67"/>
      <c r="AB566" s="67"/>
      <c r="AC566" s="67"/>
    </row>
    <row r="567" spans="1:32" ht="14.25" hidden="1" x14ac:dyDescent="0.2">
      <c r="A567" s="656"/>
      <c r="B567" s="656"/>
      <c r="C567" s="656"/>
      <c r="D567" s="656"/>
      <c r="E567" s="656"/>
      <c r="F567" s="656"/>
      <c r="G567" s="656"/>
      <c r="H567" s="656"/>
      <c r="I567" s="656"/>
      <c r="J567" s="656"/>
      <c r="K567" s="656"/>
      <c r="L567" s="656"/>
      <c r="M567" s="656"/>
      <c r="N567" s="656"/>
      <c r="O567" s="661"/>
      <c r="P567" s="658" t="s">
        <v>38</v>
      </c>
      <c r="Q567" s="659"/>
      <c r="R567" s="659"/>
      <c r="S567" s="659"/>
      <c r="T567" s="659"/>
      <c r="U567" s="659"/>
      <c r="V567" s="660"/>
      <c r="W567" s="45" t="s">
        <v>52</v>
      </c>
      <c r="X567" s="42"/>
      <c r="Y567" s="42"/>
      <c r="Z567" s="42">
        <f>IFERROR(Z27+Z32+Z42+Z51+Z63+Z70+Z75+Z81+Z91+Z98+Z109+Z115+Z122+Z126+Z132+Z137+Z142+Z150+Z154+Z162+Z167+Z181+Z186+Z190+Z194+Z206+Z211+Z227+Z235+Z241+Z245+Z252+Z257+Z268+Z283+Z288+Z299+Z303+Z307+Z314+Z326+Z333+Z341+Z347+Z352+Z356+Z363+Z374+Z384+Z391+Z397+Z404+Z410+Z416+Z424+Z431+Z444+Z450+Z456+Z461+Z467+Z471+Z477+Z488+Z492+Z497+Z503+Z516+Z522+Z532+Z538+Z542+Z546+Z550+Z555+Z560,"0")</f>
        <v>17.554089999999995</v>
      </c>
      <c r="AA567" s="67"/>
      <c r="AB567" s="67"/>
      <c r="AC567" s="67"/>
    </row>
    <row r="568" spans="1:32" ht="13.5" thickBot="1" x14ac:dyDescent="0.25"/>
    <row r="569" spans="1:32" ht="27" thickTop="1" thickBot="1" x14ac:dyDescent="0.25">
      <c r="A569" s="46" t="s">
        <v>9</v>
      </c>
      <c r="B569" s="85" t="s">
        <v>76</v>
      </c>
      <c r="C569" s="85" t="s">
        <v>45</v>
      </c>
      <c r="D569" s="644" t="s">
        <v>122</v>
      </c>
      <c r="E569" s="644" t="s">
        <v>122</v>
      </c>
      <c r="F569" s="644" t="s">
        <v>122</v>
      </c>
      <c r="G569" s="644" t="s">
        <v>122</v>
      </c>
      <c r="H569" s="644" t="s">
        <v>122</v>
      </c>
      <c r="I569" s="644" t="s">
        <v>122</v>
      </c>
      <c r="J569" s="644" t="s">
        <v>122</v>
      </c>
      <c r="K569" s="644" t="s">
        <v>340</v>
      </c>
      <c r="L569" s="644" t="s">
        <v>340</v>
      </c>
      <c r="M569" s="644" t="s">
        <v>340</v>
      </c>
      <c r="N569" s="662"/>
      <c r="O569" s="644" t="s">
        <v>340</v>
      </c>
      <c r="P569" s="644" t="s">
        <v>340</v>
      </c>
      <c r="Q569" s="644" t="s">
        <v>340</v>
      </c>
      <c r="R569" s="644" t="s">
        <v>340</v>
      </c>
      <c r="S569" s="644" t="s">
        <v>340</v>
      </c>
      <c r="T569" s="644" t="s">
        <v>340</v>
      </c>
      <c r="U569" s="644" t="s">
        <v>340</v>
      </c>
      <c r="V569" s="644" t="s">
        <v>340</v>
      </c>
      <c r="W569" s="644" t="s">
        <v>340</v>
      </c>
      <c r="X569" s="644" t="s">
        <v>712</v>
      </c>
      <c r="Y569" s="644" t="s">
        <v>712</v>
      </c>
      <c r="Z569" s="644" t="s">
        <v>778</v>
      </c>
      <c r="AA569" s="644" t="s">
        <v>778</v>
      </c>
      <c r="AB569" s="85" t="s">
        <v>811</v>
      </c>
      <c r="AC569" s="644" t="s">
        <v>855</v>
      </c>
      <c r="AD569" s="644" t="s">
        <v>855</v>
      </c>
      <c r="AF569" s="1"/>
    </row>
    <row r="570" spans="1:32" ht="14.25" customHeight="1" thickTop="1" x14ac:dyDescent="0.2">
      <c r="A570" s="645" t="s">
        <v>10</v>
      </c>
      <c r="B570" s="644" t="s">
        <v>76</v>
      </c>
      <c r="C570" s="644" t="s">
        <v>106</v>
      </c>
      <c r="D570" s="644" t="s">
        <v>123</v>
      </c>
      <c r="E570" s="644" t="s">
        <v>140</v>
      </c>
      <c r="F570" s="644" t="s">
        <v>187</v>
      </c>
      <c r="G570" s="644" t="s">
        <v>211</v>
      </c>
      <c r="H570" s="644" t="s">
        <v>250</v>
      </c>
      <c r="I570" s="644" t="s">
        <v>264</v>
      </c>
      <c r="J570" s="644" t="s">
        <v>122</v>
      </c>
      <c r="K570" s="644" t="s">
        <v>341</v>
      </c>
      <c r="L570" s="644" t="s">
        <v>362</v>
      </c>
      <c r="M570" s="644" t="s">
        <v>425</v>
      </c>
      <c r="N570" s="1"/>
      <c r="O570" s="644" t="s">
        <v>496</v>
      </c>
      <c r="P570" s="644" t="s">
        <v>531</v>
      </c>
      <c r="Q570" s="644" t="s">
        <v>556</v>
      </c>
      <c r="R570" s="644" t="s">
        <v>565</v>
      </c>
      <c r="S570" s="644" t="s">
        <v>587</v>
      </c>
      <c r="T570" s="644" t="s">
        <v>594</v>
      </c>
      <c r="U570" s="644" t="s">
        <v>603</v>
      </c>
      <c r="V570" s="644" t="s">
        <v>689</v>
      </c>
      <c r="W570" s="644" t="s">
        <v>702</v>
      </c>
      <c r="X570" s="644" t="s">
        <v>713</v>
      </c>
      <c r="Y570" s="644" t="s">
        <v>762</v>
      </c>
      <c r="Z570" s="644" t="s">
        <v>779</v>
      </c>
      <c r="AA570" s="644" t="s">
        <v>799</v>
      </c>
      <c r="AB570" s="644" t="s">
        <v>811</v>
      </c>
      <c r="AC570" s="644" t="s">
        <v>855</v>
      </c>
      <c r="AD570" s="644" t="s">
        <v>873</v>
      </c>
      <c r="AF570" s="1"/>
    </row>
    <row r="571" spans="1:32" ht="13.5" thickBot="1" x14ac:dyDescent="0.25">
      <c r="A571" s="646"/>
      <c r="B571" s="644"/>
      <c r="C571" s="644"/>
      <c r="D571" s="644"/>
      <c r="E571" s="644"/>
      <c r="F571" s="644"/>
      <c r="G571" s="644"/>
      <c r="H571" s="644"/>
      <c r="I571" s="644"/>
      <c r="J571" s="644"/>
      <c r="K571" s="644"/>
      <c r="L571" s="644"/>
      <c r="M571" s="644"/>
      <c r="N571" s="1"/>
      <c r="O571" s="644"/>
      <c r="P571" s="644"/>
      <c r="Q571" s="644"/>
      <c r="R571" s="644"/>
      <c r="S571" s="644"/>
      <c r="T571" s="644"/>
      <c r="U571" s="644"/>
      <c r="V571" s="644"/>
      <c r="W571" s="644"/>
      <c r="X571" s="644"/>
      <c r="Y571" s="644"/>
      <c r="Z571" s="644"/>
      <c r="AA571" s="644"/>
      <c r="AB571" s="644"/>
      <c r="AC571" s="644"/>
      <c r="AD571" s="644"/>
      <c r="AF571" s="1"/>
    </row>
    <row r="572" spans="1:32" ht="18" thickTop="1" thickBot="1" x14ac:dyDescent="0.25">
      <c r="A572" s="46" t="s">
        <v>13</v>
      </c>
      <c r="B572" s="52">
        <f>IFERROR(Y22*1,"0")+IFERROR(Y23*1,"0")+IFERROR(Y24*1,"0")+IFERROR(Y25*1,"0")+IFERROR(Y26*1,"0")+IFERROR(Y30*1,"0")+IFERROR(Y31*1,"0")</f>
        <v>0</v>
      </c>
      <c r="C572" s="52">
        <f>IFERROR(Y37*1,"0")+IFERROR(Y38*1,"0")+IFERROR(Y39*1,"0")+IFERROR(Y40*1,"0")+IFERROR(Y41*1,"0")</f>
        <v>0</v>
      </c>
      <c r="D572" s="52">
        <f>IFERROR(Y47*1,"0")+IFERROR(Y48*1,"0")+IFERROR(Y49*1,"0")+IFERROR(Y50*1,"0")</f>
        <v>132</v>
      </c>
      <c r="E572" s="52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+IFERROR(Y80*1,"0")</f>
        <v>54</v>
      </c>
      <c r="F572" s="52">
        <f>IFERROR(Y85*1,"0")+IFERROR(Y86*1,"0")+IFERROR(Y87*1,"0")+IFERROR(Y88*1,"0")+IFERROR(Y89*1,"0")+IFERROR(Y90*1,"0")+IFERROR(Y94*1,"0")+IFERROR(Y95*1,"0")+IFERROR(Y96*1,"0")+IFERROR(Y97*1,"0")</f>
        <v>99</v>
      </c>
      <c r="G572" s="52">
        <f>IFERROR(Y102*1,"0")+IFERROR(Y103*1,"0")+IFERROR(Y104*1,"0")+IFERROR(Y105*1,"0")+IFERROR(Y106*1,"0")+IFERROR(Y107*1,"0")+IFERROR(Y108*1,"0")+IFERROR(Y112*1,"0")+IFERROR(Y113*1,"0")+IFERROR(Y114*1,"0")+IFERROR(Y118*1,"0")+IFERROR(Y119*1,"0")+IFERROR(Y120*1,"0")+IFERROR(Y121*1,"0")+IFERROR(Y125*1,"0")</f>
        <v>135</v>
      </c>
      <c r="H572" s="52">
        <f>IFERROR(Y130*1,"0")+IFERROR(Y131*1,"0")+IFERROR(Y135*1,"0")+IFERROR(Y136*1,"0")+IFERROR(Y140*1,"0")+IFERROR(Y141*1,"0")</f>
        <v>0</v>
      </c>
      <c r="I572" s="52">
        <f>IFERROR(Y146*1,"0")+IFERROR(Y147*1,"0")+IFERROR(Y148*1,"0")+IFERROR(Y149*1,"0")+IFERROR(Y153*1,"0")</f>
        <v>0</v>
      </c>
      <c r="J572" s="52">
        <f>IFERROR(Y158*1,"0")+IFERROR(Y159*1,"0")+IFERROR(Y160*1,"0")+IFERROR(Y161*1,"0")+IFERROR(Y165*1,"0")+IFERROR(Y166*1,"0")+IFERROR(Y170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0</v>
      </c>
      <c r="K572" s="52">
        <f>IFERROR(Y199*1,"0")+IFERROR(Y200*1,"0")+IFERROR(Y201*1,"0")+IFERROR(Y202*1,"0")+IFERROR(Y203*1,"0")+IFERROR(Y204*1,"0")+IFERROR(Y205*1,"0")</f>
        <v>0</v>
      </c>
      <c r="L572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21</v>
      </c>
      <c r="M572" s="52">
        <f>IFERROR(Y249*1,"0")+IFERROR(Y250*1,"0")+IFERROR(Y251*1,"0")+IFERROR(Y255*1,"0")+IFERROR(Y256*1,"0")+IFERROR(Y260*1,"0")+IFERROR(Y261*1,"0")+IFERROR(Y262*1,"0")+IFERROR(Y263*1,"0")+IFERROR(Y264*1,"0")+IFERROR(Y265*1,"0")+IFERROR(Y266*1,"0")+IFERROR(Y267*1,"0")+IFERROR(Y271*1,"0")+IFERROR(Y272*1,"0")+IFERROR(Y273*1,"0")+IFERROR(Y274*1,"0")+IFERROR(Y275*1,"0")+IFERROR(Y276*1,"0")+IFERROR(Y277*1,"0")+IFERROR(Y278*1,"0")+IFERROR(Y279*1,"0")+IFERROR(Y280*1,"0")+IFERROR(Y281*1,"0")+IFERROR(Y282*1,"0")+IFERROR(Y286*1,"0")+IFERROR(Y287*1,"0")</f>
        <v>535.20000000000005</v>
      </c>
      <c r="N572" s="1"/>
      <c r="O572" s="52">
        <f>IFERROR(Y292*1,"0")+IFERROR(Y293*1,"0")+IFERROR(Y294*1,"0")+IFERROR(Y295*1,"0")+IFERROR(Y296*1,"0")+IFERROR(Y297*1,"0")+IFERROR(Y298*1,"0")+IFERROR(Y302*1,"0")+IFERROR(Y306*1,"0")+IFERROR(Y310*1,"0")+IFERROR(Y311*1,"0")+IFERROR(Y312*1,"0")+IFERROR(Y313*1,"0")</f>
        <v>0</v>
      </c>
      <c r="P572" s="52">
        <f>IFERROR(Y318*1,"0")+IFERROR(Y319*1,"0")+IFERROR(Y320*1,"0")+IFERROR(Y321*1,"0")+IFERROR(Y322*1,"0")+IFERROR(Y323*1,"0")+IFERROR(Y324*1,"0")+IFERROR(Y325*1,"0")</f>
        <v>0</v>
      </c>
      <c r="Q572" s="52">
        <f>IFERROR(Y330*1,"0")+IFERROR(Y331*1,"0")+IFERROR(Y332*1,"0")</f>
        <v>0</v>
      </c>
      <c r="R572" s="52">
        <f>IFERROR(Y337*1,"0")+IFERROR(Y338*1,"0")+IFERROR(Y339*1,"0")+IFERROR(Y340*1,"0")+IFERROR(Y344*1,"0")+IFERROR(Y345*1,"0")+IFERROR(Y346*1,"0")</f>
        <v>0</v>
      </c>
      <c r="S572" s="52">
        <f>IFERROR(Y351*1,"0")+IFERROR(Y355*1,"0")</f>
        <v>0</v>
      </c>
      <c r="T572" s="52">
        <f>IFERROR(Y360*1,"0")+IFERROR(Y361*1,"0")+IFERROR(Y362*1,"0")</f>
        <v>0</v>
      </c>
      <c r="U572" s="52">
        <f>IFERROR(Y367*1,"0")+IFERROR(Y368*1,"0")+IFERROR(Y369*1,"0")+IFERROR(Y370*1,"0")+IFERROR(Y371*1,"0")+IFERROR(Y372*1,"0")+IFERROR(Y373*1,"0")+IFERROR(Y377*1,"0")+IFERROR(Y378*1,"0")+IFERROR(Y379*1,"0")+IFERROR(Y380*1,"0")+IFERROR(Y381*1,"0")+IFERROR(Y382*1,"0")+IFERROR(Y383*1,"0")+IFERROR(Y387*1,"0")+IFERROR(Y388*1,"0")+IFERROR(Y389*1,"0")+IFERROR(Y390*1,"0")+IFERROR(Y394*1,"0")+IFERROR(Y395*1,"0")+IFERROR(Y396*1,"0")+IFERROR(Y400*1,"0")+IFERROR(Y401*1,"0")+IFERROR(Y402*1,"0")+IFERROR(Y403*1,"0")+IFERROR(Y407*1,"0")+IFERROR(Y408*1,"0")+IFERROR(Y409*1,"0")+IFERROR(Y413*1,"0")+IFERROR(Y414*1,"0")+IFERROR(Y415*1,"0")</f>
        <v>290.39999999999998</v>
      </c>
      <c r="V572" s="52">
        <f>IFERROR(Y420*1,"0")+IFERROR(Y421*1,"0")+IFERROR(Y422*1,"0")+IFERROR(Y423*1,"0")</f>
        <v>0</v>
      </c>
      <c r="W572" s="52">
        <f>IFERROR(Y428*1,"0")+IFERROR(Y429*1,"0")+IFERROR(Y430*1,"0")</f>
        <v>0</v>
      </c>
      <c r="X572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8133</v>
      </c>
      <c r="Y572" s="52">
        <f>IFERROR(Y465*1,"0")+IFERROR(Y466*1,"0")+IFERROR(Y470*1,"0")+IFERROR(Y474*1,"0")+IFERROR(Y475*1,"0")+IFERROR(Y476*1,"0")</f>
        <v>0</v>
      </c>
      <c r="Z572" s="52">
        <f>IFERROR(Y482*1,"0")+IFERROR(Y483*1,"0")+IFERROR(Y484*1,"0")+IFERROR(Y485*1,"0")+IFERROR(Y486*1,"0")+IFERROR(Y487*1,"0")+IFERROR(Y491*1,"0")</f>
        <v>406.8</v>
      </c>
      <c r="AA572" s="52">
        <f>IFERROR(Y496*1,"0")+IFERROR(Y500*1,"0")+IFERROR(Y501*1,"0")+IFERROR(Y502*1,"0")</f>
        <v>372</v>
      </c>
      <c r="AB572" s="52">
        <f>IFERROR(Y508*1,"0")+IFERROR(Y509*1,"0")+IFERROR(Y510*1,"0")+IFERROR(Y511*1,"0")+IFERROR(Y512*1,"0")+IFERROR(Y513*1,"0")+IFERROR(Y514*1,"0")+IFERROR(Y515*1,"0")+IFERROR(Y519*1,"0")+IFERROR(Y520*1,"0")+IFERROR(Y521*1,"0")+IFERROR(Y525*1,"0")+IFERROR(Y526*1,"0")+IFERROR(Y527*1,"0")+IFERROR(Y528*1,"0")+IFERROR(Y529*1,"0")+IFERROR(Y530*1,"0")+IFERROR(Y531*1,"0")</f>
        <v>100.32000000000001</v>
      </c>
      <c r="AC572" s="52">
        <f>IFERROR(Y537*1,"0")+IFERROR(Y541*1,"0")+IFERROR(Y545*1,"0")+IFERROR(Y549*1,"0")+IFERROR(Y553*1,"0")+IFERROR(Y554*1,"0")</f>
        <v>625.79999999999995</v>
      </c>
      <c r="AD572" s="52">
        <f>IFERROR(Y559*1,"0")</f>
        <v>0</v>
      </c>
      <c r="AF572" s="1"/>
    </row>
  </sheetData>
  <sheetProtection algorithmName="SHA-512" hashValue="nmwCxweR/gPE+Pq1LujKI6ONPgp4xKfGauEsmWYfITdBN+3134cILnF8TBQwUy5Xks4oo7JB5LcOybQ5WsVMhQ==" saltValue="1lk/MWIslUcm6Oh8j2MTNA==" spinCount="100000" sheet="1" objects="1" scenarios="1" sort="0" autoFilter="0" pivotTables="0"/>
  <autoFilter ref="A18:AF56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2,53"/>
        <filter val="10 820,60"/>
        <filter val="10,00"/>
        <filter val="100,00"/>
        <filter val="11 227,75"/>
        <filter val="11 627,75"/>
        <filter val="11,11"/>
        <filter val="120,00"/>
        <filter val="124,00"/>
        <filter val="127,00"/>
        <filter val="14,23"/>
        <filter val="15,26"/>
        <filter val="150,00"/>
        <filter val="16"/>
        <filter val="160,00"/>
        <filter val="18,94"/>
        <filter val="19,05"/>
        <filter val="192,00"/>
        <filter val="2 000,00"/>
        <filter val="2 500,00"/>
        <filter val="200,00"/>
        <filter val="21,00"/>
        <filter val="24,00"/>
        <filter val="25,18"/>
        <filter val="250,00"/>
        <filter val="27,00"/>
        <filter val="27,78"/>
        <filter val="28,57"/>
        <filter val="29,40"/>
        <filter val="3 500,00"/>
        <filter val="350,00"/>
        <filter val="371,00"/>
        <filter val="384,00"/>
        <filter val="4,63"/>
        <filter val="400,40"/>
        <filter val="43,20"/>
        <filter val="50,00"/>
        <filter val="500,00"/>
        <filter val="533,33"/>
        <filter val="55,56"/>
        <filter val="74,81"/>
        <filter val="8 000,00"/>
        <filter val="80,00"/>
        <filter val="88,81"/>
        <filter val="93,20"/>
        <filter val="96,00"/>
      </filters>
    </filterColumn>
    <filterColumn colId="29" showButton="0"/>
    <filterColumn colId="30" showButton="0"/>
  </autoFilter>
  <dataConsolidate/>
  <mergeCells count="1005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P27:V27"/>
    <mergeCell ref="A27:O28"/>
    <mergeCell ref="P28:V28"/>
    <mergeCell ref="A29:Z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P75:V75"/>
    <mergeCell ref="A75:O76"/>
    <mergeCell ref="P76:V76"/>
    <mergeCell ref="A77:Z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D90:E90"/>
    <mergeCell ref="P90:T90"/>
    <mergeCell ref="P91:V91"/>
    <mergeCell ref="A91:O92"/>
    <mergeCell ref="P92:V92"/>
    <mergeCell ref="A93:Z93"/>
    <mergeCell ref="D94:E94"/>
    <mergeCell ref="P94:T94"/>
    <mergeCell ref="D95:E95"/>
    <mergeCell ref="P95:T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D113:E113"/>
    <mergeCell ref="P113:T113"/>
    <mergeCell ref="D114:E114"/>
    <mergeCell ref="P114:T114"/>
    <mergeCell ref="P115:V115"/>
    <mergeCell ref="A115:O116"/>
    <mergeCell ref="P116:V116"/>
    <mergeCell ref="A117:Z117"/>
    <mergeCell ref="D118:E118"/>
    <mergeCell ref="P118:T118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24:Z124"/>
    <mergeCell ref="D125:E125"/>
    <mergeCell ref="P125:T125"/>
    <mergeCell ref="P126:V126"/>
    <mergeCell ref="A126:O127"/>
    <mergeCell ref="P127:V127"/>
    <mergeCell ref="A128:Z128"/>
    <mergeCell ref="A129:Z129"/>
    <mergeCell ref="D130:E130"/>
    <mergeCell ref="P130:T130"/>
    <mergeCell ref="D131:E131"/>
    <mergeCell ref="P131:T131"/>
    <mergeCell ref="P132:V132"/>
    <mergeCell ref="A132:O133"/>
    <mergeCell ref="P133:V133"/>
    <mergeCell ref="A134:Z134"/>
    <mergeCell ref="D135:E135"/>
    <mergeCell ref="P135:T135"/>
    <mergeCell ref="D136:E136"/>
    <mergeCell ref="P136:T136"/>
    <mergeCell ref="P137:V137"/>
    <mergeCell ref="A137:O138"/>
    <mergeCell ref="P138:V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D153:E153"/>
    <mergeCell ref="P153:T153"/>
    <mergeCell ref="P154:V154"/>
    <mergeCell ref="A154:O155"/>
    <mergeCell ref="P155:V155"/>
    <mergeCell ref="A156:Z156"/>
    <mergeCell ref="A157:Z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P283:V283"/>
    <mergeCell ref="A283:O284"/>
    <mergeCell ref="P284:V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A291:Z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P303:V303"/>
    <mergeCell ref="A303:O304"/>
    <mergeCell ref="P304:V304"/>
    <mergeCell ref="A305:Z305"/>
    <mergeCell ref="D306:E306"/>
    <mergeCell ref="P306:T306"/>
    <mergeCell ref="P307:V307"/>
    <mergeCell ref="A307:O308"/>
    <mergeCell ref="P308:V308"/>
    <mergeCell ref="A309:Z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P314:V314"/>
    <mergeCell ref="A314:O315"/>
    <mergeCell ref="P315:V315"/>
    <mergeCell ref="A316:Z316"/>
    <mergeCell ref="A317:Z317"/>
    <mergeCell ref="D318:E318"/>
    <mergeCell ref="P318:T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D325:E325"/>
    <mergeCell ref="P325:T325"/>
    <mergeCell ref="P326:V326"/>
    <mergeCell ref="A326:O327"/>
    <mergeCell ref="P327:V327"/>
    <mergeCell ref="A328:Z328"/>
    <mergeCell ref="A329:Z329"/>
    <mergeCell ref="D330:E330"/>
    <mergeCell ref="P330:T330"/>
    <mergeCell ref="D331:E331"/>
    <mergeCell ref="P331:T331"/>
    <mergeCell ref="D332:E332"/>
    <mergeCell ref="P332:T332"/>
    <mergeCell ref="P333:V333"/>
    <mergeCell ref="A333:O334"/>
    <mergeCell ref="P334:V334"/>
    <mergeCell ref="A335:Z335"/>
    <mergeCell ref="A336:Z336"/>
    <mergeCell ref="D337:E337"/>
    <mergeCell ref="P337:T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D344:E344"/>
    <mergeCell ref="P344:T344"/>
    <mergeCell ref="D345:E345"/>
    <mergeCell ref="P345:T345"/>
    <mergeCell ref="D346:E346"/>
    <mergeCell ref="P346:T346"/>
    <mergeCell ref="P347:V347"/>
    <mergeCell ref="A347:O348"/>
    <mergeCell ref="P348:V348"/>
    <mergeCell ref="A349:Z349"/>
    <mergeCell ref="A350:Z350"/>
    <mergeCell ref="D351:E351"/>
    <mergeCell ref="P351:T351"/>
    <mergeCell ref="P352:V352"/>
    <mergeCell ref="A352:O353"/>
    <mergeCell ref="P353:V353"/>
    <mergeCell ref="A354:Z354"/>
    <mergeCell ref="D355:E355"/>
    <mergeCell ref="P355:T355"/>
    <mergeCell ref="P356:V356"/>
    <mergeCell ref="A356:O357"/>
    <mergeCell ref="P357:V357"/>
    <mergeCell ref="A358:Z358"/>
    <mergeCell ref="A359:Z359"/>
    <mergeCell ref="D360:E360"/>
    <mergeCell ref="P360:T360"/>
    <mergeCell ref="D361:E361"/>
    <mergeCell ref="P361:T361"/>
    <mergeCell ref="D362:E362"/>
    <mergeCell ref="P362:T362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P384:V384"/>
    <mergeCell ref="A384:O385"/>
    <mergeCell ref="P385:V385"/>
    <mergeCell ref="A386:Z386"/>
    <mergeCell ref="D387:E387"/>
    <mergeCell ref="P387:T387"/>
    <mergeCell ref="D388:E388"/>
    <mergeCell ref="P388:T388"/>
    <mergeCell ref="D389:E389"/>
    <mergeCell ref="P389:T389"/>
    <mergeCell ref="D390:E390"/>
    <mergeCell ref="P390:T390"/>
    <mergeCell ref="P391:V391"/>
    <mergeCell ref="A391:O392"/>
    <mergeCell ref="P392:V392"/>
    <mergeCell ref="A393:Z393"/>
    <mergeCell ref="D394:E394"/>
    <mergeCell ref="P394:T394"/>
    <mergeCell ref="D395:E395"/>
    <mergeCell ref="P395:T395"/>
    <mergeCell ref="D396:E396"/>
    <mergeCell ref="P396:T396"/>
    <mergeCell ref="P397:V397"/>
    <mergeCell ref="A397:O398"/>
    <mergeCell ref="P398:V398"/>
    <mergeCell ref="A399:Z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P404:V404"/>
    <mergeCell ref="A404:O405"/>
    <mergeCell ref="P405:V405"/>
    <mergeCell ref="A406:Z406"/>
    <mergeCell ref="D407:E407"/>
    <mergeCell ref="P407:T407"/>
    <mergeCell ref="D408:E408"/>
    <mergeCell ref="P408:T408"/>
    <mergeCell ref="D409:E409"/>
    <mergeCell ref="P409:T409"/>
    <mergeCell ref="P410:V410"/>
    <mergeCell ref="A410:O411"/>
    <mergeCell ref="P411:V411"/>
    <mergeCell ref="A412:Z412"/>
    <mergeCell ref="D413:E413"/>
    <mergeCell ref="P413:T413"/>
    <mergeCell ref="D414:E414"/>
    <mergeCell ref="P414:T414"/>
    <mergeCell ref="D415:E415"/>
    <mergeCell ref="P415:T415"/>
    <mergeCell ref="P416:V416"/>
    <mergeCell ref="A416:O417"/>
    <mergeCell ref="P417:V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P492:V492"/>
    <mergeCell ref="A492:O493"/>
    <mergeCell ref="P493:V493"/>
    <mergeCell ref="A494:Z494"/>
    <mergeCell ref="A495:Z495"/>
    <mergeCell ref="D496:E496"/>
    <mergeCell ref="P496:T496"/>
    <mergeCell ref="P497:V497"/>
    <mergeCell ref="A497:O498"/>
    <mergeCell ref="P498:V498"/>
    <mergeCell ref="A499:Z499"/>
    <mergeCell ref="D500:E500"/>
    <mergeCell ref="P500:T500"/>
    <mergeCell ref="D501:E501"/>
    <mergeCell ref="P501:T501"/>
    <mergeCell ref="D502:E502"/>
    <mergeCell ref="P502:T502"/>
    <mergeCell ref="P503:V503"/>
    <mergeCell ref="A503:O504"/>
    <mergeCell ref="P504:V504"/>
    <mergeCell ref="A505:Z505"/>
    <mergeCell ref="A506:Z506"/>
    <mergeCell ref="A507:Z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D519:E519"/>
    <mergeCell ref="P519:T519"/>
    <mergeCell ref="D520:E520"/>
    <mergeCell ref="P520:T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P532:V532"/>
    <mergeCell ref="A532:O533"/>
    <mergeCell ref="P533:V533"/>
    <mergeCell ref="A534:Z534"/>
    <mergeCell ref="A535:Z535"/>
    <mergeCell ref="A536:Z536"/>
    <mergeCell ref="D537:E537"/>
    <mergeCell ref="P537:T537"/>
    <mergeCell ref="P538:V538"/>
    <mergeCell ref="A538:O539"/>
    <mergeCell ref="P539:V539"/>
    <mergeCell ref="A540:Z540"/>
    <mergeCell ref="D541:E541"/>
    <mergeCell ref="P541:T541"/>
    <mergeCell ref="P542:V542"/>
    <mergeCell ref="A542:O543"/>
    <mergeCell ref="P543:V543"/>
    <mergeCell ref="A544:Z544"/>
    <mergeCell ref="D545:E545"/>
    <mergeCell ref="P545:T545"/>
    <mergeCell ref="P546:V546"/>
    <mergeCell ref="A546:O547"/>
    <mergeCell ref="P547:V547"/>
    <mergeCell ref="A548:Z548"/>
    <mergeCell ref="D549:E549"/>
    <mergeCell ref="P549:T549"/>
    <mergeCell ref="P550:V550"/>
    <mergeCell ref="A550:O551"/>
    <mergeCell ref="P551:V551"/>
    <mergeCell ref="A552:Z552"/>
    <mergeCell ref="D553:E553"/>
    <mergeCell ref="P553:T553"/>
    <mergeCell ref="D554:E554"/>
    <mergeCell ref="P554:T554"/>
    <mergeCell ref="P555:V555"/>
    <mergeCell ref="A555:O556"/>
    <mergeCell ref="P556:V556"/>
    <mergeCell ref="A557:Z557"/>
    <mergeCell ref="A558:Z558"/>
    <mergeCell ref="D559:E559"/>
    <mergeCell ref="P559:T559"/>
    <mergeCell ref="P560:V560"/>
    <mergeCell ref="A560:O561"/>
    <mergeCell ref="P561:V561"/>
    <mergeCell ref="P562:V562"/>
    <mergeCell ref="A562:O567"/>
    <mergeCell ref="P563:V563"/>
    <mergeCell ref="P564:V564"/>
    <mergeCell ref="P565:V565"/>
    <mergeCell ref="P566:V566"/>
    <mergeCell ref="P567:V567"/>
    <mergeCell ref="D569:J569"/>
    <mergeCell ref="K569:W569"/>
    <mergeCell ref="X569:Y569"/>
    <mergeCell ref="Z569:AA569"/>
    <mergeCell ref="AC569:AD569"/>
    <mergeCell ref="A570:A571"/>
    <mergeCell ref="B570:B571"/>
    <mergeCell ref="C570:C571"/>
    <mergeCell ref="D570:D571"/>
    <mergeCell ref="E570:E571"/>
    <mergeCell ref="F570:F571"/>
    <mergeCell ref="G570:G571"/>
    <mergeCell ref="H570:H571"/>
    <mergeCell ref="I570:I571"/>
    <mergeCell ref="J570:J571"/>
    <mergeCell ref="K570:K571"/>
    <mergeCell ref="L570:L571"/>
    <mergeCell ref="M570:M571"/>
    <mergeCell ref="O570:O571"/>
    <mergeCell ref="P570:P571"/>
    <mergeCell ref="Q570:Q571"/>
    <mergeCell ref="R570:R571"/>
    <mergeCell ref="S570:S571"/>
    <mergeCell ref="T570:T571"/>
    <mergeCell ref="U570:U571"/>
    <mergeCell ref="V570:V571"/>
    <mergeCell ref="W570:W571"/>
    <mergeCell ref="X570:X571"/>
    <mergeCell ref="Y570:Y571"/>
    <mergeCell ref="Z570:Z571"/>
    <mergeCell ref="AA570:AA571"/>
    <mergeCell ref="AB570:AB571"/>
    <mergeCell ref="AC570:AC571"/>
    <mergeCell ref="AD570:AD571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877</v>
      </c>
      <c r="H1" s="9"/>
    </row>
    <row r="3" spans="2:8" x14ac:dyDescent="0.2">
      <c r="B3" s="53" t="s">
        <v>878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880</v>
      </c>
      <c r="C6" s="53" t="s">
        <v>881</v>
      </c>
      <c r="D6" s="53" t="s">
        <v>882</v>
      </c>
      <c r="E6" s="53" t="s">
        <v>46</v>
      </c>
    </row>
    <row r="7" spans="2:8" x14ac:dyDescent="0.2">
      <c r="B7" s="53" t="s">
        <v>883</v>
      </c>
      <c r="C7" s="53" t="s">
        <v>884</v>
      </c>
      <c r="D7" s="53" t="s">
        <v>885</v>
      </c>
      <c r="E7" s="53" t="s">
        <v>46</v>
      </c>
    </row>
    <row r="9" spans="2:8" x14ac:dyDescent="0.2">
      <c r="B9" s="53" t="s">
        <v>886</v>
      </c>
      <c r="C9" s="53" t="s">
        <v>881</v>
      </c>
      <c r="D9" s="53" t="s">
        <v>46</v>
      </c>
      <c r="E9" s="53" t="s">
        <v>46</v>
      </c>
    </row>
    <row r="11" spans="2:8" x14ac:dyDescent="0.2">
      <c r="B11" s="53" t="s">
        <v>886</v>
      </c>
      <c r="C11" s="53" t="s">
        <v>884</v>
      </c>
      <c r="D11" s="53" t="s">
        <v>46</v>
      </c>
      <c r="E11" s="53" t="s">
        <v>46</v>
      </c>
    </row>
    <row r="13" spans="2:8" x14ac:dyDescent="0.2">
      <c r="B13" s="53" t="s">
        <v>887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888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</sheetData>
  <sheetProtection algorithmName="SHA-512" hashValue="OBFfEyo5WFO3AZddBO7KKSSCBRLISuiHKUwZncVV9M631AjLTsKYqy3pduJpH9zhHnoWv+J5oS30aFCciOm2og==" saltValue="Dm/DLpGdJDSMmobZDOPnv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1159</vt:i4>
      </vt:variant>
    </vt:vector>
  </HeadingPairs>
  <TitlesOfParts>
    <vt:vector size="116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2026-10-30T12:30:00Z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