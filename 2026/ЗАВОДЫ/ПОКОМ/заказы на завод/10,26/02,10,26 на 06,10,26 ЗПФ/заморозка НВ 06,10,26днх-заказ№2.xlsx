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A5801DB-DD89-4C50-9642-D4B8B702BDC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N277" i="1"/>
  <c r="BM277" i="1"/>
  <c r="Z277" i="1"/>
  <c r="Y277" i="1"/>
  <c r="BP277" i="1" s="1"/>
  <c r="BP276" i="1"/>
  <c r="BO276" i="1"/>
  <c r="BM276" i="1"/>
  <c r="Z276" i="1"/>
  <c r="Y276" i="1"/>
  <c r="BN276" i="1" s="1"/>
  <c r="BO275" i="1"/>
  <c r="BN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X267" i="1"/>
  <c r="BP266" i="1"/>
  <c r="BO266" i="1"/>
  <c r="BM266" i="1"/>
  <c r="Z266" i="1"/>
  <c r="Y266" i="1"/>
  <c r="BN266" i="1" s="1"/>
  <c r="BO265" i="1"/>
  <c r="BN265" i="1"/>
  <c r="BM265" i="1"/>
  <c r="Z265" i="1"/>
  <c r="Y265" i="1"/>
  <c r="BP265" i="1" s="1"/>
  <c r="BP264" i="1"/>
  <c r="BO264" i="1"/>
  <c r="BM264" i="1"/>
  <c r="Z264" i="1"/>
  <c r="Z267" i="1" s="1"/>
  <c r="Y264" i="1"/>
  <c r="Y267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O222" i="1"/>
  <c r="BN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N203" i="1"/>
  <c r="BM203" i="1"/>
  <c r="Z203" i="1"/>
  <c r="Y203" i="1"/>
  <c r="BP203" i="1" s="1"/>
  <c r="P203" i="1"/>
  <c r="BO202" i="1"/>
  <c r="BM202" i="1"/>
  <c r="Z202" i="1"/>
  <c r="Y202" i="1"/>
  <c r="P202" i="1"/>
  <c r="BO201" i="1"/>
  <c r="BM201" i="1"/>
  <c r="Z201" i="1"/>
  <c r="Y201" i="1"/>
  <c r="BP201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M158" i="1"/>
  <c r="Z158" i="1"/>
  <c r="Y158" i="1"/>
  <c r="BP158" i="1" s="1"/>
  <c r="P158" i="1"/>
  <c r="X155" i="1"/>
  <c r="X154" i="1"/>
  <c r="BO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N146" i="1" s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Z105" i="1" s="1"/>
  <c r="Y103" i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P93" i="1"/>
  <c r="X90" i="1"/>
  <c r="X89" i="1"/>
  <c r="BO88" i="1"/>
  <c r="BM88" i="1"/>
  <c r="Z88" i="1"/>
  <c r="Y88" i="1"/>
  <c r="BP88" i="1" s="1"/>
  <c r="P88" i="1"/>
  <c r="BP87" i="1"/>
  <c r="BO87" i="1"/>
  <c r="BN87" i="1"/>
  <c r="BM87" i="1"/>
  <c r="Z87" i="1"/>
  <c r="Z89" i="1" s="1"/>
  <c r="Y87" i="1"/>
  <c r="P87" i="1"/>
  <c r="X84" i="1"/>
  <c r="Y83" i="1"/>
  <c r="X83" i="1"/>
  <c r="BP82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Z78" i="1" s="1"/>
  <c r="Y76" i="1"/>
  <c r="P76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P70" i="1"/>
  <c r="BO69" i="1"/>
  <c r="BM69" i="1"/>
  <c r="Z69" i="1"/>
  <c r="Y69" i="1"/>
  <c r="Y72" i="1" s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F10" i="1"/>
  <c r="J9" i="1"/>
  <c r="Y137" i="1"/>
  <c r="BN133" i="1"/>
  <c r="BN135" i="1"/>
  <c r="Z148" i="1"/>
  <c r="BP146" i="1"/>
  <c r="BN158" i="1"/>
  <c r="Z191" i="1"/>
  <c r="BP195" i="1"/>
  <c r="BN201" i="1"/>
  <c r="BN264" i="1"/>
  <c r="Z30" i="1"/>
  <c r="Z99" i="1"/>
  <c r="Z154" i="1"/>
  <c r="Z160" i="1"/>
  <c r="BN195" i="1"/>
  <c r="Y196" i="1"/>
  <c r="Z205" i="1"/>
  <c r="Y268" i="1"/>
  <c r="BP26" i="1"/>
  <c r="BN26" i="1"/>
  <c r="BP28" i="1"/>
  <c r="BN28" i="1"/>
  <c r="Y43" i="1"/>
  <c r="BP41" i="1"/>
  <c r="BN41" i="1"/>
  <c r="Y57" i="1"/>
  <c r="BP53" i="1"/>
  <c r="BN53" i="1"/>
  <c r="BP55" i="1"/>
  <c r="BN55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7" i="1"/>
  <c r="Z36" i="1"/>
  <c r="Z43" i="1"/>
  <c r="Z49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Y31" i="1"/>
  <c r="Y36" i="1"/>
  <c r="Y44" i="1"/>
  <c r="Y49" i="1"/>
  <c r="Y58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54" i="1"/>
  <c r="BN56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5" i="1" l="1"/>
  <c r="Y286" i="1" s="1"/>
  <c r="C296" i="1" s="1"/>
  <c r="Y284" i="1"/>
  <c r="Y287" i="1"/>
  <c r="X286" i="1"/>
  <c r="Y283" i="1"/>
  <c r="B296" i="1" l="1"/>
  <c r="A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<sst xmlns="http://schemas.openxmlformats.org/spreadsheetml/2006/main" count="1315" uniqueCount="436">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</sst>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8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5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0" t="s">
        <v>0</v>
      </c>
      <c r="E1" s="303"/>
      <c r="F1" s="303"/>
      <c r="G1" s="12" t="s">
        <v>1</v>
      </c>
      <c r="H1" s="34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4" t="s">
        <v>8</v>
      </c>
      <c r="B5" s="336"/>
      <c r="C5" s="337"/>
      <c r="D5" s="342"/>
      <c r="E5" s="343"/>
      <c r="F5" s="449" t="s">
        <v>9</v>
      </c>
      <c r="G5" s="337"/>
      <c r="H5" s="342" t="s">
        <v>435</v>
      </c>
      <c r="I5" s="443"/>
      <c r="J5" s="443"/>
      <c r="K5" s="443"/>
      <c r="L5" s="443"/>
      <c r="M5" s="343"/>
      <c r="N5" s="61"/>
      <c r="P5" s="24" t="s">
        <v>10</v>
      </c>
      <c r="Q5" s="451">
        <v>46301</v>
      </c>
      <c r="R5" s="381"/>
      <c r="T5" s="377" t="s">
        <v>11</v>
      </c>
      <c r="U5" s="378"/>
      <c r="V5" s="380" t="s">
        <v>12</v>
      </c>
      <c r="W5" s="381"/>
      <c r="AB5" s="51"/>
      <c r="AC5" s="51"/>
      <c r="AD5" s="51"/>
      <c r="AE5" s="51"/>
    </row>
    <row r="6" spans="1:32" s="275" customFormat="1" ht="24" customHeight="1" x14ac:dyDescent="0.2">
      <c r="A6" s="354" t="s">
        <v>13</v>
      </c>
      <c r="B6" s="336"/>
      <c r="C6" s="337"/>
      <c r="D6" s="420" t="s">
        <v>406</v>
      </c>
      <c r="E6" s="421"/>
      <c r="F6" s="421"/>
      <c r="G6" s="421"/>
      <c r="H6" s="421"/>
      <c r="I6" s="421"/>
      <c r="J6" s="421"/>
      <c r="K6" s="421"/>
      <c r="L6" s="421"/>
      <c r="M6" s="381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Вторник</v>
      </c>
      <c r="R6" s="285"/>
      <c r="T6" s="385" t="s">
        <v>15</v>
      </c>
      <c r="U6" s="378"/>
      <c r="V6" s="426" t="s">
        <v>16</v>
      </c>
      <c r="W6" s="29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7" t="str">
        <f>IFERROR(VLOOKUP(DeliveryAddress,Table,3,0),1)</f>
        <v>3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6"/>
      <c r="U7" s="378"/>
      <c r="V7" s="427"/>
      <c r="W7" s="428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56">
        <v>0.41666666666666669</v>
      </c>
      <c r="R8" s="319"/>
      <c r="T8" s="296"/>
      <c r="U8" s="378"/>
      <c r="V8" s="427"/>
      <c r="W8" s="428"/>
      <c r="AB8" s="51"/>
      <c r="AC8" s="51"/>
      <c r="AD8" s="51"/>
      <c r="AE8" s="51"/>
    </row>
    <row r="9" spans="1:32" s="275" customFormat="1" ht="39.950000000000003" customHeight="1" x14ac:dyDescent="0.2">
      <c r="A9" s="3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63"/>
      <c r="E9" s="283"/>
      <c r="F9" s="3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76"/>
      <c r="P9" s="26" t="s">
        <v>19</v>
      </c>
      <c r="Q9" s="417"/>
      <c r="R9" s="415"/>
      <c r="T9" s="296"/>
      <c r="U9" s="378"/>
      <c r="V9" s="429"/>
      <c r="W9" s="430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63"/>
      <c r="E10" s="283"/>
      <c r="F10" s="3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13" t="str">
        <f>IFERROR(VLOOKUP($D$10,Proxy,2,FALSE),"")</f>
        <v/>
      </c>
      <c r="I10" s="296"/>
      <c r="J10" s="296"/>
      <c r="K10" s="296"/>
      <c r="L10" s="296"/>
      <c r="M10" s="296"/>
      <c r="N10" s="274"/>
      <c r="P10" s="26" t="s">
        <v>20</v>
      </c>
      <c r="Q10" s="386"/>
      <c r="R10" s="387"/>
      <c r="U10" s="24" t="s">
        <v>21</v>
      </c>
      <c r="V10" s="298" t="s">
        <v>22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381"/>
      <c r="U11" s="24" t="s">
        <v>25</v>
      </c>
      <c r="V11" s="414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35" t="s">
        <v>27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7"/>
      <c r="N12" s="65"/>
      <c r="P12" s="24" t="s">
        <v>28</v>
      </c>
      <c r="Q12" s="356"/>
      <c r="R12" s="319"/>
      <c r="S12" s="23"/>
      <c r="U12" s="24"/>
      <c r="V12" s="303"/>
      <c r="W12" s="296"/>
      <c r="AB12" s="51"/>
      <c r="AC12" s="51"/>
      <c r="AD12" s="51"/>
      <c r="AE12" s="51"/>
    </row>
    <row r="13" spans="1:32" s="275" customFormat="1" ht="23.25" customHeight="1" x14ac:dyDescent="0.2">
      <c r="A13" s="335" t="s">
        <v>29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65"/>
      <c r="O13" s="26"/>
      <c r="P13" s="26" t="s">
        <v>30</v>
      </c>
      <c r="Q13" s="414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35" t="s">
        <v>31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89" t="s">
        <v>32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66"/>
      <c r="P15" s="332" t="s">
        <v>33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34</v>
      </c>
      <c r="B17" s="293" t="s">
        <v>35</v>
      </c>
      <c r="C17" s="361" t="s">
        <v>36</v>
      </c>
      <c r="D17" s="293" t="s">
        <v>37</v>
      </c>
      <c r="E17" s="349"/>
      <c r="F17" s="293" t="s">
        <v>38</v>
      </c>
      <c r="G17" s="293" t="s">
        <v>39</v>
      </c>
      <c r="H17" s="293" t="s">
        <v>40</v>
      </c>
      <c r="I17" s="293" t="s">
        <v>41</v>
      </c>
      <c r="J17" s="293" t="s">
        <v>42</v>
      </c>
      <c r="K17" s="293" t="s">
        <v>43</v>
      </c>
      <c r="L17" s="293" t="s">
        <v>44</v>
      </c>
      <c r="M17" s="293" t="s">
        <v>45</v>
      </c>
      <c r="N17" s="293" t="s">
        <v>46</v>
      </c>
      <c r="O17" s="293" t="s">
        <v>47</v>
      </c>
      <c r="P17" s="293" t="s">
        <v>48</v>
      </c>
      <c r="Q17" s="348"/>
      <c r="R17" s="348"/>
      <c r="S17" s="348"/>
      <c r="T17" s="349"/>
      <c r="U17" s="461" t="s">
        <v>49</v>
      </c>
      <c r="V17" s="337"/>
      <c r="W17" s="293" t="s">
        <v>50</v>
      </c>
      <c r="X17" s="293" t="s">
        <v>51</v>
      </c>
      <c r="Y17" s="462" t="s">
        <v>52</v>
      </c>
      <c r="Z17" s="467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294"/>
      <c r="B18" s="294"/>
      <c r="C18" s="294"/>
      <c r="D18" s="350"/>
      <c r="E18" s="35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50"/>
      <c r="Q18" s="351"/>
      <c r="R18" s="351"/>
      <c r="S18" s="351"/>
      <c r="T18" s="352"/>
      <c r="U18" s="70" t="s">
        <v>59</v>
      </c>
      <c r="V18" s="70" t="s">
        <v>60</v>
      </c>
      <c r="W18" s="294"/>
      <c r="X18" s="294"/>
      <c r="Y18" s="463"/>
      <c r="Z18" s="468"/>
      <c r="AA18" s="402"/>
      <c r="AB18" s="402"/>
      <c r="AC18" s="402"/>
      <c r="AD18" s="446"/>
      <c r="AE18" s="447"/>
      <c r="AF18" s="448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295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hidden="1" customHeight="1" x14ac:dyDescent="0.25">
      <c r="A21" s="310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4">
        <v>4620207491508</v>
      </c>
      <c r="E22" s="285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4">
        <v>4620207491256</v>
      </c>
      <c r="E23" s="285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3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4">
        <v>4620207491713</v>
      </c>
      <c r="E24" s="285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4">
        <v>4620207491720</v>
      </c>
      <c r="E25" s="285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4">
        <v>4607111035912</v>
      </c>
      <c r="E26" s="285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4">
        <v>4607111035929</v>
      </c>
      <c r="E27" s="285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4">
        <v>4607111035882</v>
      </c>
      <c r="E28" s="285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4">
        <v>4607111035905</v>
      </c>
      <c r="E29" s="285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7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0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30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hidden="1" customHeight="1" x14ac:dyDescent="0.25">
      <c r="A32" s="295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hidden="1" customHeight="1" x14ac:dyDescent="0.25">
      <c r="A33" s="310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4">
        <v>4607111039019</v>
      </c>
      <c r="E34" s="285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4">
        <v>4607111038708</v>
      </c>
      <c r="E35" s="285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30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0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38" t="s">
        <v>95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48"/>
      <c r="AB38" s="48"/>
      <c r="AC38" s="48"/>
    </row>
    <row r="39" spans="1:68" ht="16.5" hidden="1" customHeight="1" x14ac:dyDescent="0.25">
      <c r="A39" s="295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hidden="1" customHeight="1" x14ac:dyDescent="0.25">
      <c r="A40" s="310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4">
        <v>4607111036537</v>
      </c>
      <c r="E41" s="285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140</v>
      </c>
      <c r="Y41" s="279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4">
        <v>4607111036605</v>
      </c>
      <c r="E42" s="285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307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0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140</v>
      </c>
      <c r="Y43" s="280">
        <f>IFERROR(SUM(Y41:Y42),"0")</f>
        <v>140</v>
      </c>
      <c r="Z43" s="280">
        <f>IFERROR(IF(Z41="",0,Z41),"0")+IFERROR(IF(Z42="",0,Z42),"0")</f>
        <v>1.3173999999999999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30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210</v>
      </c>
      <c r="Y44" s="280">
        <f>IFERROR(SUMPRODUCT(Y41:Y42*H41:H42),"0")</f>
        <v>210</v>
      </c>
      <c r="Z44" s="37"/>
      <c r="AA44" s="281"/>
      <c r="AB44" s="281"/>
      <c r="AC44" s="281"/>
    </row>
    <row r="45" spans="1:68" ht="16.5" hidden="1" customHeight="1" x14ac:dyDescent="0.25">
      <c r="A45" s="295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hidden="1" customHeight="1" x14ac:dyDescent="0.25">
      <c r="A46" s="310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4">
        <v>4620207490075</v>
      </c>
      <c r="E47" s="285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4">
        <v>4620207490174</v>
      </c>
      <c r="E48" s="285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48</v>
      </c>
      <c r="Y48" s="279">
        <f>IFERROR(IF(X48="","",X48),"")</f>
        <v>48</v>
      </c>
      <c r="Z48" s="36">
        <f>IFERROR(IF(X48="","",X48*0.0155),"")</f>
        <v>0.74399999999999999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281.76</v>
      </c>
      <c r="BN48" s="67">
        <f>IFERROR(Y48*I48,"0")</f>
        <v>281.76</v>
      </c>
      <c r="BO48" s="67">
        <f>IFERROR(X48/J48,"0")</f>
        <v>0.5714285714285714</v>
      </c>
      <c r="BP48" s="67">
        <f>IFERROR(Y48/J48,"0")</f>
        <v>0.5714285714285714</v>
      </c>
    </row>
    <row r="49" spans="1:68" x14ac:dyDescent="0.2">
      <c r="A49" s="307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308"/>
      <c r="P49" s="286" t="s">
        <v>87</v>
      </c>
      <c r="Q49" s="287"/>
      <c r="R49" s="287"/>
      <c r="S49" s="287"/>
      <c r="T49" s="287"/>
      <c r="U49" s="287"/>
      <c r="V49" s="288"/>
      <c r="W49" s="37" t="s">
        <v>68</v>
      </c>
      <c r="X49" s="280">
        <f>IFERROR(SUM(X47:X48),"0")</f>
        <v>48</v>
      </c>
      <c r="Y49" s="280">
        <f>IFERROR(SUM(Y47:Y48),"0")</f>
        <v>48</v>
      </c>
      <c r="Z49" s="280">
        <f>IFERROR(IF(Z47="",0,Z47),"0")+IFERROR(IF(Z48="",0,Z48),"0")</f>
        <v>0.74399999999999999</v>
      </c>
      <c r="AA49" s="281"/>
      <c r="AB49" s="281"/>
      <c r="AC49" s="281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308"/>
      <c r="P50" s="286" t="s">
        <v>87</v>
      </c>
      <c r="Q50" s="287"/>
      <c r="R50" s="287"/>
      <c r="S50" s="287"/>
      <c r="T50" s="287"/>
      <c r="U50" s="287"/>
      <c r="V50" s="288"/>
      <c r="W50" s="37" t="s">
        <v>88</v>
      </c>
      <c r="X50" s="280">
        <f>IFERROR(SUMPRODUCT(X47:X48*H47:H48),"0")</f>
        <v>268.79999999999995</v>
      </c>
      <c r="Y50" s="280">
        <f>IFERROR(SUMPRODUCT(Y47:Y48*H47:H48),"0")</f>
        <v>268.79999999999995</v>
      </c>
      <c r="Z50" s="37"/>
      <c r="AA50" s="281"/>
      <c r="AB50" s="281"/>
      <c r="AC50" s="281"/>
    </row>
    <row r="51" spans="1:68" ht="16.5" hidden="1" customHeight="1" x14ac:dyDescent="0.25">
      <c r="A51" s="295" t="s">
        <v>114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73"/>
      <c r="AB51" s="273"/>
      <c r="AC51" s="273"/>
    </row>
    <row r="52" spans="1:68" ht="14.25" hidden="1" customHeight="1" x14ac:dyDescent="0.25">
      <c r="A52" s="310" t="s">
        <v>62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4">
        <v>4607111039385</v>
      </c>
      <c r="E53" s="285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0"/>
      <c r="R53" s="290"/>
      <c r="S53" s="290"/>
      <c r="T53" s="291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4">
        <v>4607111038982</v>
      </c>
      <c r="E54" s="285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4">
        <v>4607111039354</v>
      </c>
      <c r="E55" s="285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4">
        <v>4607111039330</v>
      </c>
      <c r="E56" s="285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307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308"/>
      <c r="P57" s="286" t="s">
        <v>87</v>
      </c>
      <c r="Q57" s="287"/>
      <c r="R57" s="287"/>
      <c r="S57" s="287"/>
      <c r="T57" s="287"/>
      <c r="U57" s="287"/>
      <c r="V57" s="288"/>
      <c r="W57" s="37" t="s">
        <v>68</v>
      </c>
      <c r="X57" s="280">
        <f>IFERROR(SUM(X53:X56),"0")</f>
        <v>36</v>
      </c>
      <c r="Y57" s="280">
        <f>IFERROR(SUM(Y53:Y56),"0")</f>
        <v>36</v>
      </c>
      <c r="Z57" s="280">
        <f>IFERROR(IF(Z53="",0,Z53),"0")+IFERROR(IF(Z54="",0,Z54),"0")+IFERROR(IF(Z55="",0,Z55),"0")+IFERROR(IF(Z56="",0,Z56),"0")</f>
        <v>0.55800000000000005</v>
      </c>
      <c r="AA57" s="281"/>
      <c r="AB57" s="281"/>
      <c r="AC57" s="281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308"/>
      <c r="P58" s="286" t="s">
        <v>87</v>
      </c>
      <c r="Q58" s="287"/>
      <c r="R58" s="287"/>
      <c r="S58" s="287"/>
      <c r="T58" s="287"/>
      <c r="U58" s="287"/>
      <c r="V58" s="288"/>
      <c r="W58" s="37" t="s">
        <v>88</v>
      </c>
      <c r="X58" s="280">
        <f>IFERROR(SUMPRODUCT(X53:X56*H53:H56),"0")</f>
        <v>252</v>
      </c>
      <c r="Y58" s="280">
        <f>IFERROR(SUMPRODUCT(Y53:Y56*H53:H56),"0")</f>
        <v>252</v>
      </c>
      <c r="Z58" s="37"/>
      <c r="AA58" s="281"/>
      <c r="AB58" s="281"/>
      <c r="AC58" s="281"/>
    </row>
    <row r="59" spans="1:68" ht="16.5" hidden="1" customHeight="1" x14ac:dyDescent="0.25">
      <c r="A59" s="295" t="s">
        <v>125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73"/>
      <c r="AB59" s="273"/>
      <c r="AC59" s="273"/>
    </row>
    <row r="60" spans="1:68" ht="14.25" hidden="1" customHeight="1" x14ac:dyDescent="0.25">
      <c r="A60" s="310" t="s">
        <v>97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4">
        <v>4607111039712</v>
      </c>
      <c r="E61" s="285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0"/>
      <c r="R61" s="290"/>
      <c r="S61" s="290"/>
      <c r="T61" s="291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7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308"/>
      <c r="P62" s="286" t="s">
        <v>87</v>
      </c>
      <c r="Q62" s="287"/>
      <c r="R62" s="287"/>
      <c r="S62" s="287"/>
      <c r="T62" s="287"/>
      <c r="U62" s="287"/>
      <c r="V62" s="288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308"/>
      <c r="P63" s="286" t="s">
        <v>87</v>
      </c>
      <c r="Q63" s="287"/>
      <c r="R63" s="287"/>
      <c r="S63" s="287"/>
      <c r="T63" s="287"/>
      <c r="U63" s="287"/>
      <c r="V63" s="288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10" t="s">
        <v>129</v>
      </c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4">
        <v>4607111037398</v>
      </c>
      <c r="E65" s="285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0"/>
      <c r="R65" s="290"/>
      <c r="S65" s="290"/>
      <c r="T65" s="291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7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308"/>
      <c r="P66" s="286" t="s">
        <v>87</v>
      </c>
      <c r="Q66" s="287"/>
      <c r="R66" s="287"/>
      <c r="S66" s="287"/>
      <c r="T66" s="287"/>
      <c r="U66" s="287"/>
      <c r="V66" s="288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308"/>
      <c r="P67" s="286" t="s">
        <v>87</v>
      </c>
      <c r="Q67" s="287"/>
      <c r="R67" s="287"/>
      <c r="S67" s="287"/>
      <c r="T67" s="287"/>
      <c r="U67" s="287"/>
      <c r="V67" s="288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10" t="s">
        <v>133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4">
        <v>4607111039705</v>
      </c>
      <c r="E69" s="285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0"/>
      <c r="R69" s="290"/>
      <c r="S69" s="290"/>
      <c r="T69" s="291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4">
        <v>4607111039729</v>
      </c>
      <c r="E70" s="285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4">
        <v>4620207490228</v>
      </c>
      <c r="E71" s="285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7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30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30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3"/>
      <c r="AB74" s="273"/>
      <c r="AC74" s="273"/>
    </row>
    <row r="75" spans="1:68" ht="14.25" hidden="1" customHeight="1" x14ac:dyDescent="0.25">
      <c r="A75" s="310" t="s">
        <v>62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4">
        <v>4607111037411</v>
      </c>
      <c r="E76" s="285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4">
        <v>4607111036728</v>
      </c>
      <c r="E77" s="285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0"/>
      <c r="R77" s="290"/>
      <c r="S77" s="290"/>
      <c r="T77" s="291"/>
      <c r="U77" s="34"/>
      <c r="V77" s="34"/>
      <c r="W77" s="35" t="s">
        <v>68</v>
      </c>
      <c r="X77" s="278">
        <v>144</v>
      </c>
      <c r="Y77" s="279">
        <f>IFERROR(IF(X77="","",X77),"")</f>
        <v>144</v>
      </c>
      <c r="Z77" s="36">
        <f>IFERROR(IF(X77="","",X77*0.00866),"")</f>
        <v>1.2470399999999999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750.70079999999996</v>
      </c>
      <c r="BN77" s="67">
        <f>IFERROR(Y77*I77,"0")</f>
        <v>750.70079999999996</v>
      </c>
      <c r="BO77" s="67">
        <f>IFERROR(X77/J77,"0")</f>
        <v>1</v>
      </c>
      <c r="BP77" s="67">
        <f>IFERROR(Y77/J77,"0")</f>
        <v>1</v>
      </c>
    </row>
    <row r="78" spans="1:68" x14ac:dyDescent="0.2">
      <c r="A78" s="30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30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IFERROR(SUM(X76:X77),"0")</f>
        <v>144</v>
      </c>
      <c r="Y78" s="280">
        <f>IFERROR(SUM(Y76:Y77),"0")</f>
        <v>144</v>
      </c>
      <c r="Z78" s="280">
        <f>IFERROR(IF(Z76="",0,Z76),"0")+IFERROR(IF(Z77="",0,Z77),"0")</f>
        <v>1.2470399999999999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30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IFERROR(SUMPRODUCT(X76:X77*H76:H77),"0")</f>
        <v>720</v>
      </c>
      <c r="Y79" s="280">
        <f>IFERROR(SUMPRODUCT(Y76:Y77*H76:H77),"0")</f>
        <v>720</v>
      </c>
      <c r="Z79" s="37"/>
      <c r="AA79" s="281"/>
      <c r="AB79" s="281"/>
      <c r="AC79" s="281"/>
    </row>
    <row r="80" spans="1:68" ht="16.5" hidden="1" customHeight="1" x14ac:dyDescent="0.25">
      <c r="A80" s="295" t="s">
        <v>148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hidden="1" customHeight="1" x14ac:dyDescent="0.25">
      <c r="A81" s="310" t="s">
        <v>133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4">
        <v>4620207491638</v>
      </c>
      <c r="E82" s="285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30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308"/>
      <c r="P83" s="286" t="s">
        <v>87</v>
      </c>
      <c r="Q83" s="287"/>
      <c r="R83" s="287"/>
      <c r="S83" s="287"/>
      <c r="T83" s="287"/>
      <c r="U83" s="287"/>
      <c r="V83" s="288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308"/>
      <c r="P84" s="286" t="s">
        <v>87</v>
      </c>
      <c r="Q84" s="287"/>
      <c r="R84" s="287"/>
      <c r="S84" s="287"/>
      <c r="T84" s="287"/>
      <c r="U84" s="287"/>
      <c r="V84" s="288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5" t="s">
        <v>152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73"/>
      <c r="AB85" s="273"/>
      <c r="AC85" s="273"/>
    </row>
    <row r="86" spans="1:68" ht="14.25" hidden="1" customHeight="1" x14ac:dyDescent="0.25">
      <c r="A86" s="310" t="s">
        <v>153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4">
        <v>4607111034120</v>
      </c>
      <c r="E87" s="285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0"/>
      <c r="R87" s="290"/>
      <c r="S87" s="290"/>
      <c r="T87" s="291"/>
      <c r="U87" s="34"/>
      <c r="V87" s="34"/>
      <c r="W87" s="35" t="s">
        <v>68</v>
      </c>
      <c r="X87" s="278">
        <v>70</v>
      </c>
      <c r="Y87" s="279">
        <f>IFERROR(IF(X87="","",X87),"")</f>
        <v>70</v>
      </c>
      <c r="Z87" s="36">
        <f>IFERROR(IF(X87="","",X87*0.01788),"")</f>
        <v>1.2516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301.25200000000001</v>
      </c>
      <c r="BN87" s="67">
        <f>IFERROR(Y87*I87,"0")</f>
        <v>301.25200000000001</v>
      </c>
      <c r="BO87" s="67">
        <f>IFERROR(X87/J87,"0")</f>
        <v>1</v>
      </c>
      <c r="BP87" s="67">
        <f>IFERROR(Y87/J87,"0")</f>
        <v>1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4">
        <v>4607111034137</v>
      </c>
      <c r="E88" s="285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30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30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IFERROR(SUM(X87:X88),"0")</f>
        <v>70</v>
      </c>
      <c r="Y89" s="280">
        <f>IFERROR(SUM(Y87:Y88),"0")</f>
        <v>70</v>
      </c>
      <c r="Z89" s="280">
        <f>IFERROR(IF(Z87="",0,Z87),"0")+IFERROR(IF(Z88="",0,Z88),"0")</f>
        <v>1.2516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30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IFERROR(SUMPRODUCT(X87:X88*H87:H88),"0")</f>
        <v>252</v>
      </c>
      <c r="Y90" s="280">
        <f>IFERROR(SUMPRODUCT(Y87:Y88*H87:H88),"0")</f>
        <v>252</v>
      </c>
      <c r="Z90" s="37"/>
      <c r="AA90" s="281"/>
      <c r="AB90" s="281"/>
      <c r="AC90" s="281"/>
    </row>
    <row r="91" spans="1:68" ht="16.5" hidden="1" customHeight="1" x14ac:dyDescent="0.25">
      <c r="A91" s="295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hidden="1" customHeight="1" x14ac:dyDescent="0.25">
      <c r="A92" s="310" t="s">
        <v>133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4">
        <v>4620207491027</v>
      </c>
      <c r="E93" s="285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28</v>
      </c>
      <c r="Y93" s="279">
        <f t="shared" ref="Y93:Y98" si="6">IFERROR(IF(X93="","",X93),"")</f>
        <v>28</v>
      </c>
      <c r="Z93" s="36">
        <f t="shared" ref="Z93:Z98" si="7">IFERROR(IF(X93="","",X93*0.01788),"")</f>
        <v>0.50063999999999997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100.3408</v>
      </c>
      <c r="BN93" s="67">
        <f t="shared" ref="BN93:BN98" si="9">IFERROR(Y93*I93,"0")</f>
        <v>100.3408</v>
      </c>
      <c r="BO93" s="67">
        <f t="shared" ref="BO93:BO98" si="10">IFERROR(X93/J93,"0")</f>
        <v>0.4</v>
      </c>
      <c r="BP93" s="67">
        <f t="shared" ref="BP93:BP98" si="11">IFERROR(Y93/J93,"0")</f>
        <v>0.4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4">
        <v>4620207491621</v>
      </c>
      <c r="E94" s="285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70</v>
      </c>
      <c r="Y94" s="279">
        <f t="shared" si="6"/>
        <v>70</v>
      </c>
      <c r="Z94" s="36">
        <f t="shared" si="7"/>
        <v>1.2516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250.852</v>
      </c>
      <c r="BN94" s="67">
        <f t="shared" si="9"/>
        <v>250.852</v>
      </c>
      <c r="BO94" s="67">
        <f t="shared" si="10"/>
        <v>1</v>
      </c>
      <c r="BP94" s="67">
        <f t="shared" si="11"/>
        <v>1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4">
        <v>4620207491881</v>
      </c>
      <c r="E95" s="285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0"/>
      <c r="R95" s="290"/>
      <c r="S95" s="290"/>
      <c r="T95" s="291"/>
      <c r="U95" s="34"/>
      <c r="V95" s="34"/>
      <c r="W95" s="35" t="s">
        <v>68</v>
      </c>
      <c r="X95" s="278">
        <v>28</v>
      </c>
      <c r="Y95" s="279">
        <f t="shared" si="6"/>
        <v>28</v>
      </c>
      <c r="Z95" s="36">
        <f t="shared" si="7"/>
        <v>0.50063999999999997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4">
        <v>4620207491577</v>
      </c>
      <c r="E96" s="285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2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0"/>
      <c r="R96" s="290"/>
      <c r="S96" s="290"/>
      <c r="T96" s="291"/>
      <c r="U96" s="34"/>
      <c r="V96" s="34"/>
      <c r="W96" s="35" t="s">
        <v>68</v>
      </c>
      <c r="X96" s="278">
        <v>28</v>
      </c>
      <c r="Y96" s="279">
        <f t="shared" si="6"/>
        <v>28</v>
      </c>
      <c r="Z96" s="36">
        <f t="shared" si="7"/>
        <v>0.50063999999999997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4">
        <v>4620207491874</v>
      </c>
      <c r="E97" s="285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0"/>
      <c r="R97" s="290"/>
      <c r="S97" s="290"/>
      <c r="T97" s="291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4">
        <v>4620207491782</v>
      </c>
      <c r="E98" s="285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3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0"/>
      <c r="R98" s="290"/>
      <c r="S98" s="290"/>
      <c r="T98" s="291"/>
      <c r="U98" s="34"/>
      <c r="V98" s="34"/>
      <c r="W98" s="35" t="s">
        <v>68</v>
      </c>
      <c r="X98" s="278">
        <v>70</v>
      </c>
      <c r="Y98" s="279">
        <f t="shared" si="6"/>
        <v>70</v>
      </c>
      <c r="Z98" s="36">
        <f t="shared" si="7"/>
        <v>1.2516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317.04400000000004</v>
      </c>
      <c r="BN98" s="67">
        <f t="shared" si="9"/>
        <v>317.04400000000004</v>
      </c>
      <c r="BO98" s="67">
        <f t="shared" si="10"/>
        <v>1</v>
      </c>
      <c r="BP98" s="67">
        <f t="shared" si="11"/>
        <v>1</v>
      </c>
    </row>
    <row r="99" spans="1:68" x14ac:dyDescent="0.2">
      <c r="A99" s="30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308"/>
      <c r="P99" s="286" t="s">
        <v>87</v>
      </c>
      <c r="Q99" s="287"/>
      <c r="R99" s="287"/>
      <c r="S99" s="287"/>
      <c r="T99" s="287"/>
      <c r="U99" s="287"/>
      <c r="V99" s="288"/>
      <c r="W99" s="37" t="s">
        <v>68</v>
      </c>
      <c r="X99" s="280">
        <f>IFERROR(SUM(X93:X98),"0")</f>
        <v>224</v>
      </c>
      <c r="Y99" s="280">
        <f>IFERROR(SUM(Y93:Y98),"0")</f>
        <v>224</v>
      </c>
      <c r="Z99" s="280">
        <f>IFERROR(IF(Z93="",0,Z93),"0")+IFERROR(IF(Z94="",0,Z94),"0")+IFERROR(IF(Z95="",0,Z95),"0")+IFERROR(IF(Z96="",0,Z96),"0")+IFERROR(IF(Z97="",0,Z97),"0")+IFERROR(IF(Z98="",0,Z98),"0")</f>
        <v>4.0051199999999998</v>
      </c>
      <c r="AA99" s="281"/>
      <c r="AB99" s="281"/>
      <c r="AC99" s="281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308"/>
      <c r="P100" s="286" t="s">
        <v>87</v>
      </c>
      <c r="Q100" s="287"/>
      <c r="R100" s="287"/>
      <c r="S100" s="287"/>
      <c r="T100" s="287"/>
      <c r="U100" s="287"/>
      <c r="V100" s="288"/>
      <c r="W100" s="37" t="s">
        <v>88</v>
      </c>
      <c r="X100" s="280">
        <f>IFERROR(SUMPRODUCT(X93:X98*H93:H98),"0")</f>
        <v>737.52</v>
      </c>
      <c r="Y100" s="280">
        <f>IFERROR(SUMPRODUCT(Y93:Y98*H93:H98),"0")</f>
        <v>737.52</v>
      </c>
      <c r="Z100" s="37"/>
      <c r="AA100" s="281"/>
      <c r="AB100" s="281"/>
      <c r="AC100" s="281"/>
    </row>
    <row r="101" spans="1:68" ht="16.5" hidden="1" customHeight="1" x14ac:dyDescent="0.25">
      <c r="A101" s="295" t="s">
        <v>175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73"/>
      <c r="AB101" s="273"/>
      <c r="AC101" s="273"/>
    </row>
    <row r="102" spans="1:68" ht="14.25" hidden="1" customHeight="1" x14ac:dyDescent="0.25">
      <c r="A102" s="310" t="s">
        <v>129</v>
      </c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4">
        <v>4620207491652</v>
      </c>
      <c r="E103" s="285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4">
        <v>4620207491645</v>
      </c>
      <c r="E104" s="285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307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30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30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5" t="s">
        <v>181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hidden="1" customHeight="1" x14ac:dyDescent="0.25">
      <c r="A108" s="310" t="s">
        <v>62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4">
        <v>4620207491157</v>
      </c>
      <c r="E109" s="285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36</v>
      </c>
      <c r="Y109" s="279">
        <f t="shared" ref="Y109:Y115" si="12">IFERROR(IF(X109="","",X109),"")</f>
        <v>36</v>
      </c>
      <c r="Z109" s="36">
        <f t="shared" ref="Z109:Z115" si="13">IFERROR(IF(X109="","",X109*0.0155),"")</f>
        <v>0.55800000000000005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262.08</v>
      </c>
      <c r="BN109" s="67">
        <f t="shared" ref="BN109:BN115" si="15">IFERROR(Y109*I109,"0")</f>
        <v>262.08</v>
      </c>
      <c r="BO109" s="67">
        <f t="shared" ref="BO109:BO115" si="16">IFERROR(X109/J109,"0")</f>
        <v>0.42857142857142855</v>
      </c>
      <c r="BP109" s="67">
        <f t="shared" ref="BP109:BP115" si="17">IFERROR(Y109/J109,"0")</f>
        <v>0.42857142857142855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4">
        <v>4620207491393</v>
      </c>
      <c r="E110" s="285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4">
        <v>4607111039262</v>
      </c>
      <c r="E111" s="285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0"/>
      <c r="R111" s="290"/>
      <c r="S111" s="290"/>
      <c r="T111" s="291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4">
        <v>4607111039248</v>
      </c>
      <c r="E112" s="285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0"/>
      <c r="R112" s="290"/>
      <c r="S112" s="290"/>
      <c r="T112" s="291"/>
      <c r="U112" s="34"/>
      <c r="V112" s="34"/>
      <c r="W112" s="35" t="s">
        <v>68</v>
      </c>
      <c r="X112" s="278">
        <v>84</v>
      </c>
      <c r="Y112" s="279">
        <f t="shared" si="12"/>
        <v>84</v>
      </c>
      <c r="Z112" s="36">
        <f t="shared" si="13"/>
        <v>1.302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613.19999999999993</v>
      </c>
      <c r="BN112" s="67">
        <f t="shared" si="15"/>
        <v>613.19999999999993</v>
      </c>
      <c r="BO112" s="67">
        <f t="shared" si="16"/>
        <v>1</v>
      </c>
      <c r="BP112" s="67">
        <f t="shared" si="17"/>
        <v>1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4">
        <v>4607111037145</v>
      </c>
      <c r="E113" s="285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0"/>
      <c r="R113" s="290"/>
      <c r="S113" s="290"/>
      <c r="T113" s="291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4">
        <v>4607111039293</v>
      </c>
      <c r="E114" s="285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9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0"/>
      <c r="R114" s="290"/>
      <c r="S114" s="290"/>
      <c r="T114" s="291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4">
        <v>4607111039279</v>
      </c>
      <c r="E115" s="285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84</v>
      </c>
      <c r="Y115" s="279">
        <f t="shared" si="12"/>
        <v>84</v>
      </c>
      <c r="Z115" s="36">
        <f t="shared" si="13"/>
        <v>1.302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613.19999999999993</v>
      </c>
      <c r="BN115" s="67">
        <f t="shared" si="15"/>
        <v>613.19999999999993</v>
      </c>
      <c r="BO115" s="67">
        <f t="shared" si="16"/>
        <v>1</v>
      </c>
      <c r="BP115" s="67">
        <f t="shared" si="17"/>
        <v>1</v>
      </c>
    </row>
    <row r="116" spans="1:68" x14ac:dyDescent="0.2">
      <c r="A116" s="307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308"/>
      <c r="P116" s="286" t="s">
        <v>87</v>
      </c>
      <c r="Q116" s="287"/>
      <c r="R116" s="287"/>
      <c r="S116" s="287"/>
      <c r="T116" s="287"/>
      <c r="U116" s="287"/>
      <c r="V116" s="288"/>
      <c r="W116" s="37" t="s">
        <v>68</v>
      </c>
      <c r="X116" s="280">
        <f>IFERROR(SUM(X109:X115),"0")</f>
        <v>228</v>
      </c>
      <c r="Y116" s="280">
        <f>IFERROR(SUM(Y109:Y115),"0")</f>
        <v>228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3.5340000000000003</v>
      </c>
      <c r="AA116" s="281"/>
      <c r="AB116" s="281"/>
      <c r="AC116" s="281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308"/>
      <c r="P117" s="286" t="s">
        <v>87</v>
      </c>
      <c r="Q117" s="287"/>
      <c r="R117" s="287"/>
      <c r="S117" s="287"/>
      <c r="T117" s="287"/>
      <c r="U117" s="287"/>
      <c r="V117" s="288"/>
      <c r="W117" s="37" t="s">
        <v>88</v>
      </c>
      <c r="X117" s="280">
        <f>IFERROR(SUMPRODUCT(X109:X115*H109:H115),"0")</f>
        <v>1581.6</v>
      </c>
      <c r="Y117" s="280">
        <f>IFERROR(SUMPRODUCT(Y109:Y115*H109:H115),"0")</f>
        <v>1581.6</v>
      </c>
      <c r="Z117" s="37"/>
      <c r="AA117" s="281"/>
      <c r="AB117" s="281"/>
      <c r="AC117" s="281"/>
    </row>
    <row r="118" spans="1:68" ht="14.25" hidden="1" customHeight="1" x14ac:dyDescent="0.25">
      <c r="A118" s="310" t="s">
        <v>133</v>
      </c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4">
        <v>4620207490983</v>
      </c>
      <c r="E119" s="285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7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308"/>
      <c r="P120" s="286" t="s">
        <v>87</v>
      </c>
      <c r="Q120" s="287"/>
      <c r="R120" s="287"/>
      <c r="S120" s="287"/>
      <c r="T120" s="287"/>
      <c r="U120" s="287"/>
      <c r="V120" s="288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308"/>
      <c r="P121" s="286" t="s">
        <v>87</v>
      </c>
      <c r="Q121" s="287"/>
      <c r="R121" s="287"/>
      <c r="S121" s="287"/>
      <c r="T121" s="287"/>
      <c r="U121" s="287"/>
      <c r="V121" s="288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10" t="s">
        <v>203</v>
      </c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4">
        <v>4620207491140</v>
      </c>
      <c r="E123" s="285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0"/>
      <c r="R123" s="290"/>
      <c r="S123" s="290"/>
      <c r="T123" s="291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7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308"/>
      <c r="P124" s="286" t="s">
        <v>87</v>
      </c>
      <c r="Q124" s="287"/>
      <c r="R124" s="287"/>
      <c r="S124" s="287"/>
      <c r="T124" s="287"/>
      <c r="U124" s="287"/>
      <c r="V124" s="288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308"/>
      <c r="P125" s="286" t="s">
        <v>87</v>
      </c>
      <c r="Q125" s="287"/>
      <c r="R125" s="287"/>
      <c r="S125" s="287"/>
      <c r="T125" s="287"/>
      <c r="U125" s="287"/>
      <c r="V125" s="288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5" t="s">
        <v>207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73"/>
      <c r="AB126" s="273"/>
      <c r="AC126" s="273"/>
    </row>
    <row r="127" spans="1:68" ht="14.25" hidden="1" customHeight="1" x14ac:dyDescent="0.25">
      <c r="A127" s="310" t="s">
        <v>62</v>
      </c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4">
        <v>4620207491904</v>
      </c>
      <c r="E128" s="285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3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0"/>
      <c r="R128" s="290"/>
      <c r="S128" s="290"/>
      <c r="T128" s="291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7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308"/>
      <c r="P129" s="286" t="s">
        <v>87</v>
      </c>
      <c r="Q129" s="287"/>
      <c r="R129" s="287"/>
      <c r="S129" s="287"/>
      <c r="T129" s="287"/>
      <c r="U129" s="287"/>
      <c r="V129" s="288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308"/>
      <c r="P130" s="286" t="s">
        <v>87</v>
      </c>
      <c r="Q130" s="287"/>
      <c r="R130" s="287"/>
      <c r="S130" s="287"/>
      <c r="T130" s="287"/>
      <c r="U130" s="287"/>
      <c r="V130" s="288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10" t="s">
        <v>133</v>
      </c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4">
        <v>4620207491799</v>
      </c>
      <c r="E132" s="285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0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0"/>
      <c r="R132" s="290"/>
      <c r="S132" s="290"/>
      <c r="T132" s="291"/>
      <c r="U132" s="34"/>
      <c r="V132" s="34"/>
      <c r="W132" s="35" t="s">
        <v>68</v>
      </c>
      <c r="X132" s="278">
        <v>28</v>
      </c>
      <c r="Y132" s="279">
        <f>IFERROR(IF(X132="","",X132),"")</f>
        <v>28</v>
      </c>
      <c r="Z132" s="36">
        <f>IFERROR(IF(X132="","",X132*0.00941),"")</f>
        <v>0.26347999999999999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4">
        <v>4620207491492</v>
      </c>
      <c r="E133" s="285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0"/>
      <c r="R133" s="290"/>
      <c r="S133" s="290"/>
      <c r="T133" s="291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4">
        <v>4620207491461</v>
      </c>
      <c r="E134" s="285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4">
        <v>4620207491485</v>
      </c>
      <c r="E135" s="285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307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308"/>
      <c r="P136" s="286" t="s">
        <v>87</v>
      </c>
      <c r="Q136" s="287"/>
      <c r="R136" s="287"/>
      <c r="S136" s="287"/>
      <c r="T136" s="287"/>
      <c r="U136" s="287"/>
      <c r="V136" s="288"/>
      <c r="W136" s="37" t="s">
        <v>68</v>
      </c>
      <c r="X136" s="280">
        <f>IFERROR(SUM(X132:X135),"0")</f>
        <v>56</v>
      </c>
      <c r="Y136" s="280">
        <f>IFERROR(SUM(Y132:Y135),"0")</f>
        <v>56</v>
      </c>
      <c r="Z136" s="280">
        <f>IFERROR(IF(Z132="",0,Z132),"0")+IFERROR(IF(Z133="",0,Z133),"0")+IFERROR(IF(Z134="",0,Z134),"0")+IFERROR(IF(Z135="",0,Z135),"0")</f>
        <v>0.52695999999999998</v>
      </c>
      <c r="AA136" s="281"/>
      <c r="AB136" s="281"/>
      <c r="AC136" s="281"/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308"/>
      <c r="P137" s="286" t="s">
        <v>87</v>
      </c>
      <c r="Q137" s="287"/>
      <c r="R137" s="287"/>
      <c r="S137" s="287"/>
      <c r="T137" s="287"/>
      <c r="U137" s="287"/>
      <c r="V137" s="288"/>
      <c r="W137" s="37" t="s">
        <v>88</v>
      </c>
      <c r="X137" s="280">
        <f>IFERROR(SUMPRODUCT(X132:X135*H132:H135),"0")</f>
        <v>77.28</v>
      </c>
      <c r="Y137" s="280">
        <f>IFERROR(SUMPRODUCT(Y132:Y135*H132:H135),"0")</f>
        <v>77.28</v>
      </c>
      <c r="Z137" s="37"/>
      <c r="AA137" s="281"/>
      <c r="AB137" s="281"/>
      <c r="AC137" s="281"/>
    </row>
    <row r="138" spans="1:68" ht="14.25" hidden="1" customHeight="1" x14ac:dyDescent="0.25">
      <c r="A138" s="310" t="s">
        <v>221</v>
      </c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4">
        <v>4620207491386</v>
      </c>
      <c r="E139" s="285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0"/>
      <c r="R139" s="290"/>
      <c r="S139" s="290"/>
      <c r="T139" s="291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4">
        <v>4620207491362</v>
      </c>
      <c r="E140" s="285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0"/>
      <c r="R140" s="290"/>
      <c r="S140" s="290"/>
      <c r="T140" s="291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4">
        <v>4620207491379</v>
      </c>
      <c r="E141" s="285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307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308"/>
      <c r="P142" s="286" t="s">
        <v>87</v>
      </c>
      <c r="Q142" s="287"/>
      <c r="R142" s="287"/>
      <c r="S142" s="287"/>
      <c r="T142" s="287"/>
      <c r="U142" s="287"/>
      <c r="V142" s="288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308"/>
      <c r="P143" s="286" t="s">
        <v>87</v>
      </c>
      <c r="Q143" s="287"/>
      <c r="R143" s="287"/>
      <c r="S143" s="287"/>
      <c r="T143" s="287"/>
      <c r="U143" s="287"/>
      <c r="V143" s="288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5" t="s">
        <v>229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73"/>
      <c r="AB144" s="273"/>
      <c r="AC144" s="273"/>
    </row>
    <row r="145" spans="1:68" ht="14.25" hidden="1" customHeight="1" x14ac:dyDescent="0.25">
      <c r="A145" s="310" t="s">
        <v>133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72"/>
      <c r="AB145" s="272"/>
      <c r="AC145" s="272"/>
    </row>
    <row r="146" spans="1:68" ht="27" hidden="1" customHeight="1" x14ac:dyDescent="0.25">
      <c r="A146" s="54" t="s">
        <v>230</v>
      </c>
      <c r="B146" s="54" t="s">
        <v>231</v>
      </c>
      <c r="C146" s="31">
        <v>4301135956</v>
      </c>
      <c r="D146" s="284">
        <v>4620207491560</v>
      </c>
      <c r="E146" s="285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0"/>
      <c r="R146" s="290"/>
      <c r="S146" s="290"/>
      <c r="T146" s="291"/>
      <c r="U146" s="34"/>
      <c r="V146" s="34"/>
      <c r="W146" s="35" t="s">
        <v>68</v>
      </c>
      <c r="X146" s="278">
        <v>0</v>
      </c>
      <c r="Y146" s="279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4">
        <v>4607111033994</v>
      </c>
      <c r="E147" s="285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6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0"/>
      <c r="R147" s="290"/>
      <c r="S147" s="290"/>
      <c r="T147" s="291"/>
      <c r="U147" s="34"/>
      <c r="V147" s="34"/>
      <c r="W147" s="35" t="s">
        <v>68</v>
      </c>
      <c r="X147" s="278">
        <v>140</v>
      </c>
      <c r="Y147" s="279">
        <f>IFERROR(IF(X147="","",X147),"")</f>
        <v>140</v>
      </c>
      <c r="Z147" s="36">
        <f>IFERROR(IF(X147="","",X147*0.01788),"")</f>
        <v>2.5032000000000001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518.50400000000002</v>
      </c>
      <c r="BN147" s="67">
        <f>IFERROR(Y147*I147,"0")</f>
        <v>518.50400000000002</v>
      </c>
      <c r="BO147" s="67">
        <f>IFERROR(X147/J147,"0")</f>
        <v>2</v>
      </c>
      <c r="BP147" s="67">
        <f>IFERROR(Y147/J147,"0")</f>
        <v>2</v>
      </c>
    </row>
    <row r="148" spans="1:68" x14ac:dyDescent="0.2">
      <c r="A148" s="307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308"/>
      <c r="P148" s="286" t="s">
        <v>87</v>
      </c>
      <c r="Q148" s="287"/>
      <c r="R148" s="287"/>
      <c r="S148" s="287"/>
      <c r="T148" s="287"/>
      <c r="U148" s="287"/>
      <c r="V148" s="288"/>
      <c r="W148" s="37" t="s">
        <v>68</v>
      </c>
      <c r="X148" s="280">
        <f>IFERROR(SUM(X146:X147),"0")</f>
        <v>140</v>
      </c>
      <c r="Y148" s="280">
        <f>IFERROR(SUM(Y146:Y147),"0")</f>
        <v>140</v>
      </c>
      <c r="Z148" s="280">
        <f>IFERROR(IF(Z146="",0,Z146),"0")+IFERROR(IF(Z147="",0,Z147),"0")</f>
        <v>2.5032000000000001</v>
      </c>
      <c r="AA148" s="281"/>
      <c r="AB148" s="281"/>
      <c r="AC148" s="281"/>
    </row>
    <row r="149" spans="1:68" x14ac:dyDescent="0.2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308"/>
      <c r="P149" s="286" t="s">
        <v>87</v>
      </c>
      <c r="Q149" s="287"/>
      <c r="R149" s="287"/>
      <c r="S149" s="287"/>
      <c r="T149" s="287"/>
      <c r="U149" s="287"/>
      <c r="V149" s="288"/>
      <c r="W149" s="37" t="s">
        <v>88</v>
      </c>
      <c r="X149" s="280">
        <f>IFERROR(SUMPRODUCT(X146:X147*H146:H147),"0")</f>
        <v>420</v>
      </c>
      <c r="Y149" s="280">
        <f>IFERROR(SUMPRODUCT(Y146:Y147*H146:H147),"0")</f>
        <v>420</v>
      </c>
      <c r="Z149" s="37"/>
      <c r="AA149" s="281"/>
      <c r="AB149" s="281"/>
      <c r="AC149" s="281"/>
    </row>
    <row r="150" spans="1:68" ht="16.5" hidden="1" customHeight="1" x14ac:dyDescent="0.25">
      <c r="A150" s="295" t="s">
        <v>235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73"/>
      <c r="AB150" s="273"/>
      <c r="AC150" s="273"/>
    </row>
    <row r="151" spans="1:68" ht="14.25" hidden="1" customHeight="1" x14ac:dyDescent="0.25">
      <c r="A151" s="310" t="s">
        <v>133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4">
        <v>4620207491768</v>
      </c>
      <c r="E152" s="285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0"/>
      <c r="R152" s="290"/>
      <c r="S152" s="290"/>
      <c r="T152" s="291"/>
      <c r="U152" s="34"/>
      <c r="V152" s="34"/>
      <c r="W152" s="35" t="s">
        <v>68</v>
      </c>
      <c r="X152" s="278">
        <v>28</v>
      </c>
      <c r="Y152" s="279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104.944</v>
      </c>
      <c r="BN152" s="67">
        <f>IFERROR(Y152*I152,"0")</f>
        <v>104.944</v>
      </c>
      <c r="BO152" s="67">
        <f>IFERROR(X152/J152,"0")</f>
        <v>0.4</v>
      </c>
      <c r="BP152" s="67">
        <f>IFERROR(Y152/J152,"0")</f>
        <v>0.4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4">
        <v>4620207491553</v>
      </c>
      <c r="E153" s="285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0"/>
      <c r="R153" s="290"/>
      <c r="S153" s="290"/>
      <c r="T153" s="291"/>
      <c r="U153" s="34"/>
      <c r="V153" s="34"/>
      <c r="W153" s="35" t="s">
        <v>68</v>
      </c>
      <c r="X153" s="278">
        <v>140</v>
      </c>
      <c r="Y153" s="279">
        <f>IFERROR(IF(X153="","",X153),"")</f>
        <v>140</v>
      </c>
      <c r="Z153" s="36">
        <f>IFERROR(IF(X153="","",X153*0.01788),"")</f>
        <v>2.5032000000000001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518.50400000000002</v>
      </c>
      <c r="BN153" s="67">
        <f>IFERROR(Y153*I153,"0")</f>
        <v>518.50400000000002</v>
      </c>
      <c r="BO153" s="67">
        <f>IFERROR(X153/J153,"0")</f>
        <v>2</v>
      </c>
      <c r="BP153" s="67">
        <f>IFERROR(Y153/J153,"0")</f>
        <v>2</v>
      </c>
    </row>
    <row r="154" spans="1:68" x14ac:dyDescent="0.2">
      <c r="A154" s="307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308"/>
      <c r="P154" s="286" t="s">
        <v>87</v>
      </c>
      <c r="Q154" s="287"/>
      <c r="R154" s="287"/>
      <c r="S154" s="287"/>
      <c r="T154" s="287"/>
      <c r="U154" s="287"/>
      <c r="V154" s="288"/>
      <c r="W154" s="37" t="s">
        <v>68</v>
      </c>
      <c r="X154" s="280">
        <f>IFERROR(SUM(X152:X153),"0")</f>
        <v>168</v>
      </c>
      <c r="Y154" s="280">
        <f>IFERROR(SUM(Y152:Y153),"0")</f>
        <v>168</v>
      </c>
      <c r="Z154" s="280">
        <f>IFERROR(IF(Z152="",0,Z152),"0")+IFERROR(IF(Z153="",0,Z153),"0")</f>
        <v>3.0038400000000003</v>
      </c>
      <c r="AA154" s="281"/>
      <c r="AB154" s="281"/>
      <c r="AC154" s="281"/>
    </row>
    <row r="155" spans="1:68" x14ac:dyDescent="0.2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308"/>
      <c r="P155" s="286" t="s">
        <v>87</v>
      </c>
      <c r="Q155" s="287"/>
      <c r="R155" s="287"/>
      <c r="S155" s="287"/>
      <c r="T155" s="287"/>
      <c r="U155" s="287"/>
      <c r="V155" s="288"/>
      <c r="W155" s="37" t="s">
        <v>88</v>
      </c>
      <c r="X155" s="280">
        <f>IFERROR(SUMPRODUCT(X152:X153*H152:H153),"0")</f>
        <v>504</v>
      </c>
      <c r="Y155" s="280">
        <f>IFERROR(SUMPRODUCT(Y152:Y153*H152:H153),"0")</f>
        <v>504</v>
      </c>
      <c r="Z155" s="37"/>
      <c r="AA155" s="281"/>
      <c r="AB155" s="281"/>
      <c r="AC155" s="281"/>
    </row>
    <row r="156" spans="1:68" ht="16.5" hidden="1" customHeight="1" x14ac:dyDescent="0.25">
      <c r="A156" s="295" t="s">
        <v>241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73"/>
      <c r="AB156" s="273"/>
      <c r="AC156" s="273"/>
    </row>
    <row r="157" spans="1:68" ht="14.25" hidden="1" customHeight="1" x14ac:dyDescent="0.25">
      <c r="A157" s="310" t="s">
        <v>133</v>
      </c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4">
        <v>4620207490914</v>
      </c>
      <c r="E158" s="285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0"/>
      <c r="R158" s="290"/>
      <c r="S158" s="290"/>
      <c r="T158" s="291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4">
        <v>4620207491676</v>
      </c>
      <c r="E159" s="285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28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0"/>
      <c r="R159" s="290"/>
      <c r="S159" s="290"/>
      <c r="T159" s="291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x14ac:dyDescent="0.2">
      <c r="A160" s="307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308"/>
      <c r="P160" s="286" t="s">
        <v>87</v>
      </c>
      <c r="Q160" s="287"/>
      <c r="R160" s="287"/>
      <c r="S160" s="287"/>
      <c r="T160" s="287"/>
      <c r="U160" s="287"/>
      <c r="V160" s="288"/>
      <c r="W160" s="37" t="s">
        <v>68</v>
      </c>
      <c r="X160" s="280">
        <f>IFERROR(SUM(X158:X159),"0")</f>
        <v>14</v>
      </c>
      <c r="Y160" s="280">
        <f>IFERROR(SUM(Y158:Y159),"0")</f>
        <v>14</v>
      </c>
      <c r="Z160" s="280">
        <f>IFERROR(IF(Z158="",0,Z158),"0")+IFERROR(IF(Z159="",0,Z159),"0")</f>
        <v>0.25031999999999999</v>
      </c>
      <c r="AA160" s="281"/>
      <c r="AB160" s="281"/>
      <c r="AC160" s="281"/>
    </row>
    <row r="161" spans="1:68" x14ac:dyDescent="0.2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308"/>
      <c r="P161" s="286" t="s">
        <v>87</v>
      </c>
      <c r="Q161" s="287"/>
      <c r="R161" s="287"/>
      <c r="S161" s="287"/>
      <c r="T161" s="287"/>
      <c r="U161" s="287"/>
      <c r="V161" s="288"/>
      <c r="W161" s="37" t="s">
        <v>88</v>
      </c>
      <c r="X161" s="280">
        <f>IFERROR(SUMPRODUCT(X158:X159*H158:H159),"0")</f>
        <v>33.6</v>
      </c>
      <c r="Y161" s="280">
        <f>IFERROR(SUMPRODUCT(Y158:Y159*H158:H159),"0")</f>
        <v>33.6</v>
      </c>
      <c r="Z161" s="37"/>
      <c r="AA161" s="281"/>
      <c r="AB161" s="281"/>
      <c r="AC161" s="281"/>
    </row>
    <row r="162" spans="1:68" ht="16.5" hidden="1" customHeight="1" x14ac:dyDescent="0.25">
      <c r="A162" s="295" t="s">
        <v>248</v>
      </c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73"/>
      <c r="AB162" s="273"/>
      <c r="AC162" s="273"/>
    </row>
    <row r="163" spans="1:68" ht="14.25" hidden="1" customHeight="1" x14ac:dyDescent="0.25">
      <c r="A163" s="310" t="s">
        <v>133</v>
      </c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4">
        <v>4620207491614</v>
      </c>
      <c r="E164" s="285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0"/>
      <c r="R164" s="290"/>
      <c r="S164" s="290"/>
      <c r="T164" s="291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307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308"/>
      <c r="P165" s="286" t="s">
        <v>87</v>
      </c>
      <c r="Q165" s="287"/>
      <c r="R165" s="287"/>
      <c r="S165" s="287"/>
      <c r="T165" s="287"/>
      <c r="U165" s="287"/>
      <c r="V165" s="288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308"/>
      <c r="P166" s="286" t="s">
        <v>87</v>
      </c>
      <c r="Q166" s="287"/>
      <c r="R166" s="287"/>
      <c r="S166" s="287"/>
      <c r="T166" s="287"/>
      <c r="U166" s="287"/>
      <c r="V166" s="288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5" t="s">
        <v>251</v>
      </c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73"/>
      <c r="AB167" s="273"/>
      <c r="AC167" s="273"/>
    </row>
    <row r="168" spans="1:68" ht="14.25" hidden="1" customHeight="1" x14ac:dyDescent="0.25">
      <c r="A168" s="310" t="s">
        <v>133</v>
      </c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4">
        <v>4607111039613</v>
      </c>
      <c r="E169" s="285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0"/>
      <c r="R169" s="290"/>
      <c r="S169" s="290"/>
      <c r="T169" s="291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7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308"/>
      <c r="P170" s="286" t="s">
        <v>87</v>
      </c>
      <c r="Q170" s="287"/>
      <c r="R170" s="287"/>
      <c r="S170" s="287"/>
      <c r="T170" s="287"/>
      <c r="U170" s="287"/>
      <c r="V170" s="288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308"/>
      <c r="P171" s="286" t="s">
        <v>87</v>
      </c>
      <c r="Q171" s="287"/>
      <c r="R171" s="287"/>
      <c r="S171" s="287"/>
      <c r="T171" s="287"/>
      <c r="U171" s="287"/>
      <c r="V171" s="288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5" t="s">
        <v>255</v>
      </c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73"/>
      <c r="AB172" s="273"/>
      <c r="AC172" s="273"/>
    </row>
    <row r="173" spans="1:68" ht="14.25" hidden="1" customHeight="1" x14ac:dyDescent="0.25">
      <c r="A173" s="310" t="s">
        <v>133</v>
      </c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4">
        <v>4620207491751</v>
      </c>
      <c r="E174" s="285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0"/>
      <c r="R174" s="290"/>
      <c r="S174" s="290"/>
      <c r="T174" s="291"/>
      <c r="U174" s="34"/>
      <c r="V174" s="34"/>
      <c r="W174" s="35" t="s">
        <v>68</v>
      </c>
      <c r="X174" s="278">
        <v>28</v>
      </c>
      <c r="Y174" s="279">
        <f>IFERROR(IF(X174="","",X174),"")</f>
        <v>28</v>
      </c>
      <c r="Z174" s="36">
        <f>IFERROR(IF(X174="","",X174*0.00941),"")</f>
        <v>0.26347999999999999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58.850399999999993</v>
      </c>
      <c r="BN174" s="67">
        <f>IFERROR(Y174*I174,"0")</f>
        <v>58.850399999999993</v>
      </c>
      <c r="BO174" s="67">
        <f>IFERROR(X174/J174,"0")</f>
        <v>0.2</v>
      </c>
      <c r="BP174" s="67">
        <f>IFERROR(Y174/J174,"0")</f>
        <v>0.2</v>
      </c>
    </row>
    <row r="175" spans="1:68" x14ac:dyDescent="0.2">
      <c r="A175" s="307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308"/>
      <c r="P175" s="286" t="s">
        <v>87</v>
      </c>
      <c r="Q175" s="287"/>
      <c r="R175" s="287"/>
      <c r="S175" s="287"/>
      <c r="T175" s="287"/>
      <c r="U175" s="287"/>
      <c r="V175" s="288"/>
      <c r="W175" s="37" t="s">
        <v>68</v>
      </c>
      <c r="X175" s="280">
        <f>IFERROR(SUM(X174:X174),"0")</f>
        <v>28</v>
      </c>
      <c r="Y175" s="280">
        <f>IFERROR(SUM(Y174:Y174),"0")</f>
        <v>28</v>
      </c>
      <c r="Z175" s="280">
        <f>IFERROR(IF(Z174="",0,Z174),"0")</f>
        <v>0.26347999999999999</v>
      </c>
      <c r="AA175" s="281"/>
      <c r="AB175" s="281"/>
      <c r="AC175" s="281"/>
    </row>
    <row r="176" spans="1:68" x14ac:dyDescent="0.2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308"/>
      <c r="P176" s="286" t="s">
        <v>87</v>
      </c>
      <c r="Q176" s="287"/>
      <c r="R176" s="287"/>
      <c r="S176" s="287"/>
      <c r="T176" s="287"/>
      <c r="U176" s="287"/>
      <c r="V176" s="288"/>
      <c r="W176" s="37" t="s">
        <v>88</v>
      </c>
      <c r="X176" s="280">
        <f>IFERROR(SUMPRODUCT(X174:X174*H174:H174),"0")</f>
        <v>47.04</v>
      </c>
      <c r="Y176" s="280">
        <f>IFERROR(SUMPRODUCT(Y174:Y174*H174:H174),"0")</f>
        <v>47.04</v>
      </c>
      <c r="Z176" s="37"/>
      <c r="AA176" s="281"/>
      <c r="AB176" s="281"/>
      <c r="AC176" s="281"/>
    </row>
    <row r="177" spans="1:68" ht="27.75" hidden="1" customHeight="1" x14ac:dyDescent="0.2">
      <c r="A177" s="338" t="s">
        <v>258</v>
      </c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48"/>
      <c r="AB177" s="48"/>
      <c r="AC177" s="48"/>
    </row>
    <row r="178" spans="1:68" ht="16.5" hidden="1" customHeight="1" x14ac:dyDescent="0.25">
      <c r="A178" s="295" t="s">
        <v>259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73"/>
      <c r="AB178" s="273"/>
      <c r="AC178" s="273"/>
    </row>
    <row r="179" spans="1:68" ht="14.25" hidden="1" customHeight="1" x14ac:dyDescent="0.25">
      <c r="A179" s="310" t="s">
        <v>97</v>
      </c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4">
        <v>4620207490631</v>
      </c>
      <c r="E180" s="285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1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0"/>
      <c r="R180" s="290"/>
      <c r="S180" s="290"/>
      <c r="T180" s="291"/>
      <c r="U180" s="34"/>
      <c r="V180" s="34"/>
      <c r="W180" s="35" t="s">
        <v>68</v>
      </c>
      <c r="X180" s="278">
        <v>84</v>
      </c>
      <c r="Y180" s="279">
        <f>IFERROR(IF(X180="","",X180),"")</f>
        <v>84</v>
      </c>
      <c r="Z180" s="36">
        <f>IFERROR(IF(X180="","",X180*0.0155),"")</f>
        <v>1.302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523.74</v>
      </c>
      <c r="BN180" s="67">
        <f>IFERROR(Y180*I180,"0")</f>
        <v>523.74</v>
      </c>
      <c r="BO180" s="67">
        <f>IFERROR(X180/J180,"0")</f>
        <v>1</v>
      </c>
      <c r="BP180" s="67">
        <f>IFERROR(Y180/J180,"0")</f>
        <v>1</v>
      </c>
    </row>
    <row r="181" spans="1:68" x14ac:dyDescent="0.2">
      <c r="A181" s="307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308"/>
      <c r="P181" s="286" t="s">
        <v>87</v>
      </c>
      <c r="Q181" s="287"/>
      <c r="R181" s="287"/>
      <c r="S181" s="287"/>
      <c r="T181" s="287"/>
      <c r="U181" s="287"/>
      <c r="V181" s="288"/>
      <c r="W181" s="37" t="s">
        <v>68</v>
      </c>
      <c r="X181" s="280">
        <f>IFERROR(SUM(X180:X180),"0")</f>
        <v>84</v>
      </c>
      <c r="Y181" s="280">
        <f>IFERROR(SUM(Y180:Y180),"0")</f>
        <v>84</v>
      </c>
      <c r="Z181" s="280">
        <f>IFERROR(IF(Z180="",0,Z180),"0")</f>
        <v>1.302</v>
      </c>
      <c r="AA181" s="281"/>
      <c r="AB181" s="281"/>
      <c r="AC181" s="281"/>
    </row>
    <row r="182" spans="1:68" x14ac:dyDescent="0.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308"/>
      <c r="P182" s="286" t="s">
        <v>87</v>
      </c>
      <c r="Q182" s="287"/>
      <c r="R182" s="287"/>
      <c r="S182" s="287"/>
      <c r="T182" s="287"/>
      <c r="U182" s="287"/>
      <c r="V182" s="288"/>
      <c r="W182" s="37" t="s">
        <v>88</v>
      </c>
      <c r="X182" s="280">
        <f>IFERROR(SUMPRODUCT(X180:X180*H180:H180),"0")</f>
        <v>504</v>
      </c>
      <c r="Y182" s="280">
        <f>IFERROR(SUMPRODUCT(Y180:Y180*H180:H180),"0")</f>
        <v>504</v>
      </c>
      <c r="Z182" s="37"/>
      <c r="AA182" s="281"/>
      <c r="AB182" s="281"/>
      <c r="AC182" s="281"/>
    </row>
    <row r="183" spans="1:68" ht="14.25" hidden="1" customHeight="1" x14ac:dyDescent="0.25">
      <c r="A183" s="310" t="s">
        <v>133</v>
      </c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4">
        <v>4607111039132</v>
      </c>
      <c r="E184" s="285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4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0"/>
      <c r="R184" s="290"/>
      <c r="S184" s="290"/>
      <c r="T184" s="291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307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308"/>
      <c r="P185" s="286" t="s">
        <v>87</v>
      </c>
      <c r="Q185" s="287"/>
      <c r="R185" s="287"/>
      <c r="S185" s="287"/>
      <c r="T185" s="287"/>
      <c r="U185" s="287"/>
      <c r="V185" s="288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308"/>
      <c r="P186" s="286" t="s">
        <v>87</v>
      </c>
      <c r="Q186" s="287"/>
      <c r="R186" s="287"/>
      <c r="S186" s="287"/>
      <c r="T186" s="287"/>
      <c r="U186" s="287"/>
      <c r="V186" s="288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5" t="s">
        <v>266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3"/>
      <c r="AB187" s="273"/>
      <c r="AC187" s="273"/>
    </row>
    <row r="188" spans="1:68" ht="14.25" hidden="1" customHeight="1" x14ac:dyDescent="0.25">
      <c r="A188" s="310" t="s">
        <v>62</v>
      </c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4">
        <v>4607111036384</v>
      </c>
      <c r="E189" s="285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0"/>
      <c r="R189" s="290"/>
      <c r="S189" s="290"/>
      <c r="T189" s="291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4">
        <v>4607111036216</v>
      </c>
      <c r="E190" s="285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0"/>
      <c r="R190" s="290"/>
      <c r="S190" s="290"/>
      <c r="T190" s="291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07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308"/>
      <c r="P191" s="286" t="s">
        <v>87</v>
      </c>
      <c r="Q191" s="287"/>
      <c r="R191" s="287"/>
      <c r="S191" s="287"/>
      <c r="T191" s="287"/>
      <c r="U191" s="287"/>
      <c r="V191" s="288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308"/>
      <c r="P192" s="286" t="s">
        <v>87</v>
      </c>
      <c r="Q192" s="287"/>
      <c r="R192" s="287"/>
      <c r="S192" s="287"/>
      <c r="T192" s="287"/>
      <c r="U192" s="287"/>
      <c r="V192" s="288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295" t="s">
        <v>273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3"/>
      <c r="AB193" s="273"/>
      <c r="AC193" s="273"/>
    </row>
    <row r="194" spans="1:68" ht="14.25" hidden="1" customHeight="1" x14ac:dyDescent="0.25">
      <c r="A194" s="310" t="s">
        <v>62</v>
      </c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4">
        <v>4620207491737</v>
      </c>
      <c r="E195" s="285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6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7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308"/>
      <c r="P196" s="286" t="s">
        <v>87</v>
      </c>
      <c r="Q196" s="287"/>
      <c r="R196" s="287"/>
      <c r="S196" s="287"/>
      <c r="T196" s="287"/>
      <c r="U196" s="287"/>
      <c r="V196" s="288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308"/>
      <c r="P197" s="286" t="s">
        <v>87</v>
      </c>
      <c r="Q197" s="287"/>
      <c r="R197" s="287"/>
      <c r="S197" s="287"/>
      <c r="T197" s="287"/>
      <c r="U197" s="287"/>
      <c r="V197" s="288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38" t="s">
        <v>276</v>
      </c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48"/>
      <c r="AB198" s="48"/>
      <c r="AC198" s="48"/>
    </row>
    <row r="199" spans="1:68" ht="16.5" hidden="1" customHeight="1" x14ac:dyDescent="0.25">
      <c r="A199" s="295" t="s">
        <v>277</v>
      </c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73"/>
      <c r="AB199" s="273"/>
      <c r="AC199" s="273"/>
    </row>
    <row r="200" spans="1:68" ht="14.25" hidden="1" customHeight="1" x14ac:dyDescent="0.25">
      <c r="A200" s="310" t="s">
        <v>97</v>
      </c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4">
        <v>4607111035691</v>
      </c>
      <c r="E201" s="285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0"/>
      <c r="R201" s="290"/>
      <c r="S201" s="290"/>
      <c r="T201" s="291"/>
      <c r="U201" s="34"/>
      <c r="V201" s="34"/>
      <c r="W201" s="35" t="s">
        <v>68</v>
      </c>
      <c r="X201" s="278">
        <v>70</v>
      </c>
      <c r="Y201" s="279">
        <f>IFERROR(IF(X201="","",X201),"")</f>
        <v>70</v>
      </c>
      <c r="Z201" s="36">
        <f>IFERROR(IF(X201="","",X201*0.01788),"")</f>
        <v>1.2516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237.16</v>
      </c>
      <c r="BN201" s="67">
        <f>IFERROR(Y201*I201,"0")</f>
        <v>237.16</v>
      </c>
      <c r="BO201" s="67">
        <f>IFERROR(X201/J201,"0")</f>
        <v>1</v>
      </c>
      <c r="BP201" s="67">
        <f>IFERROR(Y201/J201,"0")</f>
        <v>1</v>
      </c>
    </row>
    <row r="202" spans="1:68" ht="27" hidden="1" customHeight="1" x14ac:dyDescent="0.25">
      <c r="A202" s="54" t="s">
        <v>281</v>
      </c>
      <c r="B202" s="54" t="s">
        <v>282</v>
      </c>
      <c r="C202" s="31">
        <v>4301132182</v>
      </c>
      <c r="D202" s="284">
        <v>4607111035721</v>
      </c>
      <c r="E202" s="285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0"/>
      <c r="R202" s="290"/>
      <c r="S202" s="290"/>
      <c r="T202" s="291"/>
      <c r="U202" s="34"/>
      <c r="V202" s="34"/>
      <c r="W202" s="35" t="s">
        <v>68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4">
        <v>4607111038487</v>
      </c>
      <c r="E203" s="285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28</v>
      </c>
      <c r="Y203" s="279">
        <f>IFERROR(IF(X203="","",X203),"")</f>
        <v>28</v>
      </c>
      <c r="Z203" s="36">
        <f>IFERROR(IF(X203="","",X203*0.01788),"")</f>
        <v>0.50063999999999997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104.608</v>
      </c>
      <c r="BN203" s="67">
        <f>IFERROR(Y203*I203,"0")</f>
        <v>104.608</v>
      </c>
      <c r="BO203" s="67">
        <f>IFERROR(X203/J203,"0")</f>
        <v>0.4</v>
      </c>
      <c r="BP203" s="67">
        <f>IFERROR(Y203/J203,"0")</f>
        <v>0.4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4">
        <v>4620207491195</v>
      </c>
      <c r="E204" s="285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0"/>
      <c r="R204" s="290"/>
      <c r="S204" s="290"/>
      <c r="T204" s="291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307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308"/>
      <c r="P205" s="286" t="s">
        <v>87</v>
      </c>
      <c r="Q205" s="287"/>
      <c r="R205" s="287"/>
      <c r="S205" s="287"/>
      <c r="T205" s="287"/>
      <c r="U205" s="287"/>
      <c r="V205" s="288"/>
      <c r="W205" s="37" t="s">
        <v>68</v>
      </c>
      <c r="X205" s="280">
        <f>IFERROR(SUM(X201:X204),"0")</f>
        <v>98</v>
      </c>
      <c r="Y205" s="280">
        <f>IFERROR(SUM(Y201:Y204),"0")</f>
        <v>98</v>
      </c>
      <c r="Z205" s="280">
        <f>IFERROR(IF(Z201="",0,Z201),"0")+IFERROR(IF(Z202="",0,Z202),"0")+IFERROR(IF(Z203="",0,Z203),"0")+IFERROR(IF(Z204="",0,Z204),"0")</f>
        <v>1.75224</v>
      </c>
      <c r="AA205" s="281"/>
      <c r="AB205" s="281"/>
      <c r="AC205" s="281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308"/>
      <c r="P206" s="286" t="s">
        <v>87</v>
      </c>
      <c r="Q206" s="287"/>
      <c r="R206" s="287"/>
      <c r="S206" s="287"/>
      <c r="T206" s="287"/>
      <c r="U206" s="287"/>
      <c r="V206" s="288"/>
      <c r="W206" s="37" t="s">
        <v>88</v>
      </c>
      <c r="X206" s="280">
        <f>IFERROR(SUMPRODUCT(X201:X204*H201:H204),"0")</f>
        <v>294</v>
      </c>
      <c r="Y206" s="280">
        <f>IFERROR(SUMPRODUCT(Y201:Y204*H201:H204),"0")</f>
        <v>294</v>
      </c>
      <c r="Z206" s="37"/>
      <c r="AA206" s="281"/>
      <c r="AB206" s="281"/>
      <c r="AC206" s="281"/>
    </row>
    <row r="207" spans="1:68" ht="27.75" hidden="1" customHeight="1" x14ac:dyDescent="0.2">
      <c r="A207" s="338" t="s">
        <v>290</v>
      </c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48"/>
      <c r="AB207" s="48"/>
      <c r="AC207" s="48"/>
    </row>
    <row r="208" spans="1:68" ht="16.5" hidden="1" customHeight="1" x14ac:dyDescent="0.25">
      <c r="A208" s="295" t="s">
        <v>291</v>
      </c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73"/>
      <c r="AB208" s="273"/>
      <c r="AC208" s="273"/>
    </row>
    <row r="209" spans="1:68" ht="14.25" hidden="1" customHeight="1" x14ac:dyDescent="0.25">
      <c r="A209" s="310" t="s">
        <v>97</v>
      </c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4">
        <v>4620207491133</v>
      </c>
      <c r="E210" s="285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0"/>
      <c r="R210" s="290"/>
      <c r="S210" s="290"/>
      <c r="T210" s="291"/>
      <c r="U210" s="34"/>
      <c r="V210" s="34"/>
      <c r="W210" s="35" t="s">
        <v>68</v>
      </c>
      <c r="X210" s="278">
        <v>140</v>
      </c>
      <c r="Y210" s="279">
        <f>IFERROR(IF(X210="","",X210),"")</f>
        <v>140</v>
      </c>
      <c r="Z210" s="36">
        <f>IFERROR(IF(X210="","",X210*0.01788),"")</f>
        <v>2.5032000000000001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417.2</v>
      </c>
      <c r="BN210" s="67">
        <f>IFERROR(Y210*I210,"0")</f>
        <v>417.2</v>
      </c>
      <c r="BO210" s="67">
        <f>IFERROR(X210/J210,"0")</f>
        <v>2</v>
      </c>
      <c r="BP210" s="67">
        <f>IFERROR(Y210/J210,"0")</f>
        <v>2</v>
      </c>
    </row>
    <row r="211" spans="1:68" x14ac:dyDescent="0.2">
      <c r="A211" s="307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308"/>
      <c r="P211" s="286" t="s">
        <v>87</v>
      </c>
      <c r="Q211" s="287"/>
      <c r="R211" s="287"/>
      <c r="S211" s="287"/>
      <c r="T211" s="287"/>
      <c r="U211" s="287"/>
      <c r="V211" s="288"/>
      <c r="W211" s="37" t="s">
        <v>68</v>
      </c>
      <c r="X211" s="280">
        <f>IFERROR(SUM(X210:X210),"0")</f>
        <v>140</v>
      </c>
      <c r="Y211" s="280">
        <f>IFERROR(SUM(Y210:Y210),"0")</f>
        <v>140</v>
      </c>
      <c r="Z211" s="280">
        <f>IFERROR(IF(Z210="",0,Z210),"0")</f>
        <v>2.5032000000000001</v>
      </c>
      <c r="AA211" s="281"/>
      <c r="AB211" s="281"/>
      <c r="AC211" s="281"/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308"/>
      <c r="P212" s="286" t="s">
        <v>87</v>
      </c>
      <c r="Q212" s="287"/>
      <c r="R212" s="287"/>
      <c r="S212" s="287"/>
      <c r="T212" s="287"/>
      <c r="U212" s="287"/>
      <c r="V212" s="288"/>
      <c r="W212" s="37" t="s">
        <v>88</v>
      </c>
      <c r="X212" s="280">
        <f>IFERROR(SUMPRODUCT(X210:X210*H210:H210),"0")</f>
        <v>386.4</v>
      </c>
      <c r="Y212" s="280">
        <f>IFERROR(SUMPRODUCT(Y210:Y210*H210:H210),"0")</f>
        <v>386.4</v>
      </c>
      <c r="Z212" s="37"/>
      <c r="AA212" s="281"/>
      <c r="AB212" s="281"/>
      <c r="AC212" s="281"/>
    </row>
    <row r="213" spans="1:68" ht="14.25" hidden="1" customHeight="1" x14ac:dyDescent="0.25">
      <c r="A213" s="310" t="s">
        <v>133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4">
        <v>4620207491188</v>
      </c>
      <c r="E214" s="285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4">
        <v>4620207490235</v>
      </c>
      <c r="E215" s="285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4">
        <v>4620207490259</v>
      </c>
      <c r="E216" s="285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7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0"/>
      <c r="R216" s="290"/>
      <c r="S216" s="290"/>
      <c r="T216" s="291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307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308"/>
      <c r="P217" s="286" t="s">
        <v>87</v>
      </c>
      <c r="Q217" s="287"/>
      <c r="R217" s="287"/>
      <c r="S217" s="287"/>
      <c r="T217" s="287"/>
      <c r="U217" s="287"/>
      <c r="V217" s="288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308"/>
      <c r="P218" s="286" t="s">
        <v>87</v>
      </c>
      <c r="Q218" s="287"/>
      <c r="R218" s="287"/>
      <c r="S218" s="287"/>
      <c r="T218" s="287"/>
      <c r="U218" s="287"/>
      <c r="V218" s="288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5" t="s">
        <v>304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3"/>
      <c r="AB219" s="273"/>
      <c r="AC219" s="273"/>
    </row>
    <row r="220" spans="1:68" ht="14.25" hidden="1" customHeight="1" x14ac:dyDescent="0.25">
      <c r="A220" s="310" t="s">
        <v>133</v>
      </c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4">
        <v>4620207491706</v>
      </c>
      <c r="E221" s="285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3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0"/>
      <c r="R221" s="290"/>
      <c r="S221" s="290"/>
      <c r="T221" s="291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4">
        <v>4620207491522</v>
      </c>
      <c r="E222" s="285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6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0"/>
      <c r="R222" s="290"/>
      <c r="S222" s="290"/>
      <c r="T222" s="291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307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308"/>
      <c r="P223" s="286" t="s">
        <v>87</v>
      </c>
      <c r="Q223" s="287"/>
      <c r="R223" s="287"/>
      <c r="S223" s="287"/>
      <c r="T223" s="287"/>
      <c r="U223" s="287"/>
      <c r="V223" s="288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308"/>
      <c r="P224" s="286" t="s">
        <v>87</v>
      </c>
      <c r="Q224" s="287"/>
      <c r="R224" s="287"/>
      <c r="S224" s="287"/>
      <c r="T224" s="287"/>
      <c r="U224" s="287"/>
      <c r="V224" s="288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5" t="s">
        <v>311</v>
      </c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73"/>
      <c r="AB225" s="273"/>
      <c r="AC225" s="273"/>
    </row>
    <row r="226" spans="1:68" ht="14.25" hidden="1" customHeight="1" x14ac:dyDescent="0.25">
      <c r="A226" s="310" t="s">
        <v>62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4">
        <v>4620207491096</v>
      </c>
      <c r="E227" s="285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0"/>
      <c r="R227" s="290"/>
      <c r="S227" s="290"/>
      <c r="T227" s="291"/>
      <c r="U227" s="34"/>
      <c r="V227" s="34"/>
      <c r="W227" s="35" t="s">
        <v>68</v>
      </c>
      <c r="X227" s="278">
        <v>168</v>
      </c>
      <c r="Y227" s="279">
        <f>IFERROR(IF(X227="","",X227),"")</f>
        <v>168</v>
      </c>
      <c r="Z227" s="36">
        <f>IFERROR(IF(X227="","",X227*0.0155),"")</f>
        <v>2.6040000000000001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878.6400000000001</v>
      </c>
      <c r="BN227" s="67">
        <f>IFERROR(Y227*I227,"0")</f>
        <v>878.6400000000001</v>
      </c>
      <c r="BO227" s="67">
        <f>IFERROR(X227/J227,"0")</f>
        <v>2</v>
      </c>
      <c r="BP227" s="67">
        <f>IFERROR(Y227/J227,"0")</f>
        <v>2</v>
      </c>
    </row>
    <row r="228" spans="1:68" x14ac:dyDescent="0.2">
      <c r="A228" s="307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308"/>
      <c r="P228" s="286" t="s">
        <v>87</v>
      </c>
      <c r="Q228" s="287"/>
      <c r="R228" s="287"/>
      <c r="S228" s="287"/>
      <c r="T228" s="287"/>
      <c r="U228" s="287"/>
      <c r="V228" s="288"/>
      <c r="W228" s="37" t="s">
        <v>68</v>
      </c>
      <c r="X228" s="280">
        <f>IFERROR(SUM(X227:X227),"0")</f>
        <v>168</v>
      </c>
      <c r="Y228" s="280">
        <f>IFERROR(SUM(Y227:Y227),"0")</f>
        <v>168</v>
      </c>
      <c r="Z228" s="280">
        <f>IFERROR(IF(Z227="",0,Z227),"0")</f>
        <v>2.6040000000000001</v>
      </c>
      <c r="AA228" s="281"/>
      <c r="AB228" s="281"/>
      <c r="AC228" s="281"/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308"/>
      <c r="P229" s="286" t="s">
        <v>87</v>
      </c>
      <c r="Q229" s="287"/>
      <c r="R229" s="287"/>
      <c r="S229" s="287"/>
      <c r="T229" s="287"/>
      <c r="U229" s="287"/>
      <c r="V229" s="288"/>
      <c r="W229" s="37" t="s">
        <v>88</v>
      </c>
      <c r="X229" s="280">
        <f>IFERROR(SUMPRODUCT(X227:X227*H227:H227),"0")</f>
        <v>840</v>
      </c>
      <c r="Y229" s="280">
        <f>IFERROR(SUMPRODUCT(Y227:Y227*H227:H227),"0")</f>
        <v>840</v>
      </c>
      <c r="Z229" s="37"/>
      <c r="AA229" s="281"/>
      <c r="AB229" s="281"/>
      <c r="AC229" s="281"/>
    </row>
    <row r="230" spans="1:68" ht="27.75" hidden="1" customHeight="1" x14ac:dyDescent="0.2">
      <c r="A230" s="338" t="s">
        <v>315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48"/>
      <c r="AB230" s="48"/>
      <c r="AC230" s="48"/>
    </row>
    <row r="231" spans="1:68" ht="16.5" hidden="1" customHeight="1" x14ac:dyDescent="0.25">
      <c r="A231" s="295" t="s">
        <v>316</v>
      </c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73"/>
      <c r="AB231" s="273"/>
      <c r="AC231" s="273"/>
    </row>
    <row r="232" spans="1:68" ht="14.25" hidden="1" customHeight="1" x14ac:dyDescent="0.25">
      <c r="A232" s="310" t="s">
        <v>62</v>
      </c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4">
        <v>4607111036162</v>
      </c>
      <c r="E233" s="285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0"/>
      <c r="R233" s="290"/>
      <c r="S233" s="290"/>
      <c r="T233" s="291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307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308"/>
      <c r="P234" s="286" t="s">
        <v>87</v>
      </c>
      <c r="Q234" s="287"/>
      <c r="R234" s="287"/>
      <c r="S234" s="287"/>
      <c r="T234" s="287"/>
      <c r="U234" s="287"/>
      <c r="V234" s="288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308"/>
      <c r="P235" s="286" t="s">
        <v>87</v>
      </c>
      <c r="Q235" s="287"/>
      <c r="R235" s="287"/>
      <c r="S235" s="287"/>
      <c r="T235" s="287"/>
      <c r="U235" s="287"/>
      <c r="V235" s="288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38" t="s">
        <v>320</v>
      </c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48"/>
      <c r="AB236" s="48"/>
      <c r="AC236" s="48"/>
    </row>
    <row r="237" spans="1:68" ht="16.5" hidden="1" customHeight="1" x14ac:dyDescent="0.25">
      <c r="A237" s="295" t="s">
        <v>321</v>
      </c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73"/>
      <c r="AB237" s="273"/>
      <c r="AC237" s="273"/>
    </row>
    <row r="238" spans="1:68" ht="14.25" hidden="1" customHeight="1" x14ac:dyDescent="0.25">
      <c r="A238" s="310" t="s">
        <v>322</v>
      </c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4">
        <v>4607111039774</v>
      </c>
      <c r="E239" s="285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7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308"/>
      <c r="P240" s="286" t="s">
        <v>87</v>
      </c>
      <c r="Q240" s="287"/>
      <c r="R240" s="287"/>
      <c r="S240" s="287"/>
      <c r="T240" s="287"/>
      <c r="U240" s="287"/>
      <c r="V240" s="288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308"/>
      <c r="P241" s="286" t="s">
        <v>87</v>
      </c>
      <c r="Q241" s="287"/>
      <c r="R241" s="287"/>
      <c r="S241" s="287"/>
      <c r="T241" s="287"/>
      <c r="U241" s="287"/>
      <c r="V241" s="288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10" t="s">
        <v>133</v>
      </c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4">
        <v>4607111039361</v>
      </c>
      <c r="E243" s="285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0"/>
      <c r="R243" s="290"/>
      <c r="S243" s="290"/>
      <c r="T243" s="291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7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308"/>
      <c r="P244" s="286" t="s">
        <v>87</v>
      </c>
      <c r="Q244" s="287"/>
      <c r="R244" s="287"/>
      <c r="S244" s="287"/>
      <c r="T244" s="287"/>
      <c r="U244" s="287"/>
      <c r="V244" s="288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308"/>
      <c r="P245" s="286" t="s">
        <v>87</v>
      </c>
      <c r="Q245" s="287"/>
      <c r="R245" s="287"/>
      <c r="S245" s="287"/>
      <c r="T245" s="287"/>
      <c r="U245" s="287"/>
      <c r="V245" s="288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38" t="s">
        <v>328</v>
      </c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48"/>
      <c r="AB246" s="48"/>
      <c r="AC246" s="48"/>
    </row>
    <row r="247" spans="1:68" ht="16.5" hidden="1" customHeight="1" x14ac:dyDescent="0.25">
      <c r="A247" s="295" t="s">
        <v>328</v>
      </c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73"/>
      <c r="AB247" s="273"/>
      <c r="AC247" s="273"/>
    </row>
    <row r="248" spans="1:68" ht="14.25" hidden="1" customHeight="1" x14ac:dyDescent="0.25">
      <c r="A248" s="310" t="s">
        <v>97</v>
      </c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4">
        <v>4640242181950</v>
      </c>
      <c r="E249" s="285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0"/>
      <c r="R249" s="290"/>
      <c r="S249" s="290"/>
      <c r="T249" s="291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07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308"/>
      <c r="P250" s="286" t="s">
        <v>87</v>
      </c>
      <c r="Q250" s="287"/>
      <c r="R250" s="287"/>
      <c r="S250" s="287"/>
      <c r="T250" s="287"/>
      <c r="U250" s="287"/>
      <c r="V250" s="288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308"/>
      <c r="P251" s="286" t="s">
        <v>87</v>
      </c>
      <c r="Q251" s="287"/>
      <c r="R251" s="287"/>
      <c r="S251" s="287"/>
      <c r="T251" s="287"/>
      <c r="U251" s="287"/>
      <c r="V251" s="288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10" t="s">
        <v>129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4">
        <v>4640242181943</v>
      </c>
      <c r="E253" s="285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9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7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08"/>
      <c r="P254" s="286" t="s">
        <v>87</v>
      </c>
      <c r="Q254" s="287"/>
      <c r="R254" s="287"/>
      <c r="S254" s="287"/>
      <c r="T254" s="287"/>
      <c r="U254" s="287"/>
      <c r="V254" s="288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08"/>
      <c r="P255" s="286" t="s">
        <v>87</v>
      </c>
      <c r="Q255" s="287"/>
      <c r="R255" s="287"/>
      <c r="S255" s="287"/>
      <c r="T255" s="287"/>
      <c r="U255" s="287"/>
      <c r="V255" s="288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38" t="s">
        <v>259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48"/>
      <c r="AB256" s="48"/>
      <c r="AC256" s="48"/>
    </row>
    <row r="257" spans="1:68" ht="16.5" hidden="1" customHeight="1" x14ac:dyDescent="0.25">
      <c r="A257" s="295" t="s">
        <v>259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3"/>
      <c r="AB257" s="273"/>
      <c r="AC257" s="273"/>
    </row>
    <row r="258" spans="1:68" ht="14.25" hidden="1" customHeight="1" x14ac:dyDescent="0.25">
      <c r="A258" s="310" t="s">
        <v>62</v>
      </c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4">
        <v>4640242181264</v>
      </c>
      <c r="E259" s="285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0"/>
      <c r="R259" s="290"/>
      <c r="S259" s="290"/>
      <c r="T259" s="291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4">
        <v>4620207491980</v>
      </c>
      <c r="E260" s="285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6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0"/>
      <c r="R260" s="290"/>
      <c r="S260" s="290"/>
      <c r="T260" s="291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307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08"/>
      <c r="P261" s="286" t="s">
        <v>87</v>
      </c>
      <c r="Q261" s="287"/>
      <c r="R261" s="287"/>
      <c r="S261" s="287"/>
      <c r="T261" s="287"/>
      <c r="U261" s="287"/>
      <c r="V261" s="288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08"/>
      <c r="P262" s="286" t="s">
        <v>87</v>
      </c>
      <c r="Q262" s="287"/>
      <c r="R262" s="287"/>
      <c r="S262" s="287"/>
      <c r="T262" s="287"/>
      <c r="U262" s="287"/>
      <c r="V262" s="288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10" t="s">
        <v>129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4">
        <v>4620207492147</v>
      </c>
      <c r="E264" s="285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6" t="s">
        <v>343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4">
        <v>4620207492154</v>
      </c>
      <c r="E265" s="285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346</v>
      </c>
      <c r="Q265" s="290"/>
      <c r="R265" s="290"/>
      <c r="S265" s="290"/>
      <c r="T265" s="291"/>
      <c r="U265" s="34"/>
      <c r="V265" s="34"/>
      <c r="W265" s="35" t="s">
        <v>68</v>
      </c>
      <c r="X265" s="278">
        <v>12</v>
      </c>
      <c r="Y265" s="279">
        <f>IFERROR(IF(X265="","",X265),"")</f>
        <v>12</v>
      </c>
      <c r="Z265" s="36">
        <f>IFERROR(IF(X265="","",X265*0.0155),"")</f>
        <v>0.186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62.820000000000007</v>
      </c>
      <c r="BN265" s="67">
        <f>IFERROR(Y265*I265,"0")</f>
        <v>62.820000000000007</v>
      </c>
      <c r="BO265" s="67">
        <f>IFERROR(X265/J265,"0")</f>
        <v>0.14285714285714285</v>
      </c>
      <c r="BP265" s="67">
        <f>IFERROR(Y265/J265,"0")</f>
        <v>0.14285714285714285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4">
        <v>4620207492086</v>
      </c>
      <c r="E266" s="285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9" t="s">
        <v>349</v>
      </c>
      <c r="Q266" s="290"/>
      <c r="R266" s="290"/>
      <c r="S266" s="290"/>
      <c r="T266" s="291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307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08"/>
      <c r="P267" s="286" t="s">
        <v>87</v>
      </c>
      <c r="Q267" s="287"/>
      <c r="R267" s="287"/>
      <c r="S267" s="287"/>
      <c r="T267" s="287"/>
      <c r="U267" s="287"/>
      <c r="V267" s="288"/>
      <c r="W267" s="37" t="s">
        <v>68</v>
      </c>
      <c r="X267" s="280">
        <f>IFERROR(SUM(X264:X266),"0")</f>
        <v>12</v>
      </c>
      <c r="Y267" s="280">
        <f>IFERROR(SUM(Y264:Y266),"0")</f>
        <v>12</v>
      </c>
      <c r="Z267" s="280">
        <f>IFERROR(IF(Z264="",0,Z264),"0")+IFERROR(IF(Z265="",0,Z265),"0")+IFERROR(IF(Z266="",0,Z266),"0")</f>
        <v>0.186</v>
      </c>
      <c r="AA267" s="281"/>
      <c r="AB267" s="281"/>
      <c r="AC267" s="281"/>
    </row>
    <row r="268" spans="1:68" x14ac:dyDescent="0.2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08"/>
      <c r="P268" s="286" t="s">
        <v>87</v>
      </c>
      <c r="Q268" s="287"/>
      <c r="R268" s="287"/>
      <c r="S268" s="287"/>
      <c r="T268" s="287"/>
      <c r="U268" s="287"/>
      <c r="V268" s="288"/>
      <c r="W268" s="37" t="s">
        <v>88</v>
      </c>
      <c r="X268" s="280">
        <f>IFERROR(SUMPRODUCT(X264:X266*H264:H266),"0")</f>
        <v>60</v>
      </c>
      <c r="Y268" s="280">
        <f>IFERROR(SUMPRODUCT(Y264:Y266*H264:H266),"0")</f>
        <v>60</v>
      </c>
      <c r="Z268" s="37"/>
      <c r="AA268" s="281"/>
      <c r="AB268" s="281"/>
      <c r="AC268" s="281"/>
    </row>
    <row r="269" spans="1:68" ht="14.25" hidden="1" customHeight="1" x14ac:dyDescent="0.25">
      <c r="A269" s="310" t="s">
        <v>133</v>
      </c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4">
        <v>4620207492109</v>
      </c>
      <c r="E270" s="285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5" t="s">
        <v>352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4">
        <v>4620207492161</v>
      </c>
      <c r="E271" s="285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21" t="s">
        <v>356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4">
        <v>4620207492222</v>
      </c>
      <c r="E272" s="285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2" t="s">
        <v>360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4">
        <v>4620207492093</v>
      </c>
      <c r="E273" s="285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4" t="s">
        <v>364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4">
        <v>4620207492116</v>
      </c>
      <c r="E274" s="285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64" t="s">
        <v>367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4">
        <v>4640242181486</v>
      </c>
      <c r="E275" s="285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4">
        <v>4620207492123</v>
      </c>
      <c r="E276" s="285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3" t="s">
        <v>373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4">
        <v>4620207492130</v>
      </c>
      <c r="E277" s="285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4" t="s">
        <v>376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4">
        <v>4640242181240</v>
      </c>
      <c r="E278" s="285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0"/>
      <c r="R278" s="290"/>
      <c r="S278" s="290"/>
      <c r="T278" s="291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4">
        <v>4640242181318</v>
      </c>
      <c r="E279" s="285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0"/>
      <c r="R279" s="290"/>
      <c r="S279" s="290"/>
      <c r="T279" s="291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4">
        <v>4620207491935</v>
      </c>
      <c r="E280" s="285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0"/>
      <c r="R280" s="290"/>
      <c r="S280" s="290"/>
      <c r="T280" s="291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idden="1" x14ac:dyDescent="0.2">
      <c r="A281" s="307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8"/>
      <c r="P281" s="286" t="s">
        <v>87</v>
      </c>
      <c r="Q281" s="287"/>
      <c r="R281" s="287"/>
      <c r="S281" s="287"/>
      <c r="T281" s="287"/>
      <c r="U281" s="287"/>
      <c r="V281" s="288"/>
      <c r="W281" s="37" t="s">
        <v>68</v>
      </c>
      <c r="X281" s="280">
        <f>IFERROR(SUM(X270:X280),"0")</f>
        <v>0</v>
      </c>
      <c r="Y281" s="280">
        <f>IFERROR(SUM(Y270:Y280),"0")</f>
        <v>0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81"/>
      <c r="AB281" s="281"/>
      <c r="AC281" s="281"/>
    </row>
    <row r="282" spans="1:68" hidden="1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8"/>
      <c r="P282" s="286" t="s">
        <v>87</v>
      </c>
      <c r="Q282" s="287"/>
      <c r="R282" s="287"/>
      <c r="S282" s="287"/>
      <c r="T282" s="287"/>
      <c r="U282" s="287"/>
      <c r="V282" s="288"/>
      <c r="W282" s="37" t="s">
        <v>88</v>
      </c>
      <c r="X282" s="280">
        <f>IFERROR(SUMPRODUCT(X270:X280*H270:H280),"0")</f>
        <v>0</v>
      </c>
      <c r="Y282" s="280">
        <f>IFERROR(SUMPRODUCT(Y270:Y280*H270:H280),"0")</f>
        <v>0</v>
      </c>
      <c r="Z282" s="37"/>
      <c r="AA282" s="281"/>
      <c r="AB282" s="281"/>
      <c r="AC282" s="281"/>
    </row>
    <row r="283" spans="1:68" ht="15" customHeight="1" x14ac:dyDescent="0.2">
      <c r="A283" s="470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78"/>
      <c r="P283" s="375" t="s">
        <v>384</v>
      </c>
      <c r="Q283" s="336"/>
      <c r="R283" s="336"/>
      <c r="S283" s="336"/>
      <c r="T283" s="336"/>
      <c r="U283" s="336"/>
      <c r="V283" s="337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7188.24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7188.24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78"/>
      <c r="P284" s="375" t="s">
        <v>385</v>
      </c>
      <c r="Q284" s="336"/>
      <c r="R284" s="336"/>
      <c r="S284" s="336"/>
      <c r="T284" s="336"/>
      <c r="U284" s="336"/>
      <c r="V284" s="337"/>
      <c r="W284" s="37" t="s">
        <v>88</v>
      </c>
      <c r="X284" s="280">
        <f>IFERROR(SUM(BM22:BM280),"0")</f>
        <v>7947.5239999999994</v>
      </c>
      <c r="Y284" s="280">
        <f>IFERROR(SUM(BN22:BN280),"0")</f>
        <v>7947.5239999999994</v>
      </c>
      <c r="Z284" s="37"/>
      <c r="AA284" s="281"/>
      <c r="AB284" s="281"/>
      <c r="AC284" s="281"/>
    </row>
    <row r="285" spans="1:68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78"/>
      <c r="P285" s="375" t="s">
        <v>386</v>
      </c>
      <c r="Q285" s="336"/>
      <c r="R285" s="336"/>
      <c r="S285" s="336"/>
      <c r="T285" s="336"/>
      <c r="U285" s="336"/>
      <c r="V285" s="337"/>
      <c r="W285" s="37" t="s">
        <v>387</v>
      </c>
      <c r="X285" s="38">
        <f>ROUNDUP(SUM(BO22:BO280),0)</f>
        <v>22</v>
      </c>
      <c r="Y285" s="38">
        <f>ROUNDUP(SUM(BP22:BP280),0)</f>
        <v>22</v>
      </c>
      <c r="Z285" s="37"/>
      <c r="AA285" s="281"/>
      <c r="AB285" s="281"/>
      <c r="AC285" s="281"/>
    </row>
    <row r="286" spans="1:68" x14ac:dyDescent="0.2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78"/>
      <c r="P286" s="375" t="s">
        <v>388</v>
      </c>
      <c r="Q286" s="336"/>
      <c r="R286" s="336"/>
      <c r="S286" s="336"/>
      <c r="T286" s="336"/>
      <c r="U286" s="336"/>
      <c r="V286" s="337"/>
      <c r="W286" s="37" t="s">
        <v>88</v>
      </c>
      <c r="X286" s="280">
        <f>GrossWeightTotal+PalletQtyTotal*25</f>
        <v>8497.5239999999994</v>
      </c>
      <c r="Y286" s="280">
        <f>GrossWeightTotalR+PalletQtyTotalR*25</f>
        <v>8497.5239999999994</v>
      </c>
      <c r="Z286" s="37"/>
      <c r="AA286" s="281"/>
      <c r="AB286" s="281"/>
      <c r="AC286" s="281"/>
    </row>
    <row r="287" spans="1:68" x14ac:dyDescent="0.2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78"/>
      <c r="P287" s="375" t="s">
        <v>389</v>
      </c>
      <c r="Q287" s="336"/>
      <c r="R287" s="336"/>
      <c r="S287" s="336"/>
      <c r="T287" s="336"/>
      <c r="U287" s="336"/>
      <c r="V287" s="337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1798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1798</v>
      </c>
      <c r="Z287" s="37"/>
      <c r="AA287" s="281"/>
      <c r="AB287" s="281"/>
      <c r="AC287" s="281"/>
    </row>
    <row r="288" spans="1:68" ht="14.25" hidden="1" customHeight="1" x14ac:dyDescent="0.2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78"/>
      <c r="P288" s="375" t="s">
        <v>390</v>
      </c>
      <c r="Q288" s="336"/>
      <c r="R288" s="336"/>
      <c r="S288" s="336"/>
      <c r="T288" s="336"/>
      <c r="U288" s="336"/>
      <c r="V288" s="337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27.552399999999999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2" t="s">
        <v>61</v>
      </c>
      <c r="C290" s="390"/>
      <c r="D290" s="312" t="s">
        <v>95</v>
      </c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0"/>
      <c r="V290" s="312" t="s">
        <v>258</v>
      </c>
      <c r="W290" s="399"/>
      <c r="X290" s="390"/>
      <c r="Y290" s="270" t="s">
        <v>276</v>
      </c>
      <c r="Z290" s="312" t="s">
        <v>290</v>
      </c>
      <c r="AA290" s="399"/>
      <c r="AB290" s="390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4" t="s">
        <v>393</v>
      </c>
      <c r="B291" s="312" t="s">
        <v>61</v>
      </c>
      <c r="C291" s="312" t="s">
        <v>89</v>
      </c>
      <c r="D291" s="312" t="s">
        <v>96</v>
      </c>
      <c r="E291" s="312" t="s">
        <v>107</v>
      </c>
      <c r="F291" s="312" t="s">
        <v>114</v>
      </c>
      <c r="G291" s="312" t="s">
        <v>125</v>
      </c>
      <c r="H291" s="312" t="s">
        <v>141</v>
      </c>
      <c r="I291" s="312" t="s">
        <v>148</v>
      </c>
      <c r="J291" s="312" t="s">
        <v>152</v>
      </c>
      <c r="K291" s="312" t="s">
        <v>160</v>
      </c>
      <c r="L291" s="312" t="s">
        <v>175</v>
      </c>
      <c r="M291" s="312" t="s">
        <v>181</v>
      </c>
      <c r="N291" s="271"/>
      <c r="O291" s="312" t="s">
        <v>207</v>
      </c>
      <c r="P291" s="312" t="s">
        <v>229</v>
      </c>
      <c r="Q291" s="312" t="s">
        <v>235</v>
      </c>
      <c r="R291" s="312" t="s">
        <v>241</v>
      </c>
      <c r="S291" s="312" t="s">
        <v>248</v>
      </c>
      <c r="T291" s="312" t="s">
        <v>251</v>
      </c>
      <c r="U291" s="312" t="s">
        <v>255</v>
      </c>
      <c r="V291" s="312" t="s">
        <v>259</v>
      </c>
      <c r="W291" s="312" t="s">
        <v>266</v>
      </c>
      <c r="X291" s="312" t="s">
        <v>273</v>
      </c>
      <c r="Y291" s="312" t="s">
        <v>277</v>
      </c>
      <c r="Z291" s="312" t="s">
        <v>291</v>
      </c>
      <c r="AA291" s="312" t="s">
        <v>304</v>
      </c>
      <c r="AB291" s="312" t="s">
        <v>311</v>
      </c>
      <c r="AC291" s="312" t="s">
        <v>316</v>
      </c>
      <c r="AD291" s="312" t="s">
        <v>321</v>
      </c>
      <c r="AE291" s="312" t="s">
        <v>328</v>
      </c>
      <c r="AF291" s="312" t="s">
        <v>259</v>
      </c>
    </row>
    <row r="292" spans="1:32" ht="13.5" customHeight="1" thickBot="1" x14ac:dyDescent="0.25">
      <c r="A292" s="405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1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0</v>
      </c>
      <c r="C293" s="46">
        <f>IFERROR(X34*H34,"0")+IFERROR(X35*H35,"0")</f>
        <v>0</v>
      </c>
      <c r="D293" s="46">
        <f>IFERROR(X41*H41,"0")+IFERROR(X42*H42,"0")</f>
        <v>210</v>
      </c>
      <c r="E293" s="46">
        <f>IFERROR(X47*H47,"0")+IFERROR(X48*H48,"0")</f>
        <v>268.79999999999995</v>
      </c>
      <c r="F293" s="46">
        <f>IFERROR(X53*H53,"0")+IFERROR(X54*H54,"0")+IFERROR(X55*H55,"0")+IFERROR(X56*H56,"0")</f>
        <v>252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720</v>
      </c>
      <c r="I293" s="46">
        <f>IFERROR(X82*H82,"0")</f>
        <v>0</v>
      </c>
      <c r="J293" s="46">
        <f>IFERROR(X87*H87,"0")+IFERROR(X88*H88,"0")</f>
        <v>252</v>
      </c>
      <c r="K293" s="46">
        <f>IFERROR(X93*H93,"0")+IFERROR(X94*H94,"0")+IFERROR(X95*H95,"0")+IFERROR(X96*H96,"0")+IFERROR(X97*H97,"0")+IFERROR(X98*H98,"0")</f>
        <v>737.52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1581.6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77.28</v>
      </c>
      <c r="P293" s="46">
        <f>IFERROR(X146*H146,"0")+IFERROR(X147*H147,"0")</f>
        <v>420</v>
      </c>
      <c r="Q293" s="46">
        <f>IFERROR(X152*H152,"0")+IFERROR(X153*H153,"0")</f>
        <v>504</v>
      </c>
      <c r="R293" s="46">
        <f>IFERROR(X158*H158,"0")+IFERROR(X159*H159,"0")</f>
        <v>33.6</v>
      </c>
      <c r="S293" s="46">
        <f>IFERROR(X164*H164,"0")</f>
        <v>0</v>
      </c>
      <c r="T293" s="46">
        <f>IFERROR(X169*H169,"0")</f>
        <v>0</v>
      </c>
      <c r="U293" s="46">
        <f>IFERROR(X174*H174,"0")</f>
        <v>47.04</v>
      </c>
      <c r="V293" s="46">
        <f>IFERROR(X180*H180,"0")+IFERROR(X184*H184,"0")</f>
        <v>504</v>
      </c>
      <c r="W293" s="46">
        <f>IFERROR(X189*H189,"0")+IFERROR(X190*H190,"0")</f>
        <v>0</v>
      </c>
      <c r="X293" s="46">
        <f>IFERROR(X195*H195,"0")</f>
        <v>0</v>
      </c>
      <c r="Y293" s="46">
        <f>IFERROR(X201*H201,"0")+IFERROR(X202*H202,"0")+IFERROR(X203*H203,"0")+IFERROR(X204*H204,"0")</f>
        <v>294</v>
      </c>
      <c r="Z293" s="46">
        <f>IFERROR(X210*H210,"0")+IFERROR(X214*H214,"0")+IFERROR(X215*H215,"0")+IFERROR(X216*H216,"0")</f>
        <v>386.4</v>
      </c>
      <c r="AA293" s="46">
        <f>IFERROR(X221*H221,"0")+IFERROR(X222*H222,"0")</f>
        <v>0</v>
      </c>
      <c r="AB293" s="46">
        <f>IFERROR(X227*H227,"0")</f>
        <v>840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60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3662.4</v>
      </c>
      <c r="B296" s="60">
        <f>SUMPRODUCT(--(BB:BB="ПГП"),--(W:W="кор"),H:H,Y:Y)+SUMPRODUCT(--(BB:BB="ПГП"),--(W:W="кг"),Y:Y)</f>
        <v>3525.84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1,60"/>
        <filter val="1 798,00"/>
        <filter val="12,00"/>
        <filter val="14,00"/>
        <filter val="140,00"/>
        <filter val="144,00"/>
        <filter val="168,00"/>
        <filter val="210,00"/>
        <filter val="22"/>
        <filter val="224,00"/>
        <filter val="228,00"/>
        <filter val="24,00"/>
        <filter val="252,00"/>
        <filter val="268,80"/>
        <filter val="28,00"/>
        <filter val="294,00"/>
        <filter val="33,60"/>
        <filter val="36,00"/>
        <filter val="386,40"/>
        <filter val="420,00"/>
        <filter val="47,04"/>
        <filter val="48,00"/>
        <filter val="504,00"/>
        <filter val="56,00"/>
        <filter val="60,00"/>
        <filter val="7 188,24"/>
        <filter val="7 947,52"/>
        <filter val="70,00"/>
        <filter val="720,00"/>
        <filter val="737,52"/>
        <filter val="77,28"/>
        <filter val="8 497,52"/>
        <filter val="84,00"/>
        <filter val="840,0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P255:V255"/>
    <mergeCell ref="P34:T34"/>
    <mergeCell ref="P214:T214"/>
    <mergeCell ref="P192:V192"/>
    <mergeCell ref="A191:O192"/>
    <mergeCell ref="P129:V129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