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D698187-33BC-4CED-AB23-502D5A9A12E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заказа'!$A$18:$AF$295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заказа'!$X$291:$X$291</definedName>
    <definedName name="GrossWeightTotalR">'Бланк заказа'!$Y$291:$Y$291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заказа'!$X$292:$X$292</definedName>
    <definedName name="PalletQtyTotalR">'Бланк заказа'!$Y$292:$Y$292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заказа'!$B$38:$B$38</definedName>
    <definedName name="ProductId100">'Бланк заказа'!$B$281:$B$281</definedName>
    <definedName name="ProductId101">'Бланк заказа'!$B$282:$B$282</definedName>
    <definedName name="ProductId102">'Бланк заказа'!$B$283:$B$283</definedName>
    <definedName name="ProductId103">'Бланк заказа'!$B$284:$B$284</definedName>
    <definedName name="ProductId104">'Бланк заказа'!$B$285:$B$285</definedName>
    <definedName name="ProductId105">'Бланк заказа'!$B$286:$B$286</definedName>
    <definedName name="ProductId106">'Бланк заказа'!$B$287:$B$287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заказа'!$B$57:$B$57</definedName>
    <definedName name="ProductId17">'Бланк заказа'!$B$58:$B$58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заказа'!$B$67:$B$67</definedName>
    <definedName name="ProductId23">'Бланк заказа'!$B$68:$B$68</definedName>
    <definedName name="ProductId24">'Бланк заказа'!$B$69:$B$69</definedName>
    <definedName name="ProductId25">'Бланк заказа'!$B$74:$B$74</definedName>
    <definedName name="ProductId26">'Бланк заказа'!$B$75:$B$75</definedName>
    <definedName name="ProductId27">'Бланк заказа'!$B$80:$B$80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заказа'!$B$91:$B$91</definedName>
    <definedName name="ProductId31">'Бланк заказа'!$B$92:$B$92</definedName>
    <definedName name="ProductId32">'Бланк заказа'!$B$93:$B$93</definedName>
    <definedName name="ProductId33">'Бланк заказа'!$B$94:$B$94</definedName>
    <definedName name="ProductId34">'Бланк заказа'!$B$95:$B$95</definedName>
    <definedName name="ProductId35">'Бланк заказа'!$B$96:$B$96</definedName>
    <definedName name="ProductId36">'Бланк заказа'!$B$97:$B$97</definedName>
    <definedName name="ProductId37">'Бланк заказа'!$B$98:$B$98</definedName>
    <definedName name="ProductId38">'Бланк заказа'!$B$103:$B$103</definedName>
    <definedName name="ProductId39">'Бланк заказа'!$B$104:$B$104</definedName>
    <definedName name="ProductId4">'Бланк заказа'!$B$25:$B$25</definedName>
    <definedName name="ProductId40">'Бланк заказа'!$B$109:$B$109</definedName>
    <definedName name="ProductId41">'Бланк заказа'!$B$110:$B$110</definedName>
    <definedName name="ProductId42">'Бланк заказа'!$B$111:$B$111</definedName>
    <definedName name="ProductId43">'Бланк заказа'!$B$112:$B$112</definedName>
    <definedName name="ProductId44">'Бланк заказа'!$B$113:$B$113</definedName>
    <definedName name="ProductId45">'Бланк заказа'!$B$114:$B$114</definedName>
    <definedName name="ProductId46">'Бланк заказа'!$B$115:$B$115</definedName>
    <definedName name="ProductId47">'Бланк заказа'!$B$116:$B$116</definedName>
    <definedName name="ProductId48">'Бланк заказа'!$B$120:$B$120</definedName>
    <definedName name="ProductId49">'Бланк заказа'!$B$124:$B$124</definedName>
    <definedName name="ProductId5">'Бланк заказа'!$B$26:$B$26</definedName>
    <definedName name="ProductId50">'Бланк заказа'!$B$129:$B$129</definedName>
    <definedName name="ProductId51">'Бланк заказа'!$B$133:$B$133</definedName>
    <definedName name="ProductId52">'Бланк заказа'!$B$134:$B$134</definedName>
    <definedName name="ProductId53">'Бланк заказа'!$B$135:$B$135</definedName>
    <definedName name="ProductId54">'Бланк заказа'!$B$136:$B$136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заказа'!$B$147:$B$147</definedName>
    <definedName name="ProductId59">'Бланк заказа'!$B$148:$B$148</definedName>
    <definedName name="ProductId6">'Бланк заказа'!$B$27:$B$27</definedName>
    <definedName name="ProductId60">'Бланк заказа'!$B$153:$B$153</definedName>
    <definedName name="ProductId61">'Бланк заказа'!$B$154:$B$154</definedName>
    <definedName name="ProductId62">'Бланк заказа'!$B$159:$B$159</definedName>
    <definedName name="ProductId63">'Бланк заказа'!$B$160:$B$160</definedName>
    <definedName name="ProductId64">'Бланк заказа'!$B$161:$B$161</definedName>
    <definedName name="ProductId65">'Бланк заказа'!$B$166:$B$166</definedName>
    <definedName name="ProductId66">'Бланк заказа'!$B$171:$B$171</definedName>
    <definedName name="ProductId67">'Бланк заказа'!$B$176:$B$176</definedName>
    <definedName name="ProductId68">'Бланк заказа'!$B$182:$B$182</definedName>
    <definedName name="ProductId69">'Бланк заказа'!$B$186:$B$186</definedName>
    <definedName name="ProductId7">'Бланк заказа'!$B$28:$B$28</definedName>
    <definedName name="ProductId70">'Бланк заказа'!$B$187:$B$187</definedName>
    <definedName name="ProductId71">'Бланк заказа'!$B$191:$B$191</definedName>
    <definedName name="ProductId72">'Бланк заказа'!$B$192:$B$192</definedName>
    <definedName name="ProductId73">'Бланк заказа'!$B$197:$B$197</definedName>
    <definedName name="ProductId74">'Бланк заказа'!$B$198:$B$198</definedName>
    <definedName name="ProductId75">'Бланк заказа'!$B$203:$B$203</definedName>
    <definedName name="ProductId76">'Бланк заказа'!$B$209:$B$209</definedName>
    <definedName name="ProductId77">'Бланк заказа'!$B$210:$B$210</definedName>
    <definedName name="ProductId78">'Бланк заказа'!$B$211:$B$211</definedName>
    <definedName name="ProductId79">'Бланк заказа'!$B$212:$B$212</definedName>
    <definedName name="ProductId8">'Бланк заказа'!$B$29:$B$29</definedName>
    <definedName name="ProductId80">'Бланк заказа'!$B$218:$B$218</definedName>
    <definedName name="ProductId81">'Бланк заказа'!$B$222:$B$222</definedName>
    <definedName name="ProductId82">'Бланк заказа'!$B$223:$B$223</definedName>
    <definedName name="ProductId83">'Бланк заказа'!$B$224:$B$224</definedName>
    <definedName name="ProductId84">'Бланк заказа'!$B$229:$B$229</definedName>
    <definedName name="ProductId85">'Бланк заказа'!$B$230:$B$230</definedName>
    <definedName name="ProductId86">'Бланк заказа'!$B$235:$B$235</definedName>
    <definedName name="ProductId87">'Бланк заказа'!$B$241:$B$241</definedName>
    <definedName name="ProductId88">'Бланк заказа'!$B$247:$B$247</definedName>
    <definedName name="ProductId89">'Бланк заказа'!$B$251:$B$251</definedName>
    <definedName name="ProductId9">'Бланк заказа'!$B$33:$B$33</definedName>
    <definedName name="ProductId90">'Бланк заказа'!$B$257:$B$257</definedName>
    <definedName name="ProductId91">'Бланк заказа'!$B$261:$B$261</definedName>
    <definedName name="ProductId92">'Бланк заказа'!$B$267:$B$267</definedName>
    <definedName name="ProductId93">'Бланк заказа'!$B$268:$B$268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заказа'!$B$278:$B$278</definedName>
    <definedName name="ProductId98">'Бланк заказа'!$B$279:$B$279</definedName>
    <definedName name="ProductId99">'Бланк заказа'!$B$280:$B$280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00">'Бланк заказа'!$X$281:$X$281</definedName>
    <definedName name="SalesQty101">'Бланк заказа'!$X$282:$X$282</definedName>
    <definedName name="SalesQty102">'Бланк заказа'!$X$283:$X$283</definedName>
    <definedName name="SalesQty103">'Бланк заказа'!$X$284:$X$284</definedName>
    <definedName name="SalesQty104">'Бланк заказа'!$X$285:$X$285</definedName>
    <definedName name="SalesQty105">'Бланк заказа'!$X$286:$X$286</definedName>
    <definedName name="SalesQty106">'Бланк заказа'!$X$287:$X$287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заказа'!$X$57:$X$57</definedName>
    <definedName name="SalesQty17">'Бланк заказа'!$X$58:$X$58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заказа'!$X$67:$X$67</definedName>
    <definedName name="SalesQty23">'Бланк заказа'!$X$68:$X$68</definedName>
    <definedName name="SalesQty24">'Бланк заказа'!$X$69:$X$69</definedName>
    <definedName name="SalesQty25">'Бланк заказа'!$X$74:$X$74</definedName>
    <definedName name="SalesQty26">'Бланк заказа'!$X$75:$X$75</definedName>
    <definedName name="SalesQty27">'Бланк заказа'!$X$80:$X$80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заказа'!$X$91:$X$91</definedName>
    <definedName name="SalesQty31">'Бланк заказа'!$X$92:$X$92</definedName>
    <definedName name="SalesQty32">'Бланк заказа'!$X$93:$X$93</definedName>
    <definedName name="SalesQty33">'Бланк заказа'!$X$94:$X$94</definedName>
    <definedName name="SalesQty34">'Бланк заказа'!$X$95:$X$95</definedName>
    <definedName name="SalesQty35">'Бланк заказа'!$X$96:$X$96</definedName>
    <definedName name="SalesQty36">'Бланк заказа'!$X$97:$X$97</definedName>
    <definedName name="SalesQty37">'Бланк заказа'!$X$98:$X$98</definedName>
    <definedName name="SalesQty38">'Бланк заказа'!$X$103:$X$103</definedName>
    <definedName name="SalesQty39">'Бланк заказа'!$X$104:$X$104</definedName>
    <definedName name="SalesQty4">'Бланк заказа'!$X$25:$X$25</definedName>
    <definedName name="SalesQty40">'Бланк заказа'!$X$109:$X$109</definedName>
    <definedName name="SalesQty41">'Бланк заказа'!$X$110:$X$110</definedName>
    <definedName name="SalesQty42">'Бланк заказа'!$X$111:$X$111</definedName>
    <definedName name="SalesQty43">'Бланк заказа'!$X$112:$X$112</definedName>
    <definedName name="SalesQty44">'Бланк заказа'!$X$113:$X$113</definedName>
    <definedName name="SalesQty45">'Бланк заказа'!$X$114:$X$114</definedName>
    <definedName name="SalesQty46">'Бланк заказа'!$X$115:$X$115</definedName>
    <definedName name="SalesQty47">'Бланк заказа'!$X$116:$X$116</definedName>
    <definedName name="SalesQty48">'Бланк заказа'!$X$120:$X$120</definedName>
    <definedName name="SalesQty49">'Бланк заказа'!$X$124:$X$124</definedName>
    <definedName name="SalesQty5">'Бланк заказа'!$X$26:$X$26</definedName>
    <definedName name="SalesQty50">'Бланк заказа'!$X$129:$X$129</definedName>
    <definedName name="SalesQty51">'Бланк заказа'!$X$133:$X$133</definedName>
    <definedName name="SalesQty52">'Бланк заказа'!$X$134:$X$134</definedName>
    <definedName name="SalesQty53">'Бланк заказа'!$X$135:$X$135</definedName>
    <definedName name="SalesQty54">'Бланк заказа'!$X$136:$X$136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заказа'!$X$147:$X$147</definedName>
    <definedName name="SalesQty59">'Бланк заказа'!$X$148:$X$148</definedName>
    <definedName name="SalesQty6">'Бланк заказа'!$X$27:$X$27</definedName>
    <definedName name="SalesQty60">'Бланк заказа'!$X$153:$X$153</definedName>
    <definedName name="SalesQty61">'Бланк заказа'!$X$154:$X$154</definedName>
    <definedName name="SalesQty62">'Бланк заказа'!$X$159:$X$159</definedName>
    <definedName name="SalesQty63">'Бланк заказа'!$X$160:$X$160</definedName>
    <definedName name="SalesQty64">'Бланк заказа'!$X$161:$X$161</definedName>
    <definedName name="SalesQty65">'Бланк заказа'!$X$166:$X$166</definedName>
    <definedName name="SalesQty66">'Бланк заказа'!$X$171:$X$171</definedName>
    <definedName name="SalesQty67">'Бланк заказа'!$X$176:$X$176</definedName>
    <definedName name="SalesQty68">'Бланк заказа'!$X$182:$X$182</definedName>
    <definedName name="SalesQty69">'Бланк заказа'!$X$186:$X$186</definedName>
    <definedName name="SalesQty7">'Бланк заказа'!$X$28:$X$28</definedName>
    <definedName name="SalesQty70">'Бланк заказа'!$X$187:$X$187</definedName>
    <definedName name="SalesQty71">'Бланк заказа'!$X$191:$X$191</definedName>
    <definedName name="SalesQty72">'Бланк заказа'!$X$192:$X$192</definedName>
    <definedName name="SalesQty73">'Бланк заказа'!$X$197:$X$197</definedName>
    <definedName name="SalesQty74">'Бланк заказа'!$X$198:$X$198</definedName>
    <definedName name="SalesQty75">'Бланк заказа'!$X$203:$X$203</definedName>
    <definedName name="SalesQty76">'Бланк заказа'!$X$209:$X$209</definedName>
    <definedName name="SalesQty77">'Бланк заказа'!$X$210:$X$210</definedName>
    <definedName name="SalesQty78">'Бланк заказа'!$X$211:$X$211</definedName>
    <definedName name="SalesQty79">'Бланк заказа'!$X$212:$X$212</definedName>
    <definedName name="SalesQty8">'Бланк заказа'!$X$29:$X$29</definedName>
    <definedName name="SalesQty80">'Бланк заказа'!$X$218:$X$218</definedName>
    <definedName name="SalesQty81">'Бланк заказа'!$X$222:$X$222</definedName>
    <definedName name="SalesQty82">'Бланк заказа'!$X$223:$X$223</definedName>
    <definedName name="SalesQty83">'Бланк заказа'!$X$224:$X$224</definedName>
    <definedName name="SalesQty84">'Бланк заказа'!$X$229:$X$229</definedName>
    <definedName name="SalesQty85">'Бланк заказа'!$X$230:$X$230</definedName>
    <definedName name="SalesQty86">'Бланк заказа'!$X$235:$X$235</definedName>
    <definedName name="SalesQty87">'Бланк заказа'!$X$241:$X$241</definedName>
    <definedName name="SalesQty88">'Бланк заказа'!$X$247:$X$247</definedName>
    <definedName name="SalesQty89">'Бланк заказа'!$X$251:$X$251</definedName>
    <definedName name="SalesQty9">'Бланк заказа'!$X$33:$X$33</definedName>
    <definedName name="SalesQty90">'Бланк заказа'!$X$257:$X$257</definedName>
    <definedName name="SalesQty91">'Бланк заказа'!$X$261:$X$261</definedName>
    <definedName name="SalesQty92">'Бланк заказа'!$X$267:$X$267</definedName>
    <definedName name="SalesQty93">'Бланк заказа'!$X$268:$X$268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заказа'!$X$278:$X$278</definedName>
    <definedName name="SalesQty98">'Бланк заказа'!$X$279:$X$279</definedName>
    <definedName name="SalesQty99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00">'Бланк заказа'!$Y$281:$Y$281</definedName>
    <definedName name="SalesRoundBox101">'Бланк заказа'!$Y$282:$Y$282</definedName>
    <definedName name="SalesRoundBox102">'Бланк заказа'!$Y$283:$Y$283</definedName>
    <definedName name="SalesRoundBox103">'Бланк заказа'!$Y$284:$Y$284</definedName>
    <definedName name="SalesRoundBox104">'Бланк заказа'!$Y$285:$Y$285</definedName>
    <definedName name="SalesRoundBox105">'Бланк заказа'!$Y$286:$Y$286</definedName>
    <definedName name="SalesRoundBox106">'Бланк заказа'!$Y$287:$Y$287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заказа'!$Y$57:$Y$57</definedName>
    <definedName name="SalesRoundBox17">'Бланк заказа'!$Y$58:$Y$58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заказа'!$Y$67:$Y$67</definedName>
    <definedName name="SalesRoundBox23">'Бланк заказа'!$Y$68:$Y$68</definedName>
    <definedName name="SalesRoundBox24">'Бланк заказа'!$Y$69:$Y$69</definedName>
    <definedName name="SalesRoundBox25">'Бланк заказа'!$Y$74:$Y$74</definedName>
    <definedName name="SalesRoundBox26">'Бланк заказа'!$Y$75:$Y$75</definedName>
    <definedName name="SalesRoundBox27">'Бланк заказа'!$Y$80:$Y$80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заказа'!$Y$91:$Y$91</definedName>
    <definedName name="SalesRoundBox31">'Бланк заказа'!$Y$92:$Y$92</definedName>
    <definedName name="SalesRoundBox32">'Бланк заказа'!$Y$93:$Y$93</definedName>
    <definedName name="SalesRoundBox33">'Бланк заказа'!$Y$94:$Y$94</definedName>
    <definedName name="SalesRoundBox34">'Бланк заказа'!$Y$95:$Y$95</definedName>
    <definedName name="SalesRoundBox35">'Бланк заказа'!$Y$96:$Y$96</definedName>
    <definedName name="SalesRoundBox36">'Бланк заказа'!$Y$97:$Y$97</definedName>
    <definedName name="SalesRoundBox37">'Бланк заказа'!$Y$98:$Y$98</definedName>
    <definedName name="SalesRoundBox38">'Бланк заказа'!$Y$103:$Y$103</definedName>
    <definedName name="SalesRoundBox39">'Бланк заказа'!$Y$104:$Y$104</definedName>
    <definedName name="SalesRoundBox4">'Бланк заказа'!$Y$25:$Y$25</definedName>
    <definedName name="SalesRoundBox40">'Бланк заказа'!$Y$109:$Y$109</definedName>
    <definedName name="SalesRoundBox41">'Бланк заказа'!$Y$110:$Y$110</definedName>
    <definedName name="SalesRoundBox42">'Бланк заказа'!$Y$111:$Y$111</definedName>
    <definedName name="SalesRoundBox43">'Бланк заказа'!$Y$112:$Y$112</definedName>
    <definedName name="SalesRoundBox44">'Бланк заказа'!$Y$113:$Y$113</definedName>
    <definedName name="SalesRoundBox45">'Бланк заказа'!$Y$114:$Y$114</definedName>
    <definedName name="SalesRoundBox46">'Бланк заказа'!$Y$115:$Y$115</definedName>
    <definedName name="SalesRoundBox47">'Бланк заказа'!$Y$116:$Y$116</definedName>
    <definedName name="SalesRoundBox48">'Бланк заказа'!$Y$120:$Y$120</definedName>
    <definedName name="SalesRoundBox49">'Бланк заказа'!$Y$124:$Y$124</definedName>
    <definedName name="SalesRoundBox5">'Бланк заказа'!$Y$26:$Y$26</definedName>
    <definedName name="SalesRoundBox50">'Бланк заказа'!$Y$129:$Y$129</definedName>
    <definedName name="SalesRoundBox51">'Бланк заказа'!$Y$133:$Y$133</definedName>
    <definedName name="SalesRoundBox52">'Бланк заказа'!$Y$134:$Y$134</definedName>
    <definedName name="SalesRoundBox53">'Бланк заказа'!$Y$135:$Y$135</definedName>
    <definedName name="SalesRoundBox54">'Бланк заказа'!$Y$136:$Y$136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заказа'!$Y$147:$Y$147</definedName>
    <definedName name="SalesRoundBox59">'Бланк заказа'!$Y$148:$Y$148</definedName>
    <definedName name="SalesRoundBox6">'Бланк заказа'!$Y$27:$Y$27</definedName>
    <definedName name="SalesRoundBox60">'Бланк заказа'!$Y$153:$Y$153</definedName>
    <definedName name="SalesRoundBox61">'Бланк заказа'!$Y$154:$Y$154</definedName>
    <definedName name="SalesRoundBox62">'Бланк заказа'!$Y$159:$Y$159</definedName>
    <definedName name="SalesRoundBox63">'Бланк заказа'!$Y$160:$Y$160</definedName>
    <definedName name="SalesRoundBox64">'Бланк заказа'!$Y$161:$Y$161</definedName>
    <definedName name="SalesRoundBox65">'Бланк заказа'!$Y$166:$Y$166</definedName>
    <definedName name="SalesRoundBox66">'Бланк заказа'!$Y$171:$Y$171</definedName>
    <definedName name="SalesRoundBox67">'Бланк заказа'!$Y$176:$Y$176</definedName>
    <definedName name="SalesRoundBox68">'Бланк заказа'!$Y$182:$Y$182</definedName>
    <definedName name="SalesRoundBox69">'Бланк заказа'!$Y$186:$Y$186</definedName>
    <definedName name="SalesRoundBox7">'Бланк заказа'!$Y$28:$Y$28</definedName>
    <definedName name="SalesRoundBox70">'Бланк заказа'!$Y$187:$Y$187</definedName>
    <definedName name="SalesRoundBox71">'Бланк заказа'!$Y$191:$Y$191</definedName>
    <definedName name="SalesRoundBox72">'Бланк заказа'!$Y$192:$Y$192</definedName>
    <definedName name="SalesRoundBox73">'Бланк заказа'!$Y$197:$Y$197</definedName>
    <definedName name="SalesRoundBox74">'Бланк заказа'!$Y$198:$Y$198</definedName>
    <definedName name="SalesRoundBox75">'Бланк заказа'!$Y$203:$Y$203</definedName>
    <definedName name="SalesRoundBox76">'Бланк заказа'!$Y$209:$Y$209</definedName>
    <definedName name="SalesRoundBox77">'Бланк заказа'!$Y$210:$Y$210</definedName>
    <definedName name="SalesRoundBox78">'Бланк заказа'!$Y$211:$Y$211</definedName>
    <definedName name="SalesRoundBox79">'Бланк заказа'!$Y$212:$Y$212</definedName>
    <definedName name="SalesRoundBox8">'Бланк заказа'!$Y$29:$Y$29</definedName>
    <definedName name="SalesRoundBox80">'Бланк заказа'!$Y$218:$Y$218</definedName>
    <definedName name="SalesRoundBox81">'Бланк заказа'!$Y$222:$Y$222</definedName>
    <definedName name="SalesRoundBox82">'Бланк заказа'!$Y$223:$Y$223</definedName>
    <definedName name="SalesRoundBox83">'Бланк заказа'!$Y$224:$Y$224</definedName>
    <definedName name="SalesRoundBox84">'Бланк заказа'!$Y$229:$Y$229</definedName>
    <definedName name="SalesRoundBox85">'Бланк заказа'!$Y$230:$Y$230</definedName>
    <definedName name="SalesRoundBox86">'Бланк заказа'!$Y$235:$Y$235</definedName>
    <definedName name="SalesRoundBox87">'Бланк заказа'!$Y$241:$Y$241</definedName>
    <definedName name="SalesRoundBox88">'Бланк заказа'!$Y$247:$Y$247</definedName>
    <definedName name="SalesRoundBox89">'Бланк заказа'!$Y$251:$Y$251</definedName>
    <definedName name="SalesRoundBox9">'Бланк заказа'!$Y$33:$Y$33</definedName>
    <definedName name="SalesRoundBox90">'Бланк заказа'!$Y$257:$Y$257</definedName>
    <definedName name="SalesRoundBox91">'Бланк заказа'!$Y$261:$Y$261</definedName>
    <definedName name="SalesRoundBox92">'Бланк заказа'!$Y$267:$Y$267</definedName>
    <definedName name="SalesRoundBox93">'Бланк заказа'!$Y$268:$Y$268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заказа'!$Y$278:$Y$278</definedName>
    <definedName name="SalesRoundBox98">'Бланк заказа'!$Y$279:$Y$279</definedName>
    <definedName name="SalesRoundBox99">'Бланк заказа'!$Y$280:$Y$280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00">'Бланк заказа'!$W$281:$W$281</definedName>
    <definedName name="UnitOfMeasure101">'Бланк заказа'!$W$282:$W$282</definedName>
    <definedName name="UnitOfMeasure102">'Бланк заказа'!$W$283:$W$283</definedName>
    <definedName name="UnitOfMeasure103">'Бланк заказа'!$W$284:$W$284</definedName>
    <definedName name="UnitOfMeasure104">'Бланк заказа'!$W$285:$W$285</definedName>
    <definedName name="UnitOfMeasure105">'Бланк заказа'!$W$286:$W$286</definedName>
    <definedName name="UnitOfMeasure106">'Бланк заказа'!$W$287:$W$287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заказа'!$W$57:$W$57</definedName>
    <definedName name="UnitOfMeasure17">'Бланк заказа'!$W$58:$W$58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заказа'!$W$67:$W$67</definedName>
    <definedName name="UnitOfMeasure23">'Бланк заказа'!$W$68:$W$68</definedName>
    <definedName name="UnitOfMeasure24">'Бланк заказа'!$W$69:$W$69</definedName>
    <definedName name="UnitOfMeasure25">'Бланк заказа'!$W$74:$W$74</definedName>
    <definedName name="UnitOfMeasure26">'Бланк заказа'!$W$75:$W$75</definedName>
    <definedName name="UnitOfMeasure27">'Бланк заказа'!$W$80:$W$80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заказа'!$W$91:$W$91</definedName>
    <definedName name="UnitOfMeasure31">'Бланк заказа'!$W$92:$W$92</definedName>
    <definedName name="UnitOfMeasure32">'Бланк заказа'!$W$93:$W$93</definedName>
    <definedName name="UnitOfMeasure33">'Бланк заказа'!$W$94:$W$94</definedName>
    <definedName name="UnitOfMeasure34">'Бланк заказа'!$W$95:$W$95</definedName>
    <definedName name="UnitOfMeasure35">'Бланк заказа'!$W$96:$W$96</definedName>
    <definedName name="UnitOfMeasure36">'Бланк заказа'!$W$97:$W$97</definedName>
    <definedName name="UnitOfMeasure37">'Бланк заказа'!$W$98:$W$98</definedName>
    <definedName name="UnitOfMeasure38">'Бланк заказа'!$W$103:$W$103</definedName>
    <definedName name="UnitOfMeasure39">'Бланк заказа'!$W$104:$W$104</definedName>
    <definedName name="UnitOfMeasure4">'Бланк заказа'!$W$25:$W$25</definedName>
    <definedName name="UnitOfMeasure40">'Бланк заказа'!$W$109:$W$109</definedName>
    <definedName name="UnitOfMeasure41">'Бланк заказа'!$W$110:$W$110</definedName>
    <definedName name="UnitOfMeasure42">'Бланк заказа'!$W$111:$W$111</definedName>
    <definedName name="UnitOfMeasure43">'Бланк заказа'!$W$112:$W$112</definedName>
    <definedName name="UnitOfMeasure44">'Бланк заказа'!$W$113:$W$113</definedName>
    <definedName name="UnitOfMeasure45">'Бланк заказа'!$W$114:$W$114</definedName>
    <definedName name="UnitOfMeasure46">'Бланк заказа'!$W$115:$W$115</definedName>
    <definedName name="UnitOfMeasure47">'Бланк заказа'!$W$116:$W$116</definedName>
    <definedName name="UnitOfMeasure48">'Бланк заказа'!$W$120:$W$120</definedName>
    <definedName name="UnitOfMeasure49">'Бланк заказа'!$W$124:$W$124</definedName>
    <definedName name="UnitOfMeasure5">'Бланк заказа'!$W$26:$W$26</definedName>
    <definedName name="UnitOfMeasure50">'Бланк заказа'!$W$129:$W$129</definedName>
    <definedName name="UnitOfMeasure51">'Бланк заказа'!$W$133:$W$133</definedName>
    <definedName name="UnitOfMeasure52">'Бланк заказа'!$W$134:$W$134</definedName>
    <definedName name="UnitOfMeasure53">'Бланк заказа'!$W$135:$W$135</definedName>
    <definedName name="UnitOfMeasure54">'Бланк заказа'!$W$136:$W$136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заказа'!$W$147:$W$147</definedName>
    <definedName name="UnitOfMeasure59">'Бланк заказа'!$W$148:$W$148</definedName>
    <definedName name="UnitOfMeasure6">'Бланк заказа'!$W$27:$W$27</definedName>
    <definedName name="UnitOfMeasure60">'Бланк заказа'!$W$153:$W$153</definedName>
    <definedName name="UnitOfMeasure61">'Бланк заказа'!$W$154:$W$154</definedName>
    <definedName name="UnitOfMeasure62">'Бланк заказа'!$W$159:$W$159</definedName>
    <definedName name="UnitOfMeasure63">'Бланк заказа'!$W$160:$W$160</definedName>
    <definedName name="UnitOfMeasure64">'Бланк заказа'!$W$161:$W$161</definedName>
    <definedName name="UnitOfMeasure65">'Бланк заказа'!$W$166:$W$166</definedName>
    <definedName name="UnitOfMeasure66">'Бланк заказа'!$W$171:$W$171</definedName>
    <definedName name="UnitOfMeasure67">'Бланк заказа'!$W$176:$W$176</definedName>
    <definedName name="UnitOfMeasure68">'Бланк заказа'!$W$182:$W$182</definedName>
    <definedName name="UnitOfMeasure69">'Бланк заказа'!$W$186:$W$186</definedName>
    <definedName name="UnitOfMeasure7">'Бланк заказа'!$W$28:$W$28</definedName>
    <definedName name="UnitOfMeasure70">'Бланк заказа'!$W$187:$W$187</definedName>
    <definedName name="UnitOfMeasure71">'Бланк заказа'!$W$191:$W$191</definedName>
    <definedName name="UnitOfMeasure72">'Бланк заказа'!$W$192:$W$192</definedName>
    <definedName name="UnitOfMeasure73">'Бланк заказа'!$W$197:$W$197</definedName>
    <definedName name="UnitOfMeasure74">'Бланк заказа'!$W$198:$W$198</definedName>
    <definedName name="UnitOfMeasure75">'Бланк заказа'!$W$203:$W$203</definedName>
    <definedName name="UnitOfMeasure76">'Бланк заказа'!$W$209:$W$209</definedName>
    <definedName name="UnitOfMeasure77">'Бланк заказа'!$W$210:$W$210</definedName>
    <definedName name="UnitOfMeasure78">'Бланк заказа'!$W$211:$W$211</definedName>
    <definedName name="UnitOfMeasure79">'Бланк заказа'!$W$212:$W$212</definedName>
    <definedName name="UnitOfMeasure8">'Бланк заказа'!$W$29:$W$29</definedName>
    <definedName name="UnitOfMeasure80">'Бланк заказа'!$W$218:$W$218</definedName>
    <definedName name="UnitOfMeasure81">'Бланк заказа'!$W$222:$W$222</definedName>
    <definedName name="UnitOfMeasure82">'Бланк заказа'!$W$223:$W$223</definedName>
    <definedName name="UnitOfMeasure83">'Бланк заказа'!$W$224:$W$224</definedName>
    <definedName name="UnitOfMeasure84">'Бланк заказа'!$W$229:$W$229</definedName>
    <definedName name="UnitOfMeasure85">'Бланк заказа'!$W$230:$W$230</definedName>
    <definedName name="UnitOfMeasure86">'Бланк заказа'!$W$235:$W$235</definedName>
    <definedName name="UnitOfMeasure87">'Бланк заказа'!$W$241:$W$241</definedName>
    <definedName name="UnitOfMeasure88">'Бланк заказа'!$W$247:$W$247</definedName>
    <definedName name="UnitOfMeasure89">'Бланк заказа'!$W$251:$W$251</definedName>
    <definedName name="UnitOfMeasure9">'Бланк заказа'!$W$33:$W$33</definedName>
    <definedName name="UnitOfMeasure90">'Бланк заказа'!$W$257:$W$257</definedName>
    <definedName name="UnitOfMeasure91">'Бланк заказа'!$W$261:$W$261</definedName>
    <definedName name="UnitOfMeasure92">'Бланк заказа'!$W$267:$W$267</definedName>
    <definedName name="UnitOfMeasure93">'Бланк заказа'!$W$268:$W$268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заказа'!$W$278:$W$278</definedName>
    <definedName name="UnitOfMeasure98">'Бланк заказа'!$W$279:$W$279</definedName>
    <definedName name="UnitOfMeasure99">'Бланк заказа'!$W$280:$W$280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300" i="2" l="1"/>
  <c r="AE300" i="2"/>
  <c r="AD300" i="2"/>
  <c r="AC300" i="2"/>
  <c r="AB300" i="2"/>
  <c r="AA300" i="2"/>
  <c r="Z300" i="2"/>
  <c r="Y300" i="2"/>
  <c r="X300" i="2"/>
  <c r="W300" i="2"/>
  <c r="V300" i="2"/>
  <c r="U300" i="2"/>
  <c r="T300" i="2"/>
  <c r="S300" i="2"/>
  <c r="R300" i="2"/>
  <c r="Q300" i="2"/>
  <c r="P300" i="2"/>
  <c r="O300" i="2"/>
  <c r="M300" i="2"/>
  <c r="L300" i="2"/>
  <c r="K300" i="2"/>
  <c r="J300" i="2"/>
  <c r="I300" i="2"/>
  <c r="H300" i="2"/>
  <c r="G300" i="2"/>
  <c r="F300" i="2"/>
  <c r="E300" i="2"/>
  <c r="D300" i="2"/>
  <c r="C300" i="2"/>
  <c r="B300" i="2"/>
  <c r="X289" i="2"/>
  <c r="X288" i="2"/>
  <c r="BO287" i="2"/>
  <c r="BM287" i="2"/>
  <c r="Z287" i="2"/>
  <c r="Y287" i="2"/>
  <c r="BN287" i="2" s="1"/>
  <c r="P287" i="2"/>
  <c r="BO286" i="2"/>
  <c r="BM286" i="2"/>
  <c r="Z286" i="2"/>
  <c r="Y286" i="2"/>
  <c r="BN286" i="2" s="1"/>
  <c r="BO285" i="2"/>
  <c r="BN285" i="2"/>
  <c r="BM285" i="2"/>
  <c r="Z285" i="2"/>
  <c r="Y285" i="2"/>
  <c r="BP285" i="2" s="1"/>
  <c r="P285" i="2"/>
  <c r="BO284" i="2"/>
  <c r="BM284" i="2"/>
  <c r="Z284" i="2"/>
  <c r="Y284" i="2"/>
  <c r="BP284" i="2" s="1"/>
  <c r="BO283" i="2"/>
  <c r="BM283" i="2"/>
  <c r="Z283" i="2"/>
  <c r="Y283" i="2"/>
  <c r="BP283" i="2" s="1"/>
  <c r="BO282" i="2"/>
  <c r="BM282" i="2"/>
  <c r="Z282" i="2"/>
  <c r="Y282" i="2"/>
  <c r="BN282" i="2" s="1"/>
  <c r="BO281" i="2"/>
  <c r="BN281" i="2"/>
  <c r="BM281" i="2"/>
  <c r="Z281" i="2"/>
  <c r="Y281" i="2"/>
  <c r="BP281" i="2" s="1"/>
  <c r="BO280" i="2"/>
  <c r="BM280" i="2"/>
  <c r="Z280" i="2"/>
  <c r="Y280" i="2"/>
  <c r="BP280" i="2" s="1"/>
  <c r="BO279" i="2"/>
  <c r="BM279" i="2"/>
  <c r="Z279" i="2"/>
  <c r="Y279" i="2"/>
  <c r="BP279" i="2" s="1"/>
  <c r="BO278" i="2"/>
  <c r="BM278" i="2"/>
  <c r="Z278" i="2"/>
  <c r="Y278" i="2"/>
  <c r="BP278" i="2" s="1"/>
  <c r="X276" i="2"/>
  <c r="X275" i="2"/>
  <c r="BO274" i="2"/>
  <c r="BM274" i="2"/>
  <c r="Z274" i="2"/>
  <c r="Y274" i="2"/>
  <c r="BO273" i="2"/>
  <c r="BM273" i="2"/>
  <c r="Z273" i="2"/>
  <c r="Y273" i="2"/>
  <c r="BN273" i="2" s="1"/>
  <c r="BO272" i="2"/>
  <c r="BM272" i="2"/>
  <c r="Z272" i="2"/>
  <c r="Y272" i="2"/>
  <c r="BP272" i="2" s="1"/>
  <c r="X270" i="2"/>
  <c r="X269" i="2"/>
  <c r="BO268" i="2"/>
  <c r="BM268" i="2"/>
  <c r="Z268" i="2"/>
  <c r="Y268" i="2"/>
  <c r="BP268" i="2" s="1"/>
  <c r="P268" i="2"/>
  <c r="BO267" i="2"/>
  <c r="BM267" i="2"/>
  <c r="Z267" i="2"/>
  <c r="Y267" i="2"/>
  <c r="BN267" i="2" s="1"/>
  <c r="P267" i="2"/>
  <c r="X263" i="2"/>
  <c r="X262" i="2"/>
  <c r="BO261" i="2"/>
  <c r="BM261" i="2"/>
  <c r="Z261" i="2"/>
  <c r="Z262" i="2" s="1"/>
  <c r="Y261" i="2"/>
  <c r="BP261" i="2" s="1"/>
  <c r="P261" i="2"/>
  <c r="X259" i="2"/>
  <c r="X258" i="2"/>
  <c r="BO257" i="2"/>
  <c r="BM257" i="2"/>
  <c r="Z257" i="2"/>
  <c r="Z258" i="2" s="1"/>
  <c r="Y257" i="2"/>
  <c r="BN257" i="2" s="1"/>
  <c r="P257" i="2"/>
  <c r="X253" i="2"/>
  <c r="X252" i="2"/>
  <c r="BO251" i="2"/>
  <c r="BM251" i="2"/>
  <c r="Z251" i="2"/>
  <c r="Z252" i="2" s="1"/>
  <c r="Y251" i="2"/>
  <c r="BP251" i="2" s="1"/>
  <c r="P251" i="2"/>
  <c r="X249" i="2"/>
  <c r="X248" i="2"/>
  <c r="BO247" i="2"/>
  <c r="BM247" i="2"/>
  <c r="Z247" i="2"/>
  <c r="Z248" i="2" s="1"/>
  <c r="Y247" i="2"/>
  <c r="BN247" i="2" s="1"/>
  <c r="P247" i="2"/>
  <c r="X243" i="2"/>
  <c r="X242" i="2"/>
  <c r="BO241" i="2"/>
  <c r="BM241" i="2"/>
  <c r="Z241" i="2"/>
  <c r="Z242" i="2" s="1"/>
  <c r="Y241" i="2"/>
  <c r="BP241" i="2" s="1"/>
  <c r="P241" i="2"/>
  <c r="X237" i="2"/>
  <c r="X236" i="2"/>
  <c r="BO235" i="2"/>
  <c r="BM235" i="2"/>
  <c r="Z235" i="2"/>
  <c r="Z236" i="2" s="1"/>
  <c r="Y235" i="2"/>
  <c r="BN235" i="2" s="1"/>
  <c r="P235" i="2"/>
  <c r="X232" i="2"/>
  <c r="X231" i="2"/>
  <c r="BO230" i="2"/>
  <c r="BM230" i="2"/>
  <c r="Z230" i="2"/>
  <c r="Y230" i="2"/>
  <c r="BP230" i="2" s="1"/>
  <c r="P230" i="2"/>
  <c r="BO229" i="2"/>
  <c r="BM229" i="2"/>
  <c r="Z229" i="2"/>
  <c r="Y229" i="2"/>
  <c r="P229" i="2"/>
  <c r="X226" i="2"/>
  <c r="X225" i="2"/>
  <c r="BO224" i="2"/>
  <c r="BM224" i="2"/>
  <c r="Z224" i="2"/>
  <c r="Y224" i="2"/>
  <c r="BN224" i="2" s="1"/>
  <c r="P224" i="2"/>
  <c r="BO223" i="2"/>
  <c r="BM223" i="2"/>
  <c r="Z223" i="2"/>
  <c r="Y223" i="2"/>
  <c r="P223" i="2"/>
  <c r="BO222" i="2"/>
  <c r="BN222" i="2"/>
  <c r="BM222" i="2"/>
  <c r="Z222" i="2"/>
  <c r="Y222" i="2"/>
  <c r="BP222" i="2" s="1"/>
  <c r="P222" i="2"/>
  <c r="X220" i="2"/>
  <c r="X219" i="2"/>
  <c r="BO218" i="2"/>
  <c r="BM218" i="2"/>
  <c r="Z218" i="2"/>
  <c r="Z219" i="2" s="1"/>
  <c r="Y218" i="2"/>
  <c r="Y220" i="2" s="1"/>
  <c r="P218" i="2"/>
  <c r="X214" i="2"/>
  <c r="X213" i="2"/>
  <c r="BO212" i="2"/>
  <c r="BM212" i="2"/>
  <c r="Z212" i="2"/>
  <c r="Y212" i="2"/>
  <c r="BP212" i="2" s="1"/>
  <c r="P212" i="2"/>
  <c r="BO211" i="2"/>
  <c r="BM211" i="2"/>
  <c r="Z211" i="2"/>
  <c r="Y211" i="2"/>
  <c r="BP211" i="2" s="1"/>
  <c r="P211" i="2"/>
  <c r="BO210" i="2"/>
  <c r="BM210" i="2"/>
  <c r="Z210" i="2"/>
  <c r="Y210" i="2"/>
  <c r="BP210" i="2" s="1"/>
  <c r="P210" i="2"/>
  <c r="BO209" i="2"/>
  <c r="BM209" i="2"/>
  <c r="Z209" i="2"/>
  <c r="Y209" i="2"/>
  <c r="P209" i="2"/>
  <c r="X205" i="2"/>
  <c r="X204" i="2"/>
  <c r="BO203" i="2"/>
  <c r="BM203" i="2"/>
  <c r="Z203" i="2"/>
  <c r="Z204" i="2" s="1"/>
  <c r="Y203" i="2"/>
  <c r="Y204" i="2" s="1"/>
  <c r="P203" i="2"/>
  <c r="X200" i="2"/>
  <c r="X199" i="2"/>
  <c r="BO198" i="2"/>
  <c r="BM198" i="2"/>
  <c r="Z198" i="2"/>
  <c r="Y198" i="2"/>
  <c r="P198" i="2"/>
  <c r="BO197" i="2"/>
  <c r="BM197" i="2"/>
  <c r="Z197" i="2"/>
  <c r="Y197" i="2"/>
  <c r="BP197" i="2" s="1"/>
  <c r="P197" i="2"/>
  <c r="X194" i="2"/>
  <c r="X193" i="2"/>
  <c r="BO192" i="2"/>
  <c r="BN192" i="2"/>
  <c r="BM192" i="2"/>
  <c r="Z192" i="2"/>
  <c r="Y192" i="2"/>
  <c r="BP192" i="2" s="1"/>
  <c r="P192" i="2"/>
  <c r="BO191" i="2"/>
  <c r="BM191" i="2"/>
  <c r="Z191" i="2"/>
  <c r="Y191" i="2"/>
  <c r="Y193" i="2" s="1"/>
  <c r="P191" i="2"/>
  <c r="X189" i="2"/>
  <c r="X188" i="2"/>
  <c r="BO187" i="2"/>
  <c r="BM187" i="2"/>
  <c r="Z187" i="2"/>
  <c r="Y187" i="2"/>
  <c r="BN187" i="2" s="1"/>
  <c r="P187" i="2"/>
  <c r="BO186" i="2"/>
  <c r="BM186" i="2"/>
  <c r="Z186" i="2"/>
  <c r="Y186" i="2"/>
  <c r="P186" i="2"/>
  <c r="X184" i="2"/>
  <c r="X183" i="2"/>
  <c r="BO182" i="2"/>
  <c r="BM182" i="2"/>
  <c r="Z182" i="2"/>
  <c r="Z183" i="2" s="1"/>
  <c r="Y182" i="2"/>
  <c r="Y183" i="2" s="1"/>
  <c r="P182" i="2"/>
  <c r="X178" i="2"/>
  <c r="X177" i="2"/>
  <c r="BO176" i="2"/>
  <c r="BN176" i="2"/>
  <c r="BM176" i="2"/>
  <c r="Z176" i="2"/>
  <c r="Z177" i="2" s="1"/>
  <c r="Y176" i="2"/>
  <c r="Y178" i="2" s="1"/>
  <c r="P176" i="2"/>
  <c r="X173" i="2"/>
  <c r="X172" i="2"/>
  <c r="BO171" i="2"/>
  <c r="BM171" i="2"/>
  <c r="Z171" i="2"/>
  <c r="Z172" i="2" s="1"/>
  <c r="Y171" i="2"/>
  <c r="Y172" i="2" s="1"/>
  <c r="P171" i="2"/>
  <c r="X168" i="2"/>
  <c r="X167" i="2"/>
  <c r="BO166" i="2"/>
  <c r="BM166" i="2"/>
  <c r="Z166" i="2"/>
  <c r="Z167" i="2" s="1"/>
  <c r="Y166" i="2"/>
  <c r="Y167" i="2" s="1"/>
  <c r="P166" i="2"/>
  <c r="X163" i="2"/>
  <c r="X162" i="2"/>
  <c r="BO161" i="2"/>
  <c r="BM161" i="2"/>
  <c r="Z161" i="2"/>
  <c r="Y161" i="2"/>
  <c r="BP161" i="2" s="1"/>
  <c r="P161" i="2"/>
  <c r="BO160" i="2"/>
  <c r="BM160" i="2"/>
  <c r="Z160" i="2"/>
  <c r="Y160" i="2"/>
  <c r="BP160" i="2" s="1"/>
  <c r="P160" i="2"/>
  <c r="BO159" i="2"/>
  <c r="BM159" i="2"/>
  <c r="Z159" i="2"/>
  <c r="Y159" i="2"/>
  <c r="P159" i="2"/>
  <c r="X156" i="2"/>
  <c r="X155" i="2"/>
  <c r="BO154" i="2"/>
  <c r="BM154" i="2"/>
  <c r="Z154" i="2"/>
  <c r="Y154" i="2"/>
  <c r="BP154" i="2" s="1"/>
  <c r="P154" i="2"/>
  <c r="BO153" i="2"/>
  <c r="BM153" i="2"/>
  <c r="Z153" i="2"/>
  <c r="Y153" i="2"/>
  <c r="P153" i="2"/>
  <c r="X150" i="2"/>
  <c r="X149" i="2"/>
  <c r="BO148" i="2"/>
  <c r="BM148" i="2"/>
  <c r="Z148" i="2"/>
  <c r="Y148" i="2"/>
  <c r="BN148" i="2" s="1"/>
  <c r="P148" i="2"/>
  <c r="BO147" i="2"/>
  <c r="BM147" i="2"/>
  <c r="Z147" i="2"/>
  <c r="Y147" i="2"/>
  <c r="P147" i="2"/>
  <c r="X144" i="2"/>
  <c r="X143" i="2"/>
  <c r="BO142" i="2"/>
  <c r="BM142" i="2"/>
  <c r="Z142" i="2"/>
  <c r="Y142" i="2"/>
  <c r="P142" i="2"/>
  <c r="BO141" i="2"/>
  <c r="BM141" i="2"/>
  <c r="Z141" i="2"/>
  <c r="Y141" i="2"/>
  <c r="BP141" i="2" s="1"/>
  <c r="P141" i="2"/>
  <c r="BO140" i="2"/>
  <c r="BM140" i="2"/>
  <c r="Z140" i="2"/>
  <c r="Y140" i="2"/>
  <c r="BP140" i="2" s="1"/>
  <c r="P140" i="2"/>
  <c r="X138" i="2"/>
  <c r="X137" i="2"/>
  <c r="BO136" i="2"/>
  <c r="BM136" i="2"/>
  <c r="Z136" i="2"/>
  <c r="Y136" i="2"/>
  <c r="BN136" i="2" s="1"/>
  <c r="P136" i="2"/>
  <c r="BO135" i="2"/>
  <c r="BM135" i="2"/>
  <c r="Z135" i="2"/>
  <c r="Y135" i="2"/>
  <c r="BP135" i="2" s="1"/>
  <c r="P135" i="2"/>
  <c r="BO134" i="2"/>
  <c r="BM134" i="2"/>
  <c r="Z134" i="2"/>
  <c r="Y134" i="2"/>
  <c r="BP134" i="2" s="1"/>
  <c r="P134" i="2"/>
  <c r="BO133" i="2"/>
  <c r="BM133" i="2"/>
  <c r="Z133" i="2"/>
  <c r="Y133" i="2"/>
  <c r="P133" i="2"/>
  <c r="X131" i="2"/>
  <c r="X130" i="2"/>
  <c r="BO129" i="2"/>
  <c r="BN129" i="2"/>
  <c r="BM129" i="2"/>
  <c r="Z129" i="2"/>
  <c r="Z130" i="2" s="1"/>
  <c r="Y129" i="2"/>
  <c r="Y131" i="2" s="1"/>
  <c r="P129" i="2"/>
  <c r="X126" i="2"/>
  <c r="X125" i="2"/>
  <c r="BO124" i="2"/>
  <c r="BM124" i="2"/>
  <c r="Z124" i="2"/>
  <c r="Z125" i="2" s="1"/>
  <c r="Y124" i="2"/>
  <c r="Y126" i="2" s="1"/>
  <c r="P124" i="2"/>
  <c r="X122" i="2"/>
  <c r="X121" i="2"/>
  <c r="BO120" i="2"/>
  <c r="BM120" i="2"/>
  <c r="Z120" i="2"/>
  <c r="Z121" i="2" s="1"/>
  <c r="Y120" i="2"/>
  <c r="Y122" i="2" s="1"/>
  <c r="P120" i="2"/>
  <c r="X118" i="2"/>
  <c r="X117" i="2"/>
  <c r="BO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N113" i="2" s="1"/>
  <c r="P113" i="2"/>
  <c r="BO112" i="2"/>
  <c r="BM112" i="2"/>
  <c r="Z112" i="2"/>
  <c r="Y112" i="2"/>
  <c r="BN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BP110" i="2" s="1"/>
  <c r="P110" i="2"/>
  <c r="BO109" i="2"/>
  <c r="BM109" i="2"/>
  <c r="Z109" i="2"/>
  <c r="Y109" i="2"/>
  <c r="P109" i="2"/>
  <c r="X106" i="2"/>
  <c r="X105" i="2"/>
  <c r="BO104" i="2"/>
  <c r="BM104" i="2"/>
  <c r="Z104" i="2"/>
  <c r="Y104" i="2"/>
  <c r="BN104" i="2" s="1"/>
  <c r="P104" i="2"/>
  <c r="BO103" i="2"/>
  <c r="BM103" i="2"/>
  <c r="Z103" i="2"/>
  <c r="Y103" i="2"/>
  <c r="P103" i="2"/>
  <c r="X100" i="2"/>
  <c r="X99" i="2"/>
  <c r="BO98" i="2"/>
  <c r="BM98" i="2"/>
  <c r="Z98" i="2"/>
  <c r="Y98" i="2"/>
  <c r="BN98" i="2" s="1"/>
  <c r="P98" i="2"/>
  <c r="BO97" i="2"/>
  <c r="BM97" i="2"/>
  <c r="Z97" i="2"/>
  <c r="Y97" i="2"/>
  <c r="BP97" i="2" s="1"/>
  <c r="P97" i="2"/>
  <c r="BO96" i="2"/>
  <c r="BM96" i="2"/>
  <c r="Z96" i="2"/>
  <c r="Y96" i="2"/>
  <c r="BP96" i="2" s="1"/>
  <c r="P96" i="2"/>
  <c r="BO95" i="2"/>
  <c r="BM95" i="2"/>
  <c r="Z95" i="2"/>
  <c r="Y95" i="2"/>
  <c r="BN95" i="2" s="1"/>
  <c r="P95" i="2"/>
  <c r="BO94" i="2"/>
  <c r="BM94" i="2"/>
  <c r="Z94" i="2"/>
  <c r="Y94" i="2"/>
  <c r="BP94" i="2" s="1"/>
  <c r="P94" i="2"/>
  <c r="BO93" i="2"/>
  <c r="BM93" i="2"/>
  <c r="Z93" i="2"/>
  <c r="Y93" i="2"/>
  <c r="BN93" i="2" s="1"/>
  <c r="P93" i="2"/>
  <c r="BO92" i="2"/>
  <c r="BM92" i="2"/>
  <c r="Z92" i="2"/>
  <c r="Y92" i="2"/>
  <c r="BN92" i="2" s="1"/>
  <c r="P92" i="2"/>
  <c r="BO91" i="2"/>
  <c r="BM91" i="2"/>
  <c r="Z91" i="2"/>
  <c r="Y91" i="2"/>
  <c r="BN91" i="2" s="1"/>
  <c r="P91" i="2"/>
  <c r="X88" i="2"/>
  <c r="X87" i="2"/>
  <c r="BO86" i="2"/>
  <c r="BM86" i="2"/>
  <c r="Z86" i="2"/>
  <c r="Y86" i="2"/>
  <c r="BN86" i="2" s="1"/>
  <c r="P86" i="2"/>
  <c r="BO85" i="2"/>
  <c r="BM85" i="2"/>
  <c r="Z85" i="2"/>
  <c r="Y85" i="2"/>
  <c r="P85" i="2"/>
  <c r="X82" i="2"/>
  <c r="X81" i="2"/>
  <c r="BO80" i="2"/>
  <c r="BM80" i="2"/>
  <c r="Z80" i="2"/>
  <c r="Z81" i="2" s="1"/>
  <c r="Y80" i="2"/>
  <c r="Y82" i="2" s="1"/>
  <c r="P80" i="2"/>
  <c r="X77" i="2"/>
  <c r="X76" i="2"/>
  <c r="BO75" i="2"/>
  <c r="BM75" i="2"/>
  <c r="Z75" i="2"/>
  <c r="Y75" i="2"/>
  <c r="BN75" i="2" s="1"/>
  <c r="P75" i="2"/>
  <c r="BO74" i="2"/>
  <c r="BM74" i="2"/>
  <c r="Z74" i="2"/>
  <c r="Y74" i="2"/>
  <c r="BP74" i="2" s="1"/>
  <c r="P74" i="2"/>
  <c r="X71" i="2"/>
  <c r="X70" i="2"/>
  <c r="BO69" i="2"/>
  <c r="BM69" i="2"/>
  <c r="Z69" i="2"/>
  <c r="Y69" i="2"/>
  <c r="BP69" i="2" s="1"/>
  <c r="P69" i="2"/>
  <c r="BO68" i="2"/>
  <c r="BM68" i="2"/>
  <c r="Z68" i="2"/>
  <c r="Y68" i="2"/>
  <c r="BN68" i="2" s="1"/>
  <c r="P68" i="2"/>
  <c r="BO67" i="2"/>
  <c r="BM67" i="2"/>
  <c r="Z67" i="2"/>
  <c r="Y67" i="2"/>
  <c r="BN67" i="2" s="1"/>
  <c r="P67" i="2"/>
  <c r="BO66" i="2"/>
  <c r="BM66" i="2"/>
  <c r="Z66" i="2"/>
  <c r="Y66" i="2"/>
  <c r="P66" i="2"/>
  <c r="BO65" i="2"/>
  <c r="BM65" i="2"/>
  <c r="Z65" i="2"/>
  <c r="Y65" i="2"/>
  <c r="P65" i="2"/>
  <c r="X62" i="2"/>
  <c r="X61" i="2"/>
  <c r="BO60" i="2"/>
  <c r="BM60" i="2"/>
  <c r="Z60" i="2"/>
  <c r="Y60" i="2"/>
  <c r="P60" i="2"/>
  <c r="BO59" i="2"/>
  <c r="BM59" i="2"/>
  <c r="Z59" i="2"/>
  <c r="Y59" i="2"/>
  <c r="BP59" i="2" s="1"/>
  <c r="P59" i="2"/>
  <c r="BO58" i="2"/>
  <c r="BM58" i="2"/>
  <c r="Z58" i="2"/>
  <c r="Y58" i="2"/>
  <c r="BN58" i="2" s="1"/>
  <c r="P58" i="2"/>
  <c r="BO57" i="2"/>
  <c r="BM57" i="2"/>
  <c r="Z57" i="2"/>
  <c r="Y57" i="2"/>
  <c r="BN57" i="2" s="1"/>
  <c r="P57" i="2"/>
  <c r="X54" i="2"/>
  <c r="X53" i="2"/>
  <c r="BO52" i="2"/>
  <c r="BM52" i="2"/>
  <c r="Z52" i="2"/>
  <c r="Y52" i="2"/>
  <c r="P52" i="2"/>
  <c r="BO51" i="2"/>
  <c r="BM51" i="2"/>
  <c r="Z51" i="2"/>
  <c r="Y51" i="2"/>
  <c r="BP51" i="2" s="1"/>
  <c r="P51" i="2"/>
  <c r="X48" i="2"/>
  <c r="X47" i="2"/>
  <c r="BO46" i="2"/>
  <c r="BM46" i="2"/>
  <c r="Z46" i="2"/>
  <c r="Y46" i="2"/>
  <c r="P46" i="2"/>
  <c r="BO45" i="2"/>
  <c r="BM45" i="2"/>
  <c r="Z45" i="2"/>
  <c r="Y45" i="2"/>
  <c r="BN45" i="2" s="1"/>
  <c r="P45" i="2"/>
  <c r="X41" i="2"/>
  <c r="X40" i="2"/>
  <c r="BO39" i="2"/>
  <c r="BM39" i="2"/>
  <c r="Z39" i="2"/>
  <c r="Y39" i="2"/>
  <c r="P39" i="2"/>
  <c r="BO38" i="2"/>
  <c r="BM38" i="2"/>
  <c r="Z38" i="2"/>
  <c r="Y38" i="2"/>
  <c r="P38" i="2"/>
  <c r="X35" i="2"/>
  <c r="X34" i="2"/>
  <c r="BO33" i="2"/>
  <c r="BM33" i="2"/>
  <c r="Z33" i="2"/>
  <c r="Z34" i="2" s="1"/>
  <c r="Y33" i="2"/>
  <c r="Y34" i="2" s="1"/>
  <c r="P33" i="2"/>
  <c r="X31" i="2"/>
  <c r="X30" i="2"/>
  <c r="BO29" i="2"/>
  <c r="BM29" i="2"/>
  <c r="Z29" i="2"/>
  <c r="Y29" i="2"/>
  <c r="BN29" i="2" s="1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N24" i="2" s="1"/>
  <c r="P24" i="2"/>
  <c r="BO23" i="2"/>
  <c r="BM23" i="2"/>
  <c r="Z23" i="2"/>
  <c r="Y23" i="2"/>
  <c r="BP23" i="2" s="1"/>
  <c r="P23" i="2"/>
  <c r="BO22" i="2"/>
  <c r="BM22" i="2"/>
  <c r="Z22" i="2"/>
  <c r="Y22" i="2"/>
  <c r="BP22" i="2" s="1"/>
  <c r="P22" i="2"/>
  <c r="H10" i="2"/>
  <c r="A9" i="2"/>
  <c r="A10" i="2" s="1"/>
  <c r="D7" i="2"/>
  <c r="Q6" i="2"/>
  <c r="P2" i="2"/>
  <c r="Z53" i="2" l="1"/>
  <c r="BN94" i="2"/>
  <c r="Y258" i="2"/>
  <c r="BN272" i="2"/>
  <c r="Z40" i="2"/>
  <c r="BN110" i="2"/>
  <c r="Z70" i="2"/>
  <c r="Y88" i="2"/>
  <c r="Z199" i="2"/>
  <c r="Y237" i="2"/>
  <c r="Z76" i="2"/>
  <c r="Y130" i="2"/>
  <c r="BN212" i="2"/>
  <c r="BP45" i="2"/>
  <c r="Y177" i="2"/>
  <c r="Y155" i="2"/>
  <c r="BP286" i="2"/>
  <c r="BP282" i="2"/>
  <c r="Z275" i="2"/>
  <c r="Y276" i="2"/>
  <c r="Z269" i="2"/>
  <c r="Y269" i="2"/>
  <c r="Y262" i="2"/>
  <c r="Y259" i="2"/>
  <c r="Y249" i="2"/>
  <c r="Y242" i="2"/>
  <c r="Y236" i="2"/>
  <c r="Z231" i="2"/>
  <c r="Z213" i="2"/>
  <c r="Y200" i="2"/>
  <c r="BP187" i="2"/>
  <c r="Y189" i="2"/>
  <c r="BP176" i="2"/>
  <c r="Z162" i="2"/>
  <c r="Y149" i="2"/>
  <c r="Z149" i="2"/>
  <c r="Y138" i="2"/>
  <c r="BN134" i="2"/>
  <c r="BP129" i="2"/>
  <c r="Y118" i="2"/>
  <c r="BP113" i="2"/>
  <c r="Z117" i="2"/>
  <c r="BP104" i="2"/>
  <c r="BP93" i="2"/>
  <c r="BP92" i="2"/>
  <c r="Z99" i="2"/>
  <c r="BP86" i="2"/>
  <c r="Z87" i="2"/>
  <c r="BP67" i="2"/>
  <c r="Y70" i="2"/>
  <c r="Z61" i="2"/>
  <c r="BP57" i="2"/>
  <c r="Y54" i="2"/>
  <c r="Z47" i="2"/>
  <c r="Y47" i="2"/>
  <c r="X294" i="2"/>
  <c r="Y41" i="2"/>
  <c r="BP38" i="2"/>
  <c r="BP29" i="2"/>
  <c r="BP28" i="2"/>
  <c r="F10" i="2"/>
  <c r="X290" i="2"/>
  <c r="BP46" i="2"/>
  <c r="Y61" i="2"/>
  <c r="BP65" i="2"/>
  <c r="BP75" i="2"/>
  <c r="BP85" i="2"/>
  <c r="BN96" i="2"/>
  <c r="Y105" i="2"/>
  <c r="BP103" i="2"/>
  <c r="BP112" i="2"/>
  <c r="BN114" i="2"/>
  <c r="BN120" i="2"/>
  <c r="Y121" i="2"/>
  <c r="Z137" i="2"/>
  <c r="BP136" i="2"/>
  <c r="BN147" i="2"/>
  <c r="BP148" i="2"/>
  <c r="Z155" i="2"/>
  <c r="BP166" i="2"/>
  <c r="Y168" i="2"/>
  <c r="BN186" i="2"/>
  <c r="Y188" i="2"/>
  <c r="BN191" i="2"/>
  <c r="Y194" i="2"/>
  <c r="BP203" i="2"/>
  <c r="Y205" i="2"/>
  <c r="BP224" i="2"/>
  <c r="Y232" i="2"/>
  <c r="BN230" i="2"/>
  <c r="BN241" i="2"/>
  <c r="BP247" i="2"/>
  <c r="Y253" i="2"/>
  <c r="BN261" i="2"/>
  <c r="BP267" i="2"/>
  <c r="BP273" i="2"/>
  <c r="Y289" i="2"/>
  <c r="Z30" i="2"/>
  <c r="X291" i="2"/>
  <c r="BN38" i="2"/>
  <c r="Y40" i="2"/>
  <c r="BP58" i="2"/>
  <c r="Y87" i="2"/>
  <c r="Y99" i="2"/>
  <c r="Z105" i="2"/>
  <c r="Z143" i="2"/>
  <c r="Y150" i="2"/>
  <c r="Y162" i="2"/>
  <c r="Y225" i="2"/>
  <c r="BP223" i="2"/>
  <c r="Y252" i="2"/>
  <c r="X292" i="2"/>
  <c r="BN26" i="2"/>
  <c r="BN46" i="2"/>
  <c r="BN65" i="2"/>
  <c r="Y71" i="2"/>
  <c r="BP66" i="2"/>
  <c r="BN85" i="2"/>
  <c r="BP120" i="2"/>
  <c r="Y144" i="2"/>
  <c r="BP147" i="2"/>
  <c r="BN153" i="2"/>
  <c r="BN166" i="2"/>
  <c r="Z188" i="2"/>
  <c r="BP186" i="2"/>
  <c r="Z193" i="2"/>
  <c r="BP191" i="2"/>
  <c r="BN203" i="2"/>
  <c r="Y214" i="2"/>
  <c r="BN210" i="2"/>
  <c r="Y226" i="2"/>
  <c r="Z225" i="2"/>
  <c r="BP235" i="2"/>
  <c r="Y243" i="2"/>
  <c r="Y248" i="2"/>
  <c r="BN251" i="2"/>
  <c r="BP257" i="2"/>
  <c r="Y263" i="2"/>
  <c r="Y48" i="2"/>
  <c r="BP68" i="2"/>
  <c r="BP95" i="2"/>
  <c r="Y156" i="2"/>
  <c r="BN278" i="2"/>
  <c r="Z288" i="2"/>
  <c r="BP287" i="2"/>
  <c r="Y100" i="2"/>
  <c r="BN109" i="2"/>
  <c r="BN142" i="2"/>
  <c r="BN229" i="2"/>
  <c r="BN280" i="2"/>
  <c r="BN284" i="2"/>
  <c r="Y288" i="2"/>
  <c r="BN52" i="2"/>
  <c r="Y76" i="2"/>
  <c r="BN116" i="2"/>
  <c r="BN124" i="2"/>
  <c r="BN133" i="2"/>
  <c r="BN198" i="2"/>
  <c r="BN209" i="2"/>
  <c r="BN274" i="2"/>
  <c r="BP124" i="2"/>
  <c r="BP133" i="2"/>
  <c r="BP198" i="2"/>
  <c r="BP209" i="2"/>
  <c r="BP274" i="2"/>
  <c r="Y35" i="2"/>
  <c r="Y163" i="2"/>
  <c r="Y173" i="2"/>
  <c r="Y184" i="2"/>
  <c r="BN25" i="2"/>
  <c r="BN69" i="2"/>
  <c r="BP109" i="2"/>
  <c r="Y137" i="2"/>
  <c r="BP142" i="2"/>
  <c r="BN159" i="2"/>
  <c r="Y213" i="2"/>
  <c r="BP229" i="2"/>
  <c r="BN268" i="2"/>
  <c r="BN22" i="2"/>
  <c r="BP52" i="2"/>
  <c r="BN59" i="2"/>
  <c r="Y77" i="2"/>
  <c r="Y143" i="2"/>
  <c r="BP159" i="2"/>
  <c r="Y53" i="2"/>
  <c r="BN66" i="2"/>
  <c r="BN103" i="2"/>
  <c r="Y117" i="2"/>
  <c r="Y125" i="2"/>
  <c r="Y199" i="2"/>
  <c r="BN223" i="2"/>
  <c r="Y275" i="2"/>
  <c r="BN80" i="2"/>
  <c r="BP153" i="2"/>
  <c r="BN160" i="2"/>
  <c r="Y270" i="2"/>
  <c r="BN23" i="2"/>
  <c r="BN60" i="2"/>
  <c r="BN97" i="2"/>
  <c r="BN140" i="2"/>
  <c r="BN218" i="2"/>
  <c r="Y30" i="2"/>
  <c r="Y31" i="2"/>
  <c r="BN39" i="2"/>
  <c r="BP80" i="2"/>
  <c r="Y231" i="2"/>
  <c r="BP60" i="2"/>
  <c r="BP218" i="2"/>
  <c r="BP39" i="2"/>
  <c r="Y81" i="2"/>
  <c r="BN27" i="2"/>
  <c r="BN279" i="2"/>
  <c r="BN283" i="2"/>
  <c r="BN74" i="2"/>
  <c r="BN111" i="2"/>
  <c r="BN154" i="2"/>
  <c r="Y219" i="2"/>
  <c r="BN135" i="2"/>
  <c r="BN161" i="2"/>
  <c r="BN182" i="2"/>
  <c r="BN141" i="2"/>
  <c r="H9" i="2"/>
  <c r="BP33" i="2"/>
  <c r="BN51" i="2"/>
  <c r="BP91" i="2"/>
  <c r="BN115" i="2"/>
  <c r="BP171" i="2"/>
  <c r="BP182" i="2"/>
  <c r="BN197" i="2"/>
  <c r="J9" i="2"/>
  <c r="BP24" i="2"/>
  <c r="BP98" i="2"/>
  <c r="Y106" i="2"/>
  <c r="BN211" i="2"/>
  <c r="BN33" i="2"/>
  <c r="BN171" i="2"/>
  <c r="F9" i="2"/>
  <c r="Y62" i="2"/>
  <c r="Z295" i="2" l="1"/>
  <c r="X293" i="2"/>
  <c r="Y292" i="2"/>
  <c r="Y291" i="2"/>
  <c r="Y294" i="2"/>
  <c r="Y290" i="2"/>
  <c r="Y293" i="2" l="1"/>
  <c r="C303" i="2" l="1"/>
  <c r="B303" i="2"/>
  <c r="A303" i="2"/>
</calcChain>
</file>

<file path=xl/sharedStrings.xml><?xml version="1.0" encoding="utf-8"?>
<sst xmlns="http://schemas.openxmlformats.org/spreadsheetml/2006/main" count="1842" uniqueCount="436">
  <si>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</si>
  <si>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</si>
  <si>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</si>
  <si>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</si>
  <si>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</si>
  <si>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</si>
  <si>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</si>
  <si>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</si>
  <si>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</si>
  <si>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</si>
  <si>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</si>
  <si>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</si>
  <si>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</si>
  <si>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</si>
  <si>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</si>
  <si>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</si>
  <si>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</si>
  <si>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</si>
  <si>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</si>
  <si>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</si>
  <si>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</si>
  <si>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</si>
  <si>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</si>
  <si>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</si>
  <si>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</si>
  <si>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</si>
  <si>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</si>
  <si>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</si>
  <si>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</si>
  <si>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</si>
  <si>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</si>
  <si>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</si>
  <si>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</si>
  <si>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</si>
  <si>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</si>
  <si>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</si>
  <si>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</si>
  <si>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</si>
  <si>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</si>
  <si>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</si>
  <si>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</si>
  <si>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</si>
  <si>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</si>
  <si>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</si>
  <si>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</si>
  <si>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</si>
  <si>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</si>
  <si>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</si>
  <si>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</si>
  <si>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</si>
  <si>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</si>
  <si>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</si>
  <si>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</si>
  <si>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</si>
  <si>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</si>
  <si>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</si>
  <si>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</si>
  <si>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</si>
  <si>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</si>
  <si>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</si>
  <si>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</si>
  <si>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</si>
  <si>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</si>
  <si>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</si>
  <si>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</si>
  <si>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</si>
  <si>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</si>
  <si>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</si>
  <si>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</si>
  <si>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</si>
  <si>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</si>
  <si>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14.10.2026</t>
  </si>
  <si>
    <t>10.10.2026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</si>
  <si>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</si>
  <si>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</si>
  <si>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</si>
  <si>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</si>
  <si>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</si>
  <si>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</si>
  <si>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</si>
  <si>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</si>
  <si>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</si>
  <si>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</si>
  <si>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</si>
  <si>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</si>
  <si>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</si>
  <si>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</si>
  <si>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</si>
  <si>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</si>
  <si>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</si>
  <si>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</si>
  <si>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</si>
  <si>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</si>
  <si>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</si>
  <si>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</si>
  <si>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</si>
  <si>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</si>
  <si>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</si>
  <si>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</si>
  <si>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</si>
  <si>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</si>
  <si>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</si>
  <si>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</si>
  <si>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</si>
  <si>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</si>
  <si>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</si>
  <si>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Вареники</t>
  </si>
  <si>
    <t>SU004310</t>
  </si>
  <si>
    <t>P005660</t>
  </si>
  <si>
    <t>ЕАЭС N RU Д-RU.РА04.В.71581/26</t>
  </si>
  <si>
    <t>Новинка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</si>
  <si>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</si>
  <si>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</si>
  <si>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</si>
  <si>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</si>
  <si>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</si>
  <si>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</si>
  <si>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</si>
  <si>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</si>
  <si>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</si>
  <si>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</si>
  <si>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</si>
  <si>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</si>
  <si>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</si>
  <si>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</si>
  <si>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</si>
  <si>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</si>
  <si>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</si>
  <si>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</si>
  <si>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</si>
  <si>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</si>
  <si>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</si>
  <si>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</si>
  <si>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</si>
  <si>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</si>
  <si>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</si>
  <si>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</si>
  <si>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</si>
  <si>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</si>
  <si>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</si>
  <si>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</si>
  <si>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</si>
  <si>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</si>
  <si>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</si>
  <si>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</si>
  <si>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</si>
  <si>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</si>
  <si>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</si>
  <si>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</si>
  <si>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</si>
  <si>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</si>
  <si>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</si>
  <si>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</si>
  <si>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</si>
  <si>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</si>
  <si>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</si>
  <si>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</si>
  <si>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</si>
  <si>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</si>
  <si>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SU002607</t>
  </si>
  <si>
    <t>P002938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</si>
  <si>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</si>
  <si>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</si>
  <si>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</si>
  <si>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</si>
  <si>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</si>
  <si>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</si>
  <si>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</si>
  <si>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</si>
  <si>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</si>
  <si>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</si>
  <si>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</si>
  <si>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</si>
  <si>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</si>
  <si>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</si>
  <si>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</si>
  <si>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</si>
  <si>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</si>
  <si>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</si>
  <si>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</si>
  <si>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</si>
  <si>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</si>
  <si>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</si>
  <si>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</si>
  <si>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</si>
  <si>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SU003882</t>
  </si>
  <si>
    <t>P004964</t>
  </si>
  <si>
    <t>SU004207</t>
  </si>
  <si>
    <t>P005473</t>
  </si>
  <si>
    <t>ЕАЭС N RU Д-RU.РА03.В.73991/26</t>
  </si>
  <si>
    <t>SU003883</t>
  </si>
  <si>
    <t>P004965</t>
  </si>
  <si>
    <t>ЕАЭС N RU Д-RU.РА01.В.13713/23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</si>
  <si>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</si>
  <si>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</si>
  <si>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</si>
  <si>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</si>
  <si>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</si>
  <si>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</si>
  <si>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</si>
  <si>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</si>
  <si>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</si>
  <si>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</si>
  <si>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</si>
  <si>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</si>
  <si>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</si>
  <si>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</si>
  <si>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</si>
  <si>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</si>
  <si>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</si>
  <si>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</si>
  <si>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</si>
  <si>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</si>
  <si>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</si>
  <si>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</si>
  <si>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</si>
  <si>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</si>
  <si>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</si>
  <si>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</si>
  <si>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</si>
  <si>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</si>
  <si>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</si>
  <si>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</si>
  <si>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</si>
  <si>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</si>
  <si>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</si>
  <si>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</si>
  <si>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</si>
  <si>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</si>
  <si>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</si>
  <si>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</si>
  <si>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</si>
  <si>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</si>
  <si>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</si>
  <si>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</si>
  <si>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</si>
  <si>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</si>
  <si>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</si>
  <si>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</si>
  <si>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</si>
  <si>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</si>
  <si>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</si>
  <si>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</si>
  <si>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</si>
  <si>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</si>
  <si>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</si>
  <si>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</si>
  <si>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</si>
  <si>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</si>
  <si>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</si>
  <si>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</si>
  <si>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</si>
  <si>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</si>
  <si>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</si>
  <si>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</si>
  <si>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</si>
  <si>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</si>
  <si>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</si>
  <si>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</si>
  <si>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</si>
  <si>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</si>
  <si>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</si>
  <si>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</si>
  <si>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</si>
  <si>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</si>
  <si>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</si>
  <si>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</si>
  <si>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</si>
  <si>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</si>
  <si>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</si>
  <si>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</si>
  <si>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</si>
  <si>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</si>
  <si>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</si>
  <si>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SU003870</t>
  </si>
  <si>
    <t>P004953</t>
  </si>
  <si>
    <t>ЕАЭС N RU Д-RU.РА10.В.33475/23</t>
  </si>
  <si>
    <t>SU004219</t>
  </si>
  <si>
    <t>P005485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</si>
  <si>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</si>
  <si>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</si>
  <si>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</si>
  <si>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</si>
  <si>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</si>
  <si>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</si>
  <si>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</si>
  <si>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</si>
  <si>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</si>
  <si>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</si>
  <si>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</si>
  <si>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</si>
  <si>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</si>
  <si>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</si>
  <si>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</si>
  <si>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SU002045</t>
  </si>
  <si>
    <t>P002166</t>
  </si>
  <si>
    <t>ЕАЭС N RU Д-RU.РА01.В.28494/20, ЕАЭС N RU Д-RU.РА09.В.52744/22</t>
  </si>
  <si>
    <t>SU002976</t>
  </si>
  <si>
    <t>P003435</t>
  </si>
  <si>
    <t>ЕАЭС N RU Д-RU.РА04.В.59612/23</t>
  </si>
  <si>
    <t>SU004372</t>
  </si>
  <si>
    <t>P005749</t>
  </si>
  <si>
    <t>ЕАЭС N RU Д-RU.РА04.В.70329/26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</si>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</sst>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8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9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Fill="1" applyBorder="1" applyAlignment="1" applyProtection="1">
      <alignment wrapText="1"/>
      <protection hidden="1"/>
    </xf>
    <xf numFmtId="0" fontId="365" fillId="0" borderId="0" xfId="0" applyFont="1"/>
    <xf numFmtId="0" fontId="367" fillId="0" borderId="11" xfId="0" applyFont="1" applyFill="1" applyBorder="1" applyAlignment="1" applyProtection="1">
      <alignment wrapText="1"/>
      <protection hidden="1"/>
    </xf>
    <xf numFmtId="0" fontId="368" fillId="0" borderId="0" xfId="0" applyFont="1"/>
    <xf numFmtId="0" fontId="370" fillId="0" borderId="11" xfId="0" applyFont="1" applyFill="1" applyBorder="1" applyAlignment="1" applyProtection="1">
      <alignment wrapText="1"/>
      <protection hidden="1"/>
    </xf>
    <xf numFmtId="0" fontId="371" fillId="0" borderId="0" xfId="0" applyFont="1"/>
    <xf numFmtId="0" fontId="373" fillId="0" borderId="11" xfId="0" applyFont="1" applyFill="1" applyBorder="1" applyAlignment="1" applyProtection="1">
      <alignment wrapText="1"/>
      <protection hidden="1"/>
    </xf>
    <xf numFmtId="0" fontId="374" fillId="0" borderId="0" xfId="0" applyFont="1"/>
    <xf numFmtId="0" fontId="376" fillId="0" borderId="11" xfId="0" applyFont="1" applyFill="1" applyBorder="1" applyAlignment="1" applyProtection="1">
      <alignment wrapText="1"/>
      <protection hidden="1"/>
    </xf>
    <xf numFmtId="0" fontId="377" fillId="0" borderId="0" xfId="0" applyFont="1"/>
    <xf numFmtId="0" fontId="379" fillId="0" borderId="11" xfId="0" applyFont="1" applyFill="1" applyBorder="1" applyAlignment="1" applyProtection="1">
      <alignment wrapText="1"/>
      <protection hidden="1"/>
    </xf>
    <xf numFmtId="0" fontId="380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0" fontId="363" fillId="0" borderId="45" xfId="0" applyFont="1" applyFill="1" applyBorder="1" applyAlignment="1">
      <alignment horizontal="left" vertical="center" wrapText="1"/>
    </xf>
    <xf numFmtId="0" fontId="366" fillId="0" borderId="45" xfId="0" applyFont="1" applyFill="1" applyBorder="1" applyAlignment="1">
      <alignment horizontal="left" vertical="center" wrapText="1"/>
    </xf>
    <xf numFmtId="0" fontId="369" fillId="0" borderId="45" xfId="0" applyFont="1" applyFill="1" applyBorder="1" applyAlignment="1">
      <alignment horizontal="left" vertical="center" wrapText="1"/>
    </xf>
    <xf numFmtId="0" fontId="372" fillId="0" borderId="45" xfId="0" applyFont="1" applyFill="1" applyBorder="1" applyAlignment="1">
      <alignment horizontal="left" vertical="center" wrapText="1"/>
    </xf>
    <xf numFmtId="0" fontId="375" fillId="0" borderId="45" xfId="0" applyFont="1" applyFill="1" applyBorder="1" applyAlignment="1">
      <alignment horizontal="left" vertical="center" wrapText="1"/>
    </xf>
    <xf numFmtId="0" fontId="378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303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301" t="s">
        <v>26</v>
      </c>
      <c r="E1" s="301"/>
      <c r="F1" s="301"/>
      <c r="G1" s="14" t="s">
        <v>70</v>
      </c>
      <c r="H1" s="301" t="s">
        <v>47</v>
      </c>
      <c r="I1" s="301"/>
      <c r="J1" s="301"/>
      <c r="K1" s="301"/>
      <c r="L1" s="301"/>
      <c r="M1" s="301"/>
      <c r="N1" s="301"/>
      <c r="O1" s="301"/>
      <c r="P1" s="301"/>
      <c r="Q1" s="301"/>
      <c r="R1" s="302" t="s">
        <v>71</v>
      </c>
      <c r="S1" s="303"/>
      <c r="T1" s="30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30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04"/>
      <c r="R2" s="304"/>
      <c r="S2" s="304"/>
      <c r="T2" s="304"/>
      <c r="U2" s="304"/>
      <c r="V2" s="304"/>
      <c r="W2" s="30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304"/>
      <c r="Q3" s="304"/>
      <c r="R3" s="304"/>
      <c r="S3" s="304"/>
      <c r="T3" s="304"/>
      <c r="U3" s="304"/>
      <c r="V3" s="304"/>
      <c r="W3" s="30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305" t="s">
        <v>8</v>
      </c>
      <c r="B5" s="305"/>
      <c r="C5" s="305"/>
      <c r="D5" s="306"/>
      <c r="E5" s="306"/>
      <c r="F5" s="307" t="s">
        <v>14</v>
      </c>
      <c r="G5" s="307"/>
      <c r="H5" s="306"/>
      <c r="I5" s="306"/>
      <c r="J5" s="306"/>
      <c r="K5" s="306"/>
      <c r="L5" s="306"/>
      <c r="M5" s="306"/>
      <c r="N5" s="75"/>
      <c r="P5" s="27" t="s">
        <v>4</v>
      </c>
      <c r="Q5" s="308">
        <v>46318</v>
      </c>
      <c r="R5" s="308"/>
      <c r="T5" s="309" t="s">
        <v>3</v>
      </c>
      <c r="U5" s="310"/>
      <c r="V5" s="311" t="s">
        <v>422</v>
      </c>
      <c r="W5" s="312"/>
      <c r="AB5" s="59"/>
      <c r="AC5" s="59"/>
      <c r="AD5" s="59"/>
      <c r="AE5" s="59"/>
    </row>
    <row r="6" spans="1:32" s="17" customFormat="1" ht="24" customHeight="1" x14ac:dyDescent="0.2">
      <c r="A6" s="305" t="s">
        <v>1</v>
      </c>
      <c r="B6" s="305"/>
      <c r="C6" s="305"/>
      <c r="D6" s="313" t="s">
        <v>79</v>
      </c>
      <c r="E6" s="313"/>
      <c r="F6" s="313"/>
      <c r="G6" s="313"/>
      <c r="H6" s="313"/>
      <c r="I6" s="313"/>
      <c r="J6" s="313"/>
      <c r="K6" s="313"/>
      <c r="L6" s="313"/>
      <c r="M6" s="313"/>
      <c r="N6" s="76"/>
      <c r="P6" s="27" t="s">
        <v>27</v>
      </c>
      <c r="Q6" s="314" t="str">
        <f>IF(Q5=0," ",CHOOSE(WEEKDAY(Q5,2),"Понедельник","Вторник","Среда","Четверг","Пятница","Суббота","Воскресенье"))</f>
        <v>Пятница</v>
      </c>
      <c r="R6" s="314"/>
      <c r="T6" s="315" t="s">
        <v>5</v>
      </c>
      <c r="U6" s="316"/>
      <c r="V6" s="317" t="s">
        <v>73</v>
      </c>
      <c r="W6" s="31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23" t="str">
        <f>IFERROR(VLOOKUP(DeliveryAddress,Table,3,0),1)</f>
        <v>1</v>
      </c>
      <c r="E7" s="324"/>
      <c r="F7" s="324"/>
      <c r="G7" s="324"/>
      <c r="H7" s="324"/>
      <c r="I7" s="324"/>
      <c r="J7" s="324"/>
      <c r="K7" s="324"/>
      <c r="L7" s="324"/>
      <c r="M7" s="325"/>
      <c r="N7" s="77"/>
      <c r="P7" s="29"/>
      <c r="Q7" s="48"/>
      <c r="R7" s="48"/>
      <c r="T7" s="315"/>
      <c r="U7" s="316"/>
      <c r="V7" s="319"/>
      <c r="W7" s="320"/>
      <c r="AB7" s="59"/>
      <c r="AC7" s="59"/>
      <c r="AD7" s="59"/>
      <c r="AE7" s="59"/>
    </row>
    <row r="8" spans="1:32" s="17" customFormat="1" ht="25.5" customHeight="1" x14ac:dyDescent="0.2">
      <c r="A8" s="326" t="s">
        <v>58</v>
      </c>
      <c r="B8" s="326"/>
      <c r="C8" s="326"/>
      <c r="D8" s="327" t="s">
        <v>80</v>
      </c>
      <c r="E8" s="327"/>
      <c r="F8" s="327"/>
      <c r="G8" s="327"/>
      <c r="H8" s="327"/>
      <c r="I8" s="327"/>
      <c r="J8" s="327"/>
      <c r="K8" s="327"/>
      <c r="L8" s="327"/>
      <c r="M8" s="327"/>
      <c r="N8" s="78"/>
      <c r="P8" s="27" t="s">
        <v>11</v>
      </c>
      <c r="Q8" s="328">
        <v>4.1666666666666664E-2</v>
      </c>
      <c r="R8" s="328"/>
      <c r="T8" s="315"/>
      <c r="U8" s="316"/>
      <c r="V8" s="319"/>
      <c r="W8" s="320"/>
      <c r="AB8" s="59"/>
      <c r="AC8" s="59"/>
      <c r="AD8" s="59"/>
      <c r="AE8" s="59"/>
    </row>
    <row r="9" spans="1:32" s="17" customFormat="1" ht="39.950000000000003" customHeight="1" x14ac:dyDescent="0.2">
      <c r="A9" s="32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29"/>
      <c r="C9" s="329"/>
      <c r="D9" s="330" t="s">
        <v>46</v>
      </c>
      <c r="E9" s="331"/>
      <c r="F9" s="32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29"/>
      <c r="H9" s="332" t="str">
        <f>IF(AND($A$9="Тип доверенности/получателя при получении в адресе перегруза:",$D$9="Разовая доверенность"),"Введите ФИО","")</f>
        <v/>
      </c>
      <c r="I9" s="332"/>
      <c r="J9" s="33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32"/>
      <c r="L9" s="332"/>
      <c r="M9" s="332"/>
      <c r="N9" s="73"/>
      <c r="P9" s="31" t="s">
        <v>15</v>
      </c>
      <c r="Q9" s="333"/>
      <c r="R9" s="333"/>
      <c r="T9" s="315"/>
      <c r="U9" s="316"/>
      <c r="V9" s="321"/>
      <c r="W9" s="32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2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29"/>
      <c r="C10" s="329"/>
      <c r="D10" s="330"/>
      <c r="E10" s="331"/>
      <c r="F10" s="32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29"/>
      <c r="H10" s="334" t="str">
        <f>IFERROR(VLOOKUP($D$10,Proxy,2,FALSE),"")</f>
        <v/>
      </c>
      <c r="I10" s="334"/>
      <c r="J10" s="334"/>
      <c r="K10" s="334"/>
      <c r="L10" s="334"/>
      <c r="M10" s="334"/>
      <c r="N10" s="74"/>
      <c r="P10" s="31" t="s">
        <v>32</v>
      </c>
      <c r="Q10" s="335"/>
      <c r="R10" s="335"/>
      <c r="U10" s="29" t="s">
        <v>12</v>
      </c>
      <c r="V10" s="336" t="s">
        <v>74</v>
      </c>
      <c r="W10" s="33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38"/>
      <c r="R11" s="338"/>
      <c r="U11" s="29" t="s">
        <v>28</v>
      </c>
      <c r="V11" s="339" t="s">
        <v>55</v>
      </c>
      <c r="W11" s="33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40" t="s">
        <v>75</v>
      </c>
      <c r="B12" s="340"/>
      <c r="C12" s="340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79"/>
      <c r="P12" s="27" t="s">
        <v>30</v>
      </c>
      <c r="Q12" s="328"/>
      <c r="R12" s="328"/>
      <c r="S12" s="28"/>
      <c r="T12"/>
      <c r="U12" s="29" t="s">
        <v>46</v>
      </c>
      <c r="V12" s="341"/>
      <c r="W12" s="341"/>
      <c r="X12"/>
      <c r="AB12" s="59"/>
      <c r="AC12" s="59"/>
      <c r="AD12" s="59"/>
      <c r="AE12" s="59"/>
    </row>
    <row r="13" spans="1:32" s="17" customFormat="1" ht="23.25" customHeight="1" x14ac:dyDescent="0.2">
      <c r="A13" s="340" t="s">
        <v>76</v>
      </c>
      <c r="B13" s="340"/>
      <c r="C13" s="340"/>
      <c r="D13" s="340"/>
      <c r="E13" s="340"/>
      <c r="F13" s="340"/>
      <c r="G13" s="340"/>
      <c r="H13" s="340"/>
      <c r="I13" s="340"/>
      <c r="J13" s="340"/>
      <c r="K13" s="340"/>
      <c r="L13" s="340"/>
      <c r="M13" s="340"/>
      <c r="N13" s="79"/>
      <c r="O13" s="31"/>
      <c r="P13" s="31" t="s">
        <v>31</v>
      </c>
      <c r="Q13" s="339"/>
      <c r="R13" s="33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40" t="s">
        <v>77</v>
      </c>
      <c r="B14" s="340"/>
      <c r="C14" s="340"/>
      <c r="D14" s="340"/>
      <c r="E14" s="340"/>
      <c r="F14" s="340"/>
      <c r="G14" s="340"/>
      <c r="H14" s="340"/>
      <c r="I14" s="340"/>
      <c r="J14" s="340"/>
      <c r="K14" s="340"/>
      <c r="L14" s="340"/>
      <c r="M14" s="340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42" t="s">
        <v>78</v>
      </c>
      <c r="B15" s="342"/>
      <c r="C15" s="342"/>
      <c r="D15" s="342"/>
      <c r="E15" s="342"/>
      <c r="F15" s="342"/>
      <c r="G15" s="342"/>
      <c r="H15" s="342"/>
      <c r="I15" s="342"/>
      <c r="J15" s="342"/>
      <c r="K15" s="342"/>
      <c r="L15" s="342"/>
      <c r="M15" s="342"/>
      <c r="N15" s="80"/>
      <c r="O15"/>
      <c r="P15" s="343" t="s">
        <v>61</v>
      </c>
      <c r="Q15" s="343"/>
      <c r="R15" s="343"/>
      <c r="S15" s="343"/>
      <c r="T15" s="34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44"/>
      <c r="Q16" s="344"/>
      <c r="R16" s="344"/>
      <c r="S16" s="344"/>
      <c r="T16" s="34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47" t="s">
        <v>59</v>
      </c>
      <c r="B17" s="347" t="s">
        <v>49</v>
      </c>
      <c r="C17" s="349" t="s">
        <v>48</v>
      </c>
      <c r="D17" s="351" t="s">
        <v>50</v>
      </c>
      <c r="E17" s="352"/>
      <c r="F17" s="347" t="s">
        <v>21</v>
      </c>
      <c r="G17" s="347" t="s">
        <v>24</v>
      </c>
      <c r="H17" s="347" t="s">
        <v>22</v>
      </c>
      <c r="I17" s="347" t="s">
        <v>23</v>
      </c>
      <c r="J17" s="347" t="s">
        <v>16</v>
      </c>
      <c r="K17" s="347" t="s">
        <v>69</v>
      </c>
      <c r="L17" s="347" t="s">
        <v>67</v>
      </c>
      <c r="M17" s="347" t="s">
        <v>2</v>
      </c>
      <c r="N17" s="347" t="s">
        <v>66</v>
      </c>
      <c r="O17" s="347" t="s">
        <v>25</v>
      </c>
      <c r="P17" s="351" t="s">
        <v>17</v>
      </c>
      <c r="Q17" s="355"/>
      <c r="R17" s="355"/>
      <c r="S17" s="355"/>
      <c r="T17" s="352"/>
      <c r="U17" s="345" t="s">
        <v>56</v>
      </c>
      <c r="V17" s="346"/>
      <c r="W17" s="347" t="s">
        <v>6</v>
      </c>
      <c r="X17" s="347" t="s">
        <v>41</v>
      </c>
      <c r="Y17" s="357" t="s">
        <v>54</v>
      </c>
      <c r="Z17" s="359" t="s">
        <v>18</v>
      </c>
      <c r="AA17" s="361" t="s">
        <v>60</v>
      </c>
      <c r="AB17" s="361" t="s">
        <v>19</v>
      </c>
      <c r="AC17" s="361" t="s">
        <v>68</v>
      </c>
      <c r="AD17" s="363" t="s">
        <v>57</v>
      </c>
      <c r="AE17" s="364"/>
      <c r="AF17" s="365"/>
      <c r="AG17" s="85"/>
      <c r="BD17" s="84" t="s">
        <v>64</v>
      </c>
    </row>
    <row r="18" spans="1:68" ht="14.25" customHeight="1" x14ac:dyDescent="0.2">
      <c r="A18" s="348"/>
      <c r="B18" s="348"/>
      <c r="C18" s="350"/>
      <c r="D18" s="353"/>
      <c r="E18" s="354"/>
      <c r="F18" s="348"/>
      <c r="G18" s="348"/>
      <c r="H18" s="348"/>
      <c r="I18" s="348"/>
      <c r="J18" s="348"/>
      <c r="K18" s="348"/>
      <c r="L18" s="348"/>
      <c r="M18" s="348"/>
      <c r="N18" s="348"/>
      <c r="O18" s="348"/>
      <c r="P18" s="353"/>
      <c r="Q18" s="356"/>
      <c r="R18" s="356"/>
      <c r="S18" s="356"/>
      <c r="T18" s="354"/>
      <c r="U18" s="86" t="s">
        <v>44</v>
      </c>
      <c r="V18" s="86" t="s">
        <v>43</v>
      </c>
      <c r="W18" s="348"/>
      <c r="X18" s="348"/>
      <c r="Y18" s="358"/>
      <c r="Z18" s="360"/>
      <c r="AA18" s="362"/>
      <c r="AB18" s="362"/>
      <c r="AC18" s="362"/>
      <c r="AD18" s="366"/>
      <c r="AE18" s="367"/>
      <c r="AF18" s="368"/>
      <c r="AG18" s="85"/>
      <c r="BD18" s="84"/>
    </row>
    <row r="19" spans="1:68" ht="27.75" hidden="1" customHeight="1" x14ac:dyDescent="0.2">
      <c r="A19" s="369" t="s">
        <v>81</v>
      </c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 s="369"/>
      <c r="O19" s="369"/>
      <c r="P19" s="369"/>
      <c r="Q19" s="369"/>
      <c r="R19" s="369"/>
      <c r="S19" s="369"/>
      <c r="T19" s="369"/>
      <c r="U19" s="369"/>
      <c r="V19" s="369"/>
      <c r="W19" s="369"/>
      <c r="X19" s="369"/>
      <c r="Y19" s="369"/>
      <c r="Z19" s="369"/>
      <c r="AA19" s="54"/>
      <c r="AB19" s="54"/>
      <c r="AC19" s="54"/>
    </row>
    <row r="20" spans="1:68" ht="16.5" hidden="1" customHeight="1" x14ac:dyDescent="0.25">
      <c r="A20" s="370" t="s">
        <v>81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 s="370"/>
      <c r="Q20" s="370"/>
      <c r="R20" s="370"/>
      <c r="S20" s="370"/>
      <c r="T20" s="370"/>
      <c r="U20" s="370"/>
      <c r="V20" s="370"/>
      <c r="W20" s="370"/>
      <c r="X20" s="370"/>
      <c r="Y20" s="370"/>
      <c r="Z20" s="370"/>
      <c r="AA20" s="65"/>
      <c r="AB20" s="65"/>
      <c r="AC20" s="82"/>
    </row>
    <row r="21" spans="1:68" ht="14.25" hidden="1" customHeight="1" x14ac:dyDescent="0.25">
      <c r="A21" s="371" t="s">
        <v>82</v>
      </c>
      <c r="B21" s="371"/>
      <c r="C21" s="371"/>
      <c r="D21" s="371"/>
      <c r="E21" s="371"/>
      <c r="F21" s="371"/>
      <c r="G21" s="371"/>
      <c r="H21" s="371"/>
      <c r="I21" s="371"/>
      <c r="J21" s="371"/>
      <c r="K21" s="371"/>
      <c r="L21" s="371"/>
      <c r="M21" s="371"/>
      <c r="N21" s="371"/>
      <c r="O21" s="371"/>
      <c r="P21" s="371"/>
      <c r="Q21" s="371"/>
      <c r="R21" s="371"/>
      <c r="S21" s="371"/>
      <c r="T21" s="371"/>
      <c r="U21" s="371"/>
      <c r="V21" s="371"/>
      <c r="W21" s="371"/>
      <c r="X21" s="371"/>
      <c r="Y21" s="371"/>
      <c r="Z21" s="371"/>
      <c r="AA21" s="66"/>
      <c r="AB21" s="66"/>
      <c r="AC21" s="83"/>
    </row>
    <row r="22" spans="1:68" ht="27" hidden="1" customHeight="1" x14ac:dyDescent="0.25">
      <c r="A22" s="63" t="s">
        <v>83</v>
      </c>
      <c r="B22" s="63" t="s">
        <v>84</v>
      </c>
      <c r="C22" s="36">
        <v>4301071113</v>
      </c>
      <c r="D22" s="372">
        <v>4620207491508</v>
      </c>
      <c r="E22" s="372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73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74"/>
      <c r="R22" s="374"/>
      <c r="S22" s="374"/>
      <c r="T22" s="375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4301071112</v>
      </c>
      <c r="D23" s="372">
        <v>4620207491256</v>
      </c>
      <c r="E23" s="372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76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74"/>
      <c r="R23" s="374"/>
      <c r="S23" s="374"/>
      <c r="T23" s="375"/>
      <c r="U23" s="39" t="s">
        <v>46</v>
      </c>
      <c r="V23" s="39" t="s">
        <v>46</v>
      </c>
      <c r="W23" s="40" t="s">
        <v>39</v>
      </c>
      <c r="X23" s="58">
        <v>24</v>
      </c>
      <c r="Y23" s="55">
        <f t="shared" si="0"/>
        <v>24</v>
      </c>
      <c r="Z23" s="41">
        <f t="shared" si="1"/>
        <v>0.372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159.12</v>
      </c>
      <c r="BN23" s="81">
        <f t="shared" si="3"/>
        <v>159.12</v>
      </c>
      <c r="BO23" s="81">
        <f t="shared" si="4"/>
        <v>0.2857142857142857</v>
      </c>
      <c r="BP23" s="81">
        <f t="shared" si="5"/>
        <v>0.2857142857142857</v>
      </c>
    </row>
    <row r="24" spans="1:68" ht="27" hidden="1" customHeight="1" x14ac:dyDescent="0.25">
      <c r="A24" s="63" t="s">
        <v>92</v>
      </c>
      <c r="B24" s="63" t="s">
        <v>93</v>
      </c>
      <c r="C24" s="36">
        <v>4301071135</v>
      </c>
      <c r="D24" s="372">
        <v>4620207491713</v>
      </c>
      <c r="E24" s="372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77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74"/>
      <c r="R24" s="374"/>
      <c r="S24" s="374"/>
      <c r="T24" s="375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95</v>
      </c>
      <c r="B25" s="63" t="s">
        <v>96</v>
      </c>
      <c r="C25" s="36">
        <v>4301071134</v>
      </c>
      <c r="D25" s="372">
        <v>4620207491720</v>
      </c>
      <c r="E25" s="372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78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74"/>
      <c r="R25" s="374"/>
      <c r="S25" s="374"/>
      <c r="T25" s="375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97</v>
      </c>
      <c r="B26" s="63" t="s">
        <v>98</v>
      </c>
      <c r="C26" s="36">
        <v>4301071108</v>
      </c>
      <c r="D26" s="372">
        <v>4607111035912</v>
      </c>
      <c r="E26" s="372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7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74"/>
      <c r="R26" s="374"/>
      <c r="S26" s="374"/>
      <c r="T26" s="375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100</v>
      </c>
      <c r="B27" s="63" t="s">
        <v>101</v>
      </c>
      <c r="C27" s="36">
        <v>4301071109</v>
      </c>
      <c r="D27" s="372">
        <v>4607111035929</v>
      </c>
      <c r="E27" s="372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8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74"/>
      <c r="R27" s="374"/>
      <c r="S27" s="374"/>
      <c r="T27" s="375"/>
      <c r="U27" s="39" t="s">
        <v>46</v>
      </c>
      <c r="V27" s="39" t="s">
        <v>46</v>
      </c>
      <c r="W27" s="40" t="s">
        <v>39</v>
      </c>
      <c r="X27" s="58">
        <v>24</v>
      </c>
      <c r="Y27" s="55">
        <f t="shared" si="0"/>
        <v>24</v>
      </c>
      <c r="Z27" s="41">
        <f t="shared" si="1"/>
        <v>0.372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179.28</v>
      </c>
      <c r="BN27" s="81">
        <f t="shared" si="3"/>
        <v>179.28</v>
      </c>
      <c r="BO27" s="81">
        <f t="shared" si="4"/>
        <v>0.2857142857142857</v>
      </c>
      <c r="BP27" s="81">
        <f t="shared" si="5"/>
        <v>0.2857142857142857</v>
      </c>
    </row>
    <row r="28" spans="1:68" ht="27" customHeight="1" x14ac:dyDescent="0.25">
      <c r="A28" s="63" t="s">
        <v>102</v>
      </c>
      <c r="B28" s="63" t="s">
        <v>103</v>
      </c>
      <c r="C28" s="36">
        <v>4301071106</v>
      </c>
      <c r="D28" s="372">
        <v>4607111035882</v>
      </c>
      <c r="E28" s="372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381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74"/>
      <c r="R28" s="374"/>
      <c r="S28" s="374"/>
      <c r="T28" s="375"/>
      <c r="U28" s="39" t="s">
        <v>46</v>
      </c>
      <c r="V28" s="39" t="s">
        <v>46</v>
      </c>
      <c r="W28" s="40" t="s">
        <v>39</v>
      </c>
      <c r="X28" s="58">
        <v>12</v>
      </c>
      <c r="Y28" s="55">
        <f t="shared" si="0"/>
        <v>12</v>
      </c>
      <c r="Z28" s="41">
        <f t="shared" si="1"/>
        <v>0.186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86.28</v>
      </c>
      <c r="BN28" s="81">
        <f t="shared" si="3"/>
        <v>86.28</v>
      </c>
      <c r="BO28" s="81">
        <f t="shared" si="4"/>
        <v>0.14285714285714285</v>
      </c>
      <c r="BP28" s="81">
        <f t="shared" si="5"/>
        <v>0.14285714285714285</v>
      </c>
    </row>
    <row r="29" spans="1:68" ht="27" hidden="1" customHeight="1" x14ac:dyDescent="0.25">
      <c r="A29" s="63" t="s">
        <v>104</v>
      </c>
      <c r="B29" s="63" t="s">
        <v>105</v>
      </c>
      <c r="C29" s="36">
        <v>4301071107</v>
      </c>
      <c r="D29" s="372">
        <v>4607111035905</v>
      </c>
      <c r="E29" s="372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38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74"/>
      <c r="R29" s="374"/>
      <c r="S29" s="374"/>
      <c r="T29" s="375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86"/>
      <c r="B30" s="386"/>
      <c r="C30" s="386"/>
      <c r="D30" s="386"/>
      <c r="E30" s="386"/>
      <c r="F30" s="386"/>
      <c r="G30" s="386"/>
      <c r="H30" s="386"/>
      <c r="I30" s="386"/>
      <c r="J30" s="386"/>
      <c r="K30" s="386"/>
      <c r="L30" s="386"/>
      <c r="M30" s="386"/>
      <c r="N30" s="386"/>
      <c r="O30" s="387"/>
      <c r="P30" s="383" t="s">
        <v>40</v>
      </c>
      <c r="Q30" s="384"/>
      <c r="R30" s="384"/>
      <c r="S30" s="384"/>
      <c r="T30" s="384"/>
      <c r="U30" s="384"/>
      <c r="V30" s="385"/>
      <c r="W30" s="42" t="s">
        <v>39</v>
      </c>
      <c r="X30" s="43">
        <f>IFERROR(SUM(X22:X29),"0")</f>
        <v>60</v>
      </c>
      <c r="Y30" s="43">
        <f>IFERROR(SUM(Y22:Y29),"0")</f>
        <v>60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0.92999999999999994</v>
      </c>
      <c r="AA30" s="67"/>
      <c r="AB30" s="67"/>
      <c r="AC30" s="67"/>
    </row>
    <row r="31" spans="1:68" x14ac:dyDescent="0.2">
      <c r="A31" s="386"/>
      <c r="B31" s="386"/>
      <c r="C31" s="386"/>
      <c r="D31" s="386"/>
      <c r="E31" s="386"/>
      <c r="F31" s="386"/>
      <c r="G31" s="386"/>
      <c r="H31" s="386"/>
      <c r="I31" s="386"/>
      <c r="J31" s="386"/>
      <c r="K31" s="386"/>
      <c r="L31" s="386"/>
      <c r="M31" s="386"/>
      <c r="N31" s="386"/>
      <c r="O31" s="387"/>
      <c r="P31" s="383" t="s">
        <v>40</v>
      </c>
      <c r="Q31" s="384"/>
      <c r="R31" s="384"/>
      <c r="S31" s="384"/>
      <c r="T31" s="384"/>
      <c r="U31" s="384"/>
      <c r="V31" s="385"/>
      <c r="W31" s="42" t="s">
        <v>0</v>
      </c>
      <c r="X31" s="43">
        <f>IFERROR(SUMPRODUCT(X22:X29*H22:H29),"0")</f>
        <v>408.96000000000004</v>
      </c>
      <c r="Y31" s="43">
        <f>IFERROR(SUMPRODUCT(Y22:Y29*H22:H29),"0")</f>
        <v>408.96000000000004</v>
      </c>
      <c r="Z31" s="42"/>
      <c r="AA31" s="67"/>
      <c r="AB31" s="67"/>
      <c r="AC31" s="67"/>
    </row>
    <row r="32" spans="1:68" ht="14.25" hidden="1" customHeight="1" x14ac:dyDescent="0.25">
      <c r="A32" s="371" t="s">
        <v>106</v>
      </c>
      <c r="B32" s="371"/>
      <c r="C32" s="371"/>
      <c r="D32" s="371"/>
      <c r="E32" s="371"/>
      <c r="F32" s="371"/>
      <c r="G32" s="371"/>
      <c r="H32" s="371"/>
      <c r="I32" s="371"/>
      <c r="J32" s="371"/>
      <c r="K32" s="371"/>
      <c r="L32" s="371"/>
      <c r="M32" s="371"/>
      <c r="N32" s="371"/>
      <c r="O32" s="371"/>
      <c r="P32" s="371"/>
      <c r="Q32" s="371"/>
      <c r="R32" s="371"/>
      <c r="S32" s="371"/>
      <c r="T32" s="371"/>
      <c r="U32" s="371"/>
      <c r="V32" s="371"/>
      <c r="W32" s="371"/>
      <c r="X32" s="371"/>
      <c r="Y32" s="371"/>
      <c r="Z32" s="371"/>
      <c r="AA32" s="66"/>
      <c r="AB32" s="66"/>
      <c r="AC32" s="83"/>
    </row>
    <row r="33" spans="1:68" ht="37.5" customHeight="1" x14ac:dyDescent="0.25">
      <c r="A33" s="63" t="s">
        <v>107</v>
      </c>
      <c r="B33" s="63" t="s">
        <v>108</v>
      </c>
      <c r="C33" s="36">
        <v>4301080162</v>
      </c>
      <c r="D33" s="372">
        <v>4620207492178</v>
      </c>
      <c r="E33" s="372"/>
      <c r="F33" s="62">
        <v>0.6</v>
      </c>
      <c r="G33" s="37">
        <v>10</v>
      </c>
      <c r="H33" s="62">
        <v>6</v>
      </c>
      <c r="I33" s="62">
        <v>6.23</v>
      </c>
      <c r="J33" s="37">
        <v>84</v>
      </c>
      <c r="K33" s="37" t="s">
        <v>87</v>
      </c>
      <c r="L33" s="37" t="s">
        <v>88</v>
      </c>
      <c r="M33" s="38" t="s">
        <v>86</v>
      </c>
      <c r="N33" s="38"/>
      <c r="O33" s="37">
        <v>180</v>
      </c>
      <c r="P33" s="388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374"/>
      <c r="R33" s="374"/>
      <c r="S33" s="374"/>
      <c r="T33" s="375"/>
      <c r="U33" s="39" t="s">
        <v>46</v>
      </c>
      <c r="V33" s="39" t="s">
        <v>46</v>
      </c>
      <c r="W33" s="40" t="s">
        <v>39</v>
      </c>
      <c r="X33" s="58">
        <v>12</v>
      </c>
      <c r="Y33" s="55">
        <f>IFERROR(IF(X33="","",X33),"")</f>
        <v>12</v>
      </c>
      <c r="Z33" s="41">
        <f>IFERROR(IF(X33="","",X33*0.0155),"")</f>
        <v>0.186</v>
      </c>
      <c r="AA33" s="68" t="s">
        <v>46</v>
      </c>
      <c r="AB33" s="69" t="s">
        <v>110</v>
      </c>
      <c r="AC33" s="105" t="s">
        <v>109</v>
      </c>
      <c r="AG33" s="81"/>
      <c r="AJ33" s="87" t="s">
        <v>89</v>
      </c>
      <c r="AK33" s="87">
        <v>1</v>
      </c>
      <c r="BB33" s="106" t="s">
        <v>70</v>
      </c>
      <c r="BM33" s="81">
        <f>IFERROR(X33*I33,"0")</f>
        <v>74.760000000000005</v>
      </c>
      <c r="BN33" s="81">
        <f>IFERROR(Y33*I33,"0")</f>
        <v>74.760000000000005</v>
      </c>
      <c r="BO33" s="81">
        <f>IFERROR(X33/J33,"0")</f>
        <v>0.14285714285714285</v>
      </c>
      <c r="BP33" s="81">
        <f>IFERROR(Y33/J33,"0")</f>
        <v>0.14285714285714285</v>
      </c>
    </row>
    <row r="34" spans="1:68" x14ac:dyDescent="0.2">
      <c r="A34" s="386"/>
      <c r="B34" s="386"/>
      <c r="C34" s="386"/>
      <c r="D34" s="386"/>
      <c r="E34" s="386"/>
      <c r="F34" s="386"/>
      <c r="G34" s="386"/>
      <c r="H34" s="386"/>
      <c r="I34" s="386"/>
      <c r="J34" s="386"/>
      <c r="K34" s="386"/>
      <c r="L34" s="386"/>
      <c r="M34" s="386"/>
      <c r="N34" s="386"/>
      <c r="O34" s="387"/>
      <c r="P34" s="383" t="s">
        <v>40</v>
      </c>
      <c r="Q34" s="384"/>
      <c r="R34" s="384"/>
      <c r="S34" s="384"/>
      <c r="T34" s="384"/>
      <c r="U34" s="384"/>
      <c r="V34" s="385"/>
      <c r="W34" s="42" t="s">
        <v>39</v>
      </c>
      <c r="X34" s="43">
        <f>IFERROR(SUM(X33:X33),"0")</f>
        <v>12</v>
      </c>
      <c r="Y34" s="43">
        <f>IFERROR(SUM(Y33:Y33),"0")</f>
        <v>12</v>
      </c>
      <c r="Z34" s="43">
        <f>IFERROR(IF(Z33="",0,Z33),"0")</f>
        <v>0.186</v>
      </c>
      <c r="AA34" s="67"/>
      <c r="AB34" s="67"/>
      <c r="AC34" s="67"/>
    </row>
    <row r="35" spans="1:68" x14ac:dyDescent="0.2">
      <c r="A35" s="386"/>
      <c r="B35" s="386"/>
      <c r="C35" s="386"/>
      <c r="D35" s="386"/>
      <c r="E35" s="386"/>
      <c r="F35" s="386"/>
      <c r="G35" s="386"/>
      <c r="H35" s="386"/>
      <c r="I35" s="386"/>
      <c r="J35" s="386"/>
      <c r="K35" s="386"/>
      <c r="L35" s="386"/>
      <c r="M35" s="386"/>
      <c r="N35" s="386"/>
      <c r="O35" s="387"/>
      <c r="P35" s="383" t="s">
        <v>40</v>
      </c>
      <c r="Q35" s="384"/>
      <c r="R35" s="384"/>
      <c r="S35" s="384"/>
      <c r="T35" s="384"/>
      <c r="U35" s="384"/>
      <c r="V35" s="385"/>
      <c r="W35" s="42" t="s">
        <v>0</v>
      </c>
      <c r="X35" s="43">
        <f>IFERROR(SUMPRODUCT(X33:X33*H33:H33),"0")</f>
        <v>72</v>
      </c>
      <c r="Y35" s="43">
        <f>IFERROR(SUMPRODUCT(Y33:Y33*H33:H33),"0")</f>
        <v>72</v>
      </c>
      <c r="Z35" s="42"/>
      <c r="AA35" s="67"/>
      <c r="AB35" s="67"/>
      <c r="AC35" s="67"/>
    </row>
    <row r="36" spans="1:68" ht="16.5" hidden="1" customHeight="1" x14ac:dyDescent="0.25">
      <c r="A36" s="370" t="s">
        <v>111</v>
      </c>
      <c r="B36" s="370"/>
      <c r="C36" s="370"/>
      <c r="D36" s="370"/>
      <c r="E36" s="370"/>
      <c r="F36" s="370"/>
      <c r="G36" s="370"/>
      <c r="H36" s="370"/>
      <c r="I36" s="370"/>
      <c r="J36" s="370"/>
      <c r="K36" s="370"/>
      <c r="L36" s="370"/>
      <c r="M36" s="370"/>
      <c r="N36" s="370"/>
      <c r="O36" s="370"/>
      <c r="P36" s="370"/>
      <c r="Q36" s="370"/>
      <c r="R36" s="370"/>
      <c r="S36" s="370"/>
      <c r="T36" s="370"/>
      <c r="U36" s="370"/>
      <c r="V36" s="370"/>
      <c r="W36" s="370"/>
      <c r="X36" s="370"/>
      <c r="Y36" s="370"/>
      <c r="Z36" s="370"/>
      <c r="AA36" s="65"/>
      <c r="AB36" s="65"/>
      <c r="AC36" s="82"/>
    </row>
    <row r="37" spans="1:68" ht="14.25" hidden="1" customHeight="1" x14ac:dyDescent="0.25">
      <c r="A37" s="371" t="s">
        <v>82</v>
      </c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371"/>
      <c r="V37" s="371"/>
      <c r="W37" s="371"/>
      <c r="X37" s="371"/>
      <c r="Y37" s="371"/>
      <c r="Z37" s="371"/>
      <c r="AA37" s="66"/>
      <c r="AB37" s="66"/>
      <c r="AC37" s="83"/>
    </row>
    <row r="38" spans="1:68" ht="16.5" hidden="1" customHeight="1" x14ac:dyDescent="0.25">
      <c r="A38" s="63" t="s">
        <v>112</v>
      </c>
      <c r="B38" s="63" t="s">
        <v>113</v>
      </c>
      <c r="C38" s="36">
        <v>4301071099</v>
      </c>
      <c r="D38" s="372">
        <v>4607111039019</v>
      </c>
      <c r="E38" s="372"/>
      <c r="F38" s="62">
        <v>0.43</v>
      </c>
      <c r="G38" s="37">
        <v>16</v>
      </c>
      <c r="H38" s="62">
        <v>6.88</v>
      </c>
      <c r="I38" s="62">
        <v>7.2060000000000004</v>
      </c>
      <c r="J38" s="37">
        <v>84</v>
      </c>
      <c r="K38" s="37" t="s">
        <v>87</v>
      </c>
      <c r="L38" s="37" t="s">
        <v>88</v>
      </c>
      <c r="M38" s="38" t="s">
        <v>86</v>
      </c>
      <c r="N38" s="38"/>
      <c r="O38" s="37">
        <v>180</v>
      </c>
      <c r="P38" s="389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374"/>
      <c r="R38" s="374"/>
      <c r="S38" s="374"/>
      <c r="T38" s="375"/>
      <c r="U38" s="39" t="s">
        <v>46</v>
      </c>
      <c r="V38" s="39" t="s">
        <v>46</v>
      </c>
      <c r="W38" s="40" t="s">
        <v>39</v>
      </c>
      <c r="X38" s="58">
        <v>0</v>
      </c>
      <c r="Y38" s="55">
        <f>IFERROR(IF(X38="","",X38),"")</f>
        <v>0</v>
      </c>
      <c r="Z38" s="41">
        <f>IFERROR(IF(X38="","",X38*0.0155),"")</f>
        <v>0</v>
      </c>
      <c r="AA38" s="68" t="s">
        <v>46</v>
      </c>
      <c r="AB38" s="69" t="s">
        <v>46</v>
      </c>
      <c r="AC38" s="107" t="s">
        <v>114</v>
      </c>
      <c r="AG38" s="81"/>
      <c r="AJ38" s="87" t="s">
        <v>89</v>
      </c>
      <c r="AK38" s="87">
        <v>1</v>
      </c>
      <c r="BB38" s="108" t="s">
        <v>70</v>
      </c>
      <c r="BM38" s="81">
        <f>IFERROR(X38*I38,"0")</f>
        <v>0</v>
      </c>
      <c r="BN38" s="81">
        <f>IFERROR(Y38*I38,"0")</f>
        <v>0</v>
      </c>
      <c r="BO38" s="81">
        <f>IFERROR(X38/J38,"0")</f>
        <v>0</v>
      </c>
      <c r="BP38" s="81">
        <f>IFERROR(Y38/J38,"0")</f>
        <v>0</v>
      </c>
    </row>
    <row r="39" spans="1:68" ht="16.5" customHeight="1" x14ac:dyDescent="0.25">
      <c r="A39" s="63" t="s">
        <v>115</v>
      </c>
      <c r="B39" s="63" t="s">
        <v>116</v>
      </c>
      <c r="C39" s="36">
        <v>4301071100</v>
      </c>
      <c r="D39" s="372">
        <v>4607111038708</v>
      </c>
      <c r="E39" s="372"/>
      <c r="F39" s="62">
        <v>0.8</v>
      </c>
      <c r="G39" s="37">
        <v>8</v>
      </c>
      <c r="H39" s="62">
        <v>6.4</v>
      </c>
      <c r="I39" s="62">
        <v>6.67</v>
      </c>
      <c r="J39" s="37">
        <v>84</v>
      </c>
      <c r="K39" s="37" t="s">
        <v>87</v>
      </c>
      <c r="L39" s="37" t="s">
        <v>88</v>
      </c>
      <c r="M39" s="38" t="s">
        <v>86</v>
      </c>
      <c r="N39" s="38"/>
      <c r="O39" s="37">
        <v>180</v>
      </c>
      <c r="P39" s="390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374"/>
      <c r="R39" s="374"/>
      <c r="S39" s="374"/>
      <c r="T39" s="375"/>
      <c r="U39" s="39" t="s">
        <v>46</v>
      </c>
      <c r="V39" s="39" t="s">
        <v>46</v>
      </c>
      <c r="W39" s="40" t="s">
        <v>39</v>
      </c>
      <c r="X39" s="58">
        <v>12</v>
      </c>
      <c r="Y39" s="55">
        <f>IFERROR(IF(X39="","",X39),"")</f>
        <v>12</v>
      </c>
      <c r="Z39" s="41">
        <f>IFERROR(IF(X39="","",X39*0.0155),"")</f>
        <v>0.186</v>
      </c>
      <c r="AA39" s="68" t="s">
        <v>46</v>
      </c>
      <c r="AB39" s="69" t="s">
        <v>46</v>
      </c>
      <c r="AC39" s="109" t="s">
        <v>114</v>
      </c>
      <c r="AG39" s="81"/>
      <c r="AJ39" s="87" t="s">
        <v>89</v>
      </c>
      <c r="AK39" s="87">
        <v>1</v>
      </c>
      <c r="BB39" s="110" t="s">
        <v>70</v>
      </c>
      <c r="BM39" s="81">
        <f>IFERROR(X39*I39,"0")</f>
        <v>80.039999999999992</v>
      </c>
      <c r="BN39" s="81">
        <f>IFERROR(Y39*I39,"0")</f>
        <v>80.039999999999992</v>
      </c>
      <c r="BO39" s="81">
        <f>IFERROR(X39/J39,"0")</f>
        <v>0.14285714285714285</v>
      </c>
      <c r="BP39" s="81">
        <f>IFERROR(Y39/J39,"0")</f>
        <v>0.14285714285714285</v>
      </c>
    </row>
    <row r="40" spans="1:68" x14ac:dyDescent="0.2">
      <c r="A40" s="386"/>
      <c r="B40" s="386"/>
      <c r="C40" s="386"/>
      <c r="D40" s="386"/>
      <c r="E40" s="386"/>
      <c r="F40" s="386"/>
      <c r="G40" s="386"/>
      <c r="H40" s="386"/>
      <c r="I40" s="386"/>
      <c r="J40" s="386"/>
      <c r="K40" s="386"/>
      <c r="L40" s="386"/>
      <c r="M40" s="386"/>
      <c r="N40" s="386"/>
      <c r="O40" s="387"/>
      <c r="P40" s="383" t="s">
        <v>40</v>
      </c>
      <c r="Q40" s="384"/>
      <c r="R40" s="384"/>
      <c r="S40" s="384"/>
      <c r="T40" s="384"/>
      <c r="U40" s="384"/>
      <c r="V40" s="385"/>
      <c r="W40" s="42" t="s">
        <v>39</v>
      </c>
      <c r="X40" s="43">
        <f>IFERROR(SUM(X38:X39),"0")</f>
        <v>12</v>
      </c>
      <c r="Y40" s="43">
        <f>IFERROR(SUM(Y38:Y39),"0")</f>
        <v>12</v>
      </c>
      <c r="Z40" s="43">
        <f>IFERROR(IF(Z38="",0,Z38),"0")+IFERROR(IF(Z39="",0,Z39),"0")</f>
        <v>0.186</v>
      </c>
      <c r="AA40" s="67"/>
      <c r="AB40" s="67"/>
      <c r="AC40" s="67"/>
    </row>
    <row r="41" spans="1:68" x14ac:dyDescent="0.2">
      <c r="A41" s="386"/>
      <c r="B41" s="386"/>
      <c r="C41" s="386"/>
      <c r="D41" s="386"/>
      <c r="E41" s="386"/>
      <c r="F41" s="386"/>
      <c r="G41" s="386"/>
      <c r="H41" s="386"/>
      <c r="I41" s="386"/>
      <c r="J41" s="386"/>
      <c r="K41" s="386"/>
      <c r="L41" s="386"/>
      <c r="M41" s="386"/>
      <c r="N41" s="386"/>
      <c r="O41" s="387"/>
      <c r="P41" s="383" t="s">
        <v>40</v>
      </c>
      <c r="Q41" s="384"/>
      <c r="R41" s="384"/>
      <c r="S41" s="384"/>
      <c r="T41" s="384"/>
      <c r="U41" s="384"/>
      <c r="V41" s="385"/>
      <c r="W41" s="42" t="s">
        <v>0</v>
      </c>
      <c r="X41" s="43">
        <f>IFERROR(SUMPRODUCT(X38:X39*H38:H39),"0")</f>
        <v>76.800000000000011</v>
      </c>
      <c r="Y41" s="43">
        <f>IFERROR(SUMPRODUCT(Y38:Y39*H38:H39),"0")</f>
        <v>76.800000000000011</v>
      </c>
      <c r="Z41" s="42"/>
      <c r="AA41" s="67"/>
      <c r="AB41" s="67"/>
      <c r="AC41" s="67"/>
    </row>
    <row r="42" spans="1:68" ht="27.75" hidden="1" customHeight="1" x14ac:dyDescent="0.2">
      <c r="A42" s="369" t="s">
        <v>45</v>
      </c>
      <c r="B42" s="369"/>
      <c r="C42" s="369"/>
      <c r="D42" s="369"/>
      <c r="E42" s="369"/>
      <c r="F42" s="369"/>
      <c r="G42" s="369"/>
      <c r="H42" s="369"/>
      <c r="I42" s="369"/>
      <c r="J42" s="369"/>
      <c r="K42" s="369"/>
      <c r="L42" s="369"/>
      <c r="M42" s="369"/>
      <c r="N42" s="369"/>
      <c r="O42" s="369"/>
      <c r="P42" s="369"/>
      <c r="Q42" s="369"/>
      <c r="R42" s="369"/>
      <c r="S42" s="369"/>
      <c r="T42" s="369"/>
      <c r="U42" s="369"/>
      <c r="V42" s="369"/>
      <c r="W42" s="369"/>
      <c r="X42" s="369"/>
      <c r="Y42" s="369"/>
      <c r="Z42" s="369"/>
      <c r="AA42" s="54"/>
      <c r="AB42" s="54"/>
      <c r="AC42" s="54"/>
    </row>
    <row r="43" spans="1:68" ht="16.5" hidden="1" customHeight="1" x14ac:dyDescent="0.25">
      <c r="A43" s="370" t="s">
        <v>117</v>
      </c>
      <c r="B43" s="370"/>
      <c r="C43" s="370"/>
      <c r="D43" s="370"/>
      <c r="E43" s="370"/>
      <c r="F43" s="370"/>
      <c r="G43" s="370"/>
      <c r="H43" s="370"/>
      <c r="I43" s="370"/>
      <c r="J43" s="370"/>
      <c r="K43" s="370"/>
      <c r="L43" s="370"/>
      <c r="M43" s="370"/>
      <c r="N43" s="370"/>
      <c r="O43" s="370"/>
      <c r="P43" s="370"/>
      <c r="Q43" s="370"/>
      <c r="R43" s="370"/>
      <c r="S43" s="370"/>
      <c r="T43" s="370"/>
      <c r="U43" s="370"/>
      <c r="V43" s="370"/>
      <c r="W43" s="370"/>
      <c r="X43" s="370"/>
      <c r="Y43" s="370"/>
      <c r="Z43" s="370"/>
      <c r="AA43" s="65"/>
      <c r="AB43" s="65"/>
      <c r="AC43" s="82"/>
    </row>
    <row r="44" spans="1:68" ht="14.25" hidden="1" customHeight="1" x14ac:dyDescent="0.25">
      <c r="A44" s="371" t="s">
        <v>118</v>
      </c>
      <c r="B44" s="371"/>
      <c r="C44" s="371"/>
      <c r="D44" s="371"/>
      <c r="E44" s="371"/>
      <c r="F44" s="371"/>
      <c r="G44" s="371"/>
      <c r="H44" s="371"/>
      <c r="I44" s="371"/>
      <c r="J44" s="371"/>
      <c r="K44" s="371"/>
      <c r="L44" s="371"/>
      <c r="M44" s="371"/>
      <c r="N44" s="371"/>
      <c r="O44" s="371"/>
      <c r="P44" s="371"/>
      <c r="Q44" s="371"/>
      <c r="R44" s="371"/>
      <c r="S44" s="371"/>
      <c r="T44" s="371"/>
      <c r="U44" s="371"/>
      <c r="V44" s="371"/>
      <c r="W44" s="371"/>
      <c r="X44" s="371"/>
      <c r="Y44" s="371"/>
      <c r="Z44" s="371"/>
      <c r="AA44" s="66"/>
      <c r="AB44" s="66"/>
      <c r="AC44" s="83"/>
    </row>
    <row r="45" spans="1:68" ht="27" customHeight="1" x14ac:dyDescent="0.25">
      <c r="A45" s="63" t="s">
        <v>119</v>
      </c>
      <c r="B45" s="63" t="s">
        <v>120</v>
      </c>
      <c r="C45" s="36">
        <v>4301132190</v>
      </c>
      <c r="D45" s="372">
        <v>4607111036537</v>
      </c>
      <c r="E45" s="372"/>
      <c r="F45" s="62">
        <v>0.25</v>
      </c>
      <c r="G45" s="37">
        <v>6</v>
      </c>
      <c r="H45" s="62">
        <v>1.5</v>
      </c>
      <c r="I45" s="62">
        <v>1.9218</v>
      </c>
      <c r="J45" s="37">
        <v>140</v>
      </c>
      <c r="K45" s="37" t="s">
        <v>123</v>
      </c>
      <c r="L45" s="37" t="s">
        <v>124</v>
      </c>
      <c r="M45" s="38" t="s">
        <v>86</v>
      </c>
      <c r="N45" s="38"/>
      <c r="O45" s="37">
        <v>365</v>
      </c>
      <c r="P45" s="39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374"/>
      <c r="R45" s="374"/>
      <c r="S45" s="374"/>
      <c r="T45" s="375"/>
      <c r="U45" s="39" t="s">
        <v>46</v>
      </c>
      <c r="V45" s="39" t="s">
        <v>46</v>
      </c>
      <c r="W45" s="40" t="s">
        <v>39</v>
      </c>
      <c r="X45" s="58">
        <v>168</v>
      </c>
      <c r="Y45" s="55">
        <f>IFERROR(IF(X45="","",X45),"")</f>
        <v>168</v>
      </c>
      <c r="Z45" s="41">
        <f>IFERROR(IF(X45="","",X45*0.00941),"")</f>
        <v>1.5808800000000001</v>
      </c>
      <c r="AA45" s="68" t="s">
        <v>46</v>
      </c>
      <c r="AB45" s="69" t="s">
        <v>46</v>
      </c>
      <c r="AC45" s="111" t="s">
        <v>121</v>
      </c>
      <c r="AG45" s="81"/>
      <c r="AJ45" s="87" t="s">
        <v>125</v>
      </c>
      <c r="AK45" s="87">
        <v>14</v>
      </c>
      <c r="BB45" s="112" t="s">
        <v>122</v>
      </c>
      <c r="BM45" s="81">
        <f>IFERROR(X45*I45,"0")</f>
        <v>322.86239999999998</v>
      </c>
      <c r="BN45" s="81">
        <f>IFERROR(Y45*I45,"0")</f>
        <v>322.86239999999998</v>
      </c>
      <c r="BO45" s="81">
        <f>IFERROR(X45/J45,"0")</f>
        <v>1.2</v>
      </c>
      <c r="BP45" s="81">
        <f>IFERROR(Y45/J45,"0")</f>
        <v>1.2</v>
      </c>
    </row>
    <row r="46" spans="1:68" ht="27" customHeight="1" x14ac:dyDescent="0.25">
      <c r="A46" s="63" t="s">
        <v>126</v>
      </c>
      <c r="B46" s="63" t="s">
        <v>127</v>
      </c>
      <c r="C46" s="36">
        <v>4301132188</v>
      </c>
      <c r="D46" s="372">
        <v>4607111036605</v>
      </c>
      <c r="E46" s="372"/>
      <c r="F46" s="62">
        <v>0.25</v>
      </c>
      <c r="G46" s="37">
        <v>6</v>
      </c>
      <c r="H46" s="62">
        <v>1.5</v>
      </c>
      <c r="I46" s="62">
        <v>1.9218</v>
      </c>
      <c r="J46" s="37">
        <v>140</v>
      </c>
      <c r="K46" s="37" t="s">
        <v>123</v>
      </c>
      <c r="L46" s="37" t="s">
        <v>88</v>
      </c>
      <c r="M46" s="38" t="s">
        <v>86</v>
      </c>
      <c r="N46" s="38"/>
      <c r="O46" s="37">
        <v>365</v>
      </c>
      <c r="P46" s="392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374"/>
      <c r="R46" s="374"/>
      <c r="S46" s="374"/>
      <c r="T46" s="375"/>
      <c r="U46" s="39" t="s">
        <v>46</v>
      </c>
      <c r="V46" s="39" t="s">
        <v>46</v>
      </c>
      <c r="W46" s="40" t="s">
        <v>39</v>
      </c>
      <c r="X46" s="58">
        <v>28</v>
      </c>
      <c r="Y46" s="55">
        <f>IFERROR(IF(X46="","",X46),"")</f>
        <v>28</v>
      </c>
      <c r="Z46" s="41">
        <f>IFERROR(IF(X46="","",X46*0.00941),"")</f>
        <v>0.26347999999999999</v>
      </c>
      <c r="AA46" s="68" t="s">
        <v>46</v>
      </c>
      <c r="AB46" s="69" t="s">
        <v>46</v>
      </c>
      <c r="AC46" s="113" t="s">
        <v>121</v>
      </c>
      <c r="AG46" s="81"/>
      <c r="AJ46" s="87" t="s">
        <v>89</v>
      </c>
      <c r="AK46" s="87">
        <v>1</v>
      </c>
      <c r="BB46" s="114" t="s">
        <v>122</v>
      </c>
      <c r="BM46" s="81">
        <f>IFERROR(X46*I46,"0")</f>
        <v>53.810400000000001</v>
      </c>
      <c r="BN46" s="81">
        <f>IFERROR(Y46*I46,"0")</f>
        <v>53.810400000000001</v>
      </c>
      <c r="BO46" s="81">
        <f>IFERROR(X46/J46,"0")</f>
        <v>0.2</v>
      </c>
      <c r="BP46" s="81">
        <f>IFERROR(Y46/J46,"0")</f>
        <v>0.2</v>
      </c>
    </row>
    <row r="47" spans="1:68" x14ac:dyDescent="0.2">
      <c r="A47" s="386"/>
      <c r="B47" s="386"/>
      <c r="C47" s="386"/>
      <c r="D47" s="386"/>
      <c r="E47" s="386"/>
      <c r="F47" s="386"/>
      <c r="G47" s="386"/>
      <c r="H47" s="386"/>
      <c r="I47" s="386"/>
      <c r="J47" s="386"/>
      <c r="K47" s="386"/>
      <c r="L47" s="386"/>
      <c r="M47" s="386"/>
      <c r="N47" s="386"/>
      <c r="O47" s="387"/>
      <c r="P47" s="383" t="s">
        <v>40</v>
      </c>
      <c r="Q47" s="384"/>
      <c r="R47" s="384"/>
      <c r="S47" s="384"/>
      <c r="T47" s="384"/>
      <c r="U47" s="384"/>
      <c r="V47" s="385"/>
      <c r="W47" s="42" t="s">
        <v>39</v>
      </c>
      <c r="X47" s="43">
        <f>IFERROR(SUM(X45:X46),"0")</f>
        <v>196</v>
      </c>
      <c r="Y47" s="43">
        <f>IFERROR(SUM(Y45:Y46),"0")</f>
        <v>196</v>
      </c>
      <c r="Z47" s="43">
        <f>IFERROR(IF(Z45="",0,Z45),"0")+IFERROR(IF(Z46="",0,Z46),"0")</f>
        <v>1.84436</v>
      </c>
      <c r="AA47" s="67"/>
      <c r="AB47" s="67"/>
      <c r="AC47" s="67"/>
    </row>
    <row r="48" spans="1:68" x14ac:dyDescent="0.2">
      <c r="A48" s="386"/>
      <c r="B48" s="386"/>
      <c r="C48" s="386"/>
      <c r="D48" s="386"/>
      <c r="E48" s="386"/>
      <c r="F48" s="386"/>
      <c r="G48" s="386"/>
      <c r="H48" s="386"/>
      <c r="I48" s="386"/>
      <c r="J48" s="386"/>
      <c r="K48" s="386"/>
      <c r="L48" s="386"/>
      <c r="M48" s="386"/>
      <c r="N48" s="386"/>
      <c r="O48" s="387"/>
      <c r="P48" s="383" t="s">
        <v>40</v>
      </c>
      <c r="Q48" s="384"/>
      <c r="R48" s="384"/>
      <c r="S48" s="384"/>
      <c r="T48" s="384"/>
      <c r="U48" s="384"/>
      <c r="V48" s="385"/>
      <c r="W48" s="42" t="s">
        <v>0</v>
      </c>
      <c r="X48" s="43">
        <f>IFERROR(SUMPRODUCT(X45:X46*H45:H46),"0")</f>
        <v>294</v>
      </c>
      <c r="Y48" s="43">
        <f>IFERROR(SUMPRODUCT(Y45:Y46*H45:H46),"0")</f>
        <v>294</v>
      </c>
      <c r="Z48" s="42"/>
      <c r="AA48" s="67"/>
      <c r="AB48" s="67"/>
      <c r="AC48" s="67"/>
    </row>
    <row r="49" spans="1:68" ht="16.5" hidden="1" customHeight="1" x14ac:dyDescent="0.25">
      <c r="A49" s="370" t="s">
        <v>128</v>
      </c>
      <c r="B49" s="370"/>
      <c r="C49" s="370"/>
      <c r="D49" s="370"/>
      <c r="E49" s="370"/>
      <c r="F49" s="370"/>
      <c r="G49" s="370"/>
      <c r="H49" s="370"/>
      <c r="I49" s="370"/>
      <c r="J49" s="370"/>
      <c r="K49" s="370"/>
      <c r="L49" s="370"/>
      <c r="M49" s="370"/>
      <c r="N49" s="370"/>
      <c r="O49" s="370"/>
      <c r="P49" s="370"/>
      <c r="Q49" s="370"/>
      <c r="R49" s="370"/>
      <c r="S49" s="370"/>
      <c r="T49" s="370"/>
      <c r="U49" s="370"/>
      <c r="V49" s="370"/>
      <c r="W49" s="370"/>
      <c r="X49" s="370"/>
      <c r="Y49" s="370"/>
      <c r="Z49" s="370"/>
      <c r="AA49" s="65"/>
      <c r="AB49" s="65"/>
      <c r="AC49" s="82"/>
    </row>
    <row r="50" spans="1:68" ht="14.25" hidden="1" customHeight="1" x14ac:dyDescent="0.25">
      <c r="A50" s="371" t="s">
        <v>82</v>
      </c>
      <c r="B50" s="371"/>
      <c r="C50" s="371"/>
      <c r="D50" s="371"/>
      <c r="E50" s="371"/>
      <c r="F50" s="371"/>
      <c r="G50" s="371"/>
      <c r="H50" s="371"/>
      <c r="I50" s="371"/>
      <c r="J50" s="371"/>
      <c r="K50" s="371"/>
      <c r="L50" s="371"/>
      <c r="M50" s="371"/>
      <c r="N50" s="371"/>
      <c r="O50" s="371"/>
      <c r="P50" s="371"/>
      <c r="Q50" s="371"/>
      <c r="R50" s="371"/>
      <c r="S50" s="371"/>
      <c r="T50" s="371"/>
      <c r="U50" s="371"/>
      <c r="V50" s="371"/>
      <c r="W50" s="371"/>
      <c r="X50" s="371"/>
      <c r="Y50" s="371"/>
      <c r="Z50" s="371"/>
      <c r="AA50" s="66"/>
      <c r="AB50" s="66"/>
      <c r="AC50" s="83"/>
    </row>
    <row r="51" spans="1:68" ht="27" hidden="1" customHeight="1" x14ac:dyDescent="0.25">
      <c r="A51" s="63" t="s">
        <v>129</v>
      </c>
      <c r="B51" s="63" t="s">
        <v>130</v>
      </c>
      <c r="C51" s="36">
        <v>4301071090</v>
      </c>
      <c r="D51" s="372">
        <v>4620207490075</v>
      </c>
      <c r="E51" s="372"/>
      <c r="F51" s="62">
        <v>0.7</v>
      </c>
      <c r="G51" s="37">
        <v>8</v>
      </c>
      <c r="H51" s="62">
        <v>5.6</v>
      </c>
      <c r="I51" s="62">
        <v>5.87</v>
      </c>
      <c r="J51" s="37">
        <v>84</v>
      </c>
      <c r="K51" s="37" t="s">
        <v>87</v>
      </c>
      <c r="L51" s="37" t="s">
        <v>88</v>
      </c>
      <c r="M51" s="38" t="s">
        <v>86</v>
      </c>
      <c r="N51" s="38"/>
      <c r="O51" s="37">
        <v>180</v>
      </c>
      <c r="P51" s="39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51" s="374"/>
      <c r="R51" s="374"/>
      <c r="S51" s="374"/>
      <c r="T51" s="375"/>
      <c r="U51" s="39" t="s">
        <v>46</v>
      </c>
      <c r="V51" s="39" t="s">
        <v>46</v>
      </c>
      <c r="W51" s="40" t="s">
        <v>39</v>
      </c>
      <c r="X51" s="58">
        <v>0</v>
      </c>
      <c r="Y51" s="55">
        <f>IFERROR(IF(X51="","",X51),"")</f>
        <v>0</v>
      </c>
      <c r="Z51" s="41">
        <f>IFERROR(IF(X51="","",X51*0.0155),"")</f>
        <v>0</v>
      </c>
      <c r="AA51" s="68" t="s">
        <v>46</v>
      </c>
      <c r="AB51" s="69" t="s">
        <v>46</v>
      </c>
      <c r="AC51" s="115" t="s">
        <v>131</v>
      </c>
      <c r="AG51" s="81"/>
      <c r="AJ51" s="87" t="s">
        <v>89</v>
      </c>
      <c r="AK51" s="87">
        <v>1</v>
      </c>
      <c r="BB51" s="116" t="s">
        <v>70</v>
      </c>
      <c r="BM51" s="81">
        <f>IFERROR(X51*I51,"0")</f>
        <v>0</v>
      </c>
      <c r="BN51" s="81">
        <f>IFERROR(Y51*I51,"0")</f>
        <v>0</v>
      </c>
      <c r="BO51" s="81">
        <f>IFERROR(X51/J51,"0")</f>
        <v>0</v>
      </c>
      <c r="BP51" s="81">
        <f>IFERROR(Y51/J51,"0")</f>
        <v>0</v>
      </c>
    </row>
    <row r="52" spans="1:68" ht="27" customHeight="1" x14ac:dyDescent="0.25">
      <c r="A52" s="63" t="s">
        <v>132</v>
      </c>
      <c r="B52" s="63" t="s">
        <v>133</v>
      </c>
      <c r="C52" s="36">
        <v>4301071092</v>
      </c>
      <c r="D52" s="372">
        <v>4620207490174</v>
      </c>
      <c r="E52" s="372"/>
      <c r="F52" s="62">
        <v>0.7</v>
      </c>
      <c r="G52" s="37">
        <v>8</v>
      </c>
      <c r="H52" s="62">
        <v>5.6</v>
      </c>
      <c r="I52" s="62">
        <v>5.87</v>
      </c>
      <c r="J52" s="37">
        <v>84</v>
      </c>
      <c r="K52" s="37" t="s">
        <v>87</v>
      </c>
      <c r="L52" s="37" t="s">
        <v>124</v>
      </c>
      <c r="M52" s="38" t="s">
        <v>86</v>
      </c>
      <c r="N52" s="38"/>
      <c r="O52" s="37">
        <v>180</v>
      </c>
      <c r="P52" s="394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52" s="374"/>
      <c r="R52" s="374"/>
      <c r="S52" s="374"/>
      <c r="T52" s="375"/>
      <c r="U52" s="39" t="s">
        <v>46</v>
      </c>
      <c r="V52" s="39" t="s">
        <v>46</v>
      </c>
      <c r="W52" s="40" t="s">
        <v>39</v>
      </c>
      <c r="X52" s="58">
        <v>24</v>
      </c>
      <c r="Y52" s="55">
        <f>IFERROR(IF(X52="","",X52),"")</f>
        <v>24</v>
      </c>
      <c r="Z52" s="41">
        <f>IFERROR(IF(X52="","",X52*0.0155),"")</f>
        <v>0.372</v>
      </c>
      <c r="AA52" s="68" t="s">
        <v>46</v>
      </c>
      <c r="AB52" s="69" t="s">
        <v>46</v>
      </c>
      <c r="AC52" s="117" t="s">
        <v>134</v>
      </c>
      <c r="AG52" s="81"/>
      <c r="AJ52" s="87" t="s">
        <v>125</v>
      </c>
      <c r="AK52" s="87">
        <v>12</v>
      </c>
      <c r="BB52" s="118" t="s">
        <v>70</v>
      </c>
      <c r="BM52" s="81">
        <f>IFERROR(X52*I52,"0")</f>
        <v>140.88</v>
      </c>
      <c r="BN52" s="81">
        <f>IFERROR(Y52*I52,"0")</f>
        <v>140.88</v>
      </c>
      <c r="BO52" s="81">
        <f>IFERROR(X52/J52,"0")</f>
        <v>0.2857142857142857</v>
      </c>
      <c r="BP52" s="81">
        <f>IFERROR(Y52/J52,"0")</f>
        <v>0.2857142857142857</v>
      </c>
    </row>
    <row r="53" spans="1:68" x14ac:dyDescent="0.2">
      <c r="A53" s="386"/>
      <c r="B53" s="386"/>
      <c r="C53" s="386"/>
      <c r="D53" s="386"/>
      <c r="E53" s="386"/>
      <c r="F53" s="386"/>
      <c r="G53" s="386"/>
      <c r="H53" s="386"/>
      <c r="I53" s="386"/>
      <c r="J53" s="386"/>
      <c r="K53" s="386"/>
      <c r="L53" s="386"/>
      <c r="M53" s="386"/>
      <c r="N53" s="386"/>
      <c r="O53" s="387"/>
      <c r="P53" s="383" t="s">
        <v>40</v>
      </c>
      <c r="Q53" s="384"/>
      <c r="R53" s="384"/>
      <c r="S53" s="384"/>
      <c r="T53" s="384"/>
      <c r="U53" s="384"/>
      <c r="V53" s="385"/>
      <c r="W53" s="42" t="s">
        <v>39</v>
      </c>
      <c r="X53" s="43">
        <f>IFERROR(SUM(X51:X52),"0")</f>
        <v>24</v>
      </c>
      <c r="Y53" s="43">
        <f>IFERROR(SUM(Y51:Y52),"0")</f>
        <v>24</v>
      </c>
      <c r="Z53" s="43">
        <f>IFERROR(IF(Z51="",0,Z51),"0")+IFERROR(IF(Z52="",0,Z52),"0")</f>
        <v>0.372</v>
      </c>
      <c r="AA53" s="67"/>
      <c r="AB53" s="67"/>
      <c r="AC53" s="67"/>
    </row>
    <row r="54" spans="1:68" x14ac:dyDescent="0.2">
      <c r="A54" s="386"/>
      <c r="B54" s="386"/>
      <c r="C54" s="386"/>
      <c r="D54" s="386"/>
      <c r="E54" s="386"/>
      <c r="F54" s="386"/>
      <c r="G54" s="386"/>
      <c r="H54" s="386"/>
      <c r="I54" s="386"/>
      <c r="J54" s="386"/>
      <c r="K54" s="386"/>
      <c r="L54" s="386"/>
      <c r="M54" s="386"/>
      <c r="N54" s="386"/>
      <c r="O54" s="387"/>
      <c r="P54" s="383" t="s">
        <v>40</v>
      </c>
      <c r="Q54" s="384"/>
      <c r="R54" s="384"/>
      <c r="S54" s="384"/>
      <c r="T54" s="384"/>
      <c r="U54" s="384"/>
      <c r="V54" s="385"/>
      <c r="W54" s="42" t="s">
        <v>0</v>
      </c>
      <c r="X54" s="43">
        <f>IFERROR(SUMPRODUCT(X51:X52*H51:H52),"0")</f>
        <v>134.39999999999998</v>
      </c>
      <c r="Y54" s="43">
        <f>IFERROR(SUMPRODUCT(Y51:Y52*H51:H52),"0")</f>
        <v>134.39999999999998</v>
      </c>
      <c r="Z54" s="42"/>
      <c r="AA54" s="67"/>
      <c r="AB54" s="67"/>
      <c r="AC54" s="67"/>
    </row>
    <row r="55" spans="1:68" ht="16.5" hidden="1" customHeight="1" x14ac:dyDescent="0.25">
      <c r="A55" s="370" t="s">
        <v>135</v>
      </c>
      <c r="B55" s="370"/>
      <c r="C55" s="370"/>
      <c r="D55" s="370"/>
      <c r="E55" s="370"/>
      <c r="F55" s="370"/>
      <c r="G55" s="370"/>
      <c r="H55" s="370"/>
      <c r="I55" s="370"/>
      <c r="J55" s="370"/>
      <c r="K55" s="370"/>
      <c r="L55" s="370"/>
      <c r="M55" s="370"/>
      <c r="N55" s="370"/>
      <c r="O55" s="370"/>
      <c r="P55" s="370"/>
      <c r="Q55" s="370"/>
      <c r="R55" s="370"/>
      <c r="S55" s="370"/>
      <c r="T55" s="370"/>
      <c r="U55" s="370"/>
      <c r="V55" s="370"/>
      <c r="W55" s="370"/>
      <c r="X55" s="370"/>
      <c r="Y55" s="370"/>
      <c r="Z55" s="370"/>
      <c r="AA55" s="65"/>
      <c r="AB55" s="65"/>
      <c r="AC55" s="82"/>
    </row>
    <row r="56" spans="1:68" ht="14.25" hidden="1" customHeight="1" x14ac:dyDescent="0.25">
      <c r="A56" s="371" t="s">
        <v>82</v>
      </c>
      <c r="B56" s="371"/>
      <c r="C56" s="371"/>
      <c r="D56" s="371"/>
      <c r="E56" s="371"/>
      <c r="F56" s="371"/>
      <c r="G56" s="371"/>
      <c r="H56" s="371"/>
      <c r="I56" s="371"/>
      <c r="J56" s="371"/>
      <c r="K56" s="371"/>
      <c r="L56" s="371"/>
      <c r="M56" s="371"/>
      <c r="N56" s="371"/>
      <c r="O56" s="371"/>
      <c r="P56" s="371"/>
      <c r="Q56" s="371"/>
      <c r="R56" s="371"/>
      <c r="S56" s="371"/>
      <c r="T56" s="371"/>
      <c r="U56" s="371"/>
      <c r="V56" s="371"/>
      <c r="W56" s="371"/>
      <c r="X56" s="371"/>
      <c r="Y56" s="371"/>
      <c r="Z56" s="371"/>
      <c r="AA56" s="66"/>
      <c r="AB56" s="66"/>
      <c r="AC56" s="83"/>
    </row>
    <row r="57" spans="1:68" ht="27" customHeight="1" x14ac:dyDescent="0.25">
      <c r="A57" s="63" t="s">
        <v>136</v>
      </c>
      <c r="B57" s="63" t="s">
        <v>137</v>
      </c>
      <c r="C57" s="36">
        <v>4301071044</v>
      </c>
      <c r="D57" s="372">
        <v>4607111039385</v>
      </c>
      <c r="E57" s="372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87</v>
      </c>
      <c r="L57" s="37" t="s">
        <v>124</v>
      </c>
      <c r="M57" s="38" t="s">
        <v>86</v>
      </c>
      <c r="N57" s="38"/>
      <c r="O57" s="37">
        <v>180</v>
      </c>
      <c r="P57" s="39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7" s="374"/>
      <c r="R57" s="374"/>
      <c r="S57" s="374"/>
      <c r="T57" s="375"/>
      <c r="U57" s="39" t="s">
        <v>46</v>
      </c>
      <c r="V57" s="39" t="s">
        <v>46</v>
      </c>
      <c r="W57" s="40" t="s">
        <v>39</v>
      </c>
      <c r="X57" s="58">
        <v>48</v>
      </c>
      <c r="Y57" s="55">
        <f>IFERROR(IF(X57="","",X57),"")</f>
        <v>48</v>
      </c>
      <c r="Z57" s="41">
        <f>IFERROR(IF(X57="","",X57*0.0155),"")</f>
        <v>0.74399999999999999</v>
      </c>
      <c r="AA57" s="68" t="s">
        <v>46</v>
      </c>
      <c r="AB57" s="69" t="s">
        <v>46</v>
      </c>
      <c r="AC57" s="119" t="s">
        <v>138</v>
      </c>
      <c r="AG57" s="81"/>
      <c r="AJ57" s="87" t="s">
        <v>125</v>
      </c>
      <c r="AK57" s="87">
        <v>12</v>
      </c>
      <c r="BB57" s="120" t="s">
        <v>70</v>
      </c>
      <c r="BM57" s="81">
        <f>IFERROR(X57*I57,"0")</f>
        <v>350.4</v>
      </c>
      <c r="BN57" s="81">
        <f>IFERROR(Y57*I57,"0")</f>
        <v>350.4</v>
      </c>
      <c r="BO57" s="81">
        <f>IFERROR(X57/J57,"0")</f>
        <v>0.5714285714285714</v>
      </c>
      <c r="BP57" s="81">
        <f>IFERROR(Y57/J57,"0")</f>
        <v>0.5714285714285714</v>
      </c>
    </row>
    <row r="58" spans="1:68" ht="27" customHeight="1" x14ac:dyDescent="0.25">
      <c r="A58" s="63" t="s">
        <v>139</v>
      </c>
      <c r="B58" s="63" t="s">
        <v>140</v>
      </c>
      <c r="C58" s="36">
        <v>4301071031</v>
      </c>
      <c r="D58" s="372">
        <v>4607111038982</v>
      </c>
      <c r="E58" s="372"/>
      <c r="F58" s="62">
        <v>0.7</v>
      </c>
      <c r="G58" s="37">
        <v>10</v>
      </c>
      <c r="H58" s="62">
        <v>7</v>
      </c>
      <c r="I58" s="62">
        <v>7.2859999999999996</v>
      </c>
      <c r="J58" s="37">
        <v>84</v>
      </c>
      <c r="K58" s="37" t="s">
        <v>87</v>
      </c>
      <c r="L58" s="37" t="s">
        <v>124</v>
      </c>
      <c r="M58" s="38" t="s">
        <v>86</v>
      </c>
      <c r="N58" s="38"/>
      <c r="O58" s="37">
        <v>180</v>
      </c>
      <c r="P58" s="39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8" s="374"/>
      <c r="R58" s="374"/>
      <c r="S58" s="374"/>
      <c r="T58" s="375"/>
      <c r="U58" s="39" t="s">
        <v>46</v>
      </c>
      <c r="V58" s="39" t="s">
        <v>46</v>
      </c>
      <c r="W58" s="40" t="s">
        <v>39</v>
      </c>
      <c r="X58" s="58">
        <v>60</v>
      </c>
      <c r="Y58" s="55">
        <f>IFERROR(IF(X58="","",X58),"")</f>
        <v>60</v>
      </c>
      <c r="Z58" s="41">
        <f>IFERROR(IF(X58="","",X58*0.0155),"")</f>
        <v>0.92999999999999994</v>
      </c>
      <c r="AA58" s="68" t="s">
        <v>46</v>
      </c>
      <c r="AB58" s="69" t="s">
        <v>46</v>
      </c>
      <c r="AC58" s="121" t="s">
        <v>141</v>
      </c>
      <c r="AG58" s="81"/>
      <c r="AJ58" s="87" t="s">
        <v>125</v>
      </c>
      <c r="AK58" s="87">
        <v>12</v>
      </c>
      <c r="BB58" s="122" t="s">
        <v>70</v>
      </c>
      <c r="BM58" s="81">
        <f>IFERROR(X58*I58,"0")</f>
        <v>437.15999999999997</v>
      </c>
      <c r="BN58" s="81">
        <f>IFERROR(Y58*I58,"0")</f>
        <v>437.15999999999997</v>
      </c>
      <c r="BO58" s="81">
        <f>IFERROR(X58/J58,"0")</f>
        <v>0.7142857142857143</v>
      </c>
      <c r="BP58" s="81">
        <f>IFERROR(Y58/J58,"0")</f>
        <v>0.7142857142857143</v>
      </c>
    </row>
    <row r="59" spans="1:68" ht="27" customHeight="1" x14ac:dyDescent="0.25">
      <c r="A59" s="63" t="s">
        <v>142</v>
      </c>
      <c r="B59" s="63" t="s">
        <v>143</v>
      </c>
      <c r="C59" s="36">
        <v>4301071046</v>
      </c>
      <c r="D59" s="372">
        <v>4607111039354</v>
      </c>
      <c r="E59" s="372"/>
      <c r="F59" s="62">
        <v>0.4</v>
      </c>
      <c r="G59" s="37">
        <v>16</v>
      </c>
      <c r="H59" s="62">
        <v>6.4</v>
      </c>
      <c r="I59" s="62">
        <v>6.7195999999999998</v>
      </c>
      <c r="J59" s="37">
        <v>84</v>
      </c>
      <c r="K59" s="37" t="s">
        <v>87</v>
      </c>
      <c r="L59" s="37" t="s">
        <v>124</v>
      </c>
      <c r="M59" s="38" t="s">
        <v>86</v>
      </c>
      <c r="N59" s="38"/>
      <c r="O59" s="37">
        <v>180</v>
      </c>
      <c r="P59" s="39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9" s="374"/>
      <c r="R59" s="374"/>
      <c r="S59" s="374"/>
      <c r="T59" s="375"/>
      <c r="U59" s="39" t="s">
        <v>46</v>
      </c>
      <c r="V59" s="39" t="s">
        <v>46</v>
      </c>
      <c r="W59" s="40" t="s">
        <v>39</v>
      </c>
      <c r="X59" s="58">
        <v>12</v>
      </c>
      <c r="Y59" s="55">
        <f>IFERROR(IF(X59="","",X59),"")</f>
        <v>12</v>
      </c>
      <c r="Z59" s="41">
        <f>IFERROR(IF(X59="","",X59*0.0155),"")</f>
        <v>0.186</v>
      </c>
      <c r="AA59" s="68" t="s">
        <v>46</v>
      </c>
      <c r="AB59" s="69" t="s">
        <v>46</v>
      </c>
      <c r="AC59" s="123" t="s">
        <v>141</v>
      </c>
      <c r="AG59" s="81"/>
      <c r="AJ59" s="87" t="s">
        <v>125</v>
      </c>
      <c r="AK59" s="87">
        <v>12</v>
      </c>
      <c r="BB59" s="124" t="s">
        <v>70</v>
      </c>
      <c r="BM59" s="81">
        <f>IFERROR(X59*I59,"0")</f>
        <v>80.635199999999998</v>
      </c>
      <c r="BN59" s="81">
        <f>IFERROR(Y59*I59,"0")</f>
        <v>80.635199999999998</v>
      </c>
      <c r="BO59" s="81">
        <f>IFERROR(X59/J59,"0")</f>
        <v>0.14285714285714285</v>
      </c>
      <c r="BP59" s="81">
        <f>IFERROR(Y59/J59,"0")</f>
        <v>0.14285714285714285</v>
      </c>
    </row>
    <row r="60" spans="1:68" ht="27" customHeight="1" x14ac:dyDescent="0.25">
      <c r="A60" s="63" t="s">
        <v>144</v>
      </c>
      <c r="B60" s="63" t="s">
        <v>145</v>
      </c>
      <c r="C60" s="36">
        <v>4301071047</v>
      </c>
      <c r="D60" s="372">
        <v>4607111039330</v>
      </c>
      <c r="E60" s="372"/>
      <c r="F60" s="62">
        <v>0.7</v>
      </c>
      <c r="G60" s="37">
        <v>10</v>
      </c>
      <c r="H60" s="62">
        <v>7</v>
      </c>
      <c r="I60" s="62">
        <v>7.3</v>
      </c>
      <c r="J60" s="37">
        <v>84</v>
      </c>
      <c r="K60" s="37" t="s">
        <v>87</v>
      </c>
      <c r="L60" s="37" t="s">
        <v>124</v>
      </c>
      <c r="M60" s="38" t="s">
        <v>86</v>
      </c>
      <c r="N60" s="38"/>
      <c r="O60" s="37">
        <v>180</v>
      </c>
      <c r="P60" s="39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60" s="374"/>
      <c r="R60" s="374"/>
      <c r="S60" s="374"/>
      <c r="T60" s="375"/>
      <c r="U60" s="39" t="s">
        <v>46</v>
      </c>
      <c r="V60" s="39" t="s">
        <v>46</v>
      </c>
      <c r="W60" s="40" t="s">
        <v>39</v>
      </c>
      <c r="X60" s="58">
        <v>12</v>
      </c>
      <c r="Y60" s="55">
        <f>IFERROR(IF(X60="","",X60),"")</f>
        <v>12</v>
      </c>
      <c r="Z60" s="41">
        <f>IFERROR(IF(X60="","",X60*0.0155),"")</f>
        <v>0.186</v>
      </c>
      <c r="AA60" s="68" t="s">
        <v>46</v>
      </c>
      <c r="AB60" s="69" t="s">
        <v>46</v>
      </c>
      <c r="AC60" s="125" t="s">
        <v>141</v>
      </c>
      <c r="AG60" s="81"/>
      <c r="AJ60" s="87" t="s">
        <v>125</v>
      </c>
      <c r="AK60" s="87">
        <v>12</v>
      </c>
      <c r="BB60" s="126" t="s">
        <v>70</v>
      </c>
      <c r="BM60" s="81">
        <f>IFERROR(X60*I60,"0")</f>
        <v>87.6</v>
      </c>
      <c r="BN60" s="81">
        <f>IFERROR(Y60*I60,"0")</f>
        <v>87.6</v>
      </c>
      <c r="BO60" s="81">
        <f>IFERROR(X60/J60,"0")</f>
        <v>0.14285714285714285</v>
      </c>
      <c r="BP60" s="81">
        <f>IFERROR(Y60/J60,"0")</f>
        <v>0.14285714285714285</v>
      </c>
    </row>
    <row r="61" spans="1:68" x14ac:dyDescent="0.2">
      <c r="A61" s="386"/>
      <c r="B61" s="386"/>
      <c r="C61" s="386"/>
      <c r="D61" s="386"/>
      <c r="E61" s="386"/>
      <c r="F61" s="386"/>
      <c r="G61" s="386"/>
      <c r="H61" s="386"/>
      <c r="I61" s="386"/>
      <c r="J61" s="386"/>
      <c r="K61" s="386"/>
      <c r="L61" s="386"/>
      <c r="M61" s="386"/>
      <c r="N61" s="386"/>
      <c r="O61" s="387"/>
      <c r="P61" s="383" t="s">
        <v>40</v>
      </c>
      <c r="Q61" s="384"/>
      <c r="R61" s="384"/>
      <c r="S61" s="384"/>
      <c r="T61" s="384"/>
      <c r="U61" s="384"/>
      <c r="V61" s="385"/>
      <c r="W61" s="42" t="s">
        <v>39</v>
      </c>
      <c r="X61" s="43">
        <f>IFERROR(SUM(X57:X60),"0")</f>
        <v>132</v>
      </c>
      <c r="Y61" s="43">
        <f>IFERROR(SUM(Y57:Y60),"0")</f>
        <v>132</v>
      </c>
      <c r="Z61" s="43">
        <f>IFERROR(IF(Z57="",0,Z57),"0")+IFERROR(IF(Z58="",0,Z58),"0")+IFERROR(IF(Z59="",0,Z59),"0")+IFERROR(IF(Z60="",0,Z60),"0")</f>
        <v>2.0459999999999998</v>
      </c>
      <c r="AA61" s="67"/>
      <c r="AB61" s="67"/>
      <c r="AC61" s="67"/>
    </row>
    <row r="62" spans="1:68" x14ac:dyDescent="0.2">
      <c r="A62" s="386"/>
      <c r="B62" s="386"/>
      <c r="C62" s="386"/>
      <c r="D62" s="386"/>
      <c r="E62" s="386"/>
      <c r="F62" s="386"/>
      <c r="G62" s="386"/>
      <c r="H62" s="386"/>
      <c r="I62" s="386"/>
      <c r="J62" s="386"/>
      <c r="K62" s="386"/>
      <c r="L62" s="386"/>
      <c r="M62" s="386"/>
      <c r="N62" s="386"/>
      <c r="O62" s="387"/>
      <c r="P62" s="383" t="s">
        <v>40</v>
      </c>
      <c r="Q62" s="384"/>
      <c r="R62" s="384"/>
      <c r="S62" s="384"/>
      <c r="T62" s="384"/>
      <c r="U62" s="384"/>
      <c r="V62" s="385"/>
      <c r="W62" s="42" t="s">
        <v>0</v>
      </c>
      <c r="X62" s="43">
        <f>IFERROR(SUMPRODUCT(X57:X60*H57:H60),"0")</f>
        <v>916.8</v>
      </c>
      <c r="Y62" s="43">
        <f>IFERROR(SUMPRODUCT(Y57:Y60*H57:H60),"0")</f>
        <v>916.8</v>
      </c>
      <c r="Z62" s="42"/>
      <c r="AA62" s="67"/>
      <c r="AB62" s="67"/>
      <c r="AC62" s="67"/>
    </row>
    <row r="63" spans="1:68" ht="16.5" hidden="1" customHeight="1" x14ac:dyDescent="0.25">
      <c r="A63" s="370" t="s">
        <v>146</v>
      </c>
      <c r="B63" s="370"/>
      <c r="C63" s="370"/>
      <c r="D63" s="370"/>
      <c r="E63" s="370"/>
      <c r="F63" s="370"/>
      <c r="G63" s="370"/>
      <c r="H63" s="370"/>
      <c r="I63" s="370"/>
      <c r="J63" s="370"/>
      <c r="K63" s="370"/>
      <c r="L63" s="370"/>
      <c r="M63" s="370"/>
      <c r="N63" s="370"/>
      <c r="O63" s="370"/>
      <c r="P63" s="370"/>
      <c r="Q63" s="370"/>
      <c r="R63" s="370"/>
      <c r="S63" s="370"/>
      <c r="T63" s="370"/>
      <c r="U63" s="370"/>
      <c r="V63" s="370"/>
      <c r="W63" s="370"/>
      <c r="X63" s="370"/>
      <c r="Y63" s="370"/>
      <c r="Z63" s="370"/>
      <c r="AA63" s="65"/>
      <c r="AB63" s="65"/>
      <c r="AC63" s="82"/>
    </row>
    <row r="64" spans="1:68" ht="14.25" hidden="1" customHeight="1" x14ac:dyDescent="0.25">
      <c r="A64" s="371" t="s">
        <v>147</v>
      </c>
      <c r="B64" s="371"/>
      <c r="C64" s="371"/>
      <c r="D64" s="371"/>
      <c r="E64" s="371"/>
      <c r="F64" s="371"/>
      <c r="G64" s="371"/>
      <c r="H64" s="371"/>
      <c r="I64" s="371"/>
      <c r="J64" s="371"/>
      <c r="K64" s="371"/>
      <c r="L64" s="371"/>
      <c r="M64" s="371"/>
      <c r="N64" s="371"/>
      <c r="O64" s="371"/>
      <c r="P64" s="371"/>
      <c r="Q64" s="371"/>
      <c r="R64" s="371"/>
      <c r="S64" s="371"/>
      <c r="T64" s="371"/>
      <c r="U64" s="371"/>
      <c r="V64" s="371"/>
      <c r="W64" s="371"/>
      <c r="X64" s="371"/>
      <c r="Y64" s="371"/>
      <c r="Z64" s="371"/>
      <c r="AA64" s="66"/>
      <c r="AB64" s="66"/>
      <c r="AC64" s="83"/>
    </row>
    <row r="65" spans="1:68" ht="27" hidden="1" customHeight="1" x14ac:dyDescent="0.25">
      <c r="A65" s="63" t="s">
        <v>148</v>
      </c>
      <c r="B65" s="63" t="s">
        <v>149</v>
      </c>
      <c r="C65" s="36">
        <v>4301132194</v>
      </c>
      <c r="D65" s="372">
        <v>4607111039712</v>
      </c>
      <c r="E65" s="372"/>
      <c r="F65" s="62">
        <v>0.2</v>
      </c>
      <c r="G65" s="37">
        <v>6</v>
      </c>
      <c r="H65" s="62">
        <v>1.2</v>
      </c>
      <c r="I65" s="62">
        <v>1.56</v>
      </c>
      <c r="J65" s="37">
        <v>140</v>
      </c>
      <c r="K65" s="37" t="s">
        <v>123</v>
      </c>
      <c r="L65" s="37" t="s">
        <v>88</v>
      </c>
      <c r="M65" s="38" t="s">
        <v>86</v>
      </c>
      <c r="N65" s="38"/>
      <c r="O65" s="37">
        <v>365</v>
      </c>
      <c r="P65" s="399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5" s="374"/>
      <c r="R65" s="374"/>
      <c r="S65" s="374"/>
      <c r="T65" s="375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150</v>
      </c>
      <c r="AG65" s="81"/>
      <c r="AJ65" s="87" t="s">
        <v>89</v>
      </c>
      <c r="AK65" s="87">
        <v>1</v>
      </c>
      <c r="BB65" s="128" t="s">
        <v>122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27" hidden="1" customHeight="1" x14ac:dyDescent="0.25">
      <c r="A66" s="63" t="s">
        <v>151</v>
      </c>
      <c r="B66" s="63" t="s">
        <v>152</v>
      </c>
      <c r="C66" s="36">
        <v>4301135664</v>
      </c>
      <c r="D66" s="372">
        <v>4607111039705</v>
      </c>
      <c r="E66" s="372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123</v>
      </c>
      <c r="L66" s="37" t="s">
        <v>88</v>
      </c>
      <c r="M66" s="38" t="s">
        <v>86</v>
      </c>
      <c r="N66" s="38"/>
      <c r="O66" s="37">
        <v>365</v>
      </c>
      <c r="P66" s="400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6" s="374"/>
      <c r="R66" s="374"/>
      <c r="S66" s="374"/>
      <c r="T66" s="375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153</v>
      </c>
      <c r="AG66" s="81"/>
      <c r="AJ66" s="87" t="s">
        <v>89</v>
      </c>
      <c r="AK66" s="87">
        <v>1</v>
      </c>
      <c r="BB66" s="130" t="s">
        <v>122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t="27" customHeight="1" x14ac:dyDescent="0.25">
      <c r="A67" s="63" t="s">
        <v>154</v>
      </c>
      <c r="B67" s="63" t="s">
        <v>155</v>
      </c>
      <c r="C67" s="36">
        <v>4301135665</v>
      </c>
      <c r="D67" s="372">
        <v>4607111039729</v>
      </c>
      <c r="E67" s="372"/>
      <c r="F67" s="62">
        <v>0.2</v>
      </c>
      <c r="G67" s="37">
        <v>6</v>
      </c>
      <c r="H67" s="62">
        <v>1.2</v>
      </c>
      <c r="I67" s="62">
        <v>1.56</v>
      </c>
      <c r="J67" s="37">
        <v>140</v>
      </c>
      <c r="K67" s="37" t="s">
        <v>123</v>
      </c>
      <c r="L67" s="37" t="s">
        <v>124</v>
      </c>
      <c r="M67" s="38" t="s">
        <v>86</v>
      </c>
      <c r="N67" s="38"/>
      <c r="O67" s="37">
        <v>365</v>
      </c>
      <c r="P67" s="401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7" s="374"/>
      <c r="R67" s="374"/>
      <c r="S67" s="374"/>
      <c r="T67" s="375"/>
      <c r="U67" s="39" t="s">
        <v>46</v>
      </c>
      <c r="V67" s="39" t="s">
        <v>46</v>
      </c>
      <c r="W67" s="40" t="s">
        <v>39</v>
      </c>
      <c r="X67" s="58">
        <v>14</v>
      </c>
      <c r="Y67" s="55">
        <f>IFERROR(IF(X67="","",X67),"")</f>
        <v>14</v>
      </c>
      <c r="Z67" s="41">
        <f>IFERROR(IF(X67="","",X67*0.00941),"")</f>
        <v>0.13174</v>
      </c>
      <c r="AA67" s="68" t="s">
        <v>46</v>
      </c>
      <c r="AB67" s="69" t="s">
        <v>46</v>
      </c>
      <c r="AC67" s="131" t="s">
        <v>156</v>
      </c>
      <c r="AG67" s="81"/>
      <c r="AJ67" s="87" t="s">
        <v>125</v>
      </c>
      <c r="AK67" s="87">
        <v>14</v>
      </c>
      <c r="BB67" s="132" t="s">
        <v>122</v>
      </c>
      <c r="BM67" s="81">
        <f>IFERROR(X67*I67,"0")</f>
        <v>21.84</v>
      </c>
      <c r="BN67" s="81">
        <f>IFERROR(Y67*I67,"0")</f>
        <v>21.84</v>
      </c>
      <c r="BO67" s="81">
        <f>IFERROR(X67/J67,"0")</f>
        <v>0.1</v>
      </c>
      <c r="BP67" s="81">
        <f>IFERROR(Y67/J67,"0")</f>
        <v>0.1</v>
      </c>
    </row>
    <row r="68" spans="1:68" ht="27" customHeight="1" x14ac:dyDescent="0.25">
      <c r="A68" s="63" t="s">
        <v>157</v>
      </c>
      <c r="B68" s="63" t="s">
        <v>158</v>
      </c>
      <c r="C68" s="36">
        <v>4301135702</v>
      </c>
      <c r="D68" s="372">
        <v>4620207490228</v>
      </c>
      <c r="E68" s="372"/>
      <c r="F68" s="62">
        <v>0.2</v>
      </c>
      <c r="G68" s="37">
        <v>6</v>
      </c>
      <c r="H68" s="62">
        <v>1.2</v>
      </c>
      <c r="I68" s="62">
        <v>1.56</v>
      </c>
      <c r="J68" s="37">
        <v>140</v>
      </c>
      <c r="K68" s="37" t="s">
        <v>123</v>
      </c>
      <c r="L68" s="37" t="s">
        <v>124</v>
      </c>
      <c r="M68" s="38" t="s">
        <v>86</v>
      </c>
      <c r="N68" s="38"/>
      <c r="O68" s="37">
        <v>365</v>
      </c>
      <c r="P68" s="402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8" s="374"/>
      <c r="R68" s="374"/>
      <c r="S68" s="374"/>
      <c r="T68" s="375"/>
      <c r="U68" s="39" t="s">
        <v>46</v>
      </c>
      <c r="V68" s="39" t="s">
        <v>46</v>
      </c>
      <c r="W68" s="40" t="s">
        <v>39</v>
      </c>
      <c r="X68" s="58">
        <v>14</v>
      </c>
      <c r="Y68" s="55">
        <f>IFERROR(IF(X68="","",X68),"")</f>
        <v>14</v>
      </c>
      <c r="Z68" s="41">
        <f>IFERROR(IF(X68="","",X68*0.00941),"")</f>
        <v>0.13174</v>
      </c>
      <c r="AA68" s="68" t="s">
        <v>46</v>
      </c>
      <c r="AB68" s="69" t="s">
        <v>46</v>
      </c>
      <c r="AC68" s="133" t="s">
        <v>156</v>
      </c>
      <c r="AG68" s="81"/>
      <c r="AJ68" s="87" t="s">
        <v>125</v>
      </c>
      <c r="AK68" s="87">
        <v>14</v>
      </c>
      <c r="BB68" s="134" t="s">
        <v>122</v>
      </c>
      <c r="BM68" s="81">
        <f>IFERROR(X68*I68,"0")</f>
        <v>21.84</v>
      </c>
      <c r="BN68" s="81">
        <f>IFERROR(Y68*I68,"0")</f>
        <v>21.84</v>
      </c>
      <c r="BO68" s="81">
        <f>IFERROR(X68/J68,"0")</f>
        <v>0.1</v>
      </c>
      <c r="BP68" s="81">
        <f>IFERROR(Y68/J68,"0")</f>
        <v>0.1</v>
      </c>
    </row>
    <row r="69" spans="1:68" ht="16.5" hidden="1" customHeight="1" x14ac:dyDescent="0.25">
      <c r="A69" s="63" t="s">
        <v>159</v>
      </c>
      <c r="B69" s="63" t="s">
        <v>160</v>
      </c>
      <c r="C69" s="36">
        <v>4301136015</v>
      </c>
      <c r="D69" s="372">
        <v>4607111037398</v>
      </c>
      <c r="E69" s="372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123</v>
      </c>
      <c r="L69" s="37" t="s">
        <v>88</v>
      </c>
      <c r="M69" s="38" t="s">
        <v>86</v>
      </c>
      <c r="N69" s="38"/>
      <c r="O69" s="37">
        <v>365</v>
      </c>
      <c r="P69" s="403" t="str">
        <f>HYPERLINK("https://abi.ru/products/Замороженные/Горячая штучка/Foodgital/Растительные ПГП/P002938/","Чебуреки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74"/>
      <c r="R69" s="374"/>
      <c r="S69" s="374"/>
      <c r="T69" s="375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35" t="s">
        <v>153</v>
      </c>
      <c r="AG69" s="81"/>
      <c r="AJ69" s="87" t="s">
        <v>89</v>
      </c>
      <c r="AK69" s="87">
        <v>1</v>
      </c>
      <c r="BB69" s="136" t="s">
        <v>122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386"/>
      <c r="B70" s="386"/>
      <c r="C70" s="386"/>
      <c r="D70" s="386"/>
      <c r="E70" s="386"/>
      <c r="F70" s="386"/>
      <c r="G70" s="386"/>
      <c r="H70" s="386"/>
      <c r="I70" s="386"/>
      <c r="J70" s="386"/>
      <c r="K70" s="386"/>
      <c r="L70" s="386"/>
      <c r="M70" s="386"/>
      <c r="N70" s="386"/>
      <c r="O70" s="387"/>
      <c r="P70" s="383" t="s">
        <v>40</v>
      </c>
      <c r="Q70" s="384"/>
      <c r="R70" s="384"/>
      <c r="S70" s="384"/>
      <c r="T70" s="384"/>
      <c r="U70" s="384"/>
      <c r="V70" s="385"/>
      <c r="W70" s="42" t="s">
        <v>39</v>
      </c>
      <c r="X70" s="43">
        <f>IFERROR(SUM(X65:X69),"0")</f>
        <v>28</v>
      </c>
      <c r="Y70" s="43">
        <f>IFERROR(SUM(Y65:Y69),"0")</f>
        <v>28</v>
      </c>
      <c r="Z70" s="43">
        <f>IFERROR(IF(Z65="",0,Z65),"0")+IFERROR(IF(Z66="",0,Z66),"0")+IFERROR(IF(Z67="",0,Z67),"0")+IFERROR(IF(Z68="",0,Z68),"0")+IFERROR(IF(Z69="",0,Z69),"0")</f>
        <v>0.26347999999999999</v>
      </c>
      <c r="AA70" s="67"/>
      <c r="AB70" s="67"/>
      <c r="AC70" s="67"/>
    </row>
    <row r="71" spans="1:68" x14ac:dyDescent="0.2">
      <c r="A71" s="386"/>
      <c r="B71" s="386"/>
      <c r="C71" s="386"/>
      <c r="D71" s="386"/>
      <c r="E71" s="386"/>
      <c r="F71" s="386"/>
      <c r="G71" s="386"/>
      <c r="H71" s="386"/>
      <c r="I71" s="386"/>
      <c r="J71" s="386"/>
      <c r="K71" s="386"/>
      <c r="L71" s="386"/>
      <c r="M71" s="386"/>
      <c r="N71" s="386"/>
      <c r="O71" s="387"/>
      <c r="P71" s="383" t="s">
        <v>40</v>
      </c>
      <c r="Q71" s="384"/>
      <c r="R71" s="384"/>
      <c r="S71" s="384"/>
      <c r="T71" s="384"/>
      <c r="U71" s="384"/>
      <c r="V71" s="385"/>
      <c r="W71" s="42" t="s">
        <v>0</v>
      </c>
      <c r="X71" s="43">
        <f>IFERROR(SUMPRODUCT(X65:X69*H65:H69),"0")</f>
        <v>33.6</v>
      </c>
      <c r="Y71" s="43">
        <f>IFERROR(SUMPRODUCT(Y65:Y69*H65:H69),"0")</f>
        <v>33.6</v>
      </c>
      <c r="Z71" s="42"/>
      <c r="AA71" s="67"/>
      <c r="AB71" s="67"/>
      <c r="AC71" s="67"/>
    </row>
    <row r="72" spans="1:68" ht="16.5" hidden="1" customHeight="1" x14ac:dyDescent="0.25">
      <c r="A72" s="370" t="s">
        <v>161</v>
      </c>
      <c r="B72" s="370"/>
      <c r="C72" s="370"/>
      <c r="D72" s="370"/>
      <c r="E72" s="370"/>
      <c r="F72" s="370"/>
      <c r="G72" s="370"/>
      <c r="H72" s="370"/>
      <c r="I72" s="370"/>
      <c r="J72" s="370"/>
      <c r="K72" s="370"/>
      <c r="L72" s="370"/>
      <c r="M72" s="370"/>
      <c r="N72" s="370"/>
      <c r="O72" s="370"/>
      <c r="P72" s="370"/>
      <c r="Q72" s="370"/>
      <c r="R72" s="370"/>
      <c r="S72" s="370"/>
      <c r="T72" s="370"/>
      <c r="U72" s="370"/>
      <c r="V72" s="370"/>
      <c r="W72" s="370"/>
      <c r="X72" s="370"/>
      <c r="Y72" s="370"/>
      <c r="Z72" s="370"/>
      <c r="AA72" s="65"/>
      <c r="AB72" s="65"/>
      <c r="AC72" s="82"/>
    </row>
    <row r="73" spans="1:68" ht="14.25" hidden="1" customHeight="1" x14ac:dyDescent="0.25">
      <c r="A73" s="371" t="s">
        <v>82</v>
      </c>
      <c r="B73" s="371"/>
      <c r="C73" s="371"/>
      <c r="D73" s="371"/>
      <c r="E73" s="371"/>
      <c r="F73" s="371"/>
      <c r="G73" s="371"/>
      <c r="H73" s="371"/>
      <c r="I73" s="371"/>
      <c r="J73" s="371"/>
      <c r="K73" s="371"/>
      <c r="L73" s="371"/>
      <c r="M73" s="371"/>
      <c r="N73" s="371"/>
      <c r="O73" s="371"/>
      <c r="P73" s="371"/>
      <c r="Q73" s="371"/>
      <c r="R73" s="371"/>
      <c r="S73" s="371"/>
      <c r="T73" s="371"/>
      <c r="U73" s="371"/>
      <c r="V73" s="371"/>
      <c r="W73" s="371"/>
      <c r="X73" s="371"/>
      <c r="Y73" s="371"/>
      <c r="Z73" s="371"/>
      <c r="AA73" s="66"/>
      <c r="AB73" s="66"/>
      <c r="AC73" s="83"/>
    </row>
    <row r="74" spans="1:68" ht="27" hidden="1" customHeight="1" x14ac:dyDescent="0.25">
      <c r="A74" s="63" t="s">
        <v>162</v>
      </c>
      <c r="B74" s="63" t="s">
        <v>163</v>
      </c>
      <c r="C74" s="36">
        <v>4301070977</v>
      </c>
      <c r="D74" s="372">
        <v>4607111037411</v>
      </c>
      <c r="E74" s="372"/>
      <c r="F74" s="62">
        <v>2.7</v>
      </c>
      <c r="G74" s="37">
        <v>1</v>
      </c>
      <c r="H74" s="62">
        <v>2.7</v>
      </c>
      <c r="I74" s="62">
        <v>2.8132000000000001</v>
      </c>
      <c r="J74" s="37">
        <v>234</v>
      </c>
      <c r="K74" s="37" t="s">
        <v>165</v>
      </c>
      <c r="L74" s="37" t="s">
        <v>124</v>
      </c>
      <c r="M74" s="38" t="s">
        <v>86</v>
      </c>
      <c r="N74" s="38"/>
      <c r="O74" s="37">
        <v>180</v>
      </c>
      <c r="P74" s="40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4" s="374"/>
      <c r="R74" s="374"/>
      <c r="S74" s="374"/>
      <c r="T74" s="375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IFERROR(IF(X74="","",X74*0.00502),"")</f>
        <v>0</v>
      </c>
      <c r="AA74" s="68" t="s">
        <v>46</v>
      </c>
      <c r="AB74" s="69" t="s">
        <v>46</v>
      </c>
      <c r="AC74" s="137" t="s">
        <v>164</v>
      </c>
      <c r="AG74" s="81"/>
      <c r="AJ74" s="87" t="s">
        <v>125</v>
      </c>
      <c r="AK74" s="87">
        <v>18</v>
      </c>
      <c r="BB74" s="138" t="s">
        <v>70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166</v>
      </c>
      <c r="B75" s="63" t="s">
        <v>167</v>
      </c>
      <c r="C75" s="36">
        <v>4301070981</v>
      </c>
      <c r="D75" s="372">
        <v>4607111036728</v>
      </c>
      <c r="E75" s="372"/>
      <c r="F75" s="62">
        <v>5</v>
      </c>
      <c r="G75" s="37">
        <v>1</v>
      </c>
      <c r="H75" s="62">
        <v>5</v>
      </c>
      <c r="I75" s="62">
        <v>5.2131999999999996</v>
      </c>
      <c r="J75" s="37">
        <v>144</v>
      </c>
      <c r="K75" s="37" t="s">
        <v>87</v>
      </c>
      <c r="L75" s="37" t="s">
        <v>124</v>
      </c>
      <c r="M75" s="38" t="s">
        <v>86</v>
      </c>
      <c r="N75" s="38"/>
      <c r="O75" s="37">
        <v>180</v>
      </c>
      <c r="P75" s="40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5" s="374"/>
      <c r="R75" s="374"/>
      <c r="S75" s="374"/>
      <c r="T75" s="375"/>
      <c r="U75" s="39" t="s">
        <v>46</v>
      </c>
      <c r="V75" s="39" t="s">
        <v>46</v>
      </c>
      <c r="W75" s="40" t="s">
        <v>39</v>
      </c>
      <c r="X75" s="58">
        <v>252</v>
      </c>
      <c r="Y75" s="55">
        <f>IFERROR(IF(X75="","",X75),"")</f>
        <v>252</v>
      </c>
      <c r="Z75" s="41">
        <f>IFERROR(IF(X75="","",X75*0.00866),"")</f>
        <v>2.1823199999999998</v>
      </c>
      <c r="AA75" s="68" t="s">
        <v>46</v>
      </c>
      <c r="AB75" s="69" t="s">
        <v>46</v>
      </c>
      <c r="AC75" s="139" t="s">
        <v>164</v>
      </c>
      <c r="AG75" s="81"/>
      <c r="AJ75" s="87" t="s">
        <v>125</v>
      </c>
      <c r="AK75" s="87">
        <v>12</v>
      </c>
      <c r="BB75" s="140" t="s">
        <v>70</v>
      </c>
      <c r="BM75" s="81">
        <f>IFERROR(X75*I75,"0")</f>
        <v>1313.7264</v>
      </c>
      <c r="BN75" s="81">
        <f>IFERROR(Y75*I75,"0")</f>
        <v>1313.7264</v>
      </c>
      <c r="BO75" s="81">
        <f>IFERROR(X75/J75,"0")</f>
        <v>1.75</v>
      </c>
      <c r="BP75" s="81">
        <f>IFERROR(Y75/J75,"0")</f>
        <v>1.75</v>
      </c>
    </row>
    <row r="76" spans="1:68" x14ac:dyDescent="0.2">
      <c r="A76" s="386"/>
      <c r="B76" s="386"/>
      <c r="C76" s="386"/>
      <c r="D76" s="386"/>
      <c r="E76" s="386"/>
      <c r="F76" s="386"/>
      <c r="G76" s="386"/>
      <c r="H76" s="386"/>
      <c r="I76" s="386"/>
      <c r="J76" s="386"/>
      <c r="K76" s="386"/>
      <c r="L76" s="386"/>
      <c r="M76" s="386"/>
      <c r="N76" s="386"/>
      <c r="O76" s="387"/>
      <c r="P76" s="383" t="s">
        <v>40</v>
      </c>
      <c r="Q76" s="384"/>
      <c r="R76" s="384"/>
      <c r="S76" s="384"/>
      <c r="T76" s="384"/>
      <c r="U76" s="384"/>
      <c r="V76" s="385"/>
      <c r="W76" s="42" t="s">
        <v>39</v>
      </c>
      <c r="X76" s="43">
        <f>IFERROR(SUM(X74:X75),"0")</f>
        <v>252</v>
      </c>
      <c r="Y76" s="43">
        <f>IFERROR(SUM(Y74:Y75),"0")</f>
        <v>252</v>
      </c>
      <c r="Z76" s="43">
        <f>IFERROR(IF(Z74="",0,Z74),"0")+IFERROR(IF(Z75="",0,Z75),"0")</f>
        <v>2.1823199999999998</v>
      </c>
      <c r="AA76" s="67"/>
      <c r="AB76" s="67"/>
      <c r="AC76" s="67"/>
    </row>
    <row r="77" spans="1:68" x14ac:dyDescent="0.2">
      <c r="A77" s="386"/>
      <c r="B77" s="386"/>
      <c r="C77" s="386"/>
      <c r="D77" s="386"/>
      <c r="E77" s="386"/>
      <c r="F77" s="386"/>
      <c r="G77" s="386"/>
      <c r="H77" s="386"/>
      <c r="I77" s="386"/>
      <c r="J77" s="386"/>
      <c r="K77" s="386"/>
      <c r="L77" s="386"/>
      <c r="M77" s="386"/>
      <c r="N77" s="386"/>
      <c r="O77" s="387"/>
      <c r="P77" s="383" t="s">
        <v>40</v>
      </c>
      <c r="Q77" s="384"/>
      <c r="R77" s="384"/>
      <c r="S77" s="384"/>
      <c r="T77" s="384"/>
      <c r="U77" s="384"/>
      <c r="V77" s="385"/>
      <c r="W77" s="42" t="s">
        <v>0</v>
      </c>
      <c r="X77" s="43">
        <f>IFERROR(SUMPRODUCT(X74:X75*H74:H75),"0")</f>
        <v>1260</v>
      </c>
      <c r="Y77" s="43">
        <f>IFERROR(SUMPRODUCT(Y74:Y75*H74:H75),"0")</f>
        <v>1260</v>
      </c>
      <c r="Z77" s="42"/>
      <c r="AA77" s="67"/>
      <c r="AB77" s="67"/>
      <c r="AC77" s="67"/>
    </row>
    <row r="78" spans="1:68" ht="16.5" hidden="1" customHeight="1" x14ac:dyDescent="0.25">
      <c r="A78" s="370" t="s">
        <v>168</v>
      </c>
      <c r="B78" s="370"/>
      <c r="C78" s="370"/>
      <c r="D78" s="370"/>
      <c r="E78" s="370"/>
      <c r="F78" s="370"/>
      <c r="G78" s="370"/>
      <c r="H78" s="370"/>
      <c r="I78" s="370"/>
      <c r="J78" s="370"/>
      <c r="K78" s="370"/>
      <c r="L78" s="370"/>
      <c r="M78" s="370"/>
      <c r="N78" s="370"/>
      <c r="O78" s="370"/>
      <c r="P78" s="370"/>
      <c r="Q78" s="370"/>
      <c r="R78" s="370"/>
      <c r="S78" s="370"/>
      <c r="T78" s="370"/>
      <c r="U78" s="370"/>
      <c r="V78" s="370"/>
      <c r="W78" s="370"/>
      <c r="X78" s="370"/>
      <c r="Y78" s="370"/>
      <c r="Z78" s="370"/>
      <c r="AA78" s="65"/>
      <c r="AB78" s="65"/>
      <c r="AC78" s="82"/>
    </row>
    <row r="79" spans="1:68" ht="14.25" hidden="1" customHeight="1" x14ac:dyDescent="0.25">
      <c r="A79" s="371" t="s">
        <v>169</v>
      </c>
      <c r="B79" s="371"/>
      <c r="C79" s="371"/>
      <c r="D79" s="371"/>
      <c r="E79" s="371"/>
      <c r="F79" s="371"/>
      <c r="G79" s="371"/>
      <c r="H79" s="371"/>
      <c r="I79" s="371"/>
      <c r="J79" s="371"/>
      <c r="K79" s="371"/>
      <c r="L79" s="371"/>
      <c r="M79" s="371"/>
      <c r="N79" s="371"/>
      <c r="O79" s="371"/>
      <c r="P79" s="371"/>
      <c r="Q79" s="371"/>
      <c r="R79" s="371"/>
      <c r="S79" s="371"/>
      <c r="T79" s="371"/>
      <c r="U79" s="371"/>
      <c r="V79" s="371"/>
      <c r="W79" s="371"/>
      <c r="X79" s="371"/>
      <c r="Y79" s="371"/>
      <c r="Z79" s="371"/>
      <c r="AA79" s="66"/>
      <c r="AB79" s="66"/>
      <c r="AC79" s="83"/>
    </row>
    <row r="80" spans="1:68" ht="27" customHeight="1" x14ac:dyDescent="0.25">
      <c r="A80" s="63" t="s">
        <v>170</v>
      </c>
      <c r="B80" s="63" t="s">
        <v>171</v>
      </c>
      <c r="C80" s="36">
        <v>4301135910</v>
      </c>
      <c r="D80" s="372">
        <v>4620207491638</v>
      </c>
      <c r="E80" s="372"/>
      <c r="F80" s="62">
        <v>0.3</v>
      </c>
      <c r="G80" s="37">
        <v>12</v>
      </c>
      <c r="H80" s="62">
        <v>3.6</v>
      </c>
      <c r="I80" s="62">
        <v>4.3036000000000003</v>
      </c>
      <c r="J80" s="37">
        <v>70</v>
      </c>
      <c r="K80" s="37" t="s">
        <v>123</v>
      </c>
      <c r="L80" s="37" t="s">
        <v>88</v>
      </c>
      <c r="M80" s="38" t="s">
        <v>86</v>
      </c>
      <c r="N80" s="38"/>
      <c r="O80" s="37">
        <v>180</v>
      </c>
      <c r="P80" s="406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0" s="374"/>
      <c r="R80" s="374"/>
      <c r="S80" s="374"/>
      <c r="T80" s="375"/>
      <c r="U80" s="39" t="s">
        <v>46</v>
      </c>
      <c r="V80" s="39" t="s">
        <v>46</v>
      </c>
      <c r="W80" s="40" t="s">
        <v>39</v>
      </c>
      <c r="X80" s="58">
        <v>14</v>
      </c>
      <c r="Y80" s="55">
        <f>IFERROR(IF(X80="","",X80),"")</f>
        <v>14</v>
      </c>
      <c r="Z80" s="41">
        <f>IFERROR(IF(X80="","",X80*0.01788),"")</f>
        <v>0.25031999999999999</v>
      </c>
      <c r="AA80" s="68" t="s">
        <v>46</v>
      </c>
      <c r="AB80" s="69" t="s">
        <v>46</v>
      </c>
      <c r="AC80" s="141" t="s">
        <v>172</v>
      </c>
      <c r="AG80" s="81"/>
      <c r="AJ80" s="87" t="s">
        <v>89</v>
      </c>
      <c r="AK80" s="87">
        <v>1</v>
      </c>
      <c r="BB80" s="142" t="s">
        <v>122</v>
      </c>
      <c r="BM80" s="81">
        <f>IFERROR(X80*I80,"0")</f>
        <v>60.250400000000006</v>
      </c>
      <c r="BN80" s="81">
        <f>IFERROR(Y80*I80,"0")</f>
        <v>60.250400000000006</v>
      </c>
      <c r="BO80" s="81">
        <f>IFERROR(X80/J80,"0")</f>
        <v>0.2</v>
      </c>
      <c r="BP80" s="81">
        <f>IFERROR(Y80/J80,"0")</f>
        <v>0.2</v>
      </c>
    </row>
    <row r="81" spans="1:68" x14ac:dyDescent="0.2">
      <c r="A81" s="386"/>
      <c r="B81" s="386"/>
      <c r="C81" s="386"/>
      <c r="D81" s="386"/>
      <c r="E81" s="386"/>
      <c r="F81" s="386"/>
      <c r="G81" s="386"/>
      <c r="H81" s="386"/>
      <c r="I81" s="386"/>
      <c r="J81" s="386"/>
      <c r="K81" s="386"/>
      <c r="L81" s="386"/>
      <c r="M81" s="386"/>
      <c r="N81" s="386"/>
      <c r="O81" s="387"/>
      <c r="P81" s="383" t="s">
        <v>40</v>
      </c>
      <c r="Q81" s="384"/>
      <c r="R81" s="384"/>
      <c r="S81" s="384"/>
      <c r="T81" s="384"/>
      <c r="U81" s="384"/>
      <c r="V81" s="385"/>
      <c r="W81" s="42" t="s">
        <v>39</v>
      </c>
      <c r="X81" s="43">
        <f>IFERROR(SUM(X80:X80),"0")</f>
        <v>14</v>
      </c>
      <c r="Y81" s="43">
        <f>IFERROR(SUM(Y80:Y80),"0")</f>
        <v>14</v>
      </c>
      <c r="Z81" s="43">
        <f>IFERROR(IF(Z80="",0,Z80),"0")</f>
        <v>0.25031999999999999</v>
      </c>
      <c r="AA81" s="67"/>
      <c r="AB81" s="67"/>
      <c r="AC81" s="67"/>
    </row>
    <row r="82" spans="1:68" x14ac:dyDescent="0.2">
      <c r="A82" s="386"/>
      <c r="B82" s="386"/>
      <c r="C82" s="386"/>
      <c r="D82" s="386"/>
      <c r="E82" s="386"/>
      <c r="F82" s="386"/>
      <c r="G82" s="386"/>
      <c r="H82" s="386"/>
      <c r="I82" s="386"/>
      <c r="J82" s="386"/>
      <c r="K82" s="386"/>
      <c r="L82" s="386"/>
      <c r="M82" s="386"/>
      <c r="N82" s="386"/>
      <c r="O82" s="387"/>
      <c r="P82" s="383" t="s">
        <v>40</v>
      </c>
      <c r="Q82" s="384"/>
      <c r="R82" s="384"/>
      <c r="S82" s="384"/>
      <c r="T82" s="384"/>
      <c r="U82" s="384"/>
      <c r="V82" s="385"/>
      <c r="W82" s="42" t="s">
        <v>0</v>
      </c>
      <c r="X82" s="43">
        <f>IFERROR(SUMPRODUCT(X80:X80*H80:H80),"0")</f>
        <v>50.4</v>
      </c>
      <c r="Y82" s="43">
        <f>IFERROR(SUMPRODUCT(Y80:Y80*H80:H80),"0")</f>
        <v>50.4</v>
      </c>
      <c r="Z82" s="42"/>
      <c r="AA82" s="67"/>
      <c r="AB82" s="67"/>
      <c r="AC82" s="67"/>
    </row>
    <row r="83" spans="1:68" ht="16.5" hidden="1" customHeight="1" x14ac:dyDescent="0.25">
      <c r="A83" s="370" t="s">
        <v>173</v>
      </c>
      <c r="B83" s="370"/>
      <c r="C83" s="370"/>
      <c r="D83" s="370"/>
      <c r="E83" s="370"/>
      <c r="F83" s="370"/>
      <c r="G83" s="370"/>
      <c r="H83" s="370"/>
      <c r="I83" s="370"/>
      <c r="J83" s="370"/>
      <c r="K83" s="370"/>
      <c r="L83" s="370"/>
      <c r="M83" s="370"/>
      <c r="N83" s="370"/>
      <c r="O83" s="370"/>
      <c r="P83" s="370"/>
      <c r="Q83" s="370"/>
      <c r="R83" s="370"/>
      <c r="S83" s="370"/>
      <c r="T83" s="370"/>
      <c r="U83" s="370"/>
      <c r="V83" s="370"/>
      <c r="W83" s="370"/>
      <c r="X83" s="370"/>
      <c r="Y83" s="370"/>
      <c r="Z83" s="370"/>
      <c r="AA83" s="65"/>
      <c r="AB83" s="65"/>
      <c r="AC83" s="82"/>
    </row>
    <row r="84" spans="1:68" ht="14.25" hidden="1" customHeight="1" x14ac:dyDescent="0.25">
      <c r="A84" s="371" t="s">
        <v>174</v>
      </c>
      <c r="B84" s="371"/>
      <c r="C84" s="371"/>
      <c r="D84" s="371"/>
      <c r="E84" s="371"/>
      <c r="F84" s="371"/>
      <c r="G84" s="371"/>
      <c r="H84" s="371"/>
      <c r="I84" s="371"/>
      <c r="J84" s="371"/>
      <c r="K84" s="371"/>
      <c r="L84" s="371"/>
      <c r="M84" s="371"/>
      <c r="N84" s="371"/>
      <c r="O84" s="371"/>
      <c r="P84" s="371"/>
      <c r="Q84" s="371"/>
      <c r="R84" s="371"/>
      <c r="S84" s="371"/>
      <c r="T84" s="371"/>
      <c r="U84" s="371"/>
      <c r="V84" s="371"/>
      <c r="W84" s="371"/>
      <c r="X84" s="371"/>
      <c r="Y84" s="371"/>
      <c r="Z84" s="371"/>
      <c r="AA84" s="66"/>
      <c r="AB84" s="66"/>
      <c r="AC84" s="83"/>
    </row>
    <row r="85" spans="1:68" ht="27" customHeight="1" x14ac:dyDescent="0.25">
      <c r="A85" s="63" t="s">
        <v>175</v>
      </c>
      <c r="B85" s="63" t="s">
        <v>176</v>
      </c>
      <c r="C85" s="36">
        <v>4301131047</v>
      </c>
      <c r="D85" s="372">
        <v>4607111034120</v>
      </c>
      <c r="E85" s="372"/>
      <c r="F85" s="62">
        <v>0.3</v>
      </c>
      <c r="G85" s="37">
        <v>12</v>
      </c>
      <c r="H85" s="62">
        <v>3.6</v>
      </c>
      <c r="I85" s="62">
        <v>4.3036000000000003</v>
      </c>
      <c r="J85" s="37">
        <v>70</v>
      </c>
      <c r="K85" s="37" t="s">
        <v>123</v>
      </c>
      <c r="L85" s="37" t="s">
        <v>124</v>
      </c>
      <c r="M85" s="38" t="s">
        <v>86</v>
      </c>
      <c r="N85" s="38"/>
      <c r="O85" s="37">
        <v>180</v>
      </c>
      <c r="P85" s="40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5" s="374"/>
      <c r="R85" s="374"/>
      <c r="S85" s="374"/>
      <c r="T85" s="375"/>
      <c r="U85" s="39" t="s">
        <v>46</v>
      </c>
      <c r="V85" s="39" t="s">
        <v>46</v>
      </c>
      <c r="W85" s="40" t="s">
        <v>39</v>
      </c>
      <c r="X85" s="58">
        <v>28</v>
      </c>
      <c r="Y85" s="55">
        <f>IFERROR(IF(X85="","",X85),"")</f>
        <v>28</v>
      </c>
      <c r="Z85" s="41">
        <f>IFERROR(IF(X85="","",X85*0.01788),"")</f>
        <v>0.50063999999999997</v>
      </c>
      <c r="AA85" s="68" t="s">
        <v>46</v>
      </c>
      <c r="AB85" s="69" t="s">
        <v>46</v>
      </c>
      <c r="AC85" s="143" t="s">
        <v>177</v>
      </c>
      <c r="AG85" s="81"/>
      <c r="AJ85" s="87" t="s">
        <v>125</v>
      </c>
      <c r="AK85" s="87">
        <v>14</v>
      </c>
      <c r="BB85" s="144" t="s">
        <v>122</v>
      </c>
      <c r="BM85" s="81">
        <f>IFERROR(X85*I85,"0")</f>
        <v>120.50080000000001</v>
      </c>
      <c r="BN85" s="81">
        <f>IFERROR(Y85*I85,"0")</f>
        <v>120.50080000000001</v>
      </c>
      <c r="BO85" s="81">
        <f>IFERROR(X85/J85,"0")</f>
        <v>0.4</v>
      </c>
      <c r="BP85" s="81">
        <f>IFERROR(Y85/J85,"0")</f>
        <v>0.4</v>
      </c>
    </row>
    <row r="86" spans="1:68" ht="27" customHeight="1" x14ac:dyDescent="0.25">
      <c r="A86" s="63" t="s">
        <v>178</v>
      </c>
      <c r="B86" s="63" t="s">
        <v>179</v>
      </c>
      <c r="C86" s="36">
        <v>4301131046</v>
      </c>
      <c r="D86" s="372">
        <v>4607111034137</v>
      </c>
      <c r="E86" s="372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123</v>
      </c>
      <c r="L86" s="37" t="s">
        <v>124</v>
      </c>
      <c r="M86" s="38" t="s">
        <v>86</v>
      </c>
      <c r="N86" s="38"/>
      <c r="O86" s="37">
        <v>180</v>
      </c>
      <c r="P86" s="40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6" s="374"/>
      <c r="R86" s="374"/>
      <c r="S86" s="374"/>
      <c r="T86" s="375"/>
      <c r="U86" s="39" t="s">
        <v>46</v>
      </c>
      <c r="V86" s="39" t="s">
        <v>46</v>
      </c>
      <c r="W86" s="40" t="s">
        <v>39</v>
      </c>
      <c r="X86" s="58">
        <v>28</v>
      </c>
      <c r="Y86" s="55">
        <f>IFERROR(IF(X86="","",X86),"")</f>
        <v>28</v>
      </c>
      <c r="Z86" s="41">
        <f>IFERROR(IF(X86="","",X86*0.01788),"")</f>
        <v>0.50063999999999997</v>
      </c>
      <c r="AA86" s="68" t="s">
        <v>46</v>
      </c>
      <c r="AB86" s="69" t="s">
        <v>46</v>
      </c>
      <c r="AC86" s="145" t="s">
        <v>180</v>
      </c>
      <c r="AG86" s="81"/>
      <c r="AJ86" s="87" t="s">
        <v>125</v>
      </c>
      <c r="AK86" s="87">
        <v>14</v>
      </c>
      <c r="BB86" s="146" t="s">
        <v>122</v>
      </c>
      <c r="BM86" s="81">
        <f>IFERROR(X86*I86,"0")</f>
        <v>120.50080000000001</v>
      </c>
      <c r="BN86" s="81">
        <f>IFERROR(Y86*I86,"0")</f>
        <v>120.50080000000001</v>
      </c>
      <c r="BO86" s="81">
        <f>IFERROR(X86/J86,"0")</f>
        <v>0.4</v>
      </c>
      <c r="BP86" s="81">
        <f>IFERROR(Y86/J86,"0")</f>
        <v>0.4</v>
      </c>
    </row>
    <row r="87" spans="1:68" x14ac:dyDescent="0.2">
      <c r="A87" s="386"/>
      <c r="B87" s="386"/>
      <c r="C87" s="386"/>
      <c r="D87" s="386"/>
      <c r="E87" s="386"/>
      <c r="F87" s="386"/>
      <c r="G87" s="386"/>
      <c r="H87" s="386"/>
      <c r="I87" s="386"/>
      <c r="J87" s="386"/>
      <c r="K87" s="386"/>
      <c r="L87" s="386"/>
      <c r="M87" s="386"/>
      <c r="N87" s="386"/>
      <c r="O87" s="387"/>
      <c r="P87" s="383" t="s">
        <v>40</v>
      </c>
      <c r="Q87" s="384"/>
      <c r="R87" s="384"/>
      <c r="S87" s="384"/>
      <c r="T87" s="384"/>
      <c r="U87" s="384"/>
      <c r="V87" s="385"/>
      <c r="W87" s="42" t="s">
        <v>39</v>
      </c>
      <c r="X87" s="43">
        <f>IFERROR(SUM(X85:X86),"0")</f>
        <v>56</v>
      </c>
      <c r="Y87" s="43">
        <f>IFERROR(SUM(Y85:Y86),"0")</f>
        <v>56</v>
      </c>
      <c r="Z87" s="43">
        <f>IFERROR(IF(Z85="",0,Z85),"0")+IFERROR(IF(Z86="",0,Z86),"0")</f>
        <v>1.0012799999999999</v>
      </c>
      <c r="AA87" s="67"/>
      <c r="AB87" s="67"/>
      <c r="AC87" s="67"/>
    </row>
    <row r="88" spans="1:68" x14ac:dyDescent="0.2">
      <c r="A88" s="386"/>
      <c r="B88" s="386"/>
      <c r="C88" s="386"/>
      <c r="D88" s="386"/>
      <c r="E88" s="386"/>
      <c r="F88" s="386"/>
      <c r="G88" s="386"/>
      <c r="H88" s="386"/>
      <c r="I88" s="386"/>
      <c r="J88" s="386"/>
      <c r="K88" s="386"/>
      <c r="L88" s="386"/>
      <c r="M88" s="386"/>
      <c r="N88" s="386"/>
      <c r="O88" s="387"/>
      <c r="P88" s="383" t="s">
        <v>40</v>
      </c>
      <c r="Q88" s="384"/>
      <c r="R88" s="384"/>
      <c r="S88" s="384"/>
      <c r="T88" s="384"/>
      <c r="U88" s="384"/>
      <c r="V88" s="385"/>
      <c r="W88" s="42" t="s">
        <v>0</v>
      </c>
      <c r="X88" s="43">
        <f>IFERROR(SUMPRODUCT(X85:X86*H85:H86),"0")</f>
        <v>201.6</v>
      </c>
      <c r="Y88" s="43">
        <f>IFERROR(SUMPRODUCT(Y85:Y86*H85:H86),"0")</f>
        <v>201.6</v>
      </c>
      <c r="Z88" s="42"/>
      <c r="AA88" s="67"/>
      <c r="AB88" s="67"/>
      <c r="AC88" s="67"/>
    </row>
    <row r="89" spans="1:68" ht="16.5" hidden="1" customHeight="1" x14ac:dyDescent="0.25">
      <c r="A89" s="370" t="s">
        <v>181</v>
      </c>
      <c r="B89" s="370"/>
      <c r="C89" s="370"/>
      <c r="D89" s="370"/>
      <c r="E89" s="370"/>
      <c r="F89" s="370"/>
      <c r="G89" s="370"/>
      <c r="H89" s="370"/>
      <c r="I89" s="370"/>
      <c r="J89" s="370"/>
      <c r="K89" s="370"/>
      <c r="L89" s="370"/>
      <c r="M89" s="370"/>
      <c r="N89" s="370"/>
      <c r="O89" s="370"/>
      <c r="P89" s="370"/>
      <c r="Q89" s="370"/>
      <c r="R89" s="370"/>
      <c r="S89" s="370"/>
      <c r="T89" s="370"/>
      <c r="U89" s="370"/>
      <c r="V89" s="370"/>
      <c r="W89" s="370"/>
      <c r="X89" s="370"/>
      <c r="Y89" s="370"/>
      <c r="Z89" s="370"/>
      <c r="AA89" s="65"/>
      <c r="AB89" s="65"/>
      <c r="AC89" s="82"/>
    </row>
    <row r="90" spans="1:68" ht="14.25" hidden="1" customHeight="1" x14ac:dyDescent="0.25">
      <c r="A90" s="371" t="s">
        <v>169</v>
      </c>
      <c r="B90" s="371"/>
      <c r="C90" s="371"/>
      <c r="D90" s="371"/>
      <c r="E90" s="371"/>
      <c r="F90" s="371"/>
      <c r="G90" s="371"/>
      <c r="H90" s="371"/>
      <c r="I90" s="371"/>
      <c r="J90" s="371"/>
      <c r="K90" s="371"/>
      <c r="L90" s="371"/>
      <c r="M90" s="371"/>
      <c r="N90" s="371"/>
      <c r="O90" s="371"/>
      <c r="P90" s="371"/>
      <c r="Q90" s="371"/>
      <c r="R90" s="371"/>
      <c r="S90" s="371"/>
      <c r="T90" s="371"/>
      <c r="U90" s="371"/>
      <c r="V90" s="371"/>
      <c r="W90" s="371"/>
      <c r="X90" s="371"/>
      <c r="Y90" s="371"/>
      <c r="Z90" s="371"/>
      <c r="AA90" s="66"/>
      <c r="AB90" s="66"/>
      <c r="AC90" s="83"/>
    </row>
    <row r="91" spans="1:68" ht="27" customHeight="1" x14ac:dyDescent="0.25">
      <c r="A91" s="63" t="s">
        <v>182</v>
      </c>
      <c r="B91" s="63" t="s">
        <v>183</v>
      </c>
      <c r="C91" s="36">
        <v>4301135763</v>
      </c>
      <c r="D91" s="372">
        <v>4620207491027</v>
      </c>
      <c r="E91" s="372"/>
      <c r="F91" s="62">
        <v>0.24</v>
      </c>
      <c r="G91" s="37">
        <v>12</v>
      </c>
      <c r="H91" s="62">
        <v>2.88</v>
      </c>
      <c r="I91" s="62">
        <v>3.5836000000000001</v>
      </c>
      <c r="J91" s="37">
        <v>70</v>
      </c>
      <c r="K91" s="37" t="s">
        <v>123</v>
      </c>
      <c r="L91" s="37" t="s">
        <v>124</v>
      </c>
      <c r="M91" s="38" t="s">
        <v>86</v>
      </c>
      <c r="N91" s="38"/>
      <c r="O91" s="37">
        <v>180</v>
      </c>
      <c r="P91" s="40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1" s="374"/>
      <c r="R91" s="374"/>
      <c r="S91" s="374"/>
      <c r="T91" s="375"/>
      <c r="U91" s="39" t="s">
        <v>46</v>
      </c>
      <c r="V91" s="39" t="s">
        <v>46</v>
      </c>
      <c r="W91" s="40" t="s">
        <v>39</v>
      </c>
      <c r="X91" s="58">
        <v>14</v>
      </c>
      <c r="Y91" s="55">
        <f t="shared" ref="Y91:Y98" si="6">IFERROR(IF(X91="","",X91),"")</f>
        <v>14</v>
      </c>
      <c r="Z91" s="41">
        <f t="shared" ref="Z91:Z98" si="7">IFERROR(IF(X91="","",X91*0.01788),"")</f>
        <v>0.25031999999999999</v>
      </c>
      <c r="AA91" s="68" t="s">
        <v>46</v>
      </c>
      <c r="AB91" s="69" t="s">
        <v>46</v>
      </c>
      <c r="AC91" s="147" t="s">
        <v>184</v>
      </c>
      <c r="AG91" s="81"/>
      <c r="AJ91" s="87" t="s">
        <v>125</v>
      </c>
      <c r="AK91" s="87">
        <v>14</v>
      </c>
      <c r="BB91" s="148" t="s">
        <v>122</v>
      </c>
      <c r="BM91" s="81">
        <f t="shared" ref="BM91:BM98" si="8">IFERROR(X91*I91,"0")</f>
        <v>50.170400000000001</v>
      </c>
      <c r="BN91" s="81">
        <f t="shared" ref="BN91:BN98" si="9">IFERROR(Y91*I91,"0")</f>
        <v>50.170400000000001</v>
      </c>
      <c r="BO91" s="81">
        <f t="shared" ref="BO91:BO98" si="10">IFERROR(X91/J91,"0")</f>
        <v>0.2</v>
      </c>
      <c r="BP91" s="81">
        <f t="shared" ref="BP91:BP98" si="11">IFERROR(Y91/J91,"0")</f>
        <v>0.2</v>
      </c>
    </row>
    <row r="92" spans="1:68" ht="27" hidden="1" customHeight="1" x14ac:dyDescent="0.25">
      <c r="A92" s="63" t="s">
        <v>185</v>
      </c>
      <c r="B92" s="63" t="s">
        <v>186</v>
      </c>
      <c r="C92" s="36">
        <v>4301135758</v>
      </c>
      <c r="D92" s="372">
        <v>4620207491003</v>
      </c>
      <c r="E92" s="372"/>
      <c r="F92" s="62">
        <v>0.24</v>
      </c>
      <c r="G92" s="37">
        <v>12</v>
      </c>
      <c r="H92" s="62">
        <v>2.88</v>
      </c>
      <c r="I92" s="62">
        <v>3.5836000000000001</v>
      </c>
      <c r="J92" s="37">
        <v>70</v>
      </c>
      <c r="K92" s="37" t="s">
        <v>123</v>
      </c>
      <c r="L92" s="37" t="s">
        <v>88</v>
      </c>
      <c r="M92" s="38" t="s">
        <v>86</v>
      </c>
      <c r="N92" s="38"/>
      <c r="O92" s="37">
        <v>180</v>
      </c>
      <c r="P92" s="410" t="str">
        <f>HYPERLINK("https://abi.ru/products/Замороженные/Горячая штучка/Чебупели/Снеки/P004964/","Снеки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2" s="374"/>
      <c r="R92" s="374"/>
      <c r="S92" s="374"/>
      <c r="T92" s="375"/>
      <c r="U92" s="39" t="s">
        <v>46</v>
      </c>
      <c r="V92" s="39" t="s">
        <v>46</v>
      </c>
      <c r="W92" s="40" t="s">
        <v>39</v>
      </c>
      <c r="X92" s="58">
        <v>0</v>
      </c>
      <c r="Y92" s="55">
        <f t="shared" si="6"/>
        <v>0</v>
      </c>
      <c r="Z92" s="41">
        <f t="shared" si="7"/>
        <v>0</v>
      </c>
      <c r="AA92" s="68" t="s">
        <v>46</v>
      </c>
      <c r="AB92" s="69" t="s">
        <v>46</v>
      </c>
      <c r="AC92" s="149" t="s">
        <v>184</v>
      </c>
      <c r="AG92" s="81"/>
      <c r="AJ92" s="87" t="s">
        <v>89</v>
      </c>
      <c r="AK92" s="87">
        <v>1</v>
      </c>
      <c r="BB92" s="150" t="s">
        <v>122</v>
      </c>
      <c r="BM92" s="81">
        <f t="shared" si="8"/>
        <v>0</v>
      </c>
      <c r="BN92" s="81">
        <f t="shared" si="9"/>
        <v>0</v>
      </c>
      <c r="BO92" s="81">
        <f t="shared" si="10"/>
        <v>0</v>
      </c>
      <c r="BP92" s="81">
        <f t="shared" si="11"/>
        <v>0</v>
      </c>
    </row>
    <row r="93" spans="1:68" ht="27" customHeight="1" x14ac:dyDescent="0.25">
      <c r="A93" s="63" t="s">
        <v>187</v>
      </c>
      <c r="B93" s="63" t="s">
        <v>188</v>
      </c>
      <c r="C93" s="36">
        <v>4301135914</v>
      </c>
      <c r="D93" s="372">
        <v>4620207491621</v>
      </c>
      <c r="E93" s="372"/>
      <c r="F93" s="62">
        <v>0.24</v>
      </c>
      <c r="G93" s="37">
        <v>12</v>
      </c>
      <c r="H93" s="62">
        <v>2.88</v>
      </c>
      <c r="I93" s="62">
        <v>3.5836000000000001</v>
      </c>
      <c r="J93" s="37">
        <v>70</v>
      </c>
      <c r="K93" s="37" t="s">
        <v>123</v>
      </c>
      <c r="L93" s="37" t="s">
        <v>88</v>
      </c>
      <c r="M93" s="38" t="s">
        <v>86</v>
      </c>
      <c r="N93" s="38"/>
      <c r="O93" s="37">
        <v>180</v>
      </c>
      <c r="P93" s="411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3" s="374"/>
      <c r="R93" s="374"/>
      <c r="S93" s="374"/>
      <c r="T93" s="375"/>
      <c r="U93" s="39" t="s">
        <v>46</v>
      </c>
      <c r="V93" s="39" t="s">
        <v>46</v>
      </c>
      <c r="W93" s="40" t="s">
        <v>39</v>
      </c>
      <c r="X93" s="58">
        <v>70</v>
      </c>
      <c r="Y93" s="55">
        <f t="shared" si="6"/>
        <v>70</v>
      </c>
      <c r="Z93" s="41">
        <f t="shared" si="7"/>
        <v>1.2516</v>
      </c>
      <c r="AA93" s="68" t="s">
        <v>46</v>
      </c>
      <c r="AB93" s="69" t="s">
        <v>46</v>
      </c>
      <c r="AC93" s="151" t="s">
        <v>189</v>
      </c>
      <c r="AG93" s="81"/>
      <c r="AJ93" s="87" t="s">
        <v>89</v>
      </c>
      <c r="AK93" s="87">
        <v>1</v>
      </c>
      <c r="BB93" s="152" t="s">
        <v>122</v>
      </c>
      <c r="BM93" s="81">
        <f t="shared" si="8"/>
        <v>250.852</v>
      </c>
      <c r="BN93" s="81">
        <f t="shared" si="9"/>
        <v>250.852</v>
      </c>
      <c r="BO93" s="81">
        <f t="shared" si="10"/>
        <v>1</v>
      </c>
      <c r="BP93" s="81">
        <f t="shared" si="11"/>
        <v>1</v>
      </c>
    </row>
    <row r="94" spans="1:68" ht="27" hidden="1" customHeight="1" x14ac:dyDescent="0.25">
      <c r="A94" s="63" t="s">
        <v>190</v>
      </c>
      <c r="B94" s="63" t="s">
        <v>191</v>
      </c>
      <c r="C94" s="36">
        <v>4301135759</v>
      </c>
      <c r="D94" s="372">
        <v>4620207491034</v>
      </c>
      <c r="E94" s="372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123</v>
      </c>
      <c r="L94" s="37" t="s">
        <v>88</v>
      </c>
      <c r="M94" s="38" t="s">
        <v>86</v>
      </c>
      <c r="N94" s="38"/>
      <c r="O94" s="37">
        <v>180</v>
      </c>
      <c r="P94" s="412" t="str">
        <f>HYPERLINK("https://abi.ru/products/Замороженные/Горячая штучка/Чебупели/Снеки/P004965/","Снеки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4" s="374"/>
      <c r="R94" s="374"/>
      <c r="S94" s="374"/>
      <c r="T94" s="375"/>
      <c r="U94" s="39" t="s">
        <v>46</v>
      </c>
      <c r="V94" s="39" t="s">
        <v>46</v>
      </c>
      <c r="W94" s="40" t="s">
        <v>39</v>
      </c>
      <c r="X94" s="58">
        <v>0</v>
      </c>
      <c r="Y94" s="55">
        <f t="shared" si="6"/>
        <v>0</v>
      </c>
      <c r="Z94" s="41">
        <f t="shared" si="7"/>
        <v>0</v>
      </c>
      <c r="AA94" s="68" t="s">
        <v>46</v>
      </c>
      <c r="AB94" s="69" t="s">
        <v>46</v>
      </c>
      <c r="AC94" s="153" t="s">
        <v>192</v>
      </c>
      <c r="AG94" s="81"/>
      <c r="AJ94" s="87" t="s">
        <v>89</v>
      </c>
      <c r="AK94" s="87">
        <v>1</v>
      </c>
      <c r="BB94" s="154" t="s">
        <v>122</v>
      </c>
      <c r="BM94" s="81">
        <f t="shared" si="8"/>
        <v>0</v>
      </c>
      <c r="BN94" s="81">
        <f t="shared" si="9"/>
        <v>0</v>
      </c>
      <c r="BO94" s="81">
        <f t="shared" si="10"/>
        <v>0</v>
      </c>
      <c r="BP94" s="81">
        <f t="shared" si="11"/>
        <v>0</v>
      </c>
    </row>
    <row r="95" spans="1:68" ht="27" customHeight="1" x14ac:dyDescent="0.25">
      <c r="A95" s="63" t="s">
        <v>193</v>
      </c>
      <c r="B95" s="63" t="s">
        <v>194</v>
      </c>
      <c r="C95" s="36">
        <v>4301135990</v>
      </c>
      <c r="D95" s="372">
        <v>4620207491881</v>
      </c>
      <c r="E95" s="372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123</v>
      </c>
      <c r="L95" s="37" t="s">
        <v>88</v>
      </c>
      <c r="M95" s="38" t="s">
        <v>86</v>
      </c>
      <c r="N95" s="38"/>
      <c r="O95" s="37">
        <v>180</v>
      </c>
      <c r="P95" s="413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374"/>
      <c r="R95" s="374"/>
      <c r="S95" s="374"/>
      <c r="T95" s="375"/>
      <c r="U95" s="39" t="s">
        <v>46</v>
      </c>
      <c r="V95" s="39" t="s">
        <v>46</v>
      </c>
      <c r="W95" s="40" t="s">
        <v>39</v>
      </c>
      <c r="X95" s="58">
        <v>14</v>
      </c>
      <c r="Y95" s="55">
        <f t="shared" si="6"/>
        <v>14</v>
      </c>
      <c r="Z95" s="41">
        <f t="shared" si="7"/>
        <v>0.25031999999999999</v>
      </c>
      <c r="AA95" s="68" t="s">
        <v>46</v>
      </c>
      <c r="AB95" s="69" t="s">
        <v>46</v>
      </c>
      <c r="AC95" s="155" t="s">
        <v>189</v>
      </c>
      <c r="AG95" s="81"/>
      <c r="AJ95" s="87" t="s">
        <v>89</v>
      </c>
      <c r="AK95" s="87">
        <v>1</v>
      </c>
      <c r="BB95" s="156" t="s">
        <v>122</v>
      </c>
      <c r="BM95" s="81">
        <f t="shared" si="8"/>
        <v>50.170400000000001</v>
      </c>
      <c r="BN95" s="81">
        <f t="shared" si="9"/>
        <v>50.170400000000001</v>
      </c>
      <c r="BO95" s="81">
        <f t="shared" si="10"/>
        <v>0.2</v>
      </c>
      <c r="BP95" s="81">
        <f t="shared" si="11"/>
        <v>0.2</v>
      </c>
    </row>
    <row r="96" spans="1:68" ht="27" customHeight="1" x14ac:dyDescent="0.25">
      <c r="A96" s="63" t="s">
        <v>195</v>
      </c>
      <c r="B96" s="63" t="s">
        <v>196</v>
      </c>
      <c r="C96" s="36">
        <v>4301135920</v>
      </c>
      <c r="D96" s="372">
        <v>4620207491577</v>
      </c>
      <c r="E96" s="372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123</v>
      </c>
      <c r="L96" s="37" t="s">
        <v>88</v>
      </c>
      <c r="M96" s="38" t="s">
        <v>86</v>
      </c>
      <c r="N96" s="38"/>
      <c r="O96" s="37">
        <v>180</v>
      </c>
      <c r="P96" s="414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374"/>
      <c r="R96" s="374"/>
      <c r="S96" s="374"/>
      <c r="T96" s="375"/>
      <c r="U96" s="39" t="s">
        <v>46</v>
      </c>
      <c r="V96" s="39" t="s">
        <v>46</v>
      </c>
      <c r="W96" s="40" t="s">
        <v>39</v>
      </c>
      <c r="X96" s="58">
        <v>70</v>
      </c>
      <c r="Y96" s="55">
        <f t="shared" si="6"/>
        <v>70</v>
      </c>
      <c r="Z96" s="41">
        <f t="shared" si="7"/>
        <v>1.2516</v>
      </c>
      <c r="AA96" s="68" t="s">
        <v>46</v>
      </c>
      <c r="AB96" s="69" t="s">
        <v>46</v>
      </c>
      <c r="AC96" s="157" t="s">
        <v>189</v>
      </c>
      <c r="AG96" s="81"/>
      <c r="AJ96" s="87" t="s">
        <v>89</v>
      </c>
      <c r="AK96" s="87">
        <v>1</v>
      </c>
      <c r="BB96" s="158" t="s">
        <v>122</v>
      </c>
      <c r="BM96" s="81">
        <f t="shared" si="8"/>
        <v>250.852</v>
      </c>
      <c r="BN96" s="81">
        <f t="shared" si="9"/>
        <v>250.852</v>
      </c>
      <c r="BO96" s="81">
        <f t="shared" si="10"/>
        <v>1</v>
      </c>
      <c r="BP96" s="81">
        <f t="shared" si="11"/>
        <v>1</v>
      </c>
    </row>
    <row r="97" spans="1:68" ht="27" hidden="1" customHeight="1" x14ac:dyDescent="0.25">
      <c r="A97" s="63" t="s">
        <v>197</v>
      </c>
      <c r="B97" s="63" t="s">
        <v>198</v>
      </c>
      <c r="C97" s="36">
        <v>4301135984</v>
      </c>
      <c r="D97" s="372">
        <v>4620207491874</v>
      </c>
      <c r="E97" s="372"/>
      <c r="F97" s="62">
        <v>0.48</v>
      </c>
      <c r="G97" s="37">
        <v>8</v>
      </c>
      <c r="H97" s="62">
        <v>3.84</v>
      </c>
      <c r="I97" s="62">
        <v>4.4488000000000003</v>
      </c>
      <c r="J97" s="37">
        <v>70</v>
      </c>
      <c r="K97" s="37" t="s">
        <v>123</v>
      </c>
      <c r="L97" s="37" t="s">
        <v>88</v>
      </c>
      <c r="M97" s="38" t="s">
        <v>86</v>
      </c>
      <c r="N97" s="38"/>
      <c r="O97" s="37">
        <v>180</v>
      </c>
      <c r="P97" s="415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374"/>
      <c r="R97" s="374"/>
      <c r="S97" s="374"/>
      <c r="T97" s="375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si="6"/>
        <v>0</v>
      </c>
      <c r="Z97" s="41">
        <f t="shared" si="7"/>
        <v>0</v>
      </c>
      <c r="AA97" s="68" t="s">
        <v>46</v>
      </c>
      <c r="AB97" s="69" t="s">
        <v>46</v>
      </c>
      <c r="AC97" s="159" t="s">
        <v>189</v>
      </c>
      <c r="AG97" s="81"/>
      <c r="AJ97" s="87" t="s">
        <v>89</v>
      </c>
      <c r="AK97" s="87">
        <v>1</v>
      </c>
      <c r="BB97" s="160" t="s">
        <v>122</v>
      </c>
      <c r="BM97" s="81">
        <f t="shared" si="8"/>
        <v>0</v>
      </c>
      <c r="BN97" s="81">
        <f t="shared" si="9"/>
        <v>0</v>
      </c>
      <c r="BO97" s="81">
        <f t="shared" si="10"/>
        <v>0</v>
      </c>
      <c r="BP97" s="81">
        <f t="shared" si="11"/>
        <v>0</v>
      </c>
    </row>
    <row r="98" spans="1:68" ht="27" customHeight="1" x14ac:dyDescent="0.25">
      <c r="A98" s="63" t="s">
        <v>199</v>
      </c>
      <c r="B98" s="63" t="s">
        <v>200</v>
      </c>
      <c r="C98" s="36">
        <v>4301137008</v>
      </c>
      <c r="D98" s="372">
        <v>4620207491782</v>
      </c>
      <c r="E98" s="372"/>
      <c r="F98" s="62">
        <v>0.3</v>
      </c>
      <c r="G98" s="37">
        <v>14</v>
      </c>
      <c r="H98" s="62">
        <v>4.2</v>
      </c>
      <c r="I98" s="62">
        <v>4.5292000000000003</v>
      </c>
      <c r="J98" s="37">
        <v>70</v>
      </c>
      <c r="K98" s="37" t="s">
        <v>123</v>
      </c>
      <c r="L98" s="37" t="s">
        <v>88</v>
      </c>
      <c r="M98" s="38" t="s">
        <v>86</v>
      </c>
      <c r="N98" s="38"/>
      <c r="O98" s="37">
        <v>180</v>
      </c>
      <c r="P98" s="416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8" s="374"/>
      <c r="R98" s="374"/>
      <c r="S98" s="374"/>
      <c r="T98" s="375"/>
      <c r="U98" s="39" t="s">
        <v>46</v>
      </c>
      <c r="V98" s="39" t="s">
        <v>46</v>
      </c>
      <c r="W98" s="40" t="s">
        <v>39</v>
      </c>
      <c r="X98" s="58">
        <v>14</v>
      </c>
      <c r="Y98" s="55">
        <f t="shared" si="6"/>
        <v>14</v>
      </c>
      <c r="Z98" s="41">
        <f t="shared" si="7"/>
        <v>0.25031999999999999</v>
      </c>
      <c r="AA98" s="68" t="s">
        <v>46</v>
      </c>
      <c r="AB98" s="69" t="s">
        <v>46</v>
      </c>
      <c r="AC98" s="161" t="s">
        <v>189</v>
      </c>
      <c r="AG98" s="81"/>
      <c r="AJ98" s="87" t="s">
        <v>89</v>
      </c>
      <c r="AK98" s="87">
        <v>1</v>
      </c>
      <c r="BB98" s="162" t="s">
        <v>122</v>
      </c>
      <c r="BM98" s="81">
        <f t="shared" si="8"/>
        <v>63.408800000000006</v>
      </c>
      <c r="BN98" s="81">
        <f t="shared" si="9"/>
        <v>63.408800000000006</v>
      </c>
      <c r="BO98" s="81">
        <f t="shared" si="10"/>
        <v>0.2</v>
      </c>
      <c r="BP98" s="81">
        <f t="shared" si="11"/>
        <v>0.2</v>
      </c>
    </row>
    <row r="99" spans="1:68" x14ac:dyDescent="0.2">
      <c r="A99" s="386"/>
      <c r="B99" s="386"/>
      <c r="C99" s="386"/>
      <c r="D99" s="386"/>
      <c r="E99" s="386"/>
      <c r="F99" s="386"/>
      <c r="G99" s="386"/>
      <c r="H99" s="386"/>
      <c r="I99" s="386"/>
      <c r="J99" s="386"/>
      <c r="K99" s="386"/>
      <c r="L99" s="386"/>
      <c r="M99" s="386"/>
      <c r="N99" s="386"/>
      <c r="O99" s="387"/>
      <c r="P99" s="383" t="s">
        <v>40</v>
      </c>
      <c r="Q99" s="384"/>
      <c r="R99" s="384"/>
      <c r="S99" s="384"/>
      <c r="T99" s="384"/>
      <c r="U99" s="384"/>
      <c r="V99" s="385"/>
      <c r="W99" s="42" t="s">
        <v>39</v>
      </c>
      <c r="X99" s="43">
        <f>IFERROR(SUM(X91:X98),"0")</f>
        <v>182</v>
      </c>
      <c r="Y99" s="43">
        <f>IFERROR(SUM(Y91:Y98),"0")</f>
        <v>182</v>
      </c>
      <c r="Z99" s="43">
        <f>IFERROR(IF(Z91="",0,Z91),"0")+IFERROR(IF(Z92="",0,Z92),"0")+IFERROR(IF(Z93="",0,Z93),"0")+IFERROR(IF(Z94="",0,Z94),"0")+IFERROR(IF(Z95="",0,Z95),"0")+IFERROR(IF(Z96="",0,Z96),"0")+IFERROR(IF(Z97="",0,Z97),"0")+IFERROR(IF(Z98="",0,Z98),"0")</f>
        <v>3.2541600000000002</v>
      </c>
      <c r="AA99" s="67"/>
      <c r="AB99" s="67"/>
      <c r="AC99" s="67"/>
    </row>
    <row r="100" spans="1:68" x14ac:dyDescent="0.2">
      <c r="A100" s="386"/>
      <c r="B100" s="386"/>
      <c r="C100" s="386"/>
      <c r="D100" s="386"/>
      <c r="E100" s="386"/>
      <c r="F100" s="386"/>
      <c r="G100" s="386"/>
      <c r="H100" s="386"/>
      <c r="I100" s="386"/>
      <c r="J100" s="386"/>
      <c r="K100" s="386"/>
      <c r="L100" s="386"/>
      <c r="M100" s="386"/>
      <c r="N100" s="386"/>
      <c r="O100" s="387"/>
      <c r="P100" s="383" t="s">
        <v>40</v>
      </c>
      <c r="Q100" s="384"/>
      <c r="R100" s="384"/>
      <c r="S100" s="384"/>
      <c r="T100" s="384"/>
      <c r="U100" s="384"/>
      <c r="V100" s="385"/>
      <c r="W100" s="42" t="s">
        <v>0</v>
      </c>
      <c r="X100" s="43">
        <f>IFERROR(SUMPRODUCT(X91:X98*H91:H98),"0")</f>
        <v>542.64</v>
      </c>
      <c r="Y100" s="43">
        <f>IFERROR(SUMPRODUCT(Y91:Y98*H91:H98),"0")</f>
        <v>542.64</v>
      </c>
      <c r="Z100" s="42"/>
      <c r="AA100" s="67"/>
      <c r="AB100" s="67"/>
      <c r="AC100" s="67"/>
    </row>
    <row r="101" spans="1:68" ht="16.5" hidden="1" customHeight="1" x14ac:dyDescent="0.25">
      <c r="A101" s="370" t="s">
        <v>201</v>
      </c>
      <c r="B101" s="370"/>
      <c r="C101" s="370"/>
      <c r="D101" s="370"/>
      <c r="E101" s="370"/>
      <c r="F101" s="370"/>
      <c r="G101" s="370"/>
      <c r="H101" s="370"/>
      <c r="I101" s="370"/>
      <c r="J101" s="370"/>
      <c r="K101" s="370"/>
      <c r="L101" s="370"/>
      <c r="M101" s="370"/>
      <c r="N101" s="370"/>
      <c r="O101" s="370"/>
      <c r="P101" s="370"/>
      <c r="Q101" s="370"/>
      <c r="R101" s="370"/>
      <c r="S101" s="370"/>
      <c r="T101" s="370"/>
      <c r="U101" s="370"/>
      <c r="V101" s="370"/>
      <c r="W101" s="370"/>
      <c r="X101" s="370"/>
      <c r="Y101" s="370"/>
      <c r="Z101" s="370"/>
      <c r="AA101" s="65"/>
      <c r="AB101" s="65"/>
      <c r="AC101" s="82"/>
    </row>
    <row r="102" spans="1:68" ht="14.25" hidden="1" customHeight="1" x14ac:dyDescent="0.25">
      <c r="A102" s="371" t="s">
        <v>202</v>
      </c>
      <c r="B102" s="371"/>
      <c r="C102" s="371"/>
      <c r="D102" s="371"/>
      <c r="E102" s="371"/>
      <c r="F102" s="371"/>
      <c r="G102" s="371"/>
      <c r="H102" s="371"/>
      <c r="I102" s="371"/>
      <c r="J102" s="371"/>
      <c r="K102" s="371"/>
      <c r="L102" s="371"/>
      <c r="M102" s="371"/>
      <c r="N102" s="371"/>
      <c r="O102" s="371"/>
      <c r="P102" s="371"/>
      <c r="Q102" s="371"/>
      <c r="R102" s="371"/>
      <c r="S102" s="371"/>
      <c r="T102" s="371"/>
      <c r="U102" s="371"/>
      <c r="V102" s="371"/>
      <c r="W102" s="371"/>
      <c r="X102" s="371"/>
      <c r="Y102" s="371"/>
      <c r="Z102" s="371"/>
      <c r="AA102" s="66"/>
      <c r="AB102" s="66"/>
      <c r="AC102" s="83"/>
    </row>
    <row r="103" spans="1:68" ht="27" hidden="1" customHeight="1" x14ac:dyDescent="0.25">
      <c r="A103" s="63" t="s">
        <v>203</v>
      </c>
      <c r="B103" s="63" t="s">
        <v>204</v>
      </c>
      <c r="C103" s="36">
        <v>4301136101</v>
      </c>
      <c r="D103" s="372">
        <v>4620207491652</v>
      </c>
      <c r="E103" s="372"/>
      <c r="F103" s="62">
        <v>0.09</v>
      </c>
      <c r="G103" s="37">
        <v>24</v>
      </c>
      <c r="H103" s="62">
        <v>2.16</v>
      </c>
      <c r="I103" s="62">
        <v>2.4912000000000001</v>
      </c>
      <c r="J103" s="37">
        <v>126</v>
      </c>
      <c r="K103" s="37" t="s">
        <v>123</v>
      </c>
      <c r="L103" s="37" t="s">
        <v>88</v>
      </c>
      <c r="M103" s="38" t="s">
        <v>86</v>
      </c>
      <c r="N103" s="38"/>
      <c r="O103" s="37">
        <v>180</v>
      </c>
      <c r="P103" s="417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374"/>
      <c r="R103" s="374"/>
      <c r="S103" s="374"/>
      <c r="T103" s="375"/>
      <c r="U103" s="39" t="s">
        <v>46</v>
      </c>
      <c r="V103" s="39" t="s">
        <v>46</v>
      </c>
      <c r="W103" s="40" t="s">
        <v>39</v>
      </c>
      <c r="X103" s="58">
        <v>0</v>
      </c>
      <c r="Y103" s="55">
        <f>IFERROR(IF(X103="","",X103),"")</f>
        <v>0</v>
      </c>
      <c r="Z103" s="41">
        <f>IFERROR(IF(X103="","",X103*0.00936),"")</f>
        <v>0</v>
      </c>
      <c r="AA103" s="68" t="s">
        <v>46</v>
      </c>
      <c r="AB103" s="69" t="s">
        <v>46</v>
      </c>
      <c r="AC103" s="163" t="s">
        <v>205</v>
      </c>
      <c r="AG103" s="81"/>
      <c r="AJ103" s="87" t="s">
        <v>89</v>
      </c>
      <c r="AK103" s="87">
        <v>1</v>
      </c>
      <c r="BB103" s="164" t="s">
        <v>122</v>
      </c>
      <c r="BM103" s="81">
        <f>IFERROR(X103*I103,"0")</f>
        <v>0</v>
      </c>
      <c r="BN103" s="81">
        <f>IFERROR(Y103*I103,"0")</f>
        <v>0</v>
      </c>
      <c r="BO103" s="81">
        <f>IFERROR(X103/J103,"0")</f>
        <v>0</v>
      </c>
      <c r="BP103" s="81">
        <f>IFERROR(Y103/J103,"0")</f>
        <v>0</v>
      </c>
    </row>
    <row r="104" spans="1:68" ht="27" customHeight="1" x14ac:dyDescent="0.25">
      <c r="A104" s="63" t="s">
        <v>206</v>
      </c>
      <c r="B104" s="63" t="s">
        <v>207</v>
      </c>
      <c r="C104" s="36">
        <v>4301136103</v>
      </c>
      <c r="D104" s="372">
        <v>4620207491645</v>
      </c>
      <c r="E104" s="372"/>
      <c r="F104" s="62">
        <v>0.36</v>
      </c>
      <c r="G104" s="37">
        <v>10</v>
      </c>
      <c r="H104" s="62">
        <v>3.6</v>
      </c>
      <c r="I104" s="62">
        <v>4.2439999999999998</v>
      </c>
      <c r="J104" s="37">
        <v>70</v>
      </c>
      <c r="K104" s="37" t="s">
        <v>123</v>
      </c>
      <c r="L104" s="37" t="s">
        <v>88</v>
      </c>
      <c r="M104" s="38" t="s">
        <v>86</v>
      </c>
      <c r="N104" s="38"/>
      <c r="O104" s="37">
        <v>180</v>
      </c>
      <c r="P104" s="418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374"/>
      <c r="R104" s="374"/>
      <c r="S104" s="374"/>
      <c r="T104" s="375"/>
      <c r="U104" s="39" t="s">
        <v>46</v>
      </c>
      <c r="V104" s="39" t="s">
        <v>46</v>
      </c>
      <c r="W104" s="40" t="s">
        <v>39</v>
      </c>
      <c r="X104" s="58">
        <v>14</v>
      </c>
      <c r="Y104" s="55">
        <f>IFERROR(IF(X104="","",X104),"")</f>
        <v>14</v>
      </c>
      <c r="Z104" s="41">
        <f>IFERROR(IF(X104="","",X104*0.01788),"")</f>
        <v>0.25031999999999999</v>
      </c>
      <c r="AA104" s="68" t="s">
        <v>46</v>
      </c>
      <c r="AB104" s="69" t="s">
        <v>46</v>
      </c>
      <c r="AC104" s="165" t="s">
        <v>205</v>
      </c>
      <c r="AG104" s="81"/>
      <c r="AJ104" s="87" t="s">
        <v>89</v>
      </c>
      <c r="AK104" s="87">
        <v>1</v>
      </c>
      <c r="BB104" s="166" t="s">
        <v>122</v>
      </c>
      <c r="BM104" s="81">
        <f>IFERROR(X104*I104,"0")</f>
        <v>59.415999999999997</v>
      </c>
      <c r="BN104" s="81">
        <f>IFERROR(Y104*I104,"0")</f>
        <v>59.415999999999997</v>
      </c>
      <c r="BO104" s="81">
        <f>IFERROR(X104/J104,"0")</f>
        <v>0.2</v>
      </c>
      <c r="BP104" s="81">
        <f>IFERROR(Y104/J104,"0")</f>
        <v>0.2</v>
      </c>
    </row>
    <row r="105" spans="1:68" x14ac:dyDescent="0.2">
      <c r="A105" s="386"/>
      <c r="B105" s="386"/>
      <c r="C105" s="386"/>
      <c r="D105" s="386"/>
      <c r="E105" s="386"/>
      <c r="F105" s="386"/>
      <c r="G105" s="386"/>
      <c r="H105" s="386"/>
      <c r="I105" s="386"/>
      <c r="J105" s="386"/>
      <c r="K105" s="386"/>
      <c r="L105" s="386"/>
      <c r="M105" s="386"/>
      <c r="N105" s="386"/>
      <c r="O105" s="387"/>
      <c r="P105" s="383" t="s">
        <v>40</v>
      </c>
      <c r="Q105" s="384"/>
      <c r="R105" s="384"/>
      <c r="S105" s="384"/>
      <c r="T105" s="384"/>
      <c r="U105" s="384"/>
      <c r="V105" s="385"/>
      <c r="W105" s="42" t="s">
        <v>39</v>
      </c>
      <c r="X105" s="43">
        <f>IFERROR(SUM(X103:X104),"0")</f>
        <v>14</v>
      </c>
      <c r="Y105" s="43">
        <f>IFERROR(SUM(Y103:Y104),"0")</f>
        <v>14</v>
      </c>
      <c r="Z105" s="43">
        <f>IFERROR(IF(Z103="",0,Z103),"0")+IFERROR(IF(Z104="",0,Z104),"0")</f>
        <v>0.25031999999999999</v>
      </c>
      <c r="AA105" s="67"/>
      <c r="AB105" s="67"/>
      <c r="AC105" s="67"/>
    </row>
    <row r="106" spans="1:68" x14ac:dyDescent="0.2">
      <c r="A106" s="386"/>
      <c r="B106" s="386"/>
      <c r="C106" s="386"/>
      <c r="D106" s="386"/>
      <c r="E106" s="386"/>
      <c r="F106" s="386"/>
      <c r="G106" s="386"/>
      <c r="H106" s="386"/>
      <c r="I106" s="386"/>
      <c r="J106" s="386"/>
      <c r="K106" s="386"/>
      <c r="L106" s="386"/>
      <c r="M106" s="386"/>
      <c r="N106" s="386"/>
      <c r="O106" s="387"/>
      <c r="P106" s="383" t="s">
        <v>40</v>
      </c>
      <c r="Q106" s="384"/>
      <c r="R106" s="384"/>
      <c r="S106" s="384"/>
      <c r="T106" s="384"/>
      <c r="U106" s="384"/>
      <c r="V106" s="385"/>
      <c r="W106" s="42" t="s">
        <v>0</v>
      </c>
      <c r="X106" s="43">
        <f>IFERROR(SUMPRODUCT(X103:X104*H103:H104),"0")</f>
        <v>50.4</v>
      </c>
      <c r="Y106" s="43">
        <f>IFERROR(SUMPRODUCT(Y103:Y104*H103:H104),"0")</f>
        <v>50.4</v>
      </c>
      <c r="Z106" s="42"/>
      <c r="AA106" s="67"/>
      <c r="AB106" s="67"/>
      <c r="AC106" s="67"/>
    </row>
    <row r="107" spans="1:68" ht="16.5" hidden="1" customHeight="1" x14ac:dyDescent="0.25">
      <c r="A107" s="370" t="s">
        <v>208</v>
      </c>
      <c r="B107" s="370"/>
      <c r="C107" s="370"/>
      <c r="D107" s="370"/>
      <c r="E107" s="370"/>
      <c r="F107" s="370"/>
      <c r="G107" s="370"/>
      <c r="H107" s="370"/>
      <c r="I107" s="370"/>
      <c r="J107" s="370"/>
      <c r="K107" s="370"/>
      <c r="L107" s="370"/>
      <c r="M107" s="370"/>
      <c r="N107" s="370"/>
      <c r="O107" s="370"/>
      <c r="P107" s="370"/>
      <c r="Q107" s="370"/>
      <c r="R107" s="370"/>
      <c r="S107" s="370"/>
      <c r="T107" s="370"/>
      <c r="U107" s="370"/>
      <c r="V107" s="370"/>
      <c r="W107" s="370"/>
      <c r="X107" s="370"/>
      <c r="Y107" s="370"/>
      <c r="Z107" s="370"/>
      <c r="AA107" s="65"/>
      <c r="AB107" s="65"/>
      <c r="AC107" s="82"/>
    </row>
    <row r="108" spans="1:68" ht="14.25" hidden="1" customHeight="1" x14ac:dyDescent="0.25">
      <c r="A108" s="371" t="s">
        <v>82</v>
      </c>
      <c r="B108" s="371"/>
      <c r="C108" s="371"/>
      <c r="D108" s="371"/>
      <c r="E108" s="371"/>
      <c r="F108" s="371"/>
      <c r="G108" s="371"/>
      <c r="H108" s="371"/>
      <c r="I108" s="371"/>
      <c r="J108" s="371"/>
      <c r="K108" s="371"/>
      <c r="L108" s="371"/>
      <c r="M108" s="371"/>
      <c r="N108" s="371"/>
      <c r="O108" s="371"/>
      <c r="P108" s="371"/>
      <c r="Q108" s="371"/>
      <c r="R108" s="371"/>
      <c r="S108" s="371"/>
      <c r="T108" s="371"/>
      <c r="U108" s="371"/>
      <c r="V108" s="371"/>
      <c r="W108" s="371"/>
      <c r="X108" s="371"/>
      <c r="Y108" s="371"/>
      <c r="Z108" s="371"/>
      <c r="AA108" s="66"/>
      <c r="AB108" s="66"/>
      <c r="AC108" s="83"/>
    </row>
    <row r="109" spans="1:68" ht="27" customHeight="1" x14ac:dyDescent="0.25">
      <c r="A109" s="63" t="s">
        <v>209</v>
      </c>
      <c r="B109" s="63" t="s">
        <v>210</v>
      </c>
      <c r="C109" s="36">
        <v>4301071074</v>
      </c>
      <c r="D109" s="372">
        <v>4620207491157</v>
      </c>
      <c r="E109" s="372"/>
      <c r="F109" s="62">
        <v>0.7</v>
      </c>
      <c r="G109" s="37">
        <v>10</v>
      </c>
      <c r="H109" s="62">
        <v>7</v>
      </c>
      <c r="I109" s="62">
        <v>7.28</v>
      </c>
      <c r="J109" s="37">
        <v>84</v>
      </c>
      <c r="K109" s="37" t="s">
        <v>87</v>
      </c>
      <c r="L109" s="37" t="s">
        <v>124</v>
      </c>
      <c r="M109" s="38" t="s">
        <v>86</v>
      </c>
      <c r="N109" s="38"/>
      <c r="O109" s="37">
        <v>180</v>
      </c>
      <c r="P109" s="41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374"/>
      <c r="R109" s="374"/>
      <c r="S109" s="374"/>
      <c r="T109" s="375"/>
      <c r="U109" s="39" t="s">
        <v>46</v>
      </c>
      <c r="V109" s="39" t="s">
        <v>46</v>
      </c>
      <c r="W109" s="40" t="s">
        <v>39</v>
      </c>
      <c r="X109" s="58">
        <v>60</v>
      </c>
      <c r="Y109" s="55">
        <f t="shared" ref="Y109:Y116" si="12">IFERROR(IF(X109="","",X109),"")</f>
        <v>60</v>
      </c>
      <c r="Z109" s="41">
        <f t="shared" ref="Z109:Z116" si="13">IFERROR(IF(X109="","",X109*0.0155),"")</f>
        <v>0.92999999999999994</v>
      </c>
      <c r="AA109" s="68" t="s">
        <v>46</v>
      </c>
      <c r="AB109" s="69" t="s">
        <v>46</v>
      </c>
      <c r="AC109" s="167" t="s">
        <v>211</v>
      </c>
      <c r="AG109" s="81"/>
      <c r="AJ109" s="87" t="s">
        <v>125</v>
      </c>
      <c r="AK109" s="87">
        <v>12</v>
      </c>
      <c r="BB109" s="168" t="s">
        <v>70</v>
      </c>
      <c r="BM109" s="81">
        <f t="shared" ref="BM109:BM116" si="14">IFERROR(X109*I109,"0")</f>
        <v>436.8</v>
      </c>
      <c r="BN109" s="81">
        <f t="shared" ref="BN109:BN116" si="15">IFERROR(Y109*I109,"0")</f>
        <v>436.8</v>
      </c>
      <c r="BO109" s="81">
        <f t="shared" ref="BO109:BO116" si="16">IFERROR(X109/J109,"0")</f>
        <v>0.7142857142857143</v>
      </c>
      <c r="BP109" s="81">
        <f t="shared" ref="BP109:BP116" si="17">IFERROR(Y109/J109,"0")</f>
        <v>0.7142857142857143</v>
      </c>
    </row>
    <row r="110" spans="1:68" ht="27" hidden="1" customHeight="1" x14ac:dyDescent="0.25">
      <c r="A110" s="63" t="s">
        <v>212</v>
      </c>
      <c r="B110" s="63" t="s">
        <v>213</v>
      </c>
      <c r="C110" s="36">
        <v>4301071121</v>
      </c>
      <c r="D110" s="372">
        <v>4620207491393</v>
      </c>
      <c r="E110" s="372"/>
      <c r="F110" s="62">
        <v>0.4</v>
      </c>
      <c r="G110" s="37">
        <v>16</v>
      </c>
      <c r="H110" s="62">
        <v>6.4</v>
      </c>
      <c r="I110" s="62">
        <v>6.71</v>
      </c>
      <c r="J110" s="37">
        <v>84</v>
      </c>
      <c r="K110" s="37" t="s">
        <v>87</v>
      </c>
      <c r="L110" s="37" t="s">
        <v>88</v>
      </c>
      <c r="M110" s="38" t="s">
        <v>86</v>
      </c>
      <c r="N110" s="38"/>
      <c r="O110" s="37">
        <v>180</v>
      </c>
      <c r="P110" s="420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374"/>
      <c r="R110" s="374"/>
      <c r="S110" s="374"/>
      <c r="T110" s="375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si="12"/>
        <v>0</v>
      </c>
      <c r="Z110" s="41">
        <f t="shared" si="13"/>
        <v>0</v>
      </c>
      <c r="AA110" s="68" t="s">
        <v>46</v>
      </c>
      <c r="AB110" s="69" t="s">
        <v>46</v>
      </c>
      <c r="AC110" s="169" t="s">
        <v>214</v>
      </c>
      <c r="AG110" s="81"/>
      <c r="AJ110" s="87" t="s">
        <v>89</v>
      </c>
      <c r="AK110" s="87">
        <v>1</v>
      </c>
      <c r="BB110" s="170" t="s">
        <v>70</v>
      </c>
      <c r="BM110" s="81">
        <f t="shared" si="14"/>
        <v>0</v>
      </c>
      <c r="BN110" s="81">
        <f t="shared" si="15"/>
        <v>0</v>
      </c>
      <c r="BO110" s="81">
        <f t="shared" si="16"/>
        <v>0</v>
      </c>
      <c r="BP110" s="81">
        <f t="shared" si="17"/>
        <v>0</v>
      </c>
    </row>
    <row r="111" spans="1:68" ht="27" customHeight="1" x14ac:dyDescent="0.25">
      <c r="A111" s="63" t="s">
        <v>215</v>
      </c>
      <c r="B111" s="63" t="s">
        <v>216</v>
      </c>
      <c r="C111" s="36">
        <v>4301071051</v>
      </c>
      <c r="D111" s="372">
        <v>4607111039262</v>
      </c>
      <c r="E111" s="372"/>
      <c r="F111" s="62">
        <v>0.4</v>
      </c>
      <c r="G111" s="37">
        <v>16</v>
      </c>
      <c r="H111" s="62">
        <v>6.4</v>
      </c>
      <c r="I111" s="62">
        <v>6.7195999999999998</v>
      </c>
      <c r="J111" s="37">
        <v>84</v>
      </c>
      <c r="K111" s="37" t="s">
        <v>87</v>
      </c>
      <c r="L111" s="37" t="s">
        <v>124</v>
      </c>
      <c r="M111" s="38" t="s">
        <v>86</v>
      </c>
      <c r="N111" s="38"/>
      <c r="O111" s="37">
        <v>180</v>
      </c>
      <c r="P111" s="421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374"/>
      <c r="R111" s="374"/>
      <c r="S111" s="374"/>
      <c r="T111" s="375"/>
      <c r="U111" s="39" t="s">
        <v>46</v>
      </c>
      <c r="V111" s="39" t="s">
        <v>46</v>
      </c>
      <c r="W111" s="40" t="s">
        <v>39</v>
      </c>
      <c r="X111" s="58">
        <v>12</v>
      </c>
      <c r="Y111" s="55">
        <f t="shared" si="12"/>
        <v>12</v>
      </c>
      <c r="Z111" s="41">
        <f t="shared" si="13"/>
        <v>0.186</v>
      </c>
      <c r="AA111" s="68" t="s">
        <v>46</v>
      </c>
      <c r="AB111" s="69" t="s">
        <v>46</v>
      </c>
      <c r="AC111" s="171" t="s">
        <v>164</v>
      </c>
      <c r="AG111" s="81"/>
      <c r="AJ111" s="87" t="s">
        <v>125</v>
      </c>
      <c r="AK111" s="87">
        <v>12</v>
      </c>
      <c r="BB111" s="172" t="s">
        <v>70</v>
      </c>
      <c r="BM111" s="81">
        <f t="shared" si="14"/>
        <v>80.635199999999998</v>
      </c>
      <c r="BN111" s="81">
        <f t="shared" si="15"/>
        <v>80.635199999999998</v>
      </c>
      <c r="BO111" s="81">
        <f t="shared" si="16"/>
        <v>0.14285714285714285</v>
      </c>
      <c r="BP111" s="81">
        <f t="shared" si="17"/>
        <v>0.14285714285714285</v>
      </c>
    </row>
    <row r="112" spans="1:68" ht="27" customHeight="1" x14ac:dyDescent="0.25">
      <c r="A112" s="63" t="s">
        <v>217</v>
      </c>
      <c r="B112" s="63" t="s">
        <v>218</v>
      </c>
      <c r="C112" s="36">
        <v>4301071038</v>
      </c>
      <c r="D112" s="372">
        <v>4607111039248</v>
      </c>
      <c r="E112" s="372"/>
      <c r="F112" s="62">
        <v>0.7</v>
      </c>
      <c r="G112" s="37">
        <v>10</v>
      </c>
      <c r="H112" s="62">
        <v>7</v>
      </c>
      <c r="I112" s="62">
        <v>7.3</v>
      </c>
      <c r="J112" s="37">
        <v>84</v>
      </c>
      <c r="K112" s="37" t="s">
        <v>87</v>
      </c>
      <c r="L112" s="37" t="s">
        <v>124</v>
      </c>
      <c r="M112" s="38" t="s">
        <v>86</v>
      </c>
      <c r="N112" s="38"/>
      <c r="O112" s="37">
        <v>180</v>
      </c>
      <c r="P112" s="422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374"/>
      <c r="R112" s="374"/>
      <c r="S112" s="374"/>
      <c r="T112" s="375"/>
      <c r="U112" s="39" t="s">
        <v>46</v>
      </c>
      <c r="V112" s="39" t="s">
        <v>46</v>
      </c>
      <c r="W112" s="40" t="s">
        <v>39</v>
      </c>
      <c r="X112" s="58">
        <v>132</v>
      </c>
      <c r="Y112" s="55">
        <f t="shared" si="12"/>
        <v>132</v>
      </c>
      <c r="Z112" s="41">
        <f t="shared" si="13"/>
        <v>2.0459999999999998</v>
      </c>
      <c r="AA112" s="68" t="s">
        <v>46</v>
      </c>
      <c r="AB112" s="69" t="s">
        <v>46</v>
      </c>
      <c r="AC112" s="173" t="s">
        <v>164</v>
      </c>
      <c r="AG112" s="81"/>
      <c r="AJ112" s="87" t="s">
        <v>125</v>
      </c>
      <c r="AK112" s="87">
        <v>12</v>
      </c>
      <c r="BB112" s="174" t="s">
        <v>70</v>
      </c>
      <c r="BM112" s="81">
        <f t="shared" si="14"/>
        <v>963.6</v>
      </c>
      <c r="BN112" s="81">
        <f t="shared" si="15"/>
        <v>963.6</v>
      </c>
      <c r="BO112" s="81">
        <f t="shared" si="16"/>
        <v>1.5714285714285714</v>
      </c>
      <c r="BP112" s="81">
        <f t="shared" si="17"/>
        <v>1.5714285714285714</v>
      </c>
    </row>
    <row r="113" spans="1:68" ht="27" hidden="1" customHeight="1" x14ac:dyDescent="0.25">
      <c r="A113" s="63" t="s">
        <v>219</v>
      </c>
      <c r="B113" s="63" t="s">
        <v>220</v>
      </c>
      <c r="C113" s="36">
        <v>4301070979</v>
      </c>
      <c r="D113" s="372">
        <v>4607111037145</v>
      </c>
      <c r="E113" s="372"/>
      <c r="F113" s="62">
        <v>0.8</v>
      </c>
      <c r="G113" s="37">
        <v>8</v>
      </c>
      <c r="H113" s="62">
        <v>6.4</v>
      </c>
      <c r="I113" s="62">
        <v>6.6748000000000003</v>
      </c>
      <c r="J113" s="37">
        <v>84</v>
      </c>
      <c r="K113" s="37" t="s">
        <v>87</v>
      </c>
      <c r="L113" s="37" t="s">
        <v>88</v>
      </c>
      <c r="M113" s="38" t="s">
        <v>86</v>
      </c>
      <c r="N113" s="38"/>
      <c r="O113" s="37">
        <v>180</v>
      </c>
      <c r="P113" s="423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374"/>
      <c r="R113" s="374"/>
      <c r="S113" s="374"/>
      <c r="T113" s="375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75" t="s">
        <v>221</v>
      </c>
      <c r="AG113" s="81"/>
      <c r="AJ113" s="87" t="s">
        <v>89</v>
      </c>
      <c r="AK113" s="87">
        <v>1</v>
      </c>
      <c r="BB113" s="176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t="27" customHeight="1" x14ac:dyDescent="0.25">
      <c r="A114" s="63" t="s">
        <v>222</v>
      </c>
      <c r="B114" s="63" t="s">
        <v>223</v>
      </c>
      <c r="C114" s="36">
        <v>4301071075</v>
      </c>
      <c r="D114" s="372">
        <v>4620207491102</v>
      </c>
      <c r="E114" s="372"/>
      <c r="F114" s="62">
        <v>0.7</v>
      </c>
      <c r="G114" s="37">
        <v>10</v>
      </c>
      <c r="H114" s="62">
        <v>7</v>
      </c>
      <c r="I114" s="62">
        <v>7.23</v>
      </c>
      <c r="J114" s="37">
        <v>84</v>
      </c>
      <c r="K114" s="37" t="s">
        <v>87</v>
      </c>
      <c r="L114" s="37" t="s">
        <v>88</v>
      </c>
      <c r="M114" s="38" t="s">
        <v>86</v>
      </c>
      <c r="N114" s="38"/>
      <c r="O114" s="37">
        <v>180</v>
      </c>
      <c r="P114" s="424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4" s="374"/>
      <c r="R114" s="374"/>
      <c r="S114" s="374"/>
      <c r="T114" s="375"/>
      <c r="U114" s="39" t="s">
        <v>46</v>
      </c>
      <c r="V114" s="39" t="s">
        <v>46</v>
      </c>
      <c r="W114" s="40" t="s">
        <v>39</v>
      </c>
      <c r="X114" s="58">
        <v>72</v>
      </c>
      <c r="Y114" s="55">
        <f t="shared" si="12"/>
        <v>72</v>
      </c>
      <c r="Z114" s="41">
        <f t="shared" si="13"/>
        <v>1.1160000000000001</v>
      </c>
      <c r="AA114" s="68" t="s">
        <v>46</v>
      </c>
      <c r="AB114" s="69" t="s">
        <v>46</v>
      </c>
      <c r="AC114" s="177" t="s">
        <v>224</v>
      </c>
      <c r="AG114" s="81"/>
      <c r="AJ114" s="87" t="s">
        <v>89</v>
      </c>
      <c r="AK114" s="87">
        <v>1</v>
      </c>
      <c r="BB114" s="178" t="s">
        <v>70</v>
      </c>
      <c r="BM114" s="81">
        <f t="shared" si="14"/>
        <v>520.56000000000006</v>
      </c>
      <c r="BN114" s="81">
        <f t="shared" si="15"/>
        <v>520.56000000000006</v>
      </c>
      <c r="BO114" s="81">
        <f t="shared" si="16"/>
        <v>0.8571428571428571</v>
      </c>
      <c r="BP114" s="81">
        <f t="shared" si="17"/>
        <v>0.8571428571428571</v>
      </c>
    </row>
    <row r="115" spans="1:68" ht="27" customHeight="1" x14ac:dyDescent="0.25">
      <c r="A115" s="63" t="s">
        <v>225</v>
      </c>
      <c r="B115" s="63" t="s">
        <v>226</v>
      </c>
      <c r="C115" s="36">
        <v>4301071139</v>
      </c>
      <c r="D115" s="372">
        <v>4607111039293</v>
      </c>
      <c r="E115" s="372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87</v>
      </c>
      <c r="L115" s="37" t="s">
        <v>88</v>
      </c>
      <c r="M115" s="38" t="s">
        <v>86</v>
      </c>
      <c r="N115" s="38"/>
      <c r="O115" s="37">
        <v>180</v>
      </c>
      <c r="P115" s="425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374"/>
      <c r="R115" s="374"/>
      <c r="S115" s="374"/>
      <c r="T115" s="375"/>
      <c r="U115" s="39" t="s">
        <v>46</v>
      </c>
      <c r="V115" s="39" t="s">
        <v>46</v>
      </c>
      <c r="W115" s="40" t="s">
        <v>39</v>
      </c>
      <c r="X115" s="58">
        <v>24</v>
      </c>
      <c r="Y115" s="55">
        <f t="shared" si="12"/>
        <v>24</v>
      </c>
      <c r="Z115" s="41">
        <f t="shared" si="13"/>
        <v>0.372</v>
      </c>
      <c r="AA115" s="68" t="s">
        <v>46</v>
      </c>
      <c r="AB115" s="69" t="s">
        <v>46</v>
      </c>
      <c r="AC115" s="179" t="s">
        <v>227</v>
      </c>
      <c r="AG115" s="81"/>
      <c r="AJ115" s="87" t="s">
        <v>89</v>
      </c>
      <c r="AK115" s="87">
        <v>1</v>
      </c>
      <c r="BB115" s="180" t="s">
        <v>70</v>
      </c>
      <c r="BM115" s="81">
        <f t="shared" si="14"/>
        <v>161.2704</v>
      </c>
      <c r="BN115" s="81">
        <f t="shared" si="15"/>
        <v>161.2704</v>
      </c>
      <c r="BO115" s="81">
        <f t="shared" si="16"/>
        <v>0.2857142857142857</v>
      </c>
      <c r="BP115" s="81">
        <f t="shared" si="17"/>
        <v>0.2857142857142857</v>
      </c>
    </row>
    <row r="116" spans="1:68" ht="27" customHeight="1" x14ac:dyDescent="0.25">
      <c r="A116" s="63" t="s">
        <v>228</v>
      </c>
      <c r="B116" s="63" t="s">
        <v>229</v>
      </c>
      <c r="C116" s="36">
        <v>4301071138</v>
      </c>
      <c r="D116" s="372">
        <v>4607111039279</v>
      </c>
      <c r="E116" s="372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426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374"/>
      <c r="R116" s="374"/>
      <c r="S116" s="374"/>
      <c r="T116" s="375"/>
      <c r="U116" s="39" t="s">
        <v>46</v>
      </c>
      <c r="V116" s="39" t="s">
        <v>46</v>
      </c>
      <c r="W116" s="40" t="s">
        <v>39</v>
      </c>
      <c r="X116" s="58">
        <v>168</v>
      </c>
      <c r="Y116" s="55">
        <f t="shared" si="12"/>
        <v>168</v>
      </c>
      <c r="Z116" s="41">
        <f t="shared" si="13"/>
        <v>2.6040000000000001</v>
      </c>
      <c r="AA116" s="68" t="s">
        <v>46</v>
      </c>
      <c r="AB116" s="69" t="s">
        <v>46</v>
      </c>
      <c r="AC116" s="181" t="s">
        <v>227</v>
      </c>
      <c r="AG116" s="81"/>
      <c r="AJ116" s="87" t="s">
        <v>89</v>
      </c>
      <c r="AK116" s="87">
        <v>1</v>
      </c>
      <c r="BB116" s="182" t="s">
        <v>70</v>
      </c>
      <c r="BM116" s="81">
        <f t="shared" si="14"/>
        <v>1226.3999999999999</v>
      </c>
      <c r="BN116" s="81">
        <f t="shared" si="15"/>
        <v>1226.3999999999999</v>
      </c>
      <c r="BO116" s="81">
        <f t="shared" si="16"/>
        <v>2</v>
      </c>
      <c r="BP116" s="81">
        <f t="shared" si="17"/>
        <v>2</v>
      </c>
    </row>
    <row r="117" spans="1:68" x14ac:dyDescent="0.2">
      <c r="A117" s="386"/>
      <c r="B117" s="386"/>
      <c r="C117" s="386"/>
      <c r="D117" s="386"/>
      <c r="E117" s="386"/>
      <c r="F117" s="386"/>
      <c r="G117" s="386"/>
      <c r="H117" s="386"/>
      <c r="I117" s="386"/>
      <c r="J117" s="386"/>
      <c r="K117" s="386"/>
      <c r="L117" s="386"/>
      <c r="M117" s="386"/>
      <c r="N117" s="386"/>
      <c r="O117" s="387"/>
      <c r="P117" s="383" t="s">
        <v>40</v>
      </c>
      <c r="Q117" s="384"/>
      <c r="R117" s="384"/>
      <c r="S117" s="384"/>
      <c r="T117" s="384"/>
      <c r="U117" s="384"/>
      <c r="V117" s="385"/>
      <c r="W117" s="42" t="s">
        <v>39</v>
      </c>
      <c r="X117" s="43">
        <f>IFERROR(SUM(X109:X116),"0")</f>
        <v>468</v>
      </c>
      <c r="Y117" s="43">
        <f>IFERROR(SUM(Y109:Y116),"0")</f>
        <v>468</v>
      </c>
      <c r="Z117" s="43">
        <f>IFERROR(IF(Z109="",0,Z109),"0")+IFERROR(IF(Z110="",0,Z110),"0")+IFERROR(IF(Z111="",0,Z111),"0")+IFERROR(IF(Z112="",0,Z112),"0")+IFERROR(IF(Z113="",0,Z113),"0")+IFERROR(IF(Z114="",0,Z114),"0")+IFERROR(IF(Z115="",0,Z115),"0")+IFERROR(IF(Z116="",0,Z116),"0")</f>
        <v>7.2540000000000004</v>
      </c>
      <c r="AA117" s="67"/>
      <c r="AB117" s="67"/>
      <c r="AC117" s="67"/>
    </row>
    <row r="118" spans="1:68" x14ac:dyDescent="0.2">
      <c r="A118" s="386"/>
      <c r="B118" s="386"/>
      <c r="C118" s="386"/>
      <c r="D118" s="386"/>
      <c r="E118" s="386"/>
      <c r="F118" s="386"/>
      <c r="G118" s="386"/>
      <c r="H118" s="386"/>
      <c r="I118" s="386"/>
      <c r="J118" s="386"/>
      <c r="K118" s="386"/>
      <c r="L118" s="386"/>
      <c r="M118" s="386"/>
      <c r="N118" s="386"/>
      <c r="O118" s="387"/>
      <c r="P118" s="383" t="s">
        <v>40</v>
      </c>
      <c r="Q118" s="384"/>
      <c r="R118" s="384"/>
      <c r="S118" s="384"/>
      <c r="T118" s="384"/>
      <c r="U118" s="384"/>
      <c r="V118" s="385"/>
      <c r="W118" s="42" t="s">
        <v>0</v>
      </c>
      <c r="X118" s="43">
        <f>IFERROR(SUMPRODUCT(X109:X116*H109:H116),"0")</f>
        <v>3254.4</v>
      </c>
      <c r="Y118" s="43">
        <f>IFERROR(SUMPRODUCT(Y109:Y116*H109:H116),"0")</f>
        <v>3254.4</v>
      </c>
      <c r="Z118" s="42"/>
      <c r="AA118" s="67"/>
      <c r="AB118" s="67"/>
      <c r="AC118" s="67"/>
    </row>
    <row r="119" spans="1:68" ht="14.25" hidden="1" customHeight="1" x14ac:dyDescent="0.25">
      <c r="A119" s="371" t="s">
        <v>169</v>
      </c>
      <c r="B119" s="371"/>
      <c r="C119" s="371"/>
      <c r="D119" s="371"/>
      <c r="E119" s="371"/>
      <c r="F119" s="371"/>
      <c r="G119" s="371"/>
      <c r="H119" s="371"/>
      <c r="I119" s="371"/>
      <c r="J119" s="371"/>
      <c r="K119" s="371"/>
      <c r="L119" s="371"/>
      <c r="M119" s="371"/>
      <c r="N119" s="371"/>
      <c r="O119" s="371"/>
      <c r="P119" s="371"/>
      <c r="Q119" s="371"/>
      <c r="R119" s="371"/>
      <c r="S119" s="371"/>
      <c r="T119" s="371"/>
      <c r="U119" s="371"/>
      <c r="V119" s="371"/>
      <c r="W119" s="371"/>
      <c r="X119" s="371"/>
      <c r="Y119" s="371"/>
      <c r="Z119" s="371"/>
      <c r="AA119" s="66"/>
      <c r="AB119" s="66"/>
      <c r="AC119" s="83"/>
    </row>
    <row r="120" spans="1:68" ht="27" customHeight="1" x14ac:dyDescent="0.25">
      <c r="A120" s="63" t="s">
        <v>230</v>
      </c>
      <c r="B120" s="63" t="s">
        <v>231</v>
      </c>
      <c r="C120" s="36">
        <v>4301135826</v>
      </c>
      <c r="D120" s="372">
        <v>4620207490983</v>
      </c>
      <c r="E120" s="372"/>
      <c r="F120" s="62">
        <v>0.22</v>
      </c>
      <c r="G120" s="37">
        <v>12</v>
      </c>
      <c r="H120" s="62">
        <v>2.64</v>
      </c>
      <c r="I120" s="62">
        <v>3.3435999999999999</v>
      </c>
      <c r="J120" s="37">
        <v>70</v>
      </c>
      <c r="K120" s="37" t="s">
        <v>123</v>
      </c>
      <c r="L120" s="37" t="s">
        <v>88</v>
      </c>
      <c r="M120" s="38" t="s">
        <v>86</v>
      </c>
      <c r="N120" s="38"/>
      <c r="O120" s="37">
        <v>180</v>
      </c>
      <c r="P120" s="42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0" s="374"/>
      <c r="R120" s="374"/>
      <c r="S120" s="374"/>
      <c r="T120" s="375"/>
      <c r="U120" s="39" t="s">
        <v>46</v>
      </c>
      <c r="V120" s="39" t="s">
        <v>46</v>
      </c>
      <c r="W120" s="40" t="s">
        <v>39</v>
      </c>
      <c r="X120" s="58">
        <v>14</v>
      </c>
      <c r="Y120" s="55">
        <f>IFERROR(IF(X120="","",X120),"")</f>
        <v>14</v>
      </c>
      <c r="Z120" s="41">
        <f>IFERROR(IF(X120="","",X120*0.01788),"")</f>
        <v>0.25031999999999999</v>
      </c>
      <c r="AA120" s="68" t="s">
        <v>46</v>
      </c>
      <c r="AB120" s="69" t="s">
        <v>46</v>
      </c>
      <c r="AC120" s="183" t="s">
        <v>232</v>
      </c>
      <c r="AG120" s="81"/>
      <c r="AJ120" s="87" t="s">
        <v>89</v>
      </c>
      <c r="AK120" s="87">
        <v>1</v>
      </c>
      <c r="BB120" s="184" t="s">
        <v>122</v>
      </c>
      <c r="BM120" s="81">
        <f>IFERROR(X120*I120,"0")</f>
        <v>46.810400000000001</v>
      </c>
      <c r="BN120" s="81">
        <f>IFERROR(Y120*I120,"0")</f>
        <v>46.810400000000001</v>
      </c>
      <c r="BO120" s="81">
        <f>IFERROR(X120/J120,"0")</f>
        <v>0.2</v>
      </c>
      <c r="BP120" s="81">
        <f>IFERROR(Y120/J120,"0")</f>
        <v>0.2</v>
      </c>
    </row>
    <row r="121" spans="1:68" x14ac:dyDescent="0.2">
      <c r="A121" s="386"/>
      <c r="B121" s="386"/>
      <c r="C121" s="386"/>
      <c r="D121" s="386"/>
      <c r="E121" s="386"/>
      <c r="F121" s="386"/>
      <c r="G121" s="386"/>
      <c r="H121" s="386"/>
      <c r="I121" s="386"/>
      <c r="J121" s="386"/>
      <c r="K121" s="386"/>
      <c r="L121" s="386"/>
      <c r="M121" s="386"/>
      <c r="N121" s="386"/>
      <c r="O121" s="387"/>
      <c r="P121" s="383" t="s">
        <v>40</v>
      </c>
      <c r="Q121" s="384"/>
      <c r="R121" s="384"/>
      <c r="S121" s="384"/>
      <c r="T121" s="384"/>
      <c r="U121" s="384"/>
      <c r="V121" s="385"/>
      <c r="W121" s="42" t="s">
        <v>39</v>
      </c>
      <c r="X121" s="43">
        <f>IFERROR(SUM(X120:X120),"0")</f>
        <v>14</v>
      </c>
      <c r="Y121" s="43">
        <f>IFERROR(SUM(Y120:Y120),"0")</f>
        <v>14</v>
      </c>
      <c r="Z121" s="43">
        <f>IFERROR(IF(Z120="",0,Z120),"0")</f>
        <v>0.25031999999999999</v>
      </c>
      <c r="AA121" s="67"/>
      <c r="AB121" s="67"/>
      <c r="AC121" s="67"/>
    </row>
    <row r="122" spans="1:68" x14ac:dyDescent="0.2">
      <c r="A122" s="386"/>
      <c r="B122" s="386"/>
      <c r="C122" s="386"/>
      <c r="D122" s="386"/>
      <c r="E122" s="386"/>
      <c r="F122" s="386"/>
      <c r="G122" s="386"/>
      <c r="H122" s="386"/>
      <c r="I122" s="386"/>
      <c r="J122" s="386"/>
      <c r="K122" s="386"/>
      <c r="L122" s="386"/>
      <c r="M122" s="386"/>
      <c r="N122" s="386"/>
      <c r="O122" s="387"/>
      <c r="P122" s="383" t="s">
        <v>40</v>
      </c>
      <c r="Q122" s="384"/>
      <c r="R122" s="384"/>
      <c r="S122" s="384"/>
      <c r="T122" s="384"/>
      <c r="U122" s="384"/>
      <c r="V122" s="385"/>
      <c r="W122" s="42" t="s">
        <v>0</v>
      </c>
      <c r="X122" s="43">
        <f>IFERROR(SUMPRODUCT(X120:X120*H120:H120),"0")</f>
        <v>36.96</v>
      </c>
      <c r="Y122" s="43">
        <f>IFERROR(SUMPRODUCT(Y120:Y120*H120:H120),"0")</f>
        <v>36.96</v>
      </c>
      <c r="Z122" s="42"/>
      <c r="AA122" s="67"/>
      <c r="AB122" s="67"/>
      <c r="AC122" s="67"/>
    </row>
    <row r="123" spans="1:68" ht="14.25" hidden="1" customHeight="1" x14ac:dyDescent="0.25">
      <c r="A123" s="371" t="s">
        <v>233</v>
      </c>
      <c r="B123" s="371"/>
      <c r="C123" s="371"/>
      <c r="D123" s="371"/>
      <c r="E123" s="371"/>
      <c r="F123" s="371"/>
      <c r="G123" s="371"/>
      <c r="H123" s="371"/>
      <c r="I123" s="371"/>
      <c r="J123" s="371"/>
      <c r="K123" s="371"/>
      <c r="L123" s="371"/>
      <c r="M123" s="371"/>
      <c r="N123" s="371"/>
      <c r="O123" s="371"/>
      <c r="P123" s="371"/>
      <c r="Q123" s="371"/>
      <c r="R123" s="371"/>
      <c r="S123" s="371"/>
      <c r="T123" s="371"/>
      <c r="U123" s="371"/>
      <c r="V123" s="371"/>
      <c r="W123" s="371"/>
      <c r="X123" s="371"/>
      <c r="Y123" s="371"/>
      <c r="Z123" s="371"/>
      <c r="AA123" s="66"/>
      <c r="AB123" s="66"/>
      <c r="AC123" s="83"/>
    </row>
    <row r="124" spans="1:68" ht="27" hidden="1" customHeight="1" x14ac:dyDescent="0.25">
      <c r="A124" s="63" t="s">
        <v>234</v>
      </c>
      <c r="B124" s="63" t="s">
        <v>235</v>
      </c>
      <c r="C124" s="36">
        <v>4301071094</v>
      </c>
      <c r="D124" s="372">
        <v>4620207491140</v>
      </c>
      <c r="E124" s="372"/>
      <c r="F124" s="62">
        <v>0.6</v>
      </c>
      <c r="G124" s="37">
        <v>10</v>
      </c>
      <c r="H124" s="62">
        <v>6</v>
      </c>
      <c r="I124" s="62">
        <v>6.28</v>
      </c>
      <c r="J124" s="37">
        <v>84</v>
      </c>
      <c r="K124" s="37" t="s">
        <v>87</v>
      </c>
      <c r="L124" s="37" t="s">
        <v>88</v>
      </c>
      <c r="M124" s="38" t="s">
        <v>86</v>
      </c>
      <c r="N124" s="38"/>
      <c r="O124" s="37">
        <v>180</v>
      </c>
      <c r="P124" s="42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4" s="374"/>
      <c r="R124" s="374"/>
      <c r="S124" s="374"/>
      <c r="T124" s="375"/>
      <c r="U124" s="39" t="s">
        <v>46</v>
      </c>
      <c r="V124" s="39" t="s">
        <v>46</v>
      </c>
      <c r="W124" s="40" t="s">
        <v>39</v>
      </c>
      <c r="X124" s="58">
        <v>0</v>
      </c>
      <c r="Y124" s="55">
        <f>IFERROR(IF(X124="","",X124),"")</f>
        <v>0</v>
      </c>
      <c r="Z124" s="41">
        <f>IFERROR(IF(X124="","",X124*0.0155),"")</f>
        <v>0</v>
      </c>
      <c r="AA124" s="68" t="s">
        <v>46</v>
      </c>
      <c r="AB124" s="69" t="s">
        <v>46</v>
      </c>
      <c r="AC124" s="185" t="s">
        <v>236</v>
      </c>
      <c r="AG124" s="81"/>
      <c r="AJ124" s="87" t="s">
        <v>89</v>
      </c>
      <c r="AK124" s="87">
        <v>1</v>
      </c>
      <c r="BB124" s="186" t="s">
        <v>122</v>
      </c>
      <c r="BM124" s="81">
        <f>IFERROR(X124*I124,"0")</f>
        <v>0</v>
      </c>
      <c r="BN124" s="81">
        <f>IFERROR(Y124*I124,"0")</f>
        <v>0</v>
      </c>
      <c r="BO124" s="81">
        <f>IFERROR(X124/J124,"0")</f>
        <v>0</v>
      </c>
      <c r="BP124" s="81">
        <f>IFERROR(Y124/J124,"0")</f>
        <v>0</v>
      </c>
    </row>
    <row r="125" spans="1:68" hidden="1" x14ac:dyDescent="0.2">
      <c r="A125" s="386"/>
      <c r="B125" s="386"/>
      <c r="C125" s="386"/>
      <c r="D125" s="386"/>
      <c r="E125" s="386"/>
      <c r="F125" s="386"/>
      <c r="G125" s="386"/>
      <c r="H125" s="386"/>
      <c r="I125" s="386"/>
      <c r="J125" s="386"/>
      <c r="K125" s="386"/>
      <c r="L125" s="386"/>
      <c r="M125" s="386"/>
      <c r="N125" s="386"/>
      <c r="O125" s="387"/>
      <c r="P125" s="383" t="s">
        <v>40</v>
      </c>
      <c r="Q125" s="384"/>
      <c r="R125" s="384"/>
      <c r="S125" s="384"/>
      <c r="T125" s="384"/>
      <c r="U125" s="384"/>
      <c r="V125" s="385"/>
      <c r="W125" s="42" t="s">
        <v>39</v>
      </c>
      <c r="X125" s="43">
        <f>IFERROR(SUM(X124:X124),"0")</f>
        <v>0</v>
      </c>
      <c r="Y125" s="43">
        <f>IFERROR(SUM(Y124:Y124),"0")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386"/>
      <c r="B126" s="386"/>
      <c r="C126" s="386"/>
      <c r="D126" s="386"/>
      <c r="E126" s="386"/>
      <c r="F126" s="386"/>
      <c r="G126" s="386"/>
      <c r="H126" s="386"/>
      <c r="I126" s="386"/>
      <c r="J126" s="386"/>
      <c r="K126" s="386"/>
      <c r="L126" s="386"/>
      <c r="M126" s="386"/>
      <c r="N126" s="386"/>
      <c r="O126" s="387"/>
      <c r="P126" s="383" t="s">
        <v>40</v>
      </c>
      <c r="Q126" s="384"/>
      <c r="R126" s="384"/>
      <c r="S126" s="384"/>
      <c r="T126" s="384"/>
      <c r="U126" s="384"/>
      <c r="V126" s="385"/>
      <c r="W126" s="42" t="s">
        <v>0</v>
      </c>
      <c r="X126" s="43">
        <f>IFERROR(SUMPRODUCT(X124:X124*H124:H124),"0")</f>
        <v>0</v>
      </c>
      <c r="Y126" s="43">
        <f>IFERROR(SUMPRODUCT(Y124:Y124*H124:H124),"0")</f>
        <v>0</v>
      </c>
      <c r="Z126" s="42"/>
      <c r="AA126" s="67"/>
      <c r="AB126" s="67"/>
      <c r="AC126" s="67"/>
    </row>
    <row r="127" spans="1:68" ht="16.5" hidden="1" customHeight="1" x14ac:dyDescent="0.25">
      <c r="A127" s="370" t="s">
        <v>237</v>
      </c>
      <c r="B127" s="370"/>
      <c r="C127" s="370"/>
      <c r="D127" s="370"/>
      <c r="E127" s="370"/>
      <c r="F127" s="370"/>
      <c r="G127" s="370"/>
      <c r="H127" s="370"/>
      <c r="I127" s="370"/>
      <c r="J127" s="370"/>
      <c r="K127" s="370"/>
      <c r="L127" s="370"/>
      <c r="M127" s="370"/>
      <c r="N127" s="370"/>
      <c r="O127" s="370"/>
      <c r="P127" s="370"/>
      <c r="Q127" s="370"/>
      <c r="R127" s="370"/>
      <c r="S127" s="370"/>
      <c r="T127" s="370"/>
      <c r="U127" s="370"/>
      <c r="V127" s="370"/>
      <c r="W127" s="370"/>
      <c r="X127" s="370"/>
      <c r="Y127" s="370"/>
      <c r="Z127" s="370"/>
      <c r="AA127" s="65"/>
      <c r="AB127" s="65"/>
      <c r="AC127" s="82"/>
    </row>
    <row r="128" spans="1:68" ht="14.25" hidden="1" customHeight="1" x14ac:dyDescent="0.25">
      <c r="A128" s="371" t="s">
        <v>82</v>
      </c>
      <c r="B128" s="371"/>
      <c r="C128" s="371"/>
      <c r="D128" s="371"/>
      <c r="E128" s="371"/>
      <c r="F128" s="371"/>
      <c r="G128" s="371"/>
      <c r="H128" s="371"/>
      <c r="I128" s="371"/>
      <c r="J128" s="371"/>
      <c r="K128" s="371"/>
      <c r="L128" s="371"/>
      <c r="M128" s="371"/>
      <c r="N128" s="371"/>
      <c r="O128" s="371"/>
      <c r="P128" s="371"/>
      <c r="Q128" s="371"/>
      <c r="R128" s="371"/>
      <c r="S128" s="371"/>
      <c r="T128" s="371"/>
      <c r="U128" s="371"/>
      <c r="V128" s="371"/>
      <c r="W128" s="371"/>
      <c r="X128" s="371"/>
      <c r="Y128" s="371"/>
      <c r="Z128" s="371"/>
      <c r="AA128" s="66"/>
      <c r="AB128" s="66"/>
      <c r="AC128" s="83"/>
    </row>
    <row r="129" spans="1:68" ht="27" customHeight="1" x14ac:dyDescent="0.25">
      <c r="A129" s="63" t="s">
        <v>238</v>
      </c>
      <c r="B129" s="63" t="s">
        <v>239</v>
      </c>
      <c r="C129" s="36">
        <v>4301071142</v>
      </c>
      <c r="D129" s="372">
        <v>4620207491904</v>
      </c>
      <c r="E129" s="372"/>
      <c r="F129" s="62">
        <v>0.56999999999999995</v>
      </c>
      <c r="G129" s="37">
        <v>10</v>
      </c>
      <c r="H129" s="62">
        <v>5.7</v>
      </c>
      <c r="I129" s="62">
        <v>5.98</v>
      </c>
      <c r="J129" s="37">
        <v>84</v>
      </c>
      <c r="K129" s="37" t="s">
        <v>87</v>
      </c>
      <c r="L129" s="37" t="s">
        <v>88</v>
      </c>
      <c r="M129" s="38" t="s">
        <v>86</v>
      </c>
      <c r="N129" s="38"/>
      <c r="O129" s="37">
        <v>180</v>
      </c>
      <c r="P129" s="429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9" s="374"/>
      <c r="R129" s="374"/>
      <c r="S129" s="374"/>
      <c r="T129" s="375"/>
      <c r="U129" s="39" t="s">
        <v>46</v>
      </c>
      <c r="V129" s="39" t="s">
        <v>46</v>
      </c>
      <c r="W129" s="40" t="s">
        <v>39</v>
      </c>
      <c r="X129" s="58">
        <v>72</v>
      </c>
      <c r="Y129" s="55">
        <f>IFERROR(IF(X129="","",X129),"")</f>
        <v>72</v>
      </c>
      <c r="Z129" s="41">
        <f>IFERROR(IF(X129="","",X129*0.0155),"")</f>
        <v>1.1160000000000001</v>
      </c>
      <c r="AA129" s="68" t="s">
        <v>46</v>
      </c>
      <c r="AB129" s="69" t="s">
        <v>110</v>
      </c>
      <c r="AC129" s="187" t="s">
        <v>240</v>
      </c>
      <c r="AG129" s="81"/>
      <c r="AJ129" s="87" t="s">
        <v>89</v>
      </c>
      <c r="AK129" s="87">
        <v>1</v>
      </c>
      <c r="BB129" s="188" t="s">
        <v>70</v>
      </c>
      <c r="BM129" s="81">
        <f>IFERROR(X129*I129,"0")</f>
        <v>430.56000000000006</v>
      </c>
      <c r="BN129" s="81">
        <f>IFERROR(Y129*I129,"0")</f>
        <v>430.56000000000006</v>
      </c>
      <c r="BO129" s="81">
        <f>IFERROR(X129/J129,"0")</f>
        <v>0.8571428571428571</v>
      </c>
      <c r="BP129" s="81">
        <f>IFERROR(Y129/J129,"0")</f>
        <v>0.8571428571428571</v>
      </c>
    </row>
    <row r="130" spans="1:68" x14ac:dyDescent="0.2">
      <c r="A130" s="386"/>
      <c r="B130" s="386"/>
      <c r="C130" s="386"/>
      <c r="D130" s="386"/>
      <c r="E130" s="386"/>
      <c r="F130" s="386"/>
      <c r="G130" s="386"/>
      <c r="H130" s="386"/>
      <c r="I130" s="386"/>
      <c r="J130" s="386"/>
      <c r="K130" s="386"/>
      <c r="L130" s="386"/>
      <c r="M130" s="386"/>
      <c r="N130" s="386"/>
      <c r="O130" s="387"/>
      <c r="P130" s="383" t="s">
        <v>40</v>
      </c>
      <c r="Q130" s="384"/>
      <c r="R130" s="384"/>
      <c r="S130" s="384"/>
      <c r="T130" s="384"/>
      <c r="U130" s="384"/>
      <c r="V130" s="385"/>
      <c r="W130" s="42" t="s">
        <v>39</v>
      </c>
      <c r="X130" s="43">
        <f>IFERROR(SUM(X129:X129),"0")</f>
        <v>72</v>
      </c>
      <c r="Y130" s="43">
        <f>IFERROR(SUM(Y129:Y129),"0")</f>
        <v>72</v>
      </c>
      <c r="Z130" s="43">
        <f>IFERROR(IF(Z129="",0,Z129),"0")</f>
        <v>1.1160000000000001</v>
      </c>
      <c r="AA130" s="67"/>
      <c r="AB130" s="67"/>
      <c r="AC130" s="67"/>
    </row>
    <row r="131" spans="1:68" x14ac:dyDescent="0.2">
      <c r="A131" s="386"/>
      <c r="B131" s="386"/>
      <c r="C131" s="386"/>
      <c r="D131" s="386"/>
      <c r="E131" s="386"/>
      <c r="F131" s="386"/>
      <c r="G131" s="386"/>
      <c r="H131" s="386"/>
      <c r="I131" s="386"/>
      <c r="J131" s="386"/>
      <c r="K131" s="386"/>
      <c r="L131" s="386"/>
      <c r="M131" s="386"/>
      <c r="N131" s="386"/>
      <c r="O131" s="387"/>
      <c r="P131" s="383" t="s">
        <v>40</v>
      </c>
      <c r="Q131" s="384"/>
      <c r="R131" s="384"/>
      <c r="S131" s="384"/>
      <c r="T131" s="384"/>
      <c r="U131" s="384"/>
      <c r="V131" s="385"/>
      <c r="W131" s="42" t="s">
        <v>0</v>
      </c>
      <c r="X131" s="43">
        <f>IFERROR(SUMPRODUCT(X129:X129*H129:H129),"0")</f>
        <v>410.40000000000003</v>
      </c>
      <c r="Y131" s="43">
        <f>IFERROR(SUMPRODUCT(Y129:Y129*H129:H129),"0")</f>
        <v>410.40000000000003</v>
      </c>
      <c r="Z131" s="42"/>
      <c r="AA131" s="67"/>
      <c r="AB131" s="67"/>
      <c r="AC131" s="67"/>
    </row>
    <row r="132" spans="1:68" ht="14.25" hidden="1" customHeight="1" x14ac:dyDescent="0.25">
      <c r="A132" s="371" t="s">
        <v>169</v>
      </c>
      <c r="B132" s="371"/>
      <c r="C132" s="371"/>
      <c r="D132" s="371"/>
      <c r="E132" s="371"/>
      <c r="F132" s="371"/>
      <c r="G132" s="371"/>
      <c r="H132" s="371"/>
      <c r="I132" s="371"/>
      <c r="J132" s="371"/>
      <c r="K132" s="371"/>
      <c r="L132" s="371"/>
      <c r="M132" s="371"/>
      <c r="N132" s="371"/>
      <c r="O132" s="371"/>
      <c r="P132" s="371"/>
      <c r="Q132" s="371"/>
      <c r="R132" s="371"/>
      <c r="S132" s="371"/>
      <c r="T132" s="371"/>
      <c r="U132" s="371"/>
      <c r="V132" s="371"/>
      <c r="W132" s="371"/>
      <c r="X132" s="371"/>
      <c r="Y132" s="371"/>
      <c r="Z132" s="371"/>
      <c r="AA132" s="66"/>
      <c r="AB132" s="66"/>
      <c r="AC132" s="83"/>
    </row>
    <row r="133" spans="1:68" ht="27" customHeight="1" x14ac:dyDescent="0.25">
      <c r="A133" s="63" t="s">
        <v>241</v>
      </c>
      <c r="B133" s="63" t="s">
        <v>242</v>
      </c>
      <c r="C133" s="36">
        <v>4301135848</v>
      </c>
      <c r="D133" s="372">
        <v>4620207491799</v>
      </c>
      <c r="E133" s="372"/>
      <c r="F133" s="62">
        <v>0.23</v>
      </c>
      <c r="G133" s="37">
        <v>6</v>
      </c>
      <c r="H133" s="62">
        <v>1.38</v>
      </c>
      <c r="I133" s="62">
        <v>1.8</v>
      </c>
      <c r="J133" s="37">
        <v>140</v>
      </c>
      <c r="K133" s="37" t="s">
        <v>123</v>
      </c>
      <c r="L133" s="37" t="s">
        <v>88</v>
      </c>
      <c r="M133" s="38" t="s">
        <v>86</v>
      </c>
      <c r="N133" s="38"/>
      <c r="O133" s="37">
        <v>180</v>
      </c>
      <c r="P133" s="430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3" s="374"/>
      <c r="R133" s="374"/>
      <c r="S133" s="374"/>
      <c r="T133" s="375"/>
      <c r="U133" s="39" t="s">
        <v>46</v>
      </c>
      <c r="V133" s="39" t="s">
        <v>46</v>
      </c>
      <c r="W133" s="40" t="s">
        <v>39</v>
      </c>
      <c r="X133" s="58">
        <v>98</v>
      </c>
      <c r="Y133" s="55">
        <f>IFERROR(IF(X133="","",X133),"")</f>
        <v>98</v>
      </c>
      <c r="Z133" s="41">
        <f>IFERROR(IF(X133="","",X133*0.00941),"")</f>
        <v>0.92218</v>
      </c>
      <c r="AA133" s="68" t="s">
        <v>46</v>
      </c>
      <c r="AB133" s="69" t="s">
        <v>46</v>
      </c>
      <c r="AC133" s="189" t="s">
        <v>243</v>
      </c>
      <c r="AG133" s="81"/>
      <c r="AJ133" s="87" t="s">
        <v>89</v>
      </c>
      <c r="AK133" s="87">
        <v>1</v>
      </c>
      <c r="BB133" s="190" t="s">
        <v>122</v>
      </c>
      <c r="BM133" s="81">
        <f>IFERROR(X133*I133,"0")</f>
        <v>176.4</v>
      </c>
      <c r="BN133" s="81">
        <f>IFERROR(Y133*I133,"0")</f>
        <v>176.4</v>
      </c>
      <c r="BO133" s="81">
        <f>IFERROR(X133/J133,"0")</f>
        <v>0.7</v>
      </c>
      <c r="BP133" s="81">
        <f>IFERROR(Y133/J133,"0")</f>
        <v>0.7</v>
      </c>
    </row>
    <row r="134" spans="1:68" ht="27" customHeight="1" x14ac:dyDescent="0.25">
      <c r="A134" s="63" t="s">
        <v>244</v>
      </c>
      <c r="B134" s="63" t="s">
        <v>245</v>
      </c>
      <c r="C134" s="36">
        <v>4301135850</v>
      </c>
      <c r="D134" s="372">
        <v>4620207491492</v>
      </c>
      <c r="E134" s="372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123</v>
      </c>
      <c r="L134" s="37" t="s">
        <v>88</v>
      </c>
      <c r="M134" s="38" t="s">
        <v>86</v>
      </c>
      <c r="N134" s="38"/>
      <c r="O134" s="37">
        <v>180</v>
      </c>
      <c r="P134" s="431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4" s="374"/>
      <c r="R134" s="374"/>
      <c r="S134" s="374"/>
      <c r="T134" s="375"/>
      <c r="U134" s="39" t="s">
        <v>46</v>
      </c>
      <c r="V134" s="39" t="s">
        <v>46</v>
      </c>
      <c r="W134" s="40" t="s">
        <v>39</v>
      </c>
      <c r="X134" s="58">
        <v>14</v>
      </c>
      <c r="Y134" s="55">
        <f>IFERROR(IF(X134="","",X134),"")</f>
        <v>14</v>
      </c>
      <c r="Z134" s="41">
        <f>IFERROR(IF(X134="","",X134*0.00941),"")</f>
        <v>0.13174</v>
      </c>
      <c r="AA134" s="68" t="s">
        <v>46</v>
      </c>
      <c r="AB134" s="69" t="s">
        <v>46</v>
      </c>
      <c r="AC134" s="191" t="s">
        <v>243</v>
      </c>
      <c r="AG134" s="81"/>
      <c r="AJ134" s="87" t="s">
        <v>89</v>
      </c>
      <c r="AK134" s="87">
        <v>1</v>
      </c>
      <c r="BB134" s="192" t="s">
        <v>122</v>
      </c>
      <c r="BM134" s="81">
        <f>IFERROR(X134*I134,"0")</f>
        <v>25.2</v>
      </c>
      <c r="BN134" s="81">
        <f>IFERROR(Y134*I134,"0")</f>
        <v>25.2</v>
      </c>
      <c r="BO134" s="81">
        <f>IFERROR(X134/J134,"0")</f>
        <v>0.1</v>
      </c>
      <c r="BP134" s="81">
        <f>IFERROR(Y134/J134,"0")</f>
        <v>0.1</v>
      </c>
    </row>
    <row r="135" spans="1:68" ht="27" customHeight="1" x14ac:dyDescent="0.25">
      <c r="A135" s="63" t="s">
        <v>246</v>
      </c>
      <c r="B135" s="63" t="s">
        <v>247</v>
      </c>
      <c r="C135" s="36">
        <v>4301190118</v>
      </c>
      <c r="D135" s="372">
        <v>4620207491461</v>
      </c>
      <c r="E135" s="372"/>
      <c r="F135" s="62">
        <v>0.22</v>
      </c>
      <c r="G135" s="37">
        <v>6</v>
      </c>
      <c r="H135" s="62">
        <v>1.32</v>
      </c>
      <c r="I135" s="62">
        <v>1.74</v>
      </c>
      <c r="J135" s="37">
        <v>140</v>
      </c>
      <c r="K135" s="37" t="s">
        <v>123</v>
      </c>
      <c r="L135" s="37" t="s">
        <v>88</v>
      </c>
      <c r="M135" s="38" t="s">
        <v>86</v>
      </c>
      <c r="N135" s="38"/>
      <c r="O135" s="37">
        <v>180</v>
      </c>
      <c r="P135" s="432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5" s="374"/>
      <c r="R135" s="374"/>
      <c r="S135" s="374"/>
      <c r="T135" s="375"/>
      <c r="U135" s="39" t="s">
        <v>46</v>
      </c>
      <c r="V135" s="39" t="s">
        <v>46</v>
      </c>
      <c r="W135" s="40" t="s">
        <v>39</v>
      </c>
      <c r="X135" s="58">
        <v>84</v>
      </c>
      <c r="Y135" s="55">
        <f>IFERROR(IF(X135="","",X135),"")</f>
        <v>84</v>
      </c>
      <c r="Z135" s="41">
        <f>IFERROR(IF(X135="","",X135*0.00941),"")</f>
        <v>0.79044000000000003</v>
      </c>
      <c r="AA135" s="68" t="s">
        <v>46</v>
      </c>
      <c r="AB135" s="69" t="s">
        <v>46</v>
      </c>
      <c r="AC135" s="193" t="s">
        <v>243</v>
      </c>
      <c r="AG135" s="81"/>
      <c r="AJ135" s="87" t="s">
        <v>89</v>
      </c>
      <c r="AK135" s="87">
        <v>1</v>
      </c>
      <c r="BB135" s="194" t="s">
        <v>122</v>
      </c>
      <c r="BM135" s="81">
        <f>IFERROR(X135*I135,"0")</f>
        <v>146.16</v>
      </c>
      <c r="BN135" s="81">
        <f>IFERROR(Y135*I135,"0")</f>
        <v>146.16</v>
      </c>
      <c r="BO135" s="81">
        <f>IFERROR(X135/J135,"0")</f>
        <v>0.6</v>
      </c>
      <c r="BP135" s="81">
        <f>IFERROR(Y135/J135,"0")</f>
        <v>0.6</v>
      </c>
    </row>
    <row r="136" spans="1:68" ht="27" customHeight="1" x14ac:dyDescent="0.25">
      <c r="A136" s="63" t="s">
        <v>248</v>
      </c>
      <c r="B136" s="63" t="s">
        <v>249</v>
      </c>
      <c r="C136" s="36">
        <v>4301135865</v>
      </c>
      <c r="D136" s="372">
        <v>4620207491485</v>
      </c>
      <c r="E136" s="372"/>
      <c r="F136" s="62">
        <v>0.23</v>
      </c>
      <c r="G136" s="37">
        <v>6</v>
      </c>
      <c r="H136" s="62">
        <v>1.38</v>
      </c>
      <c r="I136" s="62">
        <v>1.8</v>
      </c>
      <c r="J136" s="37">
        <v>140</v>
      </c>
      <c r="K136" s="37" t="s">
        <v>123</v>
      </c>
      <c r="L136" s="37" t="s">
        <v>88</v>
      </c>
      <c r="M136" s="38" t="s">
        <v>86</v>
      </c>
      <c r="N136" s="38"/>
      <c r="O136" s="37">
        <v>180</v>
      </c>
      <c r="P136" s="433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6" s="374"/>
      <c r="R136" s="374"/>
      <c r="S136" s="374"/>
      <c r="T136" s="375"/>
      <c r="U136" s="39" t="s">
        <v>46</v>
      </c>
      <c r="V136" s="39" t="s">
        <v>46</v>
      </c>
      <c r="W136" s="40" t="s">
        <v>39</v>
      </c>
      <c r="X136" s="58">
        <v>140</v>
      </c>
      <c r="Y136" s="55">
        <f>IFERROR(IF(X136="","",X136),"")</f>
        <v>140</v>
      </c>
      <c r="Z136" s="41">
        <f>IFERROR(IF(X136="","",X136*0.00941),"")</f>
        <v>1.3173999999999999</v>
      </c>
      <c r="AA136" s="68" t="s">
        <v>46</v>
      </c>
      <c r="AB136" s="69" t="s">
        <v>46</v>
      </c>
      <c r="AC136" s="195" t="s">
        <v>243</v>
      </c>
      <c r="AG136" s="81"/>
      <c r="AJ136" s="87" t="s">
        <v>89</v>
      </c>
      <c r="AK136" s="87">
        <v>1</v>
      </c>
      <c r="BB136" s="196" t="s">
        <v>122</v>
      </c>
      <c r="BM136" s="81">
        <f>IFERROR(X136*I136,"0")</f>
        <v>252</v>
      </c>
      <c r="BN136" s="81">
        <f>IFERROR(Y136*I136,"0")</f>
        <v>252</v>
      </c>
      <c r="BO136" s="81">
        <f>IFERROR(X136/J136,"0")</f>
        <v>1</v>
      </c>
      <c r="BP136" s="81">
        <f>IFERROR(Y136/J136,"0")</f>
        <v>1</v>
      </c>
    </row>
    <row r="137" spans="1:68" x14ac:dyDescent="0.2">
      <c r="A137" s="386"/>
      <c r="B137" s="386"/>
      <c r="C137" s="386"/>
      <c r="D137" s="386"/>
      <c r="E137" s="386"/>
      <c r="F137" s="386"/>
      <c r="G137" s="386"/>
      <c r="H137" s="386"/>
      <c r="I137" s="386"/>
      <c r="J137" s="386"/>
      <c r="K137" s="386"/>
      <c r="L137" s="386"/>
      <c r="M137" s="386"/>
      <c r="N137" s="386"/>
      <c r="O137" s="387"/>
      <c r="P137" s="383" t="s">
        <v>40</v>
      </c>
      <c r="Q137" s="384"/>
      <c r="R137" s="384"/>
      <c r="S137" s="384"/>
      <c r="T137" s="384"/>
      <c r="U137" s="384"/>
      <c r="V137" s="385"/>
      <c r="W137" s="42" t="s">
        <v>39</v>
      </c>
      <c r="X137" s="43">
        <f>IFERROR(SUM(X133:X136),"0")</f>
        <v>336</v>
      </c>
      <c r="Y137" s="43">
        <f>IFERROR(SUM(Y133:Y136),"0")</f>
        <v>336</v>
      </c>
      <c r="Z137" s="43">
        <f>IFERROR(IF(Z133="",0,Z133),"0")+IFERROR(IF(Z134="",0,Z134),"0")+IFERROR(IF(Z135="",0,Z135),"0")+IFERROR(IF(Z136="",0,Z136),"0")</f>
        <v>3.1617600000000001</v>
      </c>
      <c r="AA137" s="67"/>
      <c r="AB137" s="67"/>
      <c r="AC137" s="67"/>
    </row>
    <row r="138" spans="1:68" x14ac:dyDescent="0.2">
      <c r="A138" s="386"/>
      <c r="B138" s="386"/>
      <c r="C138" s="386"/>
      <c r="D138" s="386"/>
      <c r="E138" s="386"/>
      <c r="F138" s="386"/>
      <c r="G138" s="386"/>
      <c r="H138" s="386"/>
      <c r="I138" s="386"/>
      <c r="J138" s="386"/>
      <c r="K138" s="386"/>
      <c r="L138" s="386"/>
      <c r="M138" s="386"/>
      <c r="N138" s="386"/>
      <c r="O138" s="387"/>
      <c r="P138" s="383" t="s">
        <v>40</v>
      </c>
      <c r="Q138" s="384"/>
      <c r="R138" s="384"/>
      <c r="S138" s="384"/>
      <c r="T138" s="384"/>
      <c r="U138" s="384"/>
      <c r="V138" s="385"/>
      <c r="W138" s="42" t="s">
        <v>0</v>
      </c>
      <c r="X138" s="43">
        <f>IFERROR(SUMPRODUCT(X133:X136*H133:H136),"0")</f>
        <v>458.64</v>
      </c>
      <c r="Y138" s="43">
        <f>IFERROR(SUMPRODUCT(Y133:Y136*H133:H136),"0")</f>
        <v>458.64</v>
      </c>
      <c r="Z138" s="42"/>
      <c r="AA138" s="67"/>
      <c r="AB138" s="67"/>
      <c r="AC138" s="67"/>
    </row>
    <row r="139" spans="1:68" ht="14.25" hidden="1" customHeight="1" x14ac:dyDescent="0.25">
      <c r="A139" s="371" t="s">
        <v>250</v>
      </c>
      <c r="B139" s="371"/>
      <c r="C139" s="371"/>
      <c r="D139" s="371"/>
      <c r="E139" s="371"/>
      <c r="F139" s="371"/>
      <c r="G139" s="371"/>
      <c r="H139" s="371"/>
      <c r="I139" s="371"/>
      <c r="J139" s="371"/>
      <c r="K139" s="371"/>
      <c r="L139" s="371"/>
      <c r="M139" s="371"/>
      <c r="N139" s="371"/>
      <c r="O139" s="371"/>
      <c r="P139" s="371"/>
      <c r="Q139" s="371"/>
      <c r="R139" s="371"/>
      <c r="S139" s="371"/>
      <c r="T139" s="371"/>
      <c r="U139" s="371"/>
      <c r="V139" s="371"/>
      <c r="W139" s="371"/>
      <c r="X139" s="371"/>
      <c r="Y139" s="371"/>
      <c r="Z139" s="371"/>
      <c r="AA139" s="66"/>
      <c r="AB139" s="66"/>
      <c r="AC139" s="83"/>
    </row>
    <row r="140" spans="1:68" ht="27" hidden="1" customHeight="1" x14ac:dyDescent="0.25">
      <c r="A140" s="63" t="s">
        <v>251</v>
      </c>
      <c r="B140" s="63" t="s">
        <v>252</v>
      </c>
      <c r="C140" s="36">
        <v>4301190117</v>
      </c>
      <c r="D140" s="372">
        <v>4620207491386</v>
      </c>
      <c r="E140" s="372"/>
      <c r="F140" s="62">
        <v>0.18</v>
      </c>
      <c r="G140" s="37">
        <v>6</v>
      </c>
      <c r="H140" s="62">
        <v>1.08</v>
      </c>
      <c r="I140" s="62">
        <v>1.3979999999999999</v>
      </c>
      <c r="J140" s="37">
        <v>140</v>
      </c>
      <c r="K140" s="37" t="s">
        <v>123</v>
      </c>
      <c r="L140" s="37" t="s">
        <v>88</v>
      </c>
      <c r="M140" s="38" t="s">
        <v>86</v>
      </c>
      <c r="N140" s="38"/>
      <c r="O140" s="37">
        <v>180</v>
      </c>
      <c r="P140" s="434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0" s="374"/>
      <c r="R140" s="374"/>
      <c r="S140" s="374"/>
      <c r="T140" s="375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IFERROR(IF(X140="","",X140*0.00941),"")</f>
        <v>0</v>
      </c>
      <c r="AA140" s="68" t="s">
        <v>46</v>
      </c>
      <c r="AB140" s="69" t="s">
        <v>46</v>
      </c>
      <c r="AC140" s="197" t="s">
        <v>253</v>
      </c>
      <c r="AG140" s="81"/>
      <c r="AJ140" s="87" t="s">
        <v>89</v>
      </c>
      <c r="AK140" s="87">
        <v>1</v>
      </c>
      <c r="BB140" s="198" t="s">
        <v>122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ht="27" hidden="1" customHeight="1" x14ac:dyDescent="0.25">
      <c r="A141" s="63" t="s">
        <v>254</v>
      </c>
      <c r="B141" s="63" t="s">
        <v>255</v>
      </c>
      <c r="C141" s="36">
        <v>4301190115</v>
      </c>
      <c r="D141" s="372">
        <v>4620207491362</v>
      </c>
      <c r="E141" s="372"/>
      <c r="F141" s="62">
        <v>0.18</v>
      </c>
      <c r="G141" s="37">
        <v>6</v>
      </c>
      <c r="H141" s="62">
        <v>1.08</v>
      </c>
      <c r="I141" s="62">
        <v>1.3979999999999999</v>
      </c>
      <c r="J141" s="37">
        <v>140</v>
      </c>
      <c r="K141" s="37" t="s">
        <v>123</v>
      </c>
      <c r="L141" s="37" t="s">
        <v>88</v>
      </c>
      <c r="M141" s="38" t="s">
        <v>86</v>
      </c>
      <c r="N141" s="38"/>
      <c r="O141" s="37">
        <v>180</v>
      </c>
      <c r="P141" s="435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1" s="374"/>
      <c r="R141" s="374"/>
      <c r="S141" s="374"/>
      <c r="T141" s="375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IFERROR(IF(X141="","",X141*0.00941),"")</f>
        <v>0</v>
      </c>
      <c r="AA141" s="68" t="s">
        <v>46</v>
      </c>
      <c r="AB141" s="69" t="s">
        <v>46</v>
      </c>
      <c r="AC141" s="199" t="s">
        <v>253</v>
      </c>
      <c r="AG141" s="81"/>
      <c r="AJ141" s="87" t="s">
        <v>89</v>
      </c>
      <c r="AK141" s="87">
        <v>1</v>
      </c>
      <c r="BB141" s="200" t="s">
        <v>122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ht="27" hidden="1" customHeight="1" x14ac:dyDescent="0.25">
      <c r="A142" s="63" t="s">
        <v>256</v>
      </c>
      <c r="B142" s="63" t="s">
        <v>257</v>
      </c>
      <c r="C142" s="36">
        <v>4301190116</v>
      </c>
      <c r="D142" s="372">
        <v>4620207491379</v>
      </c>
      <c r="E142" s="372"/>
      <c r="F142" s="62">
        <v>0.18</v>
      </c>
      <c r="G142" s="37">
        <v>6</v>
      </c>
      <c r="H142" s="62">
        <v>1.08</v>
      </c>
      <c r="I142" s="62">
        <v>1.3979999999999999</v>
      </c>
      <c r="J142" s="37">
        <v>140</v>
      </c>
      <c r="K142" s="37" t="s">
        <v>123</v>
      </c>
      <c r="L142" s="37" t="s">
        <v>88</v>
      </c>
      <c r="M142" s="38" t="s">
        <v>86</v>
      </c>
      <c r="N142" s="38"/>
      <c r="O142" s="37">
        <v>180</v>
      </c>
      <c r="P142" s="436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2" s="374"/>
      <c r="R142" s="374"/>
      <c r="S142" s="374"/>
      <c r="T142" s="375"/>
      <c r="U142" s="39" t="s">
        <v>46</v>
      </c>
      <c r="V142" s="39" t="s">
        <v>46</v>
      </c>
      <c r="W142" s="40" t="s">
        <v>39</v>
      </c>
      <c r="X142" s="58">
        <v>0</v>
      </c>
      <c r="Y142" s="55">
        <f>IFERROR(IF(X142="","",X142),"")</f>
        <v>0</v>
      </c>
      <c r="Z142" s="41">
        <f>IFERROR(IF(X142="","",X142*0.00941),"")</f>
        <v>0</v>
      </c>
      <c r="AA142" s="68" t="s">
        <v>46</v>
      </c>
      <c r="AB142" s="69" t="s">
        <v>46</v>
      </c>
      <c r="AC142" s="201" t="s">
        <v>253</v>
      </c>
      <c r="AG142" s="81"/>
      <c r="AJ142" s="87" t="s">
        <v>89</v>
      </c>
      <c r="AK142" s="87">
        <v>1</v>
      </c>
      <c r="BB142" s="202" t="s">
        <v>122</v>
      </c>
      <c r="BM142" s="81">
        <f>IFERROR(X142*I142,"0")</f>
        <v>0</v>
      </c>
      <c r="BN142" s="81">
        <f>IFERROR(Y142*I142,"0")</f>
        <v>0</v>
      </c>
      <c r="BO142" s="81">
        <f>IFERROR(X142/J142,"0")</f>
        <v>0</v>
      </c>
      <c r="BP142" s="81">
        <f>IFERROR(Y142/J142,"0")</f>
        <v>0</v>
      </c>
    </row>
    <row r="143" spans="1:68" hidden="1" x14ac:dyDescent="0.2">
      <c r="A143" s="386"/>
      <c r="B143" s="386"/>
      <c r="C143" s="386"/>
      <c r="D143" s="386"/>
      <c r="E143" s="386"/>
      <c r="F143" s="386"/>
      <c r="G143" s="386"/>
      <c r="H143" s="386"/>
      <c r="I143" s="386"/>
      <c r="J143" s="386"/>
      <c r="K143" s="386"/>
      <c r="L143" s="386"/>
      <c r="M143" s="386"/>
      <c r="N143" s="386"/>
      <c r="O143" s="387"/>
      <c r="P143" s="383" t="s">
        <v>40</v>
      </c>
      <c r="Q143" s="384"/>
      <c r="R143" s="384"/>
      <c r="S143" s="384"/>
      <c r="T143" s="384"/>
      <c r="U143" s="384"/>
      <c r="V143" s="385"/>
      <c r="W143" s="42" t="s">
        <v>39</v>
      </c>
      <c r="X143" s="43">
        <f>IFERROR(SUM(X140:X142),"0")</f>
        <v>0</v>
      </c>
      <c r="Y143" s="43">
        <f>IFERROR(SUM(Y140:Y142),"0")</f>
        <v>0</v>
      </c>
      <c r="Z143" s="43">
        <f>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386"/>
      <c r="B144" s="386"/>
      <c r="C144" s="386"/>
      <c r="D144" s="386"/>
      <c r="E144" s="386"/>
      <c r="F144" s="386"/>
      <c r="G144" s="386"/>
      <c r="H144" s="386"/>
      <c r="I144" s="386"/>
      <c r="J144" s="386"/>
      <c r="K144" s="386"/>
      <c r="L144" s="386"/>
      <c r="M144" s="386"/>
      <c r="N144" s="386"/>
      <c r="O144" s="387"/>
      <c r="P144" s="383" t="s">
        <v>40</v>
      </c>
      <c r="Q144" s="384"/>
      <c r="R144" s="384"/>
      <c r="S144" s="384"/>
      <c r="T144" s="384"/>
      <c r="U144" s="384"/>
      <c r="V144" s="385"/>
      <c r="W144" s="42" t="s">
        <v>0</v>
      </c>
      <c r="X144" s="43">
        <f>IFERROR(SUMPRODUCT(X140:X142*H140:H142),"0")</f>
        <v>0</v>
      </c>
      <c r="Y144" s="43">
        <f>IFERROR(SUMPRODUCT(Y140:Y142*H140:H142),"0")</f>
        <v>0</v>
      </c>
      <c r="Z144" s="42"/>
      <c r="AA144" s="67"/>
      <c r="AB144" s="67"/>
      <c r="AC144" s="67"/>
    </row>
    <row r="145" spans="1:68" ht="16.5" hidden="1" customHeight="1" x14ac:dyDescent="0.25">
      <c r="A145" s="370" t="s">
        <v>258</v>
      </c>
      <c r="B145" s="370"/>
      <c r="C145" s="370"/>
      <c r="D145" s="370"/>
      <c r="E145" s="370"/>
      <c r="F145" s="370"/>
      <c r="G145" s="370"/>
      <c r="H145" s="370"/>
      <c r="I145" s="370"/>
      <c r="J145" s="370"/>
      <c r="K145" s="370"/>
      <c r="L145" s="370"/>
      <c r="M145" s="370"/>
      <c r="N145" s="370"/>
      <c r="O145" s="370"/>
      <c r="P145" s="370"/>
      <c r="Q145" s="370"/>
      <c r="R145" s="370"/>
      <c r="S145" s="370"/>
      <c r="T145" s="370"/>
      <c r="U145" s="370"/>
      <c r="V145" s="370"/>
      <c r="W145" s="370"/>
      <c r="X145" s="370"/>
      <c r="Y145" s="370"/>
      <c r="Z145" s="370"/>
      <c r="AA145" s="65"/>
      <c r="AB145" s="65"/>
      <c r="AC145" s="82"/>
    </row>
    <row r="146" spans="1:68" ht="14.25" hidden="1" customHeight="1" x14ac:dyDescent="0.25">
      <c r="A146" s="371" t="s">
        <v>169</v>
      </c>
      <c r="B146" s="371"/>
      <c r="C146" s="371"/>
      <c r="D146" s="371"/>
      <c r="E146" s="371"/>
      <c r="F146" s="371"/>
      <c r="G146" s="371"/>
      <c r="H146" s="371"/>
      <c r="I146" s="371"/>
      <c r="J146" s="371"/>
      <c r="K146" s="371"/>
      <c r="L146" s="371"/>
      <c r="M146" s="371"/>
      <c r="N146" s="371"/>
      <c r="O146" s="371"/>
      <c r="P146" s="371"/>
      <c r="Q146" s="371"/>
      <c r="R146" s="371"/>
      <c r="S146" s="371"/>
      <c r="T146" s="371"/>
      <c r="U146" s="371"/>
      <c r="V146" s="371"/>
      <c r="W146" s="371"/>
      <c r="X146" s="371"/>
      <c r="Y146" s="371"/>
      <c r="Z146" s="371"/>
      <c r="AA146" s="66"/>
      <c r="AB146" s="66"/>
      <c r="AC146" s="83"/>
    </row>
    <row r="147" spans="1:68" ht="27" customHeight="1" x14ac:dyDescent="0.25">
      <c r="A147" s="63" t="s">
        <v>259</v>
      </c>
      <c r="B147" s="63" t="s">
        <v>260</v>
      </c>
      <c r="C147" s="36">
        <v>4301135956</v>
      </c>
      <c r="D147" s="372">
        <v>4620207491560</v>
      </c>
      <c r="E147" s="372"/>
      <c r="F147" s="62">
        <v>0.25</v>
      </c>
      <c r="G147" s="37">
        <v>12</v>
      </c>
      <c r="H147" s="62">
        <v>3</v>
      </c>
      <c r="I147" s="62">
        <v>3.7035999999999998</v>
      </c>
      <c r="J147" s="37">
        <v>70</v>
      </c>
      <c r="K147" s="37" t="s">
        <v>123</v>
      </c>
      <c r="L147" s="37" t="s">
        <v>88</v>
      </c>
      <c r="M147" s="38" t="s">
        <v>86</v>
      </c>
      <c r="N147" s="38"/>
      <c r="O147" s="37">
        <v>180</v>
      </c>
      <c r="P147" s="437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7" s="374"/>
      <c r="R147" s="374"/>
      <c r="S147" s="374"/>
      <c r="T147" s="375"/>
      <c r="U147" s="39" t="s">
        <v>46</v>
      </c>
      <c r="V147" s="39" t="s">
        <v>46</v>
      </c>
      <c r="W147" s="40" t="s">
        <v>39</v>
      </c>
      <c r="X147" s="58">
        <v>112</v>
      </c>
      <c r="Y147" s="55">
        <f>IFERROR(IF(X147="","",X147),"")</f>
        <v>112</v>
      </c>
      <c r="Z147" s="41">
        <f>IFERROR(IF(X147="","",X147*0.01788),"")</f>
        <v>2.0025599999999999</v>
      </c>
      <c r="AA147" s="68" t="s">
        <v>46</v>
      </c>
      <c r="AB147" s="69" t="s">
        <v>46</v>
      </c>
      <c r="AC147" s="203" t="s">
        <v>261</v>
      </c>
      <c r="AG147" s="81"/>
      <c r="AJ147" s="87" t="s">
        <v>89</v>
      </c>
      <c r="AK147" s="87">
        <v>1</v>
      </c>
      <c r="BB147" s="204" t="s">
        <v>122</v>
      </c>
      <c r="BM147" s="81">
        <f>IFERROR(X147*I147,"0")</f>
        <v>414.80319999999995</v>
      </c>
      <c r="BN147" s="81">
        <f>IFERROR(Y147*I147,"0")</f>
        <v>414.80319999999995</v>
      </c>
      <c r="BO147" s="81">
        <f>IFERROR(X147/J147,"0")</f>
        <v>1.6</v>
      </c>
      <c r="BP147" s="81">
        <f>IFERROR(Y147/J147,"0")</f>
        <v>1.6</v>
      </c>
    </row>
    <row r="148" spans="1:68" ht="27" customHeight="1" x14ac:dyDescent="0.25">
      <c r="A148" s="63" t="s">
        <v>262</v>
      </c>
      <c r="B148" s="63" t="s">
        <v>263</v>
      </c>
      <c r="C148" s="36">
        <v>4301135962</v>
      </c>
      <c r="D148" s="372">
        <v>4620207491584</v>
      </c>
      <c r="E148" s="372"/>
      <c r="F148" s="62">
        <v>0.25</v>
      </c>
      <c r="G148" s="37">
        <v>12</v>
      </c>
      <c r="H148" s="62">
        <v>3</v>
      </c>
      <c r="I148" s="62">
        <v>3.7035999999999998</v>
      </c>
      <c r="J148" s="37">
        <v>70</v>
      </c>
      <c r="K148" s="37" t="s">
        <v>123</v>
      </c>
      <c r="L148" s="37" t="s">
        <v>88</v>
      </c>
      <c r="M148" s="38" t="s">
        <v>86</v>
      </c>
      <c r="N148" s="38"/>
      <c r="O148" s="37">
        <v>180</v>
      </c>
      <c r="P148" s="438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8" s="374"/>
      <c r="R148" s="374"/>
      <c r="S148" s="374"/>
      <c r="T148" s="375"/>
      <c r="U148" s="39" t="s">
        <v>46</v>
      </c>
      <c r="V148" s="39" t="s">
        <v>46</v>
      </c>
      <c r="W148" s="40" t="s">
        <v>39</v>
      </c>
      <c r="X148" s="58">
        <v>182</v>
      </c>
      <c r="Y148" s="55">
        <f>IFERROR(IF(X148="","",X148),"")</f>
        <v>182</v>
      </c>
      <c r="Z148" s="41">
        <f>IFERROR(IF(X148="","",X148*0.01788),"")</f>
        <v>3.2541600000000002</v>
      </c>
      <c r="AA148" s="68" t="s">
        <v>46</v>
      </c>
      <c r="AB148" s="69" t="s">
        <v>46</v>
      </c>
      <c r="AC148" s="205" t="s">
        <v>261</v>
      </c>
      <c r="AG148" s="81"/>
      <c r="AJ148" s="87" t="s">
        <v>89</v>
      </c>
      <c r="AK148" s="87">
        <v>1</v>
      </c>
      <c r="BB148" s="206" t="s">
        <v>122</v>
      </c>
      <c r="BM148" s="81">
        <f>IFERROR(X148*I148,"0")</f>
        <v>674.05520000000001</v>
      </c>
      <c r="BN148" s="81">
        <f>IFERROR(Y148*I148,"0")</f>
        <v>674.05520000000001</v>
      </c>
      <c r="BO148" s="81">
        <f>IFERROR(X148/J148,"0")</f>
        <v>2.6</v>
      </c>
      <c r="BP148" s="81">
        <f>IFERROR(Y148/J148,"0")</f>
        <v>2.6</v>
      </c>
    </row>
    <row r="149" spans="1:68" x14ac:dyDescent="0.2">
      <c r="A149" s="386"/>
      <c r="B149" s="386"/>
      <c r="C149" s="386"/>
      <c r="D149" s="386"/>
      <c r="E149" s="386"/>
      <c r="F149" s="386"/>
      <c r="G149" s="386"/>
      <c r="H149" s="386"/>
      <c r="I149" s="386"/>
      <c r="J149" s="386"/>
      <c r="K149" s="386"/>
      <c r="L149" s="386"/>
      <c r="M149" s="386"/>
      <c r="N149" s="386"/>
      <c r="O149" s="387"/>
      <c r="P149" s="383" t="s">
        <v>40</v>
      </c>
      <c r="Q149" s="384"/>
      <c r="R149" s="384"/>
      <c r="S149" s="384"/>
      <c r="T149" s="384"/>
      <c r="U149" s="384"/>
      <c r="V149" s="385"/>
      <c r="W149" s="42" t="s">
        <v>39</v>
      </c>
      <c r="X149" s="43">
        <f>IFERROR(SUM(X147:X148),"0")</f>
        <v>294</v>
      </c>
      <c r="Y149" s="43">
        <f>IFERROR(SUM(Y147:Y148),"0")</f>
        <v>294</v>
      </c>
      <c r="Z149" s="43">
        <f>IFERROR(IF(Z147="",0,Z147),"0")+IFERROR(IF(Z148="",0,Z148),"0")</f>
        <v>5.2567199999999996</v>
      </c>
      <c r="AA149" s="67"/>
      <c r="AB149" s="67"/>
      <c r="AC149" s="67"/>
    </row>
    <row r="150" spans="1:68" x14ac:dyDescent="0.2">
      <c r="A150" s="386"/>
      <c r="B150" s="386"/>
      <c r="C150" s="386"/>
      <c r="D150" s="386"/>
      <c r="E150" s="386"/>
      <c r="F150" s="386"/>
      <c r="G150" s="386"/>
      <c r="H150" s="386"/>
      <c r="I150" s="386"/>
      <c r="J150" s="386"/>
      <c r="K150" s="386"/>
      <c r="L150" s="386"/>
      <c r="M150" s="386"/>
      <c r="N150" s="386"/>
      <c r="O150" s="387"/>
      <c r="P150" s="383" t="s">
        <v>40</v>
      </c>
      <c r="Q150" s="384"/>
      <c r="R150" s="384"/>
      <c r="S150" s="384"/>
      <c r="T150" s="384"/>
      <c r="U150" s="384"/>
      <c r="V150" s="385"/>
      <c r="W150" s="42" t="s">
        <v>0</v>
      </c>
      <c r="X150" s="43">
        <f>IFERROR(SUMPRODUCT(X147:X148*H147:H148),"0")</f>
        <v>882</v>
      </c>
      <c r="Y150" s="43">
        <f>IFERROR(SUMPRODUCT(Y147:Y148*H147:H148),"0")</f>
        <v>882</v>
      </c>
      <c r="Z150" s="42"/>
      <c r="AA150" s="67"/>
      <c r="AB150" s="67"/>
      <c r="AC150" s="67"/>
    </row>
    <row r="151" spans="1:68" ht="16.5" hidden="1" customHeight="1" x14ac:dyDescent="0.25">
      <c r="A151" s="370" t="s">
        <v>264</v>
      </c>
      <c r="B151" s="370"/>
      <c r="C151" s="370"/>
      <c r="D151" s="370"/>
      <c r="E151" s="370"/>
      <c r="F151" s="370"/>
      <c r="G151" s="370"/>
      <c r="H151" s="370"/>
      <c r="I151" s="370"/>
      <c r="J151" s="370"/>
      <c r="K151" s="370"/>
      <c r="L151" s="370"/>
      <c r="M151" s="370"/>
      <c r="N151" s="370"/>
      <c r="O151" s="370"/>
      <c r="P151" s="370"/>
      <c r="Q151" s="370"/>
      <c r="R151" s="370"/>
      <c r="S151" s="370"/>
      <c r="T151" s="370"/>
      <c r="U151" s="370"/>
      <c r="V151" s="370"/>
      <c r="W151" s="370"/>
      <c r="X151" s="370"/>
      <c r="Y151" s="370"/>
      <c r="Z151" s="370"/>
      <c r="AA151" s="65"/>
      <c r="AB151" s="65"/>
      <c r="AC151" s="82"/>
    </row>
    <row r="152" spans="1:68" ht="14.25" hidden="1" customHeight="1" x14ac:dyDescent="0.25">
      <c r="A152" s="371" t="s">
        <v>169</v>
      </c>
      <c r="B152" s="371"/>
      <c r="C152" s="371"/>
      <c r="D152" s="371"/>
      <c r="E152" s="371"/>
      <c r="F152" s="371"/>
      <c r="G152" s="371"/>
      <c r="H152" s="371"/>
      <c r="I152" s="371"/>
      <c r="J152" s="371"/>
      <c r="K152" s="371"/>
      <c r="L152" s="371"/>
      <c r="M152" s="371"/>
      <c r="N152" s="371"/>
      <c r="O152" s="371"/>
      <c r="P152" s="371"/>
      <c r="Q152" s="371"/>
      <c r="R152" s="371"/>
      <c r="S152" s="371"/>
      <c r="T152" s="371"/>
      <c r="U152" s="371"/>
      <c r="V152" s="371"/>
      <c r="W152" s="371"/>
      <c r="X152" s="371"/>
      <c r="Y152" s="371"/>
      <c r="Z152" s="371"/>
      <c r="AA152" s="66"/>
      <c r="AB152" s="66"/>
      <c r="AC152" s="83"/>
    </row>
    <row r="153" spans="1:68" ht="27" customHeight="1" x14ac:dyDescent="0.25">
      <c r="A153" s="63" t="s">
        <v>265</v>
      </c>
      <c r="B153" s="63" t="s">
        <v>266</v>
      </c>
      <c r="C153" s="36">
        <v>4301135954</v>
      </c>
      <c r="D153" s="372">
        <v>4620207491768</v>
      </c>
      <c r="E153" s="372"/>
      <c r="F153" s="62">
        <v>0.25</v>
      </c>
      <c r="G153" s="37">
        <v>12</v>
      </c>
      <c r="H153" s="62">
        <v>3</v>
      </c>
      <c r="I153" s="62">
        <v>3.7480000000000002</v>
      </c>
      <c r="J153" s="37">
        <v>70</v>
      </c>
      <c r="K153" s="37" t="s">
        <v>123</v>
      </c>
      <c r="L153" s="37" t="s">
        <v>88</v>
      </c>
      <c r="M153" s="38" t="s">
        <v>86</v>
      </c>
      <c r="N153" s="38"/>
      <c r="O153" s="37">
        <v>180</v>
      </c>
      <c r="P153" s="439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3" s="374"/>
      <c r="R153" s="374"/>
      <c r="S153" s="374"/>
      <c r="T153" s="375"/>
      <c r="U153" s="39" t="s">
        <v>46</v>
      </c>
      <c r="V153" s="39" t="s">
        <v>46</v>
      </c>
      <c r="W153" s="40" t="s">
        <v>39</v>
      </c>
      <c r="X153" s="58">
        <v>42</v>
      </c>
      <c r="Y153" s="55">
        <f>IFERROR(IF(X153="","",X153),"")</f>
        <v>42</v>
      </c>
      <c r="Z153" s="41">
        <f>IFERROR(IF(X153="","",X153*0.01788),"")</f>
        <v>0.75095999999999996</v>
      </c>
      <c r="AA153" s="68" t="s">
        <v>46</v>
      </c>
      <c r="AB153" s="69" t="s">
        <v>46</v>
      </c>
      <c r="AC153" s="207" t="s">
        <v>267</v>
      </c>
      <c r="AG153" s="81"/>
      <c r="AJ153" s="87" t="s">
        <v>89</v>
      </c>
      <c r="AK153" s="87">
        <v>1</v>
      </c>
      <c r="BB153" s="208" t="s">
        <v>122</v>
      </c>
      <c r="BM153" s="81">
        <f>IFERROR(X153*I153,"0")</f>
        <v>157.416</v>
      </c>
      <c r="BN153" s="81">
        <f>IFERROR(Y153*I153,"0")</f>
        <v>157.416</v>
      </c>
      <c r="BO153" s="81">
        <f>IFERROR(X153/J153,"0")</f>
        <v>0.6</v>
      </c>
      <c r="BP153" s="81">
        <f>IFERROR(Y153/J153,"0")</f>
        <v>0.6</v>
      </c>
    </row>
    <row r="154" spans="1:68" ht="16.5" customHeight="1" x14ac:dyDescent="0.25">
      <c r="A154" s="63" t="s">
        <v>268</v>
      </c>
      <c r="B154" s="63" t="s">
        <v>269</v>
      </c>
      <c r="C154" s="36">
        <v>4301135946</v>
      </c>
      <c r="D154" s="372">
        <v>4620207491553</v>
      </c>
      <c r="E154" s="372"/>
      <c r="F154" s="62">
        <v>0.25</v>
      </c>
      <c r="G154" s="37">
        <v>12</v>
      </c>
      <c r="H154" s="62">
        <v>3</v>
      </c>
      <c r="I154" s="62">
        <v>3.7035999999999998</v>
      </c>
      <c r="J154" s="37">
        <v>70</v>
      </c>
      <c r="K154" s="37" t="s">
        <v>123</v>
      </c>
      <c r="L154" s="37" t="s">
        <v>88</v>
      </c>
      <c r="M154" s="38" t="s">
        <v>86</v>
      </c>
      <c r="N154" s="38"/>
      <c r="O154" s="37">
        <v>180</v>
      </c>
      <c r="P154" s="440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4" s="374"/>
      <c r="R154" s="374"/>
      <c r="S154" s="374"/>
      <c r="T154" s="375"/>
      <c r="U154" s="39" t="s">
        <v>46</v>
      </c>
      <c r="V154" s="39" t="s">
        <v>46</v>
      </c>
      <c r="W154" s="40" t="s">
        <v>39</v>
      </c>
      <c r="X154" s="58">
        <v>70</v>
      </c>
      <c r="Y154" s="55">
        <f>IFERROR(IF(X154="","",X154),"")</f>
        <v>70</v>
      </c>
      <c r="Z154" s="41">
        <f>IFERROR(IF(X154="","",X154*0.01788),"")</f>
        <v>1.2516</v>
      </c>
      <c r="AA154" s="68" t="s">
        <v>46</v>
      </c>
      <c r="AB154" s="69" t="s">
        <v>46</v>
      </c>
      <c r="AC154" s="209" t="s">
        <v>267</v>
      </c>
      <c r="AG154" s="81"/>
      <c r="AJ154" s="87" t="s">
        <v>89</v>
      </c>
      <c r="AK154" s="87">
        <v>1</v>
      </c>
      <c r="BB154" s="210" t="s">
        <v>122</v>
      </c>
      <c r="BM154" s="81">
        <f>IFERROR(X154*I154,"0")</f>
        <v>259.25200000000001</v>
      </c>
      <c r="BN154" s="81">
        <f>IFERROR(Y154*I154,"0")</f>
        <v>259.25200000000001</v>
      </c>
      <c r="BO154" s="81">
        <f>IFERROR(X154/J154,"0")</f>
        <v>1</v>
      </c>
      <c r="BP154" s="81">
        <f>IFERROR(Y154/J154,"0")</f>
        <v>1</v>
      </c>
    </row>
    <row r="155" spans="1:68" x14ac:dyDescent="0.2">
      <c r="A155" s="386"/>
      <c r="B155" s="386"/>
      <c r="C155" s="386"/>
      <c r="D155" s="386"/>
      <c r="E155" s="386"/>
      <c r="F155" s="386"/>
      <c r="G155" s="386"/>
      <c r="H155" s="386"/>
      <c r="I155" s="386"/>
      <c r="J155" s="386"/>
      <c r="K155" s="386"/>
      <c r="L155" s="386"/>
      <c r="M155" s="386"/>
      <c r="N155" s="386"/>
      <c r="O155" s="387"/>
      <c r="P155" s="383" t="s">
        <v>40</v>
      </c>
      <c r="Q155" s="384"/>
      <c r="R155" s="384"/>
      <c r="S155" s="384"/>
      <c r="T155" s="384"/>
      <c r="U155" s="384"/>
      <c r="V155" s="385"/>
      <c r="W155" s="42" t="s">
        <v>39</v>
      </c>
      <c r="X155" s="43">
        <f>IFERROR(SUM(X153:X154),"0")</f>
        <v>112</v>
      </c>
      <c r="Y155" s="43">
        <f>IFERROR(SUM(Y153:Y154),"0")</f>
        <v>112</v>
      </c>
      <c r="Z155" s="43">
        <f>IFERROR(IF(Z153="",0,Z153),"0")+IFERROR(IF(Z154="",0,Z154),"0")</f>
        <v>2.0025599999999999</v>
      </c>
      <c r="AA155" s="67"/>
      <c r="AB155" s="67"/>
      <c r="AC155" s="67"/>
    </row>
    <row r="156" spans="1:68" x14ac:dyDescent="0.2">
      <c r="A156" s="386"/>
      <c r="B156" s="386"/>
      <c r="C156" s="386"/>
      <c r="D156" s="386"/>
      <c r="E156" s="386"/>
      <c r="F156" s="386"/>
      <c r="G156" s="386"/>
      <c r="H156" s="386"/>
      <c r="I156" s="386"/>
      <c r="J156" s="386"/>
      <c r="K156" s="386"/>
      <c r="L156" s="386"/>
      <c r="M156" s="386"/>
      <c r="N156" s="386"/>
      <c r="O156" s="387"/>
      <c r="P156" s="383" t="s">
        <v>40</v>
      </c>
      <c r="Q156" s="384"/>
      <c r="R156" s="384"/>
      <c r="S156" s="384"/>
      <c r="T156" s="384"/>
      <c r="U156" s="384"/>
      <c r="V156" s="385"/>
      <c r="W156" s="42" t="s">
        <v>0</v>
      </c>
      <c r="X156" s="43">
        <f>IFERROR(SUMPRODUCT(X153:X154*H153:H154),"0")</f>
        <v>336</v>
      </c>
      <c r="Y156" s="43">
        <f>IFERROR(SUMPRODUCT(Y153:Y154*H153:H154),"0")</f>
        <v>336</v>
      </c>
      <c r="Z156" s="42"/>
      <c r="AA156" s="67"/>
      <c r="AB156" s="67"/>
      <c r="AC156" s="67"/>
    </row>
    <row r="157" spans="1:68" ht="16.5" hidden="1" customHeight="1" x14ac:dyDescent="0.25">
      <c r="A157" s="370" t="s">
        <v>270</v>
      </c>
      <c r="B157" s="370"/>
      <c r="C157" s="370"/>
      <c r="D157" s="370"/>
      <c r="E157" s="370"/>
      <c r="F157" s="370"/>
      <c r="G157" s="370"/>
      <c r="H157" s="370"/>
      <c r="I157" s="370"/>
      <c r="J157" s="370"/>
      <c r="K157" s="370"/>
      <c r="L157" s="370"/>
      <c r="M157" s="370"/>
      <c r="N157" s="370"/>
      <c r="O157" s="370"/>
      <c r="P157" s="370"/>
      <c r="Q157" s="370"/>
      <c r="R157" s="370"/>
      <c r="S157" s="370"/>
      <c r="T157" s="370"/>
      <c r="U157" s="370"/>
      <c r="V157" s="370"/>
      <c r="W157" s="370"/>
      <c r="X157" s="370"/>
      <c r="Y157" s="370"/>
      <c r="Z157" s="370"/>
      <c r="AA157" s="65"/>
      <c r="AB157" s="65"/>
      <c r="AC157" s="82"/>
    </row>
    <row r="158" spans="1:68" ht="14.25" hidden="1" customHeight="1" x14ac:dyDescent="0.25">
      <c r="A158" s="371" t="s">
        <v>169</v>
      </c>
      <c r="B158" s="371"/>
      <c r="C158" s="371"/>
      <c r="D158" s="371"/>
      <c r="E158" s="371"/>
      <c r="F158" s="371"/>
      <c r="G158" s="371"/>
      <c r="H158" s="371"/>
      <c r="I158" s="371"/>
      <c r="J158" s="371"/>
      <c r="K158" s="371"/>
      <c r="L158" s="371"/>
      <c r="M158" s="371"/>
      <c r="N158" s="371"/>
      <c r="O158" s="371"/>
      <c r="P158" s="371"/>
      <c r="Q158" s="371"/>
      <c r="R158" s="371"/>
      <c r="S158" s="371"/>
      <c r="T158" s="371"/>
      <c r="U158" s="371"/>
      <c r="V158" s="371"/>
      <c r="W158" s="371"/>
      <c r="X158" s="371"/>
      <c r="Y158" s="371"/>
      <c r="Z158" s="371"/>
      <c r="AA158" s="66"/>
      <c r="AB158" s="66"/>
      <c r="AC158" s="83"/>
    </row>
    <row r="159" spans="1:68" ht="27" hidden="1" customHeight="1" x14ac:dyDescent="0.25">
      <c r="A159" s="63" t="s">
        <v>271</v>
      </c>
      <c r="B159" s="63" t="s">
        <v>272</v>
      </c>
      <c r="C159" s="36">
        <v>4301135926</v>
      </c>
      <c r="D159" s="372">
        <v>4620207491669</v>
      </c>
      <c r="E159" s="372"/>
      <c r="F159" s="62">
        <v>0.2</v>
      </c>
      <c r="G159" s="37">
        <v>12</v>
      </c>
      <c r="H159" s="62">
        <v>2.4</v>
      </c>
      <c r="I159" s="62">
        <v>2.68</v>
      </c>
      <c r="J159" s="37">
        <v>70</v>
      </c>
      <c r="K159" s="37" t="s">
        <v>123</v>
      </c>
      <c r="L159" s="37" t="s">
        <v>88</v>
      </c>
      <c r="M159" s="38" t="s">
        <v>86</v>
      </c>
      <c r="N159" s="38"/>
      <c r="O159" s="37">
        <v>180</v>
      </c>
      <c r="P159" s="441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59" s="374"/>
      <c r="R159" s="374"/>
      <c r="S159" s="374"/>
      <c r="T159" s="375"/>
      <c r="U159" s="39" t="s">
        <v>46</v>
      </c>
      <c r="V159" s="39" t="s">
        <v>46</v>
      </c>
      <c r="W159" s="40" t="s">
        <v>39</v>
      </c>
      <c r="X159" s="58">
        <v>0</v>
      </c>
      <c r="Y159" s="55">
        <f>IFERROR(IF(X159="","",X159),"")</f>
        <v>0</v>
      </c>
      <c r="Z159" s="41">
        <f>IFERROR(IF(X159="","",X159*0.01788),"")</f>
        <v>0</v>
      </c>
      <c r="AA159" s="68" t="s">
        <v>46</v>
      </c>
      <c r="AB159" s="69" t="s">
        <v>46</v>
      </c>
      <c r="AC159" s="211" t="s">
        <v>273</v>
      </c>
      <c r="AG159" s="81"/>
      <c r="AJ159" s="87" t="s">
        <v>89</v>
      </c>
      <c r="AK159" s="87">
        <v>1</v>
      </c>
      <c r="BB159" s="212" t="s">
        <v>122</v>
      </c>
      <c r="BM159" s="81">
        <f>IFERROR(X159*I159,"0")</f>
        <v>0</v>
      </c>
      <c r="BN159" s="81">
        <f>IFERROR(Y159*I159,"0")</f>
        <v>0</v>
      </c>
      <c r="BO159" s="81">
        <f>IFERROR(X159/J159,"0")</f>
        <v>0</v>
      </c>
      <c r="BP159" s="81">
        <f>IFERROR(Y159/J159,"0")</f>
        <v>0</v>
      </c>
    </row>
    <row r="160" spans="1:68" ht="27" hidden="1" customHeight="1" x14ac:dyDescent="0.25">
      <c r="A160" s="63" t="s">
        <v>274</v>
      </c>
      <c r="B160" s="63" t="s">
        <v>275</v>
      </c>
      <c r="C160" s="36">
        <v>4301135778</v>
      </c>
      <c r="D160" s="372">
        <v>4620207490853</v>
      </c>
      <c r="E160" s="372"/>
      <c r="F160" s="62">
        <v>0.2</v>
      </c>
      <c r="G160" s="37">
        <v>12</v>
      </c>
      <c r="H160" s="62">
        <v>2.4</v>
      </c>
      <c r="I160" s="62">
        <v>2.68</v>
      </c>
      <c r="J160" s="37">
        <v>70</v>
      </c>
      <c r="K160" s="37" t="s">
        <v>123</v>
      </c>
      <c r="L160" s="37" t="s">
        <v>124</v>
      </c>
      <c r="M160" s="38" t="s">
        <v>86</v>
      </c>
      <c r="N160" s="38"/>
      <c r="O160" s="37">
        <v>180</v>
      </c>
      <c r="P160" s="442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0" s="374"/>
      <c r="R160" s="374"/>
      <c r="S160" s="374"/>
      <c r="T160" s="375"/>
      <c r="U160" s="39" t="s">
        <v>46</v>
      </c>
      <c r="V160" s="39" t="s">
        <v>46</v>
      </c>
      <c r="W160" s="40" t="s">
        <v>39</v>
      </c>
      <c r="X160" s="58">
        <v>0</v>
      </c>
      <c r="Y160" s="55">
        <f>IFERROR(IF(X160="","",X160),"")</f>
        <v>0</v>
      </c>
      <c r="Z160" s="41">
        <f>IFERROR(IF(X160="","",X160*0.01788),"")</f>
        <v>0</v>
      </c>
      <c r="AA160" s="68" t="s">
        <v>46</v>
      </c>
      <c r="AB160" s="69" t="s">
        <v>46</v>
      </c>
      <c r="AC160" s="213" t="s">
        <v>276</v>
      </c>
      <c r="AG160" s="81"/>
      <c r="AJ160" s="87" t="s">
        <v>125</v>
      </c>
      <c r="AK160" s="87">
        <v>14</v>
      </c>
      <c r="BB160" s="214" t="s">
        <v>122</v>
      </c>
      <c r="BM160" s="81">
        <f>IFERROR(X160*I160,"0")</f>
        <v>0</v>
      </c>
      <c r="BN160" s="81">
        <f>IFERROR(Y160*I160,"0")</f>
        <v>0</v>
      </c>
      <c r="BO160" s="81">
        <f>IFERROR(X160/J160,"0")</f>
        <v>0</v>
      </c>
      <c r="BP160" s="81">
        <f>IFERROR(Y160/J160,"0")</f>
        <v>0</v>
      </c>
    </row>
    <row r="161" spans="1:68" ht="27" customHeight="1" x14ac:dyDescent="0.25">
      <c r="A161" s="63" t="s">
        <v>277</v>
      </c>
      <c r="B161" s="63" t="s">
        <v>278</v>
      </c>
      <c r="C161" s="36">
        <v>4301135932</v>
      </c>
      <c r="D161" s="372">
        <v>4620207491676</v>
      </c>
      <c r="E161" s="372"/>
      <c r="F161" s="62">
        <v>0.2</v>
      </c>
      <c r="G161" s="37">
        <v>12</v>
      </c>
      <c r="H161" s="62">
        <v>2.4</v>
      </c>
      <c r="I161" s="62">
        <v>2.68</v>
      </c>
      <c r="J161" s="37">
        <v>70</v>
      </c>
      <c r="K161" s="37" t="s">
        <v>123</v>
      </c>
      <c r="L161" s="37" t="s">
        <v>88</v>
      </c>
      <c r="M161" s="38" t="s">
        <v>86</v>
      </c>
      <c r="N161" s="38"/>
      <c r="O161" s="37">
        <v>180</v>
      </c>
      <c r="P161" s="443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61" s="374"/>
      <c r="R161" s="374"/>
      <c r="S161" s="374"/>
      <c r="T161" s="375"/>
      <c r="U161" s="39" t="s">
        <v>46</v>
      </c>
      <c r="V161" s="39" t="s">
        <v>46</v>
      </c>
      <c r="W161" s="40" t="s">
        <v>39</v>
      </c>
      <c r="X161" s="58">
        <v>28</v>
      </c>
      <c r="Y161" s="55">
        <f>IFERROR(IF(X161="","",X161),"")</f>
        <v>28</v>
      </c>
      <c r="Z161" s="41">
        <f>IFERROR(IF(X161="","",X161*0.01788),"")</f>
        <v>0.50063999999999997</v>
      </c>
      <c r="AA161" s="68" t="s">
        <v>46</v>
      </c>
      <c r="AB161" s="69" t="s">
        <v>46</v>
      </c>
      <c r="AC161" s="215" t="s">
        <v>273</v>
      </c>
      <c r="AG161" s="81"/>
      <c r="AJ161" s="87" t="s">
        <v>89</v>
      </c>
      <c r="AK161" s="87">
        <v>1</v>
      </c>
      <c r="BB161" s="216" t="s">
        <v>122</v>
      </c>
      <c r="BM161" s="81">
        <f>IFERROR(X161*I161,"0")</f>
        <v>75.040000000000006</v>
      </c>
      <c r="BN161" s="81">
        <f>IFERROR(Y161*I161,"0")</f>
        <v>75.040000000000006</v>
      </c>
      <c r="BO161" s="81">
        <f>IFERROR(X161/J161,"0")</f>
        <v>0.4</v>
      </c>
      <c r="BP161" s="81">
        <f>IFERROR(Y161/J161,"0")</f>
        <v>0.4</v>
      </c>
    </row>
    <row r="162" spans="1:68" x14ac:dyDescent="0.2">
      <c r="A162" s="386"/>
      <c r="B162" s="386"/>
      <c r="C162" s="386"/>
      <c r="D162" s="386"/>
      <c r="E162" s="386"/>
      <c r="F162" s="386"/>
      <c r="G162" s="386"/>
      <c r="H162" s="386"/>
      <c r="I162" s="386"/>
      <c r="J162" s="386"/>
      <c r="K162" s="386"/>
      <c r="L162" s="386"/>
      <c r="M162" s="386"/>
      <c r="N162" s="386"/>
      <c r="O162" s="387"/>
      <c r="P162" s="383" t="s">
        <v>40</v>
      </c>
      <c r="Q162" s="384"/>
      <c r="R162" s="384"/>
      <c r="S162" s="384"/>
      <c r="T162" s="384"/>
      <c r="U162" s="384"/>
      <c r="V162" s="385"/>
      <c r="W162" s="42" t="s">
        <v>39</v>
      </c>
      <c r="X162" s="43">
        <f>IFERROR(SUM(X159:X161),"0")</f>
        <v>28</v>
      </c>
      <c r="Y162" s="43">
        <f>IFERROR(SUM(Y159:Y161),"0")</f>
        <v>28</v>
      </c>
      <c r="Z162" s="43">
        <f>IFERROR(IF(Z159="",0,Z159),"0")+IFERROR(IF(Z160="",0,Z160),"0")+IFERROR(IF(Z161="",0,Z161),"0")</f>
        <v>0.50063999999999997</v>
      </c>
      <c r="AA162" s="67"/>
      <c r="AB162" s="67"/>
      <c r="AC162" s="67"/>
    </row>
    <row r="163" spans="1:68" x14ac:dyDescent="0.2">
      <c r="A163" s="386"/>
      <c r="B163" s="386"/>
      <c r="C163" s="386"/>
      <c r="D163" s="386"/>
      <c r="E163" s="386"/>
      <c r="F163" s="386"/>
      <c r="G163" s="386"/>
      <c r="H163" s="386"/>
      <c r="I163" s="386"/>
      <c r="J163" s="386"/>
      <c r="K163" s="386"/>
      <c r="L163" s="386"/>
      <c r="M163" s="386"/>
      <c r="N163" s="386"/>
      <c r="O163" s="387"/>
      <c r="P163" s="383" t="s">
        <v>40</v>
      </c>
      <c r="Q163" s="384"/>
      <c r="R163" s="384"/>
      <c r="S163" s="384"/>
      <c r="T163" s="384"/>
      <c r="U163" s="384"/>
      <c r="V163" s="385"/>
      <c r="W163" s="42" t="s">
        <v>0</v>
      </c>
      <c r="X163" s="43">
        <f>IFERROR(SUMPRODUCT(X159:X161*H159:H161),"0")</f>
        <v>67.2</v>
      </c>
      <c r="Y163" s="43">
        <f>IFERROR(SUMPRODUCT(Y159:Y161*H159:H161),"0")</f>
        <v>67.2</v>
      </c>
      <c r="Z163" s="42"/>
      <c r="AA163" s="67"/>
      <c r="AB163" s="67"/>
      <c r="AC163" s="67"/>
    </row>
    <row r="164" spans="1:68" ht="16.5" hidden="1" customHeight="1" x14ac:dyDescent="0.25">
      <c r="A164" s="370" t="s">
        <v>279</v>
      </c>
      <c r="B164" s="370"/>
      <c r="C164" s="370"/>
      <c r="D164" s="370"/>
      <c r="E164" s="370"/>
      <c r="F164" s="370"/>
      <c r="G164" s="370"/>
      <c r="H164" s="370"/>
      <c r="I164" s="370"/>
      <c r="J164" s="370"/>
      <c r="K164" s="370"/>
      <c r="L164" s="370"/>
      <c r="M164" s="370"/>
      <c r="N164" s="370"/>
      <c r="O164" s="370"/>
      <c r="P164" s="370"/>
      <c r="Q164" s="370"/>
      <c r="R164" s="370"/>
      <c r="S164" s="370"/>
      <c r="T164" s="370"/>
      <c r="U164" s="370"/>
      <c r="V164" s="370"/>
      <c r="W164" s="370"/>
      <c r="X164" s="370"/>
      <c r="Y164" s="370"/>
      <c r="Z164" s="370"/>
      <c r="AA164" s="65"/>
      <c r="AB164" s="65"/>
      <c r="AC164" s="82"/>
    </row>
    <row r="165" spans="1:68" ht="14.25" hidden="1" customHeight="1" x14ac:dyDescent="0.25">
      <c r="A165" s="371" t="s">
        <v>169</v>
      </c>
      <c r="B165" s="371"/>
      <c r="C165" s="371"/>
      <c r="D165" s="371"/>
      <c r="E165" s="371"/>
      <c r="F165" s="371"/>
      <c r="G165" s="371"/>
      <c r="H165" s="371"/>
      <c r="I165" s="371"/>
      <c r="J165" s="371"/>
      <c r="K165" s="371"/>
      <c r="L165" s="371"/>
      <c r="M165" s="371"/>
      <c r="N165" s="371"/>
      <c r="O165" s="371"/>
      <c r="P165" s="371"/>
      <c r="Q165" s="371"/>
      <c r="R165" s="371"/>
      <c r="S165" s="371"/>
      <c r="T165" s="371"/>
      <c r="U165" s="371"/>
      <c r="V165" s="371"/>
      <c r="W165" s="371"/>
      <c r="X165" s="371"/>
      <c r="Y165" s="371"/>
      <c r="Z165" s="371"/>
      <c r="AA165" s="66"/>
      <c r="AB165" s="66"/>
      <c r="AC165" s="83"/>
    </row>
    <row r="166" spans="1:68" ht="27" customHeight="1" x14ac:dyDescent="0.25">
      <c r="A166" s="63" t="s">
        <v>280</v>
      </c>
      <c r="B166" s="63" t="s">
        <v>281</v>
      </c>
      <c r="C166" s="36">
        <v>4301135940</v>
      </c>
      <c r="D166" s="372">
        <v>4620207491614</v>
      </c>
      <c r="E166" s="372"/>
      <c r="F166" s="62">
        <v>0.25</v>
      </c>
      <c r="G166" s="37">
        <v>12</v>
      </c>
      <c r="H166" s="62">
        <v>3</v>
      </c>
      <c r="I166" s="62">
        <v>3.7035999999999998</v>
      </c>
      <c r="J166" s="37">
        <v>70</v>
      </c>
      <c r="K166" s="37" t="s">
        <v>123</v>
      </c>
      <c r="L166" s="37" t="s">
        <v>88</v>
      </c>
      <c r="M166" s="38" t="s">
        <v>86</v>
      </c>
      <c r="N166" s="38"/>
      <c r="O166" s="37">
        <v>180</v>
      </c>
      <c r="P166" s="444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6" s="374"/>
      <c r="R166" s="374"/>
      <c r="S166" s="374"/>
      <c r="T166" s="375"/>
      <c r="U166" s="39" t="s">
        <v>46</v>
      </c>
      <c r="V166" s="39" t="s">
        <v>46</v>
      </c>
      <c r="W166" s="40" t="s">
        <v>39</v>
      </c>
      <c r="X166" s="58">
        <v>14</v>
      </c>
      <c r="Y166" s="55">
        <f>IFERROR(IF(X166="","",X166),"")</f>
        <v>14</v>
      </c>
      <c r="Z166" s="41">
        <f>IFERROR(IF(X166="","",X166*0.01788),"")</f>
        <v>0.25031999999999999</v>
      </c>
      <c r="AA166" s="68" t="s">
        <v>46</v>
      </c>
      <c r="AB166" s="69" t="s">
        <v>46</v>
      </c>
      <c r="AC166" s="217" t="s">
        <v>172</v>
      </c>
      <c r="AG166" s="81"/>
      <c r="AJ166" s="87" t="s">
        <v>89</v>
      </c>
      <c r="AK166" s="87">
        <v>1</v>
      </c>
      <c r="BB166" s="218" t="s">
        <v>122</v>
      </c>
      <c r="BM166" s="81">
        <f>IFERROR(X166*I166,"0")</f>
        <v>51.850399999999993</v>
      </c>
      <c r="BN166" s="81">
        <f>IFERROR(Y166*I166,"0")</f>
        <v>51.850399999999993</v>
      </c>
      <c r="BO166" s="81">
        <f>IFERROR(X166/J166,"0")</f>
        <v>0.2</v>
      </c>
      <c r="BP166" s="81">
        <f>IFERROR(Y166/J166,"0")</f>
        <v>0.2</v>
      </c>
    </row>
    <row r="167" spans="1:68" x14ac:dyDescent="0.2">
      <c r="A167" s="386"/>
      <c r="B167" s="386"/>
      <c r="C167" s="386"/>
      <c r="D167" s="386"/>
      <c r="E167" s="386"/>
      <c r="F167" s="386"/>
      <c r="G167" s="386"/>
      <c r="H167" s="386"/>
      <c r="I167" s="386"/>
      <c r="J167" s="386"/>
      <c r="K167" s="386"/>
      <c r="L167" s="386"/>
      <c r="M167" s="386"/>
      <c r="N167" s="386"/>
      <c r="O167" s="387"/>
      <c r="P167" s="383" t="s">
        <v>40</v>
      </c>
      <c r="Q167" s="384"/>
      <c r="R167" s="384"/>
      <c r="S167" s="384"/>
      <c r="T167" s="384"/>
      <c r="U167" s="384"/>
      <c r="V167" s="385"/>
      <c r="W167" s="42" t="s">
        <v>39</v>
      </c>
      <c r="X167" s="43">
        <f>IFERROR(SUM(X166:X166),"0")</f>
        <v>14</v>
      </c>
      <c r="Y167" s="43">
        <f>IFERROR(SUM(Y166:Y166),"0")</f>
        <v>14</v>
      </c>
      <c r="Z167" s="43">
        <f>IFERROR(IF(Z166="",0,Z166),"0")</f>
        <v>0.25031999999999999</v>
      </c>
      <c r="AA167" s="67"/>
      <c r="AB167" s="67"/>
      <c r="AC167" s="67"/>
    </row>
    <row r="168" spans="1:68" x14ac:dyDescent="0.2">
      <c r="A168" s="386"/>
      <c r="B168" s="386"/>
      <c r="C168" s="386"/>
      <c r="D168" s="386"/>
      <c r="E168" s="386"/>
      <c r="F168" s="386"/>
      <c r="G168" s="386"/>
      <c r="H168" s="386"/>
      <c r="I168" s="386"/>
      <c r="J168" s="386"/>
      <c r="K168" s="386"/>
      <c r="L168" s="386"/>
      <c r="M168" s="386"/>
      <c r="N168" s="386"/>
      <c r="O168" s="387"/>
      <c r="P168" s="383" t="s">
        <v>40</v>
      </c>
      <c r="Q168" s="384"/>
      <c r="R168" s="384"/>
      <c r="S168" s="384"/>
      <c r="T168" s="384"/>
      <c r="U168" s="384"/>
      <c r="V168" s="385"/>
      <c r="W168" s="42" t="s">
        <v>0</v>
      </c>
      <c r="X168" s="43">
        <f>IFERROR(SUMPRODUCT(X166:X166*H166:H166),"0")</f>
        <v>42</v>
      </c>
      <c r="Y168" s="43">
        <f>IFERROR(SUMPRODUCT(Y166:Y166*H166:H166),"0")</f>
        <v>42</v>
      </c>
      <c r="Z168" s="42"/>
      <c r="AA168" s="67"/>
      <c r="AB168" s="67"/>
      <c r="AC168" s="67"/>
    </row>
    <row r="169" spans="1:68" ht="16.5" hidden="1" customHeight="1" x14ac:dyDescent="0.25">
      <c r="A169" s="370" t="s">
        <v>282</v>
      </c>
      <c r="B169" s="370"/>
      <c r="C169" s="370"/>
      <c r="D169" s="370"/>
      <c r="E169" s="370"/>
      <c r="F169" s="370"/>
      <c r="G169" s="370"/>
      <c r="H169" s="370"/>
      <c r="I169" s="370"/>
      <c r="J169" s="370"/>
      <c r="K169" s="370"/>
      <c r="L169" s="370"/>
      <c r="M169" s="370"/>
      <c r="N169" s="370"/>
      <c r="O169" s="370"/>
      <c r="P169" s="370"/>
      <c r="Q169" s="370"/>
      <c r="R169" s="370"/>
      <c r="S169" s="370"/>
      <c r="T169" s="370"/>
      <c r="U169" s="370"/>
      <c r="V169" s="370"/>
      <c r="W169" s="370"/>
      <c r="X169" s="370"/>
      <c r="Y169" s="370"/>
      <c r="Z169" s="370"/>
      <c r="AA169" s="65"/>
      <c r="AB169" s="65"/>
      <c r="AC169" s="82"/>
    </row>
    <row r="170" spans="1:68" ht="14.25" hidden="1" customHeight="1" x14ac:dyDescent="0.25">
      <c r="A170" s="371" t="s">
        <v>169</v>
      </c>
      <c r="B170" s="371"/>
      <c r="C170" s="371"/>
      <c r="D170" s="371"/>
      <c r="E170" s="371"/>
      <c r="F170" s="371"/>
      <c r="G170" s="371"/>
      <c r="H170" s="371"/>
      <c r="I170" s="371"/>
      <c r="J170" s="371"/>
      <c r="K170" s="371"/>
      <c r="L170" s="371"/>
      <c r="M170" s="371"/>
      <c r="N170" s="371"/>
      <c r="O170" s="371"/>
      <c r="P170" s="371"/>
      <c r="Q170" s="371"/>
      <c r="R170" s="371"/>
      <c r="S170" s="371"/>
      <c r="T170" s="371"/>
      <c r="U170" s="371"/>
      <c r="V170" s="371"/>
      <c r="W170" s="371"/>
      <c r="X170" s="371"/>
      <c r="Y170" s="371"/>
      <c r="Z170" s="371"/>
      <c r="AA170" s="66"/>
      <c r="AB170" s="66"/>
      <c r="AC170" s="83"/>
    </row>
    <row r="171" spans="1:68" ht="16.5" hidden="1" customHeight="1" x14ac:dyDescent="0.25">
      <c r="A171" s="63" t="s">
        <v>283</v>
      </c>
      <c r="B171" s="63" t="s">
        <v>284</v>
      </c>
      <c r="C171" s="36">
        <v>4301135607</v>
      </c>
      <c r="D171" s="372">
        <v>4607111039613</v>
      </c>
      <c r="E171" s="372"/>
      <c r="F171" s="62">
        <v>0.09</v>
      </c>
      <c r="G171" s="37">
        <v>30</v>
      </c>
      <c r="H171" s="62">
        <v>2.7</v>
      </c>
      <c r="I171" s="62">
        <v>3.09</v>
      </c>
      <c r="J171" s="37">
        <v>126</v>
      </c>
      <c r="K171" s="37" t="s">
        <v>123</v>
      </c>
      <c r="L171" s="37" t="s">
        <v>124</v>
      </c>
      <c r="M171" s="38" t="s">
        <v>86</v>
      </c>
      <c r="N171" s="38"/>
      <c r="O171" s="37">
        <v>180</v>
      </c>
      <c r="P171" s="44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1" s="374"/>
      <c r="R171" s="374"/>
      <c r="S171" s="374"/>
      <c r="T171" s="375"/>
      <c r="U171" s="39" t="s">
        <v>46</v>
      </c>
      <c r="V171" s="39" t="s">
        <v>46</v>
      </c>
      <c r="W171" s="40" t="s">
        <v>39</v>
      </c>
      <c r="X171" s="58">
        <v>0</v>
      </c>
      <c r="Y171" s="55">
        <f>IFERROR(IF(X171="","",X171),"")</f>
        <v>0</v>
      </c>
      <c r="Z171" s="41">
        <f>IFERROR(IF(X171="","",X171*0.00936),"")</f>
        <v>0</v>
      </c>
      <c r="AA171" s="68" t="s">
        <v>46</v>
      </c>
      <c r="AB171" s="69" t="s">
        <v>46</v>
      </c>
      <c r="AC171" s="219" t="s">
        <v>285</v>
      </c>
      <c r="AG171" s="81"/>
      <c r="AJ171" s="87" t="s">
        <v>125</v>
      </c>
      <c r="AK171" s="87">
        <v>14</v>
      </c>
      <c r="BB171" s="220" t="s">
        <v>122</v>
      </c>
      <c r="BM171" s="81">
        <f>IFERROR(X171*I171,"0")</f>
        <v>0</v>
      </c>
      <c r="BN171" s="81">
        <f>IFERROR(Y171*I171,"0")</f>
        <v>0</v>
      </c>
      <c r="BO171" s="81">
        <f>IFERROR(X171/J171,"0")</f>
        <v>0</v>
      </c>
      <c r="BP171" s="81">
        <f>IFERROR(Y171/J171,"0")</f>
        <v>0</v>
      </c>
    </row>
    <row r="172" spans="1:68" hidden="1" x14ac:dyDescent="0.2">
      <c r="A172" s="386"/>
      <c r="B172" s="386"/>
      <c r="C172" s="386"/>
      <c r="D172" s="386"/>
      <c r="E172" s="386"/>
      <c r="F172" s="386"/>
      <c r="G172" s="386"/>
      <c r="H172" s="386"/>
      <c r="I172" s="386"/>
      <c r="J172" s="386"/>
      <c r="K172" s="386"/>
      <c r="L172" s="386"/>
      <c r="M172" s="386"/>
      <c r="N172" s="386"/>
      <c r="O172" s="387"/>
      <c r="P172" s="383" t="s">
        <v>40</v>
      </c>
      <c r="Q172" s="384"/>
      <c r="R172" s="384"/>
      <c r="S172" s="384"/>
      <c r="T172" s="384"/>
      <c r="U172" s="384"/>
      <c r="V172" s="385"/>
      <c r="W172" s="42" t="s">
        <v>39</v>
      </c>
      <c r="X172" s="43">
        <f>IFERROR(SUM(X171:X171),"0")</f>
        <v>0</v>
      </c>
      <c r="Y172" s="43">
        <f>IFERROR(SUM(Y171:Y171),"0")</f>
        <v>0</v>
      </c>
      <c r="Z172" s="43">
        <f>IFERROR(IF(Z171="",0,Z171),"0")</f>
        <v>0</v>
      </c>
      <c r="AA172" s="67"/>
      <c r="AB172" s="67"/>
      <c r="AC172" s="67"/>
    </row>
    <row r="173" spans="1:68" hidden="1" x14ac:dyDescent="0.2">
      <c r="A173" s="386"/>
      <c r="B173" s="386"/>
      <c r="C173" s="386"/>
      <c r="D173" s="386"/>
      <c r="E173" s="386"/>
      <c r="F173" s="386"/>
      <c r="G173" s="386"/>
      <c r="H173" s="386"/>
      <c r="I173" s="386"/>
      <c r="J173" s="386"/>
      <c r="K173" s="386"/>
      <c r="L173" s="386"/>
      <c r="M173" s="386"/>
      <c r="N173" s="386"/>
      <c r="O173" s="387"/>
      <c r="P173" s="383" t="s">
        <v>40</v>
      </c>
      <c r="Q173" s="384"/>
      <c r="R173" s="384"/>
      <c r="S173" s="384"/>
      <c r="T173" s="384"/>
      <c r="U173" s="384"/>
      <c r="V173" s="385"/>
      <c r="W173" s="42" t="s">
        <v>0</v>
      </c>
      <c r="X173" s="43">
        <f>IFERROR(SUMPRODUCT(X171:X171*H171:H171),"0")</f>
        <v>0</v>
      </c>
      <c r="Y173" s="43">
        <f>IFERROR(SUMPRODUCT(Y171:Y171*H171:H171),"0")</f>
        <v>0</v>
      </c>
      <c r="Z173" s="42"/>
      <c r="AA173" s="67"/>
      <c r="AB173" s="67"/>
      <c r="AC173" s="67"/>
    </row>
    <row r="174" spans="1:68" ht="16.5" hidden="1" customHeight="1" x14ac:dyDescent="0.25">
      <c r="A174" s="370" t="s">
        <v>286</v>
      </c>
      <c r="B174" s="370"/>
      <c r="C174" s="370"/>
      <c r="D174" s="370"/>
      <c r="E174" s="370"/>
      <c r="F174" s="370"/>
      <c r="G174" s="370"/>
      <c r="H174" s="370"/>
      <c r="I174" s="370"/>
      <c r="J174" s="370"/>
      <c r="K174" s="370"/>
      <c r="L174" s="370"/>
      <c r="M174" s="370"/>
      <c r="N174" s="370"/>
      <c r="O174" s="370"/>
      <c r="P174" s="370"/>
      <c r="Q174" s="370"/>
      <c r="R174" s="370"/>
      <c r="S174" s="370"/>
      <c r="T174" s="370"/>
      <c r="U174" s="370"/>
      <c r="V174" s="370"/>
      <c r="W174" s="370"/>
      <c r="X174" s="370"/>
      <c r="Y174" s="370"/>
      <c r="Z174" s="370"/>
      <c r="AA174" s="65"/>
      <c r="AB174" s="65"/>
      <c r="AC174" s="82"/>
    </row>
    <row r="175" spans="1:68" ht="14.25" hidden="1" customHeight="1" x14ac:dyDescent="0.25">
      <c r="A175" s="371" t="s">
        <v>169</v>
      </c>
      <c r="B175" s="371"/>
      <c r="C175" s="371"/>
      <c r="D175" s="371"/>
      <c r="E175" s="371"/>
      <c r="F175" s="371"/>
      <c r="G175" s="371"/>
      <c r="H175" s="371"/>
      <c r="I175" s="371"/>
      <c r="J175" s="371"/>
      <c r="K175" s="371"/>
      <c r="L175" s="371"/>
      <c r="M175" s="371"/>
      <c r="N175" s="371"/>
      <c r="O175" s="371"/>
      <c r="P175" s="371"/>
      <c r="Q175" s="371"/>
      <c r="R175" s="371"/>
      <c r="S175" s="371"/>
      <c r="T175" s="371"/>
      <c r="U175" s="371"/>
      <c r="V175" s="371"/>
      <c r="W175" s="371"/>
      <c r="X175" s="371"/>
      <c r="Y175" s="371"/>
      <c r="Z175" s="371"/>
      <c r="AA175" s="66"/>
      <c r="AB175" s="66"/>
      <c r="AC175" s="83"/>
    </row>
    <row r="176" spans="1:68" ht="27" customHeight="1" x14ac:dyDescent="0.25">
      <c r="A176" s="63" t="s">
        <v>287</v>
      </c>
      <c r="B176" s="63" t="s">
        <v>288</v>
      </c>
      <c r="C176" s="36">
        <v>4301135912</v>
      </c>
      <c r="D176" s="372">
        <v>4620207491751</v>
      </c>
      <c r="E176" s="372"/>
      <c r="F176" s="62">
        <v>0.28000000000000003</v>
      </c>
      <c r="G176" s="37">
        <v>6</v>
      </c>
      <c r="H176" s="62">
        <v>1.68</v>
      </c>
      <c r="I176" s="62">
        <v>2.1017999999999999</v>
      </c>
      <c r="J176" s="37">
        <v>140</v>
      </c>
      <c r="K176" s="37" t="s">
        <v>123</v>
      </c>
      <c r="L176" s="37" t="s">
        <v>88</v>
      </c>
      <c r="M176" s="38" t="s">
        <v>86</v>
      </c>
      <c r="N176" s="38"/>
      <c r="O176" s="37">
        <v>180</v>
      </c>
      <c r="P176" s="446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6" s="374"/>
      <c r="R176" s="374"/>
      <c r="S176" s="374"/>
      <c r="T176" s="375"/>
      <c r="U176" s="39" t="s">
        <v>46</v>
      </c>
      <c r="V176" s="39" t="s">
        <v>46</v>
      </c>
      <c r="W176" s="40" t="s">
        <v>39</v>
      </c>
      <c r="X176" s="58">
        <v>56</v>
      </c>
      <c r="Y176" s="55">
        <f>IFERROR(IF(X176="","",X176),"")</f>
        <v>56</v>
      </c>
      <c r="Z176" s="41">
        <f>IFERROR(IF(X176="","",X176*0.00941),"")</f>
        <v>0.52695999999999998</v>
      </c>
      <c r="AA176" s="68" t="s">
        <v>46</v>
      </c>
      <c r="AB176" s="69" t="s">
        <v>46</v>
      </c>
      <c r="AC176" s="221" t="s">
        <v>172</v>
      </c>
      <c r="AG176" s="81"/>
      <c r="AJ176" s="87" t="s">
        <v>89</v>
      </c>
      <c r="AK176" s="87">
        <v>1</v>
      </c>
      <c r="BB176" s="222" t="s">
        <v>122</v>
      </c>
      <c r="BM176" s="81">
        <f>IFERROR(X176*I176,"0")</f>
        <v>117.70079999999999</v>
      </c>
      <c r="BN176" s="81">
        <f>IFERROR(Y176*I176,"0")</f>
        <v>117.70079999999999</v>
      </c>
      <c r="BO176" s="81">
        <f>IFERROR(X176/J176,"0")</f>
        <v>0.4</v>
      </c>
      <c r="BP176" s="81">
        <f>IFERROR(Y176/J176,"0")</f>
        <v>0.4</v>
      </c>
    </row>
    <row r="177" spans="1:68" x14ac:dyDescent="0.2">
      <c r="A177" s="386"/>
      <c r="B177" s="386"/>
      <c r="C177" s="386"/>
      <c r="D177" s="386"/>
      <c r="E177" s="386"/>
      <c r="F177" s="386"/>
      <c r="G177" s="386"/>
      <c r="H177" s="386"/>
      <c r="I177" s="386"/>
      <c r="J177" s="386"/>
      <c r="K177" s="386"/>
      <c r="L177" s="386"/>
      <c r="M177" s="386"/>
      <c r="N177" s="386"/>
      <c r="O177" s="387"/>
      <c r="P177" s="383" t="s">
        <v>40</v>
      </c>
      <c r="Q177" s="384"/>
      <c r="R177" s="384"/>
      <c r="S177" s="384"/>
      <c r="T177" s="384"/>
      <c r="U177" s="384"/>
      <c r="V177" s="385"/>
      <c r="W177" s="42" t="s">
        <v>39</v>
      </c>
      <c r="X177" s="43">
        <f>IFERROR(SUM(X176:X176),"0")</f>
        <v>56</v>
      </c>
      <c r="Y177" s="43">
        <f>IFERROR(SUM(Y176:Y176),"0")</f>
        <v>56</v>
      </c>
      <c r="Z177" s="43">
        <f>IFERROR(IF(Z176="",0,Z176),"0")</f>
        <v>0.52695999999999998</v>
      </c>
      <c r="AA177" s="67"/>
      <c r="AB177" s="67"/>
      <c r="AC177" s="67"/>
    </row>
    <row r="178" spans="1:68" x14ac:dyDescent="0.2">
      <c r="A178" s="386"/>
      <c r="B178" s="386"/>
      <c r="C178" s="386"/>
      <c r="D178" s="386"/>
      <c r="E178" s="386"/>
      <c r="F178" s="386"/>
      <c r="G178" s="386"/>
      <c r="H178" s="386"/>
      <c r="I178" s="386"/>
      <c r="J178" s="386"/>
      <c r="K178" s="386"/>
      <c r="L178" s="386"/>
      <c r="M178" s="386"/>
      <c r="N178" s="386"/>
      <c r="O178" s="387"/>
      <c r="P178" s="383" t="s">
        <v>40</v>
      </c>
      <c r="Q178" s="384"/>
      <c r="R178" s="384"/>
      <c r="S178" s="384"/>
      <c r="T178" s="384"/>
      <c r="U178" s="384"/>
      <c r="V178" s="385"/>
      <c r="W178" s="42" t="s">
        <v>0</v>
      </c>
      <c r="X178" s="43">
        <f>IFERROR(SUMPRODUCT(X176:X176*H176:H176),"0")</f>
        <v>94.08</v>
      </c>
      <c r="Y178" s="43">
        <f>IFERROR(SUMPRODUCT(Y176:Y176*H176:H176),"0")</f>
        <v>94.08</v>
      </c>
      <c r="Z178" s="42"/>
      <c r="AA178" s="67"/>
      <c r="AB178" s="67"/>
      <c r="AC178" s="67"/>
    </row>
    <row r="179" spans="1:68" ht="27.75" hidden="1" customHeight="1" x14ac:dyDescent="0.2">
      <c r="A179" s="369" t="s">
        <v>289</v>
      </c>
      <c r="B179" s="369"/>
      <c r="C179" s="369"/>
      <c r="D179" s="369"/>
      <c r="E179" s="369"/>
      <c r="F179" s="369"/>
      <c r="G179" s="369"/>
      <c r="H179" s="369"/>
      <c r="I179" s="369"/>
      <c r="J179" s="369"/>
      <c r="K179" s="369"/>
      <c r="L179" s="369"/>
      <c r="M179" s="369"/>
      <c r="N179" s="369"/>
      <c r="O179" s="369"/>
      <c r="P179" s="369"/>
      <c r="Q179" s="369"/>
      <c r="R179" s="369"/>
      <c r="S179" s="369"/>
      <c r="T179" s="369"/>
      <c r="U179" s="369"/>
      <c r="V179" s="369"/>
      <c r="W179" s="369"/>
      <c r="X179" s="369"/>
      <c r="Y179" s="369"/>
      <c r="Z179" s="369"/>
      <c r="AA179" s="54"/>
      <c r="AB179" s="54"/>
      <c r="AC179" s="54"/>
    </row>
    <row r="180" spans="1:68" ht="16.5" hidden="1" customHeight="1" x14ac:dyDescent="0.25">
      <c r="A180" s="370" t="s">
        <v>290</v>
      </c>
      <c r="B180" s="370"/>
      <c r="C180" s="370"/>
      <c r="D180" s="370"/>
      <c r="E180" s="370"/>
      <c r="F180" s="370"/>
      <c r="G180" s="370"/>
      <c r="H180" s="370"/>
      <c r="I180" s="370"/>
      <c r="J180" s="370"/>
      <c r="K180" s="370"/>
      <c r="L180" s="370"/>
      <c r="M180" s="370"/>
      <c r="N180" s="370"/>
      <c r="O180" s="370"/>
      <c r="P180" s="370"/>
      <c r="Q180" s="370"/>
      <c r="R180" s="370"/>
      <c r="S180" s="370"/>
      <c r="T180" s="370"/>
      <c r="U180" s="370"/>
      <c r="V180" s="370"/>
      <c r="W180" s="370"/>
      <c r="X180" s="370"/>
      <c r="Y180" s="370"/>
      <c r="Z180" s="370"/>
      <c r="AA180" s="65"/>
      <c r="AB180" s="65"/>
      <c r="AC180" s="82"/>
    </row>
    <row r="181" spans="1:68" ht="14.25" hidden="1" customHeight="1" x14ac:dyDescent="0.25">
      <c r="A181" s="371" t="s">
        <v>118</v>
      </c>
      <c r="B181" s="371"/>
      <c r="C181" s="371"/>
      <c r="D181" s="371"/>
      <c r="E181" s="371"/>
      <c r="F181" s="371"/>
      <c r="G181" s="371"/>
      <c r="H181" s="371"/>
      <c r="I181" s="371"/>
      <c r="J181" s="371"/>
      <c r="K181" s="371"/>
      <c r="L181" s="371"/>
      <c r="M181" s="371"/>
      <c r="N181" s="371"/>
      <c r="O181" s="371"/>
      <c r="P181" s="371"/>
      <c r="Q181" s="371"/>
      <c r="R181" s="371"/>
      <c r="S181" s="371"/>
      <c r="T181" s="371"/>
      <c r="U181" s="371"/>
      <c r="V181" s="371"/>
      <c r="W181" s="371"/>
      <c r="X181" s="371"/>
      <c r="Y181" s="371"/>
      <c r="Z181" s="371"/>
      <c r="AA181" s="66"/>
      <c r="AB181" s="66"/>
      <c r="AC181" s="83"/>
    </row>
    <row r="182" spans="1:68" ht="27" customHeight="1" x14ac:dyDescent="0.25">
      <c r="A182" s="63" t="s">
        <v>291</v>
      </c>
      <c r="B182" s="63" t="s">
        <v>292</v>
      </c>
      <c r="C182" s="36">
        <v>4301132226</v>
      </c>
      <c r="D182" s="372">
        <v>4620207490631</v>
      </c>
      <c r="E182" s="372"/>
      <c r="F182" s="62">
        <v>6</v>
      </c>
      <c r="G182" s="37">
        <v>1</v>
      </c>
      <c r="H182" s="62">
        <v>6</v>
      </c>
      <c r="I182" s="62">
        <v>6.2350000000000003</v>
      </c>
      <c r="J182" s="37">
        <v>84</v>
      </c>
      <c r="K182" s="37" t="s">
        <v>87</v>
      </c>
      <c r="L182" s="37" t="s">
        <v>88</v>
      </c>
      <c r="M182" s="38" t="s">
        <v>86</v>
      </c>
      <c r="N182" s="38"/>
      <c r="O182" s="37">
        <v>180</v>
      </c>
      <c r="P182" s="447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82" s="374"/>
      <c r="R182" s="374"/>
      <c r="S182" s="374"/>
      <c r="T182" s="375"/>
      <c r="U182" s="39" t="s">
        <v>46</v>
      </c>
      <c r="V182" s="39" t="s">
        <v>46</v>
      </c>
      <c r="W182" s="40" t="s">
        <v>39</v>
      </c>
      <c r="X182" s="58">
        <v>120</v>
      </c>
      <c r="Y182" s="55">
        <f>IFERROR(IF(X182="","",X182),"")</f>
        <v>120</v>
      </c>
      <c r="Z182" s="41">
        <f>IFERROR(IF(X182="","",X182*0.0155),"")</f>
        <v>1.8599999999999999</v>
      </c>
      <c r="AA182" s="68" t="s">
        <v>46</v>
      </c>
      <c r="AB182" s="69" t="s">
        <v>46</v>
      </c>
      <c r="AC182" s="223" t="s">
        <v>293</v>
      </c>
      <c r="AG182" s="81"/>
      <c r="AJ182" s="87" t="s">
        <v>89</v>
      </c>
      <c r="AK182" s="87">
        <v>1</v>
      </c>
      <c r="BB182" s="224" t="s">
        <v>122</v>
      </c>
      <c r="BM182" s="81">
        <f>IFERROR(X182*I182,"0")</f>
        <v>748.2</v>
      </c>
      <c r="BN182" s="81">
        <f>IFERROR(Y182*I182,"0")</f>
        <v>748.2</v>
      </c>
      <c r="BO182" s="81">
        <f>IFERROR(X182/J182,"0")</f>
        <v>1.4285714285714286</v>
      </c>
      <c r="BP182" s="81">
        <f>IFERROR(Y182/J182,"0")</f>
        <v>1.4285714285714286</v>
      </c>
    </row>
    <row r="183" spans="1:68" x14ac:dyDescent="0.2">
      <c r="A183" s="386"/>
      <c r="B183" s="386"/>
      <c r="C183" s="386"/>
      <c r="D183" s="386"/>
      <c r="E183" s="386"/>
      <c r="F183" s="386"/>
      <c r="G183" s="386"/>
      <c r="H183" s="386"/>
      <c r="I183" s="386"/>
      <c r="J183" s="386"/>
      <c r="K183" s="386"/>
      <c r="L183" s="386"/>
      <c r="M183" s="386"/>
      <c r="N183" s="386"/>
      <c r="O183" s="387"/>
      <c r="P183" s="383" t="s">
        <v>40</v>
      </c>
      <c r="Q183" s="384"/>
      <c r="R183" s="384"/>
      <c r="S183" s="384"/>
      <c r="T183" s="384"/>
      <c r="U183" s="384"/>
      <c r="V183" s="385"/>
      <c r="W183" s="42" t="s">
        <v>39</v>
      </c>
      <c r="X183" s="43">
        <f>IFERROR(SUM(X182:X182),"0")</f>
        <v>120</v>
      </c>
      <c r="Y183" s="43">
        <f>IFERROR(SUM(Y182:Y182),"0")</f>
        <v>120</v>
      </c>
      <c r="Z183" s="43">
        <f>IFERROR(IF(Z182="",0,Z182),"0")</f>
        <v>1.8599999999999999</v>
      </c>
      <c r="AA183" s="67"/>
      <c r="AB183" s="67"/>
      <c r="AC183" s="67"/>
    </row>
    <row r="184" spans="1:68" x14ac:dyDescent="0.2">
      <c r="A184" s="386"/>
      <c r="B184" s="386"/>
      <c r="C184" s="386"/>
      <c r="D184" s="386"/>
      <c r="E184" s="386"/>
      <c r="F184" s="386"/>
      <c r="G184" s="386"/>
      <c r="H184" s="386"/>
      <c r="I184" s="386"/>
      <c r="J184" s="386"/>
      <c r="K184" s="386"/>
      <c r="L184" s="386"/>
      <c r="M184" s="386"/>
      <c r="N184" s="386"/>
      <c r="O184" s="387"/>
      <c r="P184" s="383" t="s">
        <v>40</v>
      </c>
      <c r="Q184" s="384"/>
      <c r="R184" s="384"/>
      <c r="S184" s="384"/>
      <c r="T184" s="384"/>
      <c r="U184" s="384"/>
      <c r="V184" s="385"/>
      <c r="W184" s="42" t="s">
        <v>0</v>
      </c>
      <c r="X184" s="43">
        <f>IFERROR(SUMPRODUCT(X182:X182*H182:H182),"0")</f>
        <v>720</v>
      </c>
      <c r="Y184" s="43">
        <f>IFERROR(SUMPRODUCT(Y182:Y182*H182:H182),"0")</f>
        <v>720</v>
      </c>
      <c r="Z184" s="42"/>
      <c r="AA184" s="67"/>
      <c r="AB184" s="67"/>
      <c r="AC184" s="67"/>
    </row>
    <row r="185" spans="1:68" ht="14.25" hidden="1" customHeight="1" x14ac:dyDescent="0.25">
      <c r="A185" s="371" t="s">
        <v>202</v>
      </c>
      <c r="B185" s="371"/>
      <c r="C185" s="371"/>
      <c r="D185" s="371"/>
      <c r="E185" s="371"/>
      <c r="F185" s="371"/>
      <c r="G185" s="371"/>
      <c r="H185" s="371"/>
      <c r="I185" s="371"/>
      <c r="J185" s="371"/>
      <c r="K185" s="371"/>
      <c r="L185" s="371"/>
      <c r="M185" s="371"/>
      <c r="N185" s="371"/>
      <c r="O185" s="371"/>
      <c r="P185" s="371"/>
      <c r="Q185" s="371"/>
      <c r="R185" s="371"/>
      <c r="S185" s="371"/>
      <c r="T185" s="371"/>
      <c r="U185" s="371"/>
      <c r="V185" s="371"/>
      <c r="W185" s="371"/>
      <c r="X185" s="371"/>
      <c r="Y185" s="371"/>
      <c r="Z185" s="371"/>
      <c r="AA185" s="66"/>
      <c r="AB185" s="66"/>
      <c r="AC185" s="83"/>
    </row>
    <row r="186" spans="1:68" ht="27" hidden="1" customHeight="1" x14ac:dyDescent="0.25">
      <c r="A186" s="63" t="s">
        <v>294</v>
      </c>
      <c r="B186" s="63" t="s">
        <v>295</v>
      </c>
      <c r="C186" s="36">
        <v>4301136001</v>
      </c>
      <c r="D186" s="372">
        <v>4607111035714</v>
      </c>
      <c r="E186" s="372"/>
      <c r="F186" s="62">
        <v>5</v>
      </c>
      <c r="G186" s="37">
        <v>1</v>
      </c>
      <c r="H186" s="62">
        <v>5</v>
      </c>
      <c r="I186" s="62">
        <v>5.2350000000000003</v>
      </c>
      <c r="J186" s="37">
        <v>84</v>
      </c>
      <c r="K186" s="37" t="s">
        <v>87</v>
      </c>
      <c r="L186" s="37" t="s">
        <v>88</v>
      </c>
      <c r="M186" s="38" t="s">
        <v>86</v>
      </c>
      <c r="N186" s="38"/>
      <c r="O186" s="37">
        <v>180</v>
      </c>
      <c r="P186" s="448" t="str">
        <f>HYPERLINK("https://abi.ru/products/Замороженные/No Name/Зареченские продукты/Чебуреки/P002166/","Чебуреки Чебуреки Сочные No Name Весовые No name 5 кг дистр")</f>
        <v>Чебуреки Чебуреки Сочные No Name Весовые No name 5 кг дистр</v>
      </c>
      <c r="Q186" s="374"/>
      <c r="R186" s="374"/>
      <c r="S186" s="374"/>
      <c r="T186" s="375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IFERROR(IF(X186="","",X186*0.0155),"")</f>
        <v>0</v>
      </c>
      <c r="AA186" s="68" t="s">
        <v>46</v>
      </c>
      <c r="AB186" s="69" t="s">
        <v>46</v>
      </c>
      <c r="AC186" s="225" t="s">
        <v>296</v>
      </c>
      <c r="AG186" s="81"/>
      <c r="AJ186" s="87" t="s">
        <v>89</v>
      </c>
      <c r="AK186" s="87">
        <v>1</v>
      </c>
      <c r="BB186" s="226" t="s">
        <v>122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ht="27" hidden="1" customHeight="1" x14ac:dyDescent="0.25">
      <c r="A187" s="63" t="s">
        <v>297</v>
      </c>
      <c r="B187" s="63" t="s">
        <v>298</v>
      </c>
      <c r="C187" s="36">
        <v>4301136046</v>
      </c>
      <c r="D187" s="372">
        <v>4607111038029</v>
      </c>
      <c r="E187" s="372"/>
      <c r="F187" s="62">
        <v>2.2400000000000002</v>
      </c>
      <c r="G187" s="37">
        <v>1</v>
      </c>
      <c r="H187" s="62">
        <v>2.2400000000000002</v>
      </c>
      <c r="I187" s="62">
        <v>2.4319999999999999</v>
      </c>
      <c r="J187" s="37">
        <v>126</v>
      </c>
      <c r="K187" s="37" t="s">
        <v>123</v>
      </c>
      <c r="L187" s="37" t="s">
        <v>88</v>
      </c>
      <c r="M187" s="38" t="s">
        <v>86</v>
      </c>
      <c r="N187" s="38"/>
      <c r="O187" s="37">
        <v>180</v>
      </c>
      <c r="P187" s="449" t="str">
        <f>HYPERLINK("https://abi.ru/products/Замороженные/No Name/Зареченские продукты/Чебуреки/P003435/","Чебуреки «Сочный мегачебурек» Весовой ТМ «No Name»")</f>
        <v>Чебуреки «Сочный мегачебурек» Весовой ТМ «No Name»</v>
      </c>
      <c r="Q187" s="374"/>
      <c r="R187" s="374"/>
      <c r="S187" s="374"/>
      <c r="T187" s="375"/>
      <c r="U187" s="39" t="s">
        <v>46</v>
      </c>
      <c r="V187" s="39" t="s">
        <v>46</v>
      </c>
      <c r="W187" s="40" t="s">
        <v>39</v>
      </c>
      <c r="X187" s="58">
        <v>0</v>
      </c>
      <c r="Y187" s="55">
        <f>IFERROR(IF(X187="","",X187),"")</f>
        <v>0</v>
      </c>
      <c r="Z187" s="41">
        <f>IFERROR(IF(X187="","",X187*0.00936),"")</f>
        <v>0</v>
      </c>
      <c r="AA187" s="68" t="s">
        <v>46</v>
      </c>
      <c r="AB187" s="69" t="s">
        <v>46</v>
      </c>
      <c r="AC187" s="227" t="s">
        <v>299</v>
      </c>
      <c r="AG187" s="81"/>
      <c r="AJ187" s="87" t="s">
        <v>89</v>
      </c>
      <c r="AK187" s="87">
        <v>1</v>
      </c>
      <c r="BB187" s="228" t="s">
        <v>122</v>
      </c>
      <c r="BM187" s="81">
        <f>IFERROR(X187*I187,"0")</f>
        <v>0</v>
      </c>
      <c r="BN187" s="81">
        <f>IFERROR(Y187*I187,"0")</f>
        <v>0</v>
      </c>
      <c r="BO187" s="81">
        <f>IFERROR(X187/J187,"0")</f>
        <v>0</v>
      </c>
      <c r="BP187" s="81">
        <f>IFERROR(Y187/J187,"0")</f>
        <v>0</v>
      </c>
    </row>
    <row r="188" spans="1:68" hidden="1" x14ac:dyDescent="0.2">
      <c r="A188" s="386"/>
      <c r="B188" s="386"/>
      <c r="C188" s="386"/>
      <c r="D188" s="386"/>
      <c r="E188" s="386"/>
      <c r="F188" s="386"/>
      <c r="G188" s="386"/>
      <c r="H188" s="386"/>
      <c r="I188" s="386"/>
      <c r="J188" s="386"/>
      <c r="K188" s="386"/>
      <c r="L188" s="386"/>
      <c r="M188" s="386"/>
      <c r="N188" s="386"/>
      <c r="O188" s="387"/>
      <c r="P188" s="383" t="s">
        <v>40</v>
      </c>
      <c r="Q188" s="384"/>
      <c r="R188" s="384"/>
      <c r="S188" s="384"/>
      <c r="T188" s="384"/>
      <c r="U188" s="384"/>
      <c r="V188" s="385"/>
      <c r="W188" s="42" t="s">
        <v>39</v>
      </c>
      <c r="X188" s="43">
        <f>IFERROR(SUM(X186:X187),"0")</f>
        <v>0</v>
      </c>
      <c r="Y188" s="43">
        <f>IFERROR(SUM(Y186:Y187),"0")</f>
        <v>0</v>
      </c>
      <c r="Z188" s="43">
        <f>IFERROR(IF(Z186="",0,Z186),"0")+IFERROR(IF(Z187="",0,Z187),"0")</f>
        <v>0</v>
      </c>
      <c r="AA188" s="67"/>
      <c r="AB188" s="67"/>
      <c r="AC188" s="67"/>
    </row>
    <row r="189" spans="1:68" hidden="1" x14ac:dyDescent="0.2">
      <c r="A189" s="386"/>
      <c r="B189" s="386"/>
      <c r="C189" s="386"/>
      <c r="D189" s="386"/>
      <c r="E189" s="386"/>
      <c r="F189" s="386"/>
      <c r="G189" s="386"/>
      <c r="H189" s="386"/>
      <c r="I189" s="386"/>
      <c r="J189" s="386"/>
      <c r="K189" s="386"/>
      <c r="L189" s="386"/>
      <c r="M189" s="386"/>
      <c r="N189" s="386"/>
      <c r="O189" s="387"/>
      <c r="P189" s="383" t="s">
        <v>40</v>
      </c>
      <c r="Q189" s="384"/>
      <c r="R189" s="384"/>
      <c r="S189" s="384"/>
      <c r="T189" s="384"/>
      <c r="U189" s="384"/>
      <c r="V189" s="385"/>
      <c r="W189" s="42" t="s">
        <v>0</v>
      </c>
      <c r="X189" s="43">
        <f>IFERROR(SUMPRODUCT(X186:X187*H186:H187),"0")</f>
        <v>0</v>
      </c>
      <c r="Y189" s="43">
        <f>IFERROR(SUMPRODUCT(Y186:Y187*H186:H187),"0")</f>
        <v>0</v>
      </c>
      <c r="Z189" s="42"/>
      <c r="AA189" s="67"/>
      <c r="AB189" s="67"/>
      <c r="AC189" s="67"/>
    </row>
    <row r="190" spans="1:68" ht="14.25" hidden="1" customHeight="1" x14ac:dyDescent="0.25">
      <c r="A190" s="371" t="s">
        <v>169</v>
      </c>
      <c r="B190" s="371"/>
      <c r="C190" s="371"/>
      <c r="D190" s="371"/>
      <c r="E190" s="371"/>
      <c r="F190" s="371"/>
      <c r="G190" s="371"/>
      <c r="H190" s="371"/>
      <c r="I190" s="371"/>
      <c r="J190" s="371"/>
      <c r="K190" s="371"/>
      <c r="L190" s="371"/>
      <c r="M190" s="371"/>
      <c r="N190" s="371"/>
      <c r="O190" s="371"/>
      <c r="P190" s="371"/>
      <c r="Q190" s="371"/>
      <c r="R190" s="371"/>
      <c r="S190" s="371"/>
      <c r="T190" s="371"/>
      <c r="U190" s="371"/>
      <c r="V190" s="371"/>
      <c r="W190" s="371"/>
      <c r="X190" s="371"/>
      <c r="Y190" s="371"/>
      <c r="Z190" s="371"/>
      <c r="AA190" s="66"/>
      <c r="AB190" s="66"/>
      <c r="AC190" s="83"/>
    </row>
    <row r="191" spans="1:68" ht="16.5" hidden="1" customHeight="1" x14ac:dyDescent="0.25">
      <c r="A191" s="63" t="s">
        <v>300</v>
      </c>
      <c r="B191" s="63" t="s">
        <v>301</v>
      </c>
      <c r="C191" s="36">
        <v>4301137080</v>
      </c>
      <c r="D191" s="372">
        <v>4620207492062</v>
      </c>
      <c r="E191" s="372"/>
      <c r="F191" s="62">
        <v>5.5</v>
      </c>
      <c r="G191" s="37">
        <v>1</v>
      </c>
      <c r="H191" s="62">
        <v>5.5</v>
      </c>
      <c r="I191" s="62">
        <v>5.7350000000000003</v>
      </c>
      <c r="J191" s="37">
        <v>84</v>
      </c>
      <c r="K191" s="37" t="s">
        <v>87</v>
      </c>
      <c r="L191" s="37" t="s">
        <v>88</v>
      </c>
      <c r="M191" s="38" t="s">
        <v>86</v>
      </c>
      <c r="N191" s="38"/>
      <c r="O191" s="37">
        <v>180</v>
      </c>
      <c r="P191" s="450" t="str">
        <f>HYPERLINK("https://abi.ru/products/Замороженные/No Name/Зареченские продукты/Снеки/P005749/","Снеки «Жар-мени с мясом» Весовой ТМ «No Name» 5,5 кг")</f>
        <v>Снеки «Жар-мени с мясом» Весовой ТМ «No Name» 5,5 кг</v>
      </c>
      <c r="Q191" s="374"/>
      <c r="R191" s="374"/>
      <c r="S191" s="374"/>
      <c r="T191" s="375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IFERROR(IF(X191="","",X191*0.0155),"")</f>
        <v>0</v>
      </c>
      <c r="AA191" s="68" t="s">
        <v>46</v>
      </c>
      <c r="AB191" s="69" t="s">
        <v>46</v>
      </c>
      <c r="AC191" s="229" t="s">
        <v>302</v>
      </c>
      <c r="AG191" s="81"/>
      <c r="AJ191" s="87" t="s">
        <v>89</v>
      </c>
      <c r="AK191" s="87">
        <v>1</v>
      </c>
      <c r="BB191" s="230" t="s">
        <v>122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ht="27" hidden="1" customHeight="1" x14ac:dyDescent="0.25">
      <c r="A192" s="63" t="s">
        <v>303</v>
      </c>
      <c r="B192" s="63" t="s">
        <v>304</v>
      </c>
      <c r="C192" s="36">
        <v>4301135392</v>
      </c>
      <c r="D192" s="372">
        <v>4607111039132</v>
      </c>
      <c r="E192" s="372"/>
      <c r="F192" s="62">
        <v>3.7</v>
      </c>
      <c r="G192" s="37">
        <v>1</v>
      </c>
      <c r="H192" s="62">
        <v>3.7</v>
      </c>
      <c r="I192" s="62">
        <v>3.8919999999999999</v>
      </c>
      <c r="J192" s="37">
        <v>126</v>
      </c>
      <c r="K192" s="37" t="s">
        <v>123</v>
      </c>
      <c r="L192" s="37" t="s">
        <v>88</v>
      </c>
      <c r="M192" s="38" t="s">
        <v>86</v>
      </c>
      <c r="N192" s="38"/>
      <c r="O192" s="37">
        <v>180</v>
      </c>
      <c r="P192" s="451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92" s="374"/>
      <c r="R192" s="374"/>
      <c r="S192" s="374"/>
      <c r="T192" s="375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IFERROR(IF(X192="","",X192*0.00936),"")</f>
        <v>0</v>
      </c>
      <c r="AA192" s="68" t="s">
        <v>46</v>
      </c>
      <c r="AB192" s="69" t="s">
        <v>46</v>
      </c>
      <c r="AC192" s="231" t="s">
        <v>305</v>
      </c>
      <c r="AG192" s="81"/>
      <c r="AJ192" s="87" t="s">
        <v>89</v>
      </c>
      <c r="AK192" s="87">
        <v>1</v>
      </c>
      <c r="BB192" s="232" t="s">
        <v>122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idden="1" x14ac:dyDescent="0.2">
      <c r="A193" s="386"/>
      <c r="B193" s="386"/>
      <c r="C193" s="386"/>
      <c r="D193" s="386"/>
      <c r="E193" s="386"/>
      <c r="F193" s="386"/>
      <c r="G193" s="386"/>
      <c r="H193" s="386"/>
      <c r="I193" s="386"/>
      <c r="J193" s="386"/>
      <c r="K193" s="386"/>
      <c r="L193" s="386"/>
      <c r="M193" s="386"/>
      <c r="N193" s="386"/>
      <c r="O193" s="387"/>
      <c r="P193" s="383" t="s">
        <v>40</v>
      </c>
      <c r="Q193" s="384"/>
      <c r="R193" s="384"/>
      <c r="S193" s="384"/>
      <c r="T193" s="384"/>
      <c r="U193" s="384"/>
      <c r="V193" s="385"/>
      <c r="W193" s="42" t="s">
        <v>39</v>
      </c>
      <c r="X193" s="43">
        <f>IFERROR(SUM(X191:X192),"0")</f>
        <v>0</v>
      </c>
      <c r="Y193" s="43">
        <f>IFERROR(SUM(Y191:Y192),"0")</f>
        <v>0</v>
      </c>
      <c r="Z193" s="43">
        <f>IFERROR(IF(Z191="",0,Z191),"0")+IFERROR(IF(Z192="",0,Z192),"0")</f>
        <v>0</v>
      </c>
      <c r="AA193" s="67"/>
      <c r="AB193" s="67"/>
      <c r="AC193" s="67"/>
    </row>
    <row r="194" spans="1:68" hidden="1" x14ac:dyDescent="0.2">
      <c r="A194" s="386"/>
      <c r="B194" s="386"/>
      <c r="C194" s="386"/>
      <c r="D194" s="386"/>
      <c r="E194" s="386"/>
      <c r="F194" s="386"/>
      <c r="G194" s="386"/>
      <c r="H194" s="386"/>
      <c r="I194" s="386"/>
      <c r="J194" s="386"/>
      <c r="K194" s="386"/>
      <c r="L194" s="386"/>
      <c r="M194" s="386"/>
      <c r="N194" s="386"/>
      <c r="O194" s="387"/>
      <c r="P194" s="383" t="s">
        <v>40</v>
      </c>
      <c r="Q194" s="384"/>
      <c r="R194" s="384"/>
      <c r="S194" s="384"/>
      <c r="T194" s="384"/>
      <c r="U194" s="384"/>
      <c r="V194" s="385"/>
      <c r="W194" s="42" t="s">
        <v>0</v>
      </c>
      <c r="X194" s="43">
        <f>IFERROR(SUMPRODUCT(X191:X192*H191:H192),"0")</f>
        <v>0</v>
      </c>
      <c r="Y194" s="43">
        <f>IFERROR(SUMPRODUCT(Y191:Y192*H191:H192),"0")</f>
        <v>0</v>
      </c>
      <c r="Z194" s="42"/>
      <c r="AA194" s="67"/>
      <c r="AB194" s="67"/>
      <c r="AC194" s="67"/>
    </row>
    <row r="195" spans="1:68" ht="16.5" hidden="1" customHeight="1" x14ac:dyDescent="0.25">
      <c r="A195" s="370" t="s">
        <v>306</v>
      </c>
      <c r="B195" s="370"/>
      <c r="C195" s="370"/>
      <c r="D195" s="370"/>
      <c r="E195" s="370"/>
      <c r="F195" s="370"/>
      <c r="G195" s="370"/>
      <c r="H195" s="370"/>
      <c r="I195" s="370"/>
      <c r="J195" s="370"/>
      <c r="K195" s="370"/>
      <c r="L195" s="370"/>
      <c r="M195" s="370"/>
      <c r="N195" s="370"/>
      <c r="O195" s="370"/>
      <c r="P195" s="370"/>
      <c r="Q195" s="370"/>
      <c r="R195" s="370"/>
      <c r="S195" s="370"/>
      <c r="T195" s="370"/>
      <c r="U195" s="370"/>
      <c r="V195" s="370"/>
      <c r="W195" s="370"/>
      <c r="X195" s="370"/>
      <c r="Y195" s="370"/>
      <c r="Z195" s="370"/>
      <c r="AA195" s="65"/>
      <c r="AB195" s="65"/>
      <c r="AC195" s="82"/>
    </row>
    <row r="196" spans="1:68" ht="14.25" hidden="1" customHeight="1" x14ac:dyDescent="0.25">
      <c r="A196" s="371" t="s">
        <v>82</v>
      </c>
      <c r="B196" s="371"/>
      <c r="C196" s="371"/>
      <c r="D196" s="371"/>
      <c r="E196" s="371"/>
      <c r="F196" s="371"/>
      <c r="G196" s="371"/>
      <c r="H196" s="371"/>
      <c r="I196" s="371"/>
      <c r="J196" s="371"/>
      <c r="K196" s="371"/>
      <c r="L196" s="371"/>
      <c r="M196" s="371"/>
      <c r="N196" s="371"/>
      <c r="O196" s="371"/>
      <c r="P196" s="371"/>
      <c r="Q196" s="371"/>
      <c r="R196" s="371"/>
      <c r="S196" s="371"/>
      <c r="T196" s="371"/>
      <c r="U196" s="371"/>
      <c r="V196" s="371"/>
      <c r="W196" s="371"/>
      <c r="X196" s="371"/>
      <c r="Y196" s="371"/>
      <c r="Z196" s="371"/>
      <c r="AA196" s="66"/>
      <c r="AB196" s="66"/>
      <c r="AC196" s="83"/>
    </row>
    <row r="197" spans="1:68" ht="16.5" hidden="1" customHeight="1" x14ac:dyDescent="0.25">
      <c r="A197" s="63" t="s">
        <v>307</v>
      </c>
      <c r="B197" s="63" t="s">
        <v>308</v>
      </c>
      <c r="C197" s="36">
        <v>4301071062</v>
      </c>
      <c r="D197" s="372">
        <v>4607111036384</v>
      </c>
      <c r="E197" s="372"/>
      <c r="F197" s="62">
        <v>5</v>
      </c>
      <c r="G197" s="37">
        <v>1</v>
      </c>
      <c r="H197" s="62">
        <v>5</v>
      </c>
      <c r="I197" s="62">
        <v>5.2106000000000003</v>
      </c>
      <c r="J197" s="37">
        <v>144</v>
      </c>
      <c r="K197" s="37" t="s">
        <v>87</v>
      </c>
      <c r="L197" s="37" t="s">
        <v>124</v>
      </c>
      <c r="M197" s="38" t="s">
        <v>86</v>
      </c>
      <c r="N197" s="38"/>
      <c r="O197" s="37">
        <v>180</v>
      </c>
      <c r="P197" s="45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97" s="374"/>
      <c r="R197" s="374"/>
      <c r="S197" s="374"/>
      <c r="T197" s="375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IFERROR(IF(X197="","",X197*0.00866),"")</f>
        <v>0</v>
      </c>
      <c r="AA197" s="68" t="s">
        <v>46</v>
      </c>
      <c r="AB197" s="69" t="s">
        <v>46</v>
      </c>
      <c r="AC197" s="233" t="s">
        <v>309</v>
      </c>
      <c r="AG197" s="81"/>
      <c r="AJ197" s="87" t="s">
        <v>125</v>
      </c>
      <c r="AK197" s="87">
        <v>12</v>
      </c>
      <c r="BB197" s="234" t="s">
        <v>70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ht="27" customHeight="1" x14ac:dyDescent="0.25">
      <c r="A198" s="63" t="s">
        <v>310</v>
      </c>
      <c r="B198" s="63" t="s">
        <v>311</v>
      </c>
      <c r="C198" s="36">
        <v>4301071050</v>
      </c>
      <c r="D198" s="372">
        <v>4607111036216</v>
      </c>
      <c r="E198" s="372"/>
      <c r="F198" s="62">
        <v>5</v>
      </c>
      <c r="G198" s="37">
        <v>1</v>
      </c>
      <c r="H198" s="62">
        <v>5</v>
      </c>
      <c r="I198" s="62">
        <v>5.2131999999999996</v>
      </c>
      <c r="J198" s="37">
        <v>144</v>
      </c>
      <c r="K198" s="37" t="s">
        <v>87</v>
      </c>
      <c r="L198" s="37" t="s">
        <v>124</v>
      </c>
      <c r="M198" s="38" t="s">
        <v>86</v>
      </c>
      <c r="N198" s="38"/>
      <c r="O198" s="37">
        <v>180</v>
      </c>
      <c r="P198" s="45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98" s="374"/>
      <c r="R198" s="374"/>
      <c r="S198" s="374"/>
      <c r="T198" s="375"/>
      <c r="U198" s="39" t="s">
        <v>46</v>
      </c>
      <c r="V198" s="39" t="s">
        <v>46</v>
      </c>
      <c r="W198" s="40" t="s">
        <v>39</v>
      </c>
      <c r="X198" s="58">
        <v>12</v>
      </c>
      <c r="Y198" s="55">
        <f>IFERROR(IF(X198="","",X198),"")</f>
        <v>12</v>
      </c>
      <c r="Z198" s="41">
        <f>IFERROR(IF(X198="","",X198*0.00866),"")</f>
        <v>0.10391999999999998</v>
      </c>
      <c r="AA198" s="68" t="s">
        <v>46</v>
      </c>
      <c r="AB198" s="69" t="s">
        <v>46</v>
      </c>
      <c r="AC198" s="235" t="s">
        <v>312</v>
      </c>
      <c r="AG198" s="81"/>
      <c r="AJ198" s="87" t="s">
        <v>125</v>
      </c>
      <c r="AK198" s="87">
        <v>12</v>
      </c>
      <c r="BB198" s="236" t="s">
        <v>70</v>
      </c>
      <c r="BM198" s="81">
        <f>IFERROR(X198*I198,"0")</f>
        <v>62.558399999999992</v>
      </c>
      <c r="BN198" s="81">
        <f>IFERROR(Y198*I198,"0")</f>
        <v>62.558399999999992</v>
      </c>
      <c r="BO198" s="81">
        <f>IFERROR(X198/J198,"0")</f>
        <v>8.3333333333333329E-2</v>
      </c>
      <c r="BP198" s="81">
        <f>IFERROR(Y198/J198,"0")</f>
        <v>8.3333333333333329E-2</v>
      </c>
    </row>
    <row r="199" spans="1:68" x14ac:dyDescent="0.2">
      <c r="A199" s="386"/>
      <c r="B199" s="386"/>
      <c r="C199" s="386"/>
      <c r="D199" s="386"/>
      <c r="E199" s="386"/>
      <c r="F199" s="386"/>
      <c r="G199" s="386"/>
      <c r="H199" s="386"/>
      <c r="I199" s="386"/>
      <c r="J199" s="386"/>
      <c r="K199" s="386"/>
      <c r="L199" s="386"/>
      <c r="M199" s="386"/>
      <c r="N199" s="386"/>
      <c r="O199" s="387"/>
      <c r="P199" s="383" t="s">
        <v>40</v>
      </c>
      <c r="Q199" s="384"/>
      <c r="R199" s="384"/>
      <c r="S199" s="384"/>
      <c r="T199" s="384"/>
      <c r="U199" s="384"/>
      <c r="V199" s="385"/>
      <c r="W199" s="42" t="s">
        <v>39</v>
      </c>
      <c r="X199" s="43">
        <f>IFERROR(SUM(X197:X198),"0")</f>
        <v>12</v>
      </c>
      <c r="Y199" s="43">
        <f>IFERROR(SUM(Y197:Y198),"0")</f>
        <v>12</v>
      </c>
      <c r="Z199" s="43">
        <f>IFERROR(IF(Z197="",0,Z197),"0")+IFERROR(IF(Z198="",0,Z198),"0")</f>
        <v>0.10391999999999998</v>
      </c>
      <c r="AA199" s="67"/>
      <c r="AB199" s="67"/>
      <c r="AC199" s="67"/>
    </row>
    <row r="200" spans="1:68" x14ac:dyDescent="0.2">
      <c r="A200" s="386"/>
      <c r="B200" s="386"/>
      <c r="C200" s="386"/>
      <c r="D200" s="386"/>
      <c r="E200" s="386"/>
      <c r="F200" s="386"/>
      <c r="G200" s="386"/>
      <c r="H200" s="386"/>
      <c r="I200" s="386"/>
      <c r="J200" s="386"/>
      <c r="K200" s="386"/>
      <c r="L200" s="386"/>
      <c r="M200" s="386"/>
      <c r="N200" s="386"/>
      <c r="O200" s="387"/>
      <c r="P200" s="383" t="s">
        <v>40</v>
      </c>
      <c r="Q200" s="384"/>
      <c r="R200" s="384"/>
      <c r="S200" s="384"/>
      <c r="T200" s="384"/>
      <c r="U200" s="384"/>
      <c r="V200" s="385"/>
      <c r="W200" s="42" t="s">
        <v>0</v>
      </c>
      <c r="X200" s="43">
        <f>IFERROR(SUMPRODUCT(X197:X198*H197:H198),"0")</f>
        <v>60</v>
      </c>
      <c r="Y200" s="43">
        <f>IFERROR(SUMPRODUCT(Y197:Y198*H197:H198),"0")</f>
        <v>60</v>
      </c>
      <c r="Z200" s="42"/>
      <c r="AA200" s="67"/>
      <c r="AB200" s="67"/>
      <c r="AC200" s="67"/>
    </row>
    <row r="201" spans="1:68" ht="16.5" hidden="1" customHeight="1" x14ac:dyDescent="0.25">
      <c r="A201" s="370" t="s">
        <v>313</v>
      </c>
      <c r="B201" s="370"/>
      <c r="C201" s="370"/>
      <c r="D201" s="370"/>
      <c r="E201" s="370"/>
      <c r="F201" s="370"/>
      <c r="G201" s="370"/>
      <c r="H201" s="370"/>
      <c r="I201" s="370"/>
      <c r="J201" s="370"/>
      <c r="K201" s="370"/>
      <c r="L201" s="370"/>
      <c r="M201" s="370"/>
      <c r="N201" s="370"/>
      <c r="O201" s="370"/>
      <c r="P201" s="370"/>
      <c r="Q201" s="370"/>
      <c r="R201" s="370"/>
      <c r="S201" s="370"/>
      <c r="T201" s="370"/>
      <c r="U201" s="370"/>
      <c r="V201" s="370"/>
      <c r="W201" s="370"/>
      <c r="X201" s="370"/>
      <c r="Y201" s="370"/>
      <c r="Z201" s="370"/>
      <c r="AA201" s="65"/>
      <c r="AB201" s="65"/>
      <c r="AC201" s="82"/>
    </row>
    <row r="202" spans="1:68" ht="14.25" hidden="1" customHeight="1" x14ac:dyDescent="0.25">
      <c r="A202" s="371" t="s">
        <v>82</v>
      </c>
      <c r="B202" s="371"/>
      <c r="C202" s="371"/>
      <c r="D202" s="371"/>
      <c r="E202" s="371"/>
      <c r="F202" s="371"/>
      <c r="G202" s="371"/>
      <c r="H202" s="371"/>
      <c r="I202" s="371"/>
      <c r="J202" s="371"/>
      <c r="K202" s="371"/>
      <c r="L202" s="371"/>
      <c r="M202" s="371"/>
      <c r="N202" s="371"/>
      <c r="O202" s="371"/>
      <c r="P202" s="371"/>
      <c r="Q202" s="371"/>
      <c r="R202" s="371"/>
      <c r="S202" s="371"/>
      <c r="T202" s="371"/>
      <c r="U202" s="371"/>
      <c r="V202" s="371"/>
      <c r="W202" s="371"/>
      <c r="X202" s="371"/>
      <c r="Y202" s="371"/>
      <c r="Z202" s="371"/>
      <c r="AA202" s="66"/>
      <c r="AB202" s="66"/>
      <c r="AC202" s="83"/>
    </row>
    <row r="203" spans="1:68" ht="27" customHeight="1" x14ac:dyDescent="0.25">
      <c r="A203" s="63" t="s">
        <v>314</v>
      </c>
      <c r="B203" s="63" t="s">
        <v>315</v>
      </c>
      <c r="C203" s="36">
        <v>4301071117</v>
      </c>
      <c r="D203" s="372">
        <v>4620207491737</v>
      </c>
      <c r="E203" s="372"/>
      <c r="F203" s="62">
        <v>1</v>
      </c>
      <c r="G203" s="37">
        <v>5</v>
      </c>
      <c r="H203" s="62">
        <v>5</v>
      </c>
      <c r="I203" s="62">
        <v>5.2619999999999996</v>
      </c>
      <c r="J203" s="37">
        <v>84</v>
      </c>
      <c r="K203" s="37" t="s">
        <v>87</v>
      </c>
      <c r="L203" s="37" t="s">
        <v>88</v>
      </c>
      <c r="M203" s="38" t="s">
        <v>86</v>
      </c>
      <c r="N203" s="38"/>
      <c r="O203" s="37">
        <v>180</v>
      </c>
      <c r="P203" s="454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203" s="374"/>
      <c r="R203" s="374"/>
      <c r="S203" s="374"/>
      <c r="T203" s="375"/>
      <c r="U203" s="39" t="s">
        <v>46</v>
      </c>
      <c r="V203" s="39" t="s">
        <v>46</v>
      </c>
      <c r="W203" s="40" t="s">
        <v>39</v>
      </c>
      <c r="X203" s="58">
        <v>96</v>
      </c>
      <c r="Y203" s="55">
        <f>IFERROR(IF(X203="","",X203),"")</f>
        <v>96</v>
      </c>
      <c r="Z203" s="41">
        <f>IFERROR(IF(X203="","",X203*0.0155),"")</f>
        <v>1.488</v>
      </c>
      <c r="AA203" s="68" t="s">
        <v>46</v>
      </c>
      <c r="AB203" s="69" t="s">
        <v>46</v>
      </c>
      <c r="AC203" s="237" t="s">
        <v>312</v>
      </c>
      <c r="AG203" s="81"/>
      <c r="AJ203" s="87" t="s">
        <v>89</v>
      </c>
      <c r="AK203" s="87">
        <v>1</v>
      </c>
      <c r="BB203" s="238" t="s">
        <v>70</v>
      </c>
      <c r="BM203" s="81">
        <f>IFERROR(X203*I203,"0")</f>
        <v>505.15199999999993</v>
      </c>
      <c r="BN203" s="81">
        <f>IFERROR(Y203*I203,"0")</f>
        <v>505.15199999999993</v>
      </c>
      <c r="BO203" s="81">
        <f>IFERROR(X203/J203,"0")</f>
        <v>1.1428571428571428</v>
      </c>
      <c r="BP203" s="81">
        <f>IFERROR(Y203/J203,"0")</f>
        <v>1.1428571428571428</v>
      </c>
    </row>
    <row r="204" spans="1:68" x14ac:dyDescent="0.2">
      <c r="A204" s="386"/>
      <c r="B204" s="386"/>
      <c r="C204" s="386"/>
      <c r="D204" s="386"/>
      <c r="E204" s="386"/>
      <c r="F204" s="386"/>
      <c r="G204" s="386"/>
      <c r="H204" s="386"/>
      <c r="I204" s="386"/>
      <c r="J204" s="386"/>
      <c r="K204" s="386"/>
      <c r="L204" s="386"/>
      <c r="M204" s="386"/>
      <c r="N204" s="386"/>
      <c r="O204" s="387"/>
      <c r="P204" s="383" t="s">
        <v>40</v>
      </c>
      <c r="Q204" s="384"/>
      <c r="R204" s="384"/>
      <c r="S204" s="384"/>
      <c r="T204" s="384"/>
      <c r="U204" s="384"/>
      <c r="V204" s="385"/>
      <c r="W204" s="42" t="s">
        <v>39</v>
      </c>
      <c r="X204" s="43">
        <f>IFERROR(SUM(X203:X203),"0")</f>
        <v>96</v>
      </c>
      <c r="Y204" s="43">
        <f>IFERROR(SUM(Y203:Y203),"0")</f>
        <v>96</v>
      </c>
      <c r="Z204" s="43">
        <f>IFERROR(IF(Z203="",0,Z203),"0")</f>
        <v>1.488</v>
      </c>
      <c r="AA204" s="67"/>
      <c r="AB204" s="67"/>
      <c r="AC204" s="67"/>
    </row>
    <row r="205" spans="1:68" x14ac:dyDescent="0.2">
      <c r="A205" s="386"/>
      <c r="B205" s="386"/>
      <c r="C205" s="386"/>
      <c r="D205" s="386"/>
      <c r="E205" s="386"/>
      <c r="F205" s="386"/>
      <c r="G205" s="386"/>
      <c r="H205" s="386"/>
      <c r="I205" s="386"/>
      <c r="J205" s="386"/>
      <c r="K205" s="386"/>
      <c r="L205" s="386"/>
      <c r="M205" s="386"/>
      <c r="N205" s="386"/>
      <c r="O205" s="387"/>
      <c r="P205" s="383" t="s">
        <v>40</v>
      </c>
      <c r="Q205" s="384"/>
      <c r="R205" s="384"/>
      <c r="S205" s="384"/>
      <c r="T205" s="384"/>
      <c r="U205" s="384"/>
      <c r="V205" s="385"/>
      <c r="W205" s="42" t="s">
        <v>0</v>
      </c>
      <c r="X205" s="43">
        <f>IFERROR(SUMPRODUCT(X203:X203*H203:H203),"0")</f>
        <v>480</v>
      </c>
      <c r="Y205" s="43">
        <f>IFERROR(SUMPRODUCT(Y203:Y203*H203:H203),"0")</f>
        <v>480</v>
      </c>
      <c r="Z205" s="42"/>
      <c r="AA205" s="67"/>
      <c r="AB205" s="67"/>
      <c r="AC205" s="67"/>
    </row>
    <row r="206" spans="1:68" ht="27.75" hidden="1" customHeight="1" x14ac:dyDescent="0.2">
      <c r="A206" s="369" t="s">
        <v>316</v>
      </c>
      <c r="B206" s="369"/>
      <c r="C206" s="369"/>
      <c r="D206" s="369"/>
      <c r="E206" s="369"/>
      <c r="F206" s="369"/>
      <c r="G206" s="369"/>
      <c r="H206" s="369"/>
      <c r="I206" s="369"/>
      <c r="J206" s="369"/>
      <c r="K206" s="369"/>
      <c r="L206" s="369"/>
      <c r="M206" s="369"/>
      <c r="N206" s="369"/>
      <c r="O206" s="369"/>
      <c r="P206" s="369"/>
      <c r="Q206" s="369"/>
      <c r="R206" s="369"/>
      <c r="S206" s="369"/>
      <c r="T206" s="369"/>
      <c r="U206" s="369"/>
      <c r="V206" s="369"/>
      <c r="W206" s="369"/>
      <c r="X206" s="369"/>
      <c r="Y206" s="369"/>
      <c r="Z206" s="369"/>
      <c r="AA206" s="54"/>
      <c r="AB206" s="54"/>
      <c r="AC206" s="54"/>
    </row>
    <row r="207" spans="1:68" ht="16.5" hidden="1" customHeight="1" x14ac:dyDescent="0.25">
      <c r="A207" s="370" t="s">
        <v>317</v>
      </c>
      <c r="B207" s="370"/>
      <c r="C207" s="370"/>
      <c r="D207" s="370"/>
      <c r="E207" s="370"/>
      <c r="F207" s="370"/>
      <c r="G207" s="370"/>
      <c r="H207" s="370"/>
      <c r="I207" s="370"/>
      <c r="J207" s="370"/>
      <c r="K207" s="370"/>
      <c r="L207" s="370"/>
      <c r="M207" s="370"/>
      <c r="N207" s="370"/>
      <c r="O207" s="370"/>
      <c r="P207" s="370"/>
      <c r="Q207" s="370"/>
      <c r="R207" s="370"/>
      <c r="S207" s="370"/>
      <c r="T207" s="370"/>
      <c r="U207" s="370"/>
      <c r="V207" s="370"/>
      <c r="W207" s="370"/>
      <c r="X207" s="370"/>
      <c r="Y207" s="370"/>
      <c r="Z207" s="370"/>
      <c r="AA207" s="65"/>
      <c r="AB207" s="65"/>
      <c r="AC207" s="82"/>
    </row>
    <row r="208" spans="1:68" ht="14.25" hidden="1" customHeight="1" x14ac:dyDescent="0.25">
      <c r="A208" s="371" t="s">
        <v>118</v>
      </c>
      <c r="B208" s="371"/>
      <c r="C208" s="371"/>
      <c r="D208" s="371"/>
      <c r="E208" s="371"/>
      <c r="F208" s="371"/>
      <c r="G208" s="371"/>
      <c r="H208" s="371"/>
      <c r="I208" s="371"/>
      <c r="J208" s="371"/>
      <c r="K208" s="371"/>
      <c r="L208" s="371"/>
      <c r="M208" s="371"/>
      <c r="N208" s="371"/>
      <c r="O208" s="371"/>
      <c r="P208" s="371"/>
      <c r="Q208" s="371"/>
      <c r="R208" s="371"/>
      <c r="S208" s="371"/>
      <c r="T208" s="371"/>
      <c r="U208" s="371"/>
      <c r="V208" s="371"/>
      <c r="W208" s="371"/>
      <c r="X208" s="371"/>
      <c r="Y208" s="371"/>
      <c r="Z208" s="371"/>
      <c r="AA208" s="66"/>
      <c r="AB208" s="66"/>
      <c r="AC208" s="83"/>
    </row>
    <row r="209" spans="1:68" ht="16.5" customHeight="1" x14ac:dyDescent="0.25">
      <c r="A209" s="63" t="s">
        <v>318</v>
      </c>
      <c r="B209" s="63" t="s">
        <v>319</v>
      </c>
      <c r="C209" s="36">
        <v>4301132179</v>
      </c>
      <c r="D209" s="372">
        <v>4607111035691</v>
      </c>
      <c r="E209" s="372"/>
      <c r="F209" s="62">
        <v>0.25</v>
      </c>
      <c r="G209" s="37">
        <v>12</v>
      </c>
      <c r="H209" s="62">
        <v>3</v>
      </c>
      <c r="I209" s="62">
        <v>3.3879999999999999</v>
      </c>
      <c r="J209" s="37">
        <v>70</v>
      </c>
      <c r="K209" s="37" t="s">
        <v>123</v>
      </c>
      <c r="L209" s="37" t="s">
        <v>124</v>
      </c>
      <c r="M209" s="38" t="s">
        <v>86</v>
      </c>
      <c r="N209" s="38"/>
      <c r="O209" s="37">
        <v>365</v>
      </c>
      <c r="P209" s="45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209" s="374"/>
      <c r="R209" s="374"/>
      <c r="S209" s="374"/>
      <c r="T209" s="375"/>
      <c r="U209" s="39" t="s">
        <v>46</v>
      </c>
      <c r="V209" s="39" t="s">
        <v>46</v>
      </c>
      <c r="W209" s="40" t="s">
        <v>39</v>
      </c>
      <c r="X209" s="58">
        <v>56</v>
      </c>
      <c r="Y209" s="55">
        <f>IFERROR(IF(X209="","",X209),"")</f>
        <v>56</v>
      </c>
      <c r="Z209" s="41">
        <f>IFERROR(IF(X209="","",X209*0.01788),"")</f>
        <v>1.0012799999999999</v>
      </c>
      <c r="AA209" s="68" t="s">
        <v>46</v>
      </c>
      <c r="AB209" s="69" t="s">
        <v>46</v>
      </c>
      <c r="AC209" s="239" t="s">
        <v>320</v>
      </c>
      <c r="AG209" s="81"/>
      <c r="AJ209" s="87" t="s">
        <v>125</v>
      </c>
      <c r="AK209" s="87">
        <v>14</v>
      </c>
      <c r="BB209" s="240" t="s">
        <v>122</v>
      </c>
      <c r="BM209" s="81">
        <f>IFERROR(X209*I209,"0")</f>
        <v>189.72800000000001</v>
      </c>
      <c r="BN209" s="81">
        <f>IFERROR(Y209*I209,"0")</f>
        <v>189.72800000000001</v>
      </c>
      <c r="BO209" s="81">
        <f>IFERROR(X209/J209,"0")</f>
        <v>0.8</v>
      </c>
      <c r="BP209" s="81">
        <f>IFERROR(Y209/J209,"0")</f>
        <v>0.8</v>
      </c>
    </row>
    <row r="210" spans="1:68" ht="27" customHeight="1" x14ac:dyDescent="0.25">
      <c r="A210" s="63" t="s">
        <v>321</v>
      </c>
      <c r="B210" s="63" t="s">
        <v>322</v>
      </c>
      <c r="C210" s="36">
        <v>4301132182</v>
      </c>
      <c r="D210" s="372">
        <v>4607111035721</v>
      </c>
      <c r="E210" s="372"/>
      <c r="F210" s="62">
        <v>0.25</v>
      </c>
      <c r="G210" s="37">
        <v>12</v>
      </c>
      <c r="H210" s="62">
        <v>3</v>
      </c>
      <c r="I210" s="62">
        <v>3.3879999999999999</v>
      </c>
      <c r="J210" s="37">
        <v>70</v>
      </c>
      <c r="K210" s="37" t="s">
        <v>123</v>
      </c>
      <c r="L210" s="37" t="s">
        <v>124</v>
      </c>
      <c r="M210" s="38" t="s">
        <v>86</v>
      </c>
      <c r="N210" s="38"/>
      <c r="O210" s="37">
        <v>365</v>
      </c>
      <c r="P210" s="45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10" s="374"/>
      <c r="R210" s="374"/>
      <c r="S210" s="374"/>
      <c r="T210" s="375"/>
      <c r="U210" s="39" t="s">
        <v>46</v>
      </c>
      <c r="V210" s="39" t="s">
        <v>46</v>
      </c>
      <c r="W210" s="40" t="s">
        <v>39</v>
      </c>
      <c r="X210" s="58">
        <v>70</v>
      </c>
      <c r="Y210" s="55">
        <f>IFERROR(IF(X210="","",X210),"")</f>
        <v>70</v>
      </c>
      <c r="Z210" s="41">
        <f>IFERROR(IF(X210="","",X210*0.01788),"")</f>
        <v>1.2516</v>
      </c>
      <c r="AA210" s="68" t="s">
        <v>46</v>
      </c>
      <c r="AB210" s="69" t="s">
        <v>46</v>
      </c>
      <c r="AC210" s="241" t="s">
        <v>323</v>
      </c>
      <c r="AG210" s="81"/>
      <c r="AJ210" s="87" t="s">
        <v>125</v>
      </c>
      <c r="AK210" s="87">
        <v>14</v>
      </c>
      <c r="BB210" s="242" t="s">
        <v>122</v>
      </c>
      <c r="BM210" s="81">
        <f>IFERROR(X210*I210,"0")</f>
        <v>237.16</v>
      </c>
      <c r="BN210" s="81">
        <f>IFERROR(Y210*I210,"0")</f>
        <v>237.16</v>
      </c>
      <c r="BO210" s="81">
        <f>IFERROR(X210/J210,"0")</f>
        <v>1</v>
      </c>
      <c r="BP210" s="81">
        <f>IFERROR(Y210/J210,"0")</f>
        <v>1</v>
      </c>
    </row>
    <row r="211" spans="1:68" ht="27" customHeight="1" x14ac:dyDescent="0.25">
      <c r="A211" s="63" t="s">
        <v>324</v>
      </c>
      <c r="B211" s="63" t="s">
        <v>325</v>
      </c>
      <c r="C211" s="36">
        <v>4301132170</v>
      </c>
      <c r="D211" s="372">
        <v>4607111038487</v>
      </c>
      <c r="E211" s="372"/>
      <c r="F211" s="62">
        <v>0.25</v>
      </c>
      <c r="G211" s="37">
        <v>12</v>
      </c>
      <c r="H211" s="62">
        <v>3</v>
      </c>
      <c r="I211" s="62">
        <v>3.7360000000000002</v>
      </c>
      <c r="J211" s="37">
        <v>70</v>
      </c>
      <c r="K211" s="37" t="s">
        <v>123</v>
      </c>
      <c r="L211" s="37" t="s">
        <v>124</v>
      </c>
      <c r="M211" s="38" t="s">
        <v>86</v>
      </c>
      <c r="N211" s="38"/>
      <c r="O211" s="37">
        <v>180</v>
      </c>
      <c r="P211" s="457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11" s="374"/>
      <c r="R211" s="374"/>
      <c r="S211" s="374"/>
      <c r="T211" s="375"/>
      <c r="U211" s="39" t="s">
        <v>46</v>
      </c>
      <c r="V211" s="39" t="s">
        <v>46</v>
      </c>
      <c r="W211" s="40" t="s">
        <v>39</v>
      </c>
      <c r="X211" s="58">
        <v>84</v>
      </c>
      <c r="Y211" s="55">
        <f>IFERROR(IF(X211="","",X211),"")</f>
        <v>84</v>
      </c>
      <c r="Z211" s="41">
        <f>IFERROR(IF(X211="","",X211*0.01788),"")</f>
        <v>1.5019199999999999</v>
      </c>
      <c r="AA211" s="68" t="s">
        <v>46</v>
      </c>
      <c r="AB211" s="69" t="s">
        <v>46</v>
      </c>
      <c r="AC211" s="243" t="s">
        <v>326</v>
      </c>
      <c r="AG211" s="81"/>
      <c r="AJ211" s="87" t="s">
        <v>125</v>
      </c>
      <c r="AK211" s="87">
        <v>14</v>
      </c>
      <c r="BB211" s="244" t="s">
        <v>122</v>
      </c>
      <c r="BM211" s="81">
        <f>IFERROR(X211*I211,"0")</f>
        <v>313.82400000000001</v>
      </c>
      <c r="BN211" s="81">
        <f>IFERROR(Y211*I211,"0")</f>
        <v>313.82400000000001</v>
      </c>
      <c r="BO211" s="81">
        <f>IFERROR(X211/J211,"0")</f>
        <v>1.2</v>
      </c>
      <c r="BP211" s="81">
        <f>IFERROR(Y211/J211,"0")</f>
        <v>1.2</v>
      </c>
    </row>
    <row r="212" spans="1:68" ht="27" customHeight="1" x14ac:dyDescent="0.25">
      <c r="A212" s="63" t="s">
        <v>327</v>
      </c>
      <c r="B212" s="63" t="s">
        <v>328</v>
      </c>
      <c r="C212" s="36">
        <v>4301132243</v>
      </c>
      <c r="D212" s="372">
        <v>4620207491195</v>
      </c>
      <c r="E212" s="372"/>
      <c r="F212" s="62">
        <v>0.23</v>
      </c>
      <c r="G212" s="37">
        <v>12</v>
      </c>
      <c r="H212" s="62">
        <v>2.76</v>
      </c>
      <c r="I212" s="62">
        <v>3.1480000000000001</v>
      </c>
      <c r="J212" s="37">
        <v>70</v>
      </c>
      <c r="K212" s="37" t="s">
        <v>123</v>
      </c>
      <c r="L212" s="37" t="s">
        <v>88</v>
      </c>
      <c r="M212" s="38" t="s">
        <v>86</v>
      </c>
      <c r="N212" s="38"/>
      <c r="O212" s="37">
        <v>180</v>
      </c>
      <c r="P212" s="458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12" s="374"/>
      <c r="R212" s="374"/>
      <c r="S212" s="374"/>
      <c r="T212" s="375"/>
      <c r="U212" s="39" t="s">
        <v>46</v>
      </c>
      <c r="V212" s="39" t="s">
        <v>46</v>
      </c>
      <c r="W212" s="40" t="s">
        <v>39</v>
      </c>
      <c r="X212" s="58">
        <v>28</v>
      </c>
      <c r="Y212" s="55">
        <f>IFERROR(IF(X212="","",X212),"")</f>
        <v>28</v>
      </c>
      <c r="Z212" s="41">
        <f>IFERROR(IF(X212="","",X212*0.01788),"")</f>
        <v>0.50063999999999997</v>
      </c>
      <c r="AA212" s="68" t="s">
        <v>46</v>
      </c>
      <c r="AB212" s="69" t="s">
        <v>46</v>
      </c>
      <c r="AC212" s="245" t="s">
        <v>329</v>
      </c>
      <c r="AG212" s="81"/>
      <c r="AJ212" s="87" t="s">
        <v>89</v>
      </c>
      <c r="AK212" s="87">
        <v>1</v>
      </c>
      <c r="BB212" s="246" t="s">
        <v>122</v>
      </c>
      <c r="BM212" s="81">
        <f>IFERROR(X212*I212,"0")</f>
        <v>88.144000000000005</v>
      </c>
      <c r="BN212" s="81">
        <f>IFERROR(Y212*I212,"0")</f>
        <v>88.144000000000005</v>
      </c>
      <c r="BO212" s="81">
        <f>IFERROR(X212/J212,"0")</f>
        <v>0.4</v>
      </c>
      <c r="BP212" s="81">
        <f>IFERROR(Y212/J212,"0")</f>
        <v>0.4</v>
      </c>
    </row>
    <row r="213" spans="1:68" x14ac:dyDescent="0.2">
      <c r="A213" s="386"/>
      <c r="B213" s="386"/>
      <c r="C213" s="386"/>
      <c r="D213" s="386"/>
      <c r="E213" s="386"/>
      <c r="F213" s="386"/>
      <c r="G213" s="386"/>
      <c r="H213" s="386"/>
      <c r="I213" s="386"/>
      <c r="J213" s="386"/>
      <c r="K213" s="386"/>
      <c r="L213" s="386"/>
      <c r="M213" s="386"/>
      <c r="N213" s="386"/>
      <c r="O213" s="387"/>
      <c r="P213" s="383" t="s">
        <v>40</v>
      </c>
      <c r="Q213" s="384"/>
      <c r="R213" s="384"/>
      <c r="S213" s="384"/>
      <c r="T213" s="384"/>
      <c r="U213" s="384"/>
      <c r="V213" s="385"/>
      <c r="W213" s="42" t="s">
        <v>39</v>
      </c>
      <c r="X213" s="43">
        <f>IFERROR(SUM(X209:X212),"0")</f>
        <v>238</v>
      </c>
      <c r="Y213" s="43">
        <f>IFERROR(SUM(Y209:Y212),"0")</f>
        <v>238</v>
      </c>
      <c r="Z213" s="43">
        <f>IFERROR(IF(Z209="",0,Z209),"0")+IFERROR(IF(Z210="",0,Z210),"0")+IFERROR(IF(Z211="",0,Z211),"0")+IFERROR(IF(Z212="",0,Z212),"0")</f>
        <v>4.2554400000000001</v>
      </c>
      <c r="AA213" s="67"/>
      <c r="AB213" s="67"/>
      <c r="AC213" s="67"/>
    </row>
    <row r="214" spans="1:68" x14ac:dyDescent="0.2">
      <c r="A214" s="386"/>
      <c r="B214" s="386"/>
      <c r="C214" s="386"/>
      <c r="D214" s="386"/>
      <c r="E214" s="386"/>
      <c r="F214" s="386"/>
      <c r="G214" s="386"/>
      <c r="H214" s="386"/>
      <c r="I214" s="386"/>
      <c r="J214" s="386"/>
      <c r="K214" s="386"/>
      <c r="L214" s="386"/>
      <c r="M214" s="386"/>
      <c r="N214" s="386"/>
      <c r="O214" s="387"/>
      <c r="P214" s="383" t="s">
        <v>40</v>
      </c>
      <c r="Q214" s="384"/>
      <c r="R214" s="384"/>
      <c r="S214" s="384"/>
      <c r="T214" s="384"/>
      <c r="U214" s="384"/>
      <c r="V214" s="385"/>
      <c r="W214" s="42" t="s">
        <v>0</v>
      </c>
      <c r="X214" s="43">
        <f>IFERROR(SUMPRODUCT(X209:X212*H209:H212),"0")</f>
        <v>707.28</v>
      </c>
      <c r="Y214" s="43">
        <f>IFERROR(SUMPRODUCT(Y209:Y212*H209:H212),"0")</f>
        <v>707.28</v>
      </c>
      <c r="Z214" s="42"/>
      <c r="AA214" s="67"/>
      <c r="AB214" s="67"/>
      <c r="AC214" s="67"/>
    </row>
    <row r="215" spans="1:68" ht="27.75" hidden="1" customHeight="1" x14ac:dyDescent="0.2">
      <c r="A215" s="369" t="s">
        <v>330</v>
      </c>
      <c r="B215" s="369"/>
      <c r="C215" s="369"/>
      <c r="D215" s="369"/>
      <c r="E215" s="369"/>
      <c r="F215" s="369"/>
      <c r="G215" s="369"/>
      <c r="H215" s="369"/>
      <c r="I215" s="369"/>
      <c r="J215" s="369"/>
      <c r="K215" s="369"/>
      <c r="L215" s="369"/>
      <c r="M215" s="369"/>
      <c r="N215" s="369"/>
      <c r="O215" s="369"/>
      <c r="P215" s="369"/>
      <c r="Q215" s="369"/>
      <c r="R215" s="369"/>
      <c r="S215" s="369"/>
      <c r="T215" s="369"/>
      <c r="U215" s="369"/>
      <c r="V215" s="369"/>
      <c r="W215" s="369"/>
      <c r="X215" s="369"/>
      <c r="Y215" s="369"/>
      <c r="Z215" s="369"/>
      <c r="AA215" s="54"/>
      <c r="AB215" s="54"/>
      <c r="AC215" s="54"/>
    </row>
    <row r="216" spans="1:68" ht="16.5" hidden="1" customHeight="1" x14ac:dyDescent="0.25">
      <c r="A216" s="370" t="s">
        <v>331</v>
      </c>
      <c r="B216" s="370"/>
      <c r="C216" s="370"/>
      <c r="D216" s="370"/>
      <c r="E216" s="370"/>
      <c r="F216" s="370"/>
      <c r="G216" s="370"/>
      <c r="H216" s="370"/>
      <c r="I216" s="370"/>
      <c r="J216" s="370"/>
      <c r="K216" s="370"/>
      <c r="L216" s="370"/>
      <c r="M216" s="370"/>
      <c r="N216" s="370"/>
      <c r="O216" s="370"/>
      <c r="P216" s="370"/>
      <c r="Q216" s="370"/>
      <c r="R216" s="370"/>
      <c r="S216" s="370"/>
      <c r="T216" s="370"/>
      <c r="U216" s="370"/>
      <c r="V216" s="370"/>
      <c r="W216" s="370"/>
      <c r="X216" s="370"/>
      <c r="Y216" s="370"/>
      <c r="Z216" s="370"/>
      <c r="AA216" s="65"/>
      <c r="AB216" s="65"/>
      <c r="AC216" s="82"/>
    </row>
    <row r="217" spans="1:68" ht="14.25" hidden="1" customHeight="1" x14ac:dyDescent="0.25">
      <c r="A217" s="371" t="s">
        <v>118</v>
      </c>
      <c r="B217" s="371"/>
      <c r="C217" s="371"/>
      <c r="D217" s="371"/>
      <c r="E217" s="371"/>
      <c r="F217" s="371"/>
      <c r="G217" s="371"/>
      <c r="H217" s="371"/>
      <c r="I217" s="371"/>
      <c r="J217" s="371"/>
      <c r="K217" s="371"/>
      <c r="L217" s="371"/>
      <c r="M217" s="371"/>
      <c r="N217" s="371"/>
      <c r="O217" s="371"/>
      <c r="P217" s="371"/>
      <c r="Q217" s="371"/>
      <c r="R217" s="371"/>
      <c r="S217" s="371"/>
      <c r="T217" s="371"/>
      <c r="U217" s="371"/>
      <c r="V217" s="371"/>
      <c r="W217" s="371"/>
      <c r="X217" s="371"/>
      <c r="Y217" s="371"/>
      <c r="Z217" s="371"/>
      <c r="AA217" s="66"/>
      <c r="AB217" s="66"/>
      <c r="AC217" s="83"/>
    </row>
    <row r="218" spans="1:68" ht="27" customHeight="1" x14ac:dyDescent="0.25">
      <c r="A218" s="63" t="s">
        <v>332</v>
      </c>
      <c r="B218" s="63" t="s">
        <v>333</v>
      </c>
      <c r="C218" s="36">
        <v>4301132227</v>
      </c>
      <c r="D218" s="372">
        <v>4620207491133</v>
      </c>
      <c r="E218" s="372"/>
      <c r="F218" s="62">
        <v>0.23</v>
      </c>
      <c r="G218" s="37">
        <v>12</v>
      </c>
      <c r="H218" s="62">
        <v>2.76</v>
      </c>
      <c r="I218" s="62">
        <v>2.98</v>
      </c>
      <c r="J218" s="37">
        <v>70</v>
      </c>
      <c r="K218" s="37" t="s">
        <v>123</v>
      </c>
      <c r="L218" s="37" t="s">
        <v>124</v>
      </c>
      <c r="M218" s="38" t="s">
        <v>86</v>
      </c>
      <c r="N218" s="38"/>
      <c r="O218" s="37">
        <v>180</v>
      </c>
      <c r="P218" s="45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18" s="374"/>
      <c r="R218" s="374"/>
      <c r="S218" s="374"/>
      <c r="T218" s="375"/>
      <c r="U218" s="39" t="s">
        <v>46</v>
      </c>
      <c r="V218" s="39" t="s">
        <v>46</v>
      </c>
      <c r="W218" s="40" t="s">
        <v>39</v>
      </c>
      <c r="X218" s="58">
        <v>56</v>
      </c>
      <c r="Y218" s="55">
        <f>IFERROR(IF(X218="","",X218),"")</f>
        <v>56</v>
      </c>
      <c r="Z218" s="41">
        <f>IFERROR(IF(X218="","",X218*0.01788),"")</f>
        <v>1.0012799999999999</v>
      </c>
      <c r="AA218" s="68" t="s">
        <v>46</v>
      </c>
      <c r="AB218" s="69" t="s">
        <v>46</v>
      </c>
      <c r="AC218" s="247" t="s">
        <v>334</v>
      </c>
      <c r="AG218" s="81"/>
      <c r="AJ218" s="87" t="s">
        <v>125</v>
      </c>
      <c r="AK218" s="87">
        <v>14</v>
      </c>
      <c r="BB218" s="248" t="s">
        <v>122</v>
      </c>
      <c r="BM218" s="81">
        <f>IFERROR(X218*I218,"0")</f>
        <v>166.88</v>
      </c>
      <c r="BN218" s="81">
        <f>IFERROR(Y218*I218,"0")</f>
        <v>166.88</v>
      </c>
      <c r="BO218" s="81">
        <f>IFERROR(X218/J218,"0")</f>
        <v>0.8</v>
      </c>
      <c r="BP218" s="81">
        <f>IFERROR(Y218/J218,"0")</f>
        <v>0.8</v>
      </c>
    </row>
    <row r="219" spans="1:68" x14ac:dyDescent="0.2">
      <c r="A219" s="386"/>
      <c r="B219" s="386"/>
      <c r="C219" s="386"/>
      <c r="D219" s="386"/>
      <c r="E219" s="386"/>
      <c r="F219" s="386"/>
      <c r="G219" s="386"/>
      <c r="H219" s="386"/>
      <c r="I219" s="386"/>
      <c r="J219" s="386"/>
      <c r="K219" s="386"/>
      <c r="L219" s="386"/>
      <c r="M219" s="386"/>
      <c r="N219" s="386"/>
      <c r="O219" s="387"/>
      <c r="P219" s="383" t="s">
        <v>40</v>
      </c>
      <c r="Q219" s="384"/>
      <c r="R219" s="384"/>
      <c r="S219" s="384"/>
      <c r="T219" s="384"/>
      <c r="U219" s="384"/>
      <c r="V219" s="385"/>
      <c r="W219" s="42" t="s">
        <v>39</v>
      </c>
      <c r="X219" s="43">
        <f>IFERROR(SUM(X218:X218),"0")</f>
        <v>56</v>
      </c>
      <c r="Y219" s="43">
        <f>IFERROR(SUM(Y218:Y218),"0")</f>
        <v>56</v>
      </c>
      <c r="Z219" s="43">
        <f>IFERROR(IF(Z218="",0,Z218),"0")</f>
        <v>1.0012799999999999</v>
      </c>
      <c r="AA219" s="67"/>
      <c r="AB219" s="67"/>
      <c r="AC219" s="67"/>
    </row>
    <row r="220" spans="1:68" x14ac:dyDescent="0.2">
      <c r="A220" s="386"/>
      <c r="B220" s="386"/>
      <c r="C220" s="386"/>
      <c r="D220" s="386"/>
      <c r="E220" s="386"/>
      <c r="F220" s="386"/>
      <c r="G220" s="386"/>
      <c r="H220" s="386"/>
      <c r="I220" s="386"/>
      <c r="J220" s="386"/>
      <c r="K220" s="386"/>
      <c r="L220" s="386"/>
      <c r="M220" s="386"/>
      <c r="N220" s="386"/>
      <c r="O220" s="387"/>
      <c r="P220" s="383" t="s">
        <v>40</v>
      </c>
      <c r="Q220" s="384"/>
      <c r="R220" s="384"/>
      <c r="S220" s="384"/>
      <c r="T220" s="384"/>
      <c r="U220" s="384"/>
      <c r="V220" s="385"/>
      <c r="W220" s="42" t="s">
        <v>0</v>
      </c>
      <c r="X220" s="43">
        <f>IFERROR(SUMPRODUCT(X218:X218*H218:H218),"0")</f>
        <v>154.56</v>
      </c>
      <c r="Y220" s="43">
        <f>IFERROR(SUMPRODUCT(Y218:Y218*H218:H218),"0")</f>
        <v>154.56</v>
      </c>
      <c r="Z220" s="42"/>
      <c r="AA220" s="67"/>
      <c r="AB220" s="67"/>
      <c r="AC220" s="67"/>
    </row>
    <row r="221" spans="1:68" ht="14.25" hidden="1" customHeight="1" x14ac:dyDescent="0.25">
      <c r="A221" s="371" t="s">
        <v>169</v>
      </c>
      <c r="B221" s="371"/>
      <c r="C221" s="371"/>
      <c r="D221" s="371"/>
      <c r="E221" s="371"/>
      <c r="F221" s="371"/>
      <c r="G221" s="371"/>
      <c r="H221" s="371"/>
      <c r="I221" s="371"/>
      <c r="J221" s="371"/>
      <c r="K221" s="371"/>
      <c r="L221" s="371"/>
      <c r="M221" s="371"/>
      <c r="N221" s="371"/>
      <c r="O221" s="371"/>
      <c r="P221" s="371"/>
      <c r="Q221" s="371"/>
      <c r="R221" s="371"/>
      <c r="S221" s="371"/>
      <c r="T221" s="371"/>
      <c r="U221" s="371"/>
      <c r="V221" s="371"/>
      <c r="W221" s="371"/>
      <c r="X221" s="371"/>
      <c r="Y221" s="371"/>
      <c r="Z221" s="371"/>
      <c r="AA221" s="66"/>
      <c r="AB221" s="66"/>
      <c r="AC221" s="83"/>
    </row>
    <row r="222" spans="1:68" ht="27" hidden="1" customHeight="1" x14ac:dyDescent="0.25">
      <c r="A222" s="63" t="s">
        <v>335</v>
      </c>
      <c r="B222" s="63" t="s">
        <v>336</v>
      </c>
      <c r="C222" s="36">
        <v>4301135834</v>
      </c>
      <c r="D222" s="372">
        <v>4620207491188</v>
      </c>
      <c r="E222" s="372"/>
      <c r="F222" s="62">
        <v>0.2</v>
      </c>
      <c r="G222" s="37">
        <v>12</v>
      </c>
      <c r="H222" s="62">
        <v>2.4</v>
      </c>
      <c r="I222" s="62">
        <v>3.1036000000000001</v>
      </c>
      <c r="J222" s="37">
        <v>70</v>
      </c>
      <c r="K222" s="37" t="s">
        <v>123</v>
      </c>
      <c r="L222" s="37" t="s">
        <v>88</v>
      </c>
      <c r="M222" s="38" t="s">
        <v>86</v>
      </c>
      <c r="N222" s="38"/>
      <c r="O222" s="37">
        <v>180</v>
      </c>
      <c r="P222" s="460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22" s="374"/>
      <c r="R222" s="374"/>
      <c r="S222" s="374"/>
      <c r="T222" s="375"/>
      <c r="U222" s="39" t="s">
        <v>46</v>
      </c>
      <c r="V222" s="39" t="s">
        <v>46</v>
      </c>
      <c r="W222" s="40" t="s">
        <v>39</v>
      </c>
      <c r="X222" s="58">
        <v>0</v>
      </c>
      <c r="Y222" s="55">
        <f>IFERROR(IF(X222="","",X222),"")</f>
        <v>0</v>
      </c>
      <c r="Z222" s="41">
        <f>IFERROR(IF(X222="","",X222*0.01788),"")</f>
        <v>0</v>
      </c>
      <c r="AA222" s="68" t="s">
        <v>46</v>
      </c>
      <c r="AB222" s="69" t="s">
        <v>46</v>
      </c>
      <c r="AC222" s="249" t="s">
        <v>337</v>
      </c>
      <c r="AG222" s="81"/>
      <c r="AJ222" s="87" t="s">
        <v>89</v>
      </c>
      <c r="AK222" s="87">
        <v>1</v>
      </c>
      <c r="BB222" s="250" t="s">
        <v>122</v>
      </c>
      <c r="BM222" s="81">
        <f>IFERROR(X222*I222,"0")</f>
        <v>0</v>
      </c>
      <c r="BN222" s="81">
        <f>IFERROR(Y222*I222,"0")</f>
        <v>0</v>
      </c>
      <c r="BO222" s="81">
        <f>IFERROR(X222/J222,"0")</f>
        <v>0</v>
      </c>
      <c r="BP222" s="81">
        <f>IFERROR(Y222/J222,"0")</f>
        <v>0</v>
      </c>
    </row>
    <row r="223" spans="1:68" ht="27" hidden="1" customHeight="1" x14ac:dyDescent="0.25">
      <c r="A223" s="63" t="s">
        <v>338</v>
      </c>
      <c r="B223" s="63" t="s">
        <v>339</v>
      </c>
      <c r="C223" s="36">
        <v>4301135696</v>
      </c>
      <c r="D223" s="372">
        <v>4620207490235</v>
      </c>
      <c r="E223" s="372"/>
      <c r="F223" s="62">
        <v>0.2</v>
      </c>
      <c r="G223" s="37">
        <v>12</v>
      </c>
      <c r="H223" s="62">
        <v>2.4</v>
      </c>
      <c r="I223" s="62">
        <v>3.1036000000000001</v>
      </c>
      <c r="J223" s="37">
        <v>70</v>
      </c>
      <c r="K223" s="37" t="s">
        <v>123</v>
      </c>
      <c r="L223" s="37" t="s">
        <v>124</v>
      </c>
      <c r="M223" s="38" t="s">
        <v>86</v>
      </c>
      <c r="N223" s="38"/>
      <c r="O223" s="37">
        <v>180</v>
      </c>
      <c r="P223" s="461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23" s="374"/>
      <c r="R223" s="374"/>
      <c r="S223" s="374"/>
      <c r="T223" s="375"/>
      <c r="U223" s="39" t="s">
        <v>46</v>
      </c>
      <c r="V223" s="39" t="s">
        <v>46</v>
      </c>
      <c r="W223" s="40" t="s">
        <v>39</v>
      </c>
      <c r="X223" s="58">
        <v>0</v>
      </c>
      <c r="Y223" s="55">
        <f>IFERROR(IF(X223="","",X223),"")</f>
        <v>0</v>
      </c>
      <c r="Z223" s="41">
        <f>IFERROR(IF(X223="","",X223*0.01788),"")</f>
        <v>0</v>
      </c>
      <c r="AA223" s="68" t="s">
        <v>46</v>
      </c>
      <c r="AB223" s="69" t="s">
        <v>46</v>
      </c>
      <c r="AC223" s="251" t="s">
        <v>340</v>
      </c>
      <c r="AG223" s="81"/>
      <c r="AJ223" s="87" t="s">
        <v>125</v>
      </c>
      <c r="AK223" s="87">
        <v>14</v>
      </c>
      <c r="BB223" s="252" t="s">
        <v>122</v>
      </c>
      <c r="BM223" s="81">
        <f>IFERROR(X223*I223,"0")</f>
        <v>0</v>
      </c>
      <c r="BN223" s="81">
        <f>IFERROR(Y223*I223,"0")</f>
        <v>0</v>
      </c>
      <c r="BO223" s="81">
        <f>IFERROR(X223/J223,"0")</f>
        <v>0</v>
      </c>
      <c r="BP223" s="81">
        <f>IFERROR(Y223/J223,"0")</f>
        <v>0</v>
      </c>
    </row>
    <row r="224" spans="1:68" ht="27" hidden="1" customHeight="1" x14ac:dyDescent="0.25">
      <c r="A224" s="63" t="s">
        <v>341</v>
      </c>
      <c r="B224" s="63" t="s">
        <v>342</v>
      </c>
      <c r="C224" s="36">
        <v>4301135697</v>
      </c>
      <c r="D224" s="372">
        <v>4620207490259</v>
      </c>
      <c r="E224" s="372"/>
      <c r="F224" s="62">
        <v>0.2</v>
      </c>
      <c r="G224" s="37">
        <v>12</v>
      </c>
      <c r="H224" s="62">
        <v>2.4</v>
      </c>
      <c r="I224" s="62">
        <v>3.1036000000000001</v>
      </c>
      <c r="J224" s="37">
        <v>70</v>
      </c>
      <c r="K224" s="37" t="s">
        <v>123</v>
      </c>
      <c r="L224" s="37" t="s">
        <v>124</v>
      </c>
      <c r="M224" s="38" t="s">
        <v>86</v>
      </c>
      <c r="N224" s="38"/>
      <c r="O224" s="37">
        <v>180</v>
      </c>
      <c r="P224" s="46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24" s="374"/>
      <c r="R224" s="374"/>
      <c r="S224" s="374"/>
      <c r="T224" s="375"/>
      <c r="U224" s="39" t="s">
        <v>46</v>
      </c>
      <c r="V224" s="39" t="s">
        <v>46</v>
      </c>
      <c r="W224" s="40" t="s">
        <v>39</v>
      </c>
      <c r="X224" s="58">
        <v>0</v>
      </c>
      <c r="Y224" s="55">
        <f>IFERROR(IF(X224="","",X224),"")</f>
        <v>0</v>
      </c>
      <c r="Z224" s="41">
        <f>IFERROR(IF(X224="","",X224*0.01788),"")</f>
        <v>0</v>
      </c>
      <c r="AA224" s="68" t="s">
        <v>46</v>
      </c>
      <c r="AB224" s="69" t="s">
        <v>46</v>
      </c>
      <c r="AC224" s="253" t="s">
        <v>343</v>
      </c>
      <c r="AG224" s="81"/>
      <c r="AJ224" s="87" t="s">
        <v>125</v>
      </c>
      <c r="AK224" s="87">
        <v>14</v>
      </c>
      <c r="BB224" s="254" t="s">
        <v>122</v>
      </c>
      <c r="BM224" s="81">
        <f>IFERROR(X224*I224,"0")</f>
        <v>0</v>
      </c>
      <c r="BN224" s="81">
        <f>IFERROR(Y224*I224,"0")</f>
        <v>0</v>
      </c>
      <c r="BO224" s="81">
        <f>IFERROR(X224/J224,"0")</f>
        <v>0</v>
      </c>
      <c r="BP224" s="81">
        <f>IFERROR(Y224/J224,"0")</f>
        <v>0</v>
      </c>
    </row>
    <row r="225" spans="1:68" hidden="1" x14ac:dyDescent="0.2">
      <c r="A225" s="386"/>
      <c r="B225" s="386"/>
      <c r="C225" s="386"/>
      <c r="D225" s="386"/>
      <c r="E225" s="386"/>
      <c r="F225" s="386"/>
      <c r="G225" s="386"/>
      <c r="H225" s="386"/>
      <c r="I225" s="386"/>
      <c r="J225" s="386"/>
      <c r="K225" s="386"/>
      <c r="L225" s="386"/>
      <c r="M225" s="386"/>
      <c r="N225" s="386"/>
      <c r="O225" s="387"/>
      <c r="P225" s="383" t="s">
        <v>40</v>
      </c>
      <c r="Q225" s="384"/>
      <c r="R225" s="384"/>
      <c r="S225" s="384"/>
      <c r="T225" s="384"/>
      <c r="U225" s="384"/>
      <c r="V225" s="385"/>
      <c r="W225" s="42" t="s">
        <v>39</v>
      </c>
      <c r="X225" s="43">
        <f>IFERROR(SUM(X222:X224),"0")</f>
        <v>0</v>
      </c>
      <c r="Y225" s="43">
        <f>IFERROR(SUM(Y222:Y224),"0")</f>
        <v>0</v>
      </c>
      <c r="Z225" s="43">
        <f>IFERROR(IF(Z222="",0,Z222),"0")+IFERROR(IF(Z223="",0,Z223),"0")+IFERROR(IF(Z224="",0,Z224),"0")</f>
        <v>0</v>
      </c>
      <c r="AA225" s="67"/>
      <c r="AB225" s="67"/>
      <c r="AC225" s="67"/>
    </row>
    <row r="226" spans="1:68" hidden="1" x14ac:dyDescent="0.2">
      <c r="A226" s="386"/>
      <c r="B226" s="386"/>
      <c r="C226" s="386"/>
      <c r="D226" s="386"/>
      <c r="E226" s="386"/>
      <c r="F226" s="386"/>
      <c r="G226" s="386"/>
      <c r="H226" s="386"/>
      <c r="I226" s="386"/>
      <c r="J226" s="386"/>
      <c r="K226" s="386"/>
      <c r="L226" s="386"/>
      <c r="M226" s="386"/>
      <c r="N226" s="386"/>
      <c r="O226" s="387"/>
      <c r="P226" s="383" t="s">
        <v>40</v>
      </c>
      <c r="Q226" s="384"/>
      <c r="R226" s="384"/>
      <c r="S226" s="384"/>
      <c r="T226" s="384"/>
      <c r="U226" s="384"/>
      <c r="V226" s="385"/>
      <c r="W226" s="42" t="s">
        <v>0</v>
      </c>
      <c r="X226" s="43">
        <f>IFERROR(SUMPRODUCT(X222:X224*H222:H224),"0")</f>
        <v>0</v>
      </c>
      <c r="Y226" s="43">
        <f>IFERROR(SUMPRODUCT(Y222:Y224*H222:H224),"0")</f>
        <v>0</v>
      </c>
      <c r="Z226" s="42"/>
      <c r="AA226" s="67"/>
      <c r="AB226" s="67"/>
      <c r="AC226" s="67"/>
    </row>
    <row r="227" spans="1:68" ht="16.5" hidden="1" customHeight="1" x14ac:dyDescent="0.25">
      <c r="A227" s="370" t="s">
        <v>344</v>
      </c>
      <c r="B227" s="370"/>
      <c r="C227" s="370"/>
      <c r="D227" s="370"/>
      <c r="E227" s="370"/>
      <c r="F227" s="370"/>
      <c r="G227" s="370"/>
      <c r="H227" s="370"/>
      <c r="I227" s="370"/>
      <c r="J227" s="370"/>
      <c r="K227" s="370"/>
      <c r="L227" s="370"/>
      <c r="M227" s="370"/>
      <c r="N227" s="370"/>
      <c r="O227" s="370"/>
      <c r="P227" s="370"/>
      <c r="Q227" s="370"/>
      <c r="R227" s="370"/>
      <c r="S227" s="370"/>
      <c r="T227" s="370"/>
      <c r="U227" s="370"/>
      <c r="V227" s="370"/>
      <c r="W227" s="370"/>
      <c r="X227" s="370"/>
      <c r="Y227" s="370"/>
      <c r="Z227" s="370"/>
      <c r="AA227" s="65"/>
      <c r="AB227" s="65"/>
      <c r="AC227" s="82"/>
    </row>
    <row r="228" spans="1:68" ht="14.25" hidden="1" customHeight="1" x14ac:dyDescent="0.25">
      <c r="A228" s="371" t="s">
        <v>169</v>
      </c>
      <c r="B228" s="371"/>
      <c r="C228" s="371"/>
      <c r="D228" s="371"/>
      <c r="E228" s="371"/>
      <c r="F228" s="371"/>
      <c r="G228" s="371"/>
      <c r="H228" s="371"/>
      <c r="I228" s="371"/>
      <c r="J228" s="371"/>
      <c r="K228" s="371"/>
      <c r="L228" s="371"/>
      <c r="M228" s="371"/>
      <c r="N228" s="371"/>
      <c r="O228" s="371"/>
      <c r="P228" s="371"/>
      <c r="Q228" s="371"/>
      <c r="R228" s="371"/>
      <c r="S228" s="371"/>
      <c r="T228" s="371"/>
      <c r="U228" s="371"/>
      <c r="V228" s="371"/>
      <c r="W228" s="371"/>
      <c r="X228" s="371"/>
      <c r="Y228" s="371"/>
      <c r="Z228" s="371"/>
      <c r="AA228" s="66"/>
      <c r="AB228" s="66"/>
      <c r="AC228" s="83"/>
    </row>
    <row r="229" spans="1:68" ht="27" hidden="1" customHeight="1" x14ac:dyDescent="0.25">
      <c r="A229" s="63" t="s">
        <v>345</v>
      </c>
      <c r="B229" s="63" t="s">
        <v>346</v>
      </c>
      <c r="C229" s="36">
        <v>4301135854</v>
      </c>
      <c r="D229" s="372">
        <v>4620207491706</v>
      </c>
      <c r="E229" s="372"/>
      <c r="F229" s="62">
        <v>0.2</v>
      </c>
      <c r="G229" s="37">
        <v>12</v>
      </c>
      <c r="H229" s="62">
        <v>2.4</v>
      </c>
      <c r="I229" s="62">
        <v>3.1036000000000001</v>
      </c>
      <c r="J229" s="37">
        <v>70</v>
      </c>
      <c r="K229" s="37" t="s">
        <v>123</v>
      </c>
      <c r="L229" s="37" t="s">
        <v>88</v>
      </c>
      <c r="M229" s="38" t="s">
        <v>86</v>
      </c>
      <c r="N229" s="38"/>
      <c r="O229" s="37">
        <v>180</v>
      </c>
      <c r="P229" s="463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29" s="374"/>
      <c r="R229" s="374"/>
      <c r="S229" s="374"/>
      <c r="T229" s="375"/>
      <c r="U229" s="39" t="s">
        <v>46</v>
      </c>
      <c r="V229" s="39" t="s">
        <v>46</v>
      </c>
      <c r="W229" s="40" t="s">
        <v>39</v>
      </c>
      <c r="X229" s="58">
        <v>0</v>
      </c>
      <c r="Y229" s="55">
        <f>IFERROR(IF(X229="","",X229),"")</f>
        <v>0</v>
      </c>
      <c r="Z229" s="41">
        <f>IFERROR(IF(X229="","",X229*0.01788),"")</f>
        <v>0</v>
      </c>
      <c r="AA229" s="68" t="s">
        <v>46</v>
      </c>
      <c r="AB229" s="69" t="s">
        <v>46</v>
      </c>
      <c r="AC229" s="255" t="s">
        <v>347</v>
      </c>
      <c r="AG229" s="81"/>
      <c r="AJ229" s="87" t="s">
        <v>89</v>
      </c>
      <c r="AK229" s="87">
        <v>1</v>
      </c>
      <c r="BB229" s="256" t="s">
        <v>122</v>
      </c>
      <c r="BM229" s="81">
        <f>IFERROR(X229*I229,"0")</f>
        <v>0</v>
      </c>
      <c r="BN229" s="81">
        <f>IFERROR(Y229*I229,"0")</f>
        <v>0</v>
      </c>
      <c r="BO229" s="81">
        <f>IFERROR(X229/J229,"0")</f>
        <v>0</v>
      </c>
      <c r="BP229" s="81">
        <f>IFERROR(Y229/J229,"0")</f>
        <v>0</v>
      </c>
    </row>
    <row r="230" spans="1:68" ht="27" hidden="1" customHeight="1" x14ac:dyDescent="0.25">
      <c r="A230" s="63" t="s">
        <v>348</v>
      </c>
      <c r="B230" s="63" t="s">
        <v>349</v>
      </c>
      <c r="C230" s="36">
        <v>4301135895</v>
      </c>
      <c r="D230" s="372">
        <v>4620207491522</v>
      </c>
      <c r="E230" s="372"/>
      <c r="F230" s="62">
        <v>0.28000000000000003</v>
      </c>
      <c r="G230" s="37">
        <v>12</v>
      </c>
      <c r="H230" s="62">
        <v>3.36</v>
      </c>
      <c r="I230" s="62">
        <v>4.0636000000000001</v>
      </c>
      <c r="J230" s="37">
        <v>70</v>
      </c>
      <c r="K230" s="37" t="s">
        <v>123</v>
      </c>
      <c r="L230" s="37" t="s">
        <v>88</v>
      </c>
      <c r="M230" s="38" t="s">
        <v>86</v>
      </c>
      <c r="N230" s="38"/>
      <c r="O230" s="37">
        <v>180</v>
      </c>
      <c r="P230" s="464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30" s="374"/>
      <c r="R230" s="374"/>
      <c r="S230" s="374"/>
      <c r="T230" s="375"/>
      <c r="U230" s="39" t="s">
        <v>46</v>
      </c>
      <c r="V230" s="39" t="s">
        <v>46</v>
      </c>
      <c r="W230" s="40" t="s">
        <v>39</v>
      </c>
      <c r="X230" s="58">
        <v>0</v>
      </c>
      <c r="Y230" s="55">
        <f>IFERROR(IF(X230="","",X230),"")</f>
        <v>0</v>
      </c>
      <c r="Z230" s="41">
        <f>IFERROR(IF(X230="","",X230*0.01788),"")</f>
        <v>0</v>
      </c>
      <c r="AA230" s="68" t="s">
        <v>46</v>
      </c>
      <c r="AB230" s="69" t="s">
        <v>46</v>
      </c>
      <c r="AC230" s="257" t="s">
        <v>350</v>
      </c>
      <c r="AG230" s="81"/>
      <c r="AJ230" s="87" t="s">
        <v>89</v>
      </c>
      <c r="AK230" s="87">
        <v>1</v>
      </c>
      <c r="BB230" s="258" t="s">
        <v>122</v>
      </c>
      <c r="BM230" s="81">
        <f>IFERROR(X230*I230,"0")</f>
        <v>0</v>
      </c>
      <c r="BN230" s="81">
        <f>IFERROR(Y230*I230,"0")</f>
        <v>0</v>
      </c>
      <c r="BO230" s="81">
        <f>IFERROR(X230/J230,"0")</f>
        <v>0</v>
      </c>
      <c r="BP230" s="81">
        <f>IFERROR(Y230/J230,"0")</f>
        <v>0</v>
      </c>
    </row>
    <row r="231" spans="1:68" hidden="1" x14ac:dyDescent="0.2">
      <c r="A231" s="386"/>
      <c r="B231" s="386"/>
      <c r="C231" s="386"/>
      <c r="D231" s="386"/>
      <c r="E231" s="386"/>
      <c r="F231" s="386"/>
      <c r="G231" s="386"/>
      <c r="H231" s="386"/>
      <c r="I231" s="386"/>
      <c r="J231" s="386"/>
      <c r="K231" s="386"/>
      <c r="L231" s="386"/>
      <c r="M231" s="386"/>
      <c r="N231" s="386"/>
      <c r="O231" s="387"/>
      <c r="P231" s="383" t="s">
        <v>40</v>
      </c>
      <c r="Q231" s="384"/>
      <c r="R231" s="384"/>
      <c r="S231" s="384"/>
      <c r="T231" s="384"/>
      <c r="U231" s="384"/>
      <c r="V231" s="385"/>
      <c r="W231" s="42" t="s">
        <v>39</v>
      </c>
      <c r="X231" s="43">
        <f>IFERROR(SUM(X229:X230),"0")</f>
        <v>0</v>
      </c>
      <c r="Y231" s="43">
        <f>IFERROR(SUM(Y229:Y230),"0")</f>
        <v>0</v>
      </c>
      <c r="Z231" s="43">
        <f>IFERROR(IF(Z229="",0,Z229),"0")+IFERROR(IF(Z230="",0,Z230),"0")</f>
        <v>0</v>
      </c>
      <c r="AA231" s="67"/>
      <c r="AB231" s="67"/>
      <c r="AC231" s="67"/>
    </row>
    <row r="232" spans="1:68" hidden="1" x14ac:dyDescent="0.2">
      <c r="A232" s="386"/>
      <c r="B232" s="386"/>
      <c r="C232" s="386"/>
      <c r="D232" s="386"/>
      <c r="E232" s="386"/>
      <c r="F232" s="386"/>
      <c r="G232" s="386"/>
      <c r="H232" s="386"/>
      <c r="I232" s="386"/>
      <c r="J232" s="386"/>
      <c r="K232" s="386"/>
      <c r="L232" s="386"/>
      <c r="M232" s="386"/>
      <c r="N232" s="386"/>
      <c r="O232" s="387"/>
      <c r="P232" s="383" t="s">
        <v>40</v>
      </c>
      <c r="Q232" s="384"/>
      <c r="R232" s="384"/>
      <c r="S232" s="384"/>
      <c r="T232" s="384"/>
      <c r="U232" s="384"/>
      <c r="V232" s="385"/>
      <c r="W232" s="42" t="s">
        <v>0</v>
      </c>
      <c r="X232" s="43">
        <f>IFERROR(SUMPRODUCT(X229:X230*H229:H230),"0")</f>
        <v>0</v>
      </c>
      <c r="Y232" s="43">
        <f>IFERROR(SUMPRODUCT(Y229:Y230*H229:H230),"0")</f>
        <v>0</v>
      </c>
      <c r="Z232" s="42"/>
      <c r="AA232" s="67"/>
      <c r="AB232" s="67"/>
      <c r="AC232" s="67"/>
    </row>
    <row r="233" spans="1:68" ht="16.5" hidden="1" customHeight="1" x14ac:dyDescent="0.25">
      <c r="A233" s="370" t="s">
        <v>351</v>
      </c>
      <c r="B233" s="370"/>
      <c r="C233" s="370"/>
      <c r="D233" s="370"/>
      <c r="E233" s="370"/>
      <c r="F233" s="370"/>
      <c r="G233" s="370"/>
      <c r="H233" s="370"/>
      <c r="I233" s="370"/>
      <c r="J233" s="370"/>
      <c r="K233" s="370"/>
      <c r="L233" s="370"/>
      <c r="M233" s="370"/>
      <c r="N233" s="370"/>
      <c r="O233" s="370"/>
      <c r="P233" s="370"/>
      <c r="Q233" s="370"/>
      <c r="R233" s="370"/>
      <c r="S233" s="370"/>
      <c r="T233" s="370"/>
      <c r="U233" s="370"/>
      <c r="V233" s="370"/>
      <c r="W233" s="370"/>
      <c r="X233" s="370"/>
      <c r="Y233" s="370"/>
      <c r="Z233" s="370"/>
      <c r="AA233" s="65"/>
      <c r="AB233" s="65"/>
      <c r="AC233" s="82"/>
    </row>
    <row r="234" spans="1:68" ht="14.25" hidden="1" customHeight="1" x14ac:dyDescent="0.25">
      <c r="A234" s="371" t="s">
        <v>82</v>
      </c>
      <c r="B234" s="371"/>
      <c r="C234" s="371"/>
      <c r="D234" s="371"/>
      <c r="E234" s="371"/>
      <c r="F234" s="371"/>
      <c r="G234" s="371"/>
      <c r="H234" s="371"/>
      <c r="I234" s="371"/>
      <c r="J234" s="371"/>
      <c r="K234" s="371"/>
      <c r="L234" s="371"/>
      <c r="M234" s="371"/>
      <c r="N234" s="371"/>
      <c r="O234" s="371"/>
      <c r="P234" s="371"/>
      <c r="Q234" s="371"/>
      <c r="R234" s="371"/>
      <c r="S234" s="371"/>
      <c r="T234" s="371"/>
      <c r="U234" s="371"/>
      <c r="V234" s="371"/>
      <c r="W234" s="371"/>
      <c r="X234" s="371"/>
      <c r="Y234" s="371"/>
      <c r="Z234" s="371"/>
      <c r="AA234" s="66"/>
      <c r="AB234" s="66"/>
      <c r="AC234" s="83"/>
    </row>
    <row r="235" spans="1:68" ht="27" customHeight="1" x14ac:dyDescent="0.25">
      <c r="A235" s="63" t="s">
        <v>352</v>
      </c>
      <c r="B235" s="63" t="s">
        <v>353</v>
      </c>
      <c r="C235" s="36">
        <v>4301071097</v>
      </c>
      <c r="D235" s="372">
        <v>4620207491096</v>
      </c>
      <c r="E235" s="372"/>
      <c r="F235" s="62">
        <v>1</v>
      </c>
      <c r="G235" s="37">
        <v>5</v>
      </c>
      <c r="H235" s="62">
        <v>5</v>
      </c>
      <c r="I235" s="62">
        <v>5.23</v>
      </c>
      <c r="J235" s="37">
        <v>84</v>
      </c>
      <c r="K235" s="37" t="s">
        <v>87</v>
      </c>
      <c r="L235" s="37" t="s">
        <v>124</v>
      </c>
      <c r="M235" s="38" t="s">
        <v>86</v>
      </c>
      <c r="N235" s="38"/>
      <c r="O235" s="37">
        <v>180</v>
      </c>
      <c r="P235" s="46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35" s="374"/>
      <c r="R235" s="374"/>
      <c r="S235" s="374"/>
      <c r="T235" s="375"/>
      <c r="U235" s="39" t="s">
        <v>46</v>
      </c>
      <c r="V235" s="39" t="s">
        <v>46</v>
      </c>
      <c r="W235" s="40" t="s">
        <v>39</v>
      </c>
      <c r="X235" s="58">
        <v>96</v>
      </c>
      <c r="Y235" s="55">
        <f>IFERROR(IF(X235="","",X235),"")</f>
        <v>96</v>
      </c>
      <c r="Z235" s="41">
        <f>IFERROR(IF(X235="","",X235*0.0155),"")</f>
        <v>1.488</v>
      </c>
      <c r="AA235" s="68" t="s">
        <v>46</v>
      </c>
      <c r="AB235" s="69" t="s">
        <v>46</v>
      </c>
      <c r="AC235" s="259" t="s">
        <v>354</v>
      </c>
      <c r="AG235" s="81"/>
      <c r="AJ235" s="87" t="s">
        <v>125</v>
      </c>
      <c r="AK235" s="87">
        <v>12</v>
      </c>
      <c r="BB235" s="260" t="s">
        <v>70</v>
      </c>
      <c r="BM235" s="81">
        <f>IFERROR(X235*I235,"0")</f>
        <v>502.08000000000004</v>
      </c>
      <c r="BN235" s="81">
        <f>IFERROR(Y235*I235,"0")</f>
        <v>502.08000000000004</v>
      </c>
      <c r="BO235" s="81">
        <f>IFERROR(X235/J235,"0")</f>
        <v>1.1428571428571428</v>
      </c>
      <c r="BP235" s="81">
        <f>IFERROR(Y235/J235,"0")</f>
        <v>1.1428571428571428</v>
      </c>
    </row>
    <row r="236" spans="1:68" x14ac:dyDescent="0.2">
      <c r="A236" s="386"/>
      <c r="B236" s="386"/>
      <c r="C236" s="386"/>
      <c r="D236" s="386"/>
      <c r="E236" s="386"/>
      <c r="F236" s="386"/>
      <c r="G236" s="386"/>
      <c r="H236" s="386"/>
      <c r="I236" s="386"/>
      <c r="J236" s="386"/>
      <c r="K236" s="386"/>
      <c r="L236" s="386"/>
      <c r="M236" s="386"/>
      <c r="N236" s="386"/>
      <c r="O236" s="387"/>
      <c r="P236" s="383" t="s">
        <v>40</v>
      </c>
      <c r="Q236" s="384"/>
      <c r="R236" s="384"/>
      <c r="S236" s="384"/>
      <c r="T236" s="384"/>
      <c r="U236" s="384"/>
      <c r="V236" s="385"/>
      <c r="W236" s="42" t="s">
        <v>39</v>
      </c>
      <c r="X236" s="43">
        <f>IFERROR(SUM(X235:X235),"0")</f>
        <v>96</v>
      </c>
      <c r="Y236" s="43">
        <f>IFERROR(SUM(Y235:Y235),"0")</f>
        <v>96</v>
      </c>
      <c r="Z236" s="43">
        <f>IFERROR(IF(Z235="",0,Z235),"0")</f>
        <v>1.488</v>
      </c>
      <c r="AA236" s="67"/>
      <c r="AB236" s="67"/>
      <c r="AC236" s="67"/>
    </row>
    <row r="237" spans="1:68" x14ac:dyDescent="0.2">
      <c r="A237" s="386"/>
      <c r="B237" s="386"/>
      <c r="C237" s="386"/>
      <c r="D237" s="386"/>
      <c r="E237" s="386"/>
      <c r="F237" s="386"/>
      <c r="G237" s="386"/>
      <c r="H237" s="386"/>
      <c r="I237" s="386"/>
      <c r="J237" s="386"/>
      <c r="K237" s="386"/>
      <c r="L237" s="386"/>
      <c r="M237" s="386"/>
      <c r="N237" s="386"/>
      <c r="O237" s="387"/>
      <c r="P237" s="383" t="s">
        <v>40</v>
      </c>
      <c r="Q237" s="384"/>
      <c r="R237" s="384"/>
      <c r="S237" s="384"/>
      <c r="T237" s="384"/>
      <c r="U237" s="384"/>
      <c r="V237" s="385"/>
      <c r="W237" s="42" t="s">
        <v>0</v>
      </c>
      <c r="X237" s="43">
        <f>IFERROR(SUMPRODUCT(X235:X235*H235:H235),"0")</f>
        <v>480</v>
      </c>
      <c r="Y237" s="43">
        <f>IFERROR(SUMPRODUCT(Y235:Y235*H235:H235),"0")</f>
        <v>480</v>
      </c>
      <c r="Z237" s="42"/>
      <c r="AA237" s="67"/>
      <c r="AB237" s="67"/>
      <c r="AC237" s="67"/>
    </row>
    <row r="238" spans="1:68" ht="27.75" hidden="1" customHeight="1" x14ac:dyDescent="0.2">
      <c r="A238" s="369" t="s">
        <v>355</v>
      </c>
      <c r="B238" s="369"/>
      <c r="C238" s="369"/>
      <c r="D238" s="369"/>
      <c r="E238" s="369"/>
      <c r="F238" s="369"/>
      <c r="G238" s="369"/>
      <c r="H238" s="369"/>
      <c r="I238" s="369"/>
      <c r="J238" s="369"/>
      <c r="K238" s="369"/>
      <c r="L238" s="369"/>
      <c r="M238" s="369"/>
      <c r="N238" s="369"/>
      <c r="O238" s="369"/>
      <c r="P238" s="369"/>
      <c r="Q238" s="369"/>
      <c r="R238" s="369"/>
      <c r="S238" s="369"/>
      <c r="T238" s="369"/>
      <c r="U238" s="369"/>
      <c r="V238" s="369"/>
      <c r="W238" s="369"/>
      <c r="X238" s="369"/>
      <c r="Y238" s="369"/>
      <c r="Z238" s="369"/>
      <c r="AA238" s="54"/>
      <c r="AB238" s="54"/>
      <c r="AC238" s="54"/>
    </row>
    <row r="239" spans="1:68" ht="16.5" hidden="1" customHeight="1" x14ac:dyDescent="0.25">
      <c r="A239" s="370" t="s">
        <v>356</v>
      </c>
      <c r="B239" s="370"/>
      <c r="C239" s="370"/>
      <c r="D239" s="370"/>
      <c r="E239" s="370"/>
      <c r="F239" s="370"/>
      <c r="G239" s="370"/>
      <c r="H239" s="370"/>
      <c r="I239" s="370"/>
      <c r="J239" s="370"/>
      <c r="K239" s="370"/>
      <c r="L239" s="370"/>
      <c r="M239" s="370"/>
      <c r="N239" s="370"/>
      <c r="O239" s="370"/>
      <c r="P239" s="370"/>
      <c r="Q239" s="370"/>
      <c r="R239" s="370"/>
      <c r="S239" s="370"/>
      <c r="T239" s="370"/>
      <c r="U239" s="370"/>
      <c r="V239" s="370"/>
      <c r="W239" s="370"/>
      <c r="X239" s="370"/>
      <c r="Y239" s="370"/>
      <c r="Z239" s="370"/>
      <c r="AA239" s="65"/>
      <c r="AB239" s="65"/>
      <c r="AC239" s="82"/>
    </row>
    <row r="240" spans="1:68" ht="14.25" hidden="1" customHeight="1" x14ac:dyDescent="0.25">
      <c r="A240" s="371" t="s">
        <v>82</v>
      </c>
      <c r="B240" s="371"/>
      <c r="C240" s="371"/>
      <c r="D240" s="371"/>
      <c r="E240" s="371"/>
      <c r="F240" s="371"/>
      <c r="G240" s="371"/>
      <c r="H240" s="371"/>
      <c r="I240" s="371"/>
      <c r="J240" s="371"/>
      <c r="K240" s="371"/>
      <c r="L240" s="371"/>
      <c r="M240" s="371"/>
      <c r="N240" s="371"/>
      <c r="O240" s="371"/>
      <c r="P240" s="371"/>
      <c r="Q240" s="371"/>
      <c r="R240" s="371"/>
      <c r="S240" s="371"/>
      <c r="T240" s="371"/>
      <c r="U240" s="371"/>
      <c r="V240" s="371"/>
      <c r="W240" s="371"/>
      <c r="X240" s="371"/>
      <c r="Y240" s="371"/>
      <c r="Z240" s="371"/>
      <c r="AA240" s="66"/>
      <c r="AB240" s="66"/>
      <c r="AC240" s="83"/>
    </row>
    <row r="241" spans="1:68" ht="27" hidden="1" customHeight="1" x14ac:dyDescent="0.25">
      <c r="A241" s="63" t="s">
        <v>357</v>
      </c>
      <c r="B241" s="63" t="s">
        <v>358</v>
      </c>
      <c r="C241" s="36">
        <v>4301071036</v>
      </c>
      <c r="D241" s="372">
        <v>4607111036162</v>
      </c>
      <c r="E241" s="372"/>
      <c r="F241" s="62">
        <v>0.8</v>
      </c>
      <c r="G241" s="37">
        <v>8</v>
      </c>
      <c r="H241" s="62">
        <v>6.4</v>
      </c>
      <c r="I241" s="62">
        <v>6.6811999999999996</v>
      </c>
      <c r="J241" s="37">
        <v>84</v>
      </c>
      <c r="K241" s="37" t="s">
        <v>87</v>
      </c>
      <c r="L241" s="37" t="s">
        <v>88</v>
      </c>
      <c r="M241" s="38" t="s">
        <v>86</v>
      </c>
      <c r="N241" s="38"/>
      <c r="O241" s="37">
        <v>90</v>
      </c>
      <c r="P241" s="46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41" s="374"/>
      <c r="R241" s="374"/>
      <c r="S241" s="374"/>
      <c r="T241" s="375"/>
      <c r="U241" s="39" t="s">
        <v>46</v>
      </c>
      <c r="V241" s="39" t="s">
        <v>46</v>
      </c>
      <c r="W241" s="40" t="s">
        <v>39</v>
      </c>
      <c r="X241" s="58">
        <v>0</v>
      </c>
      <c r="Y241" s="55">
        <f>IFERROR(IF(X241="","",X241),"")</f>
        <v>0</v>
      </c>
      <c r="Z241" s="41">
        <f>IFERROR(IF(X241="","",X241*0.0155),"")</f>
        <v>0</v>
      </c>
      <c r="AA241" s="68" t="s">
        <v>46</v>
      </c>
      <c r="AB241" s="69" t="s">
        <v>46</v>
      </c>
      <c r="AC241" s="261" t="s">
        <v>359</v>
      </c>
      <c r="AG241" s="81"/>
      <c r="AJ241" s="87" t="s">
        <v>89</v>
      </c>
      <c r="AK241" s="87">
        <v>1</v>
      </c>
      <c r="BB241" s="262" t="s">
        <v>70</v>
      </c>
      <c r="BM241" s="81">
        <f>IFERROR(X241*I241,"0")</f>
        <v>0</v>
      </c>
      <c r="BN241" s="81">
        <f>IFERROR(Y241*I241,"0")</f>
        <v>0</v>
      </c>
      <c r="BO241" s="81">
        <f>IFERROR(X241/J241,"0")</f>
        <v>0</v>
      </c>
      <c r="BP241" s="81">
        <f>IFERROR(Y241/J241,"0")</f>
        <v>0</v>
      </c>
    </row>
    <row r="242" spans="1:68" hidden="1" x14ac:dyDescent="0.2">
      <c r="A242" s="386"/>
      <c r="B242" s="386"/>
      <c r="C242" s="386"/>
      <c r="D242" s="386"/>
      <c r="E242" s="386"/>
      <c r="F242" s="386"/>
      <c r="G242" s="386"/>
      <c r="H242" s="386"/>
      <c r="I242" s="386"/>
      <c r="J242" s="386"/>
      <c r="K242" s="386"/>
      <c r="L242" s="386"/>
      <c r="M242" s="386"/>
      <c r="N242" s="386"/>
      <c r="O242" s="387"/>
      <c r="P242" s="383" t="s">
        <v>40</v>
      </c>
      <c r="Q242" s="384"/>
      <c r="R242" s="384"/>
      <c r="S242" s="384"/>
      <c r="T242" s="384"/>
      <c r="U242" s="384"/>
      <c r="V242" s="385"/>
      <c r="W242" s="42" t="s">
        <v>39</v>
      </c>
      <c r="X242" s="43">
        <f>IFERROR(SUM(X241:X241),"0")</f>
        <v>0</v>
      </c>
      <c r="Y242" s="43">
        <f>IFERROR(SUM(Y241:Y241),"0")</f>
        <v>0</v>
      </c>
      <c r="Z242" s="43">
        <f>IFERROR(IF(Z241="",0,Z241),"0")</f>
        <v>0</v>
      </c>
      <c r="AA242" s="67"/>
      <c r="AB242" s="67"/>
      <c r="AC242" s="67"/>
    </row>
    <row r="243" spans="1:68" hidden="1" x14ac:dyDescent="0.2">
      <c r="A243" s="386"/>
      <c r="B243" s="386"/>
      <c r="C243" s="386"/>
      <c r="D243" s="386"/>
      <c r="E243" s="386"/>
      <c r="F243" s="386"/>
      <c r="G243" s="386"/>
      <c r="H243" s="386"/>
      <c r="I243" s="386"/>
      <c r="J243" s="386"/>
      <c r="K243" s="386"/>
      <c r="L243" s="386"/>
      <c r="M243" s="386"/>
      <c r="N243" s="386"/>
      <c r="O243" s="387"/>
      <c r="P243" s="383" t="s">
        <v>40</v>
      </c>
      <c r="Q243" s="384"/>
      <c r="R243" s="384"/>
      <c r="S243" s="384"/>
      <c r="T243" s="384"/>
      <c r="U243" s="384"/>
      <c r="V243" s="385"/>
      <c r="W243" s="42" t="s">
        <v>0</v>
      </c>
      <c r="X243" s="43">
        <f>IFERROR(SUMPRODUCT(X241:X241*H241:H241),"0")</f>
        <v>0</v>
      </c>
      <c r="Y243" s="43">
        <f>IFERROR(SUMPRODUCT(Y241:Y241*H241:H241),"0")</f>
        <v>0</v>
      </c>
      <c r="Z243" s="42"/>
      <c r="AA243" s="67"/>
      <c r="AB243" s="67"/>
      <c r="AC243" s="67"/>
    </row>
    <row r="244" spans="1:68" ht="27.75" hidden="1" customHeight="1" x14ac:dyDescent="0.2">
      <c r="A244" s="369" t="s">
        <v>360</v>
      </c>
      <c r="B244" s="369"/>
      <c r="C244" s="369"/>
      <c r="D244" s="369"/>
      <c r="E244" s="369"/>
      <c r="F244" s="369"/>
      <c r="G244" s="369"/>
      <c r="H244" s="369"/>
      <c r="I244" s="369"/>
      <c r="J244" s="369"/>
      <c r="K244" s="369"/>
      <c r="L244" s="369"/>
      <c r="M244" s="369"/>
      <c r="N244" s="369"/>
      <c r="O244" s="369"/>
      <c r="P244" s="369"/>
      <c r="Q244" s="369"/>
      <c r="R244" s="369"/>
      <c r="S244" s="369"/>
      <c r="T244" s="369"/>
      <c r="U244" s="369"/>
      <c r="V244" s="369"/>
      <c r="W244" s="369"/>
      <c r="X244" s="369"/>
      <c r="Y244" s="369"/>
      <c r="Z244" s="369"/>
      <c r="AA244" s="54"/>
      <c r="AB244" s="54"/>
      <c r="AC244" s="54"/>
    </row>
    <row r="245" spans="1:68" ht="16.5" hidden="1" customHeight="1" x14ac:dyDescent="0.25">
      <c r="A245" s="370" t="s">
        <v>361</v>
      </c>
      <c r="B245" s="370"/>
      <c r="C245" s="370"/>
      <c r="D245" s="370"/>
      <c r="E245" s="370"/>
      <c r="F245" s="370"/>
      <c r="G245" s="370"/>
      <c r="H245" s="370"/>
      <c r="I245" s="370"/>
      <c r="J245" s="370"/>
      <c r="K245" s="370"/>
      <c r="L245" s="370"/>
      <c r="M245" s="370"/>
      <c r="N245" s="370"/>
      <c r="O245" s="370"/>
      <c r="P245" s="370"/>
      <c r="Q245" s="370"/>
      <c r="R245" s="370"/>
      <c r="S245" s="370"/>
      <c r="T245" s="370"/>
      <c r="U245" s="370"/>
      <c r="V245" s="370"/>
      <c r="W245" s="370"/>
      <c r="X245" s="370"/>
      <c r="Y245" s="370"/>
      <c r="Z245" s="370"/>
      <c r="AA245" s="65"/>
      <c r="AB245" s="65"/>
      <c r="AC245" s="82"/>
    </row>
    <row r="246" spans="1:68" ht="14.25" hidden="1" customHeight="1" x14ac:dyDescent="0.25">
      <c r="A246" s="371" t="s">
        <v>362</v>
      </c>
      <c r="B246" s="371"/>
      <c r="C246" s="371"/>
      <c r="D246" s="371"/>
      <c r="E246" s="371"/>
      <c r="F246" s="371"/>
      <c r="G246" s="371"/>
      <c r="H246" s="371"/>
      <c r="I246" s="371"/>
      <c r="J246" s="371"/>
      <c r="K246" s="371"/>
      <c r="L246" s="371"/>
      <c r="M246" s="371"/>
      <c r="N246" s="371"/>
      <c r="O246" s="371"/>
      <c r="P246" s="371"/>
      <c r="Q246" s="371"/>
      <c r="R246" s="371"/>
      <c r="S246" s="371"/>
      <c r="T246" s="371"/>
      <c r="U246" s="371"/>
      <c r="V246" s="371"/>
      <c r="W246" s="371"/>
      <c r="X246" s="371"/>
      <c r="Y246" s="371"/>
      <c r="Z246" s="371"/>
      <c r="AA246" s="66"/>
      <c r="AB246" s="66"/>
      <c r="AC246" s="83"/>
    </row>
    <row r="247" spans="1:68" ht="27" hidden="1" customHeight="1" x14ac:dyDescent="0.25">
      <c r="A247" s="63" t="s">
        <v>363</v>
      </c>
      <c r="B247" s="63" t="s">
        <v>364</v>
      </c>
      <c r="C247" s="36">
        <v>4301133004</v>
      </c>
      <c r="D247" s="372">
        <v>4607111039774</v>
      </c>
      <c r="E247" s="372"/>
      <c r="F247" s="62">
        <v>0.25</v>
      </c>
      <c r="G247" s="37">
        <v>12</v>
      </c>
      <c r="H247" s="62">
        <v>3</v>
      </c>
      <c r="I247" s="62">
        <v>3.22</v>
      </c>
      <c r="J247" s="37">
        <v>70</v>
      </c>
      <c r="K247" s="37" t="s">
        <v>123</v>
      </c>
      <c r="L247" s="37" t="s">
        <v>88</v>
      </c>
      <c r="M247" s="38" t="s">
        <v>86</v>
      </c>
      <c r="N247" s="38"/>
      <c r="O247" s="37">
        <v>180</v>
      </c>
      <c r="P247" s="46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7" s="374"/>
      <c r="R247" s="374"/>
      <c r="S247" s="374"/>
      <c r="T247" s="375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IFERROR(IF(X247="","",X247*0.01788),"")</f>
        <v>0</v>
      </c>
      <c r="AA247" s="68" t="s">
        <v>46</v>
      </c>
      <c r="AB247" s="69" t="s">
        <v>46</v>
      </c>
      <c r="AC247" s="263" t="s">
        <v>365</v>
      </c>
      <c r="AG247" s="81"/>
      <c r="AJ247" s="87" t="s">
        <v>89</v>
      </c>
      <c r="AK247" s="87">
        <v>1</v>
      </c>
      <c r="BB247" s="264" t="s">
        <v>122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hidden="1" x14ac:dyDescent="0.2">
      <c r="A248" s="386"/>
      <c r="B248" s="386"/>
      <c r="C248" s="386"/>
      <c r="D248" s="386"/>
      <c r="E248" s="386"/>
      <c r="F248" s="386"/>
      <c r="G248" s="386"/>
      <c r="H248" s="386"/>
      <c r="I248" s="386"/>
      <c r="J248" s="386"/>
      <c r="K248" s="386"/>
      <c r="L248" s="386"/>
      <c r="M248" s="386"/>
      <c r="N248" s="386"/>
      <c r="O248" s="387"/>
      <c r="P248" s="383" t="s">
        <v>40</v>
      </c>
      <c r="Q248" s="384"/>
      <c r="R248" s="384"/>
      <c r="S248" s="384"/>
      <c r="T248" s="384"/>
      <c r="U248" s="384"/>
      <c r="V248" s="385"/>
      <c r="W248" s="42" t="s">
        <v>39</v>
      </c>
      <c r="X248" s="43">
        <f>IFERROR(SUM(X247:X247),"0")</f>
        <v>0</v>
      </c>
      <c r="Y248" s="43">
        <f>IFERROR(SUM(Y247:Y247),"0")</f>
        <v>0</v>
      </c>
      <c r="Z248" s="43">
        <f>IFERROR(IF(Z247="",0,Z247),"0")</f>
        <v>0</v>
      </c>
      <c r="AA248" s="67"/>
      <c r="AB248" s="67"/>
      <c r="AC248" s="67"/>
    </row>
    <row r="249" spans="1:68" hidden="1" x14ac:dyDescent="0.2">
      <c r="A249" s="386"/>
      <c r="B249" s="386"/>
      <c r="C249" s="386"/>
      <c r="D249" s="386"/>
      <c r="E249" s="386"/>
      <c r="F249" s="386"/>
      <c r="G249" s="386"/>
      <c r="H249" s="386"/>
      <c r="I249" s="386"/>
      <c r="J249" s="386"/>
      <c r="K249" s="386"/>
      <c r="L249" s="386"/>
      <c r="M249" s="386"/>
      <c r="N249" s="386"/>
      <c r="O249" s="387"/>
      <c r="P249" s="383" t="s">
        <v>40</v>
      </c>
      <c r="Q249" s="384"/>
      <c r="R249" s="384"/>
      <c r="S249" s="384"/>
      <c r="T249" s="384"/>
      <c r="U249" s="384"/>
      <c r="V249" s="385"/>
      <c r="W249" s="42" t="s">
        <v>0</v>
      </c>
      <c r="X249" s="43">
        <f>IFERROR(SUMPRODUCT(X247:X247*H247:H247),"0")</f>
        <v>0</v>
      </c>
      <c r="Y249" s="43">
        <f>IFERROR(SUMPRODUCT(Y247:Y247*H247:H247),"0")</f>
        <v>0</v>
      </c>
      <c r="Z249" s="42"/>
      <c r="AA249" s="67"/>
      <c r="AB249" s="67"/>
      <c r="AC249" s="67"/>
    </row>
    <row r="250" spans="1:68" ht="14.25" hidden="1" customHeight="1" x14ac:dyDescent="0.25">
      <c r="A250" s="371" t="s">
        <v>169</v>
      </c>
      <c r="B250" s="371"/>
      <c r="C250" s="371"/>
      <c r="D250" s="371"/>
      <c r="E250" s="371"/>
      <c r="F250" s="371"/>
      <c r="G250" s="371"/>
      <c r="H250" s="371"/>
      <c r="I250" s="371"/>
      <c r="J250" s="371"/>
      <c r="K250" s="371"/>
      <c r="L250" s="371"/>
      <c r="M250" s="371"/>
      <c r="N250" s="371"/>
      <c r="O250" s="371"/>
      <c r="P250" s="371"/>
      <c r="Q250" s="371"/>
      <c r="R250" s="371"/>
      <c r="S250" s="371"/>
      <c r="T250" s="371"/>
      <c r="U250" s="371"/>
      <c r="V250" s="371"/>
      <c r="W250" s="371"/>
      <c r="X250" s="371"/>
      <c r="Y250" s="371"/>
      <c r="Z250" s="371"/>
      <c r="AA250" s="66"/>
      <c r="AB250" s="66"/>
      <c r="AC250" s="83"/>
    </row>
    <row r="251" spans="1:68" ht="37.5" hidden="1" customHeight="1" x14ac:dyDescent="0.25">
      <c r="A251" s="63" t="s">
        <v>366</v>
      </c>
      <c r="B251" s="63" t="s">
        <v>367</v>
      </c>
      <c r="C251" s="36">
        <v>4301135400</v>
      </c>
      <c r="D251" s="372">
        <v>4607111039361</v>
      </c>
      <c r="E251" s="372"/>
      <c r="F251" s="62">
        <v>0.25</v>
      </c>
      <c r="G251" s="37">
        <v>12</v>
      </c>
      <c r="H251" s="62">
        <v>3</v>
      </c>
      <c r="I251" s="62">
        <v>3.7035999999999998</v>
      </c>
      <c r="J251" s="37">
        <v>70</v>
      </c>
      <c r="K251" s="37" t="s">
        <v>123</v>
      </c>
      <c r="L251" s="37" t="s">
        <v>88</v>
      </c>
      <c r="M251" s="38" t="s">
        <v>86</v>
      </c>
      <c r="N251" s="38"/>
      <c r="O251" s="37">
        <v>180</v>
      </c>
      <c r="P251" s="46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51" s="374"/>
      <c r="R251" s="374"/>
      <c r="S251" s="374"/>
      <c r="T251" s="375"/>
      <c r="U251" s="39" t="s">
        <v>46</v>
      </c>
      <c r="V251" s="39" t="s">
        <v>46</v>
      </c>
      <c r="W251" s="40" t="s">
        <v>39</v>
      </c>
      <c r="X251" s="58">
        <v>0</v>
      </c>
      <c r="Y251" s="55">
        <f>IFERROR(IF(X251="","",X251),"")</f>
        <v>0</v>
      </c>
      <c r="Z251" s="41">
        <f>IFERROR(IF(X251="","",X251*0.01788),"")</f>
        <v>0</v>
      </c>
      <c r="AA251" s="68" t="s">
        <v>46</v>
      </c>
      <c r="AB251" s="69" t="s">
        <v>46</v>
      </c>
      <c r="AC251" s="265" t="s">
        <v>365</v>
      </c>
      <c r="AG251" s="81"/>
      <c r="AJ251" s="87" t="s">
        <v>89</v>
      </c>
      <c r="AK251" s="87">
        <v>1</v>
      </c>
      <c r="BB251" s="266" t="s">
        <v>122</v>
      </c>
      <c r="BM251" s="81">
        <f>IFERROR(X251*I251,"0")</f>
        <v>0</v>
      </c>
      <c r="BN251" s="81">
        <f>IFERROR(Y251*I251,"0")</f>
        <v>0</v>
      </c>
      <c r="BO251" s="81">
        <f>IFERROR(X251/J251,"0")</f>
        <v>0</v>
      </c>
      <c r="BP251" s="81">
        <f>IFERROR(Y251/J251,"0")</f>
        <v>0</v>
      </c>
    </row>
    <row r="252" spans="1:68" hidden="1" x14ac:dyDescent="0.2">
      <c r="A252" s="386"/>
      <c r="B252" s="386"/>
      <c r="C252" s="386"/>
      <c r="D252" s="386"/>
      <c r="E252" s="386"/>
      <c r="F252" s="386"/>
      <c r="G252" s="386"/>
      <c r="H252" s="386"/>
      <c r="I252" s="386"/>
      <c r="J252" s="386"/>
      <c r="K252" s="386"/>
      <c r="L252" s="386"/>
      <c r="M252" s="386"/>
      <c r="N252" s="386"/>
      <c r="O252" s="387"/>
      <c r="P252" s="383" t="s">
        <v>40</v>
      </c>
      <c r="Q252" s="384"/>
      <c r="R252" s="384"/>
      <c r="S252" s="384"/>
      <c r="T252" s="384"/>
      <c r="U252" s="384"/>
      <c r="V252" s="385"/>
      <c r="W252" s="42" t="s">
        <v>39</v>
      </c>
      <c r="X252" s="43">
        <f>IFERROR(SUM(X251:X251),"0")</f>
        <v>0</v>
      </c>
      <c r="Y252" s="43">
        <f>IFERROR(SUM(Y251:Y251),"0")</f>
        <v>0</v>
      </c>
      <c r="Z252" s="43">
        <f>IFERROR(IF(Z251="",0,Z251),"0")</f>
        <v>0</v>
      </c>
      <c r="AA252" s="67"/>
      <c r="AB252" s="67"/>
      <c r="AC252" s="67"/>
    </row>
    <row r="253" spans="1:68" hidden="1" x14ac:dyDescent="0.2">
      <c r="A253" s="386"/>
      <c r="B253" s="386"/>
      <c r="C253" s="386"/>
      <c r="D253" s="386"/>
      <c r="E253" s="386"/>
      <c r="F253" s="386"/>
      <c r="G253" s="386"/>
      <c r="H253" s="386"/>
      <c r="I253" s="386"/>
      <c r="J253" s="386"/>
      <c r="K253" s="386"/>
      <c r="L253" s="386"/>
      <c r="M253" s="386"/>
      <c r="N253" s="386"/>
      <c r="O253" s="387"/>
      <c r="P253" s="383" t="s">
        <v>40</v>
      </c>
      <c r="Q253" s="384"/>
      <c r="R253" s="384"/>
      <c r="S253" s="384"/>
      <c r="T253" s="384"/>
      <c r="U253" s="384"/>
      <c r="V253" s="385"/>
      <c r="W253" s="42" t="s">
        <v>0</v>
      </c>
      <c r="X253" s="43">
        <f>IFERROR(SUMPRODUCT(X251:X251*H251:H251),"0")</f>
        <v>0</v>
      </c>
      <c r="Y253" s="43">
        <f>IFERROR(SUMPRODUCT(Y251:Y251*H251:H251),"0")</f>
        <v>0</v>
      </c>
      <c r="Z253" s="42"/>
      <c r="AA253" s="67"/>
      <c r="AB253" s="67"/>
      <c r="AC253" s="67"/>
    </row>
    <row r="254" spans="1:68" ht="27.75" hidden="1" customHeight="1" x14ac:dyDescent="0.2">
      <c r="A254" s="369" t="s">
        <v>368</v>
      </c>
      <c r="B254" s="369"/>
      <c r="C254" s="369"/>
      <c r="D254" s="369"/>
      <c r="E254" s="369"/>
      <c r="F254" s="369"/>
      <c r="G254" s="369"/>
      <c r="H254" s="369"/>
      <c r="I254" s="369"/>
      <c r="J254" s="369"/>
      <c r="K254" s="369"/>
      <c r="L254" s="369"/>
      <c r="M254" s="369"/>
      <c r="N254" s="369"/>
      <c r="O254" s="369"/>
      <c r="P254" s="369"/>
      <c r="Q254" s="369"/>
      <c r="R254" s="369"/>
      <c r="S254" s="369"/>
      <c r="T254" s="369"/>
      <c r="U254" s="369"/>
      <c r="V254" s="369"/>
      <c r="W254" s="369"/>
      <c r="X254" s="369"/>
      <c r="Y254" s="369"/>
      <c r="Z254" s="369"/>
      <c r="AA254" s="54"/>
      <c r="AB254" s="54"/>
      <c r="AC254" s="54"/>
    </row>
    <row r="255" spans="1:68" ht="16.5" hidden="1" customHeight="1" x14ac:dyDescent="0.25">
      <c r="A255" s="370" t="s">
        <v>368</v>
      </c>
      <c r="B255" s="370"/>
      <c r="C255" s="370"/>
      <c r="D255" s="370"/>
      <c r="E255" s="370"/>
      <c r="F255" s="370"/>
      <c r="G255" s="370"/>
      <c r="H255" s="370"/>
      <c r="I255" s="370"/>
      <c r="J255" s="370"/>
      <c r="K255" s="370"/>
      <c r="L255" s="370"/>
      <c r="M255" s="370"/>
      <c r="N255" s="370"/>
      <c r="O255" s="370"/>
      <c r="P255" s="370"/>
      <c r="Q255" s="370"/>
      <c r="R255" s="370"/>
      <c r="S255" s="370"/>
      <c r="T255" s="370"/>
      <c r="U255" s="370"/>
      <c r="V255" s="370"/>
      <c r="W255" s="370"/>
      <c r="X255" s="370"/>
      <c r="Y255" s="370"/>
      <c r="Z255" s="370"/>
      <c r="AA255" s="65"/>
      <c r="AB255" s="65"/>
      <c r="AC255" s="82"/>
    </row>
    <row r="256" spans="1:68" ht="14.25" hidden="1" customHeight="1" x14ac:dyDescent="0.25">
      <c r="A256" s="371" t="s">
        <v>118</v>
      </c>
      <c r="B256" s="371"/>
      <c r="C256" s="371"/>
      <c r="D256" s="371"/>
      <c r="E256" s="371"/>
      <c r="F256" s="371"/>
      <c r="G256" s="371"/>
      <c r="H256" s="371"/>
      <c r="I256" s="371"/>
      <c r="J256" s="371"/>
      <c r="K256" s="371"/>
      <c r="L256" s="371"/>
      <c r="M256" s="371"/>
      <c r="N256" s="371"/>
      <c r="O256" s="371"/>
      <c r="P256" s="371"/>
      <c r="Q256" s="371"/>
      <c r="R256" s="371"/>
      <c r="S256" s="371"/>
      <c r="T256" s="371"/>
      <c r="U256" s="371"/>
      <c r="V256" s="371"/>
      <c r="W256" s="371"/>
      <c r="X256" s="371"/>
      <c r="Y256" s="371"/>
      <c r="Z256" s="371"/>
      <c r="AA256" s="66"/>
      <c r="AB256" s="66"/>
      <c r="AC256" s="83"/>
    </row>
    <row r="257" spans="1:68" ht="27" hidden="1" customHeight="1" x14ac:dyDescent="0.25">
      <c r="A257" s="63" t="s">
        <v>369</v>
      </c>
      <c r="B257" s="63" t="s">
        <v>370</v>
      </c>
      <c r="C257" s="36">
        <v>4301132228</v>
      </c>
      <c r="D257" s="372">
        <v>4640242181950</v>
      </c>
      <c r="E257" s="372"/>
      <c r="F257" s="62">
        <v>0.23</v>
      </c>
      <c r="G257" s="37">
        <v>12</v>
      </c>
      <c r="H257" s="62">
        <v>2.76</v>
      </c>
      <c r="I257" s="62">
        <v>3.22</v>
      </c>
      <c r="J257" s="37">
        <v>70</v>
      </c>
      <c r="K257" s="37" t="s">
        <v>123</v>
      </c>
      <c r="L257" s="37" t="s">
        <v>88</v>
      </c>
      <c r="M257" s="38" t="s">
        <v>86</v>
      </c>
      <c r="N257" s="38"/>
      <c r="O257" s="37">
        <v>365</v>
      </c>
      <c r="P257" s="469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57" s="374"/>
      <c r="R257" s="374"/>
      <c r="S257" s="374"/>
      <c r="T257" s="375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IFERROR(IF(X257="","",X257*0.01788),"")</f>
        <v>0</v>
      </c>
      <c r="AA257" s="68" t="s">
        <v>46</v>
      </c>
      <c r="AB257" s="69" t="s">
        <v>46</v>
      </c>
      <c r="AC257" s="267" t="s">
        <v>371</v>
      </c>
      <c r="AG257" s="81"/>
      <c r="AJ257" s="87" t="s">
        <v>89</v>
      </c>
      <c r="AK257" s="87">
        <v>1</v>
      </c>
      <c r="BB257" s="268" t="s">
        <v>122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hidden="1" x14ac:dyDescent="0.2">
      <c r="A258" s="386"/>
      <c r="B258" s="386"/>
      <c r="C258" s="386"/>
      <c r="D258" s="386"/>
      <c r="E258" s="386"/>
      <c r="F258" s="386"/>
      <c r="G258" s="386"/>
      <c r="H258" s="386"/>
      <c r="I258" s="386"/>
      <c r="J258" s="386"/>
      <c r="K258" s="386"/>
      <c r="L258" s="386"/>
      <c r="M258" s="386"/>
      <c r="N258" s="386"/>
      <c r="O258" s="387"/>
      <c r="P258" s="383" t="s">
        <v>40</v>
      </c>
      <c r="Q258" s="384"/>
      <c r="R258" s="384"/>
      <c r="S258" s="384"/>
      <c r="T258" s="384"/>
      <c r="U258" s="384"/>
      <c r="V258" s="385"/>
      <c r="W258" s="42" t="s">
        <v>39</v>
      </c>
      <c r="X258" s="43">
        <f>IFERROR(SUM(X257:X257),"0")</f>
        <v>0</v>
      </c>
      <c r="Y258" s="43">
        <f>IFERROR(SUM(Y257:Y257),"0")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386"/>
      <c r="B259" s="386"/>
      <c r="C259" s="386"/>
      <c r="D259" s="386"/>
      <c r="E259" s="386"/>
      <c r="F259" s="386"/>
      <c r="G259" s="386"/>
      <c r="H259" s="386"/>
      <c r="I259" s="386"/>
      <c r="J259" s="386"/>
      <c r="K259" s="386"/>
      <c r="L259" s="386"/>
      <c r="M259" s="386"/>
      <c r="N259" s="386"/>
      <c r="O259" s="387"/>
      <c r="P259" s="383" t="s">
        <v>40</v>
      </c>
      <c r="Q259" s="384"/>
      <c r="R259" s="384"/>
      <c r="S259" s="384"/>
      <c r="T259" s="384"/>
      <c r="U259" s="384"/>
      <c r="V259" s="385"/>
      <c r="W259" s="42" t="s">
        <v>0</v>
      </c>
      <c r="X259" s="43">
        <f>IFERROR(SUMPRODUCT(X257:X257*H257:H257),"0")</f>
        <v>0</v>
      </c>
      <c r="Y259" s="43">
        <f>IFERROR(SUMPRODUCT(Y257:Y257*H257:H257),"0")</f>
        <v>0</v>
      </c>
      <c r="Z259" s="42"/>
      <c r="AA259" s="67"/>
      <c r="AB259" s="67"/>
      <c r="AC259" s="67"/>
    </row>
    <row r="260" spans="1:68" ht="14.25" hidden="1" customHeight="1" x14ac:dyDescent="0.25">
      <c r="A260" s="371" t="s">
        <v>202</v>
      </c>
      <c r="B260" s="371"/>
      <c r="C260" s="371"/>
      <c r="D260" s="371"/>
      <c r="E260" s="371"/>
      <c r="F260" s="371"/>
      <c r="G260" s="371"/>
      <c r="H260" s="371"/>
      <c r="I260" s="371"/>
      <c r="J260" s="371"/>
      <c r="K260" s="371"/>
      <c r="L260" s="371"/>
      <c r="M260" s="371"/>
      <c r="N260" s="371"/>
      <c r="O260" s="371"/>
      <c r="P260" s="371"/>
      <c r="Q260" s="371"/>
      <c r="R260" s="371"/>
      <c r="S260" s="371"/>
      <c r="T260" s="371"/>
      <c r="U260" s="371"/>
      <c r="V260" s="371"/>
      <c r="W260" s="371"/>
      <c r="X260" s="371"/>
      <c r="Y260" s="371"/>
      <c r="Z260" s="371"/>
      <c r="AA260" s="66"/>
      <c r="AB260" s="66"/>
      <c r="AC260" s="83"/>
    </row>
    <row r="261" spans="1:68" ht="27" hidden="1" customHeight="1" x14ac:dyDescent="0.25">
      <c r="A261" s="63" t="s">
        <v>372</v>
      </c>
      <c r="B261" s="63" t="s">
        <v>373</v>
      </c>
      <c r="C261" s="36">
        <v>4301136098</v>
      </c>
      <c r="D261" s="372">
        <v>4640242181943</v>
      </c>
      <c r="E261" s="372"/>
      <c r="F261" s="62">
        <v>0.09</v>
      </c>
      <c r="G261" s="37">
        <v>24</v>
      </c>
      <c r="H261" s="62">
        <v>2.16</v>
      </c>
      <c r="I261" s="62">
        <v>2.34</v>
      </c>
      <c r="J261" s="37">
        <v>126</v>
      </c>
      <c r="K261" s="37" t="s">
        <v>123</v>
      </c>
      <c r="L261" s="37" t="s">
        <v>88</v>
      </c>
      <c r="M261" s="38" t="s">
        <v>86</v>
      </c>
      <c r="N261" s="38"/>
      <c r="O261" s="37">
        <v>180</v>
      </c>
      <c r="P261" s="470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61" s="374"/>
      <c r="R261" s="374"/>
      <c r="S261" s="374"/>
      <c r="T261" s="375"/>
      <c r="U261" s="39" t="s">
        <v>46</v>
      </c>
      <c r="V261" s="39" t="s">
        <v>46</v>
      </c>
      <c r="W261" s="40" t="s">
        <v>39</v>
      </c>
      <c r="X261" s="58">
        <v>0</v>
      </c>
      <c r="Y261" s="55">
        <f>IFERROR(IF(X261="","",X261),"")</f>
        <v>0</v>
      </c>
      <c r="Z261" s="41">
        <f>IFERROR(IF(X261="","",X261*0.00936),"")</f>
        <v>0</v>
      </c>
      <c r="AA261" s="68" t="s">
        <v>46</v>
      </c>
      <c r="AB261" s="69" t="s">
        <v>46</v>
      </c>
      <c r="AC261" s="269" t="s">
        <v>374</v>
      </c>
      <c r="AG261" s="81"/>
      <c r="AJ261" s="87" t="s">
        <v>89</v>
      </c>
      <c r="AK261" s="87">
        <v>1</v>
      </c>
      <c r="BB261" s="270" t="s">
        <v>122</v>
      </c>
      <c r="BM261" s="81">
        <f>IFERROR(X261*I261,"0")</f>
        <v>0</v>
      </c>
      <c r="BN261" s="81">
        <f>IFERROR(Y261*I261,"0")</f>
        <v>0</v>
      </c>
      <c r="BO261" s="81">
        <f>IFERROR(X261/J261,"0")</f>
        <v>0</v>
      </c>
      <c r="BP261" s="81">
        <f>IFERROR(Y261/J261,"0")</f>
        <v>0</v>
      </c>
    </row>
    <row r="262" spans="1:68" hidden="1" x14ac:dyDescent="0.2">
      <c r="A262" s="386"/>
      <c r="B262" s="386"/>
      <c r="C262" s="386"/>
      <c r="D262" s="386"/>
      <c r="E262" s="386"/>
      <c r="F262" s="386"/>
      <c r="G262" s="386"/>
      <c r="H262" s="386"/>
      <c r="I262" s="386"/>
      <c r="J262" s="386"/>
      <c r="K262" s="386"/>
      <c r="L262" s="386"/>
      <c r="M262" s="386"/>
      <c r="N262" s="386"/>
      <c r="O262" s="387"/>
      <c r="P262" s="383" t="s">
        <v>40</v>
      </c>
      <c r="Q262" s="384"/>
      <c r="R262" s="384"/>
      <c r="S262" s="384"/>
      <c r="T262" s="384"/>
      <c r="U262" s="384"/>
      <c r="V262" s="385"/>
      <c r="W262" s="42" t="s">
        <v>39</v>
      </c>
      <c r="X262" s="43">
        <f>IFERROR(SUM(X261:X261),"0")</f>
        <v>0</v>
      </c>
      <c r="Y262" s="43">
        <f>IFERROR(SUM(Y261:Y261),"0")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386"/>
      <c r="B263" s="386"/>
      <c r="C263" s="386"/>
      <c r="D263" s="386"/>
      <c r="E263" s="386"/>
      <c r="F263" s="386"/>
      <c r="G263" s="386"/>
      <c r="H263" s="386"/>
      <c r="I263" s="386"/>
      <c r="J263" s="386"/>
      <c r="K263" s="386"/>
      <c r="L263" s="386"/>
      <c r="M263" s="386"/>
      <c r="N263" s="386"/>
      <c r="O263" s="387"/>
      <c r="P263" s="383" t="s">
        <v>40</v>
      </c>
      <c r="Q263" s="384"/>
      <c r="R263" s="384"/>
      <c r="S263" s="384"/>
      <c r="T263" s="384"/>
      <c r="U263" s="384"/>
      <c r="V263" s="385"/>
      <c r="W263" s="42" t="s">
        <v>0</v>
      </c>
      <c r="X263" s="43">
        <f>IFERROR(SUMPRODUCT(X261:X261*H261:H261),"0")</f>
        <v>0</v>
      </c>
      <c r="Y263" s="43">
        <f>IFERROR(SUMPRODUCT(Y261:Y261*H261:H261),"0")</f>
        <v>0</v>
      </c>
      <c r="Z263" s="42"/>
      <c r="AA263" s="67"/>
      <c r="AB263" s="67"/>
      <c r="AC263" s="67"/>
    </row>
    <row r="264" spans="1:68" ht="27.75" hidden="1" customHeight="1" x14ac:dyDescent="0.2">
      <c r="A264" s="369" t="s">
        <v>290</v>
      </c>
      <c r="B264" s="369"/>
      <c r="C264" s="369"/>
      <c r="D264" s="369"/>
      <c r="E264" s="369"/>
      <c r="F264" s="369"/>
      <c r="G264" s="369"/>
      <c r="H264" s="369"/>
      <c r="I264" s="369"/>
      <c r="J264" s="369"/>
      <c r="K264" s="369"/>
      <c r="L264" s="369"/>
      <c r="M264" s="369"/>
      <c r="N264" s="369"/>
      <c r="O264" s="369"/>
      <c r="P264" s="369"/>
      <c r="Q264" s="369"/>
      <c r="R264" s="369"/>
      <c r="S264" s="369"/>
      <c r="T264" s="369"/>
      <c r="U264" s="369"/>
      <c r="V264" s="369"/>
      <c r="W264" s="369"/>
      <c r="X264" s="369"/>
      <c r="Y264" s="369"/>
      <c r="Z264" s="369"/>
      <c r="AA264" s="54"/>
      <c r="AB264" s="54"/>
      <c r="AC264" s="54"/>
    </row>
    <row r="265" spans="1:68" ht="16.5" hidden="1" customHeight="1" x14ac:dyDescent="0.25">
      <c r="A265" s="370" t="s">
        <v>290</v>
      </c>
      <c r="B265" s="370"/>
      <c r="C265" s="370"/>
      <c r="D265" s="370"/>
      <c r="E265" s="370"/>
      <c r="F265" s="370"/>
      <c r="G265" s="370"/>
      <c r="H265" s="370"/>
      <c r="I265" s="370"/>
      <c r="J265" s="370"/>
      <c r="K265" s="370"/>
      <c r="L265" s="370"/>
      <c r="M265" s="370"/>
      <c r="N265" s="370"/>
      <c r="O265" s="370"/>
      <c r="P265" s="370"/>
      <c r="Q265" s="370"/>
      <c r="R265" s="370"/>
      <c r="S265" s="370"/>
      <c r="T265" s="370"/>
      <c r="U265" s="370"/>
      <c r="V265" s="370"/>
      <c r="W265" s="370"/>
      <c r="X265" s="370"/>
      <c r="Y265" s="370"/>
      <c r="Z265" s="370"/>
      <c r="AA265" s="65"/>
      <c r="AB265" s="65"/>
      <c r="AC265" s="82"/>
    </row>
    <row r="266" spans="1:68" ht="14.25" hidden="1" customHeight="1" x14ac:dyDescent="0.25">
      <c r="A266" s="371" t="s">
        <v>82</v>
      </c>
      <c r="B266" s="371"/>
      <c r="C266" s="371"/>
      <c r="D266" s="371"/>
      <c r="E266" s="371"/>
      <c r="F266" s="371"/>
      <c r="G266" s="371"/>
      <c r="H266" s="371"/>
      <c r="I266" s="371"/>
      <c r="J266" s="371"/>
      <c r="K266" s="371"/>
      <c r="L266" s="371"/>
      <c r="M266" s="371"/>
      <c r="N266" s="371"/>
      <c r="O266" s="371"/>
      <c r="P266" s="371"/>
      <c r="Q266" s="371"/>
      <c r="R266" s="371"/>
      <c r="S266" s="371"/>
      <c r="T266" s="371"/>
      <c r="U266" s="371"/>
      <c r="V266" s="371"/>
      <c r="W266" s="371"/>
      <c r="X266" s="371"/>
      <c r="Y266" s="371"/>
      <c r="Z266" s="371"/>
      <c r="AA266" s="66"/>
      <c r="AB266" s="66"/>
      <c r="AC266" s="83"/>
    </row>
    <row r="267" spans="1:68" ht="27" hidden="1" customHeight="1" x14ac:dyDescent="0.25">
      <c r="A267" s="63" t="s">
        <v>375</v>
      </c>
      <c r="B267" s="63" t="s">
        <v>376</v>
      </c>
      <c r="C267" s="36">
        <v>4301071014</v>
      </c>
      <c r="D267" s="372">
        <v>4640242181264</v>
      </c>
      <c r="E267" s="372"/>
      <c r="F267" s="62">
        <v>0.7</v>
      </c>
      <c r="G267" s="37">
        <v>10</v>
      </c>
      <c r="H267" s="62">
        <v>7</v>
      </c>
      <c r="I267" s="62">
        <v>7.28</v>
      </c>
      <c r="J267" s="37">
        <v>84</v>
      </c>
      <c r="K267" s="37" t="s">
        <v>87</v>
      </c>
      <c r="L267" s="37" t="s">
        <v>88</v>
      </c>
      <c r="M267" s="38" t="s">
        <v>86</v>
      </c>
      <c r="N267" s="38"/>
      <c r="O267" s="37">
        <v>180</v>
      </c>
      <c r="P267" s="47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67" s="374"/>
      <c r="R267" s="374"/>
      <c r="S267" s="374"/>
      <c r="T267" s="375"/>
      <c r="U267" s="39" t="s">
        <v>46</v>
      </c>
      <c r="V267" s="39" t="s">
        <v>46</v>
      </c>
      <c r="W267" s="40" t="s">
        <v>39</v>
      </c>
      <c r="X267" s="58">
        <v>0</v>
      </c>
      <c r="Y267" s="55">
        <f>IFERROR(IF(X267="","",X267),"")</f>
        <v>0</v>
      </c>
      <c r="Z267" s="41">
        <f>IFERROR(IF(X267="","",X267*0.0155),"")</f>
        <v>0</v>
      </c>
      <c r="AA267" s="68" t="s">
        <v>46</v>
      </c>
      <c r="AB267" s="69" t="s">
        <v>46</v>
      </c>
      <c r="AC267" s="271" t="s">
        <v>377</v>
      </c>
      <c r="AG267" s="81"/>
      <c r="AJ267" s="87" t="s">
        <v>89</v>
      </c>
      <c r="AK267" s="87">
        <v>1</v>
      </c>
      <c r="BB267" s="272" t="s">
        <v>70</v>
      </c>
      <c r="BM267" s="81">
        <f>IFERROR(X267*I267,"0")</f>
        <v>0</v>
      </c>
      <c r="BN267" s="81">
        <f>IFERROR(Y267*I267,"0")</f>
        <v>0</v>
      </c>
      <c r="BO267" s="81">
        <f>IFERROR(X267/J267,"0")</f>
        <v>0</v>
      </c>
      <c r="BP267" s="81">
        <f>IFERROR(Y267/J267,"0")</f>
        <v>0</v>
      </c>
    </row>
    <row r="268" spans="1:68" ht="27" hidden="1" customHeight="1" x14ac:dyDescent="0.25">
      <c r="A268" s="63" t="s">
        <v>378</v>
      </c>
      <c r="B268" s="63" t="s">
        <v>379</v>
      </c>
      <c r="C268" s="36">
        <v>4301071141</v>
      </c>
      <c r="D268" s="372">
        <v>4620207491980</v>
      </c>
      <c r="E268" s="372"/>
      <c r="F268" s="62">
        <v>0.7</v>
      </c>
      <c r="G268" s="37">
        <v>10</v>
      </c>
      <c r="H268" s="62">
        <v>7</v>
      </c>
      <c r="I268" s="62">
        <v>7.28</v>
      </c>
      <c r="J268" s="37">
        <v>84</v>
      </c>
      <c r="K268" s="37" t="s">
        <v>87</v>
      </c>
      <c r="L268" s="37" t="s">
        <v>88</v>
      </c>
      <c r="M268" s="38" t="s">
        <v>86</v>
      </c>
      <c r="N268" s="38"/>
      <c r="O268" s="37">
        <v>180</v>
      </c>
      <c r="P268" s="472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68" s="374"/>
      <c r="R268" s="374"/>
      <c r="S268" s="374"/>
      <c r="T268" s="375"/>
      <c r="U268" s="39" t="s">
        <v>46</v>
      </c>
      <c r="V268" s="39" t="s">
        <v>46</v>
      </c>
      <c r="W268" s="40" t="s">
        <v>39</v>
      </c>
      <c r="X268" s="58">
        <v>0</v>
      </c>
      <c r="Y268" s="55">
        <f>IFERROR(IF(X268="","",X268),"")</f>
        <v>0</v>
      </c>
      <c r="Z268" s="41">
        <f>IFERROR(IF(X268="","",X268*0.0155),"")</f>
        <v>0</v>
      </c>
      <c r="AA268" s="68" t="s">
        <v>46</v>
      </c>
      <c r="AB268" s="69" t="s">
        <v>46</v>
      </c>
      <c r="AC268" s="273" t="s">
        <v>380</v>
      </c>
      <c r="AG268" s="81"/>
      <c r="AJ268" s="87" t="s">
        <v>89</v>
      </c>
      <c r="AK268" s="87">
        <v>1</v>
      </c>
      <c r="BB268" s="274" t="s">
        <v>70</v>
      </c>
      <c r="BM268" s="81">
        <f>IFERROR(X268*I268,"0")</f>
        <v>0</v>
      </c>
      <c r="BN268" s="81">
        <f>IFERROR(Y268*I268,"0")</f>
        <v>0</v>
      </c>
      <c r="BO268" s="81">
        <f>IFERROR(X268/J268,"0")</f>
        <v>0</v>
      </c>
      <c r="BP268" s="81">
        <f>IFERROR(Y268/J268,"0")</f>
        <v>0</v>
      </c>
    </row>
    <row r="269" spans="1:68" hidden="1" x14ac:dyDescent="0.2">
      <c r="A269" s="386"/>
      <c r="B269" s="386"/>
      <c r="C269" s="386"/>
      <c r="D269" s="386"/>
      <c r="E269" s="386"/>
      <c r="F269" s="386"/>
      <c r="G269" s="386"/>
      <c r="H269" s="386"/>
      <c r="I269" s="386"/>
      <c r="J269" s="386"/>
      <c r="K269" s="386"/>
      <c r="L269" s="386"/>
      <c r="M269" s="386"/>
      <c r="N269" s="386"/>
      <c r="O269" s="387"/>
      <c r="P269" s="383" t="s">
        <v>40</v>
      </c>
      <c r="Q269" s="384"/>
      <c r="R269" s="384"/>
      <c r="S269" s="384"/>
      <c r="T269" s="384"/>
      <c r="U269" s="384"/>
      <c r="V269" s="385"/>
      <c r="W269" s="42" t="s">
        <v>39</v>
      </c>
      <c r="X269" s="43">
        <f>IFERROR(SUM(X267:X268),"0")</f>
        <v>0</v>
      </c>
      <c r="Y269" s="43">
        <f>IFERROR(SUM(Y267:Y268),"0")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386"/>
      <c r="B270" s="386"/>
      <c r="C270" s="386"/>
      <c r="D270" s="386"/>
      <c r="E270" s="386"/>
      <c r="F270" s="386"/>
      <c r="G270" s="386"/>
      <c r="H270" s="386"/>
      <c r="I270" s="386"/>
      <c r="J270" s="386"/>
      <c r="K270" s="386"/>
      <c r="L270" s="386"/>
      <c r="M270" s="386"/>
      <c r="N270" s="386"/>
      <c r="O270" s="387"/>
      <c r="P270" s="383" t="s">
        <v>40</v>
      </c>
      <c r="Q270" s="384"/>
      <c r="R270" s="384"/>
      <c r="S270" s="384"/>
      <c r="T270" s="384"/>
      <c r="U270" s="384"/>
      <c r="V270" s="385"/>
      <c r="W270" s="42" t="s">
        <v>0</v>
      </c>
      <c r="X270" s="43">
        <f>IFERROR(SUMPRODUCT(X267:X268*H267:H268),"0")</f>
        <v>0</v>
      </c>
      <c r="Y270" s="43">
        <f>IFERROR(SUMPRODUCT(Y267:Y268*H267:H268),"0")</f>
        <v>0</v>
      </c>
      <c r="Z270" s="42"/>
      <c r="AA270" s="67"/>
      <c r="AB270" s="67"/>
      <c r="AC270" s="67"/>
    </row>
    <row r="271" spans="1:68" ht="14.25" hidden="1" customHeight="1" x14ac:dyDescent="0.25">
      <c r="A271" s="371" t="s">
        <v>202</v>
      </c>
      <c r="B271" s="371"/>
      <c r="C271" s="371"/>
      <c r="D271" s="371"/>
      <c r="E271" s="371"/>
      <c r="F271" s="371"/>
      <c r="G271" s="371"/>
      <c r="H271" s="371"/>
      <c r="I271" s="371"/>
      <c r="J271" s="371"/>
      <c r="K271" s="371"/>
      <c r="L271" s="371"/>
      <c r="M271" s="371"/>
      <c r="N271" s="371"/>
      <c r="O271" s="371"/>
      <c r="P271" s="371"/>
      <c r="Q271" s="371"/>
      <c r="R271" s="371"/>
      <c r="S271" s="371"/>
      <c r="T271" s="371"/>
      <c r="U271" s="371"/>
      <c r="V271" s="371"/>
      <c r="W271" s="371"/>
      <c r="X271" s="371"/>
      <c r="Y271" s="371"/>
      <c r="Z271" s="371"/>
      <c r="AA271" s="66"/>
      <c r="AB271" s="66"/>
      <c r="AC271" s="83"/>
    </row>
    <row r="272" spans="1:68" ht="27" hidden="1" customHeight="1" x14ac:dyDescent="0.25">
      <c r="A272" s="63" t="s">
        <v>381</v>
      </c>
      <c r="B272" s="63" t="s">
        <v>382</v>
      </c>
      <c r="C272" s="36">
        <v>4301136116</v>
      </c>
      <c r="D272" s="372">
        <v>4620207492147</v>
      </c>
      <c r="E272" s="372"/>
      <c r="F272" s="62">
        <v>2.7</v>
      </c>
      <c r="G272" s="37">
        <v>1</v>
      </c>
      <c r="H272" s="62">
        <v>2.7</v>
      </c>
      <c r="I272" s="62">
        <v>2.8906000000000001</v>
      </c>
      <c r="J272" s="37">
        <v>126</v>
      </c>
      <c r="K272" s="37" t="s">
        <v>123</v>
      </c>
      <c r="L272" s="37" t="s">
        <v>88</v>
      </c>
      <c r="M272" s="38" t="s">
        <v>86</v>
      </c>
      <c r="N272" s="38"/>
      <c r="O272" s="37">
        <v>180</v>
      </c>
      <c r="P272" s="473" t="s">
        <v>383</v>
      </c>
      <c r="Q272" s="374"/>
      <c r="R272" s="374"/>
      <c r="S272" s="374"/>
      <c r="T272" s="375"/>
      <c r="U272" s="39" t="s">
        <v>46</v>
      </c>
      <c r="V272" s="39" t="s">
        <v>46</v>
      </c>
      <c r="W272" s="40" t="s">
        <v>39</v>
      </c>
      <c r="X272" s="58">
        <v>0</v>
      </c>
      <c r="Y272" s="55">
        <f>IFERROR(IF(X272="","",X272),"")</f>
        <v>0</v>
      </c>
      <c r="Z272" s="41">
        <f>IFERROR(IF(X272="","",X272*0.00936),"")</f>
        <v>0</v>
      </c>
      <c r="AA272" s="68" t="s">
        <v>46</v>
      </c>
      <c r="AB272" s="69" t="s">
        <v>46</v>
      </c>
      <c r="AC272" s="275" t="s">
        <v>205</v>
      </c>
      <c r="AG272" s="81"/>
      <c r="AJ272" s="87" t="s">
        <v>89</v>
      </c>
      <c r="AK272" s="87">
        <v>1</v>
      </c>
      <c r="BB272" s="276" t="s">
        <v>122</v>
      </c>
      <c r="BM272" s="81">
        <f>IFERROR(X272*I272,"0")</f>
        <v>0</v>
      </c>
      <c r="BN272" s="81">
        <f>IFERROR(Y272*I272,"0")</f>
        <v>0</v>
      </c>
      <c r="BO272" s="81">
        <f>IFERROR(X272/J272,"0")</f>
        <v>0</v>
      </c>
      <c r="BP272" s="81">
        <f>IFERROR(Y272/J272,"0")</f>
        <v>0</v>
      </c>
    </row>
    <row r="273" spans="1:68" ht="27" customHeight="1" x14ac:dyDescent="0.25">
      <c r="A273" s="63" t="s">
        <v>384</v>
      </c>
      <c r="B273" s="63" t="s">
        <v>385</v>
      </c>
      <c r="C273" s="36">
        <v>4301136112</v>
      </c>
      <c r="D273" s="372">
        <v>4620207492154</v>
      </c>
      <c r="E273" s="372"/>
      <c r="F273" s="62">
        <v>5</v>
      </c>
      <c r="G273" s="37">
        <v>1</v>
      </c>
      <c r="H273" s="62">
        <v>5</v>
      </c>
      <c r="I273" s="62">
        <v>5.2350000000000003</v>
      </c>
      <c r="J273" s="37">
        <v>84</v>
      </c>
      <c r="K273" s="37" t="s">
        <v>87</v>
      </c>
      <c r="L273" s="37" t="s">
        <v>88</v>
      </c>
      <c r="M273" s="38" t="s">
        <v>86</v>
      </c>
      <c r="N273" s="38"/>
      <c r="O273" s="37">
        <v>180</v>
      </c>
      <c r="P273" s="474" t="s">
        <v>386</v>
      </c>
      <c r="Q273" s="374"/>
      <c r="R273" s="374"/>
      <c r="S273" s="374"/>
      <c r="T273" s="375"/>
      <c r="U273" s="39" t="s">
        <v>46</v>
      </c>
      <c r="V273" s="39" t="s">
        <v>46</v>
      </c>
      <c r="W273" s="40" t="s">
        <v>39</v>
      </c>
      <c r="X273" s="58">
        <v>288</v>
      </c>
      <c r="Y273" s="55">
        <f>IFERROR(IF(X273="","",X273),"")</f>
        <v>288</v>
      </c>
      <c r="Z273" s="41">
        <f>IFERROR(IF(X273="","",X273*0.0155),"")</f>
        <v>4.4640000000000004</v>
      </c>
      <c r="AA273" s="68" t="s">
        <v>46</v>
      </c>
      <c r="AB273" s="69" t="s">
        <v>46</v>
      </c>
      <c r="AC273" s="277" t="s">
        <v>205</v>
      </c>
      <c r="AG273" s="81"/>
      <c r="AJ273" s="87" t="s">
        <v>89</v>
      </c>
      <c r="AK273" s="87">
        <v>1</v>
      </c>
      <c r="BB273" s="278" t="s">
        <v>122</v>
      </c>
      <c r="BM273" s="81">
        <f>IFERROR(X273*I273,"0")</f>
        <v>1507.68</v>
      </c>
      <c r="BN273" s="81">
        <f>IFERROR(Y273*I273,"0")</f>
        <v>1507.68</v>
      </c>
      <c r="BO273" s="81">
        <f>IFERROR(X273/J273,"0")</f>
        <v>3.4285714285714284</v>
      </c>
      <c r="BP273" s="81">
        <f>IFERROR(Y273/J273,"0")</f>
        <v>3.4285714285714284</v>
      </c>
    </row>
    <row r="274" spans="1:68" ht="27" customHeight="1" x14ac:dyDescent="0.25">
      <c r="A274" s="63" t="s">
        <v>387</v>
      </c>
      <c r="B274" s="63" t="s">
        <v>388</v>
      </c>
      <c r="C274" s="36">
        <v>4301136114</v>
      </c>
      <c r="D274" s="372">
        <v>4620207492086</v>
      </c>
      <c r="E274" s="372"/>
      <c r="F274" s="62">
        <v>2.2400000000000002</v>
      </c>
      <c r="G274" s="37">
        <v>1</v>
      </c>
      <c r="H274" s="62">
        <v>2.2400000000000002</v>
      </c>
      <c r="I274" s="62">
        <v>2.4319999999999999</v>
      </c>
      <c r="J274" s="37">
        <v>126</v>
      </c>
      <c r="K274" s="37" t="s">
        <v>123</v>
      </c>
      <c r="L274" s="37" t="s">
        <v>88</v>
      </c>
      <c r="M274" s="38" t="s">
        <v>86</v>
      </c>
      <c r="N274" s="38"/>
      <c r="O274" s="37">
        <v>180</v>
      </c>
      <c r="P274" s="475" t="s">
        <v>389</v>
      </c>
      <c r="Q274" s="374"/>
      <c r="R274" s="374"/>
      <c r="S274" s="374"/>
      <c r="T274" s="375"/>
      <c r="U274" s="39" t="s">
        <v>46</v>
      </c>
      <c r="V274" s="39" t="s">
        <v>46</v>
      </c>
      <c r="W274" s="40" t="s">
        <v>39</v>
      </c>
      <c r="X274" s="58">
        <v>28</v>
      </c>
      <c r="Y274" s="55">
        <f>IFERROR(IF(X274="","",X274),"")</f>
        <v>28</v>
      </c>
      <c r="Z274" s="41">
        <f>IFERROR(IF(X274="","",X274*0.00936),"")</f>
        <v>0.26207999999999998</v>
      </c>
      <c r="AA274" s="68" t="s">
        <v>46</v>
      </c>
      <c r="AB274" s="69" t="s">
        <v>46</v>
      </c>
      <c r="AC274" s="279" t="s">
        <v>205</v>
      </c>
      <c r="AG274" s="81"/>
      <c r="AJ274" s="87" t="s">
        <v>89</v>
      </c>
      <c r="AK274" s="87">
        <v>1</v>
      </c>
      <c r="BB274" s="280" t="s">
        <v>122</v>
      </c>
      <c r="BM274" s="81">
        <f>IFERROR(X274*I274,"0")</f>
        <v>68.096000000000004</v>
      </c>
      <c r="BN274" s="81">
        <f>IFERROR(Y274*I274,"0")</f>
        <v>68.096000000000004</v>
      </c>
      <c r="BO274" s="81">
        <f>IFERROR(X274/J274,"0")</f>
        <v>0.22222222222222221</v>
      </c>
      <c r="BP274" s="81">
        <f>IFERROR(Y274/J274,"0")</f>
        <v>0.22222222222222221</v>
      </c>
    </row>
    <row r="275" spans="1:68" x14ac:dyDescent="0.2">
      <c r="A275" s="386"/>
      <c r="B275" s="386"/>
      <c r="C275" s="386"/>
      <c r="D275" s="386"/>
      <c r="E275" s="386"/>
      <c r="F275" s="386"/>
      <c r="G275" s="386"/>
      <c r="H275" s="386"/>
      <c r="I275" s="386"/>
      <c r="J275" s="386"/>
      <c r="K275" s="386"/>
      <c r="L275" s="386"/>
      <c r="M275" s="386"/>
      <c r="N275" s="386"/>
      <c r="O275" s="387"/>
      <c r="P275" s="383" t="s">
        <v>40</v>
      </c>
      <c r="Q275" s="384"/>
      <c r="R275" s="384"/>
      <c r="S275" s="384"/>
      <c r="T275" s="384"/>
      <c r="U275" s="384"/>
      <c r="V275" s="385"/>
      <c r="W275" s="42" t="s">
        <v>39</v>
      </c>
      <c r="X275" s="43">
        <f>IFERROR(SUM(X272:X274),"0")</f>
        <v>316</v>
      </c>
      <c r="Y275" s="43">
        <f>IFERROR(SUM(Y272:Y274),"0")</f>
        <v>316</v>
      </c>
      <c r="Z275" s="43">
        <f>IFERROR(IF(Z272="",0,Z272),"0")+IFERROR(IF(Z273="",0,Z273),"0")+IFERROR(IF(Z274="",0,Z274),"0")</f>
        <v>4.7260800000000005</v>
      </c>
      <c r="AA275" s="67"/>
      <c r="AB275" s="67"/>
      <c r="AC275" s="67"/>
    </row>
    <row r="276" spans="1:68" x14ac:dyDescent="0.2">
      <c r="A276" s="386"/>
      <c r="B276" s="386"/>
      <c r="C276" s="386"/>
      <c r="D276" s="386"/>
      <c r="E276" s="386"/>
      <c r="F276" s="386"/>
      <c r="G276" s="386"/>
      <c r="H276" s="386"/>
      <c r="I276" s="386"/>
      <c r="J276" s="386"/>
      <c r="K276" s="386"/>
      <c r="L276" s="386"/>
      <c r="M276" s="386"/>
      <c r="N276" s="386"/>
      <c r="O276" s="387"/>
      <c r="P276" s="383" t="s">
        <v>40</v>
      </c>
      <c r="Q276" s="384"/>
      <c r="R276" s="384"/>
      <c r="S276" s="384"/>
      <c r="T276" s="384"/>
      <c r="U276" s="384"/>
      <c r="V276" s="385"/>
      <c r="W276" s="42" t="s">
        <v>0</v>
      </c>
      <c r="X276" s="43">
        <f>IFERROR(SUMPRODUCT(X272:X274*H272:H274),"0")</f>
        <v>1502.72</v>
      </c>
      <c r="Y276" s="43">
        <f>IFERROR(SUMPRODUCT(Y272:Y274*H272:H274),"0")</f>
        <v>1502.72</v>
      </c>
      <c r="Z276" s="42"/>
      <c r="AA276" s="67"/>
      <c r="AB276" s="67"/>
      <c r="AC276" s="67"/>
    </row>
    <row r="277" spans="1:68" ht="14.25" hidden="1" customHeight="1" x14ac:dyDescent="0.25">
      <c r="A277" s="371" t="s">
        <v>169</v>
      </c>
      <c r="B277" s="371"/>
      <c r="C277" s="371"/>
      <c r="D277" s="371"/>
      <c r="E277" s="371"/>
      <c r="F277" s="371"/>
      <c r="G277" s="371"/>
      <c r="H277" s="371"/>
      <c r="I277" s="371"/>
      <c r="J277" s="371"/>
      <c r="K277" s="371"/>
      <c r="L277" s="371"/>
      <c r="M277" s="371"/>
      <c r="N277" s="371"/>
      <c r="O277" s="371"/>
      <c r="P277" s="371"/>
      <c r="Q277" s="371"/>
      <c r="R277" s="371"/>
      <c r="S277" s="371"/>
      <c r="T277" s="371"/>
      <c r="U277" s="371"/>
      <c r="V277" s="371"/>
      <c r="W277" s="371"/>
      <c r="X277" s="371"/>
      <c r="Y277" s="371"/>
      <c r="Z277" s="371"/>
      <c r="AA277" s="66"/>
      <c r="AB277" s="66"/>
      <c r="AC277" s="83"/>
    </row>
    <row r="278" spans="1:68" ht="16.5" customHeight="1" x14ac:dyDescent="0.25">
      <c r="A278" s="63" t="s">
        <v>390</v>
      </c>
      <c r="B278" s="63" t="s">
        <v>391</v>
      </c>
      <c r="C278" s="36">
        <v>4301137066</v>
      </c>
      <c r="D278" s="372">
        <v>4620207492109</v>
      </c>
      <c r="E278" s="372"/>
      <c r="F278" s="62">
        <v>5.5</v>
      </c>
      <c r="G278" s="37">
        <v>1</v>
      </c>
      <c r="H278" s="62">
        <v>5.5</v>
      </c>
      <c r="I278" s="62">
        <v>5.7350000000000003</v>
      </c>
      <c r="J278" s="37">
        <v>84</v>
      </c>
      <c r="K278" s="37" t="s">
        <v>87</v>
      </c>
      <c r="L278" s="37" t="s">
        <v>88</v>
      </c>
      <c r="M278" s="38" t="s">
        <v>86</v>
      </c>
      <c r="N278" s="38"/>
      <c r="O278" s="37">
        <v>180</v>
      </c>
      <c r="P278" s="476" t="s">
        <v>392</v>
      </c>
      <c r="Q278" s="374"/>
      <c r="R278" s="374"/>
      <c r="S278" s="374"/>
      <c r="T278" s="375"/>
      <c r="U278" s="39" t="s">
        <v>46</v>
      </c>
      <c r="V278" s="39" t="s">
        <v>46</v>
      </c>
      <c r="W278" s="40" t="s">
        <v>39</v>
      </c>
      <c r="X278" s="58">
        <v>12</v>
      </c>
      <c r="Y278" s="55">
        <f t="shared" ref="Y278:Y287" si="18">IFERROR(IF(X278="","",X278),"")</f>
        <v>12</v>
      </c>
      <c r="Z278" s="41">
        <f>IFERROR(IF(X278="","",X278*0.0155),"")</f>
        <v>0.186</v>
      </c>
      <c r="AA278" s="68" t="s">
        <v>46</v>
      </c>
      <c r="AB278" s="69" t="s">
        <v>46</v>
      </c>
      <c r="AC278" s="281" t="s">
        <v>302</v>
      </c>
      <c r="AG278" s="81"/>
      <c r="AJ278" s="87" t="s">
        <v>89</v>
      </c>
      <c r="AK278" s="87">
        <v>1</v>
      </c>
      <c r="BB278" s="282" t="s">
        <v>122</v>
      </c>
      <c r="BM278" s="81">
        <f t="shared" ref="BM278:BM287" si="19">IFERROR(X278*I278,"0")</f>
        <v>68.820000000000007</v>
      </c>
      <c r="BN278" s="81">
        <f t="shared" ref="BN278:BN287" si="20">IFERROR(Y278*I278,"0")</f>
        <v>68.820000000000007</v>
      </c>
      <c r="BO278" s="81">
        <f t="shared" ref="BO278:BO287" si="21">IFERROR(X278/J278,"0")</f>
        <v>0.14285714285714285</v>
      </c>
      <c r="BP278" s="81">
        <f t="shared" ref="BP278:BP287" si="22">IFERROR(Y278/J278,"0")</f>
        <v>0.14285714285714285</v>
      </c>
    </row>
    <row r="279" spans="1:68" ht="37.5" customHeight="1" x14ac:dyDescent="0.25">
      <c r="A279" s="63" t="s">
        <v>393</v>
      </c>
      <c r="B279" s="63" t="s">
        <v>394</v>
      </c>
      <c r="C279" s="36">
        <v>4301137068</v>
      </c>
      <c r="D279" s="372">
        <v>4620207492161</v>
      </c>
      <c r="E279" s="372"/>
      <c r="F279" s="62">
        <v>3</v>
      </c>
      <c r="G279" s="37">
        <v>1</v>
      </c>
      <c r="H279" s="62">
        <v>3</v>
      </c>
      <c r="I279" s="62">
        <v>3.1920000000000002</v>
      </c>
      <c r="J279" s="37">
        <v>126</v>
      </c>
      <c r="K279" s="37" t="s">
        <v>123</v>
      </c>
      <c r="L279" s="37" t="s">
        <v>88</v>
      </c>
      <c r="M279" s="38" t="s">
        <v>86</v>
      </c>
      <c r="N279" s="38"/>
      <c r="O279" s="37">
        <v>180</v>
      </c>
      <c r="P279" s="477" t="s">
        <v>395</v>
      </c>
      <c r="Q279" s="374"/>
      <c r="R279" s="374"/>
      <c r="S279" s="374"/>
      <c r="T279" s="375"/>
      <c r="U279" s="39" t="s">
        <v>46</v>
      </c>
      <c r="V279" s="39" t="s">
        <v>46</v>
      </c>
      <c r="W279" s="40" t="s">
        <v>39</v>
      </c>
      <c r="X279" s="58">
        <v>28</v>
      </c>
      <c r="Y279" s="55">
        <f t="shared" si="18"/>
        <v>28</v>
      </c>
      <c r="Z279" s="41">
        <f>IFERROR(IF(X279="","",X279*0.00936),"")</f>
        <v>0.26207999999999998</v>
      </c>
      <c r="AA279" s="68" t="s">
        <v>46</v>
      </c>
      <c r="AB279" s="69" t="s">
        <v>46</v>
      </c>
      <c r="AC279" s="283" t="s">
        <v>396</v>
      </c>
      <c r="AG279" s="81"/>
      <c r="AJ279" s="87" t="s">
        <v>89</v>
      </c>
      <c r="AK279" s="87">
        <v>1</v>
      </c>
      <c r="BB279" s="284" t="s">
        <v>122</v>
      </c>
      <c r="BM279" s="81">
        <f t="shared" si="19"/>
        <v>89.376000000000005</v>
      </c>
      <c r="BN279" s="81">
        <f t="shared" si="20"/>
        <v>89.376000000000005</v>
      </c>
      <c r="BO279" s="81">
        <f t="shared" si="21"/>
        <v>0.22222222222222221</v>
      </c>
      <c r="BP279" s="81">
        <f t="shared" si="22"/>
        <v>0.22222222222222221</v>
      </c>
    </row>
    <row r="280" spans="1:68" ht="27" customHeight="1" x14ac:dyDescent="0.25">
      <c r="A280" s="63" t="s">
        <v>397</v>
      </c>
      <c r="B280" s="63" t="s">
        <v>398</v>
      </c>
      <c r="C280" s="36">
        <v>4301137046</v>
      </c>
      <c r="D280" s="372">
        <v>4620207492093</v>
      </c>
      <c r="E280" s="372"/>
      <c r="F280" s="62">
        <v>3.7</v>
      </c>
      <c r="G280" s="37">
        <v>1</v>
      </c>
      <c r="H280" s="62">
        <v>3.7</v>
      </c>
      <c r="I280" s="62">
        <v>3.8919999999999999</v>
      </c>
      <c r="J280" s="37">
        <v>126</v>
      </c>
      <c r="K280" s="37" t="s">
        <v>123</v>
      </c>
      <c r="L280" s="37" t="s">
        <v>88</v>
      </c>
      <c r="M280" s="38" t="s">
        <v>86</v>
      </c>
      <c r="N280" s="38"/>
      <c r="O280" s="37">
        <v>180</v>
      </c>
      <c r="P280" s="478" t="s">
        <v>399</v>
      </c>
      <c r="Q280" s="374"/>
      <c r="R280" s="374"/>
      <c r="S280" s="374"/>
      <c r="T280" s="375"/>
      <c r="U280" s="39" t="s">
        <v>46</v>
      </c>
      <c r="V280" s="39" t="s">
        <v>46</v>
      </c>
      <c r="W280" s="40" t="s">
        <v>39</v>
      </c>
      <c r="X280" s="58">
        <v>70</v>
      </c>
      <c r="Y280" s="55">
        <f t="shared" si="18"/>
        <v>70</v>
      </c>
      <c r="Z280" s="41">
        <f>IFERROR(IF(X280="","",X280*0.00936),"")</f>
        <v>0.6552</v>
      </c>
      <c r="AA280" s="68" t="s">
        <v>46</v>
      </c>
      <c r="AB280" s="69" t="s">
        <v>46</v>
      </c>
      <c r="AC280" s="285" t="s">
        <v>400</v>
      </c>
      <c r="AG280" s="81"/>
      <c r="AJ280" s="87" t="s">
        <v>89</v>
      </c>
      <c r="AK280" s="87">
        <v>1</v>
      </c>
      <c r="BB280" s="286" t="s">
        <v>122</v>
      </c>
      <c r="BM280" s="81">
        <f t="shared" si="19"/>
        <v>272.44</v>
      </c>
      <c r="BN280" s="81">
        <f t="shared" si="20"/>
        <v>272.44</v>
      </c>
      <c r="BO280" s="81">
        <f t="shared" si="21"/>
        <v>0.55555555555555558</v>
      </c>
      <c r="BP280" s="81">
        <f t="shared" si="22"/>
        <v>0.55555555555555558</v>
      </c>
    </row>
    <row r="281" spans="1:68" ht="27" hidden="1" customHeight="1" x14ac:dyDescent="0.25">
      <c r="A281" s="63" t="s">
        <v>401</v>
      </c>
      <c r="B281" s="63" t="s">
        <v>402</v>
      </c>
      <c r="C281" s="36">
        <v>4301137072</v>
      </c>
      <c r="D281" s="372">
        <v>4620207492222</v>
      </c>
      <c r="E281" s="372"/>
      <c r="F281" s="62">
        <v>5</v>
      </c>
      <c r="G281" s="37">
        <v>1</v>
      </c>
      <c r="H281" s="62">
        <v>5</v>
      </c>
      <c r="I281" s="62">
        <v>5.23</v>
      </c>
      <c r="J281" s="37">
        <v>84</v>
      </c>
      <c r="K281" s="37" t="s">
        <v>87</v>
      </c>
      <c r="L281" s="37" t="s">
        <v>88</v>
      </c>
      <c r="M281" s="38" t="s">
        <v>86</v>
      </c>
      <c r="N281" s="38"/>
      <c r="O281" s="37">
        <v>180</v>
      </c>
      <c r="P281" s="479" t="s">
        <v>403</v>
      </c>
      <c r="Q281" s="374"/>
      <c r="R281" s="374"/>
      <c r="S281" s="374"/>
      <c r="T281" s="375"/>
      <c r="U281" s="39" t="s">
        <v>46</v>
      </c>
      <c r="V281" s="39" t="s">
        <v>46</v>
      </c>
      <c r="W281" s="40" t="s">
        <v>39</v>
      </c>
      <c r="X281" s="58">
        <v>0</v>
      </c>
      <c r="Y281" s="55">
        <f t="shared" si="18"/>
        <v>0</v>
      </c>
      <c r="Z281" s="41">
        <f>IFERROR(IF(X281="","",X281*0.0155),"")</f>
        <v>0</v>
      </c>
      <c r="AA281" s="68" t="s">
        <v>46</v>
      </c>
      <c r="AB281" s="69" t="s">
        <v>46</v>
      </c>
      <c r="AC281" s="287" t="s">
        <v>400</v>
      </c>
      <c r="AG281" s="81"/>
      <c r="AJ281" s="87" t="s">
        <v>89</v>
      </c>
      <c r="AK281" s="87">
        <v>1</v>
      </c>
      <c r="BB281" s="288" t="s">
        <v>122</v>
      </c>
      <c r="BM281" s="81">
        <f t="shared" si="19"/>
        <v>0</v>
      </c>
      <c r="BN281" s="81">
        <f t="shared" si="20"/>
        <v>0</v>
      </c>
      <c r="BO281" s="81">
        <f t="shared" si="21"/>
        <v>0</v>
      </c>
      <c r="BP281" s="81">
        <f t="shared" si="22"/>
        <v>0</v>
      </c>
    </row>
    <row r="282" spans="1:68" ht="27" customHeight="1" x14ac:dyDescent="0.25">
      <c r="A282" s="63" t="s">
        <v>404</v>
      </c>
      <c r="B282" s="63" t="s">
        <v>405</v>
      </c>
      <c r="C282" s="36">
        <v>4301137074</v>
      </c>
      <c r="D282" s="372">
        <v>4620207492116</v>
      </c>
      <c r="E282" s="372"/>
      <c r="F282" s="62">
        <v>3</v>
      </c>
      <c r="G282" s="37">
        <v>1</v>
      </c>
      <c r="H282" s="62">
        <v>3</v>
      </c>
      <c r="I282" s="62">
        <v>3.1920000000000002</v>
      </c>
      <c r="J282" s="37">
        <v>126</v>
      </c>
      <c r="K282" s="37" t="s">
        <v>123</v>
      </c>
      <c r="L282" s="37" t="s">
        <v>88</v>
      </c>
      <c r="M282" s="38" t="s">
        <v>86</v>
      </c>
      <c r="N282" s="38"/>
      <c r="O282" s="37">
        <v>180</v>
      </c>
      <c r="P282" s="480" t="s">
        <v>406</v>
      </c>
      <c r="Q282" s="374"/>
      <c r="R282" s="374"/>
      <c r="S282" s="374"/>
      <c r="T282" s="375"/>
      <c r="U282" s="39" t="s">
        <v>46</v>
      </c>
      <c r="V282" s="39" t="s">
        <v>46</v>
      </c>
      <c r="W282" s="40" t="s">
        <v>39</v>
      </c>
      <c r="X282" s="58">
        <v>84</v>
      </c>
      <c r="Y282" s="55">
        <f t="shared" si="18"/>
        <v>84</v>
      </c>
      <c r="Z282" s="41">
        <f t="shared" ref="Z282:Z287" si="23">IFERROR(IF(X282="","",X282*0.00936),"")</f>
        <v>0.78624000000000005</v>
      </c>
      <c r="AA282" s="68" t="s">
        <v>46</v>
      </c>
      <c r="AB282" s="69" t="s">
        <v>46</v>
      </c>
      <c r="AC282" s="289" t="s">
        <v>302</v>
      </c>
      <c r="AG282" s="81"/>
      <c r="AJ282" s="87" t="s">
        <v>89</v>
      </c>
      <c r="AK282" s="87">
        <v>1</v>
      </c>
      <c r="BB282" s="290" t="s">
        <v>122</v>
      </c>
      <c r="BM282" s="81">
        <f t="shared" si="19"/>
        <v>268.12800000000004</v>
      </c>
      <c r="BN282" s="81">
        <f t="shared" si="20"/>
        <v>268.12800000000004</v>
      </c>
      <c r="BO282" s="81">
        <f t="shared" si="21"/>
        <v>0.66666666666666663</v>
      </c>
      <c r="BP282" s="81">
        <f t="shared" si="22"/>
        <v>0.66666666666666663</v>
      </c>
    </row>
    <row r="283" spans="1:68" ht="37.5" hidden="1" customHeight="1" x14ac:dyDescent="0.25">
      <c r="A283" s="63" t="s">
        <v>407</v>
      </c>
      <c r="B283" s="63" t="s">
        <v>408</v>
      </c>
      <c r="C283" s="36">
        <v>4301137070</v>
      </c>
      <c r="D283" s="372">
        <v>4620207492123</v>
      </c>
      <c r="E283" s="372"/>
      <c r="F283" s="62">
        <v>3.7</v>
      </c>
      <c r="G283" s="37">
        <v>1</v>
      </c>
      <c r="H283" s="62">
        <v>3.7</v>
      </c>
      <c r="I283" s="62">
        <v>3.8919999999999999</v>
      </c>
      <c r="J283" s="37">
        <v>126</v>
      </c>
      <c r="K283" s="37" t="s">
        <v>123</v>
      </c>
      <c r="L283" s="37" t="s">
        <v>88</v>
      </c>
      <c r="M283" s="38" t="s">
        <v>86</v>
      </c>
      <c r="N283" s="38"/>
      <c r="O283" s="37">
        <v>180</v>
      </c>
      <c r="P283" s="481" t="s">
        <v>409</v>
      </c>
      <c r="Q283" s="374"/>
      <c r="R283" s="374"/>
      <c r="S283" s="374"/>
      <c r="T283" s="375"/>
      <c r="U283" s="39" t="s">
        <v>46</v>
      </c>
      <c r="V283" s="39" t="s">
        <v>46</v>
      </c>
      <c r="W283" s="40" t="s">
        <v>39</v>
      </c>
      <c r="X283" s="58">
        <v>0</v>
      </c>
      <c r="Y283" s="55">
        <f t="shared" si="18"/>
        <v>0</v>
      </c>
      <c r="Z283" s="41">
        <f t="shared" si="23"/>
        <v>0</v>
      </c>
      <c r="AA283" s="68" t="s">
        <v>46</v>
      </c>
      <c r="AB283" s="69" t="s">
        <v>46</v>
      </c>
      <c r="AC283" s="291" t="s">
        <v>396</v>
      </c>
      <c r="AG283" s="81"/>
      <c r="AJ283" s="87" t="s">
        <v>89</v>
      </c>
      <c r="AK283" s="87">
        <v>1</v>
      </c>
      <c r="BB283" s="292" t="s">
        <v>122</v>
      </c>
      <c r="BM283" s="81">
        <f t="shared" si="19"/>
        <v>0</v>
      </c>
      <c r="BN283" s="81">
        <f t="shared" si="20"/>
        <v>0</v>
      </c>
      <c r="BO283" s="81">
        <f t="shared" si="21"/>
        <v>0</v>
      </c>
      <c r="BP283" s="81">
        <f t="shared" si="22"/>
        <v>0</v>
      </c>
    </row>
    <row r="284" spans="1:68" ht="37.5" hidden="1" customHeight="1" x14ac:dyDescent="0.25">
      <c r="A284" s="63" t="s">
        <v>410</v>
      </c>
      <c r="B284" s="63" t="s">
        <v>411</v>
      </c>
      <c r="C284" s="36">
        <v>4301137078</v>
      </c>
      <c r="D284" s="372">
        <v>4620207492130</v>
      </c>
      <c r="E284" s="372"/>
      <c r="F284" s="62">
        <v>3.7</v>
      </c>
      <c r="G284" s="37">
        <v>1</v>
      </c>
      <c r="H284" s="62">
        <v>3.7</v>
      </c>
      <c r="I284" s="62">
        <v>3.8919999999999999</v>
      </c>
      <c r="J284" s="37">
        <v>126</v>
      </c>
      <c r="K284" s="37" t="s">
        <v>123</v>
      </c>
      <c r="L284" s="37" t="s">
        <v>88</v>
      </c>
      <c r="M284" s="38" t="s">
        <v>86</v>
      </c>
      <c r="N284" s="38"/>
      <c r="O284" s="37">
        <v>180</v>
      </c>
      <c r="P284" s="482" t="s">
        <v>412</v>
      </c>
      <c r="Q284" s="374"/>
      <c r="R284" s="374"/>
      <c r="S284" s="374"/>
      <c r="T284" s="375"/>
      <c r="U284" s="39" t="s">
        <v>46</v>
      </c>
      <c r="V284" s="39" t="s">
        <v>46</v>
      </c>
      <c r="W284" s="40" t="s">
        <v>39</v>
      </c>
      <c r="X284" s="58">
        <v>0</v>
      </c>
      <c r="Y284" s="55">
        <f t="shared" si="18"/>
        <v>0</v>
      </c>
      <c r="Z284" s="41">
        <f t="shared" si="23"/>
        <v>0</v>
      </c>
      <c r="AA284" s="68" t="s">
        <v>46</v>
      </c>
      <c r="AB284" s="69" t="s">
        <v>46</v>
      </c>
      <c r="AC284" s="293" t="s">
        <v>396</v>
      </c>
      <c r="AG284" s="81"/>
      <c r="AJ284" s="87" t="s">
        <v>89</v>
      </c>
      <c r="AK284" s="87">
        <v>1</v>
      </c>
      <c r="BB284" s="294" t="s">
        <v>122</v>
      </c>
      <c r="BM284" s="81">
        <f t="shared" si="19"/>
        <v>0</v>
      </c>
      <c r="BN284" s="81">
        <f t="shared" si="20"/>
        <v>0</v>
      </c>
      <c r="BO284" s="81">
        <f t="shared" si="21"/>
        <v>0</v>
      </c>
      <c r="BP284" s="81">
        <f t="shared" si="22"/>
        <v>0</v>
      </c>
    </row>
    <row r="285" spans="1:68" ht="27" hidden="1" customHeight="1" x14ac:dyDescent="0.25">
      <c r="A285" s="63" t="s">
        <v>413</v>
      </c>
      <c r="B285" s="63" t="s">
        <v>414</v>
      </c>
      <c r="C285" s="36">
        <v>4301137092</v>
      </c>
      <c r="D285" s="372">
        <v>4620207491942</v>
      </c>
      <c r="E285" s="372"/>
      <c r="F285" s="62">
        <v>0.3</v>
      </c>
      <c r="G285" s="37">
        <v>9</v>
      </c>
      <c r="H285" s="62">
        <v>2.7</v>
      </c>
      <c r="I285" s="62">
        <v>2.88</v>
      </c>
      <c r="J285" s="37">
        <v>126</v>
      </c>
      <c r="K285" s="37" t="s">
        <v>123</v>
      </c>
      <c r="L285" s="37" t="s">
        <v>88</v>
      </c>
      <c r="M285" s="38" t="s">
        <v>86</v>
      </c>
      <c r="N285" s="38"/>
      <c r="O285" s="37">
        <v>180</v>
      </c>
      <c r="P285" s="483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85" s="374"/>
      <c r="R285" s="374"/>
      <c r="S285" s="374"/>
      <c r="T285" s="375"/>
      <c r="U285" s="39" t="s">
        <v>46</v>
      </c>
      <c r="V285" s="39" t="s">
        <v>46</v>
      </c>
      <c r="W285" s="40" t="s">
        <v>39</v>
      </c>
      <c r="X285" s="58">
        <v>0</v>
      </c>
      <c r="Y285" s="55">
        <f t="shared" si="18"/>
        <v>0</v>
      </c>
      <c r="Z285" s="41">
        <f t="shared" si="23"/>
        <v>0</v>
      </c>
      <c r="AA285" s="68" t="s">
        <v>46</v>
      </c>
      <c r="AB285" s="69" t="s">
        <v>46</v>
      </c>
      <c r="AC285" s="295" t="s">
        <v>396</v>
      </c>
      <c r="AG285" s="81"/>
      <c r="AJ285" s="87" t="s">
        <v>89</v>
      </c>
      <c r="AK285" s="87">
        <v>1</v>
      </c>
      <c r="BB285" s="296" t="s">
        <v>122</v>
      </c>
      <c r="BM285" s="81">
        <f t="shared" si="19"/>
        <v>0</v>
      </c>
      <c r="BN285" s="81">
        <f t="shared" si="20"/>
        <v>0</v>
      </c>
      <c r="BO285" s="81">
        <f t="shared" si="21"/>
        <v>0</v>
      </c>
      <c r="BP285" s="81">
        <f t="shared" si="22"/>
        <v>0</v>
      </c>
    </row>
    <row r="286" spans="1:68" ht="27" hidden="1" customHeight="1" x14ac:dyDescent="0.25">
      <c r="A286" s="63" t="s">
        <v>415</v>
      </c>
      <c r="B286" s="63" t="s">
        <v>416</v>
      </c>
      <c r="C286" s="36">
        <v>4301137014</v>
      </c>
      <c r="D286" s="372">
        <v>4620207491911</v>
      </c>
      <c r="E286" s="372"/>
      <c r="F286" s="62">
        <v>0.3</v>
      </c>
      <c r="G286" s="37">
        <v>9</v>
      </c>
      <c r="H286" s="62">
        <v>2.7</v>
      </c>
      <c r="I286" s="62">
        <v>2.988</v>
      </c>
      <c r="J286" s="37">
        <v>126</v>
      </c>
      <c r="K286" s="37" t="s">
        <v>123</v>
      </c>
      <c r="L286" s="37" t="s">
        <v>88</v>
      </c>
      <c r="M286" s="38" t="s">
        <v>86</v>
      </c>
      <c r="N286" s="38"/>
      <c r="O286" s="37">
        <v>180</v>
      </c>
      <c r="P286" s="484" t="s">
        <v>417</v>
      </c>
      <c r="Q286" s="374"/>
      <c r="R286" s="374"/>
      <c r="S286" s="374"/>
      <c r="T286" s="375"/>
      <c r="U286" s="39" t="s">
        <v>46</v>
      </c>
      <c r="V286" s="39" t="s">
        <v>46</v>
      </c>
      <c r="W286" s="40" t="s">
        <v>39</v>
      </c>
      <c r="X286" s="58">
        <v>0</v>
      </c>
      <c r="Y286" s="55">
        <f t="shared" si="18"/>
        <v>0</v>
      </c>
      <c r="Z286" s="41">
        <f t="shared" si="23"/>
        <v>0</v>
      </c>
      <c r="AA286" s="68" t="s">
        <v>46</v>
      </c>
      <c r="AB286" s="69" t="s">
        <v>46</v>
      </c>
      <c r="AC286" s="297" t="s">
        <v>400</v>
      </c>
      <c r="AG286" s="81"/>
      <c r="AJ286" s="87" t="s">
        <v>89</v>
      </c>
      <c r="AK286" s="87">
        <v>1</v>
      </c>
      <c r="BB286" s="298" t="s">
        <v>122</v>
      </c>
      <c r="BM286" s="81">
        <f t="shared" si="19"/>
        <v>0</v>
      </c>
      <c r="BN286" s="81">
        <f t="shared" si="20"/>
        <v>0</v>
      </c>
      <c r="BO286" s="81">
        <f t="shared" si="21"/>
        <v>0</v>
      </c>
      <c r="BP286" s="81">
        <f t="shared" si="22"/>
        <v>0</v>
      </c>
    </row>
    <row r="287" spans="1:68" ht="27" hidden="1" customHeight="1" x14ac:dyDescent="0.25">
      <c r="A287" s="63" t="s">
        <v>418</v>
      </c>
      <c r="B287" s="63" t="s">
        <v>419</v>
      </c>
      <c r="C287" s="36">
        <v>4301137012</v>
      </c>
      <c r="D287" s="372">
        <v>4620207491935</v>
      </c>
      <c r="E287" s="372"/>
      <c r="F287" s="62">
        <v>0.3</v>
      </c>
      <c r="G287" s="37">
        <v>9</v>
      </c>
      <c r="H287" s="62">
        <v>2.7</v>
      </c>
      <c r="I287" s="62">
        <v>2.9249999999999998</v>
      </c>
      <c r="J287" s="37">
        <v>126</v>
      </c>
      <c r="K287" s="37" t="s">
        <v>123</v>
      </c>
      <c r="L287" s="37" t="s">
        <v>88</v>
      </c>
      <c r="M287" s="38" t="s">
        <v>86</v>
      </c>
      <c r="N287" s="38"/>
      <c r="O287" s="37">
        <v>180</v>
      </c>
      <c r="P287" s="485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87" s="374"/>
      <c r="R287" s="374"/>
      <c r="S287" s="374"/>
      <c r="T287" s="375"/>
      <c r="U287" s="39" t="s">
        <v>46</v>
      </c>
      <c r="V287" s="39" t="s">
        <v>46</v>
      </c>
      <c r="W287" s="40" t="s">
        <v>39</v>
      </c>
      <c r="X287" s="58">
        <v>0</v>
      </c>
      <c r="Y287" s="55">
        <f t="shared" si="18"/>
        <v>0</v>
      </c>
      <c r="Z287" s="41">
        <f t="shared" si="23"/>
        <v>0</v>
      </c>
      <c r="AA287" s="68" t="s">
        <v>46</v>
      </c>
      <c r="AB287" s="69" t="s">
        <v>46</v>
      </c>
      <c r="AC287" s="299" t="s">
        <v>302</v>
      </c>
      <c r="AG287" s="81"/>
      <c r="AJ287" s="87" t="s">
        <v>89</v>
      </c>
      <c r="AK287" s="87">
        <v>1</v>
      </c>
      <c r="BB287" s="300" t="s">
        <v>122</v>
      </c>
      <c r="BM287" s="81">
        <f t="shared" si="19"/>
        <v>0</v>
      </c>
      <c r="BN287" s="81">
        <f t="shared" si="20"/>
        <v>0</v>
      </c>
      <c r="BO287" s="81">
        <f t="shared" si="21"/>
        <v>0</v>
      </c>
      <c r="BP287" s="81">
        <f t="shared" si="22"/>
        <v>0</v>
      </c>
    </row>
    <row r="288" spans="1:68" x14ac:dyDescent="0.2">
      <c r="A288" s="386"/>
      <c r="B288" s="386"/>
      <c r="C288" s="386"/>
      <c r="D288" s="386"/>
      <c r="E288" s="386"/>
      <c r="F288" s="386"/>
      <c r="G288" s="386"/>
      <c r="H288" s="386"/>
      <c r="I288" s="386"/>
      <c r="J288" s="386"/>
      <c r="K288" s="386"/>
      <c r="L288" s="386"/>
      <c r="M288" s="386"/>
      <c r="N288" s="386"/>
      <c r="O288" s="387"/>
      <c r="P288" s="383" t="s">
        <v>40</v>
      </c>
      <c r="Q288" s="384"/>
      <c r="R288" s="384"/>
      <c r="S288" s="384"/>
      <c r="T288" s="384"/>
      <c r="U288" s="384"/>
      <c r="V288" s="385"/>
      <c r="W288" s="42" t="s">
        <v>39</v>
      </c>
      <c r="X288" s="43">
        <f>IFERROR(SUM(X278:X287),"0")</f>
        <v>194</v>
      </c>
      <c r="Y288" s="43">
        <f>IFERROR(SUM(Y278:Y287),"0")</f>
        <v>194</v>
      </c>
      <c r="Z288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1.8895200000000001</v>
      </c>
      <c r="AA288" s="67"/>
      <c r="AB288" s="67"/>
      <c r="AC288" s="67"/>
    </row>
    <row r="289" spans="1:32" x14ac:dyDescent="0.2">
      <c r="A289" s="386"/>
      <c r="B289" s="386"/>
      <c r="C289" s="386"/>
      <c r="D289" s="386"/>
      <c r="E289" s="386"/>
      <c r="F289" s="386"/>
      <c r="G289" s="386"/>
      <c r="H289" s="386"/>
      <c r="I289" s="386"/>
      <c r="J289" s="386"/>
      <c r="K289" s="386"/>
      <c r="L289" s="386"/>
      <c r="M289" s="386"/>
      <c r="N289" s="386"/>
      <c r="O289" s="387"/>
      <c r="P289" s="383" t="s">
        <v>40</v>
      </c>
      <c r="Q289" s="384"/>
      <c r="R289" s="384"/>
      <c r="S289" s="384"/>
      <c r="T289" s="384"/>
      <c r="U289" s="384"/>
      <c r="V289" s="385"/>
      <c r="W289" s="42" t="s">
        <v>0</v>
      </c>
      <c r="X289" s="43">
        <f>IFERROR(SUMPRODUCT(X278:X287*H278:H287),"0")</f>
        <v>661</v>
      </c>
      <c r="Y289" s="43">
        <f>IFERROR(SUMPRODUCT(Y278:Y287*H278:H287),"0")</f>
        <v>661</v>
      </c>
      <c r="Z289" s="42"/>
      <c r="AA289" s="67"/>
      <c r="AB289" s="67"/>
      <c r="AC289" s="67"/>
    </row>
    <row r="290" spans="1:32" ht="15" customHeight="1" x14ac:dyDescent="0.2">
      <c r="A290" s="386"/>
      <c r="B290" s="386"/>
      <c r="C290" s="386"/>
      <c r="D290" s="386"/>
      <c r="E290" s="386"/>
      <c r="F290" s="386"/>
      <c r="G290" s="386"/>
      <c r="H290" s="386"/>
      <c r="I290" s="386"/>
      <c r="J290" s="386"/>
      <c r="K290" s="386"/>
      <c r="L290" s="386"/>
      <c r="M290" s="386"/>
      <c r="N290" s="386"/>
      <c r="O290" s="490"/>
      <c r="P290" s="487" t="s">
        <v>33</v>
      </c>
      <c r="Q290" s="488"/>
      <c r="R290" s="488"/>
      <c r="S290" s="488"/>
      <c r="T290" s="488"/>
      <c r="U290" s="488"/>
      <c r="V290" s="489"/>
      <c r="W290" s="42" t="s">
        <v>0</v>
      </c>
      <c r="X290" s="43">
        <f>IFERROR(X31+X35+X41+X48+X54+X62+X71+X77+X82+X88+X100+X106+X118+X122+X126+X131+X138+X144+X150+X156+X163+X168+X173+X178+X184+X189+X194+X200+X205+X214+X220+X226+X232+X237+X243+X249+X253+X259+X263+X270+X276+X289,"0")</f>
        <v>14388.84</v>
      </c>
      <c r="Y290" s="43">
        <f>IFERROR(Y31+Y35+Y41+Y48+Y54+Y62+Y71+Y77+Y82+Y88+Y100+Y106+Y118+Y122+Y126+Y131+Y138+Y144+Y150+Y156+Y163+Y168+Y173+Y178+Y184+Y189+Y194+Y200+Y205+Y214+Y220+Y226+Y232+Y237+Y243+Y249+Y253+Y259+Y263+Y270+Y276+Y289,"0")</f>
        <v>14388.84</v>
      </c>
      <c r="Z290" s="42"/>
      <c r="AA290" s="67"/>
      <c r="AB290" s="67"/>
      <c r="AC290" s="67"/>
    </row>
    <row r="291" spans="1:32" x14ac:dyDescent="0.2">
      <c r="A291" s="386"/>
      <c r="B291" s="386"/>
      <c r="C291" s="386"/>
      <c r="D291" s="386"/>
      <c r="E291" s="386"/>
      <c r="F291" s="386"/>
      <c r="G291" s="386"/>
      <c r="H291" s="386"/>
      <c r="I291" s="386"/>
      <c r="J291" s="386"/>
      <c r="K291" s="386"/>
      <c r="L291" s="386"/>
      <c r="M291" s="386"/>
      <c r="N291" s="386"/>
      <c r="O291" s="490"/>
      <c r="P291" s="487" t="s">
        <v>34</v>
      </c>
      <c r="Q291" s="488"/>
      <c r="R291" s="488"/>
      <c r="S291" s="488"/>
      <c r="T291" s="488"/>
      <c r="U291" s="488"/>
      <c r="V291" s="489"/>
      <c r="W291" s="42" t="s">
        <v>0</v>
      </c>
      <c r="X291" s="43">
        <f>IFERROR(SUM(BM22:BM287),"0")</f>
        <v>15741.136000000002</v>
      </c>
      <c r="Y291" s="43">
        <f>IFERROR(SUM(BN22:BN287),"0")</f>
        <v>15741.136000000002</v>
      </c>
      <c r="Z291" s="42"/>
      <c r="AA291" s="67"/>
      <c r="AB291" s="67"/>
      <c r="AC291" s="67"/>
    </row>
    <row r="292" spans="1:32" x14ac:dyDescent="0.2">
      <c r="A292" s="386"/>
      <c r="B292" s="386"/>
      <c r="C292" s="386"/>
      <c r="D292" s="386"/>
      <c r="E292" s="386"/>
      <c r="F292" s="386"/>
      <c r="G292" s="386"/>
      <c r="H292" s="386"/>
      <c r="I292" s="386"/>
      <c r="J292" s="386"/>
      <c r="K292" s="386"/>
      <c r="L292" s="386"/>
      <c r="M292" s="386"/>
      <c r="N292" s="386"/>
      <c r="O292" s="490"/>
      <c r="P292" s="487" t="s">
        <v>35</v>
      </c>
      <c r="Q292" s="488"/>
      <c r="R292" s="488"/>
      <c r="S292" s="488"/>
      <c r="T292" s="488"/>
      <c r="U292" s="488"/>
      <c r="V292" s="489"/>
      <c r="W292" s="42" t="s">
        <v>20</v>
      </c>
      <c r="X292" s="44">
        <f>ROUNDUP(SUM(BO22:BO287),0)</f>
        <v>40</v>
      </c>
      <c r="Y292" s="44">
        <f>ROUNDUP(SUM(BP22:BP287),0)</f>
        <v>40</v>
      </c>
      <c r="Z292" s="42"/>
      <c r="AA292" s="67"/>
      <c r="AB292" s="67"/>
      <c r="AC292" s="67"/>
    </row>
    <row r="293" spans="1:32" x14ac:dyDescent="0.2">
      <c r="A293" s="386"/>
      <c r="B293" s="386"/>
      <c r="C293" s="386"/>
      <c r="D293" s="386"/>
      <c r="E293" s="386"/>
      <c r="F293" s="386"/>
      <c r="G293" s="386"/>
      <c r="H293" s="386"/>
      <c r="I293" s="386"/>
      <c r="J293" s="386"/>
      <c r="K293" s="386"/>
      <c r="L293" s="386"/>
      <c r="M293" s="386"/>
      <c r="N293" s="386"/>
      <c r="O293" s="490"/>
      <c r="P293" s="487" t="s">
        <v>36</v>
      </c>
      <c r="Q293" s="488"/>
      <c r="R293" s="488"/>
      <c r="S293" s="488"/>
      <c r="T293" s="488"/>
      <c r="U293" s="488"/>
      <c r="V293" s="489"/>
      <c r="W293" s="42" t="s">
        <v>0</v>
      </c>
      <c r="X293" s="43">
        <f>GrossWeightTotal+PalletQtyTotal*25</f>
        <v>16741.136000000002</v>
      </c>
      <c r="Y293" s="43">
        <f>GrossWeightTotalR+PalletQtyTotalR*25</f>
        <v>16741.136000000002</v>
      </c>
      <c r="Z293" s="42"/>
      <c r="AA293" s="67"/>
      <c r="AB293" s="67"/>
      <c r="AC293" s="67"/>
    </row>
    <row r="294" spans="1:32" x14ac:dyDescent="0.2">
      <c r="A294" s="386"/>
      <c r="B294" s="386"/>
      <c r="C294" s="386"/>
      <c r="D294" s="386"/>
      <c r="E294" s="386"/>
      <c r="F294" s="386"/>
      <c r="G294" s="386"/>
      <c r="H294" s="386"/>
      <c r="I294" s="386"/>
      <c r="J294" s="386"/>
      <c r="K294" s="386"/>
      <c r="L294" s="386"/>
      <c r="M294" s="386"/>
      <c r="N294" s="386"/>
      <c r="O294" s="490"/>
      <c r="P294" s="487" t="s">
        <v>37</v>
      </c>
      <c r="Q294" s="488"/>
      <c r="R294" s="488"/>
      <c r="S294" s="488"/>
      <c r="T294" s="488"/>
      <c r="U294" s="488"/>
      <c r="V294" s="489"/>
      <c r="W294" s="42" t="s">
        <v>20</v>
      </c>
      <c r="X294" s="43">
        <f>IFERROR(X30+X34+X40+X47+X53+X61+X70+X76+X81+X87+X99+X105+X117+X121+X125+X130+X137+X143+X149+X155+X162+X167+X172+X177+X183+X188+X193+X199+X204+X213+X219+X225+X231+X236+X242+X248+X252+X258+X262+X269+X275+X288,"0")</f>
        <v>3504</v>
      </c>
      <c r="Y294" s="43">
        <f>IFERROR(Y30+Y34+Y40+Y47+Y53+Y61+Y70+Y76+Y81+Y87+Y99+Y105+Y117+Y121+Y125+Y130+Y137+Y143+Y149+Y155+Y162+Y167+Y172+Y177+Y183+Y188+Y193+Y199+Y204+Y213+Y219+Y225+Y231+Y236+Y242+Y248+Y252+Y258+Y262+Y269+Y275+Y288,"0")</f>
        <v>3504</v>
      </c>
      <c r="Z294" s="42"/>
      <c r="AA294" s="67"/>
      <c r="AB294" s="67"/>
      <c r="AC294" s="67"/>
    </row>
    <row r="295" spans="1:32" ht="14.25" hidden="1" x14ac:dyDescent="0.2">
      <c r="A295" s="386"/>
      <c r="B295" s="386"/>
      <c r="C295" s="386"/>
      <c r="D295" s="386"/>
      <c r="E295" s="386"/>
      <c r="F295" s="386"/>
      <c r="G295" s="386"/>
      <c r="H295" s="386"/>
      <c r="I295" s="386"/>
      <c r="J295" s="386"/>
      <c r="K295" s="386"/>
      <c r="L295" s="386"/>
      <c r="M295" s="386"/>
      <c r="N295" s="386"/>
      <c r="O295" s="490"/>
      <c r="P295" s="487" t="s">
        <v>38</v>
      </c>
      <c r="Q295" s="488"/>
      <c r="R295" s="488"/>
      <c r="S295" s="488"/>
      <c r="T295" s="488"/>
      <c r="U295" s="488"/>
      <c r="V295" s="489"/>
      <c r="W295" s="45" t="s">
        <v>52</v>
      </c>
      <c r="X295" s="42"/>
      <c r="Y295" s="42"/>
      <c r="Z295" s="42">
        <f>IFERROR(Z30+Z34+Z40+Z47+Z53+Z61+Z70+Z76+Z81+Z87+Z99+Z105+Z117+Z121+Z125+Z130+Z137+Z143+Z149+Z155+Z162+Z167+Z172+Z177+Z183+Z188+Z193+Z199+Z204+Z213+Z219+Z225+Z231+Z236+Z242+Z248+Z252+Z258+Z262+Z269+Z275+Z288,"0")</f>
        <v>49.897760000000005</v>
      </c>
      <c r="AA295" s="67"/>
      <c r="AB295" s="67"/>
      <c r="AC295" s="67"/>
    </row>
    <row r="296" spans="1:32" ht="13.5" thickBot="1" x14ac:dyDescent="0.25"/>
    <row r="297" spans="1:32" ht="27" thickTop="1" thickBot="1" x14ac:dyDescent="0.25">
      <c r="A297" s="46" t="s">
        <v>9</v>
      </c>
      <c r="B297" s="486" t="s">
        <v>81</v>
      </c>
      <c r="C297" s="486" t="s">
        <v>81</v>
      </c>
      <c r="D297" s="486" t="s">
        <v>45</v>
      </c>
      <c r="E297" s="486" t="s">
        <v>45</v>
      </c>
      <c r="F297" s="486" t="s">
        <v>45</v>
      </c>
      <c r="G297" s="486" t="s">
        <v>45</v>
      </c>
      <c r="H297" s="486" t="s">
        <v>45</v>
      </c>
      <c r="I297" s="486" t="s">
        <v>45</v>
      </c>
      <c r="J297" s="486" t="s">
        <v>45</v>
      </c>
      <c r="K297" s="486" t="s">
        <v>45</v>
      </c>
      <c r="L297" s="486" t="s">
        <v>45</v>
      </c>
      <c r="M297" s="486" t="s">
        <v>45</v>
      </c>
      <c r="N297" s="491"/>
      <c r="O297" s="486" t="s">
        <v>45</v>
      </c>
      <c r="P297" s="486" t="s">
        <v>45</v>
      </c>
      <c r="Q297" s="486" t="s">
        <v>45</v>
      </c>
      <c r="R297" s="486" t="s">
        <v>45</v>
      </c>
      <c r="S297" s="486" t="s">
        <v>45</v>
      </c>
      <c r="T297" s="486" t="s">
        <v>45</v>
      </c>
      <c r="U297" s="486" t="s">
        <v>45</v>
      </c>
      <c r="V297" s="486" t="s">
        <v>289</v>
      </c>
      <c r="W297" s="486" t="s">
        <v>289</v>
      </c>
      <c r="X297" s="486" t="s">
        <v>289</v>
      </c>
      <c r="Y297" s="88" t="s">
        <v>316</v>
      </c>
      <c r="Z297" s="486" t="s">
        <v>330</v>
      </c>
      <c r="AA297" s="486" t="s">
        <v>330</v>
      </c>
      <c r="AB297" s="486" t="s">
        <v>330</v>
      </c>
      <c r="AC297" s="88" t="s">
        <v>355</v>
      </c>
      <c r="AD297" s="88" t="s">
        <v>360</v>
      </c>
      <c r="AE297" s="88" t="s">
        <v>368</v>
      </c>
      <c r="AF297" s="88" t="s">
        <v>290</v>
      </c>
    </row>
    <row r="298" spans="1:32" ht="14.25" customHeight="1" thickTop="1" x14ac:dyDescent="0.2">
      <c r="A298" s="492" t="s">
        <v>10</v>
      </c>
      <c r="B298" s="486" t="s">
        <v>81</v>
      </c>
      <c r="C298" s="486" t="s">
        <v>111</v>
      </c>
      <c r="D298" s="486" t="s">
        <v>117</v>
      </c>
      <c r="E298" s="486" t="s">
        <v>128</v>
      </c>
      <c r="F298" s="486" t="s">
        <v>135</v>
      </c>
      <c r="G298" s="486" t="s">
        <v>146</v>
      </c>
      <c r="H298" s="486" t="s">
        <v>161</v>
      </c>
      <c r="I298" s="486" t="s">
        <v>168</v>
      </c>
      <c r="J298" s="486" t="s">
        <v>173</v>
      </c>
      <c r="K298" s="486" t="s">
        <v>181</v>
      </c>
      <c r="L298" s="486" t="s">
        <v>201</v>
      </c>
      <c r="M298" s="486" t="s">
        <v>208</v>
      </c>
      <c r="N298" s="1"/>
      <c r="O298" s="486" t="s">
        <v>237</v>
      </c>
      <c r="P298" s="486" t="s">
        <v>258</v>
      </c>
      <c r="Q298" s="486" t="s">
        <v>264</v>
      </c>
      <c r="R298" s="486" t="s">
        <v>270</v>
      </c>
      <c r="S298" s="486" t="s">
        <v>279</v>
      </c>
      <c r="T298" s="486" t="s">
        <v>282</v>
      </c>
      <c r="U298" s="486" t="s">
        <v>286</v>
      </c>
      <c r="V298" s="486" t="s">
        <v>290</v>
      </c>
      <c r="W298" s="486" t="s">
        <v>306</v>
      </c>
      <c r="X298" s="486" t="s">
        <v>313</v>
      </c>
      <c r="Y298" s="486" t="s">
        <v>317</v>
      </c>
      <c r="Z298" s="486" t="s">
        <v>331</v>
      </c>
      <c r="AA298" s="486" t="s">
        <v>344</v>
      </c>
      <c r="AB298" s="486" t="s">
        <v>351</v>
      </c>
      <c r="AC298" s="486" t="s">
        <v>356</v>
      </c>
      <c r="AD298" s="486" t="s">
        <v>361</v>
      </c>
      <c r="AE298" s="486" t="s">
        <v>368</v>
      </c>
      <c r="AF298" s="486" t="s">
        <v>290</v>
      </c>
    </row>
    <row r="299" spans="1:32" ht="13.5" thickBot="1" x14ac:dyDescent="0.25">
      <c r="A299" s="493"/>
      <c r="B299" s="486"/>
      <c r="C299" s="486"/>
      <c r="D299" s="486"/>
      <c r="E299" s="486"/>
      <c r="F299" s="486"/>
      <c r="G299" s="486"/>
      <c r="H299" s="486"/>
      <c r="I299" s="486"/>
      <c r="J299" s="486"/>
      <c r="K299" s="486"/>
      <c r="L299" s="486"/>
      <c r="M299" s="486"/>
      <c r="N299" s="1"/>
      <c r="O299" s="486"/>
      <c r="P299" s="486"/>
      <c r="Q299" s="486"/>
      <c r="R299" s="486"/>
      <c r="S299" s="486"/>
      <c r="T299" s="486"/>
      <c r="U299" s="486"/>
      <c r="V299" s="486"/>
      <c r="W299" s="486"/>
      <c r="X299" s="486"/>
      <c r="Y299" s="486"/>
      <c r="Z299" s="486"/>
      <c r="AA299" s="486"/>
      <c r="AB299" s="486"/>
      <c r="AC299" s="486"/>
      <c r="AD299" s="486"/>
      <c r="AE299" s="486"/>
      <c r="AF299" s="486"/>
    </row>
    <row r="300" spans="1:32" ht="18" thickTop="1" thickBot="1" x14ac:dyDescent="0.25">
      <c r="A300" s="46" t="s">
        <v>13</v>
      </c>
      <c r="B300" s="52">
        <f>IFERROR(X22*H22,"0")+IFERROR(X23*H23,"0")+IFERROR(X24*H24,"0")+IFERROR(X25*H25,"0")+IFERROR(X26*H26,"0")+IFERROR(X27*H27,"0")+IFERROR(X28*H28,"0")+IFERROR(X29*H29,"0")+IFERROR(X33*H33,"0")</f>
        <v>480.96000000000004</v>
      </c>
      <c r="C300" s="52">
        <f>IFERROR(X38*H38,"0")+IFERROR(X39*H39,"0")</f>
        <v>76.800000000000011</v>
      </c>
      <c r="D300" s="52">
        <f>IFERROR(X45*H45,"0")+IFERROR(X46*H46,"0")</f>
        <v>294</v>
      </c>
      <c r="E300" s="52">
        <f>IFERROR(X51*H51,"0")+IFERROR(X52*H52,"0")</f>
        <v>134.39999999999998</v>
      </c>
      <c r="F300" s="52">
        <f>IFERROR(X57*H57,"0")+IFERROR(X58*H58,"0")+IFERROR(X59*H59,"0")+IFERROR(X60*H60,"0")</f>
        <v>916.8</v>
      </c>
      <c r="G300" s="52">
        <f>IFERROR(X65*H65,"0")+IFERROR(X66*H66,"0")+IFERROR(X67*H67,"0")+IFERROR(X68*H68,"0")+IFERROR(X69*H69,"0")</f>
        <v>33.6</v>
      </c>
      <c r="H300" s="52">
        <f>IFERROR(X74*H74,"0")+IFERROR(X75*H75,"0")</f>
        <v>1260</v>
      </c>
      <c r="I300" s="52">
        <f>IFERROR(X80*H80,"0")</f>
        <v>50.4</v>
      </c>
      <c r="J300" s="52">
        <f>IFERROR(X85*H85,"0")+IFERROR(X86*H86,"0")</f>
        <v>201.6</v>
      </c>
      <c r="K300" s="52">
        <f>IFERROR(X91*H91,"0")+IFERROR(X92*H92,"0")+IFERROR(X93*H93,"0")+IFERROR(X94*H94,"0")+IFERROR(X95*H95,"0")+IFERROR(X96*H96,"0")+IFERROR(X97*H97,"0")+IFERROR(X98*H98,"0")</f>
        <v>542.64</v>
      </c>
      <c r="L300" s="52">
        <f>IFERROR(X103*H103,"0")+IFERROR(X104*H104,"0")</f>
        <v>50.4</v>
      </c>
      <c r="M300" s="52">
        <f>IFERROR(X109*H109,"0")+IFERROR(X110*H110,"0")+IFERROR(X111*H111,"0")+IFERROR(X112*H112,"0")+IFERROR(X113*H113,"0")+IFERROR(X114*H114,"0")+IFERROR(X115*H115,"0")+IFERROR(X116*H116,"0")+IFERROR(X120*H120,"0")+IFERROR(X124*H124,"0")</f>
        <v>3291.36</v>
      </c>
      <c r="N300" s="1"/>
      <c r="O300" s="52">
        <f>IFERROR(X129*H129,"0")+IFERROR(X133*H133,"0")+IFERROR(X134*H134,"0")+IFERROR(X135*H135,"0")+IFERROR(X136*H136,"0")+IFERROR(X140*H140,"0")+IFERROR(X141*H141,"0")+IFERROR(X142*H142,"0")</f>
        <v>869.04</v>
      </c>
      <c r="P300" s="52">
        <f>IFERROR(X147*H147,"0")+IFERROR(X148*H148,"0")</f>
        <v>882</v>
      </c>
      <c r="Q300" s="52">
        <f>IFERROR(X153*H153,"0")+IFERROR(X154*H154,"0")</f>
        <v>336</v>
      </c>
      <c r="R300" s="52">
        <f>IFERROR(X159*H159,"0")+IFERROR(X160*H160,"0")+IFERROR(X161*H161,"0")</f>
        <v>67.2</v>
      </c>
      <c r="S300" s="52">
        <f>IFERROR(X166*H166,"0")</f>
        <v>42</v>
      </c>
      <c r="T300" s="52">
        <f>IFERROR(X171*H171,"0")</f>
        <v>0</v>
      </c>
      <c r="U300" s="52">
        <f>IFERROR(X176*H176,"0")</f>
        <v>94.08</v>
      </c>
      <c r="V300" s="52">
        <f>IFERROR(X182*H182,"0")+IFERROR(X186*H186,"0")+IFERROR(X187*H187,"0")+IFERROR(X191*H191,"0")+IFERROR(X192*H192,"0")</f>
        <v>720</v>
      </c>
      <c r="W300" s="52">
        <f>IFERROR(X197*H197,"0")+IFERROR(X198*H198,"0")</f>
        <v>60</v>
      </c>
      <c r="X300" s="52">
        <f>IFERROR(X203*H203,"0")</f>
        <v>480</v>
      </c>
      <c r="Y300" s="52">
        <f>IFERROR(X209*H209,"0")+IFERROR(X210*H210,"0")+IFERROR(X211*H211,"0")+IFERROR(X212*H212,"0")</f>
        <v>707.28</v>
      </c>
      <c r="Z300" s="52">
        <f>IFERROR(X218*H218,"0")+IFERROR(X222*H222,"0")+IFERROR(X223*H223,"0")+IFERROR(X224*H224,"0")</f>
        <v>154.56</v>
      </c>
      <c r="AA300" s="52">
        <f>IFERROR(X229*H229,"0")+IFERROR(X230*H230,"0")</f>
        <v>0</v>
      </c>
      <c r="AB300" s="52">
        <f>IFERROR(X235*H235,"0")</f>
        <v>480</v>
      </c>
      <c r="AC300" s="52">
        <f>IFERROR(X241*H241,"0")</f>
        <v>0</v>
      </c>
      <c r="AD300" s="52">
        <f>IFERROR(X247*H247,"0")+IFERROR(X251*H251,"0")</f>
        <v>0</v>
      </c>
      <c r="AE300" s="52">
        <f>IFERROR(X257*H257,"0")+IFERROR(X261*H261,"0")</f>
        <v>0</v>
      </c>
      <c r="AF300" s="52">
        <f>IFERROR(X267*H267,"0")+IFERROR(X268*H268,"0")+IFERROR(X272*H272,"0")+IFERROR(X273*H273,"0")+IFERROR(X274*H274,"0")+IFERROR(X278*H278,"0")+IFERROR(X279*H279,"0")+IFERROR(X280*H280,"0")+IFERROR(X281*H281,"0")+IFERROR(X282*H282,"0")+IFERROR(X283*H283,"0")+IFERROR(X284*H284,"0")+IFERROR(X285*H285,"0")+IFERROR(X286*H286,"0")+IFERROR(X287*H287,"0")</f>
        <v>2163.7200000000003</v>
      </c>
    </row>
    <row r="301" spans="1:32" ht="13.5" thickTop="1" x14ac:dyDescent="0.2">
      <c r="C301" s="1"/>
    </row>
    <row r="302" spans="1:32" ht="19.5" customHeight="1" x14ac:dyDescent="0.2">
      <c r="A302" s="70" t="s">
        <v>62</v>
      </c>
      <c r="B302" s="70" t="s">
        <v>63</v>
      </c>
      <c r="C302" s="70" t="s">
        <v>65</v>
      </c>
    </row>
    <row r="303" spans="1:32" x14ac:dyDescent="0.2">
      <c r="A303" s="71">
        <f>SUMPRODUCT(--(BB:BB="ЗПФ"),--(W:W="кор"),H:H,Y:Y)+SUMPRODUCT(--(BB:BB="ЗПФ"),--(W:W="кг"),Y:Y)</f>
        <v>7553.76</v>
      </c>
      <c r="B303" s="72">
        <f>SUMPRODUCT(--(BB:BB="ПГП"),--(W:W="кор"),H:H,Y:Y)+SUMPRODUCT(--(BB:BB="ПГП"),--(W:W="кг"),Y:Y)</f>
        <v>6835.0800000000008</v>
      </c>
      <c r="C303" s="72">
        <f>SUMPRODUCT(--(BB:BB="КИЗ"),--(W:W="кор"),H:H,Y:Y)+SUMPRODUCT(--(BB:BB="КИЗ"),--(W:W="кг"),Y:Y)</f>
        <v>0</v>
      </c>
    </row>
  </sheetData>
  <sheetProtection algorithmName="SHA-512" hashValue="GR0IRXhV9GL7dEcXthj+E/n4xc9BeHBGTWxmNyr4yIcdNbtd340r+Dt25Pe75UWsuYky8vODYQyUMHdxnkanbQ==" saltValue="D7ihBQX8iPCNeSctpen9MQ==" spinCount="100000" sheet="1" objects="1" scenarios="1" sort="0" autoFilter="0" pivotTables="0"/>
  <autoFilter ref="A18:AF29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60,00"/>
        <filter val="1 502,72"/>
        <filter val="112,00"/>
        <filter val="12,00"/>
        <filter val="120,00"/>
        <filter val="132,00"/>
        <filter val="134,40"/>
        <filter val="14 388,84"/>
        <filter val="14,00"/>
        <filter val="140,00"/>
        <filter val="15 741,14"/>
        <filter val="154,56"/>
        <filter val="16 741,14"/>
        <filter val="168,00"/>
        <filter val="182,00"/>
        <filter val="194,00"/>
        <filter val="196,00"/>
        <filter val="201,60"/>
        <filter val="238,00"/>
        <filter val="24,00"/>
        <filter val="252,00"/>
        <filter val="28,00"/>
        <filter val="288,00"/>
        <filter val="294,00"/>
        <filter val="3 254,40"/>
        <filter val="3 504,00"/>
        <filter val="316,00"/>
        <filter val="33,60"/>
        <filter val="336,00"/>
        <filter val="36,96"/>
        <filter val="40"/>
        <filter val="408,96"/>
        <filter val="410,40"/>
        <filter val="42,00"/>
        <filter val="458,64"/>
        <filter val="468,00"/>
        <filter val="48,00"/>
        <filter val="480,00"/>
        <filter val="50,40"/>
        <filter val="542,64"/>
        <filter val="56,00"/>
        <filter val="60,00"/>
        <filter val="661,00"/>
        <filter val="67,20"/>
        <filter val="70,00"/>
        <filter val="707,28"/>
        <filter val="72,00"/>
        <filter val="720,00"/>
        <filter val="76,80"/>
        <filter val="84,00"/>
        <filter val="882,00"/>
        <filter val="916,80"/>
        <filter val="94,08"/>
        <filter val="96,00"/>
        <filter val="98,00"/>
      </filters>
    </filterColumn>
    <filterColumn colId="29" showButton="0"/>
    <filterColumn colId="30" showButton="0"/>
  </autoFilter>
  <dataConsolidate/>
  <mergeCells count="527">
    <mergeCell ref="Y298:Y299"/>
    <mergeCell ref="Z298:Z299"/>
    <mergeCell ref="AA298:AA299"/>
    <mergeCell ref="AB298:AB299"/>
    <mergeCell ref="AC298:AC299"/>
    <mergeCell ref="AD298:AD299"/>
    <mergeCell ref="AE298:AE299"/>
    <mergeCell ref="AF298:AF299"/>
    <mergeCell ref="Z297:AB297"/>
    <mergeCell ref="A298:A299"/>
    <mergeCell ref="B298:B299"/>
    <mergeCell ref="C298:C299"/>
    <mergeCell ref="D298:D299"/>
    <mergeCell ref="E298:E299"/>
    <mergeCell ref="F298:F299"/>
    <mergeCell ref="G298:G299"/>
    <mergeCell ref="H298:H299"/>
    <mergeCell ref="I298:I299"/>
    <mergeCell ref="T298:T299"/>
    <mergeCell ref="U298:U299"/>
    <mergeCell ref="V298:V299"/>
    <mergeCell ref="W298:W299"/>
    <mergeCell ref="X298:X299"/>
    <mergeCell ref="P290:V290"/>
    <mergeCell ref="A290:O295"/>
    <mergeCell ref="P291:V291"/>
    <mergeCell ref="P292:V292"/>
    <mergeCell ref="P293:V293"/>
    <mergeCell ref="P294:V294"/>
    <mergeCell ref="P295:V295"/>
    <mergeCell ref="B297:C297"/>
    <mergeCell ref="D297:U297"/>
    <mergeCell ref="V297:X297"/>
    <mergeCell ref="J298:J299"/>
    <mergeCell ref="K298:K299"/>
    <mergeCell ref="L298:L299"/>
    <mergeCell ref="M298:M299"/>
    <mergeCell ref="O298:O299"/>
    <mergeCell ref="P298:P299"/>
    <mergeCell ref="Q298:Q299"/>
    <mergeCell ref="R298:R299"/>
    <mergeCell ref="S298:S299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61:E261"/>
    <mergeCell ref="P261:T261"/>
    <mergeCell ref="P262:V262"/>
    <mergeCell ref="A262:O263"/>
    <mergeCell ref="P263:V263"/>
    <mergeCell ref="A264:Z264"/>
    <mergeCell ref="A265:Z265"/>
    <mergeCell ref="A266:Z266"/>
    <mergeCell ref="D267:E267"/>
    <mergeCell ref="P267:T267"/>
    <mergeCell ref="A254:Z254"/>
    <mergeCell ref="A255:Z255"/>
    <mergeCell ref="A256:Z256"/>
    <mergeCell ref="D257:E257"/>
    <mergeCell ref="P257:T257"/>
    <mergeCell ref="P258:V258"/>
    <mergeCell ref="A258:O259"/>
    <mergeCell ref="P259:V259"/>
    <mergeCell ref="A260:Z260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P252:V252"/>
    <mergeCell ref="A252:O253"/>
    <mergeCell ref="P253:V253"/>
    <mergeCell ref="A240:Z240"/>
    <mergeCell ref="D241:E241"/>
    <mergeCell ref="P241:T241"/>
    <mergeCell ref="P242:V242"/>
    <mergeCell ref="A242:O243"/>
    <mergeCell ref="P243:V243"/>
    <mergeCell ref="A244:Z244"/>
    <mergeCell ref="A245:Z245"/>
    <mergeCell ref="A246:Z246"/>
    <mergeCell ref="A233:Z233"/>
    <mergeCell ref="A234:Z234"/>
    <mergeCell ref="D235:E235"/>
    <mergeCell ref="P235:T235"/>
    <mergeCell ref="P236:V236"/>
    <mergeCell ref="A236:O237"/>
    <mergeCell ref="P237:V237"/>
    <mergeCell ref="A238:Z238"/>
    <mergeCell ref="A239:Z239"/>
    <mergeCell ref="A227:Z227"/>
    <mergeCell ref="A228:Z228"/>
    <mergeCell ref="D229:E229"/>
    <mergeCell ref="P229:T229"/>
    <mergeCell ref="D230:E230"/>
    <mergeCell ref="P230:T230"/>
    <mergeCell ref="P231:V231"/>
    <mergeCell ref="A231:O232"/>
    <mergeCell ref="P232:V232"/>
    <mergeCell ref="D222:E222"/>
    <mergeCell ref="P222:T222"/>
    <mergeCell ref="D223:E223"/>
    <mergeCell ref="P223:T223"/>
    <mergeCell ref="D224:E224"/>
    <mergeCell ref="P224:T224"/>
    <mergeCell ref="P225:V225"/>
    <mergeCell ref="A225:O226"/>
    <mergeCell ref="P226:V226"/>
    <mergeCell ref="A215:Z215"/>
    <mergeCell ref="A216:Z216"/>
    <mergeCell ref="A217:Z217"/>
    <mergeCell ref="D218:E218"/>
    <mergeCell ref="P218:T218"/>
    <mergeCell ref="P219:V219"/>
    <mergeCell ref="A219:O220"/>
    <mergeCell ref="P220:V220"/>
    <mergeCell ref="A221:Z221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D203:E203"/>
    <mergeCell ref="P203:T203"/>
    <mergeCell ref="P204:V204"/>
    <mergeCell ref="A204:O205"/>
    <mergeCell ref="P205:V205"/>
    <mergeCell ref="A206:Z206"/>
    <mergeCell ref="A207:Z207"/>
    <mergeCell ref="A208:Z208"/>
    <mergeCell ref="D209:E209"/>
    <mergeCell ref="P209:T209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202:Z202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A196:Z196"/>
    <mergeCell ref="A185:Z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P177:V177"/>
    <mergeCell ref="A177:O178"/>
    <mergeCell ref="P178:V178"/>
    <mergeCell ref="A179:Z179"/>
    <mergeCell ref="A180:Z180"/>
    <mergeCell ref="A181:Z181"/>
    <mergeCell ref="D182:E182"/>
    <mergeCell ref="P182:T182"/>
    <mergeCell ref="P183:V183"/>
    <mergeCell ref="A183:O184"/>
    <mergeCell ref="P184:V184"/>
    <mergeCell ref="D171:E171"/>
    <mergeCell ref="P171:T171"/>
    <mergeCell ref="P172:V172"/>
    <mergeCell ref="A172:O173"/>
    <mergeCell ref="P173:V173"/>
    <mergeCell ref="A174:Z174"/>
    <mergeCell ref="A175:Z175"/>
    <mergeCell ref="D176:E176"/>
    <mergeCell ref="P176:T176"/>
    <mergeCell ref="A164:Z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A157:Z157"/>
    <mergeCell ref="A158:Z158"/>
    <mergeCell ref="D159:E159"/>
    <mergeCell ref="P159:T159"/>
    <mergeCell ref="D160:E160"/>
    <mergeCell ref="P160:T160"/>
    <mergeCell ref="D161:E161"/>
    <mergeCell ref="P161:T161"/>
    <mergeCell ref="P162:V162"/>
    <mergeCell ref="A162:O163"/>
    <mergeCell ref="P163:V163"/>
    <mergeCell ref="A151:Z151"/>
    <mergeCell ref="A152:Z152"/>
    <mergeCell ref="D153:E153"/>
    <mergeCell ref="P153:T153"/>
    <mergeCell ref="D154:E154"/>
    <mergeCell ref="P154:T154"/>
    <mergeCell ref="P155:V155"/>
    <mergeCell ref="A155:O156"/>
    <mergeCell ref="P156:V156"/>
    <mergeCell ref="A145:Z145"/>
    <mergeCell ref="A146:Z146"/>
    <mergeCell ref="D147:E147"/>
    <mergeCell ref="P147:T147"/>
    <mergeCell ref="D148:E148"/>
    <mergeCell ref="P148:T148"/>
    <mergeCell ref="P149:V149"/>
    <mergeCell ref="A149:O150"/>
    <mergeCell ref="P150:V150"/>
    <mergeCell ref="A139:Z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D134:E134"/>
    <mergeCell ref="P134:T134"/>
    <mergeCell ref="D135:E135"/>
    <mergeCell ref="P135:T135"/>
    <mergeCell ref="D136:E136"/>
    <mergeCell ref="P136:T136"/>
    <mergeCell ref="P137:V137"/>
    <mergeCell ref="A137:O138"/>
    <mergeCell ref="P138:V138"/>
    <mergeCell ref="A127:Z127"/>
    <mergeCell ref="A128:Z128"/>
    <mergeCell ref="D129:E129"/>
    <mergeCell ref="P129:T129"/>
    <mergeCell ref="P130:V130"/>
    <mergeCell ref="A130:O131"/>
    <mergeCell ref="P131:V131"/>
    <mergeCell ref="A132:Z132"/>
    <mergeCell ref="D133:E133"/>
    <mergeCell ref="P133:T133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04:E104"/>
    <mergeCell ref="P104:T104"/>
    <mergeCell ref="P105:V105"/>
    <mergeCell ref="A105:O106"/>
    <mergeCell ref="P106:V106"/>
    <mergeCell ref="A107:Z107"/>
    <mergeCell ref="A108:Z108"/>
    <mergeCell ref="D109:E109"/>
    <mergeCell ref="P109:T109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69:E69"/>
    <mergeCell ref="P69:T69"/>
    <mergeCell ref="P70:V70"/>
    <mergeCell ref="A70:O71"/>
    <mergeCell ref="P71:V71"/>
    <mergeCell ref="A72:Z72"/>
    <mergeCell ref="A73:Z73"/>
    <mergeCell ref="D74:E74"/>
    <mergeCell ref="P74:T74"/>
    <mergeCell ref="A63:Z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D52:E52"/>
    <mergeCell ref="P52:T52"/>
    <mergeCell ref="P53:V53"/>
    <mergeCell ref="A53:O54"/>
    <mergeCell ref="P54:V54"/>
    <mergeCell ref="A55:Z55"/>
    <mergeCell ref="A56:Z56"/>
    <mergeCell ref="D57:E57"/>
    <mergeCell ref="P57:T57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39:E39"/>
    <mergeCell ref="P39:T39"/>
    <mergeCell ref="P40:V40"/>
    <mergeCell ref="A40:O41"/>
    <mergeCell ref="P41:V41"/>
    <mergeCell ref="A42:Z42"/>
    <mergeCell ref="A43:Z43"/>
    <mergeCell ref="A44:Z44"/>
    <mergeCell ref="D45:E45"/>
    <mergeCell ref="P45:T45"/>
    <mergeCell ref="A32:Z32"/>
    <mergeCell ref="D33:E33"/>
    <mergeCell ref="P33:T33"/>
    <mergeCell ref="P34:V34"/>
    <mergeCell ref="A34:O35"/>
    <mergeCell ref="P35:V35"/>
    <mergeCell ref="A36:Z36"/>
    <mergeCell ref="A37:Z37"/>
    <mergeCell ref="D38:E38"/>
    <mergeCell ref="P38:T38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8:X287 X272:X274 X267:X268 X261 X257 X251 X247 X241 X229:X230 X222 X212 X203 X191:X192 X186:X187 X182 X176 X166 X161 X159 X153:X154 X147:X148 X140:X142 X133:X136 X129 X124 X120 X113:X116 X110 X103:X104 X92:X98 X80 X69 X65:X66 X51 X46 X38:X39 X33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5 X235 X223:X224 X218 X209:X211 X197:X198 X171 X160 X111:X112 X109 X91 X85:X86 X74:X75 X67:X68 X57:X60 X52" xr:uid="{00000000-0002-0000-0000-00001C000000}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420</v>
      </c>
      <c r="H1" s="9"/>
    </row>
    <row r="3" spans="2:8" x14ac:dyDescent="0.2">
      <c r="B3" s="53" t="s">
        <v>421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422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423</v>
      </c>
      <c r="D6" s="53" t="s">
        <v>424</v>
      </c>
      <c r="E6" s="53" t="s">
        <v>46</v>
      </c>
    </row>
    <row r="8" spans="2:8" x14ac:dyDescent="0.2">
      <c r="B8" s="53" t="s">
        <v>80</v>
      </c>
      <c r="C8" s="53" t="s">
        <v>423</v>
      </c>
      <c r="D8" s="53" t="s">
        <v>46</v>
      </c>
      <c r="E8" s="53" t="s">
        <v>46</v>
      </c>
    </row>
    <row r="10" spans="2:8" x14ac:dyDescent="0.2">
      <c r="B10" s="53" t="s">
        <v>425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426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427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428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429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430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431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432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433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434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435</v>
      </c>
      <c r="C20" s="53" t="s">
        <v>46</v>
      </c>
      <c r="D20" s="53" t="s">
        <v>46</v>
      </c>
      <c r="E20" s="53" t="s">
        <v>46</v>
      </c>
    </row>
  </sheetData>
  <sheetProtection algorithmName="SHA-512" hashValue="Qxk02FGgoXogmiATn1tOvLEHxwZSHEq7nP0DJHD6qIMQRZHdC/dQjuM872lj6zaoeG//1j6F+jK6FsmGzkq1pw==" saltValue="r8IycvdUQ7FKyz4zBIC64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465</vt:i4>
      </vt:variant>
    </vt:vector>
  </HeadingPairs>
  <TitlesOfParts>
    <vt:vector size="4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2026-10-21T13:43:40Z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