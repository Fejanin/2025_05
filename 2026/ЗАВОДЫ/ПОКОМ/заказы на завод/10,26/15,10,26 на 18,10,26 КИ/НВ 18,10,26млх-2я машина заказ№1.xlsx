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A04105F-0C42-409F-B9DE-F2286DD534F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1" l="1"/>
  <c r="X544" i="1"/>
  <c r="BP543" i="1"/>
  <c r="BO543" i="1"/>
  <c r="BM543" i="1"/>
  <c r="Z543" i="1"/>
  <c r="Z544" i="1" s="1"/>
  <c r="Y543" i="1"/>
  <c r="AC556" i="1" s="1"/>
  <c r="P543" i="1"/>
  <c r="X540" i="1"/>
  <c r="Y539" i="1"/>
  <c r="X539" i="1"/>
  <c r="BO538" i="1"/>
  <c r="BN538" i="1"/>
  <c r="BM538" i="1"/>
  <c r="Y538" i="1"/>
  <c r="BP538" i="1" s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AB556" i="1" s="1"/>
  <c r="P521" i="1"/>
  <c r="X517" i="1"/>
  <c r="X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BN512" i="1" s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BO496" i="1"/>
  <c r="BN496" i="1"/>
  <c r="BM496" i="1"/>
  <c r="Y496" i="1"/>
  <c r="BP496" i="1" s="1"/>
  <c r="P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X488" i="1"/>
  <c r="X487" i="1"/>
  <c r="BO486" i="1"/>
  <c r="BN486" i="1"/>
  <c r="BM486" i="1"/>
  <c r="Y486" i="1"/>
  <c r="BP486" i="1" s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O471" i="1"/>
  <c r="BN471" i="1"/>
  <c r="BM471" i="1"/>
  <c r="Y471" i="1"/>
  <c r="BP471" i="1" s="1"/>
  <c r="P471" i="1"/>
  <c r="BO470" i="1"/>
  <c r="BM470" i="1"/>
  <c r="Y470" i="1"/>
  <c r="P470" i="1"/>
  <c r="BO469" i="1"/>
  <c r="BM469" i="1"/>
  <c r="Y469" i="1"/>
  <c r="P469" i="1"/>
  <c r="BO468" i="1"/>
  <c r="BM468" i="1"/>
  <c r="Y468" i="1"/>
  <c r="P468" i="1"/>
  <c r="BO467" i="1"/>
  <c r="BN467" i="1"/>
  <c r="BM467" i="1"/>
  <c r="Z467" i="1"/>
  <c r="Y467" i="1"/>
  <c r="BP467" i="1" s="1"/>
  <c r="P467" i="1"/>
  <c r="BO466" i="1"/>
  <c r="BM466" i="1"/>
  <c r="Y466" i="1"/>
  <c r="P466" i="1"/>
  <c r="X462" i="1"/>
  <c r="X461" i="1"/>
  <c r="BO460" i="1"/>
  <c r="BM460" i="1"/>
  <c r="Y460" i="1"/>
  <c r="P460" i="1"/>
  <c r="BO459" i="1"/>
  <c r="BM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M450" i="1"/>
  <c r="Y450" i="1"/>
  <c r="P450" i="1"/>
  <c r="BO449" i="1"/>
  <c r="BN449" i="1"/>
  <c r="BM449" i="1"/>
  <c r="Y449" i="1"/>
  <c r="BP449" i="1" s="1"/>
  <c r="P449" i="1"/>
  <c r="X446" i="1"/>
  <c r="X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9" i="1"/>
  <c r="X428" i="1"/>
  <c r="BO427" i="1"/>
  <c r="BM427" i="1"/>
  <c r="Y427" i="1"/>
  <c r="P427" i="1"/>
  <c r="BP426" i="1"/>
  <c r="BO426" i="1"/>
  <c r="BM426" i="1"/>
  <c r="Z426" i="1"/>
  <c r="Y426" i="1"/>
  <c r="BN426" i="1" s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BN422" i="1" s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BP413" i="1"/>
  <c r="BO413" i="1"/>
  <c r="BM413" i="1"/>
  <c r="Z413" i="1"/>
  <c r="Y413" i="1"/>
  <c r="BN413" i="1" s="1"/>
  <c r="P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BN399" i="1" s="1"/>
  <c r="P399" i="1"/>
  <c r="X397" i="1"/>
  <c r="X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X391" i="1"/>
  <c r="X390" i="1"/>
  <c r="BO389" i="1"/>
  <c r="BM389" i="1"/>
  <c r="Y389" i="1"/>
  <c r="P389" i="1"/>
  <c r="BO388" i="1"/>
  <c r="BM388" i="1"/>
  <c r="Y388" i="1"/>
  <c r="P388" i="1"/>
  <c r="BO387" i="1"/>
  <c r="BN387" i="1"/>
  <c r="BM387" i="1"/>
  <c r="Y387" i="1"/>
  <c r="BP387" i="1" s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P373" i="1"/>
  <c r="X371" i="1"/>
  <c r="X370" i="1"/>
  <c r="BO369" i="1"/>
  <c r="BN369" i="1"/>
  <c r="BM369" i="1"/>
  <c r="Y369" i="1"/>
  <c r="BP369" i="1" s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P363" i="1"/>
  <c r="X361" i="1"/>
  <c r="X360" i="1"/>
  <c r="BO359" i="1"/>
  <c r="BN359" i="1"/>
  <c r="BM359" i="1"/>
  <c r="Y359" i="1"/>
  <c r="BP359" i="1" s="1"/>
  <c r="P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O346" i="1"/>
  <c r="BN346" i="1"/>
  <c r="BM346" i="1"/>
  <c r="Y346" i="1"/>
  <c r="P346" i="1"/>
  <c r="X343" i="1"/>
  <c r="X342" i="1"/>
  <c r="BO341" i="1"/>
  <c r="BM341" i="1"/>
  <c r="Y341" i="1"/>
  <c r="P341" i="1"/>
  <c r="BO340" i="1"/>
  <c r="BM340" i="1"/>
  <c r="Y340" i="1"/>
  <c r="P340" i="1"/>
  <c r="BO339" i="1"/>
  <c r="BN339" i="1"/>
  <c r="BM339" i="1"/>
  <c r="Y339" i="1"/>
  <c r="BP339" i="1" s="1"/>
  <c r="P339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BP333" i="1" s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N326" i="1"/>
  <c r="BM326" i="1"/>
  <c r="Y326" i="1"/>
  <c r="BP326" i="1" s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BO317" i="1"/>
  <c r="BN317" i="1"/>
  <c r="BM317" i="1"/>
  <c r="Y317" i="1"/>
  <c r="BP317" i="1" s="1"/>
  <c r="P317" i="1"/>
  <c r="BO316" i="1"/>
  <c r="BM316" i="1"/>
  <c r="Y316" i="1"/>
  <c r="P316" i="1"/>
  <c r="BO315" i="1"/>
  <c r="BM315" i="1"/>
  <c r="Y315" i="1"/>
  <c r="P315" i="1"/>
  <c r="X312" i="1"/>
  <c r="X311" i="1"/>
  <c r="BO310" i="1"/>
  <c r="BM310" i="1"/>
  <c r="Y310" i="1"/>
  <c r="BN310" i="1" s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BP296" i="1" s="1"/>
  <c r="P296" i="1"/>
  <c r="BO295" i="1"/>
  <c r="BM295" i="1"/>
  <c r="Y295" i="1"/>
  <c r="P295" i="1"/>
  <c r="BP294" i="1"/>
  <c r="BO294" i="1"/>
  <c r="BM294" i="1"/>
  <c r="Z294" i="1"/>
  <c r="Y294" i="1"/>
  <c r="BN294" i="1" s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X288" i="1"/>
  <c r="X287" i="1"/>
  <c r="BO286" i="1"/>
  <c r="BM286" i="1"/>
  <c r="Y286" i="1"/>
  <c r="P286" i="1"/>
  <c r="BO285" i="1"/>
  <c r="BN285" i="1"/>
  <c r="BM285" i="1"/>
  <c r="Y285" i="1"/>
  <c r="BP285" i="1" s="1"/>
  <c r="P285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N279" i="1"/>
  <c r="BM279" i="1"/>
  <c r="Y279" i="1"/>
  <c r="BP279" i="1" s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P271" i="1"/>
  <c r="BO271" i="1"/>
  <c r="BM271" i="1"/>
  <c r="Z271" i="1"/>
  <c r="Y271" i="1"/>
  <c r="BN271" i="1" s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O262" i="1"/>
  <c r="BN262" i="1"/>
  <c r="BM262" i="1"/>
  <c r="Y262" i="1"/>
  <c r="BP262" i="1" s="1"/>
  <c r="P262" i="1"/>
  <c r="BO261" i="1"/>
  <c r="BM261" i="1"/>
  <c r="Y261" i="1"/>
  <c r="P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N254" i="1"/>
  <c r="BM254" i="1"/>
  <c r="Y254" i="1"/>
  <c r="BP254" i="1" s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N239" i="1" s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O223" i="1"/>
  <c r="BN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N215" i="1" s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O202" i="1"/>
  <c r="BN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Y184" i="1"/>
  <c r="BN184" i="1" s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N174" i="1" s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X169" i="1"/>
  <c r="X168" i="1"/>
  <c r="BO167" i="1"/>
  <c r="BM167" i="1"/>
  <c r="Y167" i="1"/>
  <c r="P167" i="1"/>
  <c r="BP166" i="1"/>
  <c r="BO166" i="1"/>
  <c r="BN166" i="1"/>
  <c r="BM166" i="1"/>
  <c r="Z166" i="1"/>
  <c r="Y166" i="1"/>
  <c r="P166" i="1"/>
  <c r="X164" i="1"/>
  <c r="X163" i="1"/>
  <c r="BO162" i="1"/>
  <c r="BM162" i="1"/>
  <c r="Y162" i="1"/>
  <c r="BP162" i="1" s="1"/>
  <c r="P162" i="1"/>
  <c r="BO161" i="1"/>
  <c r="BM161" i="1"/>
  <c r="Y161" i="1"/>
  <c r="P161" i="1"/>
  <c r="BO160" i="1"/>
  <c r="BN160" i="1"/>
  <c r="BM160" i="1"/>
  <c r="Y160" i="1"/>
  <c r="BP160" i="1" s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X144" i="1"/>
  <c r="X143" i="1"/>
  <c r="BO142" i="1"/>
  <c r="BM142" i="1"/>
  <c r="Y142" i="1"/>
  <c r="BP142" i="1" s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O136" i="1"/>
  <c r="BM136" i="1"/>
  <c r="Y136" i="1"/>
  <c r="BN136" i="1" s="1"/>
  <c r="P136" i="1"/>
  <c r="X134" i="1"/>
  <c r="X133" i="1"/>
  <c r="BO132" i="1"/>
  <c r="BM132" i="1"/>
  <c r="Y132" i="1"/>
  <c r="BP132" i="1" s="1"/>
  <c r="P132" i="1"/>
  <c r="BO131" i="1"/>
  <c r="BM131" i="1"/>
  <c r="Y131" i="1"/>
  <c r="P131" i="1"/>
  <c r="X128" i="1"/>
  <c r="X127" i="1"/>
  <c r="BO126" i="1"/>
  <c r="BM126" i="1"/>
  <c r="Y126" i="1"/>
  <c r="Y127" i="1" s="1"/>
  <c r="P126" i="1"/>
  <c r="X124" i="1"/>
  <c r="X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BO119" i="1"/>
  <c r="BM119" i="1"/>
  <c r="Y119" i="1"/>
  <c r="Y123" i="1" s="1"/>
  <c r="P119" i="1"/>
  <c r="X117" i="1"/>
  <c r="X116" i="1"/>
  <c r="BO115" i="1"/>
  <c r="BN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N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BP95" i="1" s="1"/>
  <c r="P95" i="1"/>
  <c r="BO94" i="1"/>
  <c r="BN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N86" i="1"/>
  <c r="BM86" i="1"/>
  <c r="Y86" i="1"/>
  <c r="BP86" i="1" s="1"/>
  <c r="P86" i="1"/>
  <c r="BO85" i="1"/>
  <c r="BM85" i="1"/>
  <c r="Y85" i="1"/>
  <c r="BP85" i="1" s="1"/>
  <c r="P85" i="1"/>
  <c r="BO84" i="1"/>
  <c r="BM84" i="1"/>
  <c r="Y84" i="1"/>
  <c r="BP84" i="1" s="1"/>
  <c r="P84" i="1"/>
  <c r="X81" i="1"/>
  <c r="X80" i="1"/>
  <c r="BO79" i="1"/>
  <c r="BM79" i="1"/>
  <c r="Y79" i="1"/>
  <c r="BN79" i="1" s="1"/>
  <c r="P79" i="1"/>
  <c r="BO78" i="1"/>
  <c r="BM78" i="1"/>
  <c r="Y78" i="1"/>
  <c r="BP78" i="1" s="1"/>
  <c r="P78" i="1"/>
  <c r="BO77" i="1"/>
  <c r="BM77" i="1"/>
  <c r="Y77" i="1"/>
  <c r="Y81" i="1" s="1"/>
  <c r="P77" i="1"/>
  <c r="X75" i="1"/>
  <c r="X74" i="1"/>
  <c r="BP73" i="1"/>
  <c r="BO73" i="1"/>
  <c r="BM73" i="1"/>
  <c r="Z73" i="1"/>
  <c r="Y73" i="1"/>
  <c r="BN73" i="1" s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BO65" i="1"/>
  <c r="BN65" i="1"/>
  <c r="BM65" i="1"/>
  <c r="Y65" i="1"/>
  <c r="BP65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N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P54" i="1"/>
  <c r="X51" i="1"/>
  <c r="X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BO46" i="1"/>
  <c r="BN46" i="1"/>
  <c r="BM46" i="1"/>
  <c r="Y46" i="1"/>
  <c r="BP46" i="1" s="1"/>
  <c r="P46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N38" i="1" s="1"/>
  <c r="P38" i="1"/>
  <c r="BO37" i="1"/>
  <c r="BM37" i="1"/>
  <c r="Y37" i="1"/>
  <c r="BP37" i="1" s="1"/>
  <c r="P37" i="1"/>
  <c r="BO36" i="1"/>
  <c r="BM36" i="1"/>
  <c r="Y36" i="1"/>
  <c r="BP36" i="1" s="1"/>
  <c r="P36" i="1"/>
  <c r="X32" i="1"/>
  <c r="X31" i="1"/>
  <c r="BP30" i="1"/>
  <c r="BO30" i="1"/>
  <c r="BM30" i="1"/>
  <c r="Z30" i="1"/>
  <c r="Y30" i="1"/>
  <c r="BN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BN26" i="1" s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BP38" i="1" l="1"/>
  <c r="BP79" i="1"/>
  <c r="Z136" i="1"/>
  <c r="BP136" i="1"/>
  <c r="Z174" i="1"/>
  <c r="BP174" i="1"/>
  <c r="Z184" i="1"/>
  <c r="BP184" i="1"/>
  <c r="Z215" i="1"/>
  <c r="BP215" i="1"/>
  <c r="Z239" i="1"/>
  <c r="BP239" i="1"/>
  <c r="Z310" i="1"/>
  <c r="BP310" i="1"/>
  <c r="Y321" i="1"/>
  <c r="Z399" i="1"/>
  <c r="BP399" i="1"/>
  <c r="Z422" i="1"/>
  <c r="BP422" i="1"/>
  <c r="Z512" i="1"/>
  <c r="BP512" i="1"/>
  <c r="J9" i="1"/>
  <c r="Z46" i="1"/>
  <c r="Z59" i="1"/>
  <c r="Z86" i="1"/>
  <c r="H556" i="1"/>
  <c r="Z202" i="1"/>
  <c r="Z254" i="1"/>
  <c r="Z279" i="1"/>
  <c r="Z317" i="1"/>
  <c r="Z339" i="1"/>
  <c r="Y349" i="1"/>
  <c r="Z449" i="1"/>
  <c r="Z471" i="1"/>
  <c r="Z538" i="1"/>
  <c r="BN543" i="1"/>
  <c r="Y544" i="1"/>
  <c r="F9" i="1"/>
  <c r="Z26" i="1"/>
  <c r="BP26" i="1"/>
  <c r="Z38" i="1"/>
  <c r="Z79" i="1"/>
  <c r="F10" i="1"/>
  <c r="Z65" i="1"/>
  <c r="Z94" i="1"/>
  <c r="Z105" i="1"/>
  <c r="Z115" i="1"/>
  <c r="Z160" i="1"/>
  <c r="Z223" i="1"/>
  <c r="Z262" i="1"/>
  <c r="Z285" i="1"/>
  <c r="Z326" i="1"/>
  <c r="Z346" i="1"/>
  <c r="BP346" i="1"/>
  <c r="Z359" i="1"/>
  <c r="Z369" i="1"/>
  <c r="Z387" i="1"/>
  <c r="Z486" i="1"/>
  <c r="Z496" i="1"/>
  <c r="BP341" i="1"/>
  <c r="BN341" i="1"/>
  <c r="Z341" i="1"/>
  <c r="BP357" i="1"/>
  <c r="BN357" i="1"/>
  <c r="Z357" i="1"/>
  <c r="BP367" i="1"/>
  <c r="BN367" i="1"/>
  <c r="Z367" i="1"/>
  <c r="BP381" i="1"/>
  <c r="BN381" i="1"/>
  <c r="Z381" i="1"/>
  <c r="BP395" i="1"/>
  <c r="BN395" i="1"/>
  <c r="Z395" i="1"/>
  <c r="BP420" i="1"/>
  <c r="BN420" i="1"/>
  <c r="Z420" i="1"/>
  <c r="BP432" i="1"/>
  <c r="BN432" i="1"/>
  <c r="Z432" i="1"/>
  <c r="BP459" i="1"/>
  <c r="BN459" i="1"/>
  <c r="Z459" i="1"/>
  <c r="Y477" i="1"/>
  <c r="Y476" i="1"/>
  <c r="BP475" i="1"/>
  <c r="BN475" i="1"/>
  <c r="Z475" i="1"/>
  <c r="Z476" i="1" s="1"/>
  <c r="Y482" i="1"/>
  <c r="Y481" i="1"/>
  <c r="BP480" i="1"/>
  <c r="BN480" i="1"/>
  <c r="Z480" i="1"/>
  <c r="Z481" i="1" s="1"/>
  <c r="Y488" i="1"/>
  <c r="BP484" i="1"/>
  <c r="BN484" i="1"/>
  <c r="Z484" i="1"/>
  <c r="BP498" i="1"/>
  <c r="BN498" i="1"/>
  <c r="Z498" i="1"/>
  <c r="BP514" i="1"/>
  <c r="BN514" i="1"/>
  <c r="Z514" i="1"/>
  <c r="X550" i="1"/>
  <c r="X546" i="1"/>
  <c r="Y32" i="1"/>
  <c r="Z28" i="1"/>
  <c r="BN28" i="1"/>
  <c r="Z36" i="1"/>
  <c r="BN36" i="1"/>
  <c r="Z40" i="1"/>
  <c r="BN40" i="1"/>
  <c r="Z48" i="1"/>
  <c r="BN48" i="1"/>
  <c r="E556" i="1"/>
  <c r="Z57" i="1"/>
  <c r="BN57" i="1"/>
  <c r="Z61" i="1"/>
  <c r="BN61" i="1"/>
  <c r="Y69" i="1"/>
  <c r="Z67" i="1"/>
  <c r="BN67" i="1"/>
  <c r="Z77" i="1"/>
  <c r="BN77" i="1"/>
  <c r="BP77" i="1"/>
  <c r="Z84" i="1"/>
  <c r="BN84" i="1"/>
  <c r="Z88" i="1"/>
  <c r="BN88" i="1"/>
  <c r="Y98" i="1"/>
  <c r="Z96" i="1"/>
  <c r="BN96" i="1"/>
  <c r="Z103" i="1"/>
  <c r="BN103" i="1"/>
  <c r="Z107" i="1"/>
  <c r="BN107" i="1"/>
  <c r="Y117" i="1"/>
  <c r="Z113" i="1"/>
  <c r="BN113" i="1"/>
  <c r="Z119" i="1"/>
  <c r="BN119" i="1"/>
  <c r="BP119" i="1"/>
  <c r="Z132" i="1"/>
  <c r="BN132" i="1"/>
  <c r="Y138" i="1"/>
  <c r="Z142" i="1"/>
  <c r="BN142" i="1"/>
  <c r="Z149" i="1"/>
  <c r="BN149" i="1"/>
  <c r="Z162" i="1"/>
  <c r="BN162" i="1"/>
  <c r="Y168" i="1"/>
  <c r="Z172" i="1"/>
  <c r="BN172" i="1"/>
  <c r="Z176" i="1"/>
  <c r="BN176" i="1"/>
  <c r="Z180" i="1"/>
  <c r="BN180" i="1"/>
  <c r="Z200" i="1"/>
  <c r="BN200" i="1"/>
  <c r="Z204" i="1"/>
  <c r="BN204" i="1"/>
  <c r="Z217" i="1"/>
  <c r="BN217" i="1"/>
  <c r="Z221" i="1"/>
  <c r="BN221" i="1"/>
  <c r="Z225" i="1"/>
  <c r="BN225" i="1"/>
  <c r="Z233" i="1"/>
  <c r="BN233" i="1"/>
  <c r="Z250" i="1"/>
  <c r="BN250" i="1"/>
  <c r="Y256" i="1"/>
  <c r="Z260" i="1"/>
  <c r="BN260" i="1"/>
  <c r="Z264" i="1"/>
  <c r="BN264" i="1"/>
  <c r="Z273" i="1"/>
  <c r="BN273" i="1"/>
  <c r="Z277" i="1"/>
  <c r="BN277" i="1"/>
  <c r="Z281" i="1"/>
  <c r="BN281" i="1"/>
  <c r="Y287" i="1"/>
  <c r="Z292" i="1"/>
  <c r="BN292" i="1"/>
  <c r="Z296" i="1"/>
  <c r="BN296" i="1"/>
  <c r="Z315" i="1"/>
  <c r="BN315" i="1"/>
  <c r="BP315" i="1"/>
  <c r="Z319" i="1"/>
  <c r="BN319" i="1"/>
  <c r="Z333" i="1"/>
  <c r="BN333" i="1"/>
  <c r="BP335" i="1"/>
  <c r="BN335" i="1"/>
  <c r="Z335" i="1"/>
  <c r="BP348" i="1"/>
  <c r="BN348" i="1"/>
  <c r="Z348" i="1"/>
  <c r="BP353" i="1"/>
  <c r="BN353" i="1"/>
  <c r="Z353" i="1"/>
  <c r="Y371" i="1"/>
  <c r="BP363" i="1"/>
  <c r="BN363" i="1"/>
  <c r="Z363" i="1"/>
  <c r="BP373" i="1"/>
  <c r="BN373" i="1"/>
  <c r="Z373" i="1"/>
  <c r="BP389" i="1"/>
  <c r="BN389" i="1"/>
  <c r="Z389" i="1"/>
  <c r="BP401" i="1"/>
  <c r="BN401" i="1"/>
  <c r="Z401" i="1"/>
  <c r="BP406" i="1"/>
  <c r="BN406" i="1"/>
  <c r="Z406" i="1"/>
  <c r="Z408" i="1" s="1"/>
  <c r="BP424" i="1"/>
  <c r="BN424" i="1"/>
  <c r="Z424" i="1"/>
  <c r="BP444" i="1"/>
  <c r="BN444" i="1"/>
  <c r="Z444" i="1"/>
  <c r="BP469" i="1"/>
  <c r="BN469" i="1"/>
  <c r="Z469" i="1"/>
  <c r="Y487" i="1"/>
  <c r="BP494" i="1"/>
  <c r="BN494" i="1"/>
  <c r="Z494" i="1"/>
  <c r="BP510" i="1"/>
  <c r="BN510" i="1"/>
  <c r="Z510" i="1"/>
  <c r="P556" i="1"/>
  <c r="Y403" i="1"/>
  <c r="Y402" i="1"/>
  <c r="Y451" i="1"/>
  <c r="Y31" i="1"/>
  <c r="Y41" i="1"/>
  <c r="Y51" i="1"/>
  <c r="Y62" i="1"/>
  <c r="Y70" i="1"/>
  <c r="Y74" i="1"/>
  <c r="Y80" i="1"/>
  <c r="Y91" i="1"/>
  <c r="Y97" i="1"/>
  <c r="Y108" i="1"/>
  <c r="Y116" i="1"/>
  <c r="Y124" i="1"/>
  <c r="Y128" i="1"/>
  <c r="Y133" i="1"/>
  <c r="Y139" i="1"/>
  <c r="Y143" i="1"/>
  <c r="BP161" i="1"/>
  <c r="BN161" i="1"/>
  <c r="Z161" i="1"/>
  <c r="BP173" i="1"/>
  <c r="BN173" i="1"/>
  <c r="Z173" i="1"/>
  <c r="BP177" i="1"/>
  <c r="BN177" i="1"/>
  <c r="Z177" i="1"/>
  <c r="Y181" i="1"/>
  <c r="BP185" i="1"/>
  <c r="BN185" i="1"/>
  <c r="Z185" i="1"/>
  <c r="Z186" i="1" s="1"/>
  <c r="Y187" i="1"/>
  <c r="Y190" i="1"/>
  <c r="BP189" i="1"/>
  <c r="BN189" i="1"/>
  <c r="Z189" i="1"/>
  <c r="Z190" i="1" s="1"/>
  <c r="Y191" i="1"/>
  <c r="Y194" i="1"/>
  <c r="BP193" i="1"/>
  <c r="BN193" i="1"/>
  <c r="Z193" i="1"/>
  <c r="Z194" i="1" s="1"/>
  <c r="Y195" i="1"/>
  <c r="K556" i="1"/>
  <c r="Y206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56" i="1"/>
  <c r="Y252" i="1"/>
  <c r="BP249" i="1"/>
  <c r="BN249" i="1"/>
  <c r="Z249" i="1"/>
  <c r="BP261" i="1"/>
  <c r="BN261" i="1"/>
  <c r="Z261" i="1"/>
  <c r="BP265" i="1"/>
  <c r="BN265" i="1"/>
  <c r="Z265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Z311" i="1" s="1"/>
  <c r="Y311" i="1"/>
  <c r="BP354" i="1"/>
  <c r="BN354" i="1"/>
  <c r="Z354" i="1"/>
  <c r="Y360" i="1"/>
  <c r="BP358" i="1"/>
  <c r="BN358" i="1"/>
  <c r="Z358" i="1"/>
  <c r="BP407" i="1"/>
  <c r="BN407" i="1"/>
  <c r="Z407" i="1"/>
  <c r="Y409" i="1"/>
  <c r="V556" i="1"/>
  <c r="Y415" i="1"/>
  <c r="BP412" i="1"/>
  <c r="BN412" i="1"/>
  <c r="Z412" i="1"/>
  <c r="Y416" i="1"/>
  <c r="BP460" i="1"/>
  <c r="BN460" i="1"/>
  <c r="Z460" i="1"/>
  <c r="X556" i="1"/>
  <c r="Y462" i="1"/>
  <c r="Y556" i="1"/>
  <c r="Y473" i="1"/>
  <c r="BP466" i="1"/>
  <c r="BN466" i="1"/>
  <c r="Z466" i="1"/>
  <c r="Y472" i="1"/>
  <c r="BP470" i="1"/>
  <c r="BN470" i="1"/>
  <c r="Z470" i="1"/>
  <c r="H9" i="1"/>
  <c r="B556" i="1"/>
  <c r="X547" i="1"/>
  <c r="X548" i="1"/>
  <c r="Y24" i="1"/>
  <c r="Z27" i="1"/>
  <c r="BN27" i="1"/>
  <c r="Z29" i="1"/>
  <c r="BN29" i="1"/>
  <c r="C556" i="1"/>
  <c r="Z37" i="1"/>
  <c r="BN37" i="1"/>
  <c r="Z39" i="1"/>
  <c r="BN39" i="1"/>
  <c r="Y42" i="1"/>
  <c r="D556" i="1"/>
  <c r="Z47" i="1"/>
  <c r="BN47" i="1"/>
  <c r="Z49" i="1"/>
  <c r="BN49" i="1"/>
  <c r="Y50" i="1"/>
  <c r="Z54" i="1"/>
  <c r="Z62" i="1" s="1"/>
  <c r="BN54" i="1"/>
  <c r="BP54" i="1"/>
  <c r="Z56" i="1"/>
  <c r="BN56" i="1"/>
  <c r="Z58" i="1"/>
  <c r="BN58" i="1"/>
  <c r="Z60" i="1"/>
  <c r="BN60" i="1"/>
  <c r="Y63" i="1"/>
  <c r="Z66" i="1"/>
  <c r="BN66" i="1"/>
  <c r="Z68" i="1"/>
  <c r="BN68" i="1"/>
  <c r="Z72" i="1"/>
  <c r="Z74" i="1" s="1"/>
  <c r="BN72" i="1"/>
  <c r="BP72" i="1"/>
  <c r="Z78" i="1"/>
  <c r="BN78" i="1"/>
  <c r="F556" i="1"/>
  <c r="Z85" i="1"/>
  <c r="BN85" i="1"/>
  <c r="Z87" i="1"/>
  <c r="BN87" i="1"/>
  <c r="Z89" i="1"/>
  <c r="BN89" i="1"/>
  <c r="Y90" i="1"/>
  <c r="Z93" i="1"/>
  <c r="BN93" i="1"/>
  <c r="BP93" i="1"/>
  <c r="Z95" i="1"/>
  <c r="BN95" i="1"/>
  <c r="G556" i="1"/>
  <c r="Z102" i="1"/>
  <c r="BN102" i="1"/>
  <c r="Z104" i="1"/>
  <c r="BN104" i="1"/>
  <c r="Z106" i="1"/>
  <c r="BN106" i="1"/>
  <c r="Y109" i="1"/>
  <c r="Z112" i="1"/>
  <c r="BN112" i="1"/>
  <c r="Z114" i="1"/>
  <c r="BN114" i="1"/>
  <c r="Z120" i="1"/>
  <c r="BN120" i="1"/>
  <c r="Z122" i="1"/>
  <c r="BN122" i="1"/>
  <c r="Z126" i="1"/>
  <c r="Z127" i="1" s="1"/>
  <c r="BN126" i="1"/>
  <c r="BP126" i="1"/>
  <c r="Z131" i="1"/>
  <c r="BN131" i="1"/>
  <c r="BP131" i="1"/>
  <c r="Y134" i="1"/>
  <c r="Z137" i="1"/>
  <c r="Z138" i="1" s="1"/>
  <c r="BN137" i="1"/>
  <c r="Z141" i="1"/>
  <c r="Z143" i="1" s="1"/>
  <c r="BN141" i="1"/>
  <c r="BP141" i="1"/>
  <c r="I556" i="1"/>
  <c r="Y151" i="1"/>
  <c r="Z148" i="1"/>
  <c r="BN148" i="1"/>
  <c r="Z150" i="1"/>
  <c r="BN150" i="1"/>
  <c r="Y152" i="1"/>
  <c r="Y155" i="1"/>
  <c r="BP154" i="1"/>
  <c r="BN154" i="1"/>
  <c r="Z154" i="1"/>
  <c r="Z155" i="1" s="1"/>
  <c r="Y156" i="1"/>
  <c r="J556" i="1"/>
  <c r="Y164" i="1"/>
  <c r="BP159" i="1"/>
  <c r="BN159" i="1"/>
  <c r="Z159" i="1"/>
  <c r="Z163" i="1" s="1"/>
  <c r="Y163" i="1"/>
  <c r="BP167" i="1"/>
  <c r="BN167" i="1"/>
  <c r="Z167" i="1"/>
  <c r="Z168" i="1" s="1"/>
  <c r="Y169" i="1"/>
  <c r="Y182" i="1"/>
  <c r="BP171" i="1"/>
  <c r="BN171" i="1"/>
  <c r="Z171" i="1"/>
  <c r="BP175" i="1"/>
  <c r="BN175" i="1"/>
  <c r="Z175" i="1"/>
  <c r="BP179" i="1"/>
  <c r="BN179" i="1"/>
  <c r="Z179" i="1"/>
  <c r="Y186" i="1"/>
  <c r="BP201" i="1"/>
  <c r="BN201" i="1"/>
  <c r="Z201" i="1"/>
  <c r="BP205" i="1"/>
  <c r="BN205" i="1"/>
  <c r="Z205" i="1"/>
  <c r="Y207" i="1"/>
  <c r="L556" i="1"/>
  <c r="Y211" i="1"/>
  <c r="BP210" i="1"/>
  <c r="BN210" i="1"/>
  <c r="Z210" i="1"/>
  <c r="Z211" i="1" s="1"/>
  <c r="Y212" i="1"/>
  <c r="Y227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Y251" i="1"/>
  <c r="BP255" i="1"/>
  <c r="BN255" i="1"/>
  <c r="Z255" i="1"/>
  <c r="Z256" i="1" s="1"/>
  <c r="Y257" i="1"/>
  <c r="Y267" i="1"/>
  <c r="Y268" i="1"/>
  <c r="BP259" i="1"/>
  <c r="BN259" i="1"/>
  <c r="Z259" i="1"/>
  <c r="BP263" i="1"/>
  <c r="BN263" i="1"/>
  <c r="Z263" i="1"/>
  <c r="BP272" i="1"/>
  <c r="BN272" i="1"/>
  <c r="Z272" i="1"/>
  <c r="BP276" i="1"/>
  <c r="BN276" i="1"/>
  <c r="Z276" i="1"/>
  <c r="BP280" i="1"/>
  <c r="BN280" i="1"/>
  <c r="Z280" i="1"/>
  <c r="BP318" i="1"/>
  <c r="BN318" i="1"/>
  <c r="Z318" i="1"/>
  <c r="BP327" i="1"/>
  <c r="BN327" i="1"/>
  <c r="Z327" i="1"/>
  <c r="Y329" i="1"/>
  <c r="R556" i="1"/>
  <c r="Y337" i="1"/>
  <c r="BP332" i="1"/>
  <c r="BN332" i="1"/>
  <c r="Z332" i="1"/>
  <c r="Y336" i="1"/>
  <c r="BP340" i="1"/>
  <c r="BN340" i="1"/>
  <c r="Z340" i="1"/>
  <c r="Z342" i="1" s="1"/>
  <c r="Y342" i="1"/>
  <c r="BP366" i="1"/>
  <c r="BN366" i="1"/>
  <c r="Z366" i="1"/>
  <c r="Y370" i="1"/>
  <c r="BP374" i="1"/>
  <c r="BN374" i="1"/>
  <c r="Z374" i="1"/>
  <c r="Y378" i="1"/>
  <c r="BP382" i="1"/>
  <c r="BN382" i="1"/>
  <c r="Z382" i="1"/>
  <c r="Y384" i="1"/>
  <c r="Y391" i="1"/>
  <c r="BP386" i="1"/>
  <c r="BN386" i="1"/>
  <c r="Z386" i="1"/>
  <c r="Y390" i="1"/>
  <c r="BP394" i="1"/>
  <c r="BN394" i="1"/>
  <c r="Z394" i="1"/>
  <c r="Z396" i="1" s="1"/>
  <c r="Y396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O556" i="1"/>
  <c r="Y298" i="1"/>
  <c r="BP291" i="1"/>
  <c r="BN291" i="1"/>
  <c r="Z291" i="1"/>
  <c r="BP295" i="1"/>
  <c r="BN295" i="1"/>
  <c r="Z295" i="1"/>
  <c r="BP316" i="1"/>
  <c r="BN316" i="1"/>
  <c r="Z316" i="1"/>
  <c r="BP320" i="1"/>
  <c r="BN320" i="1"/>
  <c r="Z320" i="1"/>
  <c r="Y322" i="1"/>
  <c r="Q556" i="1"/>
  <c r="Y328" i="1"/>
  <c r="BP325" i="1"/>
  <c r="BN325" i="1"/>
  <c r="Z325" i="1"/>
  <c r="BP334" i="1"/>
  <c r="BN334" i="1"/>
  <c r="Z334" i="1"/>
  <c r="Y343" i="1"/>
  <c r="BP347" i="1"/>
  <c r="BN347" i="1"/>
  <c r="Z347" i="1"/>
  <c r="Z349" i="1" s="1"/>
  <c r="T556" i="1"/>
  <c r="BP356" i="1"/>
  <c r="BN356" i="1"/>
  <c r="Z356" i="1"/>
  <c r="BP364" i="1"/>
  <c r="BN364" i="1"/>
  <c r="Z364" i="1"/>
  <c r="BP368" i="1"/>
  <c r="BN368" i="1"/>
  <c r="Z368" i="1"/>
  <c r="Y377" i="1"/>
  <c r="BP376" i="1"/>
  <c r="BN376" i="1"/>
  <c r="Z376" i="1"/>
  <c r="Y383" i="1"/>
  <c r="BP380" i="1"/>
  <c r="BN380" i="1"/>
  <c r="Z380" i="1"/>
  <c r="BP388" i="1"/>
  <c r="BN388" i="1"/>
  <c r="Z388" i="1"/>
  <c r="Y397" i="1"/>
  <c r="BP400" i="1"/>
  <c r="BN400" i="1"/>
  <c r="Z400" i="1"/>
  <c r="BP414" i="1"/>
  <c r="BN414" i="1"/>
  <c r="Z414" i="1"/>
  <c r="BP423" i="1"/>
  <c r="BN423" i="1"/>
  <c r="Z423" i="1"/>
  <c r="BP427" i="1"/>
  <c r="BN427" i="1"/>
  <c r="Z427" i="1"/>
  <c r="Y429" i="1"/>
  <c r="Y434" i="1"/>
  <c r="BP431" i="1"/>
  <c r="BN431" i="1"/>
  <c r="Z431" i="1"/>
  <c r="Y435" i="1"/>
  <c r="BP439" i="1"/>
  <c r="BN439" i="1"/>
  <c r="Z439" i="1"/>
  <c r="Y441" i="1"/>
  <c r="Y446" i="1"/>
  <c r="BP443" i="1"/>
  <c r="BN443" i="1"/>
  <c r="Z443" i="1"/>
  <c r="Z445" i="1" s="1"/>
  <c r="Y445" i="1"/>
  <c r="BP493" i="1"/>
  <c r="BN493" i="1"/>
  <c r="Z493" i="1"/>
  <c r="Y501" i="1"/>
  <c r="BP497" i="1"/>
  <c r="BN497" i="1"/>
  <c r="Z497" i="1"/>
  <c r="BP505" i="1"/>
  <c r="BN505" i="1"/>
  <c r="Z505" i="1"/>
  <c r="Y507" i="1"/>
  <c r="Y516" i="1"/>
  <c r="BP509" i="1"/>
  <c r="BN509" i="1"/>
  <c r="Z509" i="1"/>
  <c r="Y517" i="1"/>
  <c r="BP513" i="1"/>
  <c r="BN513" i="1"/>
  <c r="Z513" i="1"/>
  <c r="S556" i="1"/>
  <c r="Y350" i="1"/>
  <c r="Y361" i="1"/>
  <c r="U556" i="1"/>
  <c r="Y408" i="1"/>
  <c r="BP421" i="1"/>
  <c r="BN421" i="1"/>
  <c r="Z421" i="1"/>
  <c r="BP425" i="1"/>
  <c r="BN425" i="1"/>
  <c r="Z425" i="1"/>
  <c r="BP433" i="1"/>
  <c r="BN433" i="1"/>
  <c r="Z433" i="1"/>
  <c r="Y440" i="1"/>
  <c r="BP437" i="1"/>
  <c r="BN437" i="1"/>
  <c r="Z437" i="1"/>
  <c r="BP450" i="1"/>
  <c r="BN450" i="1"/>
  <c r="Z450" i="1"/>
  <c r="Z451" i="1" s="1"/>
  <c r="Y452" i="1"/>
  <c r="Y455" i="1"/>
  <c r="BP454" i="1"/>
  <c r="BN454" i="1"/>
  <c r="Z454" i="1"/>
  <c r="Z455" i="1" s="1"/>
  <c r="Y456" i="1"/>
  <c r="Y461" i="1"/>
  <c r="BP458" i="1"/>
  <c r="BN458" i="1"/>
  <c r="Z458" i="1"/>
  <c r="BP468" i="1"/>
  <c r="BN468" i="1"/>
  <c r="Z468" i="1"/>
  <c r="W556" i="1"/>
  <c r="Y428" i="1"/>
  <c r="BP485" i="1"/>
  <c r="BN485" i="1"/>
  <c r="Z485" i="1"/>
  <c r="AA556" i="1"/>
  <c r="BP495" i="1"/>
  <c r="BN495" i="1"/>
  <c r="Z495" i="1"/>
  <c r="BP499" i="1"/>
  <c r="BN499" i="1"/>
  <c r="Z499" i="1"/>
  <c r="Y506" i="1"/>
  <c r="BP503" i="1"/>
  <c r="BN503" i="1"/>
  <c r="Z503" i="1"/>
  <c r="Z506" i="1" s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Z556" i="1"/>
  <c r="Y500" i="1"/>
  <c r="Y545" i="1"/>
  <c r="Z80" i="1" l="1"/>
  <c r="Z383" i="1"/>
  <c r="Z370" i="1"/>
  <c r="Z487" i="1"/>
  <c r="Z377" i="1"/>
  <c r="Z151" i="1"/>
  <c r="Z123" i="1"/>
  <c r="Z116" i="1"/>
  <c r="Z90" i="1"/>
  <c r="Z69" i="1"/>
  <c r="Y548" i="1"/>
  <c r="Y549" i="1" s="1"/>
  <c r="Z31" i="1"/>
  <c r="Z360" i="1"/>
  <c r="Y550" i="1"/>
  <c r="Z500" i="1"/>
  <c r="Z461" i="1"/>
  <c r="Z434" i="1"/>
  <c r="Z402" i="1"/>
  <c r="Z321" i="1"/>
  <c r="Z298" i="1"/>
  <c r="Z133" i="1"/>
  <c r="Z108" i="1"/>
  <c r="Z50" i="1"/>
  <c r="Z41" i="1"/>
  <c r="Y547" i="1"/>
  <c r="Z251" i="1"/>
  <c r="Z282" i="1"/>
  <c r="Z336" i="1"/>
  <c r="Z472" i="1"/>
  <c r="Z206" i="1"/>
  <c r="Z440" i="1"/>
  <c r="Z428" i="1"/>
  <c r="Z516" i="1"/>
  <c r="Z328" i="1"/>
  <c r="Z390" i="1"/>
  <c r="Z267" i="1"/>
  <c r="Z241" i="1"/>
  <c r="Z235" i="1"/>
  <c r="Z227" i="1"/>
  <c r="Z181" i="1"/>
  <c r="Z97" i="1"/>
  <c r="Y546" i="1"/>
  <c r="X549" i="1"/>
  <c r="Z415" i="1"/>
  <c r="Z551" i="1" l="1"/>
</calcChain>
</file>

<file path=xl/sharedStrings.xml><?xml version="1.0" encoding="utf-8"?>
<sst xmlns="http://schemas.openxmlformats.org/spreadsheetml/2006/main" count="2464" uniqueCount="894">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</sst>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5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48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800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54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3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80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97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72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07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8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9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33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60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4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2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61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0" customWidth="1"/>
    <col min="19" max="19" width="6.140625" style="61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0" customWidth="1"/>
    <col min="25" max="25" width="11" style="610" customWidth="1"/>
    <col min="26" max="26" width="10" style="610" customWidth="1"/>
    <col min="27" max="27" width="11.5703125" style="610" customWidth="1"/>
    <col min="28" max="28" width="10.42578125" style="610" customWidth="1"/>
    <col min="29" max="29" width="30" style="61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0" customWidth="1"/>
    <col min="34" max="34" width="9.140625" style="610" customWidth="1"/>
    <col min="35" max="16384" width="9.140625" style="610"/>
  </cols>
  <sheetData>
    <row r="1" spans="1:32" s="614" customFormat="1" ht="45" customHeight="1" x14ac:dyDescent="0.2">
      <c r="A1" s="41"/>
      <c r="B1" s="41"/>
      <c r="C1" s="41"/>
      <c r="D1" s="703" t="s">
        <v>0</v>
      </c>
      <c r="E1" s="669"/>
      <c r="F1" s="669"/>
      <c r="G1" s="12" t="s">
        <v>1</v>
      </c>
      <c r="H1" s="703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3"/>
      <c r="R2" s="633"/>
      <c r="S2" s="633"/>
      <c r="T2" s="633"/>
      <c r="U2" s="633"/>
      <c r="V2" s="633"/>
      <c r="W2" s="633"/>
      <c r="X2" s="16"/>
      <c r="Y2" s="16"/>
      <c r="Z2" s="16"/>
      <c r="AA2" s="16"/>
      <c r="AB2" s="51"/>
      <c r="AC2" s="51"/>
      <c r="AD2" s="51"/>
      <c r="AE2" s="51"/>
    </row>
    <row r="3" spans="1:32" s="61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3"/>
      <c r="Q3" s="633"/>
      <c r="R3" s="633"/>
      <c r="S3" s="633"/>
      <c r="T3" s="633"/>
      <c r="U3" s="633"/>
      <c r="V3" s="633"/>
      <c r="W3" s="633"/>
      <c r="X3" s="16"/>
      <c r="Y3" s="16"/>
      <c r="Z3" s="16"/>
      <c r="AA3" s="16"/>
      <c r="AB3" s="51"/>
      <c r="AC3" s="51"/>
      <c r="AD3" s="51"/>
      <c r="AE3" s="51"/>
    </row>
    <row r="4" spans="1:32" s="61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4" customFormat="1" ht="23.45" customHeight="1" x14ac:dyDescent="0.2">
      <c r="A5" s="764" t="s">
        <v>8</v>
      </c>
      <c r="B5" s="646"/>
      <c r="C5" s="647"/>
      <c r="D5" s="708"/>
      <c r="E5" s="709"/>
      <c r="F5" s="931" t="s">
        <v>9</v>
      </c>
      <c r="G5" s="647"/>
      <c r="H5" s="708" t="s">
        <v>893</v>
      </c>
      <c r="I5" s="871"/>
      <c r="J5" s="871"/>
      <c r="K5" s="871"/>
      <c r="L5" s="871"/>
      <c r="M5" s="709"/>
      <c r="N5" s="58"/>
      <c r="P5" s="24" t="s">
        <v>10</v>
      </c>
      <c r="Q5" s="949">
        <v>46313</v>
      </c>
      <c r="R5" s="746"/>
      <c r="T5" s="798" t="s">
        <v>11</v>
      </c>
      <c r="U5" s="795"/>
      <c r="V5" s="799" t="s">
        <v>12</v>
      </c>
      <c r="W5" s="746"/>
      <c r="AB5" s="51"/>
      <c r="AC5" s="51"/>
      <c r="AD5" s="51"/>
      <c r="AE5" s="51"/>
    </row>
    <row r="6" spans="1:32" s="614" customFormat="1" ht="24" customHeight="1" x14ac:dyDescent="0.2">
      <c r="A6" s="764" t="s">
        <v>13</v>
      </c>
      <c r="B6" s="646"/>
      <c r="C6" s="647"/>
      <c r="D6" s="873" t="s">
        <v>869</v>
      </c>
      <c r="E6" s="874"/>
      <c r="F6" s="874"/>
      <c r="G6" s="874"/>
      <c r="H6" s="874"/>
      <c r="I6" s="874"/>
      <c r="J6" s="874"/>
      <c r="K6" s="874"/>
      <c r="L6" s="874"/>
      <c r="M6" s="746"/>
      <c r="N6" s="59"/>
      <c r="P6" s="24" t="s">
        <v>14</v>
      </c>
      <c r="Q6" s="960" t="str">
        <f>IF(Q5=0," ",CHOOSE(WEEKDAY(Q5,2),"Понедельник","Вторник","Среда","Четверг","Пятница","Суббота","Воскресенье"))</f>
        <v>Воскресенье</v>
      </c>
      <c r="R6" s="625"/>
      <c r="T6" s="794" t="s">
        <v>15</v>
      </c>
      <c r="U6" s="795"/>
      <c r="V6" s="878" t="s">
        <v>16</v>
      </c>
      <c r="W6" s="681"/>
      <c r="AB6" s="51"/>
      <c r="AC6" s="51"/>
      <c r="AD6" s="51"/>
      <c r="AE6" s="51"/>
    </row>
    <row r="7" spans="1:32" s="614" customFormat="1" ht="21.75" hidden="1" customHeight="1" x14ac:dyDescent="0.2">
      <c r="A7" s="55"/>
      <c r="B7" s="55"/>
      <c r="C7" s="55"/>
      <c r="D7" s="683" t="str">
        <f>IFERROR(VLOOKUP(DeliveryAddress,Table,3,0),1)</f>
        <v>7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33"/>
      <c r="U7" s="795"/>
      <c r="V7" s="879"/>
      <c r="W7" s="880"/>
      <c r="AB7" s="51"/>
      <c r="AC7" s="51"/>
      <c r="AD7" s="51"/>
      <c r="AE7" s="51"/>
    </row>
    <row r="8" spans="1:32" s="614" customFormat="1" ht="25.5" customHeight="1" x14ac:dyDescent="0.2">
      <c r="A8" s="967" t="s">
        <v>17</v>
      </c>
      <c r="B8" s="638"/>
      <c r="C8" s="639"/>
      <c r="D8" s="695"/>
      <c r="E8" s="696"/>
      <c r="F8" s="696"/>
      <c r="G8" s="696"/>
      <c r="H8" s="696"/>
      <c r="I8" s="696"/>
      <c r="J8" s="696"/>
      <c r="K8" s="696"/>
      <c r="L8" s="696"/>
      <c r="M8" s="697"/>
      <c r="N8" s="61"/>
      <c r="P8" s="24" t="s">
        <v>18</v>
      </c>
      <c r="Q8" s="768">
        <v>0.41666666666666669</v>
      </c>
      <c r="R8" s="685"/>
      <c r="T8" s="633"/>
      <c r="U8" s="795"/>
      <c r="V8" s="879"/>
      <c r="W8" s="880"/>
      <c r="AB8" s="51"/>
      <c r="AC8" s="51"/>
      <c r="AD8" s="51"/>
      <c r="AE8" s="51"/>
    </row>
    <row r="9" spans="1:32" s="614" customFormat="1" ht="39.950000000000003" customHeight="1" x14ac:dyDescent="0.2">
      <c r="A9" s="7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3"/>
      <c r="C9" s="633"/>
      <c r="D9" s="753"/>
      <c r="E9" s="651"/>
      <c r="F9" s="7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3"/>
      <c r="H9" s="650" t="str">
        <f>IF(AND($A$9="Тип доверенности/получателя при получении в адресе перегруза:",$D$9="Разовая доверенность"),"Введите ФИО","")</f>
        <v/>
      </c>
      <c r="I9" s="651"/>
      <c r="J9" s="6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1"/>
      <c r="L9" s="651"/>
      <c r="M9" s="651"/>
      <c r="N9" s="615"/>
      <c r="P9" s="26" t="s">
        <v>19</v>
      </c>
      <c r="Q9" s="742"/>
      <c r="R9" s="743"/>
      <c r="T9" s="633"/>
      <c r="U9" s="795"/>
      <c r="V9" s="881"/>
      <c r="W9" s="882"/>
      <c r="X9" s="43"/>
      <c r="Y9" s="43"/>
      <c r="Z9" s="43"/>
      <c r="AA9" s="43"/>
      <c r="AB9" s="51"/>
      <c r="AC9" s="51"/>
      <c r="AD9" s="51"/>
      <c r="AE9" s="51"/>
    </row>
    <row r="10" spans="1:32" s="614" customFormat="1" ht="26.45" customHeight="1" x14ac:dyDescent="0.2">
      <c r="A10" s="7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3"/>
      <c r="C10" s="633"/>
      <c r="D10" s="753"/>
      <c r="E10" s="651"/>
      <c r="F10" s="7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3"/>
      <c r="H10" s="840" t="str">
        <f>IFERROR(VLOOKUP($D$10,Proxy,2,FALSE),"")</f>
        <v/>
      </c>
      <c r="I10" s="633"/>
      <c r="J10" s="633"/>
      <c r="K10" s="633"/>
      <c r="L10" s="633"/>
      <c r="M10" s="633"/>
      <c r="N10" s="613"/>
      <c r="P10" s="26" t="s">
        <v>20</v>
      </c>
      <c r="Q10" s="809"/>
      <c r="R10" s="810"/>
      <c r="U10" s="24" t="s">
        <v>21</v>
      </c>
      <c r="V10" s="680" t="s">
        <v>22</v>
      </c>
      <c r="W10" s="681"/>
      <c r="X10" s="44"/>
      <c r="Y10" s="44"/>
      <c r="Z10" s="44"/>
      <c r="AA10" s="44"/>
      <c r="AB10" s="51"/>
      <c r="AC10" s="51"/>
      <c r="AD10" s="51"/>
      <c r="AE10" s="51"/>
    </row>
    <row r="11" spans="1:32" s="614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45"/>
      <c r="R11" s="746"/>
      <c r="U11" s="24" t="s">
        <v>25</v>
      </c>
      <c r="V11" s="894" t="s">
        <v>26</v>
      </c>
      <c r="W11" s="743"/>
      <c r="X11" s="45"/>
      <c r="Y11" s="45"/>
      <c r="Z11" s="45"/>
      <c r="AA11" s="45"/>
      <c r="AB11" s="51"/>
      <c r="AC11" s="51"/>
      <c r="AD11" s="51"/>
      <c r="AE11" s="51"/>
    </row>
    <row r="12" spans="1:32" s="614" customFormat="1" ht="18.600000000000001" customHeight="1" x14ac:dyDescent="0.2">
      <c r="A12" s="781" t="s">
        <v>27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28</v>
      </c>
      <c r="Q12" s="768"/>
      <c r="R12" s="685"/>
      <c r="S12" s="23"/>
      <c r="U12" s="24"/>
      <c r="V12" s="669"/>
      <c r="W12" s="633"/>
      <c r="AB12" s="51"/>
      <c r="AC12" s="51"/>
      <c r="AD12" s="51"/>
      <c r="AE12" s="51"/>
    </row>
    <row r="13" spans="1:32" s="614" customFormat="1" ht="23.25" customHeight="1" x14ac:dyDescent="0.2">
      <c r="A13" s="781" t="s">
        <v>29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30</v>
      </c>
      <c r="Q13" s="894"/>
      <c r="R13" s="74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4" customFormat="1" ht="18.600000000000001" customHeight="1" x14ac:dyDescent="0.2">
      <c r="A14" s="781" t="s">
        <v>31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4" customFormat="1" ht="22.5" customHeight="1" x14ac:dyDescent="0.2">
      <c r="A15" s="817" t="s">
        <v>32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87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8"/>
      <c r="Q16" s="788"/>
      <c r="R16" s="788"/>
      <c r="S16" s="788"/>
      <c r="T16" s="78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7" t="s">
        <v>34</v>
      </c>
      <c r="B17" s="677" t="s">
        <v>35</v>
      </c>
      <c r="C17" s="757" t="s">
        <v>36</v>
      </c>
      <c r="D17" s="677" t="s">
        <v>37</v>
      </c>
      <c r="E17" s="727"/>
      <c r="F17" s="677" t="s">
        <v>38</v>
      </c>
      <c r="G17" s="677" t="s">
        <v>39</v>
      </c>
      <c r="H17" s="677" t="s">
        <v>40</v>
      </c>
      <c r="I17" s="677" t="s">
        <v>41</v>
      </c>
      <c r="J17" s="677" t="s">
        <v>42</v>
      </c>
      <c r="K17" s="677" t="s">
        <v>43</v>
      </c>
      <c r="L17" s="677" t="s">
        <v>44</v>
      </c>
      <c r="M17" s="677" t="s">
        <v>45</v>
      </c>
      <c r="N17" s="677" t="s">
        <v>46</v>
      </c>
      <c r="O17" s="677" t="s">
        <v>47</v>
      </c>
      <c r="P17" s="677" t="s">
        <v>48</v>
      </c>
      <c r="Q17" s="726"/>
      <c r="R17" s="726"/>
      <c r="S17" s="726"/>
      <c r="T17" s="727"/>
      <c r="U17" s="979" t="s">
        <v>49</v>
      </c>
      <c r="V17" s="647"/>
      <c r="W17" s="677" t="s">
        <v>50</v>
      </c>
      <c r="X17" s="677" t="s">
        <v>51</v>
      </c>
      <c r="Y17" s="980" t="s">
        <v>52</v>
      </c>
      <c r="Z17" s="869" t="s">
        <v>53</v>
      </c>
      <c r="AA17" s="841" t="s">
        <v>54</v>
      </c>
      <c r="AB17" s="841" t="s">
        <v>55</v>
      </c>
      <c r="AC17" s="841" t="s">
        <v>56</v>
      </c>
      <c r="AD17" s="841" t="s">
        <v>57</v>
      </c>
      <c r="AE17" s="926"/>
      <c r="AF17" s="927"/>
      <c r="AG17" s="66"/>
      <c r="BD17" s="65" t="s">
        <v>58</v>
      </c>
    </row>
    <row r="18" spans="1:68" ht="14.25" customHeight="1" x14ac:dyDescent="0.2">
      <c r="A18" s="678"/>
      <c r="B18" s="678"/>
      <c r="C18" s="678"/>
      <c r="D18" s="728"/>
      <c r="E18" s="730"/>
      <c r="F18" s="678"/>
      <c r="G18" s="678"/>
      <c r="H18" s="678"/>
      <c r="I18" s="678"/>
      <c r="J18" s="678"/>
      <c r="K18" s="678"/>
      <c r="L18" s="678"/>
      <c r="M18" s="678"/>
      <c r="N18" s="678"/>
      <c r="O18" s="678"/>
      <c r="P18" s="728"/>
      <c r="Q18" s="729"/>
      <c r="R18" s="729"/>
      <c r="S18" s="729"/>
      <c r="T18" s="730"/>
      <c r="U18" s="67" t="s">
        <v>59</v>
      </c>
      <c r="V18" s="67" t="s">
        <v>60</v>
      </c>
      <c r="W18" s="678"/>
      <c r="X18" s="678"/>
      <c r="Y18" s="981"/>
      <c r="Z18" s="870"/>
      <c r="AA18" s="842"/>
      <c r="AB18" s="842"/>
      <c r="AC18" s="842"/>
      <c r="AD18" s="928"/>
      <c r="AE18" s="929"/>
      <c r="AF18" s="930"/>
      <c r="AG18" s="66"/>
      <c r="BD18" s="65"/>
    </row>
    <row r="19" spans="1:68" ht="27.75" hidden="1" customHeight="1" x14ac:dyDescent="0.2">
      <c r="A19" s="796" t="s">
        <v>61</v>
      </c>
      <c r="B19" s="797"/>
      <c r="C19" s="797"/>
      <c r="D19" s="797"/>
      <c r="E19" s="797"/>
      <c r="F19" s="797"/>
      <c r="G19" s="797"/>
      <c r="H19" s="797"/>
      <c r="I19" s="797"/>
      <c r="J19" s="797"/>
      <c r="K19" s="797"/>
      <c r="L19" s="797"/>
      <c r="M19" s="797"/>
      <c r="N19" s="797"/>
      <c r="O19" s="797"/>
      <c r="P19" s="797"/>
      <c r="Q19" s="797"/>
      <c r="R19" s="797"/>
      <c r="S19" s="797"/>
      <c r="T19" s="797"/>
      <c r="U19" s="797"/>
      <c r="V19" s="797"/>
      <c r="W19" s="797"/>
      <c r="X19" s="797"/>
      <c r="Y19" s="797"/>
      <c r="Z19" s="797"/>
      <c r="AA19" s="48"/>
      <c r="AB19" s="48"/>
      <c r="AC19" s="48"/>
    </row>
    <row r="20" spans="1:68" ht="16.5" hidden="1" customHeight="1" x14ac:dyDescent="0.25">
      <c r="A20" s="642" t="s">
        <v>61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11"/>
      <c r="AB20" s="611"/>
      <c r="AC20" s="611"/>
    </row>
    <row r="21" spans="1:68" ht="14.25" hidden="1" customHeight="1" x14ac:dyDescent="0.25">
      <c r="A21" s="636" t="s">
        <v>62</v>
      </c>
      <c r="B21" s="633"/>
      <c r="C21" s="633"/>
      <c r="D21" s="633"/>
      <c r="E21" s="633"/>
      <c r="F21" s="633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12"/>
      <c r="AB21" s="612"/>
      <c r="AC21" s="612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24">
        <v>4680115889071</v>
      </c>
      <c r="E22" s="625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5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2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7" t="s">
        <v>69</v>
      </c>
      <c r="Q23" s="638"/>
      <c r="R23" s="638"/>
      <c r="S23" s="638"/>
      <c r="T23" s="638"/>
      <c r="U23" s="638"/>
      <c r="V23" s="639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7" t="s">
        <v>69</v>
      </c>
      <c r="Q24" s="638"/>
      <c r="R24" s="638"/>
      <c r="S24" s="638"/>
      <c r="T24" s="638"/>
      <c r="U24" s="638"/>
      <c r="V24" s="639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6" t="s">
        <v>71</v>
      </c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3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12"/>
      <c r="AB25" s="612"/>
      <c r="AC25" s="612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24">
        <v>4680115885912</v>
      </c>
      <c r="E26" s="625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2"/>
      <c r="R26" s="622"/>
      <c r="S26" s="622"/>
      <c r="T26" s="623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24">
        <v>4607091388237</v>
      </c>
      <c r="E27" s="625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2"/>
      <c r="R27" s="622"/>
      <c r="S27" s="622"/>
      <c r="T27" s="623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24">
        <v>4680115887350</v>
      </c>
      <c r="E28" s="625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2"/>
      <c r="R28" s="622"/>
      <c r="S28" s="622"/>
      <c r="T28" s="623"/>
      <c r="U28" s="34"/>
      <c r="V28" s="34"/>
      <c r="W28" s="35" t="s">
        <v>67</v>
      </c>
      <c r="X28" s="617">
        <v>0</v>
      </c>
      <c r="Y28" s="61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24">
        <v>4680115885905</v>
      </c>
      <c r="E29" s="625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24">
        <v>4680115887619</v>
      </c>
      <c r="E30" s="625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32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7" t="s">
        <v>69</v>
      </c>
      <c r="Q31" s="638"/>
      <c r="R31" s="638"/>
      <c r="S31" s="638"/>
      <c r="T31" s="638"/>
      <c r="U31" s="638"/>
      <c r="V31" s="639"/>
      <c r="W31" s="37" t="s">
        <v>70</v>
      </c>
      <c r="X31" s="619">
        <f>IFERROR(X26/H26,"0")+IFERROR(X27/H27,"0")+IFERROR(X28/H28,"0")+IFERROR(X29/H29,"0")+IFERROR(X30/H30,"0")</f>
        <v>0</v>
      </c>
      <c r="Y31" s="619">
        <f>IFERROR(Y26/H26,"0")+IFERROR(Y27/H27,"0")+IFERROR(Y28/H28,"0")+IFERROR(Y29/H29,"0")+IFERROR(Y30/H30,"0")</f>
        <v>0</v>
      </c>
      <c r="Z31" s="619">
        <f>IFERROR(IF(Z26="",0,Z26),"0")+IFERROR(IF(Z27="",0,Z27),"0")+IFERROR(IF(Z28="",0,Z28),"0")+IFERROR(IF(Z29="",0,Z29),"0")+IFERROR(IF(Z30="",0,Z30),"0")</f>
        <v>0</v>
      </c>
      <c r="AA31" s="620"/>
      <c r="AB31" s="620"/>
      <c r="AC31" s="620"/>
    </row>
    <row r="32" spans="1:68" hidden="1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7" t="s">
        <v>69</v>
      </c>
      <c r="Q32" s="638"/>
      <c r="R32" s="638"/>
      <c r="S32" s="638"/>
      <c r="T32" s="638"/>
      <c r="U32" s="638"/>
      <c r="V32" s="639"/>
      <c r="W32" s="37" t="s">
        <v>67</v>
      </c>
      <c r="X32" s="619">
        <f>IFERROR(SUM(X26:X30),"0")</f>
        <v>0</v>
      </c>
      <c r="Y32" s="619">
        <f>IFERROR(SUM(Y26:Y30),"0")</f>
        <v>0</v>
      </c>
      <c r="Z32" s="37"/>
      <c r="AA32" s="620"/>
      <c r="AB32" s="620"/>
      <c r="AC32" s="620"/>
    </row>
    <row r="33" spans="1:68" ht="27.75" hidden="1" customHeight="1" x14ac:dyDescent="0.2">
      <c r="A33" s="796" t="s">
        <v>89</v>
      </c>
      <c r="B33" s="797"/>
      <c r="C33" s="797"/>
      <c r="D33" s="797"/>
      <c r="E33" s="797"/>
      <c r="F33" s="797"/>
      <c r="G33" s="797"/>
      <c r="H33" s="797"/>
      <c r="I33" s="797"/>
      <c r="J33" s="797"/>
      <c r="K33" s="797"/>
      <c r="L33" s="797"/>
      <c r="M33" s="797"/>
      <c r="N33" s="797"/>
      <c r="O33" s="797"/>
      <c r="P33" s="797"/>
      <c r="Q33" s="797"/>
      <c r="R33" s="797"/>
      <c r="S33" s="797"/>
      <c r="T33" s="797"/>
      <c r="U33" s="797"/>
      <c r="V33" s="797"/>
      <c r="W33" s="797"/>
      <c r="X33" s="797"/>
      <c r="Y33" s="797"/>
      <c r="Z33" s="797"/>
      <c r="AA33" s="48"/>
      <c r="AB33" s="48"/>
      <c r="AC33" s="48"/>
    </row>
    <row r="34" spans="1:68" ht="16.5" hidden="1" customHeight="1" x14ac:dyDescent="0.25">
      <c r="A34" s="642" t="s">
        <v>90</v>
      </c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11"/>
      <c r="AB34" s="611"/>
      <c r="AC34" s="611"/>
    </row>
    <row r="35" spans="1:68" ht="14.25" hidden="1" customHeight="1" x14ac:dyDescent="0.25">
      <c r="A35" s="636" t="s">
        <v>71</v>
      </c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12"/>
      <c r="AB35" s="612"/>
      <c r="AC35" s="612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24">
        <v>4680115889354</v>
      </c>
      <c r="E36" s="625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80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2"/>
      <c r="R36" s="622"/>
      <c r="S36" s="622"/>
      <c r="T36" s="623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24">
        <v>4680115888463</v>
      </c>
      <c r="E37" s="625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2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2"/>
      <c r="R37" s="622"/>
      <c r="S37" s="622"/>
      <c r="T37" s="623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24">
        <v>4680115889590</v>
      </c>
      <c r="E38" s="625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6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2"/>
      <c r="R38" s="622"/>
      <c r="S38" s="622"/>
      <c r="T38" s="623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24">
        <v>4680115888272</v>
      </c>
      <c r="E39" s="625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2"/>
      <c r="R39" s="622"/>
      <c r="S39" s="622"/>
      <c r="T39" s="623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24">
        <v>4680115888364</v>
      </c>
      <c r="E40" s="625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5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2"/>
      <c r="R40" s="622"/>
      <c r="S40" s="622"/>
      <c r="T40" s="623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2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7" t="s">
        <v>69</v>
      </c>
      <c r="Q41" s="638"/>
      <c r="R41" s="638"/>
      <c r="S41" s="638"/>
      <c r="T41" s="638"/>
      <c r="U41" s="638"/>
      <c r="V41" s="639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7" t="s">
        <v>69</v>
      </c>
      <c r="Q42" s="638"/>
      <c r="R42" s="638"/>
      <c r="S42" s="638"/>
      <c r="T42" s="638"/>
      <c r="U42" s="638"/>
      <c r="V42" s="639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96" t="s">
        <v>106</v>
      </c>
      <c r="B43" s="797"/>
      <c r="C43" s="797"/>
      <c r="D43" s="797"/>
      <c r="E43" s="797"/>
      <c r="F43" s="797"/>
      <c r="G43" s="797"/>
      <c r="H43" s="797"/>
      <c r="I43" s="797"/>
      <c r="J43" s="797"/>
      <c r="K43" s="797"/>
      <c r="L43" s="797"/>
      <c r="M43" s="797"/>
      <c r="N43" s="797"/>
      <c r="O43" s="797"/>
      <c r="P43" s="797"/>
      <c r="Q43" s="797"/>
      <c r="R43" s="797"/>
      <c r="S43" s="797"/>
      <c r="T43" s="797"/>
      <c r="U43" s="797"/>
      <c r="V43" s="797"/>
      <c r="W43" s="797"/>
      <c r="X43" s="797"/>
      <c r="Y43" s="797"/>
      <c r="Z43" s="797"/>
      <c r="AA43" s="48"/>
      <c r="AB43" s="48"/>
      <c r="AC43" s="48"/>
    </row>
    <row r="44" spans="1:68" ht="16.5" hidden="1" customHeight="1" x14ac:dyDescent="0.25">
      <c r="A44" s="642" t="s">
        <v>107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11"/>
      <c r="AB44" s="611"/>
      <c r="AC44" s="611"/>
    </row>
    <row r="45" spans="1:68" ht="14.25" hidden="1" customHeight="1" x14ac:dyDescent="0.25">
      <c r="A45" s="636" t="s">
        <v>108</v>
      </c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12"/>
      <c r="AB45" s="612"/>
      <c r="AC45" s="612"/>
    </row>
    <row r="46" spans="1:68" ht="16.5" customHeight="1" x14ac:dyDescent="0.25">
      <c r="A46" s="54" t="s">
        <v>109</v>
      </c>
      <c r="B46" s="54" t="s">
        <v>110</v>
      </c>
      <c r="C46" s="31">
        <v>4301011380</v>
      </c>
      <c r="D46" s="624">
        <v>4607091385670</v>
      </c>
      <c r="E46" s="625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2"/>
      <c r="R46" s="622"/>
      <c r="S46" s="622"/>
      <c r="T46" s="623"/>
      <c r="U46" s="34"/>
      <c r="V46" s="34"/>
      <c r="W46" s="35" t="s">
        <v>67</v>
      </c>
      <c r="X46" s="617">
        <v>221</v>
      </c>
      <c r="Y46" s="618">
        <f>IFERROR(IF(X46="",0,CEILING((X46/$H46),1)*$H46),"")</f>
        <v>226.8</v>
      </c>
      <c r="Z46" s="36">
        <f>IFERROR(IF(Y46=0,"",ROUNDUP(Y46/H46,0)*0.01898),"")</f>
        <v>0.39857999999999999</v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229.38981481481483</v>
      </c>
      <c r="BN46" s="64">
        <f>IFERROR(Y46*I46/H46,"0")</f>
        <v>235.41000000000003</v>
      </c>
      <c r="BO46" s="64">
        <f>IFERROR(1/J46*(X46/H46),"0")</f>
        <v>0.31973379629629628</v>
      </c>
      <c r="BP46" s="64">
        <f>IFERROR(1/J46*(Y46/H46),"0")</f>
        <v>0.328125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24">
        <v>4680115887725</v>
      </c>
      <c r="E47" s="625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2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2"/>
      <c r="R47" s="622"/>
      <c r="S47" s="622"/>
      <c r="T47" s="623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24">
        <v>4607091385687</v>
      </c>
      <c r="E48" s="625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9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2"/>
      <c r="R48" s="622"/>
      <c r="S48" s="622"/>
      <c r="T48" s="623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4301011565</v>
      </c>
      <c r="D49" s="624">
        <v>4680115882539</v>
      </c>
      <c r="E49" s="625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89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2"/>
      <c r="R49" s="622"/>
      <c r="S49" s="622"/>
      <c r="T49" s="623"/>
      <c r="U49" s="34"/>
      <c r="V49" s="34"/>
      <c r="W49" s="35" t="s">
        <v>67</v>
      </c>
      <c r="X49" s="617">
        <v>0</v>
      </c>
      <c r="Y49" s="61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x14ac:dyDescent="0.2">
      <c r="A50" s="632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7" t="s">
        <v>69</v>
      </c>
      <c r="Q50" s="638"/>
      <c r="R50" s="638"/>
      <c r="S50" s="638"/>
      <c r="T50" s="638"/>
      <c r="U50" s="638"/>
      <c r="V50" s="639"/>
      <c r="W50" s="37" t="s">
        <v>70</v>
      </c>
      <c r="X50" s="619">
        <f>IFERROR(X46/H46,"0")+IFERROR(X47/H47,"0")+IFERROR(X48/H48,"0")+IFERROR(X49/H49,"0")</f>
        <v>20.462962962962962</v>
      </c>
      <c r="Y50" s="619">
        <f>IFERROR(Y46/H46,"0")+IFERROR(Y47/H47,"0")+IFERROR(Y48/H48,"0")+IFERROR(Y49/H49,"0")</f>
        <v>21</v>
      </c>
      <c r="Z50" s="619">
        <f>IFERROR(IF(Z46="",0,Z46),"0")+IFERROR(IF(Z47="",0,Z47),"0")+IFERROR(IF(Z48="",0,Z48),"0")+IFERROR(IF(Z49="",0,Z49),"0")</f>
        <v>0.39857999999999999</v>
      </c>
      <c r="AA50" s="620"/>
      <c r="AB50" s="620"/>
      <c r="AC50" s="620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7" t="s">
        <v>69</v>
      </c>
      <c r="Q51" s="638"/>
      <c r="R51" s="638"/>
      <c r="S51" s="638"/>
      <c r="T51" s="638"/>
      <c r="U51" s="638"/>
      <c r="V51" s="639"/>
      <c r="W51" s="37" t="s">
        <v>67</v>
      </c>
      <c r="X51" s="619">
        <f>IFERROR(SUM(X46:X49),"0")</f>
        <v>221</v>
      </c>
      <c r="Y51" s="619">
        <f>IFERROR(SUM(Y46:Y49),"0")</f>
        <v>226.8</v>
      </c>
      <c r="Z51" s="37"/>
      <c r="AA51" s="620"/>
      <c r="AB51" s="620"/>
      <c r="AC51" s="620"/>
    </row>
    <row r="52" spans="1:68" ht="16.5" hidden="1" customHeight="1" x14ac:dyDescent="0.25">
      <c r="A52" s="642" t="s">
        <v>123</v>
      </c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  <c r="S52" s="633"/>
      <c r="T52" s="633"/>
      <c r="U52" s="633"/>
      <c r="V52" s="633"/>
      <c r="W52" s="633"/>
      <c r="X52" s="633"/>
      <c r="Y52" s="633"/>
      <c r="Z52" s="633"/>
      <c r="AA52" s="611"/>
      <c r="AB52" s="611"/>
      <c r="AC52" s="611"/>
    </row>
    <row r="53" spans="1:68" ht="14.25" hidden="1" customHeight="1" x14ac:dyDescent="0.25">
      <c r="A53" s="636" t="s">
        <v>108</v>
      </c>
      <c r="B53" s="633"/>
      <c r="C53" s="633"/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  <c r="R53" s="633"/>
      <c r="S53" s="633"/>
      <c r="T53" s="633"/>
      <c r="U53" s="633"/>
      <c r="V53" s="633"/>
      <c r="W53" s="633"/>
      <c r="X53" s="633"/>
      <c r="Y53" s="633"/>
      <c r="Z53" s="633"/>
      <c r="AA53" s="612"/>
      <c r="AB53" s="612"/>
      <c r="AC53" s="612"/>
    </row>
    <row r="54" spans="1:68" ht="27" hidden="1" customHeight="1" x14ac:dyDescent="0.25">
      <c r="A54" s="54" t="s">
        <v>124</v>
      </c>
      <c r="B54" s="54" t="s">
        <v>125</v>
      </c>
      <c r="C54" s="31">
        <v>4301012161</v>
      </c>
      <c r="D54" s="624">
        <v>4680115885882</v>
      </c>
      <c r="E54" s="625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7">
        <v>0</v>
      </c>
      <c r="Y54" s="618">
        <f t="shared" ref="Y54:Y61" si="0">IFERROR(IF(X54="",0,CEILING((X54/$H54),1)*$H54),"")</f>
        <v>0</v>
      </c>
      <c r="Z54" s="36" t="str">
        <f>IFERROR(IF(Y54=0,"",ROUNDUP(Y54/H54,0)*0.01898),"")</f>
        <v/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0</v>
      </c>
      <c r="BN54" s="64">
        <f t="shared" ref="BN54:BN61" si="2">IFERROR(Y54*I54/H54,"0")</f>
        <v>0</v>
      </c>
      <c r="BO54" s="64">
        <f t="shared" ref="BO54:BO61" si="3">IFERROR(1/J54*(X54/H54),"0")</f>
        <v>0</v>
      </c>
      <c r="BP54" s="64">
        <f t="shared" ref="BP54:BP61" si="4">IFERROR(1/J54*(Y54/H54),"0")</f>
        <v>0</v>
      </c>
    </row>
    <row r="55" spans="1:68" ht="27" hidden="1" customHeight="1" x14ac:dyDescent="0.25">
      <c r="A55" s="54" t="s">
        <v>127</v>
      </c>
      <c r="B55" s="54" t="s">
        <v>128</v>
      </c>
      <c r="C55" s="31">
        <v>4301011816</v>
      </c>
      <c r="D55" s="624">
        <v>4680115881426</v>
      </c>
      <c r="E55" s="625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2"/>
      <c r="R55" s="622"/>
      <c r="S55" s="622"/>
      <c r="T55" s="623"/>
      <c r="U55" s="34"/>
      <c r="V55" s="34"/>
      <c r="W55" s="35" t="s">
        <v>67</v>
      </c>
      <c r="X55" s="617">
        <v>0</v>
      </c>
      <c r="Y55" s="618">
        <f t="shared" si="0"/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24">
        <v>4680115881426</v>
      </c>
      <c r="E56" s="625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79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2"/>
      <c r="R56" s="622"/>
      <c r="S56" s="622"/>
      <c r="T56" s="623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24">
        <v>4680115880283</v>
      </c>
      <c r="E57" s="625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2"/>
      <c r="R57" s="622"/>
      <c r="S57" s="622"/>
      <c r="T57" s="623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4301011806</v>
      </c>
      <c r="D58" s="624">
        <v>4680115881525</v>
      </c>
      <c r="E58" s="625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9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2"/>
      <c r="R58" s="622"/>
      <c r="S58" s="622"/>
      <c r="T58" s="623"/>
      <c r="U58" s="34"/>
      <c r="V58" s="34"/>
      <c r="W58" s="35" t="s">
        <v>67</v>
      </c>
      <c r="X58" s="617">
        <v>0</v>
      </c>
      <c r="Y58" s="61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24">
        <v>4680115881525</v>
      </c>
      <c r="E59" s="625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9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24">
        <v>4680115885899</v>
      </c>
      <c r="E60" s="625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94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4301012158</v>
      </c>
      <c r="D61" s="624">
        <v>4680115881419</v>
      </c>
      <c r="E61" s="625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7">
        <v>0</v>
      </c>
      <c r="Y61" s="618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idden="1" x14ac:dyDescent="0.2">
      <c r="A62" s="632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7" t="s">
        <v>69</v>
      </c>
      <c r="Q62" s="638"/>
      <c r="R62" s="638"/>
      <c r="S62" s="638"/>
      <c r="T62" s="638"/>
      <c r="U62" s="638"/>
      <c r="V62" s="639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0</v>
      </c>
      <c r="Y62" s="619">
        <f>IFERROR(Y54/H54,"0")+IFERROR(Y55/H55,"0")+IFERROR(Y56/H56,"0")+IFERROR(Y57/H57,"0")+IFERROR(Y58/H58,"0")+IFERROR(Y59/H59,"0")+IFERROR(Y60/H60,"0")+IFERROR(Y61/H61,"0")</f>
        <v>0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</v>
      </c>
      <c r="AA62" s="620"/>
      <c r="AB62" s="620"/>
      <c r="AC62" s="620"/>
    </row>
    <row r="63" spans="1:68" hidden="1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7" t="s">
        <v>69</v>
      </c>
      <c r="Q63" s="638"/>
      <c r="R63" s="638"/>
      <c r="S63" s="638"/>
      <c r="T63" s="638"/>
      <c r="U63" s="638"/>
      <c r="V63" s="639"/>
      <c r="W63" s="37" t="s">
        <v>67</v>
      </c>
      <c r="X63" s="619">
        <f>IFERROR(SUM(X54:X61),"0")</f>
        <v>0</v>
      </c>
      <c r="Y63" s="619">
        <f>IFERROR(SUM(Y54:Y61),"0")</f>
        <v>0</v>
      </c>
      <c r="Z63" s="37"/>
      <c r="AA63" s="620"/>
      <c r="AB63" s="620"/>
      <c r="AC63" s="620"/>
    </row>
    <row r="64" spans="1:68" ht="14.25" hidden="1" customHeight="1" x14ac:dyDescent="0.25">
      <c r="A64" s="636" t="s">
        <v>143</v>
      </c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  <c r="R64" s="633"/>
      <c r="S64" s="633"/>
      <c r="T64" s="633"/>
      <c r="U64" s="633"/>
      <c r="V64" s="633"/>
      <c r="W64" s="633"/>
      <c r="X64" s="633"/>
      <c r="Y64" s="633"/>
      <c r="Z64" s="633"/>
      <c r="AA64" s="612"/>
      <c r="AB64" s="612"/>
      <c r="AC64" s="612"/>
    </row>
    <row r="65" spans="1:68" ht="27" hidden="1" customHeight="1" x14ac:dyDescent="0.25">
      <c r="A65" s="54" t="s">
        <v>144</v>
      </c>
      <c r="B65" s="54" t="s">
        <v>145</v>
      </c>
      <c r="C65" s="31">
        <v>4301020390</v>
      </c>
      <c r="D65" s="624">
        <v>4680115881440</v>
      </c>
      <c r="E65" s="625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7">
        <v>0</v>
      </c>
      <c r="Y65" s="618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24">
        <v>4680115885950</v>
      </c>
      <c r="E66" s="625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5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24">
        <v>4680115887688</v>
      </c>
      <c r="E67" s="625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2"/>
      <c r="R67" s="622"/>
      <c r="S67" s="622"/>
      <c r="T67" s="623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24">
        <v>4680115881433</v>
      </c>
      <c r="E68" s="625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649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2"/>
      <c r="R68" s="622"/>
      <c r="S68" s="622"/>
      <c r="T68" s="623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32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7" t="s">
        <v>69</v>
      </c>
      <c r="Q69" s="638"/>
      <c r="R69" s="638"/>
      <c r="S69" s="638"/>
      <c r="T69" s="638"/>
      <c r="U69" s="638"/>
      <c r="V69" s="639"/>
      <c r="W69" s="37" t="s">
        <v>70</v>
      </c>
      <c r="X69" s="619">
        <f>IFERROR(X65/H65,"0")+IFERROR(X66/H66,"0")+IFERROR(X67/H67,"0")+IFERROR(X68/H68,"0")</f>
        <v>0</v>
      </c>
      <c r="Y69" s="619">
        <f>IFERROR(Y65/H65,"0")+IFERROR(Y66/H66,"0")+IFERROR(Y67/H67,"0")+IFERROR(Y68/H68,"0")</f>
        <v>0</v>
      </c>
      <c r="Z69" s="619">
        <f>IFERROR(IF(Z65="",0,Z65),"0")+IFERROR(IF(Z66="",0,Z66),"0")+IFERROR(IF(Z67="",0,Z67),"0")+IFERROR(IF(Z68="",0,Z68),"0")</f>
        <v>0</v>
      </c>
      <c r="AA69" s="620"/>
      <c r="AB69" s="620"/>
      <c r="AC69" s="620"/>
    </row>
    <row r="70" spans="1:68" hidden="1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7" t="s">
        <v>69</v>
      </c>
      <c r="Q70" s="638"/>
      <c r="R70" s="638"/>
      <c r="S70" s="638"/>
      <c r="T70" s="638"/>
      <c r="U70" s="638"/>
      <c r="V70" s="639"/>
      <c r="W70" s="37" t="s">
        <v>67</v>
      </c>
      <c r="X70" s="619">
        <f>IFERROR(SUM(X65:X68),"0")</f>
        <v>0</v>
      </c>
      <c r="Y70" s="619">
        <f>IFERROR(SUM(Y65:Y68),"0")</f>
        <v>0</v>
      </c>
      <c r="Z70" s="37"/>
      <c r="AA70" s="620"/>
      <c r="AB70" s="620"/>
      <c r="AC70" s="620"/>
    </row>
    <row r="71" spans="1:68" ht="14.25" hidden="1" customHeight="1" x14ac:dyDescent="0.25">
      <c r="A71" s="636" t="s">
        <v>71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12"/>
      <c r="AB71" s="612"/>
      <c r="AC71" s="612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24">
        <v>4680115884311</v>
      </c>
      <c r="E72" s="625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24">
        <v>4680115884403</v>
      </c>
      <c r="E73" s="625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7" t="s">
        <v>69</v>
      </c>
      <c r="Q74" s="638"/>
      <c r="R74" s="638"/>
      <c r="S74" s="638"/>
      <c r="T74" s="638"/>
      <c r="U74" s="638"/>
      <c r="V74" s="639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7" t="s">
        <v>69</v>
      </c>
      <c r="Q75" s="638"/>
      <c r="R75" s="638"/>
      <c r="S75" s="638"/>
      <c r="T75" s="638"/>
      <c r="U75" s="638"/>
      <c r="V75" s="639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6" t="s">
        <v>161</v>
      </c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  <c r="R76" s="633"/>
      <c r="S76" s="633"/>
      <c r="T76" s="633"/>
      <c r="U76" s="633"/>
      <c r="V76" s="633"/>
      <c r="W76" s="633"/>
      <c r="X76" s="633"/>
      <c r="Y76" s="633"/>
      <c r="Z76" s="633"/>
      <c r="AA76" s="612"/>
      <c r="AB76" s="612"/>
      <c r="AC76" s="612"/>
    </row>
    <row r="77" spans="1:68" ht="27" hidden="1" customHeight="1" x14ac:dyDescent="0.25">
      <c r="A77" s="54" t="s">
        <v>162</v>
      </c>
      <c r="B77" s="54" t="s">
        <v>163</v>
      </c>
      <c r="C77" s="31">
        <v>4301060455</v>
      </c>
      <c r="D77" s="624">
        <v>4680115881532</v>
      </c>
      <c r="E77" s="625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7">
        <v>0</v>
      </c>
      <c r="Y77" s="618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24">
        <v>4680115881532</v>
      </c>
      <c r="E78" s="625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4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24">
        <v>4680115881464</v>
      </c>
      <c r="E79" s="625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2"/>
      <c r="R79" s="622"/>
      <c r="S79" s="622"/>
      <c r="T79" s="623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32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7" t="s">
        <v>69</v>
      </c>
      <c r="Q80" s="638"/>
      <c r="R80" s="638"/>
      <c r="S80" s="638"/>
      <c r="T80" s="638"/>
      <c r="U80" s="638"/>
      <c r="V80" s="639"/>
      <c r="W80" s="37" t="s">
        <v>70</v>
      </c>
      <c r="X80" s="619">
        <f>IFERROR(X77/H77,"0")+IFERROR(X78/H78,"0")+IFERROR(X79/H79,"0")</f>
        <v>0</v>
      </c>
      <c r="Y80" s="619">
        <f>IFERROR(Y77/H77,"0")+IFERROR(Y78/H78,"0")+IFERROR(Y79/H79,"0")</f>
        <v>0</v>
      </c>
      <c r="Z80" s="619">
        <f>IFERROR(IF(Z77="",0,Z77),"0")+IFERROR(IF(Z78="",0,Z78),"0")+IFERROR(IF(Z79="",0,Z79),"0")</f>
        <v>0</v>
      </c>
      <c r="AA80" s="620"/>
      <c r="AB80" s="620"/>
      <c r="AC80" s="620"/>
    </row>
    <row r="81" spans="1:68" hidden="1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7" t="s">
        <v>69</v>
      </c>
      <c r="Q81" s="638"/>
      <c r="R81" s="638"/>
      <c r="S81" s="638"/>
      <c r="T81" s="638"/>
      <c r="U81" s="638"/>
      <c r="V81" s="639"/>
      <c r="W81" s="37" t="s">
        <v>67</v>
      </c>
      <c r="X81" s="619">
        <f>IFERROR(SUM(X77:X79),"0")</f>
        <v>0</v>
      </c>
      <c r="Y81" s="619">
        <f>IFERROR(SUM(Y77:Y79),"0")</f>
        <v>0</v>
      </c>
      <c r="Z81" s="37"/>
      <c r="AA81" s="620"/>
      <c r="AB81" s="620"/>
      <c r="AC81" s="620"/>
    </row>
    <row r="82" spans="1:68" ht="16.5" hidden="1" customHeight="1" x14ac:dyDescent="0.25">
      <c r="A82" s="642" t="s">
        <v>169</v>
      </c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  <c r="AA82" s="611"/>
      <c r="AB82" s="611"/>
      <c r="AC82" s="611"/>
    </row>
    <row r="83" spans="1:68" ht="14.25" hidden="1" customHeight="1" x14ac:dyDescent="0.25">
      <c r="A83" s="636" t="s">
        <v>108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12"/>
      <c r="AB83" s="612"/>
      <c r="AC83" s="612"/>
    </row>
    <row r="84" spans="1:68" ht="27" hidden="1" customHeight="1" x14ac:dyDescent="0.25">
      <c r="A84" s="54" t="s">
        <v>170</v>
      </c>
      <c r="B84" s="54" t="s">
        <v>171</v>
      </c>
      <c r="C84" s="31">
        <v>4301011468</v>
      </c>
      <c r="D84" s="624">
        <v>4680115881327</v>
      </c>
      <c r="E84" s="625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2"/>
      <c r="R84" s="622"/>
      <c r="S84" s="622"/>
      <c r="T84" s="623"/>
      <c r="U84" s="34"/>
      <c r="V84" s="34"/>
      <c r="W84" s="35" t="s">
        <v>67</v>
      </c>
      <c r="X84" s="617">
        <v>0</v>
      </c>
      <c r="Y84" s="618">
        <f t="shared" ref="Y84:Y89" si="5"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0</v>
      </c>
      <c r="BN84" s="64">
        <f t="shared" ref="BN84:BN89" si="7">IFERROR(Y84*I84/H84,"0")</f>
        <v>0</v>
      </c>
      <c r="BO84" s="64">
        <f t="shared" ref="BO84:BO89" si="8">IFERROR(1/J84*(X84/H84),"0")</f>
        <v>0</v>
      </c>
      <c r="BP84" s="64">
        <f t="shared" ref="BP84:BP89" si="9">IFERROR(1/J84*(Y84/H84),"0")</f>
        <v>0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24">
        <v>4680115881327</v>
      </c>
      <c r="E85" s="625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2"/>
      <c r="R85" s="622"/>
      <c r="S85" s="622"/>
      <c r="T85" s="623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24">
        <v>4680115887732</v>
      </c>
      <c r="E86" s="625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5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2"/>
      <c r="R86" s="622"/>
      <c r="S86" s="622"/>
      <c r="T86" s="623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24">
        <v>4680115881518</v>
      </c>
      <c r="E87" s="625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81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2"/>
      <c r="R87" s="622"/>
      <c r="S87" s="622"/>
      <c r="T87" s="623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24">
        <v>4680115881518</v>
      </c>
      <c r="E88" s="625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76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2"/>
      <c r="R88" s="622"/>
      <c r="S88" s="622"/>
      <c r="T88" s="623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4301012250</v>
      </c>
      <c r="D89" s="624">
        <v>4680115881303</v>
      </c>
      <c r="E89" s="625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78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7">
        <v>0</v>
      </c>
      <c r="Y89" s="618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idden="1" x14ac:dyDescent="0.2">
      <c r="A90" s="632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7" t="s">
        <v>69</v>
      </c>
      <c r="Q90" s="638"/>
      <c r="R90" s="638"/>
      <c r="S90" s="638"/>
      <c r="T90" s="638"/>
      <c r="U90" s="638"/>
      <c r="V90" s="639"/>
      <c r="W90" s="37" t="s">
        <v>70</v>
      </c>
      <c r="X90" s="619">
        <f>IFERROR(X84/H84,"0")+IFERROR(X85/H85,"0")+IFERROR(X86/H86,"0")+IFERROR(X87/H87,"0")+IFERROR(X88/H88,"0")+IFERROR(X89/H89,"0")</f>
        <v>0</v>
      </c>
      <c r="Y90" s="619">
        <f>IFERROR(Y84/H84,"0")+IFERROR(Y85/H85,"0")+IFERROR(Y86/H86,"0")+IFERROR(Y87/H87,"0")+IFERROR(Y88/H88,"0")+IFERROR(Y89/H89,"0")</f>
        <v>0</v>
      </c>
      <c r="Z90" s="619">
        <f>IFERROR(IF(Z84="",0,Z84),"0")+IFERROR(IF(Z85="",0,Z85),"0")+IFERROR(IF(Z86="",0,Z86),"0")+IFERROR(IF(Z87="",0,Z87),"0")+IFERROR(IF(Z88="",0,Z88),"0")+IFERROR(IF(Z89="",0,Z89),"0")</f>
        <v>0</v>
      </c>
      <c r="AA90" s="620"/>
      <c r="AB90" s="620"/>
      <c r="AC90" s="620"/>
    </row>
    <row r="91" spans="1:68" hidden="1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7" t="s">
        <v>69</v>
      </c>
      <c r="Q91" s="638"/>
      <c r="R91" s="638"/>
      <c r="S91" s="638"/>
      <c r="T91" s="638"/>
      <c r="U91" s="638"/>
      <c r="V91" s="639"/>
      <c r="W91" s="37" t="s">
        <v>67</v>
      </c>
      <c r="X91" s="619">
        <f>IFERROR(SUM(X84:X89),"0")</f>
        <v>0</v>
      </c>
      <c r="Y91" s="619">
        <f>IFERROR(SUM(Y84:Y89),"0")</f>
        <v>0</v>
      </c>
      <c r="Z91" s="37"/>
      <c r="AA91" s="620"/>
      <c r="AB91" s="620"/>
      <c r="AC91" s="620"/>
    </row>
    <row r="92" spans="1:68" ht="14.25" hidden="1" customHeight="1" x14ac:dyDescent="0.25">
      <c r="A92" s="636" t="s">
        <v>71</v>
      </c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  <c r="X92" s="633"/>
      <c r="Y92" s="633"/>
      <c r="Z92" s="633"/>
      <c r="AA92" s="612"/>
      <c r="AB92" s="612"/>
      <c r="AC92" s="612"/>
    </row>
    <row r="93" spans="1:68" ht="27" customHeight="1" x14ac:dyDescent="0.25">
      <c r="A93" s="54" t="s">
        <v>182</v>
      </c>
      <c r="B93" s="54" t="s">
        <v>183</v>
      </c>
      <c r="C93" s="31">
        <v>4301052101</v>
      </c>
      <c r="D93" s="624">
        <v>4607091386967</v>
      </c>
      <c r="E93" s="625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56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2"/>
      <c r="R93" s="622"/>
      <c r="S93" s="622"/>
      <c r="T93" s="623"/>
      <c r="U93" s="34"/>
      <c r="V93" s="34"/>
      <c r="W93" s="35" t="s">
        <v>67</v>
      </c>
      <c r="X93" s="617">
        <v>387</v>
      </c>
      <c r="Y93" s="618">
        <f>IFERROR(IF(X93="",0,CEILING((X93/$H93),1)*$H93),"")</f>
        <v>388.79999999999995</v>
      </c>
      <c r="Z93" s="36">
        <f>IFERROR(IF(Y93=0,"",ROUNDUP(Y93/H93,0)*0.01898),"")</f>
        <v>0.91104000000000007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410.60222222222222</v>
      </c>
      <c r="BN93" s="64">
        <f>IFERROR(Y93*I93/H93,"0")</f>
        <v>412.51199999999994</v>
      </c>
      <c r="BO93" s="64">
        <f>IFERROR(1/J93*(X93/H93),"0")</f>
        <v>0.74652777777777779</v>
      </c>
      <c r="BP93" s="64">
        <f>IFERROR(1/J93*(Y93/H93),"0")</f>
        <v>0.75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24">
        <v>4680115884953</v>
      </c>
      <c r="E94" s="625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5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4301052094</v>
      </c>
      <c r="D95" s="624">
        <v>4607091385731</v>
      </c>
      <c r="E95" s="625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9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7">
        <v>0</v>
      </c>
      <c r="Y95" s="61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24">
        <v>4680115880894</v>
      </c>
      <c r="E96" s="625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6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32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7" t="s">
        <v>69</v>
      </c>
      <c r="Q97" s="638"/>
      <c r="R97" s="638"/>
      <c r="S97" s="638"/>
      <c r="T97" s="638"/>
      <c r="U97" s="638"/>
      <c r="V97" s="639"/>
      <c r="W97" s="37" t="s">
        <v>70</v>
      </c>
      <c r="X97" s="619">
        <f>IFERROR(X93/H93,"0")+IFERROR(X94/H94,"0")+IFERROR(X95/H95,"0")+IFERROR(X96/H96,"0")</f>
        <v>47.777777777777779</v>
      </c>
      <c r="Y97" s="619">
        <f>IFERROR(Y93/H93,"0")+IFERROR(Y94/H94,"0")+IFERROR(Y95/H95,"0")+IFERROR(Y96/H96,"0")</f>
        <v>48</v>
      </c>
      <c r="Z97" s="619">
        <f>IFERROR(IF(Z93="",0,Z93),"0")+IFERROR(IF(Z94="",0,Z94),"0")+IFERROR(IF(Z95="",0,Z95),"0")+IFERROR(IF(Z96="",0,Z96),"0")</f>
        <v>0.91104000000000007</v>
      </c>
      <c r="AA97" s="620"/>
      <c r="AB97" s="620"/>
      <c r="AC97" s="620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7" t="s">
        <v>69</v>
      </c>
      <c r="Q98" s="638"/>
      <c r="R98" s="638"/>
      <c r="S98" s="638"/>
      <c r="T98" s="638"/>
      <c r="U98" s="638"/>
      <c r="V98" s="639"/>
      <c r="W98" s="37" t="s">
        <v>67</v>
      </c>
      <c r="X98" s="619">
        <f>IFERROR(SUM(X93:X96),"0")</f>
        <v>387</v>
      </c>
      <c r="Y98" s="619">
        <f>IFERROR(SUM(Y93:Y96),"0")</f>
        <v>388.79999999999995</v>
      </c>
      <c r="Z98" s="37"/>
      <c r="AA98" s="620"/>
      <c r="AB98" s="620"/>
      <c r="AC98" s="620"/>
    </row>
    <row r="99" spans="1:68" ht="16.5" hidden="1" customHeight="1" x14ac:dyDescent="0.25">
      <c r="A99" s="642" t="s">
        <v>193</v>
      </c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  <c r="X99" s="633"/>
      <c r="Y99" s="633"/>
      <c r="Z99" s="633"/>
      <c r="AA99" s="611"/>
      <c r="AB99" s="611"/>
      <c r="AC99" s="611"/>
    </row>
    <row r="100" spans="1:68" ht="14.25" hidden="1" customHeight="1" x14ac:dyDescent="0.25">
      <c r="A100" s="636" t="s">
        <v>108</v>
      </c>
      <c r="B100" s="633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  <c r="S100" s="633"/>
      <c r="T100" s="633"/>
      <c r="U100" s="633"/>
      <c r="V100" s="633"/>
      <c r="W100" s="633"/>
      <c r="X100" s="633"/>
      <c r="Y100" s="633"/>
      <c r="Z100" s="633"/>
      <c r="AA100" s="612"/>
      <c r="AB100" s="612"/>
      <c r="AC100" s="612"/>
    </row>
    <row r="101" spans="1:68" ht="37.5" hidden="1" customHeight="1" x14ac:dyDescent="0.25">
      <c r="A101" s="54" t="s">
        <v>194</v>
      </c>
      <c r="B101" s="54" t="s">
        <v>195</v>
      </c>
      <c r="C101" s="31">
        <v>4301011514</v>
      </c>
      <c r="D101" s="624">
        <v>4680115882133</v>
      </c>
      <c r="E101" s="625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4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4"/>
      <c r="V101" s="34"/>
      <c r="W101" s="35" t="s">
        <v>67</v>
      </c>
      <c r="X101" s="617">
        <v>0</v>
      </c>
      <c r="Y101" s="618">
        <f t="shared" ref="Y101:Y107" si="10"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0</v>
      </c>
      <c r="BN101" s="64">
        <f t="shared" ref="BN101:BN107" si="12">IFERROR(Y101*I101/H101,"0")</f>
        <v>0</v>
      </c>
      <c r="BO101" s="64">
        <f t="shared" ref="BO101:BO107" si="13">IFERROR(1/J101*(X101/H101),"0")</f>
        <v>0</v>
      </c>
      <c r="BP101" s="64">
        <f t="shared" ref="BP101:BP107" si="14">IFERROR(1/J101*(Y101/H101),"0")</f>
        <v>0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24">
        <v>4680115882133</v>
      </c>
      <c r="E102" s="625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2"/>
      <c r="R102" s="622"/>
      <c r="S102" s="622"/>
      <c r="T102" s="623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24">
        <v>4680115887718</v>
      </c>
      <c r="E103" s="625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24">
        <v>4680115880269</v>
      </c>
      <c r="E104" s="625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88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204</v>
      </c>
      <c r="B105" s="54" t="s">
        <v>205</v>
      </c>
      <c r="C105" s="31">
        <v>4301012254</v>
      </c>
      <c r="D105" s="624">
        <v>4680115880429</v>
      </c>
      <c r="E105" s="625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7">
        <v>0</v>
      </c>
      <c r="Y105" s="618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24">
        <v>4680115881457</v>
      </c>
      <c r="E106" s="625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5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2"/>
      <c r="R106" s="622"/>
      <c r="S106" s="622"/>
      <c r="T106" s="623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24">
        <v>4680115889477</v>
      </c>
      <c r="E107" s="625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4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2"/>
      <c r="R107" s="622"/>
      <c r="S107" s="622"/>
      <c r="T107" s="623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idden="1" x14ac:dyDescent="0.2">
      <c r="A108" s="632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7" t="s">
        <v>69</v>
      </c>
      <c r="Q108" s="638"/>
      <c r="R108" s="638"/>
      <c r="S108" s="638"/>
      <c r="T108" s="638"/>
      <c r="U108" s="638"/>
      <c r="V108" s="639"/>
      <c r="W108" s="37" t="s">
        <v>70</v>
      </c>
      <c r="X108" s="619">
        <f>IFERROR(X101/H101,"0")+IFERROR(X102/H102,"0")+IFERROR(X103/H103,"0")+IFERROR(X104/H104,"0")+IFERROR(X105/H105,"0")+IFERROR(X106/H106,"0")+IFERROR(X107/H107,"0")</f>
        <v>0</v>
      </c>
      <c r="Y108" s="619">
        <f>IFERROR(Y101/H101,"0")+IFERROR(Y102/H102,"0")+IFERROR(Y103/H103,"0")+IFERROR(Y104/H104,"0")+IFERROR(Y105/H105,"0")+IFERROR(Y106/H106,"0")+IFERROR(Y107/H107,"0")</f>
        <v>0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</v>
      </c>
      <c r="AA108" s="620"/>
      <c r="AB108" s="620"/>
      <c r="AC108" s="620"/>
    </row>
    <row r="109" spans="1:68" hidden="1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7" t="s">
        <v>69</v>
      </c>
      <c r="Q109" s="638"/>
      <c r="R109" s="638"/>
      <c r="S109" s="638"/>
      <c r="T109" s="638"/>
      <c r="U109" s="638"/>
      <c r="V109" s="639"/>
      <c r="W109" s="37" t="s">
        <v>67</v>
      </c>
      <c r="X109" s="619">
        <f>IFERROR(SUM(X101:X107),"0")</f>
        <v>0</v>
      </c>
      <c r="Y109" s="619">
        <f>IFERROR(SUM(Y101:Y107),"0")</f>
        <v>0</v>
      </c>
      <c r="Z109" s="37"/>
      <c r="AA109" s="620"/>
      <c r="AB109" s="620"/>
      <c r="AC109" s="620"/>
    </row>
    <row r="110" spans="1:68" ht="14.25" hidden="1" customHeight="1" x14ac:dyDescent="0.25">
      <c r="A110" s="636" t="s">
        <v>143</v>
      </c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3"/>
      <c r="W110" s="633"/>
      <c r="X110" s="633"/>
      <c r="Y110" s="633"/>
      <c r="Z110" s="633"/>
      <c r="AA110" s="612"/>
      <c r="AB110" s="612"/>
      <c r="AC110" s="612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24">
        <v>4680115881488</v>
      </c>
      <c r="E111" s="625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2"/>
      <c r="R111" s="622"/>
      <c r="S111" s="622"/>
      <c r="T111" s="623"/>
      <c r="U111" s="34"/>
      <c r="V111" s="34"/>
      <c r="W111" s="35" t="s">
        <v>67</v>
      </c>
      <c r="X111" s="617">
        <v>0</v>
      </c>
      <c r="Y111" s="618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24">
        <v>4680115887664</v>
      </c>
      <c r="E112" s="625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2"/>
      <c r="R112" s="622"/>
      <c r="S112" s="622"/>
      <c r="T112" s="623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24">
        <v>4680115887664</v>
      </c>
      <c r="E113" s="625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64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24">
        <v>4680115882775</v>
      </c>
      <c r="E114" s="625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4301020392</v>
      </c>
      <c r="D115" s="624">
        <v>4680115880658</v>
      </c>
      <c r="E115" s="625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7">
        <v>0</v>
      </c>
      <c r="Y115" s="61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32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7" t="s">
        <v>69</v>
      </c>
      <c r="Q116" s="638"/>
      <c r="R116" s="638"/>
      <c r="S116" s="638"/>
      <c r="T116" s="638"/>
      <c r="U116" s="638"/>
      <c r="V116" s="639"/>
      <c r="W116" s="37" t="s">
        <v>70</v>
      </c>
      <c r="X116" s="619">
        <f>IFERROR(X111/H111,"0")+IFERROR(X112/H112,"0")+IFERROR(X113/H113,"0")+IFERROR(X114/H114,"0")+IFERROR(X115/H115,"0")</f>
        <v>0</v>
      </c>
      <c r="Y116" s="619">
        <f>IFERROR(Y111/H111,"0")+IFERROR(Y112/H112,"0")+IFERROR(Y113/H113,"0")+IFERROR(Y114/H114,"0")+IFERROR(Y115/H115,"0")</f>
        <v>0</v>
      </c>
      <c r="Z116" s="619">
        <f>IFERROR(IF(Z111="",0,Z111),"0")+IFERROR(IF(Z112="",0,Z112),"0")+IFERROR(IF(Z113="",0,Z113),"0")+IFERROR(IF(Z114="",0,Z114),"0")+IFERROR(IF(Z115="",0,Z115),"0")</f>
        <v>0</v>
      </c>
      <c r="AA116" s="620"/>
      <c r="AB116" s="620"/>
      <c r="AC116" s="620"/>
    </row>
    <row r="117" spans="1:68" hidden="1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7" t="s">
        <v>69</v>
      </c>
      <c r="Q117" s="638"/>
      <c r="R117" s="638"/>
      <c r="S117" s="638"/>
      <c r="T117" s="638"/>
      <c r="U117" s="638"/>
      <c r="V117" s="639"/>
      <c r="W117" s="37" t="s">
        <v>67</v>
      </c>
      <c r="X117" s="619">
        <f>IFERROR(SUM(X111:X115),"0")</f>
        <v>0</v>
      </c>
      <c r="Y117" s="619">
        <f>IFERROR(SUM(Y111:Y115),"0")</f>
        <v>0</v>
      </c>
      <c r="Z117" s="37"/>
      <c r="AA117" s="620"/>
      <c r="AB117" s="620"/>
      <c r="AC117" s="620"/>
    </row>
    <row r="118" spans="1:68" ht="14.25" hidden="1" customHeight="1" x14ac:dyDescent="0.25">
      <c r="A118" s="636" t="s">
        <v>71</v>
      </c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  <c r="S118" s="633"/>
      <c r="T118" s="633"/>
      <c r="U118" s="633"/>
      <c r="V118" s="633"/>
      <c r="W118" s="633"/>
      <c r="X118" s="633"/>
      <c r="Y118" s="633"/>
      <c r="Z118" s="633"/>
      <c r="AA118" s="612"/>
      <c r="AB118" s="612"/>
      <c r="AC118" s="612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24">
        <v>4607091385168</v>
      </c>
      <c r="E119" s="625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70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2"/>
      <c r="R119" s="622"/>
      <c r="S119" s="622"/>
      <c r="T119" s="623"/>
      <c r="U119" s="34"/>
      <c r="V119" s="34"/>
      <c r="W119" s="35" t="s">
        <v>67</v>
      </c>
      <c r="X119" s="617">
        <v>367</v>
      </c>
      <c r="Y119" s="618">
        <f>IFERROR(IF(X119="",0,CEILING((X119/$H119),1)*$H119),"")</f>
        <v>372.59999999999997</v>
      </c>
      <c r="Z119" s="36">
        <f>IFERROR(IF(Y119=0,"",ROUNDUP(Y119/H119,0)*0.01898),"")</f>
        <v>0.87307999999999997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389.1106172839506</v>
      </c>
      <c r="BN119" s="64">
        <f>IFERROR(Y119*I119/H119,"0")</f>
        <v>395.04799999999994</v>
      </c>
      <c r="BO119" s="64">
        <f>IFERROR(1/J119*(X119/H119),"0")</f>
        <v>0.70794753086419759</v>
      </c>
      <c r="BP119" s="64">
        <f>IFERROR(1/J119*(Y119/H119),"0")</f>
        <v>0.71875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24">
        <v>4607091383256</v>
      </c>
      <c r="E120" s="625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70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4301052086</v>
      </c>
      <c r="D121" s="624">
        <v>4607091385748</v>
      </c>
      <c r="E121" s="625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1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7">
        <v>0</v>
      </c>
      <c r="Y121" s="61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24">
        <v>4680115884533</v>
      </c>
      <c r="E122" s="625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7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2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7" t="s">
        <v>69</v>
      </c>
      <c r="Q123" s="638"/>
      <c r="R123" s="638"/>
      <c r="S123" s="638"/>
      <c r="T123" s="638"/>
      <c r="U123" s="638"/>
      <c r="V123" s="639"/>
      <c r="W123" s="37" t="s">
        <v>70</v>
      </c>
      <c r="X123" s="619">
        <f>IFERROR(X119/H119,"0")+IFERROR(X120/H120,"0")+IFERROR(X121/H121,"0")+IFERROR(X122/H122,"0")</f>
        <v>45.308641975308646</v>
      </c>
      <c r="Y123" s="619">
        <f>IFERROR(Y119/H119,"0")+IFERROR(Y120/H120,"0")+IFERROR(Y121/H121,"0")+IFERROR(Y122/H122,"0")</f>
        <v>46</v>
      </c>
      <c r="Z123" s="619">
        <f>IFERROR(IF(Z119="",0,Z119),"0")+IFERROR(IF(Z120="",0,Z120),"0")+IFERROR(IF(Z121="",0,Z121),"0")+IFERROR(IF(Z122="",0,Z122),"0")</f>
        <v>0.87307999999999997</v>
      </c>
      <c r="AA123" s="620"/>
      <c r="AB123" s="620"/>
      <c r="AC123" s="620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7" t="s">
        <v>69</v>
      </c>
      <c r="Q124" s="638"/>
      <c r="R124" s="638"/>
      <c r="S124" s="638"/>
      <c r="T124" s="638"/>
      <c r="U124" s="638"/>
      <c r="V124" s="639"/>
      <c r="W124" s="37" t="s">
        <v>67</v>
      </c>
      <c r="X124" s="619">
        <f>IFERROR(SUM(X119:X122),"0")</f>
        <v>367</v>
      </c>
      <c r="Y124" s="619">
        <f>IFERROR(SUM(Y119:Y122),"0")</f>
        <v>372.59999999999997</v>
      </c>
      <c r="Z124" s="37"/>
      <c r="AA124" s="620"/>
      <c r="AB124" s="620"/>
      <c r="AC124" s="620"/>
    </row>
    <row r="125" spans="1:68" ht="14.25" hidden="1" customHeight="1" x14ac:dyDescent="0.25">
      <c r="A125" s="636" t="s">
        <v>161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12"/>
      <c r="AB125" s="612"/>
      <c r="AC125" s="612"/>
    </row>
    <row r="126" spans="1:68" ht="16.5" hidden="1" customHeight="1" x14ac:dyDescent="0.25">
      <c r="A126" s="54" t="s">
        <v>234</v>
      </c>
      <c r="B126" s="54" t="s">
        <v>235</v>
      </c>
      <c r="C126" s="31">
        <v>4301060525</v>
      </c>
      <c r="D126" s="624">
        <v>4680115880238</v>
      </c>
      <c r="E126" s="625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6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2"/>
      <c r="R126" s="622"/>
      <c r="S126" s="622"/>
      <c r="T126" s="623"/>
      <c r="U126" s="34"/>
      <c r="V126" s="34"/>
      <c r="W126" s="35" t="s">
        <v>67</v>
      </c>
      <c r="X126" s="617">
        <v>0</v>
      </c>
      <c r="Y126" s="61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632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7" t="s">
        <v>69</v>
      </c>
      <c r="Q127" s="638"/>
      <c r="R127" s="638"/>
      <c r="S127" s="638"/>
      <c r="T127" s="638"/>
      <c r="U127" s="638"/>
      <c r="V127" s="639"/>
      <c r="W127" s="37" t="s">
        <v>70</v>
      </c>
      <c r="X127" s="619">
        <f>IFERROR(X126/H126,"0")</f>
        <v>0</v>
      </c>
      <c r="Y127" s="619">
        <f>IFERROR(Y126/H126,"0")</f>
        <v>0</v>
      </c>
      <c r="Z127" s="619">
        <f>IFERROR(IF(Z126="",0,Z126),"0")</f>
        <v>0</v>
      </c>
      <c r="AA127" s="620"/>
      <c r="AB127" s="620"/>
      <c r="AC127" s="620"/>
    </row>
    <row r="128" spans="1:68" hidden="1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7" t="s">
        <v>69</v>
      </c>
      <c r="Q128" s="638"/>
      <c r="R128" s="638"/>
      <c r="S128" s="638"/>
      <c r="T128" s="638"/>
      <c r="U128" s="638"/>
      <c r="V128" s="639"/>
      <c r="W128" s="37" t="s">
        <v>67</v>
      </c>
      <c r="X128" s="619">
        <f>IFERROR(SUM(X126:X126),"0")</f>
        <v>0</v>
      </c>
      <c r="Y128" s="619">
        <f>IFERROR(SUM(Y126:Y126),"0")</f>
        <v>0</v>
      </c>
      <c r="Z128" s="37"/>
      <c r="AA128" s="620"/>
      <c r="AB128" s="620"/>
      <c r="AC128" s="620"/>
    </row>
    <row r="129" spans="1:68" ht="16.5" hidden="1" customHeight="1" x14ac:dyDescent="0.25">
      <c r="A129" s="642" t="s">
        <v>237</v>
      </c>
      <c r="B129" s="633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  <c r="S129" s="633"/>
      <c r="T129" s="633"/>
      <c r="U129" s="633"/>
      <c r="V129" s="633"/>
      <c r="W129" s="633"/>
      <c r="X129" s="633"/>
      <c r="Y129" s="633"/>
      <c r="Z129" s="633"/>
      <c r="AA129" s="611"/>
      <c r="AB129" s="611"/>
      <c r="AC129" s="611"/>
    </row>
    <row r="130" spans="1:68" ht="14.25" hidden="1" customHeight="1" x14ac:dyDescent="0.25">
      <c r="A130" s="636" t="s">
        <v>108</v>
      </c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3"/>
      <c r="V130" s="633"/>
      <c r="W130" s="633"/>
      <c r="X130" s="633"/>
      <c r="Y130" s="633"/>
      <c r="Z130" s="633"/>
      <c r="AA130" s="612"/>
      <c r="AB130" s="612"/>
      <c r="AC130" s="612"/>
    </row>
    <row r="131" spans="1:68" ht="27" hidden="1" customHeight="1" x14ac:dyDescent="0.25">
      <c r="A131" s="54" t="s">
        <v>238</v>
      </c>
      <c r="B131" s="54" t="s">
        <v>239</v>
      </c>
      <c r="C131" s="31">
        <v>4301011562</v>
      </c>
      <c r="D131" s="624">
        <v>4680115882577</v>
      </c>
      <c r="E131" s="625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2"/>
      <c r="R131" s="622"/>
      <c r="S131" s="622"/>
      <c r="T131" s="623"/>
      <c r="U131" s="34"/>
      <c r="V131" s="34"/>
      <c r="W131" s="35" t="s">
        <v>67</v>
      </c>
      <c r="X131" s="617">
        <v>0</v>
      </c>
      <c r="Y131" s="61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24">
        <v>4680115882577</v>
      </c>
      <c r="E132" s="625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2"/>
      <c r="R132" s="622"/>
      <c r="S132" s="622"/>
      <c r="T132" s="623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32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7" t="s">
        <v>69</v>
      </c>
      <c r="Q133" s="638"/>
      <c r="R133" s="638"/>
      <c r="S133" s="638"/>
      <c r="T133" s="638"/>
      <c r="U133" s="638"/>
      <c r="V133" s="639"/>
      <c r="W133" s="37" t="s">
        <v>70</v>
      </c>
      <c r="X133" s="619">
        <f>IFERROR(X131/H131,"0")+IFERROR(X132/H132,"0")</f>
        <v>0</v>
      </c>
      <c r="Y133" s="619">
        <f>IFERROR(Y131/H131,"0")+IFERROR(Y132/H132,"0")</f>
        <v>0</v>
      </c>
      <c r="Z133" s="619">
        <f>IFERROR(IF(Z131="",0,Z131),"0")+IFERROR(IF(Z132="",0,Z132),"0")</f>
        <v>0</v>
      </c>
      <c r="AA133" s="620"/>
      <c r="AB133" s="620"/>
      <c r="AC133" s="620"/>
    </row>
    <row r="134" spans="1:68" hidden="1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7" t="s">
        <v>69</v>
      </c>
      <c r="Q134" s="638"/>
      <c r="R134" s="638"/>
      <c r="S134" s="638"/>
      <c r="T134" s="638"/>
      <c r="U134" s="638"/>
      <c r="V134" s="639"/>
      <c r="W134" s="37" t="s">
        <v>67</v>
      </c>
      <c r="X134" s="619">
        <f>IFERROR(SUM(X131:X132),"0")</f>
        <v>0</v>
      </c>
      <c r="Y134" s="619">
        <f>IFERROR(SUM(Y131:Y132),"0")</f>
        <v>0</v>
      </c>
      <c r="Z134" s="37"/>
      <c r="AA134" s="620"/>
      <c r="AB134" s="620"/>
      <c r="AC134" s="620"/>
    </row>
    <row r="135" spans="1:68" ht="14.25" hidden="1" customHeight="1" x14ac:dyDescent="0.25">
      <c r="A135" s="636" t="s">
        <v>62</v>
      </c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3"/>
      <c r="V135" s="633"/>
      <c r="W135" s="633"/>
      <c r="X135" s="633"/>
      <c r="Y135" s="633"/>
      <c r="Z135" s="633"/>
      <c r="AA135" s="612"/>
      <c r="AB135" s="612"/>
      <c r="AC135" s="612"/>
    </row>
    <row r="136" spans="1:68" ht="27" customHeight="1" x14ac:dyDescent="0.25">
      <c r="A136" s="54" t="s">
        <v>243</v>
      </c>
      <c r="B136" s="54" t="s">
        <v>244</v>
      </c>
      <c r="C136" s="31">
        <v>4301031234</v>
      </c>
      <c r="D136" s="624">
        <v>4680115883444</v>
      </c>
      <c r="E136" s="625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2"/>
      <c r="R136" s="622"/>
      <c r="S136" s="622"/>
      <c r="T136" s="623"/>
      <c r="U136" s="34"/>
      <c r="V136" s="34"/>
      <c r="W136" s="35" t="s">
        <v>67</v>
      </c>
      <c r="X136" s="617">
        <v>26</v>
      </c>
      <c r="Y136" s="618">
        <f>IFERROR(IF(X136="",0,CEILING((X136/$H136),1)*$H136),"")</f>
        <v>28</v>
      </c>
      <c r="Z136" s="36">
        <f>IFERROR(IF(Y136=0,"",ROUNDUP(Y136/H136,0)*0.00651),"")</f>
        <v>6.5100000000000005E-2</v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28.488571428571429</v>
      </c>
      <c r="BN136" s="64">
        <f>IFERROR(Y136*I136/H136,"0")</f>
        <v>30.68</v>
      </c>
      <c r="BO136" s="64">
        <f>IFERROR(1/J136*(X136/H136),"0")</f>
        <v>5.1020408163265314E-2</v>
      </c>
      <c r="BP136" s="64">
        <f>IFERROR(1/J136*(Y136/H136),"0")</f>
        <v>5.4945054945054951E-2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24">
        <v>4680115883444</v>
      </c>
      <c r="E137" s="625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5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32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7" t="s">
        <v>69</v>
      </c>
      <c r="Q138" s="638"/>
      <c r="R138" s="638"/>
      <c r="S138" s="638"/>
      <c r="T138" s="638"/>
      <c r="U138" s="638"/>
      <c r="V138" s="639"/>
      <c r="W138" s="37" t="s">
        <v>70</v>
      </c>
      <c r="X138" s="619">
        <f>IFERROR(X136/H136,"0")+IFERROR(X137/H137,"0")</f>
        <v>9.2857142857142865</v>
      </c>
      <c r="Y138" s="619">
        <f>IFERROR(Y136/H136,"0")+IFERROR(Y137/H137,"0")</f>
        <v>10</v>
      </c>
      <c r="Z138" s="619">
        <f>IFERROR(IF(Z136="",0,Z136),"0")+IFERROR(IF(Z137="",0,Z137),"0")</f>
        <v>6.5100000000000005E-2</v>
      </c>
      <c r="AA138" s="620"/>
      <c r="AB138" s="620"/>
      <c r="AC138" s="620"/>
    </row>
    <row r="139" spans="1:68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7" t="s">
        <v>69</v>
      </c>
      <c r="Q139" s="638"/>
      <c r="R139" s="638"/>
      <c r="S139" s="638"/>
      <c r="T139" s="638"/>
      <c r="U139" s="638"/>
      <c r="V139" s="639"/>
      <c r="W139" s="37" t="s">
        <v>67</v>
      </c>
      <c r="X139" s="619">
        <f>IFERROR(SUM(X136:X137),"0")</f>
        <v>26</v>
      </c>
      <c r="Y139" s="619">
        <f>IFERROR(SUM(Y136:Y137),"0")</f>
        <v>28</v>
      </c>
      <c r="Z139" s="37"/>
      <c r="AA139" s="620"/>
      <c r="AB139" s="620"/>
      <c r="AC139" s="620"/>
    </row>
    <row r="140" spans="1:68" ht="14.25" hidden="1" customHeight="1" x14ac:dyDescent="0.25">
      <c r="A140" s="636" t="s">
        <v>71</v>
      </c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  <c r="S140" s="633"/>
      <c r="T140" s="633"/>
      <c r="U140" s="633"/>
      <c r="V140" s="633"/>
      <c r="W140" s="633"/>
      <c r="X140" s="633"/>
      <c r="Y140" s="633"/>
      <c r="Z140" s="633"/>
      <c r="AA140" s="612"/>
      <c r="AB140" s="612"/>
      <c r="AC140" s="612"/>
    </row>
    <row r="141" spans="1:68" ht="16.5" customHeight="1" x14ac:dyDescent="0.25">
      <c r="A141" s="54" t="s">
        <v>247</v>
      </c>
      <c r="B141" s="54" t="s">
        <v>248</v>
      </c>
      <c r="C141" s="31">
        <v>4301051476</v>
      </c>
      <c r="D141" s="624">
        <v>4680115882584</v>
      </c>
      <c r="E141" s="625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2"/>
      <c r="R141" s="622"/>
      <c r="S141" s="622"/>
      <c r="T141" s="623"/>
      <c r="U141" s="34"/>
      <c r="V141" s="34"/>
      <c r="W141" s="35" t="s">
        <v>67</v>
      </c>
      <c r="X141" s="617">
        <v>22</v>
      </c>
      <c r="Y141" s="618">
        <f>IFERROR(IF(X141="",0,CEILING((X141/$H141),1)*$H141),"")</f>
        <v>23.76</v>
      </c>
      <c r="Z141" s="36">
        <f>IFERROR(IF(Y141=0,"",ROUNDUP(Y141/H141,0)*0.00651),"")</f>
        <v>5.8590000000000003E-2</v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24.233333333333331</v>
      </c>
      <c r="BN141" s="64">
        <f>IFERROR(Y141*I141/H141,"0")</f>
        <v>26.172000000000001</v>
      </c>
      <c r="BO141" s="64">
        <f>IFERROR(1/J141*(X141/H141),"0")</f>
        <v>4.5787545787545784E-2</v>
      </c>
      <c r="BP141" s="64">
        <f>IFERROR(1/J141*(Y141/H141),"0")</f>
        <v>4.9450549450549455E-2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24">
        <v>4680115882584</v>
      </c>
      <c r="E142" s="625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6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2"/>
      <c r="R142" s="622"/>
      <c r="S142" s="622"/>
      <c r="T142" s="623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32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7" t="s">
        <v>69</v>
      </c>
      <c r="Q143" s="638"/>
      <c r="R143" s="638"/>
      <c r="S143" s="638"/>
      <c r="T143" s="638"/>
      <c r="U143" s="638"/>
      <c r="V143" s="639"/>
      <c r="W143" s="37" t="s">
        <v>70</v>
      </c>
      <c r="X143" s="619">
        <f>IFERROR(X141/H141,"0")+IFERROR(X142/H142,"0")</f>
        <v>8.3333333333333321</v>
      </c>
      <c r="Y143" s="619">
        <f>IFERROR(Y141/H141,"0")+IFERROR(Y142/H142,"0")</f>
        <v>9</v>
      </c>
      <c r="Z143" s="619">
        <f>IFERROR(IF(Z141="",0,Z141),"0")+IFERROR(IF(Z142="",0,Z142),"0")</f>
        <v>5.8590000000000003E-2</v>
      </c>
      <c r="AA143" s="620"/>
      <c r="AB143" s="620"/>
      <c r="AC143" s="620"/>
    </row>
    <row r="144" spans="1:68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7" t="s">
        <v>69</v>
      </c>
      <c r="Q144" s="638"/>
      <c r="R144" s="638"/>
      <c r="S144" s="638"/>
      <c r="T144" s="638"/>
      <c r="U144" s="638"/>
      <c r="V144" s="639"/>
      <c r="W144" s="37" t="s">
        <v>67</v>
      </c>
      <c r="X144" s="619">
        <f>IFERROR(SUM(X141:X142),"0")</f>
        <v>22</v>
      </c>
      <c r="Y144" s="619">
        <f>IFERROR(SUM(Y141:Y142),"0")</f>
        <v>23.76</v>
      </c>
      <c r="Z144" s="37"/>
      <c r="AA144" s="620"/>
      <c r="AB144" s="620"/>
      <c r="AC144" s="620"/>
    </row>
    <row r="145" spans="1:68" ht="16.5" hidden="1" customHeight="1" x14ac:dyDescent="0.25">
      <c r="A145" s="642" t="s">
        <v>250</v>
      </c>
      <c r="B145" s="633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  <c r="S145" s="633"/>
      <c r="T145" s="633"/>
      <c r="U145" s="633"/>
      <c r="V145" s="633"/>
      <c r="W145" s="633"/>
      <c r="X145" s="633"/>
      <c r="Y145" s="633"/>
      <c r="Z145" s="633"/>
      <c r="AA145" s="611"/>
      <c r="AB145" s="611"/>
      <c r="AC145" s="611"/>
    </row>
    <row r="146" spans="1:68" ht="14.25" hidden="1" customHeight="1" x14ac:dyDescent="0.25">
      <c r="A146" s="636" t="s">
        <v>71</v>
      </c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  <c r="AA146" s="612"/>
      <c r="AB146" s="612"/>
      <c r="AC146" s="612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24">
        <v>4680115888203</v>
      </c>
      <c r="E147" s="625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2"/>
      <c r="R147" s="622"/>
      <c r="S147" s="622"/>
      <c r="T147" s="623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24">
        <v>4680115888180</v>
      </c>
      <c r="E148" s="625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1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24">
        <v>4680115888197</v>
      </c>
      <c r="E149" s="625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3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24">
        <v>4680115888210</v>
      </c>
      <c r="E150" s="625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2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7" t="s">
        <v>69</v>
      </c>
      <c r="Q151" s="638"/>
      <c r="R151" s="638"/>
      <c r="S151" s="638"/>
      <c r="T151" s="638"/>
      <c r="U151" s="638"/>
      <c r="V151" s="639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7" t="s">
        <v>69</v>
      </c>
      <c r="Q152" s="638"/>
      <c r="R152" s="638"/>
      <c r="S152" s="638"/>
      <c r="T152" s="638"/>
      <c r="U152" s="638"/>
      <c r="V152" s="639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6" t="s">
        <v>263</v>
      </c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  <c r="S153" s="633"/>
      <c r="T153" s="633"/>
      <c r="U153" s="633"/>
      <c r="V153" s="633"/>
      <c r="W153" s="633"/>
      <c r="X153" s="633"/>
      <c r="Y153" s="633"/>
      <c r="Z153" s="633"/>
      <c r="AA153" s="612"/>
      <c r="AB153" s="612"/>
      <c r="AC153" s="612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24">
        <v>4680115889132</v>
      </c>
      <c r="E154" s="625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3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2"/>
      <c r="R154" s="622"/>
      <c r="S154" s="622"/>
      <c r="T154" s="623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2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7" t="s">
        <v>69</v>
      </c>
      <c r="Q155" s="638"/>
      <c r="R155" s="638"/>
      <c r="S155" s="638"/>
      <c r="T155" s="638"/>
      <c r="U155" s="638"/>
      <c r="V155" s="639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7" t="s">
        <v>69</v>
      </c>
      <c r="Q156" s="638"/>
      <c r="R156" s="638"/>
      <c r="S156" s="638"/>
      <c r="T156" s="638"/>
      <c r="U156" s="638"/>
      <c r="V156" s="639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42" t="s">
        <v>106</v>
      </c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  <c r="S157" s="633"/>
      <c r="T157" s="633"/>
      <c r="U157" s="633"/>
      <c r="V157" s="633"/>
      <c r="W157" s="633"/>
      <c r="X157" s="633"/>
      <c r="Y157" s="633"/>
      <c r="Z157" s="633"/>
      <c r="AA157" s="611"/>
      <c r="AB157" s="611"/>
      <c r="AC157" s="611"/>
    </row>
    <row r="158" spans="1:68" ht="14.25" hidden="1" customHeight="1" x14ac:dyDescent="0.25">
      <c r="A158" s="636" t="s">
        <v>108</v>
      </c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  <c r="S158" s="633"/>
      <c r="T158" s="633"/>
      <c r="U158" s="633"/>
      <c r="V158" s="633"/>
      <c r="W158" s="633"/>
      <c r="X158" s="633"/>
      <c r="Y158" s="633"/>
      <c r="Z158" s="633"/>
      <c r="AA158" s="612"/>
      <c r="AB158" s="612"/>
      <c r="AC158" s="612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24">
        <v>4680115887374</v>
      </c>
      <c r="E159" s="625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2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2"/>
      <c r="R159" s="622"/>
      <c r="S159" s="622"/>
      <c r="T159" s="623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24">
        <v>4607091384604</v>
      </c>
      <c r="E160" s="625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9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2"/>
      <c r="R160" s="622"/>
      <c r="S160" s="622"/>
      <c r="T160" s="623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24">
        <v>4607091384604</v>
      </c>
      <c r="E161" s="625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31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2"/>
      <c r="R161" s="622"/>
      <c r="S161" s="622"/>
      <c r="T161" s="623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24">
        <v>4680115888876</v>
      </c>
      <c r="E162" s="625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7" t="s">
        <v>69</v>
      </c>
      <c r="Q163" s="638"/>
      <c r="R163" s="638"/>
      <c r="S163" s="638"/>
      <c r="T163" s="638"/>
      <c r="U163" s="638"/>
      <c r="V163" s="639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7" t="s">
        <v>69</v>
      </c>
      <c r="Q164" s="638"/>
      <c r="R164" s="638"/>
      <c r="S164" s="638"/>
      <c r="T164" s="638"/>
      <c r="U164" s="638"/>
      <c r="V164" s="639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6" t="s">
        <v>143</v>
      </c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  <c r="S165" s="633"/>
      <c r="T165" s="633"/>
      <c r="U165" s="633"/>
      <c r="V165" s="633"/>
      <c r="W165" s="633"/>
      <c r="X165" s="633"/>
      <c r="Y165" s="633"/>
      <c r="Z165" s="633"/>
      <c r="AA165" s="612"/>
      <c r="AB165" s="612"/>
      <c r="AC165" s="612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24">
        <v>4680115887695</v>
      </c>
      <c r="E166" s="625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2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24">
        <v>4680115889491</v>
      </c>
      <c r="E167" s="625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2"/>
      <c r="R167" s="622"/>
      <c r="S167" s="622"/>
      <c r="T167" s="623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2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7" t="s">
        <v>69</v>
      </c>
      <c r="Q168" s="638"/>
      <c r="R168" s="638"/>
      <c r="S168" s="638"/>
      <c r="T168" s="638"/>
      <c r="U168" s="638"/>
      <c r="V168" s="639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7" t="s">
        <v>69</v>
      </c>
      <c r="Q169" s="638"/>
      <c r="R169" s="638"/>
      <c r="S169" s="638"/>
      <c r="T169" s="638"/>
      <c r="U169" s="638"/>
      <c r="V169" s="639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6" t="s">
        <v>62</v>
      </c>
      <c r="B170" s="633"/>
      <c r="C170" s="633"/>
      <c r="D170" s="633"/>
      <c r="E170" s="633"/>
      <c r="F170" s="633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  <c r="S170" s="633"/>
      <c r="T170" s="633"/>
      <c r="U170" s="633"/>
      <c r="V170" s="633"/>
      <c r="W170" s="633"/>
      <c r="X170" s="633"/>
      <c r="Y170" s="633"/>
      <c r="Z170" s="633"/>
      <c r="AA170" s="612"/>
      <c r="AB170" s="612"/>
      <c r="AC170" s="612"/>
    </row>
    <row r="171" spans="1:68" ht="27" hidden="1" customHeight="1" x14ac:dyDescent="0.25">
      <c r="A171" s="54" t="s">
        <v>286</v>
      </c>
      <c r="B171" s="54" t="s">
        <v>287</v>
      </c>
      <c r="C171" s="31">
        <v>4301031496</v>
      </c>
      <c r="D171" s="624">
        <v>4680115887428</v>
      </c>
      <c r="E171" s="625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70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7">
        <v>0</v>
      </c>
      <c r="Y171" s="618">
        <f t="shared" ref="Y171:Y180" si="15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0</v>
      </c>
      <c r="BN171" s="64">
        <f t="shared" ref="BN171:BN180" si="17">IFERROR(Y171*I171/H171,"0")</f>
        <v>0</v>
      </c>
      <c r="BO171" s="64">
        <f t="shared" ref="BO171:BO180" si="18">IFERROR(1/J171*(X171/H171),"0")</f>
        <v>0</v>
      </c>
      <c r="BP171" s="64">
        <f t="shared" ref="BP171:BP180" si="19">IFERROR(1/J171*(Y171/H171),"0")</f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24">
        <v>4680115889170</v>
      </c>
      <c r="E172" s="625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4301031522</v>
      </c>
      <c r="D173" s="624">
        <v>4680115887398</v>
      </c>
      <c r="E173" s="625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8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7">
        <v>0</v>
      </c>
      <c r="Y173" s="618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4301031520</v>
      </c>
      <c r="D174" s="624">
        <v>4680115887336</v>
      </c>
      <c r="E174" s="625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3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7">
        <v>187</v>
      </c>
      <c r="Y174" s="618">
        <f t="shared" si="15"/>
        <v>189</v>
      </c>
      <c r="Z174" s="36">
        <f>IFERROR(IF(Y174=0,"",ROUNDUP(Y174/H174,0)*0.00902),"")</f>
        <v>0.48708000000000001</v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197.15142857142857</v>
      </c>
      <c r="BN174" s="64">
        <f t="shared" si="17"/>
        <v>199.26</v>
      </c>
      <c r="BO174" s="64">
        <f t="shared" si="18"/>
        <v>0.40476190476190477</v>
      </c>
      <c r="BP174" s="64">
        <f t="shared" si="19"/>
        <v>0.40909090909090912</v>
      </c>
    </row>
    <row r="175" spans="1:68" ht="16.5" hidden="1" customHeight="1" x14ac:dyDescent="0.25">
      <c r="A175" s="54" t="s">
        <v>298</v>
      </c>
      <c r="B175" s="54" t="s">
        <v>299</v>
      </c>
      <c r="C175" s="31">
        <v>4301031528</v>
      </c>
      <c r="D175" s="624">
        <v>4680115887787</v>
      </c>
      <c r="E175" s="625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7">
        <v>0</v>
      </c>
      <c r="Y175" s="618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24">
        <v>4680115887503</v>
      </c>
      <c r="E176" s="625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9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7">
        <v>38</v>
      </c>
      <c r="Y176" s="618">
        <f t="shared" si="15"/>
        <v>38.64</v>
      </c>
      <c r="Z176" s="36">
        <f>IFERROR(IF(Y176=0,"",ROUNDUP(Y176/H176,0)*0.00502),"")</f>
        <v>0.11546000000000001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40.261904761904766</v>
      </c>
      <c r="BN176" s="64">
        <f t="shared" si="17"/>
        <v>40.940000000000005</v>
      </c>
      <c r="BO176" s="64">
        <f t="shared" si="18"/>
        <v>9.6662596662596675E-2</v>
      </c>
      <c r="BP176" s="64">
        <f t="shared" si="19"/>
        <v>9.8290598290598302E-2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24">
        <v>4680115887763</v>
      </c>
      <c r="E177" s="625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5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306</v>
      </c>
      <c r="B178" s="54" t="s">
        <v>307</v>
      </c>
      <c r="C178" s="31">
        <v>4301031521</v>
      </c>
      <c r="D178" s="624">
        <v>4680115887480</v>
      </c>
      <c r="E178" s="625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2"/>
      <c r="R178" s="622"/>
      <c r="S178" s="622"/>
      <c r="T178" s="623"/>
      <c r="U178" s="34"/>
      <c r="V178" s="34"/>
      <c r="W178" s="35" t="s">
        <v>67</v>
      </c>
      <c r="X178" s="617">
        <v>0</v>
      </c>
      <c r="Y178" s="618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24">
        <v>4680115888067</v>
      </c>
      <c r="E179" s="625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2"/>
      <c r="R179" s="622"/>
      <c r="S179" s="622"/>
      <c r="T179" s="623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311</v>
      </c>
      <c r="B180" s="54" t="s">
        <v>312</v>
      </c>
      <c r="C180" s="31">
        <v>4301031519</v>
      </c>
      <c r="D180" s="624">
        <v>4680115887435</v>
      </c>
      <c r="E180" s="625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6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2"/>
      <c r="R180" s="622"/>
      <c r="S180" s="622"/>
      <c r="T180" s="623"/>
      <c r="U180" s="34"/>
      <c r="V180" s="34"/>
      <c r="W180" s="35" t="s">
        <v>67</v>
      </c>
      <c r="X180" s="617">
        <v>0</v>
      </c>
      <c r="Y180" s="618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32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7" t="s">
        <v>69</v>
      </c>
      <c r="Q181" s="638"/>
      <c r="R181" s="638"/>
      <c r="S181" s="638"/>
      <c r="T181" s="638"/>
      <c r="U181" s="638"/>
      <c r="V181" s="639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76.047619047619051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77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0.60254000000000008</v>
      </c>
      <c r="AA181" s="620"/>
      <c r="AB181" s="620"/>
      <c r="AC181" s="620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7" t="s">
        <v>69</v>
      </c>
      <c r="Q182" s="638"/>
      <c r="R182" s="638"/>
      <c r="S182" s="638"/>
      <c r="T182" s="638"/>
      <c r="U182" s="638"/>
      <c r="V182" s="639"/>
      <c r="W182" s="37" t="s">
        <v>67</v>
      </c>
      <c r="X182" s="619">
        <f>IFERROR(SUM(X171:X180),"0")</f>
        <v>225</v>
      </c>
      <c r="Y182" s="619">
        <f>IFERROR(SUM(Y171:Y180),"0")</f>
        <v>227.64</v>
      </c>
      <c r="Z182" s="37"/>
      <c r="AA182" s="620"/>
      <c r="AB182" s="620"/>
      <c r="AC182" s="620"/>
    </row>
    <row r="183" spans="1:68" ht="14.25" hidden="1" customHeight="1" x14ac:dyDescent="0.25">
      <c r="A183" s="636" t="s">
        <v>71</v>
      </c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  <c r="X183" s="633"/>
      <c r="Y183" s="633"/>
      <c r="Z183" s="633"/>
      <c r="AA183" s="612"/>
      <c r="AB183" s="612"/>
      <c r="AC183" s="612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24">
        <v>4680115888395</v>
      </c>
      <c r="E184" s="625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70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2"/>
      <c r="R184" s="622"/>
      <c r="S184" s="622"/>
      <c r="T184" s="623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24">
        <v>4680115888371</v>
      </c>
      <c r="E185" s="625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80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2"/>
      <c r="R185" s="622"/>
      <c r="S185" s="622"/>
      <c r="T185" s="623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2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7" t="s">
        <v>69</v>
      </c>
      <c r="Q186" s="638"/>
      <c r="R186" s="638"/>
      <c r="S186" s="638"/>
      <c r="T186" s="638"/>
      <c r="U186" s="638"/>
      <c r="V186" s="639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7" t="s">
        <v>69</v>
      </c>
      <c r="Q187" s="638"/>
      <c r="R187" s="638"/>
      <c r="S187" s="638"/>
      <c r="T187" s="638"/>
      <c r="U187" s="638"/>
      <c r="V187" s="639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6" t="s">
        <v>263</v>
      </c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  <c r="S188" s="633"/>
      <c r="T188" s="633"/>
      <c r="U188" s="633"/>
      <c r="V188" s="633"/>
      <c r="W188" s="633"/>
      <c r="X188" s="633"/>
      <c r="Y188" s="633"/>
      <c r="Z188" s="633"/>
      <c r="AA188" s="612"/>
      <c r="AB188" s="612"/>
      <c r="AC188" s="612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24">
        <v>4680115889026</v>
      </c>
      <c r="E189" s="625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73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2"/>
      <c r="R189" s="622"/>
      <c r="S189" s="622"/>
      <c r="T189" s="623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2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7" t="s">
        <v>69</v>
      </c>
      <c r="Q190" s="638"/>
      <c r="R190" s="638"/>
      <c r="S190" s="638"/>
      <c r="T190" s="638"/>
      <c r="U190" s="638"/>
      <c r="V190" s="639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7" t="s">
        <v>69</v>
      </c>
      <c r="Q191" s="638"/>
      <c r="R191" s="638"/>
      <c r="S191" s="638"/>
      <c r="T191" s="638"/>
      <c r="U191" s="638"/>
      <c r="V191" s="639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6" t="s">
        <v>323</v>
      </c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  <c r="S192" s="633"/>
      <c r="T192" s="633"/>
      <c r="U192" s="633"/>
      <c r="V192" s="633"/>
      <c r="W192" s="633"/>
      <c r="X192" s="633"/>
      <c r="Y192" s="633"/>
      <c r="Z192" s="633"/>
      <c r="AA192" s="612"/>
      <c r="AB192" s="612"/>
      <c r="AC192" s="612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24">
        <v>4680115889033</v>
      </c>
      <c r="E193" s="625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5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2"/>
      <c r="R193" s="622"/>
      <c r="S193" s="622"/>
      <c r="T193" s="623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2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7" t="s">
        <v>69</v>
      </c>
      <c r="Q194" s="638"/>
      <c r="R194" s="638"/>
      <c r="S194" s="638"/>
      <c r="T194" s="638"/>
      <c r="U194" s="638"/>
      <c r="V194" s="639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7" t="s">
        <v>69</v>
      </c>
      <c r="Q195" s="638"/>
      <c r="R195" s="638"/>
      <c r="S195" s="638"/>
      <c r="T195" s="638"/>
      <c r="U195" s="638"/>
      <c r="V195" s="639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96" t="s">
        <v>327</v>
      </c>
      <c r="B196" s="797"/>
      <c r="C196" s="797"/>
      <c r="D196" s="797"/>
      <c r="E196" s="797"/>
      <c r="F196" s="797"/>
      <c r="G196" s="797"/>
      <c r="H196" s="797"/>
      <c r="I196" s="797"/>
      <c r="J196" s="797"/>
      <c r="K196" s="797"/>
      <c r="L196" s="797"/>
      <c r="M196" s="797"/>
      <c r="N196" s="797"/>
      <c r="O196" s="797"/>
      <c r="P196" s="797"/>
      <c r="Q196" s="797"/>
      <c r="R196" s="797"/>
      <c r="S196" s="797"/>
      <c r="T196" s="797"/>
      <c r="U196" s="797"/>
      <c r="V196" s="797"/>
      <c r="W196" s="797"/>
      <c r="X196" s="797"/>
      <c r="Y196" s="797"/>
      <c r="Z196" s="797"/>
      <c r="AA196" s="48"/>
      <c r="AB196" s="48"/>
      <c r="AC196" s="48"/>
    </row>
    <row r="197" spans="1:68" ht="16.5" hidden="1" customHeight="1" x14ac:dyDescent="0.25">
      <c r="A197" s="642" t="s">
        <v>328</v>
      </c>
      <c r="B197" s="633"/>
      <c r="C197" s="633"/>
      <c r="D197" s="633"/>
      <c r="E197" s="633"/>
      <c r="F197" s="633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  <c r="S197" s="633"/>
      <c r="T197" s="633"/>
      <c r="U197" s="633"/>
      <c r="V197" s="633"/>
      <c r="W197" s="633"/>
      <c r="X197" s="633"/>
      <c r="Y197" s="633"/>
      <c r="Z197" s="633"/>
      <c r="AA197" s="611"/>
      <c r="AB197" s="611"/>
      <c r="AC197" s="611"/>
    </row>
    <row r="198" spans="1:68" ht="14.25" hidden="1" customHeight="1" x14ac:dyDescent="0.25">
      <c r="A198" s="636" t="s">
        <v>108</v>
      </c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  <c r="S198" s="633"/>
      <c r="T198" s="633"/>
      <c r="U198" s="633"/>
      <c r="V198" s="633"/>
      <c r="W198" s="633"/>
      <c r="X198" s="633"/>
      <c r="Y198" s="633"/>
      <c r="Z198" s="633"/>
      <c r="AA198" s="612"/>
      <c r="AB198" s="612"/>
      <c r="AC198" s="612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24">
        <v>4607091383423</v>
      </c>
      <c r="E199" s="625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2"/>
      <c r="R199" s="622"/>
      <c r="S199" s="622"/>
      <c r="T199" s="623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24">
        <v>4680115888760</v>
      </c>
      <c r="E200" s="625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6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24">
        <v>4680115888807</v>
      </c>
      <c r="E201" s="625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24">
        <v>4680115888852</v>
      </c>
      <c r="E202" s="625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7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24">
        <v>4680115886957</v>
      </c>
      <c r="E203" s="625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80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24">
        <v>4680115885660</v>
      </c>
      <c r="E204" s="625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24">
        <v>4680115886773</v>
      </c>
      <c r="E205" s="625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2"/>
      <c r="R205" s="622"/>
      <c r="S205" s="622"/>
      <c r="T205" s="623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2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7" t="s">
        <v>69</v>
      </c>
      <c r="Q206" s="638"/>
      <c r="R206" s="638"/>
      <c r="S206" s="638"/>
      <c r="T206" s="638"/>
      <c r="U206" s="638"/>
      <c r="V206" s="639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7" t="s">
        <v>69</v>
      </c>
      <c r="Q207" s="638"/>
      <c r="R207" s="638"/>
      <c r="S207" s="638"/>
      <c r="T207" s="638"/>
      <c r="U207" s="638"/>
      <c r="V207" s="639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42" t="s">
        <v>349</v>
      </c>
      <c r="B208" s="633"/>
      <c r="C208" s="633"/>
      <c r="D208" s="633"/>
      <c r="E208" s="633"/>
      <c r="F208" s="633"/>
      <c r="G208" s="633"/>
      <c r="H208" s="633"/>
      <c r="I208" s="633"/>
      <c r="J208" s="633"/>
      <c r="K208" s="633"/>
      <c r="L208" s="633"/>
      <c r="M208" s="633"/>
      <c r="N208" s="633"/>
      <c r="O208" s="633"/>
      <c r="P208" s="633"/>
      <c r="Q208" s="633"/>
      <c r="R208" s="633"/>
      <c r="S208" s="633"/>
      <c r="T208" s="633"/>
      <c r="U208" s="633"/>
      <c r="V208" s="633"/>
      <c r="W208" s="633"/>
      <c r="X208" s="633"/>
      <c r="Y208" s="633"/>
      <c r="Z208" s="633"/>
      <c r="AA208" s="611"/>
      <c r="AB208" s="611"/>
      <c r="AC208" s="611"/>
    </row>
    <row r="209" spans="1:68" ht="14.25" hidden="1" customHeight="1" x14ac:dyDescent="0.25">
      <c r="A209" s="636" t="s">
        <v>143</v>
      </c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3"/>
      <c r="P209" s="633"/>
      <c r="Q209" s="633"/>
      <c r="R209" s="633"/>
      <c r="S209" s="633"/>
      <c r="T209" s="633"/>
      <c r="U209" s="633"/>
      <c r="V209" s="633"/>
      <c r="W209" s="633"/>
      <c r="X209" s="633"/>
      <c r="Y209" s="633"/>
      <c r="Z209" s="633"/>
      <c r="AA209" s="612"/>
      <c r="AB209" s="612"/>
      <c r="AC209" s="612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24">
        <v>4680115886223</v>
      </c>
      <c r="E210" s="625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80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2"/>
      <c r="R210" s="622"/>
      <c r="S210" s="622"/>
      <c r="T210" s="623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2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7" t="s">
        <v>69</v>
      </c>
      <c r="Q211" s="638"/>
      <c r="R211" s="638"/>
      <c r="S211" s="638"/>
      <c r="T211" s="638"/>
      <c r="U211" s="638"/>
      <c r="V211" s="639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7" t="s">
        <v>69</v>
      </c>
      <c r="Q212" s="638"/>
      <c r="R212" s="638"/>
      <c r="S212" s="638"/>
      <c r="T212" s="638"/>
      <c r="U212" s="638"/>
      <c r="V212" s="639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6" t="s">
        <v>62</v>
      </c>
      <c r="B213" s="633"/>
      <c r="C213" s="633"/>
      <c r="D213" s="633"/>
      <c r="E213" s="633"/>
      <c r="F213" s="633"/>
      <c r="G213" s="633"/>
      <c r="H213" s="633"/>
      <c r="I213" s="633"/>
      <c r="J213" s="633"/>
      <c r="K213" s="633"/>
      <c r="L213" s="633"/>
      <c r="M213" s="633"/>
      <c r="N213" s="633"/>
      <c r="O213" s="633"/>
      <c r="P213" s="633"/>
      <c r="Q213" s="633"/>
      <c r="R213" s="633"/>
      <c r="S213" s="633"/>
      <c r="T213" s="633"/>
      <c r="U213" s="633"/>
      <c r="V213" s="633"/>
      <c r="W213" s="633"/>
      <c r="X213" s="633"/>
      <c r="Y213" s="633"/>
      <c r="Z213" s="633"/>
      <c r="AA213" s="612"/>
      <c r="AB213" s="612"/>
      <c r="AC213" s="612"/>
    </row>
    <row r="214" spans="1:68" ht="27" customHeight="1" x14ac:dyDescent="0.25">
      <c r="A214" s="54" t="s">
        <v>353</v>
      </c>
      <c r="B214" s="54" t="s">
        <v>354</v>
      </c>
      <c r="C214" s="31">
        <v>4301031191</v>
      </c>
      <c r="D214" s="624">
        <v>4680115880993</v>
      </c>
      <c r="E214" s="625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2"/>
      <c r="R214" s="622"/>
      <c r="S214" s="622"/>
      <c r="T214" s="623"/>
      <c r="U214" s="34"/>
      <c r="V214" s="34"/>
      <c r="W214" s="35" t="s">
        <v>67</v>
      </c>
      <c r="X214" s="617">
        <v>169</v>
      </c>
      <c r="Y214" s="618">
        <f t="shared" ref="Y214:Y226" si="26">IFERROR(IF(X214="",0,CEILING((X214/$H214),1)*$H214),"")</f>
        <v>172.20000000000002</v>
      </c>
      <c r="Z214" s="36">
        <f>IFERROR(IF(Y214=0,"",ROUNDUP(Y214/H214,0)*0.00902),"")</f>
        <v>0.36982000000000004</v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179.05952380952382</v>
      </c>
      <c r="BN214" s="64">
        <f t="shared" ref="BN214:BN226" si="28">IFERROR(Y214*I214/H214,"0")</f>
        <v>182.45000000000002</v>
      </c>
      <c r="BO214" s="64">
        <f t="shared" ref="BO214:BO226" si="29">IFERROR(1/J214*(X214/H214),"0")</f>
        <v>0.30483405483405479</v>
      </c>
      <c r="BP214" s="64">
        <f t="shared" ref="BP214:BP226" si="30">IFERROR(1/J214*(Y214/H214),"0")</f>
        <v>0.31060606060606061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24">
        <v>4680115881761</v>
      </c>
      <c r="E215" s="625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7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359</v>
      </c>
      <c r="B216" s="54" t="s">
        <v>360</v>
      </c>
      <c r="C216" s="31">
        <v>4301031201</v>
      </c>
      <c r="D216" s="624">
        <v>4680115881563</v>
      </c>
      <c r="E216" s="625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81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2"/>
      <c r="R216" s="622"/>
      <c r="S216" s="622"/>
      <c r="T216" s="623"/>
      <c r="U216" s="34"/>
      <c r="V216" s="34"/>
      <c r="W216" s="35" t="s">
        <v>67</v>
      </c>
      <c r="X216" s="617">
        <v>190</v>
      </c>
      <c r="Y216" s="618">
        <f t="shared" si="26"/>
        <v>193.20000000000002</v>
      </c>
      <c r="Z216" s="36">
        <f>IFERROR(IF(Y216=0,"",ROUNDUP(Y216/H216,0)*0.00902),"")</f>
        <v>0.41492000000000001</v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198.59523809523807</v>
      </c>
      <c r="BN216" s="64">
        <f t="shared" si="28"/>
        <v>201.94</v>
      </c>
      <c r="BO216" s="64">
        <f t="shared" si="29"/>
        <v>0.34271284271284269</v>
      </c>
      <c r="BP216" s="64">
        <f t="shared" si="30"/>
        <v>0.34848484848484851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24">
        <v>4680115887565</v>
      </c>
      <c r="E217" s="625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2"/>
      <c r="R217" s="622"/>
      <c r="S217" s="622"/>
      <c r="T217" s="623"/>
      <c r="U217" s="34"/>
      <c r="V217" s="34"/>
      <c r="W217" s="35" t="s">
        <v>67</v>
      </c>
      <c r="X217" s="617">
        <v>7</v>
      </c>
      <c r="Y217" s="618">
        <f t="shared" si="26"/>
        <v>7.2</v>
      </c>
      <c r="Z217" s="36">
        <f>IFERROR(IF(Y217=0,"",ROUNDUP(Y217/H217,0)*0.00556),"")</f>
        <v>5.0040000000000001E-2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8.1375000000000011</v>
      </c>
      <c r="BN217" s="64">
        <f t="shared" si="28"/>
        <v>8.370000000000001</v>
      </c>
      <c r="BO217" s="64">
        <f t="shared" si="29"/>
        <v>3.4722222222222224E-2</v>
      </c>
      <c r="BP217" s="64">
        <f t="shared" si="30"/>
        <v>3.5714285714285712E-2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4301031199</v>
      </c>
      <c r="D218" s="624">
        <v>4680115880986</v>
      </c>
      <c r="E218" s="625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7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2"/>
      <c r="R218" s="622"/>
      <c r="S218" s="622"/>
      <c r="T218" s="623"/>
      <c r="U218" s="34"/>
      <c r="V218" s="34"/>
      <c r="W218" s="35" t="s">
        <v>67</v>
      </c>
      <c r="X218" s="617">
        <v>0</v>
      </c>
      <c r="Y218" s="618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24">
        <v>4680115887213</v>
      </c>
      <c r="E219" s="625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9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2"/>
      <c r="R219" s="622"/>
      <c r="S219" s="622"/>
      <c r="T219" s="623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24">
        <v>4680115881785</v>
      </c>
      <c r="E220" s="625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2"/>
      <c r="R220" s="622"/>
      <c r="S220" s="622"/>
      <c r="T220" s="623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24">
        <v>4680115888432</v>
      </c>
      <c r="E221" s="625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7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4301031503</v>
      </c>
      <c r="D222" s="624">
        <v>4680115886537</v>
      </c>
      <c r="E222" s="625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6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7">
        <v>0</v>
      </c>
      <c r="Y222" s="618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378</v>
      </c>
      <c r="B223" s="54" t="s">
        <v>379</v>
      </c>
      <c r="C223" s="31">
        <v>4301031279</v>
      </c>
      <c r="D223" s="624">
        <v>4680115887596</v>
      </c>
      <c r="E223" s="625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7">
        <v>0</v>
      </c>
      <c r="Y223" s="618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customHeight="1" x14ac:dyDescent="0.25">
      <c r="A224" s="54" t="s">
        <v>381</v>
      </c>
      <c r="B224" s="54" t="s">
        <v>382</v>
      </c>
      <c r="C224" s="31">
        <v>4301031530</v>
      </c>
      <c r="D224" s="624">
        <v>4680115881679</v>
      </c>
      <c r="E224" s="625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78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2"/>
      <c r="R224" s="622"/>
      <c r="S224" s="622"/>
      <c r="T224" s="623"/>
      <c r="U224" s="34"/>
      <c r="V224" s="34"/>
      <c r="W224" s="35" t="s">
        <v>67</v>
      </c>
      <c r="X224" s="617">
        <v>108</v>
      </c>
      <c r="Y224" s="618">
        <f t="shared" si="26"/>
        <v>109.2</v>
      </c>
      <c r="Z224" s="36">
        <f>IFERROR(IF(Y224=0,"",ROUNDUP(Y224/H224,0)*0.00502),"")</f>
        <v>0.26103999999999999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113.14285714285715</v>
      </c>
      <c r="BN224" s="64">
        <f t="shared" si="28"/>
        <v>114.40000000000002</v>
      </c>
      <c r="BO224" s="64">
        <f t="shared" si="29"/>
        <v>0.21978021978021978</v>
      </c>
      <c r="BP224" s="64">
        <f t="shared" si="30"/>
        <v>0.22222222222222224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24">
        <v>4680115880191</v>
      </c>
      <c r="E225" s="625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7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2"/>
      <c r="R225" s="622"/>
      <c r="S225" s="622"/>
      <c r="T225" s="623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24">
        <v>4680115883963</v>
      </c>
      <c r="E226" s="625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2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7" t="s">
        <v>69</v>
      </c>
      <c r="Q227" s="638"/>
      <c r="R227" s="638"/>
      <c r="S227" s="638"/>
      <c r="T227" s="638"/>
      <c r="U227" s="638"/>
      <c r="V227" s="639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145.6547619047619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148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1.09582</v>
      </c>
      <c r="AA227" s="620"/>
      <c r="AB227" s="620"/>
      <c r="AC227" s="620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7" t="s">
        <v>69</v>
      </c>
      <c r="Q228" s="638"/>
      <c r="R228" s="638"/>
      <c r="S228" s="638"/>
      <c r="T228" s="638"/>
      <c r="U228" s="638"/>
      <c r="V228" s="639"/>
      <c r="W228" s="37" t="s">
        <v>67</v>
      </c>
      <c r="X228" s="619">
        <f>IFERROR(SUM(X214:X226),"0")</f>
        <v>474</v>
      </c>
      <c r="Y228" s="619">
        <f>IFERROR(SUM(Y214:Y226),"0")</f>
        <v>481.8</v>
      </c>
      <c r="Z228" s="37"/>
      <c r="AA228" s="620"/>
      <c r="AB228" s="620"/>
      <c r="AC228" s="620"/>
    </row>
    <row r="229" spans="1:68" ht="14.25" hidden="1" customHeight="1" x14ac:dyDescent="0.25">
      <c r="A229" s="636" t="s">
        <v>71</v>
      </c>
      <c r="B229" s="633"/>
      <c r="C229" s="633"/>
      <c r="D229" s="633"/>
      <c r="E229" s="633"/>
      <c r="F229" s="633"/>
      <c r="G229" s="633"/>
      <c r="H229" s="633"/>
      <c r="I229" s="633"/>
      <c r="J229" s="633"/>
      <c r="K229" s="633"/>
      <c r="L229" s="633"/>
      <c r="M229" s="633"/>
      <c r="N229" s="633"/>
      <c r="O229" s="633"/>
      <c r="P229" s="633"/>
      <c r="Q229" s="633"/>
      <c r="R229" s="633"/>
      <c r="S229" s="633"/>
      <c r="T229" s="633"/>
      <c r="U229" s="633"/>
      <c r="V229" s="633"/>
      <c r="W229" s="633"/>
      <c r="X229" s="633"/>
      <c r="Y229" s="633"/>
      <c r="Z229" s="633"/>
      <c r="AA229" s="612"/>
      <c r="AB229" s="612"/>
      <c r="AC229" s="612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24">
        <v>4680115888692</v>
      </c>
      <c r="E230" s="625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24">
        <v>4680115888722</v>
      </c>
      <c r="E231" s="625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24">
        <v>4680115888951</v>
      </c>
      <c r="E232" s="625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5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24">
        <v>4680115888975</v>
      </c>
      <c r="E233" s="625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24">
        <v>4680115888982</v>
      </c>
      <c r="E234" s="625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9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7" t="s">
        <v>69</v>
      </c>
      <c r="Q235" s="638"/>
      <c r="R235" s="638"/>
      <c r="S235" s="638"/>
      <c r="T235" s="638"/>
      <c r="U235" s="638"/>
      <c r="V235" s="639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7" t="s">
        <v>69</v>
      </c>
      <c r="Q236" s="638"/>
      <c r="R236" s="638"/>
      <c r="S236" s="638"/>
      <c r="T236" s="638"/>
      <c r="U236" s="638"/>
      <c r="V236" s="639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6" t="s">
        <v>263</v>
      </c>
      <c r="B237" s="633"/>
      <c r="C237" s="633"/>
      <c r="D237" s="633"/>
      <c r="E237" s="633"/>
      <c r="F237" s="633"/>
      <c r="G237" s="633"/>
      <c r="H237" s="633"/>
      <c r="I237" s="633"/>
      <c r="J237" s="633"/>
      <c r="K237" s="633"/>
      <c r="L237" s="633"/>
      <c r="M237" s="633"/>
      <c r="N237" s="633"/>
      <c r="O237" s="633"/>
      <c r="P237" s="633"/>
      <c r="Q237" s="633"/>
      <c r="R237" s="633"/>
      <c r="S237" s="633"/>
      <c r="T237" s="633"/>
      <c r="U237" s="633"/>
      <c r="V237" s="633"/>
      <c r="W237" s="633"/>
      <c r="X237" s="633"/>
      <c r="Y237" s="633"/>
      <c r="Z237" s="633"/>
      <c r="AA237" s="612"/>
      <c r="AB237" s="612"/>
      <c r="AC237" s="612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24">
        <v>4680115886780</v>
      </c>
      <c r="E238" s="625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404</v>
      </c>
      <c r="B239" s="54" t="s">
        <v>405</v>
      </c>
      <c r="C239" s="31">
        <v>4301032051</v>
      </c>
      <c r="D239" s="624">
        <v>4680115886742</v>
      </c>
      <c r="E239" s="625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7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7">
        <v>0</v>
      </c>
      <c r="Y239" s="618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407</v>
      </c>
      <c r="B240" s="54" t="s">
        <v>408</v>
      </c>
      <c r="C240" s="31">
        <v>4301032052</v>
      </c>
      <c r="D240" s="624">
        <v>4680115886766</v>
      </c>
      <c r="E240" s="625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7">
        <v>0</v>
      </c>
      <c r="Y240" s="61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32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7" t="s">
        <v>69</v>
      </c>
      <c r="Q241" s="638"/>
      <c r="R241" s="638"/>
      <c r="S241" s="638"/>
      <c r="T241" s="638"/>
      <c r="U241" s="638"/>
      <c r="V241" s="639"/>
      <c r="W241" s="37" t="s">
        <v>70</v>
      </c>
      <c r="X241" s="619">
        <f>IFERROR(X238/H238,"0")+IFERROR(X239/H239,"0")+IFERROR(X240/H240,"0")</f>
        <v>0</v>
      </c>
      <c r="Y241" s="619">
        <f>IFERROR(Y238/H238,"0")+IFERROR(Y239/H239,"0")+IFERROR(Y240/H240,"0")</f>
        <v>0</v>
      </c>
      <c r="Z241" s="619">
        <f>IFERROR(IF(Z238="",0,Z238),"0")+IFERROR(IF(Z239="",0,Z239),"0")+IFERROR(IF(Z240="",0,Z240),"0")</f>
        <v>0</v>
      </c>
      <c r="AA241" s="620"/>
      <c r="AB241" s="620"/>
      <c r="AC241" s="620"/>
    </row>
    <row r="242" spans="1:68" hidden="1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7" t="s">
        <v>69</v>
      </c>
      <c r="Q242" s="638"/>
      <c r="R242" s="638"/>
      <c r="S242" s="638"/>
      <c r="T242" s="638"/>
      <c r="U242" s="638"/>
      <c r="V242" s="639"/>
      <c r="W242" s="37" t="s">
        <v>67</v>
      </c>
      <c r="X242" s="619">
        <f>IFERROR(SUM(X238:X240),"0")</f>
        <v>0</v>
      </c>
      <c r="Y242" s="619">
        <f>IFERROR(SUM(Y238:Y240),"0")</f>
        <v>0</v>
      </c>
      <c r="Z242" s="37"/>
      <c r="AA242" s="620"/>
      <c r="AB242" s="620"/>
      <c r="AC242" s="620"/>
    </row>
    <row r="243" spans="1:68" ht="14.25" hidden="1" customHeight="1" x14ac:dyDescent="0.25">
      <c r="A243" s="636" t="s">
        <v>409</v>
      </c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3"/>
      <c r="P243" s="633"/>
      <c r="Q243" s="633"/>
      <c r="R243" s="633"/>
      <c r="S243" s="633"/>
      <c r="T243" s="633"/>
      <c r="U243" s="633"/>
      <c r="V243" s="633"/>
      <c r="W243" s="633"/>
      <c r="X243" s="633"/>
      <c r="Y243" s="633"/>
      <c r="Z243" s="633"/>
      <c r="AA243" s="612"/>
      <c r="AB243" s="612"/>
      <c r="AC243" s="612"/>
    </row>
    <row r="244" spans="1:68" ht="27" hidden="1" customHeight="1" x14ac:dyDescent="0.25">
      <c r="A244" s="54" t="s">
        <v>410</v>
      </c>
      <c r="B244" s="54" t="s">
        <v>411</v>
      </c>
      <c r="C244" s="31">
        <v>4301170013</v>
      </c>
      <c r="D244" s="624">
        <v>4680115886797</v>
      </c>
      <c r="E244" s="625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7">
        <v>0</v>
      </c>
      <c r="Y244" s="618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2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7" t="s">
        <v>69</v>
      </c>
      <c r="Q245" s="638"/>
      <c r="R245" s="638"/>
      <c r="S245" s="638"/>
      <c r="T245" s="638"/>
      <c r="U245" s="638"/>
      <c r="V245" s="639"/>
      <c r="W245" s="37" t="s">
        <v>70</v>
      </c>
      <c r="X245" s="619">
        <f>IFERROR(X244/H244,"0")</f>
        <v>0</v>
      </c>
      <c r="Y245" s="619">
        <f>IFERROR(Y244/H244,"0")</f>
        <v>0</v>
      </c>
      <c r="Z245" s="619">
        <f>IFERROR(IF(Z244="",0,Z244),"0")</f>
        <v>0</v>
      </c>
      <c r="AA245" s="620"/>
      <c r="AB245" s="620"/>
      <c r="AC245" s="620"/>
    </row>
    <row r="246" spans="1:68" hidden="1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7" t="s">
        <v>69</v>
      </c>
      <c r="Q246" s="638"/>
      <c r="R246" s="638"/>
      <c r="S246" s="638"/>
      <c r="T246" s="638"/>
      <c r="U246" s="638"/>
      <c r="V246" s="639"/>
      <c r="W246" s="37" t="s">
        <v>67</v>
      </c>
      <c r="X246" s="619">
        <f>IFERROR(SUM(X244:X244),"0")</f>
        <v>0</v>
      </c>
      <c r="Y246" s="619">
        <f>IFERROR(SUM(Y244:Y244),"0")</f>
        <v>0</v>
      </c>
      <c r="Z246" s="37"/>
      <c r="AA246" s="620"/>
      <c r="AB246" s="620"/>
      <c r="AC246" s="620"/>
    </row>
    <row r="247" spans="1:68" ht="16.5" hidden="1" customHeight="1" x14ac:dyDescent="0.25">
      <c r="A247" s="642" t="s">
        <v>412</v>
      </c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3"/>
      <c r="P247" s="633"/>
      <c r="Q247" s="633"/>
      <c r="R247" s="633"/>
      <c r="S247" s="633"/>
      <c r="T247" s="633"/>
      <c r="U247" s="633"/>
      <c r="V247" s="633"/>
      <c r="W247" s="633"/>
      <c r="X247" s="633"/>
      <c r="Y247" s="633"/>
      <c r="Z247" s="633"/>
      <c r="AA247" s="611"/>
      <c r="AB247" s="611"/>
      <c r="AC247" s="611"/>
    </row>
    <row r="248" spans="1:68" ht="14.25" hidden="1" customHeight="1" x14ac:dyDescent="0.25">
      <c r="A248" s="636" t="s">
        <v>108</v>
      </c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633"/>
      <c r="R248" s="633"/>
      <c r="S248" s="633"/>
      <c r="T248" s="633"/>
      <c r="U248" s="633"/>
      <c r="V248" s="633"/>
      <c r="W248" s="633"/>
      <c r="X248" s="633"/>
      <c r="Y248" s="633"/>
      <c r="Z248" s="633"/>
      <c r="AA248" s="612"/>
      <c r="AB248" s="612"/>
      <c r="AC248" s="612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24">
        <v>4680115881402</v>
      </c>
      <c r="E249" s="625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6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24">
        <v>4680115881396</v>
      </c>
      <c r="E250" s="625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3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7" t="s">
        <v>69</v>
      </c>
      <c r="Q251" s="638"/>
      <c r="R251" s="638"/>
      <c r="S251" s="638"/>
      <c r="T251" s="638"/>
      <c r="U251" s="638"/>
      <c r="V251" s="639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7" t="s">
        <v>69</v>
      </c>
      <c r="Q252" s="638"/>
      <c r="R252" s="638"/>
      <c r="S252" s="638"/>
      <c r="T252" s="638"/>
      <c r="U252" s="638"/>
      <c r="V252" s="639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6" t="s">
        <v>143</v>
      </c>
      <c r="B253" s="633"/>
      <c r="C253" s="633"/>
      <c r="D253" s="633"/>
      <c r="E253" s="633"/>
      <c r="F253" s="633"/>
      <c r="G253" s="633"/>
      <c r="H253" s="633"/>
      <c r="I253" s="633"/>
      <c r="J253" s="633"/>
      <c r="K253" s="633"/>
      <c r="L253" s="633"/>
      <c r="M253" s="633"/>
      <c r="N253" s="633"/>
      <c r="O253" s="633"/>
      <c r="P253" s="633"/>
      <c r="Q253" s="633"/>
      <c r="R253" s="633"/>
      <c r="S253" s="633"/>
      <c r="T253" s="633"/>
      <c r="U253" s="633"/>
      <c r="V253" s="633"/>
      <c r="W253" s="633"/>
      <c r="X253" s="633"/>
      <c r="Y253" s="633"/>
      <c r="Z253" s="633"/>
      <c r="AA253" s="612"/>
      <c r="AB253" s="612"/>
      <c r="AC253" s="612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24">
        <v>4680115882935</v>
      </c>
      <c r="E254" s="625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4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24">
        <v>4680115880764</v>
      </c>
      <c r="E255" s="625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7" t="s">
        <v>69</v>
      </c>
      <c r="Q256" s="638"/>
      <c r="R256" s="638"/>
      <c r="S256" s="638"/>
      <c r="T256" s="638"/>
      <c r="U256" s="638"/>
      <c r="V256" s="639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7" t="s">
        <v>69</v>
      </c>
      <c r="Q257" s="638"/>
      <c r="R257" s="638"/>
      <c r="S257" s="638"/>
      <c r="T257" s="638"/>
      <c r="U257" s="638"/>
      <c r="V257" s="639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6" t="s">
        <v>62</v>
      </c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3"/>
      <c r="P258" s="633"/>
      <c r="Q258" s="633"/>
      <c r="R258" s="633"/>
      <c r="S258" s="633"/>
      <c r="T258" s="633"/>
      <c r="U258" s="633"/>
      <c r="V258" s="633"/>
      <c r="W258" s="633"/>
      <c r="X258" s="633"/>
      <c r="Y258" s="633"/>
      <c r="Z258" s="633"/>
      <c r="AA258" s="612"/>
      <c r="AB258" s="612"/>
      <c r="AC258" s="612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24">
        <v>4680115882683</v>
      </c>
      <c r="E259" s="625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1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hidden="1" customHeight="1" x14ac:dyDescent="0.25">
      <c r="A260" s="54" t="s">
        <v>426</v>
      </c>
      <c r="B260" s="54" t="s">
        <v>427</v>
      </c>
      <c r="C260" s="31">
        <v>4301031230</v>
      </c>
      <c r="D260" s="624">
        <v>4680115882690</v>
      </c>
      <c r="E260" s="625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7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7">
        <v>0</v>
      </c>
      <c r="Y260" s="618">
        <f t="shared" si="31"/>
        <v>0</v>
      </c>
      <c r="Z260" s="36" t="str">
        <f>IFERROR(IF(Y260=0,"",ROUNDUP(Y260/H260,0)*0.00902),"")</f>
        <v/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0</v>
      </c>
      <c r="BN260" s="64">
        <f t="shared" si="33"/>
        <v>0</v>
      </c>
      <c r="BO260" s="64">
        <f t="shared" si="34"/>
        <v>0</v>
      </c>
      <c r="BP260" s="64">
        <f t="shared" si="35"/>
        <v>0</v>
      </c>
    </row>
    <row r="261" spans="1:68" ht="27" hidden="1" customHeight="1" x14ac:dyDescent="0.25">
      <c r="A261" s="54" t="s">
        <v>429</v>
      </c>
      <c r="B261" s="54" t="s">
        <v>430</v>
      </c>
      <c r="C261" s="31">
        <v>4301031220</v>
      </c>
      <c r="D261" s="624">
        <v>4680115882669</v>
      </c>
      <c r="E261" s="625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7">
        <v>0</v>
      </c>
      <c r="Y261" s="618">
        <f t="shared" si="31"/>
        <v>0</v>
      </c>
      <c r="Z261" s="36" t="str">
        <f>IFERROR(IF(Y261=0,"",ROUNDUP(Y261/H261,0)*0.00902),"")</f>
        <v/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0</v>
      </c>
      <c r="BN261" s="64">
        <f t="shared" si="33"/>
        <v>0</v>
      </c>
      <c r="BO261" s="64">
        <f t="shared" si="34"/>
        <v>0</v>
      </c>
      <c r="BP261" s="64">
        <f t="shared" si="35"/>
        <v>0</v>
      </c>
    </row>
    <row r="262" spans="1:68" ht="27" customHeight="1" x14ac:dyDescent="0.25">
      <c r="A262" s="54" t="s">
        <v>432</v>
      </c>
      <c r="B262" s="54" t="s">
        <v>433</v>
      </c>
      <c r="C262" s="31">
        <v>4301031221</v>
      </c>
      <c r="D262" s="624">
        <v>4680115882676</v>
      </c>
      <c r="E262" s="625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7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7">
        <v>78</v>
      </c>
      <c r="Y262" s="618">
        <f t="shared" si="31"/>
        <v>81</v>
      </c>
      <c r="Z262" s="36">
        <f>IFERROR(IF(Y262=0,"",ROUNDUP(Y262/H262,0)*0.00902),"")</f>
        <v>0.1353</v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80.74444444444444</v>
      </c>
      <c r="BN262" s="64">
        <f t="shared" si="33"/>
        <v>83.85</v>
      </c>
      <c r="BO262" s="64">
        <f t="shared" si="34"/>
        <v>0.10942760942760942</v>
      </c>
      <c r="BP262" s="64">
        <f t="shared" si="35"/>
        <v>0.11363636363636363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4301031223</v>
      </c>
      <c r="D263" s="624">
        <v>4680115884014</v>
      </c>
      <c r="E263" s="625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7">
        <v>0</v>
      </c>
      <c r="Y263" s="618">
        <f t="shared" si="31"/>
        <v>0</v>
      </c>
      <c r="Z263" s="36" t="str">
        <f>IFERROR(IF(Y263=0,"",ROUNDUP(Y263/H263,0)*0.00502),"")</f>
        <v/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hidden="1" customHeight="1" x14ac:dyDescent="0.25">
      <c r="A264" s="54" t="s">
        <v>437</v>
      </c>
      <c r="B264" s="54" t="s">
        <v>438</v>
      </c>
      <c r="C264" s="31">
        <v>4301031222</v>
      </c>
      <c r="D264" s="624">
        <v>4680115884007</v>
      </c>
      <c r="E264" s="625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4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7">
        <v>0</v>
      </c>
      <c r="Y264" s="618">
        <f t="shared" si="31"/>
        <v>0</v>
      </c>
      <c r="Z264" s="36" t="str">
        <f>IFERROR(IF(Y264=0,"",ROUNDUP(Y264/H264,0)*0.00502),"")</f>
        <v/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0</v>
      </c>
      <c r="BN264" s="64">
        <f t="shared" si="33"/>
        <v>0</v>
      </c>
      <c r="BO264" s="64">
        <f t="shared" si="34"/>
        <v>0</v>
      </c>
      <c r="BP264" s="64">
        <f t="shared" si="35"/>
        <v>0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24">
        <v>4680115884038</v>
      </c>
      <c r="E265" s="625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5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441</v>
      </c>
      <c r="B266" s="54" t="s">
        <v>442</v>
      </c>
      <c r="C266" s="31">
        <v>4301031225</v>
      </c>
      <c r="D266" s="624">
        <v>4680115884021</v>
      </c>
      <c r="E266" s="625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7">
        <v>0</v>
      </c>
      <c r="Y266" s="618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x14ac:dyDescent="0.2">
      <c r="A267" s="632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7" t="s">
        <v>69</v>
      </c>
      <c r="Q267" s="638"/>
      <c r="R267" s="638"/>
      <c r="S267" s="638"/>
      <c r="T267" s="638"/>
      <c r="U267" s="638"/>
      <c r="V267" s="639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14.444444444444443</v>
      </c>
      <c r="Y267" s="619">
        <f>IFERROR(Y259/H259,"0")+IFERROR(Y260/H260,"0")+IFERROR(Y261/H261,"0")+IFERROR(Y262/H262,"0")+IFERROR(Y263/H263,"0")+IFERROR(Y264/H264,"0")+IFERROR(Y265/H265,"0")+IFERROR(Y266/H266,"0")</f>
        <v>14.999999999999998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0.1353</v>
      </c>
      <c r="AA267" s="620"/>
      <c r="AB267" s="620"/>
      <c r="AC267" s="620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7" t="s">
        <v>69</v>
      </c>
      <c r="Q268" s="638"/>
      <c r="R268" s="638"/>
      <c r="S268" s="638"/>
      <c r="T268" s="638"/>
      <c r="U268" s="638"/>
      <c r="V268" s="639"/>
      <c r="W268" s="37" t="s">
        <v>67</v>
      </c>
      <c r="X268" s="619">
        <f>IFERROR(SUM(X259:X266),"0")</f>
        <v>78</v>
      </c>
      <c r="Y268" s="619">
        <f>IFERROR(SUM(Y259:Y266),"0")</f>
        <v>81</v>
      </c>
      <c r="Z268" s="37"/>
      <c r="AA268" s="620"/>
      <c r="AB268" s="620"/>
      <c r="AC268" s="620"/>
    </row>
    <row r="269" spans="1:68" ht="14.25" hidden="1" customHeight="1" x14ac:dyDescent="0.25">
      <c r="A269" s="636" t="s">
        <v>71</v>
      </c>
      <c r="B269" s="633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633"/>
      <c r="T269" s="633"/>
      <c r="U269" s="633"/>
      <c r="V269" s="633"/>
      <c r="W269" s="633"/>
      <c r="X269" s="633"/>
      <c r="Y269" s="633"/>
      <c r="Z269" s="633"/>
      <c r="AA269" s="612"/>
      <c r="AB269" s="612"/>
      <c r="AC269" s="612"/>
    </row>
    <row r="270" spans="1:68" ht="27" hidden="1" customHeight="1" x14ac:dyDescent="0.25">
      <c r="A270" s="54" t="s">
        <v>443</v>
      </c>
      <c r="B270" s="54" t="s">
        <v>444</v>
      </c>
      <c r="C270" s="31">
        <v>4301051408</v>
      </c>
      <c r="D270" s="624">
        <v>4680115881594</v>
      </c>
      <c r="E270" s="625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7">
        <v>0</v>
      </c>
      <c r="Y270" s="618">
        <f t="shared" ref="Y270:Y281" si="36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0</v>
      </c>
      <c r="BN270" s="64">
        <f t="shared" ref="BN270:BN281" si="38">IFERROR(Y270*I270/H270,"0")</f>
        <v>0</v>
      </c>
      <c r="BO270" s="64">
        <f t="shared" ref="BO270:BO281" si="39">IFERROR(1/J270*(X270/H270),"0")</f>
        <v>0</v>
      </c>
      <c r="BP270" s="64">
        <f t="shared" ref="BP270:BP281" si="40">IFERROR(1/J270*(Y270/H270),"0")</f>
        <v>0</v>
      </c>
    </row>
    <row r="271" spans="1:68" ht="27" hidden="1" customHeight="1" x14ac:dyDescent="0.25">
      <c r="A271" s="54" t="s">
        <v>446</v>
      </c>
      <c r="B271" s="54" t="s">
        <v>447</v>
      </c>
      <c r="C271" s="31">
        <v>4301051411</v>
      </c>
      <c r="D271" s="624">
        <v>4680115881617</v>
      </c>
      <c r="E271" s="625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7">
        <v>0</v>
      </c>
      <c r="Y271" s="618">
        <f t="shared" si="36"/>
        <v>0</v>
      </c>
      <c r="Z271" s="36" t="str">
        <f>IFERROR(IF(Y271=0,"",ROUNDUP(Y271/H271,0)*0.01898),"")</f>
        <v/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0</v>
      </c>
      <c r="BN271" s="64">
        <f t="shared" si="38"/>
        <v>0</v>
      </c>
      <c r="BO271" s="64">
        <f t="shared" si="39"/>
        <v>0</v>
      </c>
      <c r="BP271" s="64">
        <f t="shared" si="40"/>
        <v>0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24">
        <v>4680115880573</v>
      </c>
      <c r="E272" s="625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8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hidden="1" customHeight="1" x14ac:dyDescent="0.25">
      <c r="A273" s="54" t="s">
        <v>452</v>
      </c>
      <c r="B273" s="54" t="s">
        <v>453</v>
      </c>
      <c r="C273" s="31">
        <v>4301051407</v>
      </c>
      <c r="D273" s="624">
        <v>4680115882195</v>
      </c>
      <c r="E273" s="625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1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7">
        <v>0</v>
      </c>
      <c r="Y273" s="618">
        <f t="shared" si="36"/>
        <v>0</v>
      </c>
      <c r="Z273" s="36" t="str">
        <f>IFERROR(IF(Y273=0,"",ROUNDUP(Y273/H273,0)*0.00651),"")</f>
        <v/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0</v>
      </c>
      <c r="BN273" s="64">
        <f t="shared" si="38"/>
        <v>0</v>
      </c>
      <c r="BO273" s="64">
        <f t="shared" si="39"/>
        <v>0</v>
      </c>
      <c r="BP273" s="64">
        <f t="shared" si="40"/>
        <v>0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24">
        <v>4680115882607</v>
      </c>
      <c r="E274" s="625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24">
        <v>4680115882607</v>
      </c>
      <c r="E275" s="625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8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24">
        <v>4680115880092</v>
      </c>
      <c r="E276" s="625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7">
        <v>246</v>
      </c>
      <c r="Y276" s="618">
        <f t="shared" si="36"/>
        <v>247.2</v>
      </c>
      <c r="Z276" s="36">
        <f>IFERROR(IF(Y276=0,"",ROUNDUP(Y276/H276,0)*0.00651),"")</f>
        <v>0.67053000000000007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271.83000000000004</v>
      </c>
      <c r="BN276" s="64">
        <f t="shared" si="38"/>
        <v>273.15600000000001</v>
      </c>
      <c r="BO276" s="64">
        <f t="shared" si="39"/>
        <v>0.56318681318681318</v>
      </c>
      <c r="BP276" s="64">
        <f t="shared" si="40"/>
        <v>0.56593406593406603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24">
        <v>4680115889064</v>
      </c>
      <c r="E277" s="625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80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24">
        <v>4680115880221</v>
      </c>
      <c r="E278" s="625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4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7">
        <v>143</v>
      </c>
      <c r="Y278" s="618">
        <f t="shared" si="36"/>
        <v>144</v>
      </c>
      <c r="Z278" s="36">
        <f>IFERROR(IF(Y278=0,"",ROUNDUP(Y278/H278,0)*0.00651),"")</f>
        <v>0.3906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158.01500000000001</v>
      </c>
      <c r="BN278" s="64">
        <f t="shared" si="38"/>
        <v>159.12000000000003</v>
      </c>
      <c r="BO278" s="64">
        <f t="shared" si="39"/>
        <v>0.32738095238095244</v>
      </c>
      <c r="BP278" s="64">
        <f t="shared" si="40"/>
        <v>0.32967032967032972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4301051945</v>
      </c>
      <c r="D279" s="624">
        <v>4680115880504</v>
      </c>
      <c r="E279" s="625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4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7">
        <v>0</v>
      </c>
      <c r="Y279" s="618">
        <f t="shared" si="36"/>
        <v>0</v>
      </c>
      <c r="Z279" s="36" t="str">
        <f>IFERROR(IF(Y279=0,"",ROUNDUP(Y279/H279,0)*0.00651),"")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24">
        <v>4680115882164</v>
      </c>
      <c r="E280" s="625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6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7">
        <v>72</v>
      </c>
      <c r="Y280" s="618">
        <f t="shared" si="36"/>
        <v>72</v>
      </c>
      <c r="Z280" s="36">
        <f>IFERROR(IF(Y280=0,"",ROUNDUP(Y280/H280,0)*0.00651),"")</f>
        <v>0.1953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79.740000000000009</v>
      </c>
      <c r="BN280" s="64">
        <f t="shared" si="38"/>
        <v>79.740000000000009</v>
      </c>
      <c r="BO280" s="64">
        <f t="shared" si="39"/>
        <v>0.16483516483516486</v>
      </c>
      <c r="BP280" s="64">
        <f t="shared" si="40"/>
        <v>0.16483516483516486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24">
        <v>4680115888340</v>
      </c>
      <c r="E281" s="625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73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2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7" t="s">
        <v>69</v>
      </c>
      <c r="Q282" s="638"/>
      <c r="R282" s="638"/>
      <c r="S282" s="638"/>
      <c r="T282" s="638"/>
      <c r="U282" s="638"/>
      <c r="V282" s="639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192.08333333333334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193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1.2564300000000002</v>
      </c>
      <c r="AA282" s="620"/>
      <c r="AB282" s="620"/>
      <c r="AC282" s="620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7" t="s">
        <v>69</v>
      </c>
      <c r="Q283" s="638"/>
      <c r="R283" s="638"/>
      <c r="S283" s="638"/>
      <c r="T283" s="638"/>
      <c r="U283" s="638"/>
      <c r="V283" s="639"/>
      <c r="W283" s="37" t="s">
        <v>67</v>
      </c>
      <c r="X283" s="619">
        <f>IFERROR(SUM(X270:X281),"0")</f>
        <v>461</v>
      </c>
      <c r="Y283" s="619">
        <f>IFERROR(SUM(Y270:Y281),"0")</f>
        <v>463.2</v>
      </c>
      <c r="Z283" s="37"/>
      <c r="AA283" s="620"/>
      <c r="AB283" s="620"/>
      <c r="AC283" s="620"/>
    </row>
    <row r="284" spans="1:68" ht="14.25" hidden="1" customHeight="1" x14ac:dyDescent="0.25">
      <c r="A284" s="636" t="s">
        <v>161</v>
      </c>
      <c r="B284" s="633"/>
      <c r="C284" s="633"/>
      <c r="D284" s="633"/>
      <c r="E284" s="633"/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3"/>
      <c r="R284" s="633"/>
      <c r="S284" s="633"/>
      <c r="T284" s="633"/>
      <c r="U284" s="633"/>
      <c r="V284" s="633"/>
      <c r="W284" s="633"/>
      <c r="X284" s="633"/>
      <c r="Y284" s="633"/>
      <c r="Z284" s="633"/>
      <c r="AA284" s="612"/>
      <c r="AB284" s="612"/>
      <c r="AC284" s="612"/>
    </row>
    <row r="285" spans="1:68" ht="27" hidden="1" customHeight="1" x14ac:dyDescent="0.25">
      <c r="A285" s="54" t="s">
        <v>474</v>
      </c>
      <c r="B285" s="54" t="s">
        <v>475</v>
      </c>
      <c r="C285" s="31">
        <v>4301060463</v>
      </c>
      <c r="D285" s="624">
        <v>4680115880818</v>
      </c>
      <c r="E285" s="625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7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7">
        <v>0</v>
      </c>
      <c r="Y285" s="618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24">
        <v>4680115880801</v>
      </c>
      <c r="E286" s="625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3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32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7" t="s">
        <v>69</v>
      </c>
      <c r="Q287" s="638"/>
      <c r="R287" s="638"/>
      <c r="S287" s="638"/>
      <c r="T287" s="638"/>
      <c r="U287" s="638"/>
      <c r="V287" s="639"/>
      <c r="W287" s="37" t="s">
        <v>70</v>
      </c>
      <c r="X287" s="619">
        <f>IFERROR(X285/H285,"0")+IFERROR(X286/H286,"0")</f>
        <v>0</v>
      </c>
      <c r="Y287" s="619">
        <f>IFERROR(Y285/H285,"0")+IFERROR(Y286/H286,"0")</f>
        <v>0</v>
      </c>
      <c r="Z287" s="619">
        <f>IFERROR(IF(Z285="",0,Z285),"0")+IFERROR(IF(Z286="",0,Z286),"0")</f>
        <v>0</v>
      </c>
      <c r="AA287" s="620"/>
      <c r="AB287" s="620"/>
      <c r="AC287" s="620"/>
    </row>
    <row r="288" spans="1:68" hidden="1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7" t="s">
        <v>69</v>
      </c>
      <c r="Q288" s="638"/>
      <c r="R288" s="638"/>
      <c r="S288" s="638"/>
      <c r="T288" s="638"/>
      <c r="U288" s="638"/>
      <c r="V288" s="639"/>
      <c r="W288" s="37" t="s">
        <v>67</v>
      </c>
      <c r="X288" s="619">
        <f>IFERROR(SUM(X285:X286),"0")</f>
        <v>0</v>
      </c>
      <c r="Y288" s="619">
        <f>IFERROR(SUM(Y285:Y286),"0")</f>
        <v>0</v>
      </c>
      <c r="Z288" s="37"/>
      <c r="AA288" s="620"/>
      <c r="AB288" s="620"/>
      <c r="AC288" s="620"/>
    </row>
    <row r="289" spans="1:68" ht="16.5" hidden="1" customHeight="1" x14ac:dyDescent="0.25">
      <c r="A289" s="642" t="s">
        <v>480</v>
      </c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3"/>
      <c r="R289" s="633"/>
      <c r="S289" s="633"/>
      <c r="T289" s="633"/>
      <c r="U289" s="633"/>
      <c r="V289" s="633"/>
      <c r="W289" s="633"/>
      <c r="X289" s="633"/>
      <c r="Y289" s="633"/>
      <c r="Z289" s="633"/>
      <c r="AA289" s="611"/>
      <c r="AB289" s="611"/>
      <c r="AC289" s="611"/>
    </row>
    <row r="290" spans="1:68" ht="14.25" hidden="1" customHeight="1" x14ac:dyDescent="0.25">
      <c r="A290" s="636" t="s">
        <v>108</v>
      </c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3"/>
      <c r="P290" s="633"/>
      <c r="Q290" s="633"/>
      <c r="R290" s="633"/>
      <c r="S290" s="633"/>
      <c r="T290" s="633"/>
      <c r="U290" s="633"/>
      <c r="V290" s="633"/>
      <c r="W290" s="633"/>
      <c r="X290" s="633"/>
      <c r="Y290" s="633"/>
      <c r="Z290" s="633"/>
      <c r="AA290" s="612"/>
      <c r="AB290" s="612"/>
      <c r="AC290" s="612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24">
        <v>4680115884137</v>
      </c>
      <c r="E291" s="625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24">
        <v>4680115884236</v>
      </c>
      <c r="E292" s="625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6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24">
        <v>4680115884175</v>
      </c>
      <c r="E293" s="625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4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24">
        <v>4680115884144</v>
      </c>
      <c r="E294" s="625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24">
        <v>4680115886551</v>
      </c>
      <c r="E295" s="625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90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24">
        <v>4680115887282</v>
      </c>
      <c r="E296" s="625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1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24">
        <v>4680115884205</v>
      </c>
      <c r="E297" s="625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5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2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7" t="s">
        <v>69</v>
      </c>
      <c r="Q298" s="638"/>
      <c r="R298" s="638"/>
      <c r="S298" s="638"/>
      <c r="T298" s="638"/>
      <c r="U298" s="638"/>
      <c r="V298" s="639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7" t="s">
        <v>69</v>
      </c>
      <c r="Q299" s="638"/>
      <c r="R299" s="638"/>
      <c r="S299" s="638"/>
      <c r="T299" s="638"/>
      <c r="U299" s="638"/>
      <c r="V299" s="639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6" t="s">
        <v>143</v>
      </c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3"/>
      <c r="P300" s="633"/>
      <c r="Q300" s="633"/>
      <c r="R300" s="633"/>
      <c r="S300" s="633"/>
      <c r="T300" s="633"/>
      <c r="U300" s="633"/>
      <c r="V300" s="633"/>
      <c r="W300" s="633"/>
      <c r="X300" s="633"/>
      <c r="Y300" s="633"/>
      <c r="Z300" s="633"/>
      <c r="AA300" s="612"/>
      <c r="AB300" s="612"/>
      <c r="AC300" s="612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24">
        <v>4680115885981</v>
      </c>
      <c r="E301" s="625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7" t="s">
        <v>69</v>
      </c>
      <c r="Q302" s="638"/>
      <c r="R302" s="638"/>
      <c r="S302" s="638"/>
      <c r="T302" s="638"/>
      <c r="U302" s="638"/>
      <c r="V302" s="639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7" t="s">
        <v>69</v>
      </c>
      <c r="Q303" s="638"/>
      <c r="R303" s="638"/>
      <c r="S303" s="638"/>
      <c r="T303" s="638"/>
      <c r="U303" s="638"/>
      <c r="V303" s="639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6" t="s">
        <v>502</v>
      </c>
      <c r="B304" s="633"/>
      <c r="C304" s="633"/>
      <c r="D304" s="633"/>
      <c r="E304" s="633"/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3"/>
      <c r="R304" s="633"/>
      <c r="S304" s="633"/>
      <c r="T304" s="633"/>
      <c r="U304" s="633"/>
      <c r="V304" s="633"/>
      <c r="W304" s="633"/>
      <c r="X304" s="633"/>
      <c r="Y304" s="633"/>
      <c r="Z304" s="633"/>
      <c r="AA304" s="612"/>
      <c r="AB304" s="612"/>
      <c r="AC304" s="612"/>
    </row>
    <row r="305" spans="1:68" ht="27" hidden="1" customHeight="1" x14ac:dyDescent="0.25">
      <c r="A305" s="54" t="s">
        <v>503</v>
      </c>
      <c r="B305" s="54" t="s">
        <v>504</v>
      </c>
      <c r="C305" s="31">
        <v>4301040362</v>
      </c>
      <c r="D305" s="624">
        <v>4680115886803</v>
      </c>
      <c r="E305" s="625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7">
        <v>0</v>
      </c>
      <c r="Y305" s="61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32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7" t="s">
        <v>69</v>
      </c>
      <c r="Q306" s="638"/>
      <c r="R306" s="638"/>
      <c r="S306" s="638"/>
      <c r="T306" s="638"/>
      <c r="U306" s="638"/>
      <c r="V306" s="639"/>
      <c r="W306" s="37" t="s">
        <v>70</v>
      </c>
      <c r="X306" s="619">
        <f>IFERROR(X305/H305,"0")</f>
        <v>0</v>
      </c>
      <c r="Y306" s="619">
        <f>IFERROR(Y305/H305,"0")</f>
        <v>0</v>
      </c>
      <c r="Z306" s="619">
        <f>IFERROR(IF(Z305="",0,Z305),"0")</f>
        <v>0</v>
      </c>
      <c r="AA306" s="620"/>
      <c r="AB306" s="620"/>
      <c r="AC306" s="620"/>
    </row>
    <row r="307" spans="1:68" hidden="1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7" t="s">
        <v>69</v>
      </c>
      <c r="Q307" s="638"/>
      <c r="R307" s="638"/>
      <c r="S307" s="638"/>
      <c r="T307" s="638"/>
      <c r="U307" s="638"/>
      <c r="V307" s="639"/>
      <c r="W307" s="37" t="s">
        <v>67</v>
      </c>
      <c r="X307" s="619">
        <f>IFERROR(SUM(X305:X305),"0")</f>
        <v>0</v>
      </c>
      <c r="Y307" s="619">
        <f>IFERROR(SUM(Y305:Y305),"0")</f>
        <v>0</v>
      </c>
      <c r="Z307" s="37"/>
      <c r="AA307" s="620"/>
      <c r="AB307" s="620"/>
      <c r="AC307" s="620"/>
    </row>
    <row r="308" spans="1:68" ht="14.25" hidden="1" customHeight="1" x14ac:dyDescent="0.25">
      <c r="A308" s="636" t="s">
        <v>323</v>
      </c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3"/>
      <c r="P308" s="633"/>
      <c r="Q308" s="633"/>
      <c r="R308" s="633"/>
      <c r="S308" s="633"/>
      <c r="T308" s="633"/>
      <c r="U308" s="633"/>
      <c r="V308" s="633"/>
      <c r="W308" s="633"/>
      <c r="X308" s="633"/>
      <c r="Y308" s="633"/>
      <c r="Z308" s="633"/>
      <c r="AA308" s="612"/>
      <c r="AB308" s="612"/>
      <c r="AC308" s="612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24">
        <v>4680115886681</v>
      </c>
      <c r="E309" s="625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24">
        <v>4680115886735</v>
      </c>
      <c r="E310" s="625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80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2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7" t="s">
        <v>69</v>
      </c>
      <c r="Q311" s="638"/>
      <c r="R311" s="638"/>
      <c r="S311" s="638"/>
      <c r="T311" s="638"/>
      <c r="U311" s="638"/>
      <c r="V311" s="639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7" t="s">
        <v>69</v>
      </c>
      <c r="Q312" s="638"/>
      <c r="R312" s="638"/>
      <c r="S312" s="638"/>
      <c r="T312" s="638"/>
      <c r="U312" s="638"/>
      <c r="V312" s="639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42" t="s">
        <v>511</v>
      </c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3"/>
      <c r="P313" s="633"/>
      <c r="Q313" s="633"/>
      <c r="R313" s="633"/>
      <c r="S313" s="633"/>
      <c r="T313" s="633"/>
      <c r="U313" s="633"/>
      <c r="V313" s="633"/>
      <c r="W313" s="633"/>
      <c r="X313" s="633"/>
      <c r="Y313" s="633"/>
      <c r="Z313" s="633"/>
      <c r="AA313" s="611"/>
      <c r="AB313" s="611"/>
      <c r="AC313" s="611"/>
    </row>
    <row r="314" spans="1:68" ht="14.25" hidden="1" customHeight="1" x14ac:dyDescent="0.25">
      <c r="A314" s="636" t="s">
        <v>108</v>
      </c>
      <c r="B314" s="633"/>
      <c r="C314" s="633"/>
      <c r="D314" s="633"/>
      <c r="E314" s="633"/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3"/>
      <c r="R314" s="633"/>
      <c r="S314" s="633"/>
      <c r="T314" s="633"/>
      <c r="U314" s="633"/>
      <c r="V314" s="633"/>
      <c r="W314" s="633"/>
      <c r="X314" s="633"/>
      <c r="Y314" s="633"/>
      <c r="Z314" s="633"/>
      <c r="AA314" s="612"/>
      <c r="AB314" s="612"/>
      <c r="AC314" s="612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24">
        <v>4680115885837</v>
      </c>
      <c r="E315" s="625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2"/>
      <c r="R315" s="622"/>
      <c r="S315" s="622"/>
      <c r="T315" s="623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24">
        <v>4680115889637</v>
      </c>
      <c r="E316" s="625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8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24">
        <v>4680115887237</v>
      </c>
      <c r="E317" s="625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24">
        <v>4680115885806</v>
      </c>
      <c r="E318" s="625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24">
        <v>4680115885844</v>
      </c>
      <c r="E319" s="625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24">
        <v>4680115885820</v>
      </c>
      <c r="E320" s="625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2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7" t="s">
        <v>69</v>
      </c>
      <c r="Q321" s="638"/>
      <c r="R321" s="638"/>
      <c r="S321" s="638"/>
      <c r="T321" s="638"/>
      <c r="U321" s="638"/>
      <c r="V321" s="639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7" t="s">
        <v>69</v>
      </c>
      <c r="Q322" s="638"/>
      <c r="R322" s="638"/>
      <c r="S322" s="638"/>
      <c r="T322" s="638"/>
      <c r="U322" s="638"/>
      <c r="V322" s="639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42" t="s">
        <v>530</v>
      </c>
      <c r="B323" s="633"/>
      <c r="C323" s="633"/>
      <c r="D323" s="633"/>
      <c r="E323" s="633"/>
      <c r="F323" s="633"/>
      <c r="G323" s="633"/>
      <c r="H323" s="633"/>
      <c r="I323" s="633"/>
      <c r="J323" s="633"/>
      <c r="K323" s="633"/>
      <c r="L323" s="633"/>
      <c r="M323" s="633"/>
      <c r="N323" s="633"/>
      <c r="O323" s="633"/>
      <c r="P323" s="633"/>
      <c r="Q323" s="633"/>
      <c r="R323" s="633"/>
      <c r="S323" s="633"/>
      <c r="T323" s="633"/>
      <c r="U323" s="633"/>
      <c r="V323" s="633"/>
      <c r="W323" s="633"/>
      <c r="X323" s="633"/>
      <c r="Y323" s="633"/>
      <c r="Z323" s="633"/>
      <c r="AA323" s="611"/>
      <c r="AB323" s="611"/>
      <c r="AC323" s="611"/>
    </row>
    <row r="324" spans="1:68" ht="14.25" hidden="1" customHeight="1" x14ac:dyDescent="0.25">
      <c r="A324" s="636" t="s">
        <v>71</v>
      </c>
      <c r="B324" s="633"/>
      <c r="C324" s="633"/>
      <c r="D324" s="633"/>
      <c r="E324" s="633"/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3"/>
      <c r="R324" s="633"/>
      <c r="S324" s="633"/>
      <c r="T324" s="633"/>
      <c r="U324" s="633"/>
      <c r="V324" s="633"/>
      <c r="W324" s="633"/>
      <c r="X324" s="633"/>
      <c r="Y324" s="633"/>
      <c r="Z324" s="633"/>
      <c r="AA324" s="612"/>
      <c r="AB324" s="612"/>
      <c r="AC324" s="612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24">
        <v>4680115886186</v>
      </c>
      <c r="E325" s="625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3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534</v>
      </c>
      <c r="B326" s="54" t="s">
        <v>535</v>
      </c>
      <c r="C326" s="31">
        <v>4301051795</v>
      </c>
      <c r="D326" s="624">
        <v>4680115881228</v>
      </c>
      <c r="E326" s="625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7">
        <v>0</v>
      </c>
      <c r="Y326" s="618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537</v>
      </c>
      <c r="B327" s="54" t="s">
        <v>538</v>
      </c>
      <c r="C327" s="31">
        <v>4301051388</v>
      </c>
      <c r="D327" s="624">
        <v>4680115881211</v>
      </c>
      <c r="E327" s="625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85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7">
        <v>0</v>
      </c>
      <c r="Y327" s="61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632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7" t="s">
        <v>69</v>
      </c>
      <c r="Q328" s="638"/>
      <c r="R328" s="638"/>
      <c r="S328" s="638"/>
      <c r="T328" s="638"/>
      <c r="U328" s="638"/>
      <c r="V328" s="639"/>
      <c r="W328" s="37" t="s">
        <v>70</v>
      </c>
      <c r="X328" s="619">
        <f>IFERROR(X325/H325,"0")+IFERROR(X326/H326,"0")+IFERROR(X327/H327,"0")</f>
        <v>0</v>
      </c>
      <c r="Y328" s="619">
        <f>IFERROR(Y325/H325,"0")+IFERROR(Y326/H326,"0")+IFERROR(Y327/H327,"0")</f>
        <v>0</v>
      </c>
      <c r="Z328" s="619">
        <f>IFERROR(IF(Z325="",0,Z325),"0")+IFERROR(IF(Z326="",0,Z326),"0")+IFERROR(IF(Z327="",0,Z327),"0")</f>
        <v>0</v>
      </c>
      <c r="AA328" s="620"/>
      <c r="AB328" s="620"/>
      <c r="AC328" s="620"/>
    </row>
    <row r="329" spans="1:68" hidden="1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7" t="s">
        <v>69</v>
      </c>
      <c r="Q329" s="638"/>
      <c r="R329" s="638"/>
      <c r="S329" s="638"/>
      <c r="T329" s="638"/>
      <c r="U329" s="638"/>
      <c r="V329" s="639"/>
      <c r="W329" s="37" t="s">
        <v>67</v>
      </c>
      <c r="X329" s="619">
        <f>IFERROR(SUM(X325:X327),"0")</f>
        <v>0</v>
      </c>
      <c r="Y329" s="619">
        <f>IFERROR(SUM(Y325:Y327),"0")</f>
        <v>0</v>
      </c>
      <c r="Z329" s="37"/>
      <c r="AA329" s="620"/>
      <c r="AB329" s="620"/>
      <c r="AC329" s="620"/>
    </row>
    <row r="330" spans="1:68" ht="16.5" hidden="1" customHeight="1" x14ac:dyDescent="0.25">
      <c r="A330" s="642" t="s">
        <v>539</v>
      </c>
      <c r="B330" s="633"/>
      <c r="C330" s="633"/>
      <c r="D330" s="633"/>
      <c r="E330" s="633"/>
      <c r="F330" s="633"/>
      <c r="G330" s="633"/>
      <c r="H330" s="633"/>
      <c r="I330" s="633"/>
      <c r="J330" s="633"/>
      <c r="K330" s="633"/>
      <c r="L330" s="633"/>
      <c r="M330" s="633"/>
      <c r="N330" s="633"/>
      <c r="O330" s="633"/>
      <c r="P330" s="633"/>
      <c r="Q330" s="633"/>
      <c r="R330" s="633"/>
      <c r="S330" s="633"/>
      <c r="T330" s="633"/>
      <c r="U330" s="633"/>
      <c r="V330" s="633"/>
      <c r="W330" s="633"/>
      <c r="X330" s="633"/>
      <c r="Y330" s="633"/>
      <c r="Z330" s="633"/>
      <c r="AA330" s="611"/>
      <c r="AB330" s="611"/>
      <c r="AC330" s="611"/>
    </row>
    <row r="331" spans="1:68" ht="14.25" hidden="1" customHeight="1" x14ac:dyDescent="0.25">
      <c r="A331" s="636" t="s">
        <v>62</v>
      </c>
      <c r="B331" s="633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3"/>
      <c r="P331" s="633"/>
      <c r="Q331" s="633"/>
      <c r="R331" s="633"/>
      <c r="S331" s="633"/>
      <c r="T331" s="633"/>
      <c r="U331" s="633"/>
      <c r="V331" s="633"/>
      <c r="W331" s="633"/>
      <c r="X331" s="633"/>
      <c r="Y331" s="633"/>
      <c r="Z331" s="633"/>
      <c r="AA331" s="612"/>
      <c r="AB331" s="612"/>
      <c r="AC331" s="612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24">
        <v>4680115888319</v>
      </c>
      <c r="E332" s="625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24">
        <v>4680115884700</v>
      </c>
      <c r="E333" s="625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9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24">
        <v>4680115880344</v>
      </c>
      <c r="E334" s="625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24">
        <v>4680115886919</v>
      </c>
      <c r="E335" s="625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4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2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7" t="s">
        <v>69</v>
      </c>
      <c r="Q336" s="638"/>
      <c r="R336" s="638"/>
      <c r="S336" s="638"/>
      <c r="T336" s="638"/>
      <c r="U336" s="638"/>
      <c r="V336" s="639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7" t="s">
        <v>69</v>
      </c>
      <c r="Q337" s="638"/>
      <c r="R337" s="638"/>
      <c r="S337" s="638"/>
      <c r="T337" s="638"/>
      <c r="U337" s="638"/>
      <c r="V337" s="639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6" t="s">
        <v>71</v>
      </c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3"/>
      <c r="P338" s="633"/>
      <c r="Q338" s="633"/>
      <c r="R338" s="633"/>
      <c r="S338" s="633"/>
      <c r="T338" s="633"/>
      <c r="U338" s="633"/>
      <c r="V338" s="633"/>
      <c r="W338" s="633"/>
      <c r="X338" s="633"/>
      <c r="Y338" s="633"/>
      <c r="Z338" s="633"/>
      <c r="AA338" s="612"/>
      <c r="AB338" s="612"/>
      <c r="AC338" s="612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24">
        <v>4680115884618</v>
      </c>
      <c r="E339" s="625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2"/>
      <c r="R339" s="622"/>
      <c r="S339" s="622"/>
      <c r="T339" s="623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24">
        <v>4680115887114</v>
      </c>
      <c r="E340" s="625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24">
        <v>4680115887466</v>
      </c>
      <c r="E341" s="625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90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7" t="s">
        <v>69</v>
      </c>
      <c r="Q342" s="638"/>
      <c r="R342" s="638"/>
      <c r="S342" s="638"/>
      <c r="T342" s="638"/>
      <c r="U342" s="638"/>
      <c r="V342" s="639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7" t="s">
        <v>69</v>
      </c>
      <c r="Q343" s="638"/>
      <c r="R343" s="638"/>
      <c r="S343" s="638"/>
      <c r="T343" s="638"/>
      <c r="U343" s="638"/>
      <c r="V343" s="639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42" t="s">
        <v>561</v>
      </c>
      <c r="B344" s="633"/>
      <c r="C344" s="633"/>
      <c r="D344" s="633"/>
      <c r="E344" s="633"/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3"/>
      <c r="R344" s="633"/>
      <c r="S344" s="633"/>
      <c r="T344" s="633"/>
      <c r="U344" s="633"/>
      <c r="V344" s="633"/>
      <c r="W344" s="633"/>
      <c r="X344" s="633"/>
      <c r="Y344" s="633"/>
      <c r="Z344" s="633"/>
      <c r="AA344" s="611"/>
      <c r="AB344" s="611"/>
      <c r="AC344" s="611"/>
    </row>
    <row r="345" spans="1:68" ht="14.25" hidden="1" customHeight="1" x14ac:dyDescent="0.25">
      <c r="A345" s="636" t="s">
        <v>108</v>
      </c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3"/>
      <c r="P345" s="633"/>
      <c r="Q345" s="633"/>
      <c r="R345" s="633"/>
      <c r="S345" s="633"/>
      <c r="T345" s="633"/>
      <c r="U345" s="633"/>
      <c r="V345" s="633"/>
      <c r="W345" s="633"/>
      <c r="X345" s="633"/>
      <c r="Y345" s="633"/>
      <c r="Z345" s="633"/>
      <c r="AA345" s="612"/>
      <c r="AB345" s="612"/>
      <c r="AC345" s="612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24">
        <v>4680115887947</v>
      </c>
      <c r="E346" s="625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90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7">
        <v>136</v>
      </c>
      <c r="Y346" s="618">
        <f>IFERROR(IF(X346="",0,CEILING((X346/$H346),1)*$H346),"")</f>
        <v>140.4</v>
      </c>
      <c r="Z346" s="36">
        <f>IFERROR(IF(Y346=0,"",ROUNDUP(Y346/H346,0)*0.01898),"")</f>
        <v>0.34164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143.14871794871797</v>
      </c>
      <c r="BN346" s="64">
        <f>IFERROR(Y346*I346/H346,"0")</f>
        <v>147.78000000000003</v>
      </c>
      <c r="BO346" s="64">
        <f>IFERROR(1/J346*(X346/H346),"0")</f>
        <v>0.27243589743589747</v>
      </c>
      <c r="BP346" s="64">
        <f>IFERROR(1/J346*(Y346/H346),"0")</f>
        <v>0.28125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24">
        <v>4680115887978</v>
      </c>
      <c r="E347" s="625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7">
        <v>191</v>
      </c>
      <c r="Y347" s="618">
        <f>IFERROR(IF(X347="",0,CEILING((X347/$H347),1)*$H347),"")</f>
        <v>195</v>
      </c>
      <c r="Z347" s="36">
        <f>IFERROR(IF(Y347=0,"",ROUNDUP(Y347/H347,0)*0.01898),"")</f>
        <v>0.47450000000000003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201.03974358974361</v>
      </c>
      <c r="BN347" s="64">
        <f>IFERROR(Y347*I347/H347,"0")</f>
        <v>205.25000000000003</v>
      </c>
      <c r="BO347" s="64">
        <f>IFERROR(1/J347*(X347/H347),"0")</f>
        <v>0.38261217948717952</v>
      </c>
      <c r="BP347" s="64">
        <f>IFERROR(1/J347*(Y347/H347),"0")</f>
        <v>0.390625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24">
        <v>4680115887992</v>
      </c>
      <c r="E348" s="625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7">
        <v>0</v>
      </c>
      <c r="Y348" s="618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32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7" t="s">
        <v>69</v>
      </c>
      <c r="Q349" s="638"/>
      <c r="R349" s="638"/>
      <c r="S349" s="638"/>
      <c r="T349" s="638"/>
      <c r="U349" s="638"/>
      <c r="V349" s="639"/>
      <c r="W349" s="37" t="s">
        <v>70</v>
      </c>
      <c r="X349" s="619">
        <f>IFERROR(X346/H346,"0")+IFERROR(X347/H347,"0")+IFERROR(X348/H348,"0")</f>
        <v>41.923076923076927</v>
      </c>
      <c r="Y349" s="619">
        <f>IFERROR(Y346/H346,"0")+IFERROR(Y347/H347,"0")+IFERROR(Y348/H348,"0")</f>
        <v>43</v>
      </c>
      <c r="Z349" s="619">
        <f>IFERROR(IF(Z346="",0,Z346),"0")+IFERROR(IF(Z347="",0,Z347),"0")+IFERROR(IF(Z348="",0,Z348),"0")</f>
        <v>0.81614000000000009</v>
      </c>
      <c r="AA349" s="620"/>
      <c r="AB349" s="620"/>
      <c r="AC349" s="620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7" t="s">
        <v>69</v>
      </c>
      <c r="Q350" s="638"/>
      <c r="R350" s="638"/>
      <c r="S350" s="638"/>
      <c r="T350" s="638"/>
      <c r="U350" s="638"/>
      <c r="V350" s="639"/>
      <c r="W350" s="37" t="s">
        <v>67</v>
      </c>
      <c r="X350" s="619">
        <f>IFERROR(SUM(X346:X348),"0")</f>
        <v>327</v>
      </c>
      <c r="Y350" s="619">
        <f>IFERROR(SUM(Y346:Y348),"0")</f>
        <v>335.4</v>
      </c>
      <c r="Z350" s="37"/>
      <c r="AA350" s="620"/>
      <c r="AB350" s="620"/>
      <c r="AC350" s="620"/>
    </row>
    <row r="351" spans="1:68" ht="16.5" hidden="1" customHeight="1" x14ac:dyDescent="0.25">
      <c r="A351" s="642" t="s">
        <v>570</v>
      </c>
      <c r="B351" s="633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3"/>
      <c r="P351" s="633"/>
      <c r="Q351" s="633"/>
      <c r="R351" s="633"/>
      <c r="S351" s="633"/>
      <c r="T351" s="633"/>
      <c r="U351" s="633"/>
      <c r="V351" s="633"/>
      <c r="W351" s="633"/>
      <c r="X351" s="633"/>
      <c r="Y351" s="633"/>
      <c r="Z351" s="633"/>
      <c r="AA351" s="611"/>
      <c r="AB351" s="611"/>
      <c r="AC351" s="611"/>
    </row>
    <row r="352" spans="1:68" ht="14.25" hidden="1" customHeight="1" x14ac:dyDescent="0.25">
      <c r="A352" s="636" t="s">
        <v>108</v>
      </c>
      <c r="B352" s="633"/>
      <c r="C352" s="633"/>
      <c r="D352" s="633"/>
      <c r="E352" s="633"/>
      <c r="F352" s="633"/>
      <c r="G352" s="633"/>
      <c r="H352" s="633"/>
      <c r="I352" s="633"/>
      <c r="J352" s="633"/>
      <c r="K352" s="633"/>
      <c r="L352" s="633"/>
      <c r="M352" s="633"/>
      <c r="N352" s="633"/>
      <c r="O352" s="633"/>
      <c r="P352" s="633"/>
      <c r="Q352" s="633"/>
      <c r="R352" s="633"/>
      <c r="S352" s="633"/>
      <c r="T352" s="633"/>
      <c r="U352" s="633"/>
      <c r="V352" s="633"/>
      <c r="W352" s="633"/>
      <c r="X352" s="633"/>
      <c r="Y352" s="633"/>
      <c r="Z352" s="633"/>
      <c r="AA352" s="612"/>
      <c r="AB352" s="612"/>
      <c r="AC352" s="612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24">
        <v>4680115889293</v>
      </c>
      <c r="E353" s="625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6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24">
        <v>4680115887190</v>
      </c>
      <c r="E354" s="625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24">
        <v>4680115889880</v>
      </c>
      <c r="E355" s="625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4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24">
        <v>4680115887138</v>
      </c>
      <c r="E356" s="625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1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24">
        <v>4680115885554</v>
      </c>
      <c r="E357" s="625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24">
        <v>4680115887220</v>
      </c>
      <c r="E358" s="625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6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2"/>
      <c r="R358" s="622"/>
      <c r="S358" s="622"/>
      <c r="T358" s="623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24">
        <v>4680115885608</v>
      </c>
      <c r="E359" s="625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2"/>
      <c r="R359" s="622"/>
      <c r="S359" s="622"/>
      <c r="T359" s="623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2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7" t="s">
        <v>69</v>
      </c>
      <c r="Q360" s="638"/>
      <c r="R360" s="638"/>
      <c r="S360" s="638"/>
      <c r="T360" s="638"/>
      <c r="U360" s="638"/>
      <c r="V360" s="639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7" t="s">
        <v>69</v>
      </c>
      <c r="Q361" s="638"/>
      <c r="R361" s="638"/>
      <c r="S361" s="638"/>
      <c r="T361" s="638"/>
      <c r="U361" s="638"/>
      <c r="V361" s="639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6" t="s">
        <v>62</v>
      </c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3"/>
      <c r="P362" s="633"/>
      <c r="Q362" s="633"/>
      <c r="R362" s="633"/>
      <c r="S362" s="633"/>
      <c r="T362" s="633"/>
      <c r="U362" s="633"/>
      <c r="V362" s="633"/>
      <c r="W362" s="633"/>
      <c r="X362" s="633"/>
      <c r="Y362" s="633"/>
      <c r="Z362" s="633"/>
      <c r="AA362" s="612"/>
      <c r="AB362" s="612"/>
      <c r="AC362" s="612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24">
        <v>4607091387193</v>
      </c>
      <c r="E363" s="625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24">
        <v>4607091387230</v>
      </c>
      <c r="E364" s="625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24">
        <v>4607091387292</v>
      </c>
      <c r="E365" s="625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7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24">
        <v>4607091387285</v>
      </c>
      <c r="E366" s="625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2"/>
      <c r="R366" s="622"/>
      <c r="S366" s="622"/>
      <c r="T366" s="623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24">
        <v>4607091389845</v>
      </c>
      <c r="E367" s="625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24">
        <v>4680115887442</v>
      </c>
      <c r="E368" s="625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2"/>
      <c r="R368" s="622"/>
      <c r="S368" s="622"/>
      <c r="T368" s="623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hidden="1" customHeight="1" x14ac:dyDescent="0.25">
      <c r="A369" s="54" t="s">
        <v>606</v>
      </c>
      <c r="B369" s="54" t="s">
        <v>607</v>
      </c>
      <c r="C369" s="31">
        <v>4301031066</v>
      </c>
      <c r="D369" s="624">
        <v>4607091383836</v>
      </c>
      <c r="E369" s="625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2"/>
      <c r="R369" s="622"/>
      <c r="S369" s="622"/>
      <c r="T369" s="623"/>
      <c r="U369" s="34"/>
      <c r="V369" s="34"/>
      <c r="W369" s="35" t="s">
        <v>67</v>
      </c>
      <c r="X369" s="617">
        <v>0</v>
      </c>
      <c r="Y369" s="618">
        <f t="shared" si="56"/>
        <v>0</v>
      </c>
      <c r="Z369" s="36" t="str">
        <f>IFERROR(IF(Y369=0,"",ROUNDUP(Y369/H369,0)*0.00651),"")</f>
        <v/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0</v>
      </c>
      <c r="BN369" s="64">
        <f t="shared" si="58"/>
        <v>0</v>
      </c>
      <c r="BO369" s="64">
        <f t="shared" si="59"/>
        <v>0</v>
      </c>
      <c r="BP369" s="64">
        <f t="shared" si="60"/>
        <v>0</v>
      </c>
    </row>
    <row r="370" spans="1:68" hidden="1" x14ac:dyDescent="0.2">
      <c r="A370" s="632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7" t="s">
        <v>69</v>
      </c>
      <c r="Q370" s="638"/>
      <c r="R370" s="638"/>
      <c r="S370" s="638"/>
      <c r="T370" s="638"/>
      <c r="U370" s="638"/>
      <c r="V370" s="639"/>
      <c r="W370" s="37" t="s">
        <v>70</v>
      </c>
      <c r="X370" s="619">
        <f>IFERROR(X363/H363,"0")+IFERROR(X364/H364,"0")+IFERROR(X365/H365,"0")+IFERROR(X366/H366,"0")+IFERROR(X367/H367,"0")+IFERROR(X368/H368,"0")+IFERROR(X369/H369,"0")</f>
        <v>0</v>
      </c>
      <c r="Y370" s="619">
        <f>IFERROR(Y363/H363,"0")+IFERROR(Y364/H364,"0")+IFERROR(Y365/H365,"0")+IFERROR(Y366/H366,"0")+IFERROR(Y367/H367,"0")+IFERROR(Y368/H368,"0")+IFERROR(Y369/H369,"0")</f>
        <v>0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20"/>
      <c r="AB370" s="620"/>
      <c r="AC370" s="620"/>
    </row>
    <row r="371" spans="1:68" hidden="1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7" t="s">
        <v>69</v>
      </c>
      <c r="Q371" s="638"/>
      <c r="R371" s="638"/>
      <c r="S371" s="638"/>
      <c r="T371" s="638"/>
      <c r="U371" s="638"/>
      <c r="V371" s="639"/>
      <c r="W371" s="37" t="s">
        <v>67</v>
      </c>
      <c r="X371" s="619">
        <f>IFERROR(SUM(X363:X369),"0")</f>
        <v>0</v>
      </c>
      <c r="Y371" s="619">
        <f>IFERROR(SUM(Y363:Y369),"0")</f>
        <v>0</v>
      </c>
      <c r="Z371" s="37"/>
      <c r="AA371" s="620"/>
      <c r="AB371" s="620"/>
      <c r="AC371" s="620"/>
    </row>
    <row r="372" spans="1:68" ht="14.25" hidden="1" customHeight="1" x14ac:dyDescent="0.25">
      <c r="A372" s="636" t="s">
        <v>71</v>
      </c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3"/>
      <c r="P372" s="633"/>
      <c r="Q372" s="633"/>
      <c r="R372" s="633"/>
      <c r="S372" s="633"/>
      <c r="T372" s="633"/>
      <c r="U372" s="633"/>
      <c r="V372" s="633"/>
      <c r="W372" s="633"/>
      <c r="X372" s="633"/>
      <c r="Y372" s="633"/>
      <c r="Z372" s="633"/>
      <c r="AA372" s="612"/>
      <c r="AB372" s="612"/>
      <c r="AC372" s="612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24">
        <v>4607091387766</v>
      </c>
      <c r="E373" s="625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2"/>
      <c r="R373" s="622"/>
      <c r="S373" s="622"/>
      <c r="T373" s="623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24">
        <v>4607091387957</v>
      </c>
      <c r="E374" s="625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80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2"/>
      <c r="R374" s="622"/>
      <c r="S374" s="622"/>
      <c r="T374" s="623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24">
        <v>4607091387964</v>
      </c>
      <c r="E375" s="625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2"/>
      <c r="R375" s="622"/>
      <c r="S375" s="622"/>
      <c r="T375" s="623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24">
        <v>4680115884588</v>
      </c>
      <c r="E376" s="625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4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2"/>
      <c r="R376" s="622"/>
      <c r="S376" s="622"/>
      <c r="T376" s="623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2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7" t="s">
        <v>69</v>
      </c>
      <c r="Q377" s="638"/>
      <c r="R377" s="638"/>
      <c r="S377" s="638"/>
      <c r="T377" s="638"/>
      <c r="U377" s="638"/>
      <c r="V377" s="639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7" t="s">
        <v>69</v>
      </c>
      <c r="Q378" s="638"/>
      <c r="R378" s="638"/>
      <c r="S378" s="638"/>
      <c r="T378" s="638"/>
      <c r="U378" s="638"/>
      <c r="V378" s="639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6" t="s">
        <v>161</v>
      </c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3"/>
      <c r="P379" s="633"/>
      <c r="Q379" s="633"/>
      <c r="R379" s="633"/>
      <c r="S379" s="633"/>
      <c r="T379" s="633"/>
      <c r="U379" s="633"/>
      <c r="V379" s="633"/>
      <c r="W379" s="633"/>
      <c r="X379" s="633"/>
      <c r="Y379" s="633"/>
      <c r="Z379" s="633"/>
      <c r="AA379" s="612"/>
      <c r="AB379" s="612"/>
      <c r="AC379" s="612"/>
    </row>
    <row r="380" spans="1:68" ht="27" customHeight="1" x14ac:dyDescent="0.25">
      <c r="A380" s="54" t="s">
        <v>620</v>
      </c>
      <c r="B380" s="54" t="s">
        <v>621</v>
      </c>
      <c r="C380" s="31">
        <v>4301060387</v>
      </c>
      <c r="D380" s="624">
        <v>4607091380880</v>
      </c>
      <c r="E380" s="625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6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7">
        <v>82</v>
      </c>
      <c r="Y380" s="618">
        <f>IFERROR(IF(X380="",0,CEILING((X380/$H380),1)*$H380),"")</f>
        <v>84</v>
      </c>
      <c r="Z380" s="36">
        <f>IFERROR(IF(Y380=0,"",ROUNDUP(Y380/H380,0)*0.01898),"")</f>
        <v>0.1898</v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86.822380952380954</v>
      </c>
      <c r="BN380" s="64">
        <f>IFERROR(Y380*I380/H380,"0")</f>
        <v>88.94</v>
      </c>
      <c r="BO380" s="64">
        <f>IFERROR(1/J380*(X380/H380),"0")</f>
        <v>0.15252976190476189</v>
      </c>
      <c r="BP380" s="64">
        <f>IFERROR(1/J380*(Y380/H380),"0")</f>
        <v>0.15625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24">
        <v>4607091384482</v>
      </c>
      <c r="E381" s="625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5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2"/>
      <c r="R381" s="622"/>
      <c r="S381" s="622"/>
      <c r="T381" s="623"/>
      <c r="U381" s="34"/>
      <c r="V381" s="34"/>
      <c r="W381" s="35" t="s">
        <v>67</v>
      </c>
      <c r="X381" s="617">
        <v>166</v>
      </c>
      <c r="Y381" s="618">
        <f>IFERROR(IF(X381="",0,CEILING((X381/$H381),1)*$H381),"")</f>
        <v>171.6</v>
      </c>
      <c r="Z381" s="36">
        <f>IFERROR(IF(Y381=0,"",ROUNDUP(Y381/H381,0)*0.01898),"")</f>
        <v>0.41755999999999999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176.51333333333335</v>
      </c>
      <c r="BN381" s="64">
        <f>IFERROR(Y381*I381/H381,"0")</f>
        <v>182.46800000000002</v>
      </c>
      <c r="BO381" s="64">
        <f>IFERROR(1/J381*(X381/H381),"0")</f>
        <v>0.33253205128205127</v>
      </c>
      <c r="BP381" s="64">
        <f>IFERROR(1/J381*(Y381/H381),"0")</f>
        <v>0.34375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4301060484</v>
      </c>
      <c r="D382" s="624">
        <v>4607091380897</v>
      </c>
      <c r="E382" s="625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1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2"/>
      <c r="R382" s="622"/>
      <c r="S382" s="622"/>
      <c r="T382" s="623"/>
      <c r="U382" s="34"/>
      <c r="V382" s="34"/>
      <c r="W382" s="35" t="s">
        <v>67</v>
      </c>
      <c r="X382" s="617">
        <v>0</v>
      </c>
      <c r="Y382" s="61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32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7" t="s">
        <v>69</v>
      </c>
      <c r="Q383" s="638"/>
      <c r="R383" s="638"/>
      <c r="S383" s="638"/>
      <c r="T383" s="638"/>
      <c r="U383" s="638"/>
      <c r="V383" s="639"/>
      <c r="W383" s="37" t="s">
        <v>70</v>
      </c>
      <c r="X383" s="619">
        <f>IFERROR(X380/H380,"0")+IFERROR(X381/H381,"0")+IFERROR(X382/H382,"0")</f>
        <v>31.043956043956044</v>
      </c>
      <c r="Y383" s="619">
        <f>IFERROR(Y380/H380,"0")+IFERROR(Y381/H381,"0")+IFERROR(Y382/H382,"0")</f>
        <v>32</v>
      </c>
      <c r="Z383" s="619">
        <f>IFERROR(IF(Z380="",0,Z380),"0")+IFERROR(IF(Z381="",0,Z381),"0")+IFERROR(IF(Z382="",0,Z382),"0")</f>
        <v>0.60736000000000001</v>
      </c>
      <c r="AA383" s="620"/>
      <c r="AB383" s="620"/>
      <c r="AC383" s="620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7" t="s">
        <v>69</v>
      </c>
      <c r="Q384" s="638"/>
      <c r="R384" s="638"/>
      <c r="S384" s="638"/>
      <c r="T384" s="638"/>
      <c r="U384" s="638"/>
      <c r="V384" s="639"/>
      <c r="W384" s="37" t="s">
        <v>67</v>
      </c>
      <c r="X384" s="619">
        <f>IFERROR(SUM(X380:X382),"0")</f>
        <v>248</v>
      </c>
      <c r="Y384" s="619">
        <f>IFERROR(SUM(Y380:Y382),"0")</f>
        <v>255.6</v>
      </c>
      <c r="Z384" s="37"/>
      <c r="AA384" s="620"/>
      <c r="AB384" s="620"/>
      <c r="AC384" s="620"/>
    </row>
    <row r="385" spans="1:68" ht="14.25" hidden="1" customHeight="1" x14ac:dyDescent="0.25">
      <c r="A385" s="636" t="s">
        <v>263</v>
      </c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3"/>
      <c r="P385" s="633"/>
      <c r="Q385" s="633"/>
      <c r="R385" s="633"/>
      <c r="S385" s="633"/>
      <c r="T385" s="633"/>
      <c r="U385" s="633"/>
      <c r="V385" s="633"/>
      <c r="W385" s="633"/>
      <c r="X385" s="633"/>
      <c r="Y385" s="633"/>
      <c r="Z385" s="633"/>
      <c r="AA385" s="612"/>
      <c r="AB385" s="612"/>
      <c r="AC385" s="612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24">
        <v>4607091388381</v>
      </c>
      <c r="E386" s="625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6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4301030232</v>
      </c>
      <c r="D387" s="624">
        <v>4607091388374</v>
      </c>
      <c r="E387" s="625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81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7">
        <v>0</v>
      </c>
      <c r="Y387" s="618">
        <f>IFERROR(IF(X387="",0,CEILING((X387/$H387),1)*$H387),"")</f>
        <v>0</v>
      </c>
      <c r="Z387" s="36" t="str">
        <f>IFERROR(IF(Y387=0,"",ROUNDUP(Y387/H387,0)*0.00902),"")</f>
        <v/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4301032015</v>
      </c>
      <c r="D388" s="624">
        <v>4607091383102</v>
      </c>
      <c r="E388" s="625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3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2"/>
      <c r="R388" s="622"/>
      <c r="S388" s="622"/>
      <c r="T388" s="623"/>
      <c r="U388" s="34"/>
      <c r="V388" s="34"/>
      <c r="W388" s="35" t="s">
        <v>67</v>
      </c>
      <c r="X388" s="617">
        <v>0</v>
      </c>
      <c r="Y388" s="618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636</v>
      </c>
      <c r="B389" s="54" t="s">
        <v>637</v>
      </c>
      <c r="C389" s="31">
        <v>4301030233</v>
      </c>
      <c r="D389" s="624">
        <v>4607091388404</v>
      </c>
      <c r="E389" s="625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5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2"/>
      <c r="R389" s="622"/>
      <c r="S389" s="622"/>
      <c r="T389" s="623"/>
      <c r="U389" s="34"/>
      <c r="V389" s="34"/>
      <c r="W389" s="35" t="s">
        <v>67</v>
      </c>
      <c r="X389" s="617">
        <v>0</v>
      </c>
      <c r="Y389" s="618">
        <f>IFERROR(IF(X389="",0,CEILING((X389/$H389),1)*$H389),"")</f>
        <v>0</v>
      </c>
      <c r="Z389" s="36" t="str">
        <f>IFERROR(IF(Y389=0,"",ROUNDUP(Y389/H389,0)*0.00651),"")</f>
        <v/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32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7" t="s">
        <v>69</v>
      </c>
      <c r="Q390" s="638"/>
      <c r="R390" s="638"/>
      <c r="S390" s="638"/>
      <c r="T390" s="638"/>
      <c r="U390" s="638"/>
      <c r="V390" s="639"/>
      <c r="W390" s="37" t="s">
        <v>70</v>
      </c>
      <c r="X390" s="619">
        <f>IFERROR(X386/H386,"0")+IFERROR(X387/H387,"0")+IFERROR(X388/H388,"0")+IFERROR(X389/H389,"0")</f>
        <v>0</v>
      </c>
      <c r="Y390" s="619">
        <f>IFERROR(Y386/H386,"0")+IFERROR(Y387/H387,"0")+IFERROR(Y388/H388,"0")+IFERROR(Y389/H389,"0")</f>
        <v>0</v>
      </c>
      <c r="Z390" s="619">
        <f>IFERROR(IF(Z386="",0,Z386),"0")+IFERROR(IF(Z387="",0,Z387),"0")+IFERROR(IF(Z388="",0,Z388),"0")+IFERROR(IF(Z389="",0,Z389),"0")</f>
        <v>0</v>
      </c>
      <c r="AA390" s="620"/>
      <c r="AB390" s="620"/>
      <c r="AC390" s="620"/>
    </row>
    <row r="391" spans="1:68" hidden="1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7" t="s">
        <v>69</v>
      </c>
      <c r="Q391" s="638"/>
      <c r="R391" s="638"/>
      <c r="S391" s="638"/>
      <c r="T391" s="638"/>
      <c r="U391" s="638"/>
      <c r="V391" s="639"/>
      <c r="W391" s="37" t="s">
        <v>67</v>
      </c>
      <c r="X391" s="619">
        <f>IFERROR(SUM(X386:X389),"0")</f>
        <v>0</v>
      </c>
      <c r="Y391" s="619">
        <f>IFERROR(SUM(Y386:Y389),"0")</f>
        <v>0</v>
      </c>
      <c r="Z391" s="37"/>
      <c r="AA391" s="620"/>
      <c r="AB391" s="620"/>
      <c r="AC391" s="620"/>
    </row>
    <row r="392" spans="1:68" ht="14.25" hidden="1" customHeight="1" x14ac:dyDescent="0.25">
      <c r="A392" s="636" t="s">
        <v>638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12"/>
      <c r="AB392" s="612"/>
      <c r="AC392" s="612"/>
    </row>
    <row r="393" spans="1:68" ht="16.5" customHeight="1" x14ac:dyDescent="0.25">
      <c r="A393" s="54" t="s">
        <v>639</v>
      </c>
      <c r="B393" s="54" t="s">
        <v>640</v>
      </c>
      <c r="C393" s="31">
        <v>4301180007</v>
      </c>
      <c r="D393" s="624">
        <v>4680115881808</v>
      </c>
      <c r="E393" s="625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2"/>
      <c r="R393" s="622"/>
      <c r="S393" s="622"/>
      <c r="T393" s="623"/>
      <c r="U393" s="34"/>
      <c r="V393" s="34"/>
      <c r="W393" s="35" t="s">
        <v>67</v>
      </c>
      <c r="X393" s="617">
        <v>23</v>
      </c>
      <c r="Y393" s="618">
        <f>IFERROR(IF(X393="",0,CEILING((X393/$H393),1)*$H393),"")</f>
        <v>24</v>
      </c>
      <c r="Z393" s="36">
        <f>IFERROR(IF(Y393=0,"",ROUNDUP(Y393/H393,0)*0.00474),"")</f>
        <v>5.688E-2</v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25.76</v>
      </c>
      <c r="BN393" s="64">
        <f>IFERROR(Y393*I393/H393,"0")</f>
        <v>26.880000000000003</v>
      </c>
      <c r="BO393" s="64">
        <f>IFERROR(1/J393*(X393/H393),"0")</f>
        <v>4.8319327731092432E-2</v>
      </c>
      <c r="BP393" s="64">
        <f>IFERROR(1/J393*(Y393/H393),"0")</f>
        <v>5.0420168067226892E-2</v>
      </c>
    </row>
    <row r="394" spans="1:68" ht="27" customHeight="1" x14ac:dyDescent="0.25">
      <c r="A394" s="54" t="s">
        <v>643</v>
      </c>
      <c r="B394" s="54" t="s">
        <v>644</v>
      </c>
      <c r="C394" s="31">
        <v>4301180006</v>
      </c>
      <c r="D394" s="624">
        <v>4680115881822</v>
      </c>
      <c r="E394" s="625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9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2"/>
      <c r="R394" s="622"/>
      <c r="S394" s="622"/>
      <c r="T394" s="623"/>
      <c r="U394" s="34"/>
      <c r="V394" s="34"/>
      <c r="W394" s="35" t="s">
        <v>67</v>
      </c>
      <c r="X394" s="617">
        <v>30</v>
      </c>
      <c r="Y394" s="618">
        <f>IFERROR(IF(X394="",0,CEILING((X394/$H394),1)*$H394),"")</f>
        <v>30</v>
      </c>
      <c r="Z394" s="36">
        <f>IFERROR(IF(Y394=0,"",ROUNDUP(Y394/H394,0)*0.00474),"")</f>
        <v>7.110000000000001E-2</v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33.6</v>
      </c>
      <c r="BN394" s="64">
        <f>IFERROR(Y394*I394/H394,"0")</f>
        <v>33.6</v>
      </c>
      <c r="BO394" s="64">
        <f>IFERROR(1/J394*(X394/H394),"0")</f>
        <v>6.3025210084033612E-2</v>
      </c>
      <c r="BP394" s="64">
        <f>IFERROR(1/J394*(Y394/H394),"0")</f>
        <v>6.3025210084033612E-2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24">
        <v>4680115880016</v>
      </c>
      <c r="E395" s="625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2"/>
      <c r="R395" s="622"/>
      <c r="S395" s="622"/>
      <c r="T395" s="623"/>
      <c r="U395" s="34"/>
      <c r="V395" s="34"/>
      <c r="W395" s="35" t="s">
        <v>67</v>
      </c>
      <c r="X395" s="617">
        <v>32</v>
      </c>
      <c r="Y395" s="618">
        <f>IFERROR(IF(X395="",0,CEILING((X395/$H395),1)*$H395),"")</f>
        <v>32</v>
      </c>
      <c r="Z395" s="36">
        <f>IFERROR(IF(Y395=0,"",ROUNDUP(Y395/H395,0)*0.00474),"")</f>
        <v>7.5840000000000005E-2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35.840000000000003</v>
      </c>
      <c r="BN395" s="64">
        <f>IFERROR(Y395*I395/H395,"0")</f>
        <v>35.840000000000003</v>
      </c>
      <c r="BO395" s="64">
        <f>IFERROR(1/J395*(X395/H395),"0")</f>
        <v>6.7226890756302518E-2</v>
      </c>
      <c r="BP395" s="64">
        <f>IFERROR(1/J395*(Y395/H395),"0")</f>
        <v>6.7226890756302518E-2</v>
      </c>
    </row>
    <row r="396" spans="1:68" x14ac:dyDescent="0.2">
      <c r="A396" s="632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7" t="s">
        <v>69</v>
      </c>
      <c r="Q396" s="638"/>
      <c r="R396" s="638"/>
      <c r="S396" s="638"/>
      <c r="T396" s="638"/>
      <c r="U396" s="638"/>
      <c r="V396" s="639"/>
      <c r="W396" s="37" t="s">
        <v>70</v>
      </c>
      <c r="X396" s="619">
        <f>IFERROR(X393/H393,"0")+IFERROR(X394/H394,"0")+IFERROR(X395/H395,"0")</f>
        <v>42.5</v>
      </c>
      <c r="Y396" s="619">
        <f>IFERROR(Y393/H393,"0")+IFERROR(Y394/H394,"0")+IFERROR(Y395/H395,"0")</f>
        <v>43</v>
      </c>
      <c r="Z396" s="619">
        <f>IFERROR(IF(Z393="",0,Z393),"0")+IFERROR(IF(Z394="",0,Z394),"0")+IFERROR(IF(Z395="",0,Z395),"0")</f>
        <v>0.20382</v>
      </c>
      <c r="AA396" s="620"/>
      <c r="AB396" s="620"/>
      <c r="AC396" s="620"/>
    </row>
    <row r="397" spans="1:68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7" t="s">
        <v>69</v>
      </c>
      <c r="Q397" s="638"/>
      <c r="R397" s="638"/>
      <c r="S397" s="638"/>
      <c r="T397" s="638"/>
      <c r="U397" s="638"/>
      <c r="V397" s="639"/>
      <c r="W397" s="37" t="s">
        <v>67</v>
      </c>
      <c r="X397" s="619">
        <f>IFERROR(SUM(X393:X395),"0")</f>
        <v>85</v>
      </c>
      <c r="Y397" s="619">
        <f>IFERROR(SUM(Y393:Y395),"0")</f>
        <v>86</v>
      </c>
      <c r="Z397" s="37"/>
      <c r="AA397" s="620"/>
      <c r="AB397" s="620"/>
      <c r="AC397" s="620"/>
    </row>
    <row r="398" spans="1:68" ht="14.25" hidden="1" customHeight="1" x14ac:dyDescent="0.25">
      <c r="A398" s="636" t="s">
        <v>647</v>
      </c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3"/>
      <c r="P398" s="633"/>
      <c r="Q398" s="633"/>
      <c r="R398" s="633"/>
      <c r="S398" s="633"/>
      <c r="T398" s="633"/>
      <c r="U398" s="633"/>
      <c r="V398" s="633"/>
      <c r="W398" s="633"/>
      <c r="X398" s="633"/>
      <c r="Y398" s="633"/>
      <c r="Z398" s="633"/>
      <c r="AA398" s="612"/>
      <c r="AB398" s="612"/>
      <c r="AC398" s="612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24">
        <v>4680115888678</v>
      </c>
      <c r="E399" s="625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90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24">
        <v>4680115888654</v>
      </c>
      <c r="E400" s="625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1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2"/>
      <c r="R400" s="622"/>
      <c r="S400" s="622"/>
      <c r="T400" s="623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24">
        <v>4680115888753</v>
      </c>
      <c r="E401" s="625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0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2"/>
      <c r="R401" s="622"/>
      <c r="S401" s="622"/>
      <c r="T401" s="623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2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7" t="s">
        <v>69</v>
      </c>
      <c r="Q402" s="638"/>
      <c r="R402" s="638"/>
      <c r="S402" s="638"/>
      <c r="T402" s="638"/>
      <c r="U402" s="638"/>
      <c r="V402" s="639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7" t="s">
        <v>69</v>
      </c>
      <c r="Q403" s="638"/>
      <c r="R403" s="638"/>
      <c r="S403" s="638"/>
      <c r="T403" s="638"/>
      <c r="U403" s="638"/>
      <c r="V403" s="639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42" t="s">
        <v>656</v>
      </c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3"/>
      <c r="P404" s="633"/>
      <c r="Q404" s="633"/>
      <c r="R404" s="633"/>
      <c r="S404" s="633"/>
      <c r="T404" s="633"/>
      <c r="U404" s="633"/>
      <c r="V404" s="633"/>
      <c r="W404" s="633"/>
      <c r="X404" s="633"/>
      <c r="Y404" s="633"/>
      <c r="Z404" s="633"/>
      <c r="AA404" s="611"/>
      <c r="AB404" s="611"/>
      <c r="AC404" s="611"/>
    </row>
    <row r="405" spans="1:68" ht="14.25" hidden="1" customHeight="1" x14ac:dyDescent="0.25">
      <c r="A405" s="636" t="s">
        <v>71</v>
      </c>
      <c r="B405" s="633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3"/>
      <c r="P405" s="633"/>
      <c r="Q405" s="633"/>
      <c r="R405" s="633"/>
      <c r="S405" s="633"/>
      <c r="T405" s="633"/>
      <c r="U405" s="633"/>
      <c r="V405" s="633"/>
      <c r="W405" s="633"/>
      <c r="X405" s="633"/>
      <c r="Y405" s="633"/>
      <c r="Z405" s="633"/>
      <c r="AA405" s="612"/>
      <c r="AB405" s="612"/>
      <c r="AC405" s="612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24">
        <v>4680115889415</v>
      </c>
      <c r="E406" s="625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8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24">
        <v>4680115889422</v>
      </c>
      <c r="E407" s="625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70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2"/>
      <c r="R407" s="622"/>
      <c r="S407" s="622"/>
      <c r="T407" s="623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2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7" t="s">
        <v>69</v>
      </c>
      <c r="Q408" s="638"/>
      <c r="R408" s="638"/>
      <c r="S408" s="638"/>
      <c r="T408" s="638"/>
      <c r="U408" s="638"/>
      <c r="V408" s="639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7" t="s">
        <v>69</v>
      </c>
      <c r="Q409" s="638"/>
      <c r="R409" s="638"/>
      <c r="S409" s="638"/>
      <c r="T409" s="638"/>
      <c r="U409" s="638"/>
      <c r="V409" s="639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42" t="s">
        <v>663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11"/>
      <c r="AB410" s="611"/>
      <c r="AC410" s="611"/>
    </row>
    <row r="411" spans="1:68" ht="14.25" hidden="1" customHeight="1" x14ac:dyDescent="0.25">
      <c r="A411" s="636" t="s">
        <v>71</v>
      </c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3"/>
      <c r="P411" s="633"/>
      <c r="Q411" s="633"/>
      <c r="R411" s="633"/>
      <c r="S411" s="633"/>
      <c r="T411" s="633"/>
      <c r="U411" s="633"/>
      <c r="V411" s="633"/>
      <c r="W411" s="633"/>
      <c r="X411" s="633"/>
      <c r="Y411" s="633"/>
      <c r="Z411" s="633"/>
      <c r="AA411" s="612"/>
      <c r="AB411" s="612"/>
      <c r="AC411" s="612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24">
        <v>4607091387919</v>
      </c>
      <c r="E412" s="625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2"/>
      <c r="R412" s="622"/>
      <c r="S412" s="622"/>
      <c r="T412" s="623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667</v>
      </c>
      <c r="B413" s="54" t="s">
        <v>668</v>
      </c>
      <c r="C413" s="31">
        <v>4301051461</v>
      </c>
      <c r="D413" s="624">
        <v>4680115883604</v>
      </c>
      <c r="E413" s="625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7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2"/>
      <c r="R413" s="622"/>
      <c r="S413" s="622"/>
      <c r="T413" s="623"/>
      <c r="U413" s="34"/>
      <c r="V413" s="34"/>
      <c r="W413" s="35" t="s">
        <v>67</v>
      </c>
      <c r="X413" s="617">
        <v>0</v>
      </c>
      <c r="Y413" s="618">
        <f>IFERROR(IF(X413="",0,CEILING((X413/$H413),1)*$H413),"")</f>
        <v>0</v>
      </c>
      <c r="Z413" s="36" t="str">
        <f>IFERROR(IF(Y413=0,"",ROUNDUP(Y413/H413,0)*0.00651),"")</f>
        <v/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670</v>
      </c>
      <c r="B414" s="54" t="s">
        <v>671</v>
      </c>
      <c r="C414" s="31">
        <v>4301051864</v>
      </c>
      <c r="D414" s="624">
        <v>4680115883567</v>
      </c>
      <c r="E414" s="625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73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2"/>
      <c r="R414" s="622"/>
      <c r="S414" s="622"/>
      <c r="T414" s="623"/>
      <c r="U414" s="34"/>
      <c r="V414" s="34"/>
      <c r="W414" s="35" t="s">
        <v>67</v>
      </c>
      <c r="X414" s="617">
        <v>0</v>
      </c>
      <c r="Y414" s="618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632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7" t="s">
        <v>69</v>
      </c>
      <c r="Q415" s="638"/>
      <c r="R415" s="638"/>
      <c r="S415" s="638"/>
      <c r="T415" s="638"/>
      <c r="U415" s="638"/>
      <c r="V415" s="639"/>
      <c r="W415" s="37" t="s">
        <v>70</v>
      </c>
      <c r="X415" s="619">
        <f>IFERROR(X412/H412,"0")+IFERROR(X413/H413,"0")+IFERROR(X414/H414,"0")</f>
        <v>0</v>
      </c>
      <c r="Y415" s="619">
        <f>IFERROR(Y412/H412,"0")+IFERROR(Y413/H413,"0")+IFERROR(Y414/H414,"0")</f>
        <v>0</v>
      </c>
      <c r="Z415" s="619">
        <f>IFERROR(IF(Z412="",0,Z412),"0")+IFERROR(IF(Z413="",0,Z413),"0")+IFERROR(IF(Z414="",0,Z414),"0")</f>
        <v>0</v>
      </c>
      <c r="AA415" s="620"/>
      <c r="AB415" s="620"/>
      <c r="AC415" s="620"/>
    </row>
    <row r="416" spans="1:68" hidden="1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7" t="s">
        <v>69</v>
      </c>
      <c r="Q416" s="638"/>
      <c r="R416" s="638"/>
      <c r="S416" s="638"/>
      <c r="T416" s="638"/>
      <c r="U416" s="638"/>
      <c r="V416" s="639"/>
      <c r="W416" s="37" t="s">
        <v>67</v>
      </c>
      <c r="X416" s="619">
        <f>IFERROR(SUM(X412:X414),"0")</f>
        <v>0</v>
      </c>
      <c r="Y416" s="619">
        <f>IFERROR(SUM(Y412:Y414),"0")</f>
        <v>0</v>
      </c>
      <c r="Z416" s="37"/>
      <c r="AA416" s="620"/>
      <c r="AB416" s="620"/>
      <c r="AC416" s="620"/>
    </row>
    <row r="417" spans="1:68" ht="27.75" hidden="1" customHeight="1" x14ac:dyDescent="0.2">
      <c r="A417" s="796" t="s">
        <v>673</v>
      </c>
      <c r="B417" s="797"/>
      <c r="C417" s="797"/>
      <c r="D417" s="797"/>
      <c r="E417" s="797"/>
      <c r="F417" s="797"/>
      <c r="G417" s="797"/>
      <c r="H417" s="797"/>
      <c r="I417" s="797"/>
      <c r="J417" s="797"/>
      <c r="K417" s="797"/>
      <c r="L417" s="797"/>
      <c r="M417" s="797"/>
      <c r="N417" s="797"/>
      <c r="O417" s="797"/>
      <c r="P417" s="797"/>
      <c r="Q417" s="797"/>
      <c r="R417" s="797"/>
      <c r="S417" s="797"/>
      <c r="T417" s="797"/>
      <c r="U417" s="797"/>
      <c r="V417" s="797"/>
      <c r="W417" s="797"/>
      <c r="X417" s="797"/>
      <c r="Y417" s="797"/>
      <c r="Z417" s="797"/>
      <c r="AA417" s="48"/>
      <c r="AB417" s="48"/>
      <c r="AC417" s="48"/>
    </row>
    <row r="418" spans="1:68" ht="16.5" hidden="1" customHeight="1" x14ac:dyDescent="0.25">
      <c r="A418" s="642" t="s">
        <v>674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611"/>
      <c r="AB418" s="611"/>
      <c r="AC418" s="611"/>
    </row>
    <row r="419" spans="1:68" ht="14.25" hidden="1" customHeight="1" x14ac:dyDescent="0.25">
      <c r="A419" s="636" t="s">
        <v>108</v>
      </c>
      <c r="B419" s="633"/>
      <c r="C419" s="633"/>
      <c r="D419" s="633"/>
      <c r="E419" s="633"/>
      <c r="F419" s="633"/>
      <c r="G419" s="633"/>
      <c r="H419" s="633"/>
      <c r="I419" s="633"/>
      <c r="J419" s="633"/>
      <c r="K419" s="633"/>
      <c r="L419" s="633"/>
      <c r="M419" s="633"/>
      <c r="N419" s="633"/>
      <c r="O419" s="633"/>
      <c r="P419" s="633"/>
      <c r="Q419" s="633"/>
      <c r="R419" s="633"/>
      <c r="S419" s="633"/>
      <c r="T419" s="633"/>
      <c r="U419" s="633"/>
      <c r="V419" s="633"/>
      <c r="W419" s="633"/>
      <c r="X419" s="633"/>
      <c r="Y419" s="633"/>
      <c r="Z419" s="633"/>
      <c r="AA419" s="612"/>
      <c r="AB419" s="612"/>
      <c r="AC419" s="612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24">
        <v>4680115888401</v>
      </c>
      <c r="E420" s="625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2"/>
      <c r="R420" s="622"/>
      <c r="S420" s="622"/>
      <c r="T420" s="623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24">
        <v>4680115884847</v>
      </c>
      <c r="E421" s="625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94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2"/>
      <c r="R421" s="622"/>
      <c r="S421" s="622"/>
      <c r="T421" s="623"/>
      <c r="U421" s="34"/>
      <c r="V421" s="34"/>
      <c r="W421" s="35" t="s">
        <v>67</v>
      </c>
      <c r="X421" s="617">
        <v>1648</v>
      </c>
      <c r="Y421" s="618">
        <f t="shared" si="61"/>
        <v>1650</v>
      </c>
      <c r="Z421" s="36">
        <f>IFERROR(IF(Y421=0,"",ROUNDUP(Y421/H421,0)*0.02175),"")</f>
        <v>2.3924999999999996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1699.6373333333333</v>
      </c>
      <c r="BN421" s="64">
        <f t="shared" si="63"/>
        <v>1701.7</v>
      </c>
      <c r="BO421" s="64">
        <f t="shared" si="64"/>
        <v>2.2888888888888888</v>
      </c>
      <c r="BP421" s="64">
        <f t="shared" si="65"/>
        <v>2.2916666666666665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24">
        <v>4680115884854</v>
      </c>
      <c r="E422" s="625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7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2"/>
      <c r="R422" s="622"/>
      <c r="S422" s="622"/>
      <c r="T422" s="623"/>
      <c r="U422" s="34"/>
      <c r="V422" s="34"/>
      <c r="W422" s="35" t="s">
        <v>67</v>
      </c>
      <c r="X422" s="617">
        <v>1583</v>
      </c>
      <c r="Y422" s="618">
        <f t="shared" si="61"/>
        <v>1590</v>
      </c>
      <c r="Z422" s="36">
        <f>IFERROR(IF(Y422=0,"",ROUNDUP(Y422/H422,0)*0.02175),"")</f>
        <v>2.3054999999999999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1632.6006666666667</v>
      </c>
      <c r="BN422" s="64">
        <f t="shared" si="63"/>
        <v>1639.82</v>
      </c>
      <c r="BO422" s="64">
        <f t="shared" si="64"/>
        <v>2.1986111111111111</v>
      </c>
      <c r="BP422" s="64">
        <f t="shared" si="65"/>
        <v>2.208333333333333</v>
      </c>
    </row>
    <row r="423" spans="1:68" ht="27" hidden="1" customHeight="1" x14ac:dyDescent="0.25">
      <c r="A423" s="54" t="s">
        <v>684</v>
      </c>
      <c r="B423" s="54" t="s">
        <v>685</v>
      </c>
      <c r="C423" s="31">
        <v>4301011867</v>
      </c>
      <c r="D423" s="624">
        <v>4680115884830</v>
      </c>
      <c r="E423" s="625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3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7">
        <v>0</v>
      </c>
      <c r="Y423" s="618">
        <f t="shared" si="61"/>
        <v>0</v>
      </c>
      <c r="Z423" s="36" t="str">
        <f>IFERROR(IF(Y423=0,"",ROUNDUP(Y423/H423,0)*0.02175),"")</f>
        <v/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0</v>
      </c>
      <c r="BN423" s="64">
        <f t="shared" si="63"/>
        <v>0</v>
      </c>
      <c r="BO423" s="64">
        <f t="shared" si="64"/>
        <v>0</v>
      </c>
      <c r="BP423" s="64">
        <f t="shared" si="65"/>
        <v>0</v>
      </c>
    </row>
    <row r="424" spans="1:68" ht="27" customHeight="1" x14ac:dyDescent="0.25">
      <c r="A424" s="54" t="s">
        <v>687</v>
      </c>
      <c r="B424" s="54" t="s">
        <v>688</v>
      </c>
      <c r="C424" s="31">
        <v>4301012356</v>
      </c>
      <c r="D424" s="624">
        <v>4680115889231</v>
      </c>
      <c r="E424" s="625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8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7">
        <v>608</v>
      </c>
      <c r="Y424" s="618">
        <f t="shared" si="61"/>
        <v>615</v>
      </c>
      <c r="Z424" s="36">
        <f>IFERROR(IF(Y424=0,"",ROUNDUP(Y424/H424,0)*0.02175),"")</f>
        <v>0.89174999999999993</v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627.05066666666664</v>
      </c>
      <c r="BN424" s="64">
        <f t="shared" si="63"/>
        <v>634.2700000000001</v>
      </c>
      <c r="BO424" s="64">
        <f t="shared" si="64"/>
        <v>0.84444444444444433</v>
      </c>
      <c r="BP424" s="64">
        <f t="shared" si="65"/>
        <v>0.85416666666666663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24">
        <v>4680115882638</v>
      </c>
      <c r="E425" s="625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2"/>
      <c r="R425" s="622"/>
      <c r="S425" s="622"/>
      <c r="T425" s="623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24">
        <v>4680115884922</v>
      </c>
      <c r="E426" s="625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2"/>
      <c r="R426" s="622"/>
      <c r="S426" s="622"/>
      <c r="T426" s="623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24">
        <v>4680115884861</v>
      </c>
      <c r="E427" s="625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80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2"/>
      <c r="R427" s="622"/>
      <c r="S427" s="622"/>
      <c r="T427" s="623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2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7" t="s">
        <v>69</v>
      </c>
      <c r="Q428" s="638"/>
      <c r="R428" s="638"/>
      <c r="S428" s="638"/>
      <c r="T428" s="638"/>
      <c r="U428" s="638"/>
      <c r="V428" s="639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255.93333333333331</v>
      </c>
      <c r="Y428" s="619">
        <f>IFERROR(Y420/H420,"0")+IFERROR(Y421/H421,"0")+IFERROR(Y422/H422,"0")+IFERROR(Y423/H423,"0")+IFERROR(Y424/H424,"0")+IFERROR(Y425/H425,"0")+IFERROR(Y426/H426,"0")+IFERROR(Y427/H427,"0")</f>
        <v>257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5.5897499999999996</v>
      </c>
      <c r="AA428" s="620"/>
      <c r="AB428" s="620"/>
      <c r="AC428" s="620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7" t="s">
        <v>69</v>
      </c>
      <c r="Q429" s="638"/>
      <c r="R429" s="638"/>
      <c r="S429" s="638"/>
      <c r="T429" s="638"/>
      <c r="U429" s="638"/>
      <c r="V429" s="639"/>
      <c r="W429" s="37" t="s">
        <v>67</v>
      </c>
      <c r="X429" s="619">
        <f>IFERROR(SUM(X420:X427),"0")</f>
        <v>3839</v>
      </c>
      <c r="Y429" s="619">
        <f>IFERROR(SUM(Y420:Y427),"0")</f>
        <v>3855</v>
      </c>
      <c r="Z429" s="37"/>
      <c r="AA429" s="620"/>
      <c r="AB429" s="620"/>
      <c r="AC429" s="620"/>
    </row>
    <row r="430" spans="1:68" ht="14.25" hidden="1" customHeight="1" x14ac:dyDescent="0.25">
      <c r="A430" s="636" t="s">
        <v>143</v>
      </c>
      <c r="B430" s="633"/>
      <c r="C430" s="633"/>
      <c r="D430" s="633"/>
      <c r="E430" s="633"/>
      <c r="F430" s="633"/>
      <c r="G430" s="633"/>
      <c r="H430" s="633"/>
      <c r="I430" s="633"/>
      <c r="J430" s="633"/>
      <c r="K430" s="633"/>
      <c r="L430" s="633"/>
      <c r="M430" s="633"/>
      <c r="N430" s="633"/>
      <c r="O430" s="633"/>
      <c r="P430" s="633"/>
      <c r="Q430" s="633"/>
      <c r="R430" s="633"/>
      <c r="S430" s="633"/>
      <c r="T430" s="633"/>
      <c r="U430" s="633"/>
      <c r="V430" s="633"/>
      <c r="W430" s="633"/>
      <c r="X430" s="633"/>
      <c r="Y430" s="633"/>
      <c r="Z430" s="633"/>
      <c r="AA430" s="612"/>
      <c r="AB430" s="612"/>
      <c r="AC430" s="612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24">
        <v>4607091383980</v>
      </c>
      <c r="E431" s="625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2"/>
      <c r="R431" s="622"/>
      <c r="S431" s="622"/>
      <c r="T431" s="623"/>
      <c r="U431" s="34"/>
      <c r="V431" s="34"/>
      <c r="W431" s="35" t="s">
        <v>67</v>
      </c>
      <c r="X431" s="617">
        <v>1531</v>
      </c>
      <c r="Y431" s="618">
        <f>IFERROR(IF(X431="",0,CEILING((X431/$H431),1)*$H431),"")</f>
        <v>1545</v>
      </c>
      <c r="Z431" s="36">
        <f>IFERROR(IF(Y431=0,"",ROUNDUP(Y431/H431,0)*0.02175),"")</f>
        <v>2.2402499999999996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1578.9713333333334</v>
      </c>
      <c r="BN431" s="64">
        <f>IFERROR(Y431*I431/H431,"0")</f>
        <v>1593.41</v>
      </c>
      <c r="BO431" s="64">
        <f>IFERROR(1/J431*(X431/H431),"0")</f>
        <v>2.1263888888888887</v>
      </c>
      <c r="BP431" s="64">
        <f>IFERROR(1/J431*(Y431/H431),"0")</f>
        <v>2.145833333333333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24">
        <v>4680115888425</v>
      </c>
      <c r="E432" s="625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6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2"/>
      <c r="R432" s="622"/>
      <c r="S432" s="622"/>
      <c r="T432" s="623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24">
        <v>4607091384178</v>
      </c>
      <c r="E433" s="625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2"/>
      <c r="R433" s="622"/>
      <c r="S433" s="622"/>
      <c r="T433" s="623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2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7" t="s">
        <v>69</v>
      </c>
      <c r="Q434" s="638"/>
      <c r="R434" s="638"/>
      <c r="S434" s="638"/>
      <c r="T434" s="638"/>
      <c r="U434" s="638"/>
      <c r="V434" s="639"/>
      <c r="W434" s="37" t="s">
        <v>70</v>
      </c>
      <c r="X434" s="619">
        <f>IFERROR(X431/H431,"0")+IFERROR(X432/H432,"0")+IFERROR(X433/H433,"0")</f>
        <v>102.06666666666666</v>
      </c>
      <c r="Y434" s="619">
        <f>IFERROR(Y431/H431,"0")+IFERROR(Y432/H432,"0")+IFERROR(Y433/H433,"0")</f>
        <v>103</v>
      </c>
      <c r="Z434" s="619">
        <f>IFERROR(IF(Z431="",0,Z431),"0")+IFERROR(IF(Z432="",0,Z432),"0")+IFERROR(IF(Z433="",0,Z433),"0")</f>
        <v>2.2402499999999996</v>
      </c>
      <c r="AA434" s="620"/>
      <c r="AB434" s="620"/>
      <c r="AC434" s="620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7" t="s">
        <v>69</v>
      </c>
      <c r="Q435" s="638"/>
      <c r="R435" s="638"/>
      <c r="S435" s="638"/>
      <c r="T435" s="638"/>
      <c r="U435" s="638"/>
      <c r="V435" s="639"/>
      <c r="W435" s="37" t="s">
        <v>67</v>
      </c>
      <c r="X435" s="619">
        <f>IFERROR(SUM(X431:X433),"0")</f>
        <v>1531</v>
      </c>
      <c r="Y435" s="619">
        <f>IFERROR(SUM(Y431:Y433),"0")</f>
        <v>1545</v>
      </c>
      <c r="Z435" s="37"/>
      <c r="AA435" s="620"/>
      <c r="AB435" s="620"/>
      <c r="AC435" s="620"/>
    </row>
    <row r="436" spans="1:68" ht="14.25" hidden="1" customHeight="1" x14ac:dyDescent="0.25">
      <c r="A436" s="636" t="s">
        <v>71</v>
      </c>
      <c r="B436" s="633"/>
      <c r="C436" s="633"/>
      <c r="D436" s="633"/>
      <c r="E436" s="633"/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3"/>
      <c r="R436" s="633"/>
      <c r="S436" s="633"/>
      <c r="T436" s="633"/>
      <c r="U436" s="633"/>
      <c r="V436" s="633"/>
      <c r="W436" s="633"/>
      <c r="X436" s="633"/>
      <c r="Y436" s="633"/>
      <c r="Z436" s="633"/>
      <c r="AA436" s="612"/>
      <c r="AB436" s="612"/>
      <c r="AC436" s="612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24">
        <v>4607091383928</v>
      </c>
      <c r="E437" s="625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2"/>
      <c r="R437" s="622"/>
      <c r="S437" s="622"/>
      <c r="T437" s="623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24">
        <v>4607091384260</v>
      </c>
      <c r="E438" s="625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2"/>
      <c r="R438" s="622"/>
      <c r="S438" s="622"/>
      <c r="T438" s="623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24">
        <v>4680115889538</v>
      </c>
      <c r="E439" s="625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2"/>
      <c r="R439" s="622"/>
      <c r="S439" s="622"/>
      <c r="T439" s="623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2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7" t="s">
        <v>69</v>
      </c>
      <c r="Q440" s="638"/>
      <c r="R440" s="638"/>
      <c r="S440" s="638"/>
      <c r="T440" s="638"/>
      <c r="U440" s="638"/>
      <c r="V440" s="639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7" t="s">
        <v>69</v>
      </c>
      <c r="Q441" s="638"/>
      <c r="R441" s="638"/>
      <c r="S441" s="638"/>
      <c r="T441" s="638"/>
      <c r="U441" s="638"/>
      <c r="V441" s="639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6" t="s">
        <v>161</v>
      </c>
      <c r="B442" s="633"/>
      <c r="C442" s="633"/>
      <c r="D442" s="633"/>
      <c r="E442" s="633"/>
      <c r="F442" s="633"/>
      <c r="G442" s="633"/>
      <c r="H442" s="633"/>
      <c r="I442" s="633"/>
      <c r="J442" s="633"/>
      <c r="K442" s="633"/>
      <c r="L442" s="633"/>
      <c r="M442" s="633"/>
      <c r="N442" s="633"/>
      <c r="O442" s="633"/>
      <c r="P442" s="633"/>
      <c r="Q442" s="633"/>
      <c r="R442" s="633"/>
      <c r="S442" s="633"/>
      <c r="T442" s="633"/>
      <c r="U442" s="633"/>
      <c r="V442" s="633"/>
      <c r="W442" s="633"/>
      <c r="X442" s="633"/>
      <c r="Y442" s="633"/>
      <c r="Z442" s="633"/>
      <c r="AA442" s="612"/>
      <c r="AB442" s="612"/>
      <c r="AC442" s="612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24">
        <v>4680115889545</v>
      </c>
      <c r="E443" s="625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5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2"/>
      <c r="R443" s="622"/>
      <c r="S443" s="622"/>
      <c r="T443" s="623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720</v>
      </c>
      <c r="B444" s="54" t="s">
        <v>721</v>
      </c>
      <c r="C444" s="31">
        <v>4301060524</v>
      </c>
      <c r="D444" s="624">
        <v>4607091384673</v>
      </c>
      <c r="E444" s="625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2"/>
      <c r="R444" s="622"/>
      <c r="S444" s="622"/>
      <c r="T444" s="623"/>
      <c r="U444" s="34"/>
      <c r="V444" s="34"/>
      <c r="W444" s="35" t="s">
        <v>67</v>
      </c>
      <c r="X444" s="617">
        <v>0</v>
      </c>
      <c r="Y444" s="618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32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7" t="s">
        <v>69</v>
      </c>
      <c r="Q445" s="638"/>
      <c r="R445" s="638"/>
      <c r="S445" s="638"/>
      <c r="T445" s="638"/>
      <c r="U445" s="638"/>
      <c r="V445" s="639"/>
      <c r="W445" s="37" t="s">
        <v>70</v>
      </c>
      <c r="X445" s="619">
        <f>IFERROR(X443/H443,"0")+IFERROR(X444/H444,"0")</f>
        <v>0</v>
      </c>
      <c r="Y445" s="619">
        <f>IFERROR(Y443/H443,"0")+IFERROR(Y444/H444,"0")</f>
        <v>0</v>
      </c>
      <c r="Z445" s="619">
        <f>IFERROR(IF(Z443="",0,Z443),"0")+IFERROR(IF(Z444="",0,Z444),"0")</f>
        <v>0</v>
      </c>
      <c r="AA445" s="620"/>
      <c r="AB445" s="620"/>
      <c r="AC445" s="620"/>
    </row>
    <row r="446" spans="1:68" hidden="1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7" t="s">
        <v>69</v>
      </c>
      <c r="Q446" s="638"/>
      <c r="R446" s="638"/>
      <c r="S446" s="638"/>
      <c r="T446" s="638"/>
      <c r="U446" s="638"/>
      <c r="V446" s="639"/>
      <c r="W446" s="37" t="s">
        <v>67</v>
      </c>
      <c r="X446" s="619">
        <f>IFERROR(SUM(X443:X444),"0")</f>
        <v>0</v>
      </c>
      <c r="Y446" s="619">
        <f>IFERROR(SUM(Y443:Y444),"0")</f>
        <v>0</v>
      </c>
      <c r="Z446" s="37"/>
      <c r="AA446" s="620"/>
      <c r="AB446" s="620"/>
      <c r="AC446" s="620"/>
    </row>
    <row r="447" spans="1:68" ht="16.5" hidden="1" customHeight="1" x14ac:dyDescent="0.25">
      <c r="A447" s="642" t="s">
        <v>723</v>
      </c>
      <c r="B447" s="633"/>
      <c r="C447" s="633"/>
      <c r="D447" s="633"/>
      <c r="E447" s="633"/>
      <c r="F447" s="633"/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633"/>
      <c r="T447" s="633"/>
      <c r="U447" s="633"/>
      <c r="V447" s="633"/>
      <c r="W447" s="633"/>
      <c r="X447" s="633"/>
      <c r="Y447" s="633"/>
      <c r="Z447" s="633"/>
      <c r="AA447" s="611"/>
      <c r="AB447" s="611"/>
      <c r="AC447" s="611"/>
    </row>
    <row r="448" spans="1:68" ht="14.25" hidden="1" customHeight="1" x14ac:dyDescent="0.25">
      <c r="A448" s="636" t="s">
        <v>108</v>
      </c>
      <c r="B448" s="633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3"/>
      <c r="P448" s="633"/>
      <c r="Q448" s="633"/>
      <c r="R448" s="633"/>
      <c r="S448" s="633"/>
      <c r="T448" s="633"/>
      <c r="U448" s="633"/>
      <c r="V448" s="633"/>
      <c r="W448" s="633"/>
      <c r="X448" s="633"/>
      <c r="Y448" s="633"/>
      <c r="Z448" s="633"/>
      <c r="AA448" s="612"/>
      <c r="AB448" s="612"/>
      <c r="AC448" s="612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24">
        <v>4680115884885</v>
      </c>
      <c r="E449" s="625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6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2"/>
      <c r="R449" s="622"/>
      <c r="S449" s="622"/>
      <c r="T449" s="623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24">
        <v>4680115884908</v>
      </c>
      <c r="E450" s="625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2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7" t="s">
        <v>69</v>
      </c>
      <c r="Q451" s="638"/>
      <c r="R451" s="638"/>
      <c r="S451" s="638"/>
      <c r="T451" s="638"/>
      <c r="U451" s="638"/>
      <c r="V451" s="639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7" t="s">
        <v>69</v>
      </c>
      <c r="Q452" s="638"/>
      <c r="R452" s="638"/>
      <c r="S452" s="638"/>
      <c r="T452" s="638"/>
      <c r="U452" s="638"/>
      <c r="V452" s="639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6" t="s">
        <v>62</v>
      </c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3"/>
      <c r="P453" s="633"/>
      <c r="Q453" s="633"/>
      <c r="R453" s="633"/>
      <c r="S453" s="633"/>
      <c r="T453" s="633"/>
      <c r="U453" s="633"/>
      <c r="V453" s="633"/>
      <c r="W453" s="633"/>
      <c r="X453" s="633"/>
      <c r="Y453" s="633"/>
      <c r="Z453" s="633"/>
      <c r="AA453" s="612"/>
      <c r="AB453" s="612"/>
      <c r="AC453" s="612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24">
        <v>4607091384802</v>
      </c>
      <c r="E454" s="625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5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2"/>
      <c r="R454" s="622"/>
      <c r="S454" s="622"/>
      <c r="T454" s="623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2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7" t="s">
        <v>69</v>
      </c>
      <c r="Q455" s="638"/>
      <c r="R455" s="638"/>
      <c r="S455" s="638"/>
      <c r="T455" s="638"/>
      <c r="U455" s="638"/>
      <c r="V455" s="639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7" t="s">
        <v>69</v>
      </c>
      <c r="Q456" s="638"/>
      <c r="R456" s="638"/>
      <c r="S456" s="638"/>
      <c r="T456" s="638"/>
      <c r="U456" s="638"/>
      <c r="V456" s="639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6" t="s">
        <v>71</v>
      </c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3"/>
      <c r="P457" s="633"/>
      <c r="Q457" s="633"/>
      <c r="R457" s="633"/>
      <c r="S457" s="633"/>
      <c r="T457" s="633"/>
      <c r="U457" s="633"/>
      <c r="V457" s="633"/>
      <c r="W457" s="633"/>
      <c r="X457" s="633"/>
      <c r="Y457" s="633"/>
      <c r="Z457" s="633"/>
      <c r="AA457" s="612"/>
      <c r="AB457" s="612"/>
      <c r="AC457" s="612"/>
    </row>
    <row r="458" spans="1:68" ht="27" customHeight="1" x14ac:dyDescent="0.25">
      <c r="A458" s="54" t="s">
        <v>732</v>
      </c>
      <c r="B458" s="54" t="s">
        <v>733</v>
      </c>
      <c r="C458" s="31">
        <v>4301051899</v>
      </c>
      <c r="D458" s="624">
        <v>4607091384246</v>
      </c>
      <c r="E458" s="625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6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2"/>
      <c r="R458" s="622"/>
      <c r="S458" s="622"/>
      <c r="T458" s="623"/>
      <c r="U458" s="34"/>
      <c r="V458" s="34"/>
      <c r="W458" s="35" t="s">
        <v>67</v>
      </c>
      <c r="X458" s="617">
        <v>211</v>
      </c>
      <c r="Y458" s="618">
        <f>IFERROR(IF(X458="",0,CEILING((X458/$H458),1)*$H458),"")</f>
        <v>216</v>
      </c>
      <c r="Z458" s="36">
        <f>IFERROR(IF(Y458=0,"",ROUNDUP(Y458/H458,0)*0.01898),"")</f>
        <v>0.45552000000000004</v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222.58155555555555</v>
      </c>
      <c r="BN458" s="64">
        <f>IFERROR(Y458*I458/H458,"0")</f>
        <v>227.85599999999997</v>
      </c>
      <c r="BO458" s="64">
        <f>IFERROR(1/J458*(X458/H458),"0")</f>
        <v>0.36631944444444442</v>
      </c>
      <c r="BP458" s="64">
        <f>IFERROR(1/J458*(Y458/H458),"0")</f>
        <v>0.375</v>
      </c>
    </row>
    <row r="459" spans="1:68" ht="27" hidden="1" customHeight="1" x14ac:dyDescent="0.25">
      <c r="A459" s="54" t="s">
        <v>735</v>
      </c>
      <c r="B459" s="54" t="s">
        <v>736</v>
      </c>
      <c r="C459" s="31">
        <v>4301051660</v>
      </c>
      <c r="D459" s="624">
        <v>4607091384253</v>
      </c>
      <c r="E459" s="625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2"/>
      <c r="R459" s="622"/>
      <c r="S459" s="622"/>
      <c r="T459" s="623"/>
      <c r="U459" s="34"/>
      <c r="V459" s="34"/>
      <c r="W459" s="35" t="s">
        <v>67</v>
      </c>
      <c r="X459" s="617">
        <v>0</v>
      </c>
      <c r="Y459" s="618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24">
        <v>4607091384253</v>
      </c>
      <c r="E460" s="625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2"/>
      <c r="R460" s="622"/>
      <c r="S460" s="622"/>
      <c r="T460" s="623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2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7" t="s">
        <v>69</v>
      </c>
      <c r="Q461" s="638"/>
      <c r="R461" s="638"/>
      <c r="S461" s="638"/>
      <c r="T461" s="638"/>
      <c r="U461" s="638"/>
      <c r="V461" s="639"/>
      <c r="W461" s="37" t="s">
        <v>70</v>
      </c>
      <c r="X461" s="619">
        <f>IFERROR(X458/H458,"0")+IFERROR(X459/H459,"0")+IFERROR(X460/H460,"0")</f>
        <v>23.444444444444443</v>
      </c>
      <c r="Y461" s="619">
        <f>IFERROR(Y458/H458,"0")+IFERROR(Y459/H459,"0")+IFERROR(Y460/H460,"0")</f>
        <v>24</v>
      </c>
      <c r="Z461" s="619">
        <f>IFERROR(IF(Z458="",0,Z458),"0")+IFERROR(IF(Z459="",0,Z459),"0")+IFERROR(IF(Z460="",0,Z460),"0")</f>
        <v>0.45552000000000004</v>
      </c>
      <c r="AA461" s="620"/>
      <c r="AB461" s="620"/>
      <c r="AC461" s="620"/>
    </row>
    <row r="462" spans="1:68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7" t="s">
        <v>69</v>
      </c>
      <c r="Q462" s="638"/>
      <c r="R462" s="638"/>
      <c r="S462" s="638"/>
      <c r="T462" s="638"/>
      <c r="U462" s="638"/>
      <c r="V462" s="639"/>
      <c r="W462" s="37" t="s">
        <v>67</v>
      </c>
      <c r="X462" s="619">
        <f>IFERROR(SUM(X458:X460),"0")</f>
        <v>211</v>
      </c>
      <c r="Y462" s="619">
        <f>IFERROR(SUM(Y458:Y460),"0")</f>
        <v>216</v>
      </c>
      <c r="Z462" s="37"/>
      <c r="AA462" s="620"/>
      <c r="AB462" s="620"/>
      <c r="AC462" s="620"/>
    </row>
    <row r="463" spans="1:68" ht="27.75" hidden="1" customHeight="1" x14ac:dyDescent="0.2">
      <c r="A463" s="796" t="s">
        <v>739</v>
      </c>
      <c r="B463" s="797"/>
      <c r="C463" s="797"/>
      <c r="D463" s="797"/>
      <c r="E463" s="797"/>
      <c r="F463" s="797"/>
      <c r="G463" s="797"/>
      <c r="H463" s="797"/>
      <c r="I463" s="797"/>
      <c r="J463" s="797"/>
      <c r="K463" s="797"/>
      <c r="L463" s="797"/>
      <c r="M463" s="797"/>
      <c r="N463" s="797"/>
      <c r="O463" s="797"/>
      <c r="P463" s="797"/>
      <c r="Q463" s="797"/>
      <c r="R463" s="797"/>
      <c r="S463" s="797"/>
      <c r="T463" s="797"/>
      <c r="U463" s="797"/>
      <c r="V463" s="797"/>
      <c r="W463" s="797"/>
      <c r="X463" s="797"/>
      <c r="Y463" s="797"/>
      <c r="Z463" s="797"/>
      <c r="AA463" s="48"/>
      <c r="AB463" s="48"/>
      <c r="AC463" s="48"/>
    </row>
    <row r="464" spans="1:68" ht="16.5" hidden="1" customHeight="1" x14ac:dyDescent="0.25">
      <c r="A464" s="642" t="s">
        <v>740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11"/>
      <c r="AB464" s="611"/>
      <c r="AC464" s="611"/>
    </row>
    <row r="465" spans="1:68" ht="14.25" hidden="1" customHeight="1" x14ac:dyDescent="0.25">
      <c r="A465" s="636" t="s">
        <v>62</v>
      </c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3"/>
      <c r="P465" s="633"/>
      <c r="Q465" s="633"/>
      <c r="R465" s="633"/>
      <c r="S465" s="633"/>
      <c r="T465" s="633"/>
      <c r="U465" s="633"/>
      <c r="V465" s="633"/>
      <c r="W465" s="633"/>
      <c r="X465" s="633"/>
      <c r="Y465" s="633"/>
      <c r="Z465" s="633"/>
      <c r="AA465" s="612"/>
      <c r="AB465" s="612"/>
      <c r="AC465" s="612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24">
        <v>4680115886100</v>
      </c>
      <c r="E466" s="625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72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2"/>
      <c r="R466" s="622"/>
      <c r="S466" s="622"/>
      <c r="T466" s="623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24">
        <v>4680115886124</v>
      </c>
      <c r="E467" s="625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5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2"/>
      <c r="R467" s="622"/>
      <c r="S467" s="622"/>
      <c r="T467" s="623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24">
        <v>4607091384338</v>
      </c>
      <c r="E468" s="625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24">
        <v>4680115883161</v>
      </c>
      <c r="E469" s="625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5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2"/>
      <c r="R469" s="622"/>
      <c r="S469" s="622"/>
      <c r="T469" s="623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24">
        <v>4607091389531</v>
      </c>
      <c r="E470" s="625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2"/>
      <c r="R470" s="622"/>
      <c r="S470" s="622"/>
      <c r="T470" s="623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24">
        <v>4607091384345</v>
      </c>
      <c r="E471" s="625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2"/>
      <c r="R471" s="622"/>
      <c r="S471" s="622"/>
      <c r="T471" s="623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2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7" t="s">
        <v>69</v>
      </c>
      <c r="Q472" s="638"/>
      <c r="R472" s="638"/>
      <c r="S472" s="638"/>
      <c r="T472" s="638"/>
      <c r="U472" s="638"/>
      <c r="V472" s="639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7" t="s">
        <v>69</v>
      </c>
      <c r="Q473" s="638"/>
      <c r="R473" s="638"/>
      <c r="S473" s="638"/>
      <c r="T473" s="638"/>
      <c r="U473" s="638"/>
      <c r="V473" s="639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6" t="s">
        <v>71</v>
      </c>
      <c r="B474" s="633"/>
      <c r="C474" s="633"/>
      <c r="D474" s="633"/>
      <c r="E474" s="633"/>
      <c r="F474" s="633"/>
      <c r="G474" s="633"/>
      <c r="H474" s="633"/>
      <c r="I474" s="633"/>
      <c r="J474" s="633"/>
      <c r="K474" s="633"/>
      <c r="L474" s="633"/>
      <c r="M474" s="633"/>
      <c r="N474" s="633"/>
      <c r="O474" s="633"/>
      <c r="P474" s="633"/>
      <c r="Q474" s="633"/>
      <c r="R474" s="633"/>
      <c r="S474" s="633"/>
      <c r="T474" s="633"/>
      <c r="U474" s="633"/>
      <c r="V474" s="633"/>
      <c r="W474" s="633"/>
      <c r="X474" s="633"/>
      <c r="Y474" s="633"/>
      <c r="Z474" s="633"/>
      <c r="AA474" s="612"/>
      <c r="AB474" s="612"/>
      <c r="AC474" s="612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24">
        <v>4607091384352</v>
      </c>
      <c r="E475" s="625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2"/>
      <c r="R475" s="622"/>
      <c r="S475" s="622"/>
      <c r="T475" s="623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2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7" t="s">
        <v>69</v>
      </c>
      <c r="Q476" s="638"/>
      <c r="R476" s="638"/>
      <c r="S476" s="638"/>
      <c r="T476" s="638"/>
      <c r="U476" s="638"/>
      <c r="V476" s="639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7" t="s">
        <v>69</v>
      </c>
      <c r="Q477" s="638"/>
      <c r="R477" s="638"/>
      <c r="S477" s="638"/>
      <c r="T477" s="638"/>
      <c r="U477" s="638"/>
      <c r="V477" s="639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42" t="s">
        <v>760</v>
      </c>
      <c r="B478" s="633"/>
      <c r="C478" s="633"/>
      <c r="D478" s="633"/>
      <c r="E478" s="633"/>
      <c r="F478" s="633"/>
      <c r="G478" s="633"/>
      <c r="H478" s="633"/>
      <c r="I478" s="633"/>
      <c r="J478" s="633"/>
      <c r="K478" s="633"/>
      <c r="L478" s="633"/>
      <c r="M478" s="633"/>
      <c r="N478" s="633"/>
      <c r="O478" s="633"/>
      <c r="P478" s="633"/>
      <c r="Q478" s="633"/>
      <c r="R478" s="633"/>
      <c r="S478" s="633"/>
      <c r="T478" s="633"/>
      <c r="U478" s="633"/>
      <c r="V478" s="633"/>
      <c r="W478" s="633"/>
      <c r="X478" s="633"/>
      <c r="Y478" s="633"/>
      <c r="Z478" s="633"/>
      <c r="AA478" s="611"/>
      <c r="AB478" s="611"/>
      <c r="AC478" s="611"/>
    </row>
    <row r="479" spans="1:68" ht="14.25" hidden="1" customHeight="1" x14ac:dyDescent="0.25">
      <c r="A479" s="636" t="s">
        <v>143</v>
      </c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3"/>
      <c r="P479" s="633"/>
      <c r="Q479" s="633"/>
      <c r="R479" s="633"/>
      <c r="S479" s="633"/>
      <c r="T479" s="633"/>
      <c r="U479" s="633"/>
      <c r="V479" s="633"/>
      <c r="W479" s="633"/>
      <c r="X479" s="633"/>
      <c r="Y479" s="633"/>
      <c r="Z479" s="633"/>
      <c r="AA479" s="612"/>
      <c r="AB479" s="612"/>
      <c r="AC479" s="612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24">
        <v>4680115885240</v>
      </c>
      <c r="E480" s="625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4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2"/>
      <c r="R480" s="622"/>
      <c r="S480" s="622"/>
      <c r="T480" s="623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2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7" t="s">
        <v>69</v>
      </c>
      <c r="Q481" s="638"/>
      <c r="R481" s="638"/>
      <c r="S481" s="638"/>
      <c r="T481" s="638"/>
      <c r="U481" s="638"/>
      <c r="V481" s="639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7" t="s">
        <v>69</v>
      </c>
      <c r="Q482" s="638"/>
      <c r="R482" s="638"/>
      <c r="S482" s="638"/>
      <c r="T482" s="638"/>
      <c r="U482" s="638"/>
      <c r="V482" s="639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6" t="s">
        <v>62</v>
      </c>
      <c r="B483" s="633"/>
      <c r="C483" s="633"/>
      <c r="D483" s="633"/>
      <c r="E483" s="633"/>
      <c r="F483" s="633"/>
      <c r="G483" s="633"/>
      <c r="H483" s="633"/>
      <c r="I483" s="633"/>
      <c r="J483" s="633"/>
      <c r="K483" s="633"/>
      <c r="L483" s="633"/>
      <c r="M483" s="633"/>
      <c r="N483" s="633"/>
      <c r="O483" s="633"/>
      <c r="P483" s="633"/>
      <c r="Q483" s="633"/>
      <c r="R483" s="633"/>
      <c r="S483" s="633"/>
      <c r="T483" s="633"/>
      <c r="U483" s="633"/>
      <c r="V483" s="633"/>
      <c r="W483" s="633"/>
      <c r="X483" s="633"/>
      <c r="Y483" s="633"/>
      <c r="Z483" s="633"/>
      <c r="AA483" s="612"/>
      <c r="AB483" s="612"/>
      <c r="AC483" s="612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24">
        <v>4680115886094</v>
      </c>
      <c r="E484" s="625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2"/>
      <c r="R484" s="622"/>
      <c r="S484" s="622"/>
      <c r="T484" s="623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24">
        <v>4680115880771</v>
      </c>
      <c r="E485" s="625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4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2"/>
      <c r="R485" s="622"/>
      <c r="S485" s="622"/>
      <c r="T485" s="623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24">
        <v>4607091389500</v>
      </c>
      <c r="E486" s="625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3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2"/>
      <c r="R486" s="622"/>
      <c r="S486" s="622"/>
      <c r="T486" s="623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2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7" t="s">
        <v>69</v>
      </c>
      <c r="Q487" s="638"/>
      <c r="R487" s="638"/>
      <c r="S487" s="638"/>
      <c r="T487" s="638"/>
      <c r="U487" s="638"/>
      <c r="V487" s="639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7" t="s">
        <v>69</v>
      </c>
      <c r="Q488" s="638"/>
      <c r="R488" s="638"/>
      <c r="S488" s="638"/>
      <c r="T488" s="638"/>
      <c r="U488" s="638"/>
      <c r="V488" s="639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96" t="s">
        <v>772</v>
      </c>
      <c r="B489" s="797"/>
      <c r="C489" s="797"/>
      <c r="D489" s="797"/>
      <c r="E489" s="797"/>
      <c r="F489" s="797"/>
      <c r="G489" s="797"/>
      <c r="H489" s="797"/>
      <c r="I489" s="797"/>
      <c r="J489" s="797"/>
      <c r="K489" s="797"/>
      <c r="L489" s="797"/>
      <c r="M489" s="797"/>
      <c r="N489" s="797"/>
      <c r="O489" s="797"/>
      <c r="P489" s="797"/>
      <c r="Q489" s="797"/>
      <c r="R489" s="797"/>
      <c r="S489" s="797"/>
      <c r="T489" s="797"/>
      <c r="U489" s="797"/>
      <c r="V489" s="797"/>
      <c r="W489" s="797"/>
      <c r="X489" s="797"/>
      <c r="Y489" s="797"/>
      <c r="Z489" s="797"/>
      <c r="AA489" s="48"/>
      <c r="AB489" s="48"/>
      <c r="AC489" s="48"/>
    </row>
    <row r="490" spans="1:68" ht="16.5" hidden="1" customHeight="1" x14ac:dyDescent="0.25">
      <c r="A490" s="642" t="s">
        <v>772</v>
      </c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633"/>
      <c r="T490" s="633"/>
      <c r="U490" s="633"/>
      <c r="V490" s="633"/>
      <c r="W490" s="633"/>
      <c r="X490" s="633"/>
      <c r="Y490" s="633"/>
      <c r="Z490" s="633"/>
      <c r="AA490" s="611"/>
      <c r="AB490" s="611"/>
      <c r="AC490" s="611"/>
    </row>
    <row r="491" spans="1:68" ht="14.25" hidden="1" customHeight="1" x14ac:dyDescent="0.25">
      <c r="A491" s="636" t="s">
        <v>108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12"/>
      <c r="AB491" s="612"/>
      <c r="AC491" s="612"/>
    </row>
    <row r="492" spans="1:68" ht="27" hidden="1" customHeight="1" x14ac:dyDescent="0.25">
      <c r="A492" s="54" t="s">
        <v>773</v>
      </c>
      <c r="B492" s="54" t="s">
        <v>774</v>
      </c>
      <c r="C492" s="31">
        <v>4301011769</v>
      </c>
      <c r="D492" s="624">
        <v>4607091389067</v>
      </c>
      <c r="E492" s="625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3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2"/>
      <c r="R492" s="622"/>
      <c r="S492" s="622"/>
      <c r="T492" s="623"/>
      <c r="U492" s="34"/>
      <c r="V492" s="34"/>
      <c r="W492" s="35" t="s">
        <v>67</v>
      </c>
      <c r="X492" s="617">
        <v>0</v>
      </c>
      <c r="Y492" s="618">
        <f t="shared" ref="Y492:Y499" si="71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0</v>
      </c>
      <c r="BN492" s="64">
        <f t="shared" ref="BN492:BN499" si="73">IFERROR(Y492*I492/H492,"0")</f>
        <v>0</v>
      </c>
      <c r="BO492" s="64">
        <f t="shared" ref="BO492:BO499" si="74">IFERROR(1/J492*(X492/H492),"0")</f>
        <v>0</v>
      </c>
      <c r="BP492" s="64">
        <f t="shared" ref="BP492:BP499" si="75">IFERROR(1/J492*(Y492/H492),"0")</f>
        <v>0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24">
        <v>4680115889576</v>
      </c>
      <c r="E493" s="625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2"/>
      <c r="R493" s="622"/>
      <c r="S493" s="622"/>
      <c r="T493" s="623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24">
        <v>4680115885271</v>
      </c>
      <c r="E494" s="625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64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2"/>
      <c r="R494" s="622"/>
      <c r="S494" s="622"/>
      <c r="T494" s="623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24">
        <v>4680115885226</v>
      </c>
      <c r="E495" s="625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2"/>
      <c r="R495" s="622"/>
      <c r="S495" s="622"/>
      <c r="T495" s="623"/>
      <c r="U495" s="34"/>
      <c r="V495" s="34"/>
      <c r="W495" s="35" t="s">
        <v>67</v>
      </c>
      <c r="X495" s="617">
        <v>208</v>
      </c>
      <c r="Y495" s="618">
        <f t="shared" si="71"/>
        <v>211.20000000000002</v>
      </c>
      <c r="Z495" s="36">
        <f>IFERROR(IF(Y495=0,"",ROUNDUP(Y495/H495,0)*0.01196),"")</f>
        <v>0.47839999999999999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221.78787878787878</v>
      </c>
      <c r="BN495" s="64">
        <f t="shared" si="73"/>
        <v>225.2</v>
      </c>
      <c r="BO495" s="64">
        <f t="shared" si="74"/>
        <v>0.37878787878787878</v>
      </c>
      <c r="BP495" s="64">
        <f t="shared" si="75"/>
        <v>0.38461538461538464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24">
        <v>4607091389104</v>
      </c>
      <c r="E496" s="625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2"/>
      <c r="R496" s="622"/>
      <c r="S496" s="622"/>
      <c r="T496" s="623"/>
      <c r="U496" s="34"/>
      <c r="V496" s="34"/>
      <c r="W496" s="35" t="s">
        <v>67</v>
      </c>
      <c r="X496" s="617">
        <v>292</v>
      </c>
      <c r="Y496" s="618">
        <f t="shared" si="71"/>
        <v>295.68</v>
      </c>
      <c r="Z496" s="36">
        <f>IFERROR(IF(Y496=0,"",ROUNDUP(Y496/H496,0)*0.01196),"")</f>
        <v>0.66976000000000002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311.35606060606062</v>
      </c>
      <c r="BN496" s="64">
        <f t="shared" si="73"/>
        <v>315.27999999999997</v>
      </c>
      <c r="BO496" s="64">
        <f t="shared" si="74"/>
        <v>0.5317599067599067</v>
      </c>
      <c r="BP496" s="64">
        <f t="shared" si="75"/>
        <v>0.53846153846153855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24">
        <v>4680115886391</v>
      </c>
      <c r="E497" s="625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2"/>
      <c r="R497" s="622"/>
      <c r="S497" s="622"/>
      <c r="T497" s="623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24">
        <v>4680115880603</v>
      </c>
      <c r="E498" s="625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6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2"/>
      <c r="R498" s="622"/>
      <c r="S498" s="622"/>
      <c r="T498" s="623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hidden="1" customHeight="1" x14ac:dyDescent="0.25">
      <c r="A499" s="54" t="s">
        <v>791</v>
      </c>
      <c r="B499" s="54" t="s">
        <v>792</v>
      </c>
      <c r="C499" s="31">
        <v>4301012034</v>
      </c>
      <c r="D499" s="624">
        <v>4607091389982</v>
      </c>
      <c r="E499" s="625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7">
        <v>0</v>
      </c>
      <c r="Y499" s="618">
        <f t="shared" si="71"/>
        <v>0</v>
      </c>
      <c r="Z499" s="36" t="str">
        <f>IFERROR(IF(Y499=0,"",ROUNDUP(Y499/H499,0)*0.00902),"")</f>
        <v/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0</v>
      </c>
      <c r="BN499" s="64">
        <f t="shared" si="73"/>
        <v>0</v>
      </c>
      <c r="BO499" s="64">
        <f t="shared" si="74"/>
        <v>0</v>
      </c>
      <c r="BP499" s="64">
        <f t="shared" si="75"/>
        <v>0</v>
      </c>
    </row>
    <row r="500" spans="1:68" x14ac:dyDescent="0.2">
      <c r="A500" s="632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7" t="s">
        <v>69</v>
      </c>
      <c r="Q500" s="638"/>
      <c r="R500" s="638"/>
      <c r="S500" s="638"/>
      <c r="T500" s="638"/>
      <c r="U500" s="638"/>
      <c r="V500" s="639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94.696969696969688</v>
      </c>
      <c r="Y500" s="619">
        <f>IFERROR(Y492/H492,"0")+IFERROR(Y493/H493,"0")+IFERROR(Y494/H494,"0")+IFERROR(Y495/H495,"0")+IFERROR(Y496/H496,"0")+IFERROR(Y497/H497,"0")+IFERROR(Y498/H498,"0")+IFERROR(Y499/H499,"0")</f>
        <v>96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1.1481600000000001</v>
      </c>
      <c r="AA500" s="620"/>
      <c r="AB500" s="620"/>
      <c r="AC500" s="620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7" t="s">
        <v>69</v>
      </c>
      <c r="Q501" s="638"/>
      <c r="R501" s="638"/>
      <c r="S501" s="638"/>
      <c r="T501" s="638"/>
      <c r="U501" s="638"/>
      <c r="V501" s="639"/>
      <c r="W501" s="37" t="s">
        <v>67</v>
      </c>
      <c r="X501" s="619">
        <f>IFERROR(SUM(X492:X499),"0")</f>
        <v>500</v>
      </c>
      <c r="Y501" s="619">
        <f>IFERROR(SUM(Y492:Y499),"0")</f>
        <v>506.88</v>
      </c>
      <c r="Z501" s="37"/>
      <c r="AA501" s="620"/>
      <c r="AB501" s="620"/>
      <c r="AC501" s="620"/>
    </row>
    <row r="502" spans="1:68" ht="14.25" hidden="1" customHeight="1" x14ac:dyDescent="0.25">
      <c r="A502" s="636" t="s">
        <v>143</v>
      </c>
      <c r="B502" s="633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3"/>
      <c r="P502" s="633"/>
      <c r="Q502" s="633"/>
      <c r="R502" s="633"/>
      <c r="S502" s="633"/>
      <c r="T502" s="633"/>
      <c r="U502" s="633"/>
      <c r="V502" s="633"/>
      <c r="W502" s="633"/>
      <c r="X502" s="633"/>
      <c r="Y502" s="633"/>
      <c r="Z502" s="633"/>
      <c r="AA502" s="612"/>
      <c r="AB502" s="612"/>
      <c r="AC502" s="612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24">
        <v>4607091388930</v>
      </c>
      <c r="E503" s="625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2"/>
      <c r="R503" s="622"/>
      <c r="S503" s="622"/>
      <c r="T503" s="623"/>
      <c r="U503" s="34"/>
      <c r="V503" s="34"/>
      <c r="W503" s="35" t="s">
        <v>67</v>
      </c>
      <c r="X503" s="617">
        <v>278</v>
      </c>
      <c r="Y503" s="618">
        <f>IFERROR(IF(X503="",0,CEILING((X503/$H503),1)*$H503),"")</f>
        <v>279.84000000000003</v>
      </c>
      <c r="Z503" s="36">
        <f>IFERROR(IF(Y503=0,"",ROUNDUP(Y503/H503,0)*0.01196),"")</f>
        <v>0.63388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296.42803030303025</v>
      </c>
      <c r="BN503" s="64">
        <f>IFERROR(Y503*I503/H503,"0")</f>
        <v>298.39000000000004</v>
      </c>
      <c r="BO503" s="64">
        <f>IFERROR(1/J503*(X503/H503),"0")</f>
        <v>0.50626456876456871</v>
      </c>
      <c r="BP503" s="64">
        <f>IFERROR(1/J503*(Y503/H503),"0")</f>
        <v>0.50961538461538469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24">
        <v>4680115886407</v>
      </c>
      <c r="E504" s="625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2"/>
      <c r="R504" s="622"/>
      <c r="S504" s="622"/>
      <c r="T504" s="623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hidden="1" customHeight="1" x14ac:dyDescent="0.25">
      <c r="A505" s="54" t="s">
        <v>798</v>
      </c>
      <c r="B505" s="54" t="s">
        <v>799</v>
      </c>
      <c r="C505" s="31">
        <v>4301020385</v>
      </c>
      <c r="D505" s="624">
        <v>4680115880054</v>
      </c>
      <c r="E505" s="625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7">
        <v>0</v>
      </c>
      <c r="Y505" s="618">
        <f>IFERROR(IF(X505="",0,CEILING((X505/$H505),1)*$H505),"")</f>
        <v>0</v>
      </c>
      <c r="Z505" s="36" t="str">
        <f>IFERROR(IF(Y505=0,"",ROUNDUP(Y505/H505,0)*0.00902),"")</f>
        <v/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x14ac:dyDescent="0.2">
      <c r="A506" s="632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7" t="s">
        <v>69</v>
      </c>
      <c r="Q506" s="638"/>
      <c r="R506" s="638"/>
      <c r="S506" s="638"/>
      <c r="T506" s="638"/>
      <c r="U506" s="638"/>
      <c r="V506" s="639"/>
      <c r="W506" s="37" t="s">
        <v>70</v>
      </c>
      <c r="X506" s="619">
        <f>IFERROR(X503/H503,"0")+IFERROR(X504/H504,"0")+IFERROR(X505/H505,"0")</f>
        <v>52.651515151515149</v>
      </c>
      <c r="Y506" s="619">
        <f>IFERROR(Y503/H503,"0")+IFERROR(Y504/H504,"0")+IFERROR(Y505/H505,"0")</f>
        <v>53</v>
      </c>
      <c r="Z506" s="619">
        <f>IFERROR(IF(Z503="",0,Z503),"0")+IFERROR(IF(Z504="",0,Z504),"0")+IFERROR(IF(Z505="",0,Z505),"0")</f>
        <v>0.63388</v>
      </c>
      <c r="AA506" s="620"/>
      <c r="AB506" s="620"/>
      <c r="AC506" s="620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7" t="s">
        <v>69</v>
      </c>
      <c r="Q507" s="638"/>
      <c r="R507" s="638"/>
      <c r="S507" s="638"/>
      <c r="T507" s="638"/>
      <c r="U507" s="638"/>
      <c r="V507" s="639"/>
      <c r="W507" s="37" t="s">
        <v>67</v>
      </c>
      <c r="X507" s="619">
        <f>IFERROR(SUM(X503:X505),"0")</f>
        <v>278</v>
      </c>
      <c r="Y507" s="619">
        <f>IFERROR(SUM(Y503:Y505),"0")</f>
        <v>279.84000000000003</v>
      </c>
      <c r="Z507" s="37"/>
      <c r="AA507" s="620"/>
      <c r="AB507" s="620"/>
      <c r="AC507" s="620"/>
    </row>
    <row r="508" spans="1:68" ht="14.25" hidden="1" customHeight="1" x14ac:dyDescent="0.25">
      <c r="A508" s="636" t="s">
        <v>62</v>
      </c>
      <c r="B508" s="633"/>
      <c r="C508" s="633"/>
      <c r="D508" s="633"/>
      <c r="E508" s="633"/>
      <c r="F508" s="633"/>
      <c r="G508" s="633"/>
      <c r="H508" s="633"/>
      <c r="I508" s="633"/>
      <c r="J508" s="633"/>
      <c r="K508" s="633"/>
      <c r="L508" s="633"/>
      <c r="M508" s="633"/>
      <c r="N508" s="633"/>
      <c r="O508" s="633"/>
      <c r="P508" s="633"/>
      <c r="Q508" s="633"/>
      <c r="R508" s="633"/>
      <c r="S508" s="633"/>
      <c r="T508" s="633"/>
      <c r="U508" s="633"/>
      <c r="V508" s="633"/>
      <c r="W508" s="633"/>
      <c r="X508" s="633"/>
      <c r="Y508" s="633"/>
      <c r="Z508" s="633"/>
      <c r="AA508" s="612"/>
      <c r="AB508" s="612"/>
      <c r="AC508" s="612"/>
    </row>
    <row r="509" spans="1:68" ht="27" customHeight="1" x14ac:dyDescent="0.25">
      <c r="A509" s="54" t="s">
        <v>800</v>
      </c>
      <c r="B509" s="54" t="s">
        <v>801</v>
      </c>
      <c r="C509" s="31">
        <v>4301031349</v>
      </c>
      <c r="D509" s="624">
        <v>4680115883116</v>
      </c>
      <c r="E509" s="625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1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2"/>
      <c r="R509" s="622"/>
      <c r="S509" s="622"/>
      <c r="T509" s="623"/>
      <c r="U509" s="34"/>
      <c r="V509" s="34"/>
      <c r="W509" s="35" t="s">
        <v>67</v>
      </c>
      <c r="X509" s="617">
        <v>66</v>
      </c>
      <c r="Y509" s="618">
        <f t="shared" ref="Y509:Y515" si="76">IFERROR(IF(X509="",0,CEILING((X509/$H509),1)*$H509),"")</f>
        <v>68.64</v>
      </c>
      <c r="Z509" s="36">
        <f>IFERROR(IF(Y509=0,"",ROUNDUP(Y509/H509,0)*0.01196),"")</f>
        <v>0.15548000000000001</v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70.375</v>
      </c>
      <c r="BN509" s="64">
        <f t="shared" ref="BN509:BN515" si="78">IFERROR(Y509*I509/H509,"0")</f>
        <v>73.19</v>
      </c>
      <c r="BO509" s="64">
        <f t="shared" ref="BO509:BO515" si="79">IFERROR(1/J509*(X509/H509),"0")</f>
        <v>0.1201923076923077</v>
      </c>
      <c r="BP509" s="64">
        <f t="shared" ref="BP509:BP515" si="80">IFERROR(1/J509*(Y509/H509),"0")</f>
        <v>0.125</v>
      </c>
    </row>
    <row r="510" spans="1:68" ht="27" hidden="1" customHeight="1" x14ac:dyDescent="0.25">
      <c r="A510" s="54" t="s">
        <v>803</v>
      </c>
      <c r="B510" s="54" t="s">
        <v>804</v>
      </c>
      <c r="C510" s="31">
        <v>4301031350</v>
      </c>
      <c r="D510" s="624">
        <v>4680115883093</v>
      </c>
      <c r="E510" s="625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2"/>
      <c r="R510" s="622"/>
      <c r="S510" s="622"/>
      <c r="T510" s="623"/>
      <c r="U510" s="34"/>
      <c r="V510" s="34"/>
      <c r="W510" s="35" t="s">
        <v>67</v>
      </c>
      <c r="X510" s="617">
        <v>0</v>
      </c>
      <c r="Y510" s="618">
        <f t="shared" si="76"/>
        <v>0</v>
      </c>
      <c r="Z510" s="36" t="str">
        <f>IFERROR(IF(Y510=0,"",ROUNDUP(Y510/H510,0)*0.01196),"")</f>
        <v/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0</v>
      </c>
      <c r="BN510" s="64">
        <f t="shared" si="78"/>
        <v>0</v>
      </c>
      <c r="BO510" s="64">
        <f t="shared" si="79"/>
        <v>0</v>
      </c>
      <c r="BP510" s="64">
        <f t="shared" si="80"/>
        <v>0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24">
        <v>4680115883109</v>
      </c>
      <c r="E511" s="625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8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2"/>
      <c r="R511" s="622"/>
      <c r="S511" s="622"/>
      <c r="T511" s="623"/>
      <c r="U511" s="34"/>
      <c r="V511" s="34"/>
      <c r="W511" s="35" t="s">
        <v>67</v>
      </c>
      <c r="X511" s="617">
        <v>140</v>
      </c>
      <c r="Y511" s="618">
        <f t="shared" si="76"/>
        <v>142.56</v>
      </c>
      <c r="Z511" s="36">
        <f>IFERROR(IF(Y511=0,"",ROUNDUP(Y511/H511,0)*0.01196),"")</f>
        <v>0.32291999999999998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149.280303030303</v>
      </c>
      <c r="BN511" s="64">
        <f t="shared" si="78"/>
        <v>152.01</v>
      </c>
      <c r="BO511" s="64">
        <f t="shared" si="79"/>
        <v>0.25495337995337997</v>
      </c>
      <c r="BP511" s="64">
        <f t="shared" si="80"/>
        <v>0.25961538461538464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24">
        <v>4680115882072</v>
      </c>
      <c r="E512" s="625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2"/>
      <c r="R512" s="622"/>
      <c r="S512" s="622"/>
      <c r="T512" s="623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24">
        <v>4680115882102</v>
      </c>
      <c r="E513" s="625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2"/>
      <c r="R513" s="622"/>
      <c r="S513" s="622"/>
      <c r="T513" s="623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24">
        <v>4680115882102</v>
      </c>
      <c r="E514" s="625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78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2"/>
      <c r="R514" s="622"/>
      <c r="S514" s="622"/>
      <c r="T514" s="623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24">
        <v>4680115882096</v>
      </c>
      <c r="E515" s="625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2"/>
      <c r="R515" s="622"/>
      <c r="S515" s="622"/>
      <c r="T515" s="623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2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7" t="s">
        <v>69</v>
      </c>
      <c r="Q516" s="638"/>
      <c r="R516" s="638"/>
      <c r="S516" s="638"/>
      <c r="T516" s="638"/>
      <c r="U516" s="638"/>
      <c r="V516" s="639"/>
      <c r="W516" s="37" t="s">
        <v>70</v>
      </c>
      <c r="X516" s="619">
        <f>IFERROR(X509/H509,"0")+IFERROR(X510/H510,"0")+IFERROR(X511/H511,"0")+IFERROR(X512/H512,"0")+IFERROR(X513/H513,"0")+IFERROR(X514/H514,"0")+IFERROR(X515/H515,"0")</f>
        <v>39.015151515151516</v>
      </c>
      <c r="Y516" s="619">
        <f>IFERROR(Y509/H509,"0")+IFERROR(Y510/H510,"0")+IFERROR(Y511/H511,"0")+IFERROR(Y512/H512,"0")+IFERROR(Y513/H513,"0")+IFERROR(Y514/H514,"0")+IFERROR(Y515/H515,"0")</f>
        <v>40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0.47839999999999999</v>
      </c>
      <c r="AA516" s="620"/>
      <c r="AB516" s="620"/>
      <c r="AC516" s="620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7" t="s">
        <v>69</v>
      </c>
      <c r="Q517" s="638"/>
      <c r="R517" s="638"/>
      <c r="S517" s="638"/>
      <c r="T517" s="638"/>
      <c r="U517" s="638"/>
      <c r="V517" s="639"/>
      <c r="W517" s="37" t="s">
        <v>67</v>
      </c>
      <c r="X517" s="619">
        <f>IFERROR(SUM(X509:X515),"0")</f>
        <v>206</v>
      </c>
      <c r="Y517" s="619">
        <f>IFERROR(SUM(Y509:Y515),"0")</f>
        <v>211.2</v>
      </c>
      <c r="Z517" s="37"/>
      <c r="AA517" s="620"/>
      <c r="AB517" s="620"/>
      <c r="AC517" s="620"/>
    </row>
    <row r="518" spans="1:68" ht="27.75" hidden="1" customHeight="1" x14ac:dyDescent="0.2">
      <c r="A518" s="796" t="s">
        <v>816</v>
      </c>
      <c r="B518" s="797"/>
      <c r="C518" s="797"/>
      <c r="D518" s="797"/>
      <c r="E518" s="797"/>
      <c r="F518" s="797"/>
      <c r="G518" s="797"/>
      <c r="H518" s="797"/>
      <c r="I518" s="797"/>
      <c r="J518" s="797"/>
      <c r="K518" s="797"/>
      <c r="L518" s="797"/>
      <c r="M518" s="797"/>
      <c r="N518" s="797"/>
      <c r="O518" s="797"/>
      <c r="P518" s="797"/>
      <c r="Q518" s="797"/>
      <c r="R518" s="797"/>
      <c r="S518" s="797"/>
      <c r="T518" s="797"/>
      <c r="U518" s="797"/>
      <c r="V518" s="797"/>
      <c r="W518" s="797"/>
      <c r="X518" s="797"/>
      <c r="Y518" s="797"/>
      <c r="Z518" s="797"/>
      <c r="AA518" s="48"/>
      <c r="AB518" s="48"/>
      <c r="AC518" s="48"/>
    </row>
    <row r="519" spans="1:68" ht="16.5" hidden="1" customHeight="1" x14ac:dyDescent="0.25">
      <c r="A519" s="642" t="s">
        <v>816</v>
      </c>
      <c r="B519" s="633"/>
      <c r="C519" s="633"/>
      <c r="D519" s="633"/>
      <c r="E519" s="633"/>
      <c r="F519" s="633"/>
      <c r="G519" s="633"/>
      <c r="H519" s="633"/>
      <c r="I519" s="633"/>
      <c r="J519" s="633"/>
      <c r="K519" s="633"/>
      <c r="L519" s="633"/>
      <c r="M519" s="633"/>
      <c r="N519" s="633"/>
      <c r="O519" s="633"/>
      <c r="P519" s="633"/>
      <c r="Q519" s="633"/>
      <c r="R519" s="633"/>
      <c r="S519" s="633"/>
      <c r="T519" s="633"/>
      <c r="U519" s="633"/>
      <c r="V519" s="633"/>
      <c r="W519" s="633"/>
      <c r="X519" s="633"/>
      <c r="Y519" s="633"/>
      <c r="Z519" s="633"/>
      <c r="AA519" s="611"/>
      <c r="AB519" s="611"/>
      <c r="AC519" s="611"/>
    </row>
    <row r="520" spans="1:68" ht="14.25" hidden="1" customHeight="1" x14ac:dyDescent="0.25">
      <c r="A520" s="636" t="s">
        <v>108</v>
      </c>
      <c r="B520" s="633"/>
      <c r="C520" s="633"/>
      <c r="D520" s="633"/>
      <c r="E520" s="633"/>
      <c r="F520" s="633"/>
      <c r="G520" s="633"/>
      <c r="H520" s="633"/>
      <c r="I520" s="633"/>
      <c r="J520" s="633"/>
      <c r="K520" s="633"/>
      <c r="L520" s="633"/>
      <c r="M520" s="633"/>
      <c r="N520" s="633"/>
      <c r="O520" s="633"/>
      <c r="P520" s="633"/>
      <c r="Q520" s="633"/>
      <c r="R520" s="633"/>
      <c r="S520" s="633"/>
      <c r="T520" s="633"/>
      <c r="U520" s="633"/>
      <c r="V520" s="633"/>
      <c r="W520" s="633"/>
      <c r="X520" s="633"/>
      <c r="Y520" s="633"/>
      <c r="Z520" s="633"/>
      <c r="AA520" s="612"/>
      <c r="AB520" s="612"/>
      <c r="AC520" s="612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24">
        <v>4680115889736</v>
      </c>
      <c r="E521" s="625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40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2"/>
      <c r="R521" s="622"/>
      <c r="S521" s="622"/>
      <c r="T521" s="623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2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7" t="s">
        <v>69</v>
      </c>
      <c r="Q522" s="638"/>
      <c r="R522" s="638"/>
      <c r="S522" s="638"/>
      <c r="T522" s="638"/>
      <c r="U522" s="638"/>
      <c r="V522" s="639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7" t="s">
        <v>69</v>
      </c>
      <c r="Q523" s="638"/>
      <c r="R523" s="638"/>
      <c r="S523" s="638"/>
      <c r="T523" s="638"/>
      <c r="U523" s="638"/>
      <c r="V523" s="639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6" t="s">
        <v>143</v>
      </c>
      <c r="B524" s="633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12"/>
      <c r="AB524" s="612"/>
      <c r="AC524" s="612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24">
        <v>4680115889781</v>
      </c>
      <c r="E525" s="625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9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2"/>
      <c r="R525" s="622"/>
      <c r="S525" s="622"/>
      <c r="T525" s="623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2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7" t="s">
        <v>69</v>
      </c>
      <c r="Q526" s="638"/>
      <c r="R526" s="638"/>
      <c r="S526" s="638"/>
      <c r="T526" s="638"/>
      <c r="U526" s="638"/>
      <c r="V526" s="639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7" t="s">
        <v>69</v>
      </c>
      <c r="Q527" s="638"/>
      <c r="R527" s="638"/>
      <c r="S527" s="638"/>
      <c r="T527" s="638"/>
      <c r="U527" s="638"/>
      <c r="V527" s="639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6" t="s">
        <v>62</v>
      </c>
      <c r="B528" s="633"/>
      <c r="C528" s="633"/>
      <c r="D528" s="633"/>
      <c r="E528" s="633"/>
      <c r="F528" s="633"/>
      <c r="G528" s="633"/>
      <c r="H528" s="633"/>
      <c r="I528" s="633"/>
      <c r="J528" s="633"/>
      <c r="K528" s="633"/>
      <c r="L528" s="633"/>
      <c r="M528" s="633"/>
      <c r="N528" s="633"/>
      <c r="O528" s="633"/>
      <c r="P528" s="633"/>
      <c r="Q528" s="633"/>
      <c r="R528" s="633"/>
      <c r="S528" s="633"/>
      <c r="T528" s="633"/>
      <c r="U528" s="633"/>
      <c r="V528" s="633"/>
      <c r="W528" s="633"/>
      <c r="X528" s="633"/>
      <c r="Y528" s="633"/>
      <c r="Z528" s="633"/>
      <c r="AA528" s="612"/>
      <c r="AB528" s="612"/>
      <c r="AC528" s="612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24">
        <v>4680115889774</v>
      </c>
      <c r="E529" s="625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64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2"/>
      <c r="R529" s="622"/>
      <c r="S529" s="622"/>
      <c r="T529" s="623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2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7" t="s">
        <v>69</v>
      </c>
      <c r="Q530" s="638"/>
      <c r="R530" s="638"/>
      <c r="S530" s="638"/>
      <c r="T530" s="638"/>
      <c r="U530" s="638"/>
      <c r="V530" s="639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7" t="s">
        <v>69</v>
      </c>
      <c r="Q531" s="638"/>
      <c r="R531" s="638"/>
      <c r="S531" s="638"/>
      <c r="T531" s="638"/>
      <c r="U531" s="638"/>
      <c r="V531" s="639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6" t="s">
        <v>71</v>
      </c>
      <c r="B532" s="633"/>
      <c r="C532" s="633"/>
      <c r="D532" s="633"/>
      <c r="E532" s="633"/>
      <c r="F532" s="633"/>
      <c r="G532" s="633"/>
      <c r="H532" s="633"/>
      <c r="I532" s="633"/>
      <c r="J532" s="633"/>
      <c r="K532" s="633"/>
      <c r="L532" s="633"/>
      <c r="M532" s="633"/>
      <c r="N532" s="633"/>
      <c r="O532" s="633"/>
      <c r="P532" s="633"/>
      <c r="Q532" s="633"/>
      <c r="R532" s="633"/>
      <c r="S532" s="633"/>
      <c r="T532" s="633"/>
      <c r="U532" s="633"/>
      <c r="V532" s="633"/>
      <c r="W532" s="633"/>
      <c r="X532" s="633"/>
      <c r="Y532" s="633"/>
      <c r="Z532" s="633"/>
      <c r="AA532" s="612"/>
      <c r="AB532" s="612"/>
      <c r="AC532" s="612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24">
        <v>4680115889811</v>
      </c>
      <c r="E533" s="625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8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7" t="s">
        <v>69</v>
      </c>
      <c r="Q534" s="638"/>
      <c r="R534" s="638"/>
      <c r="S534" s="638"/>
      <c r="T534" s="638"/>
      <c r="U534" s="638"/>
      <c r="V534" s="639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7" t="s">
        <v>69</v>
      </c>
      <c r="Q535" s="638"/>
      <c r="R535" s="638"/>
      <c r="S535" s="638"/>
      <c r="T535" s="638"/>
      <c r="U535" s="638"/>
      <c r="V535" s="639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6" t="s">
        <v>161</v>
      </c>
      <c r="B536" s="633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3"/>
      <c r="P536" s="633"/>
      <c r="Q536" s="633"/>
      <c r="R536" s="633"/>
      <c r="S536" s="633"/>
      <c r="T536" s="633"/>
      <c r="U536" s="633"/>
      <c r="V536" s="633"/>
      <c r="W536" s="633"/>
      <c r="X536" s="633"/>
      <c r="Y536" s="633"/>
      <c r="Z536" s="633"/>
      <c r="AA536" s="612"/>
      <c r="AB536" s="612"/>
      <c r="AC536" s="612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24">
        <v>4680115889804</v>
      </c>
      <c r="E537" s="625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20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2"/>
      <c r="R537" s="622"/>
      <c r="S537" s="622"/>
      <c r="T537" s="623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24">
        <v>4680115889828</v>
      </c>
      <c r="E538" s="625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2"/>
      <c r="R538" s="622"/>
      <c r="S538" s="622"/>
      <c r="T538" s="623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7" t="s">
        <v>69</v>
      </c>
      <c r="Q539" s="638"/>
      <c r="R539" s="638"/>
      <c r="S539" s="638"/>
      <c r="T539" s="638"/>
      <c r="U539" s="638"/>
      <c r="V539" s="639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7" t="s">
        <v>69</v>
      </c>
      <c r="Q540" s="638"/>
      <c r="R540" s="638"/>
      <c r="S540" s="638"/>
      <c r="T540" s="638"/>
      <c r="U540" s="638"/>
      <c r="V540" s="639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42" t="s">
        <v>834</v>
      </c>
      <c r="B541" s="633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3"/>
      <c r="P541" s="633"/>
      <c r="Q541" s="633"/>
      <c r="R541" s="633"/>
      <c r="S541" s="633"/>
      <c r="T541" s="633"/>
      <c r="U541" s="633"/>
      <c r="V541" s="633"/>
      <c r="W541" s="633"/>
      <c r="X541" s="633"/>
      <c r="Y541" s="633"/>
      <c r="Z541" s="633"/>
      <c r="AA541" s="611"/>
      <c r="AB541" s="611"/>
      <c r="AC541" s="611"/>
    </row>
    <row r="542" spans="1:68" ht="14.25" hidden="1" customHeight="1" x14ac:dyDescent="0.25">
      <c r="A542" s="636" t="s">
        <v>143</v>
      </c>
      <c r="B542" s="633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3"/>
      <c r="P542" s="633"/>
      <c r="Q542" s="633"/>
      <c r="R542" s="633"/>
      <c r="S542" s="633"/>
      <c r="T542" s="633"/>
      <c r="U542" s="633"/>
      <c r="V542" s="633"/>
      <c r="W542" s="633"/>
      <c r="X542" s="633"/>
      <c r="Y542" s="633"/>
      <c r="Z542" s="633"/>
      <c r="AA542" s="612"/>
      <c r="AB542" s="612"/>
      <c r="AC542" s="612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24">
        <v>4680115889798</v>
      </c>
      <c r="E543" s="625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78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2"/>
      <c r="R543" s="622"/>
      <c r="S543" s="622"/>
      <c r="T543" s="623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2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7" t="s">
        <v>69</v>
      </c>
      <c r="Q544" s="638"/>
      <c r="R544" s="638"/>
      <c r="S544" s="638"/>
      <c r="T544" s="638"/>
      <c r="U544" s="638"/>
      <c r="V544" s="639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7" t="s">
        <v>69</v>
      </c>
      <c r="Q545" s="638"/>
      <c r="R545" s="638"/>
      <c r="S545" s="638"/>
      <c r="T545" s="638"/>
      <c r="U545" s="638"/>
      <c r="V545" s="639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19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795"/>
      <c r="P546" s="645" t="s">
        <v>838</v>
      </c>
      <c r="Q546" s="646"/>
      <c r="R546" s="646"/>
      <c r="S546" s="646"/>
      <c r="T546" s="646"/>
      <c r="U546" s="646"/>
      <c r="V546" s="647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9486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9584.52</v>
      </c>
      <c r="Z546" s="37"/>
      <c r="AA546" s="620"/>
      <c r="AB546" s="620"/>
      <c r="AC546" s="620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795"/>
      <c r="P547" s="645" t="s">
        <v>839</v>
      </c>
      <c r="Q547" s="646"/>
      <c r="R547" s="646"/>
      <c r="S547" s="646"/>
      <c r="T547" s="646"/>
      <c r="U547" s="646"/>
      <c r="V547" s="647"/>
      <c r="W547" s="37" t="s">
        <v>67</v>
      </c>
      <c r="X547" s="619">
        <f>IFERROR(SUM(BM22:BM543),"0")</f>
        <v>9921.2954600152952</v>
      </c>
      <c r="Y547" s="619">
        <f>IFERROR(SUM(BN22:BN543),"0")</f>
        <v>10024.932000000003</v>
      </c>
      <c r="Z547" s="37"/>
      <c r="AA547" s="620"/>
      <c r="AB547" s="620"/>
      <c r="AC547" s="620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795"/>
      <c r="P548" s="645" t="s">
        <v>840</v>
      </c>
      <c r="Q548" s="646"/>
      <c r="R548" s="646"/>
      <c r="S548" s="646"/>
      <c r="T548" s="646"/>
      <c r="U548" s="646"/>
      <c r="V548" s="647"/>
      <c r="W548" s="37" t="s">
        <v>841</v>
      </c>
      <c r="X548" s="38">
        <f>ROUNDUP(SUM(BO22:BO543),0)</f>
        <v>16</v>
      </c>
      <c r="Y548" s="38">
        <f>ROUNDUP(SUM(BP22:BP543),0)</f>
        <v>16</v>
      </c>
      <c r="Z548" s="37"/>
      <c r="AA548" s="620"/>
      <c r="AB548" s="620"/>
      <c r="AC548" s="620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795"/>
      <c r="P549" s="645" t="s">
        <v>842</v>
      </c>
      <c r="Q549" s="646"/>
      <c r="R549" s="646"/>
      <c r="S549" s="646"/>
      <c r="T549" s="646"/>
      <c r="U549" s="646"/>
      <c r="V549" s="647"/>
      <c r="W549" s="37" t="s">
        <v>67</v>
      </c>
      <c r="X549" s="619">
        <f>GrossWeightTotal+PalletQtyTotal*25</f>
        <v>10321.295460015295</v>
      </c>
      <c r="Y549" s="619">
        <f>GrossWeightTotalR+PalletQtyTotalR*25</f>
        <v>10424.932000000003</v>
      </c>
      <c r="Z549" s="37"/>
      <c r="AA549" s="620"/>
      <c r="AB549" s="620"/>
      <c r="AC549" s="620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795"/>
      <c r="P550" s="645" t="s">
        <v>843</v>
      </c>
      <c r="Q550" s="646"/>
      <c r="R550" s="646"/>
      <c r="S550" s="646"/>
      <c r="T550" s="646"/>
      <c r="U550" s="646"/>
      <c r="V550" s="647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1242.6737028403695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1258</v>
      </c>
      <c r="Z550" s="37"/>
      <c r="AA550" s="620"/>
      <c r="AB550" s="620"/>
      <c r="AC550" s="620"/>
    </row>
    <row r="551" spans="1:32" ht="14.25" hidden="1" customHeight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795"/>
      <c r="P551" s="645" t="s">
        <v>844</v>
      </c>
      <c r="Q551" s="646"/>
      <c r="R551" s="646"/>
      <c r="S551" s="646"/>
      <c r="T551" s="646"/>
      <c r="U551" s="646"/>
      <c r="V551" s="647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17.569760000000002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09" t="s">
        <v>61</v>
      </c>
      <c r="C553" s="609" t="s">
        <v>89</v>
      </c>
      <c r="D553" s="630" t="s">
        <v>106</v>
      </c>
      <c r="E553" s="888"/>
      <c r="F553" s="888"/>
      <c r="G553" s="888"/>
      <c r="H553" s="888"/>
      <c r="I553" s="888"/>
      <c r="J553" s="631"/>
      <c r="K553" s="630" t="s">
        <v>327</v>
      </c>
      <c r="L553" s="888"/>
      <c r="M553" s="888"/>
      <c r="N553" s="888"/>
      <c r="O553" s="888"/>
      <c r="P553" s="888"/>
      <c r="Q553" s="888"/>
      <c r="R553" s="888"/>
      <c r="S553" s="888"/>
      <c r="T553" s="888"/>
      <c r="U553" s="888"/>
      <c r="V553" s="631"/>
      <c r="W553" s="630" t="s">
        <v>673</v>
      </c>
      <c r="X553" s="631"/>
      <c r="Y553" s="630" t="s">
        <v>739</v>
      </c>
      <c r="Z553" s="631"/>
      <c r="AA553" s="609" t="s">
        <v>772</v>
      </c>
      <c r="AB553" s="630" t="s">
        <v>816</v>
      </c>
      <c r="AC553" s="631"/>
      <c r="AF553" s="610"/>
    </row>
    <row r="554" spans="1:32" ht="14.25" customHeight="1" thickTop="1" x14ac:dyDescent="0.2">
      <c r="A554" s="913" t="s">
        <v>847</v>
      </c>
      <c r="B554" s="630" t="s">
        <v>61</v>
      </c>
      <c r="C554" s="630" t="s">
        <v>90</v>
      </c>
      <c r="D554" s="630" t="s">
        <v>107</v>
      </c>
      <c r="E554" s="630" t="s">
        <v>123</v>
      </c>
      <c r="F554" s="630" t="s">
        <v>169</v>
      </c>
      <c r="G554" s="630" t="s">
        <v>193</v>
      </c>
      <c r="H554" s="630" t="s">
        <v>237</v>
      </c>
      <c r="I554" s="630" t="s">
        <v>250</v>
      </c>
      <c r="J554" s="630" t="s">
        <v>106</v>
      </c>
      <c r="K554" s="630" t="s">
        <v>328</v>
      </c>
      <c r="L554" s="630" t="s">
        <v>349</v>
      </c>
      <c r="M554" s="630" t="s">
        <v>412</v>
      </c>
      <c r="N554" s="610"/>
      <c r="O554" s="630" t="s">
        <v>480</v>
      </c>
      <c r="P554" s="630" t="s">
        <v>511</v>
      </c>
      <c r="Q554" s="630" t="s">
        <v>530</v>
      </c>
      <c r="R554" s="630" t="s">
        <v>539</v>
      </c>
      <c r="S554" s="630" t="s">
        <v>561</v>
      </c>
      <c r="T554" s="630" t="s">
        <v>570</v>
      </c>
      <c r="U554" s="630" t="s">
        <v>656</v>
      </c>
      <c r="V554" s="630" t="s">
        <v>663</v>
      </c>
      <c r="W554" s="630" t="s">
        <v>674</v>
      </c>
      <c r="X554" s="630" t="s">
        <v>723</v>
      </c>
      <c r="Y554" s="630" t="s">
        <v>740</v>
      </c>
      <c r="Z554" s="630" t="s">
        <v>760</v>
      </c>
      <c r="AA554" s="630" t="s">
        <v>772</v>
      </c>
      <c r="AB554" s="630" t="s">
        <v>816</v>
      </c>
      <c r="AC554" s="630" t="s">
        <v>834</v>
      </c>
      <c r="AF554" s="610"/>
    </row>
    <row r="555" spans="1:32" ht="13.5" customHeight="1" thickBot="1" x14ac:dyDescent="0.25">
      <c r="A555" s="914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10"/>
      <c r="O555" s="661"/>
      <c r="P555" s="661"/>
      <c r="Q555" s="661"/>
      <c r="R555" s="661"/>
      <c r="S555" s="661"/>
      <c r="T555" s="661"/>
      <c r="U555" s="661"/>
      <c r="V555" s="661"/>
      <c r="W555" s="661"/>
      <c r="X555" s="661"/>
      <c r="Y555" s="661"/>
      <c r="Z555" s="661"/>
      <c r="AA555" s="661"/>
      <c r="AB555" s="661"/>
      <c r="AC555" s="661"/>
      <c r="AF555" s="610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0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226.8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0</v>
      </c>
      <c r="F556" s="46">
        <f>IFERROR(Y84*1,"0")+IFERROR(Y85*1,"0")+IFERROR(Y86*1,"0")+IFERROR(Y87*1,"0")+IFERROR(Y88*1,"0")+IFERROR(Y89*1,"0")+IFERROR(Y93*1,"0")+IFERROR(Y94*1,"0")+IFERROR(Y95*1,"0")+IFERROR(Y96*1,"0")</f>
        <v>388.79999999999995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372.59999999999997</v>
      </c>
      <c r="H556" s="46">
        <f>IFERROR(Y131*1,"0")+IFERROR(Y132*1,"0")+IFERROR(Y136*1,"0")+IFERROR(Y137*1,"0")+IFERROR(Y141*1,"0")+IFERROR(Y142*1,"0")</f>
        <v>51.760000000000005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227.64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481.8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544.20000000000005</v>
      </c>
      <c r="N556" s="610"/>
      <c r="O556" s="46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0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335.4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341.6</v>
      </c>
      <c r="U556" s="46">
        <f>IFERROR(Y406*1,"0")+IFERROR(Y407*1,"0")</f>
        <v>0</v>
      </c>
      <c r="V556" s="46">
        <f>IFERROR(Y412*1,"0")+IFERROR(Y413*1,"0")+IFERROR(Y414*1,"0")</f>
        <v>0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5400</v>
      </c>
      <c r="X556" s="46">
        <f>IFERROR(Y449*1,"0")+IFERROR(Y450*1,"0")+IFERROR(Y454*1,"0")+IFERROR(Y458*1,"0")+IFERROR(Y459*1,"0")+IFERROR(Y460*1,"0")</f>
        <v>216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997.92000000000007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0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42,67"/>
        <filter val="1 531,00"/>
        <filter val="1 583,00"/>
        <filter val="1 648,00"/>
        <filter val="10 321,30"/>
        <filter val="102,07"/>
        <filter val="108,00"/>
        <filter val="136,00"/>
        <filter val="14,44"/>
        <filter val="140,00"/>
        <filter val="143,00"/>
        <filter val="145,65"/>
        <filter val="16"/>
        <filter val="166,00"/>
        <filter val="169,00"/>
        <filter val="187,00"/>
        <filter val="190,00"/>
        <filter val="191,00"/>
        <filter val="192,08"/>
        <filter val="20,46"/>
        <filter val="206,00"/>
        <filter val="208,00"/>
        <filter val="211,00"/>
        <filter val="22,00"/>
        <filter val="221,00"/>
        <filter val="225,00"/>
        <filter val="23,00"/>
        <filter val="23,44"/>
        <filter val="246,00"/>
        <filter val="248,00"/>
        <filter val="255,93"/>
        <filter val="26,00"/>
        <filter val="278,00"/>
        <filter val="292,00"/>
        <filter val="3 839,00"/>
        <filter val="30,00"/>
        <filter val="31,04"/>
        <filter val="32,00"/>
        <filter val="327,00"/>
        <filter val="367,00"/>
        <filter val="38,00"/>
        <filter val="387,00"/>
        <filter val="39,02"/>
        <filter val="41,92"/>
        <filter val="42,50"/>
        <filter val="45,31"/>
        <filter val="461,00"/>
        <filter val="47,78"/>
        <filter val="474,00"/>
        <filter val="500,00"/>
        <filter val="52,65"/>
        <filter val="608,00"/>
        <filter val="66,00"/>
        <filter val="7,00"/>
        <filter val="72,00"/>
        <filter val="76,05"/>
        <filter val="78,00"/>
        <filter val="8,33"/>
        <filter val="82,00"/>
        <filter val="85,00"/>
        <filter val="9 486,00"/>
        <filter val="9 921,30"/>
        <filter val="9,29"/>
        <filter val="94,70"/>
      </filters>
    </filterColumn>
    <filterColumn colId="29" showButton="0"/>
    <filterColumn colId="30" showButton="0"/>
  </autoFilter>
  <mergeCells count="977">
    <mergeCell ref="Y554:Y555"/>
    <mergeCell ref="P527:V527"/>
    <mergeCell ref="P363:T363"/>
    <mergeCell ref="D17:E18"/>
    <mergeCell ref="D173:E173"/>
    <mergeCell ref="A479:Z479"/>
    <mergeCell ref="D471:E471"/>
    <mergeCell ref="A151:O152"/>
    <mergeCell ref="D515:E515"/>
    <mergeCell ref="X17:X18"/>
    <mergeCell ref="P202:T202"/>
    <mergeCell ref="P58:T58"/>
    <mergeCell ref="D421:E421"/>
    <mergeCell ref="A163:O164"/>
    <mergeCell ref="P373:T373"/>
    <mergeCell ref="P444:T444"/>
    <mergeCell ref="P554:P555"/>
    <mergeCell ref="P365:T365"/>
    <mergeCell ref="U17:V17"/>
    <mergeCell ref="Y17:Y18"/>
    <mergeCell ref="D266:E266"/>
    <mergeCell ref="D57:E57"/>
    <mergeCell ref="O554:O555"/>
    <mergeCell ref="P433:T433"/>
    <mergeCell ref="A8:C8"/>
    <mergeCell ref="D537:E537"/>
    <mergeCell ref="D355:E355"/>
    <mergeCell ref="P163:V163"/>
    <mergeCell ref="D293:E293"/>
    <mergeCell ref="A153:Z153"/>
    <mergeCell ref="P138:V138"/>
    <mergeCell ref="D395:E395"/>
    <mergeCell ref="P449:T449"/>
    <mergeCell ref="A10:C10"/>
    <mergeCell ref="P126:T126"/>
    <mergeCell ref="P361:V361"/>
    <mergeCell ref="P218:T218"/>
    <mergeCell ref="P69:V69"/>
    <mergeCell ref="P311:V311"/>
    <mergeCell ref="A21:Z21"/>
    <mergeCell ref="A192:Z192"/>
    <mergeCell ref="D184:E184"/>
    <mergeCell ref="P505:T505"/>
    <mergeCell ref="A129:Z129"/>
    <mergeCell ref="D249:E249"/>
    <mergeCell ref="P262:T262"/>
    <mergeCell ref="D105:E105"/>
    <mergeCell ref="D276:E276"/>
    <mergeCell ref="Q6:R6"/>
    <mergeCell ref="P200:T200"/>
    <mergeCell ref="A251:O252"/>
    <mergeCell ref="P292:T292"/>
    <mergeCell ref="A360:O361"/>
    <mergeCell ref="D102:E102"/>
    <mergeCell ref="P81:V81"/>
    <mergeCell ref="A487:O488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262:E262"/>
    <mergeCell ref="D433:E433"/>
    <mergeCell ref="P368:T368"/>
    <mergeCell ref="A362:Z362"/>
    <mergeCell ref="P85:T85"/>
    <mergeCell ref="AB553:AC553"/>
    <mergeCell ref="A31:O32"/>
    <mergeCell ref="N17:N18"/>
    <mergeCell ref="D49:E49"/>
    <mergeCell ref="Q5:R5"/>
    <mergeCell ref="F17:F18"/>
    <mergeCell ref="P72:T72"/>
    <mergeCell ref="P497:T497"/>
    <mergeCell ref="D120:E120"/>
    <mergeCell ref="P199:T199"/>
    <mergeCell ref="P297:T297"/>
    <mergeCell ref="D107:E107"/>
    <mergeCell ref="D278:E278"/>
    <mergeCell ref="P291:T291"/>
    <mergeCell ref="D234:E234"/>
    <mergeCell ref="P484:T484"/>
    <mergeCell ref="A478:Z478"/>
    <mergeCell ref="A408:O409"/>
    <mergeCell ref="P65:T65"/>
    <mergeCell ref="A383:O384"/>
    <mergeCell ref="P136:T136"/>
    <mergeCell ref="P263:T263"/>
    <mergeCell ref="D244:E244"/>
    <mergeCell ref="P499:T499"/>
    <mergeCell ref="Q554:Q555"/>
    <mergeCell ref="D341:E341"/>
    <mergeCell ref="A536:Z536"/>
    <mergeCell ref="D468:E468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D291:E291"/>
    <mergeCell ref="A500:O501"/>
    <mergeCell ref="P397:V397"/>
    <mergeCell ref="D239:E239"/>
    <mergeCell ref="R554:R555"/>
    <mergeCell ref="P194:V194"/>
    <mergeCell ref="A402:O403"/>
    <mergeCell ref="D513:E513"/>
    <mergeCell ref="D223:E223"/>
    <mergeCell ref="D279:E279"/>
    <mergeCell ref="D394:E394"/>
    <mergeCell ref="A434:O435"/>
    <mergeCell ref="A20:Z20"/>
    <mergeCell ref="A125:Z125"/>
    <mergeCell ref="A194:O195"/>
    <mergeCell ref="P371:V371"/>
    <mergeCell ref="P515:T515"/>
    <mergeCell ref="P421:T421"/>
    <mergeCell ref="A541:Z541"/>
    <mergeCell ref="D218:E218"/>
    <mergeCell ref="A314:Z314"/>
    <mergeCell ref="A64:Z64"/>
    <mergeCell ref="P439:T439"/>
    <mergeCell ref="P60:T60"/>
    <mergeCell ref="D95:E95"/>
    <mergeCell ref="P74:V74"/>
    <mergeCell ref="D121:E121"/>
    <mergeCell ref="P107:T107"/>
    <mergeCell ref="D150:E150"/>
    <mergeCell ref="P278:T278"/>
    <mergeCell ref="P63:V63"/>
    <mergeCell ref="P101:T101"/>
    <mergeCell ref="D215:E215"/>
    <mergeCell ref="D386:E386"/>
    <mergeCell ref="AD17:AF18"/>
    <mergeCell ref="D503:E503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486:T486"/>
    <mergeCell ref="P317:T317"/>
    <mergeCell ref="P523:V523"/>
    <mergeCell ref="A404:Z404"/>
    <mergeCell ref="A544:O545"/>
    <mergeCell ref="P364:T364"/>
    <mergeCell ref="P509:T509"/>
    <mergeCell ref="A546:O551"/>
    <mergeCell ref="P2:W3"/>
    <mergeCell ref="A323:Z323"/>
    <mergeCell ref="D437:E437"/>
    <mergeCell ref="P369:T369"/>
    <mergeCell ref="A43:Z43"/>
    <mergeCell ref="P54:T54"/>
    <mergeCell ref="P347:T347"/>
    <mergeCell ref="A170:Z170"/>
    <mergeCell ref="A415:O416"/>
    <mergeCell ref="D333:E333"/>
    <mergeCell ref="A342:O343"/>
    <mergeCell ref="P312:V312"/>
    <mergeCell ref="A289:Z289"/>
    <mergeCell ref="P412:T412"/>
    <mergeCell ref="D10:E10"/>
    <mergeCell ref="A23:O24"/>
    <mergeCell ref="F10:G10"/>
    <mergeCell ref="A181:O182"/>
    <mergeCell ref="D529:E529"/>
    <mergeCell ref="P539:V539"/>
    <mergeCell ref="H554:H555"/>
    <mergeCell ref="J554:J555"/>
    <mergeCell ref="P476:V476"/>
    <mergeCell ref="D459:E459"/>
    <mergeCell ref="A532:Z532"/>
    <mergeCell ref="D136:E136"/>
    <mergeCell ref="M17:M18"/>
    <mergeCell ref="A168:O169"/>
    <mergeCell ref="O17:O18"/>
    <mergeCell ref="P187:V187"/>
    <mergeCell ref="P429:V429"/>
    <mergeCell ref="A248:Z248"/>
    <mergeCell ref="P350:V350"/>
    <mergeCell ref="A554:A555"/>
    <mergeCell ref="P102:T102"/>
    <mergeCell ref="P481:V481"/>
    <mergeCell ref="A247:Z247"/>
    <mergeCell ref="P456:V456"/>
    <mergeCell ref="A508:Z508"/>
    <mergeCell ref="D177:E177"/>
    <mergeCell ref="P287:V287"/>
    <mergeCell ref="A483:Z483"/>
    <mergeCell ref="D86:E86"/>
    <mergeCell ref="P214:T214"/>
    <mergeCell ref="P270:T270"/>
    <mergeCell ref="P341:T341"/>
    <mergeCell ref="A457:Z457"/>
    <mergeCell ref="P48:T48"/>
    <mergeCell ref="D292:E292"/>
    <mergeCell ref="P346:T346"/>
    <mergeCell ref="P399:T399"/>
    <mergeCell ref="D450:E450"/>
    <mergeCell ref="P121:T121"/>
    <mergeCell ref="A428:O429"/>
    <mergeCell ref="P357:T357"/>
    <mergeCell ref="D216:E216"/>
    <mergeCell ref="D265:E265"/>
    <mergeCell ref="P195:V195"/>
    <mergeCell ref="P176:T176"/>
    <mergeCell ref="D226:E226"/>
    <mergeCell ref="P354:T354"/>
    <mergeCell ref="D305:E305"/>
    <mergeCell ref="D270:E270"/>
    <mergeCell ref="P420:T420"/>
    <mergeCell ref="A130:Z130"/>
    <mergeCell ref="D310:E310"/>
    <mergeCell ref="P32:V32"/>
    <mergeCell ref="Q13:R13"/>
    <mergeCell ref="P97:V97"/>
    <mergeCell ref="D222:E222"/>
    <mergeCell ref="G17:G18"/>
    <mergeCell ref="P333:T333"/>
    <mergeCell ref="P242:V242"/>
    <mergeCell ref="D159:E159"/>
    <mergeCell ref="P42:V42"/>
    <mergeCell ref="P59:T59"/>
    <mergeCell ref="P123:V123"/>
    <mergeCell ref="P114:T114"/>
    <mergeCell ref="D84:E84"/>
    <mergeCell ref="D22:E22"/>
    <mergeCell ref="A157:Z157"/>
    <mergeCell ref="A62:O63"/>
    <mergeCell ref="D149:E149"/>
    <mergeCell ref="A284:Z284"/>
    <mergeCell ref="D320:E320"/>
    <mergeCell ref="A127:O128"/>
    <mergeCell ref="P301:T301"/>
    <mergeCell ref="P295:T295"/>
    <mergeCell ref="P178:T178"/>
    <mergeCell ref="P105:T105"/>
    <mergeCell ref="AC554:AC555"/>
    <mergeCell ref="A455:O456"/>
    <mergeCell ref="S554:S555"/>
    <mergeCell ref="U554:U555"/>
    <mergeCell ref="P533:T533"/>
    <mergeCell ref="P549:V549"/>
    <mergeCell ref="D509:E509"/>
    <mergeCell ref="P512:T512"/>
    <mergeCell ref="K553:V553"/>
    <mergeCell ref="A530:O531"/>
    <mergeCell ref="P511:T511"/>
    <mergeCell ref="P507:V507"/>
    <mergeCell ref="A506:O507"/>
    <mergeCell ref="P534:V534"/>
    <mergeCell ref="P525:T525"/>
    <mergeCell ref="P470:T470"/>
    <mergeCell ref="D521:E521"/>
    <mergeCell ref="AB554:AB555"/>
    <mergeCell ref="A518:Z518"/>
    <mergeCell ref="A520:Z520"/>
    <mergeCell ref="G554:G555"/>
    <mergeCell ref="I554:I555"/>
    <mergeCell ref="A476:O477"/>
    <mergeCell ref="D525:E525"/>
    <mergeCell ref="V6:W9"/>
    <mergeCell ref="D199:E199"/>
    <mergeCell ref="P46:T46"/>
    <mergeCell ref="P482:V482"/>
    <mergeCell ref="A241:O242"/>
    <mergeCell ref="P111:T111"/>
    <mergeCell ref="D154:E154"/>
    <mergeCell ref="D225:E225"/>
    <mergeCell ref="A539:O540"/>
    <mergeCell ref="P61:T61"/>
    <mergeCell ref="P49:T49"/>
    <mergeCell ref="A9:C9"/>
    <mergeCell ref="D202:E202"/>
    <mergeCell ref="D373:E373"/>
    <mergeCell ref="D58:E58"/>
    <mergeCell ref="P112:T112"/>
    <mergeCell ref="D294:E294"/>
    <mergeCell ref="P348:T348"/>
    <mergeCell ref="D231:E231"/>
    <mergeCell ref="D358:E358"/>
    <mergeCell ref="P70:V70"/>
    <mergeCell ref="P337:V337"/>
    <mergeCell ref="A336:O337"/>
    <mergeCell ref="P116:V116"/>
    <mergeCell ref="D39:E39"/>
    <mergeCell ref="D449:E449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P225:T225"/>
    <mergeCell ref="D317:E317"/>
    <mergeCell ref="D439:E439"/>
    <mergeCell ref="D6:M6"/>
    <mergeCell ref="D510:E510"/>
    <mergeCell ref="P175:T175"/>
    <mergeCell ref="P162:T162"/>
    <mergeCell ref="P460:T460"/>
    <mergeCell ref="D319:E319"/>
    <mergeCell ref="D512:E512"/>
    <mergeCell ref="D36:E36"/>
    <mergeCell ref="P96:T96"/>
    <mergeCell ref="A80:O81"/>
    <mergeCell ref="P38:T38"/>
    <mergeCell ref="D364:E364"/>
    <mergeCell ref="D497:E497"/>
    <mergeCell ref="A155:O156"/>
    <mergeCell ref="P274:T274"/>
    <mergeCell ref="D217:E217"/>
    <mergeCell ref="D413:E413"/>
    <mergeCell ref="D484:E484"/>
    <mergeCell ref="P84:T84"/>
    <mergeCell ref="P222:T222"/>
    <mergeCell ref="P475:T475"/>
    <mergeCell ref="P384:V384"/>
    <mergeCell ref="P455:V455"/>
    <mergeCell ref="A372:Z372"/>
    <mergeCell ref="P393:T393"/>
    <mergeCell ref="D374:E374"/>
    <mergeCell ref="P395:T395"/>
    <mergeCell ref="D438:E438"/>
    <mergeCell ref="D425:E425"/>
    <mergeCell ref="A464:Z464"/>
    <mergeCell ref="A489:Z489"/>
    <mergeCell ref="A491:Z491"/>
    <mergeCell ref="P254:T254"/>
    <mergeCell ref="P445:V445"/>
    <mergeCell ref="A235:O236"/>
    <mergeCell ref="D420:E420"/>
    <mergeCell ref="P318:T318"/>
    <mergeCell ref="D85:E85"/>
    <mergeCell ref="A321:O322"/>
    <mergeCell ref="P335:T335"/>
    <mergeCell ref="D200:E200"/>
    <mergeCell ref="P359:T359"/>
    <mergeCell ref="P134:V134"/>
    <mergeCell ref="P268:V268"/>
    <mergeCell ref="P201:T201"/>
    <mergeCell ref="D318:E318"/>
    <mergeCell ref="D389:E389"/>
    <mergeCell ref="P193:T193"/>
    <mergeCell ref="P320:T320"/>
    <mergeCell ref="P236:V236"/>
    <mergeCell ref="D368:E368"/>
    <mergeCell ref="P106:T106"/>
    <mergeCell ref="P177:T177"/>
    <mergeCell ref="P93:T93"/>
    <mergeCell ref="P226:T226"/>
    <mergeCell ref="A50:O51"/>
    <mergeCell ref="A158:Z158"/>
    <mergeCell ref="A351:Z351"/>
    <mergeCell ref="D273:E273"/>
    <mergeCell ref="H10:M10"/>
    <mergeCell ref="AA17:AA18"/>
    <mergeCell ref="A135:Z135"/>
    <mergeCell ref="AC17:AC18"/>
    <mergeCell ref="P485:T485"/>
    <mergeCell ref="P279:T279"/>
    <mergeCell ref="D89:E89"/>
    <mergeCell ref="D393:E393"/>
    <mergeCell ref="P22:T22"/>
    <mergeCell ref="D65:E65"/>
    <mergeCell ref="P40:T40"/>
    <mergeCell ref="P328:V328"/>
    <mergeCell ref="A209:Z209"/>
    <mergeCell ref="A302:O303"/>
    <mergeCell ref="A338:Z338"/>
    <mergeCell ref="P232:T232"/>
    <mergeCell ref="D359:E359"/>
    <mergeCell ref="P327:T327"/>
    <mergeCell ref="P252:V252"/>
    <mergeCell ref="P307:V307"/>
    <mergeCell ref="A390:O391"/>
    <mergeCell ref="D203:E203"/>
    <mergeCell ref="P152:V152"/>
    <mergeCell ref="A82:Z82"/>
    <mergeCell ref="H17:H18"/>
    <mergeCell ref="P531:V531"/>
    <mergeCell ref="A146:Z146"/>
    <mergeCell ref="P261:T261"/>
    <mergeCell ref="P161:T161"/>
    <mergeCell ref="D204:E204"/>
    <mergeCell ref="P217:T217"/>
    <mergeCell ref="P332:T332"/>
    <mergeCell ref="P388:T388"/>
    <mergeCell ref="P452:V452"/>
    <mergeCell ref="P459:T459"/>
    <mergeCell ref="D296:E296"/>
    <mergeCell ref="P503:T503"/>
    <mergeCell ref="D427:E427"/>
    <mergeCell ref="P27:T27"/>
    <mergeCell ref="P154:T154"/>
    <mergeCell ref="P325:T325"/>
    <mergeCell ref="P241:V241"/>
    <mergeCell ref="P41:V41"/>
    <mergeCell ref="D504:E504"/>
    <mergeCell ref="P26:T26"/>
    <mergeCell ref="P461:V461"/>
    <mergeCell ref="A143:O144"/>
    <mergeCell ref="A92:Z92"/>
    <mergeCell ref="J9:M9"/>
    <mergeCell ref="D112:E112"/>
    <mergeCell ref="A418:Z418"/>
    <mergeCell ref="P538:T538"/>
    <mergeCell ref="A90:O91"/>
    <mergeCell ref="D348:E348"/>
    <mergeCell ref="P141:T141"/>
    <mergeCell ref="D56:E56"/>
    <mergeCell ref="D193:E193"/>
    <mergeCell ref="P233:T233"/>
    <mergeCell ref="P37:T37"/>
    <mergeCell ref="D176:E176"/>
    <mergeCell ref="D347:E347"/>
    <mergeCell ref="D114:E114"/>
    <mergeCell ref="P155:V155"/>
    <mergeCell ref="D285:E285"/>
    <mergeCell ref="A298:O299"/>
    <mergeCell ref="D412:E412"/>
    <mergeCell ref="P391:V391"/>
    <mergeCell ref="P504:T504"/>
    <mergeCell ref="P387:T387"/>
    <mergeCell ref="P124:V124"/>
    <mergeCell ref="P360:V360"/>
    <mergeCell ref="D422:E422"/>
    <mergeCell ref="P80:V80"/>
    <mergeCell ref="P87:T87"/>
    <mergeCell ref="P151:V151"/>
    <mergeCell ref="A13:M13"/>
    <mergeCell ref="P500:V500"/>
    <mergeCell ref="A417:Z417"/>
    <mergeCell ref="D61:E61"/>
    <mergeCell ref="P115:T115"/>
    <mergeCell ref="A196:Z196"/>
    <mergeCell ref="A15:M15"/>
    <mergeCell ref="P238:T238"/>
    <mergeCell ref="D254:E254"/>
    <mergeCell ref="D48:E48"/>
    <mergeCell ref="A183:Z183"/>
    <mergeCell ref="P302:V302"/>
    <mergeCell ref="D346:E346"/>
    <mergeCell ref="A419:Z419"/>
    <mergeCell ref="P77:T77"/>
    <mergeCell ref="P204:T204"/>
    <mergeCell ref="P179:T179"/>
    <mergeCell ref="P296:T296"/>
    <mergeCell ref="D277:E277"/>
    <mergeCell ref="P356:T356"/>
    <mergeCell ref="P256:V256"/>
    <mergeCell ref="P383:V383"/>
    <mergeCell ref="A208:Z208"/>
    <mergeCell ref="A379:Z379"/>
    <mergeCell ref="A145:Z145"/>
    <mergeCell ref="D137:E137"/>
    <mergeCell ref="P216:T216"/>
    <mergeCell ref="A198:Z198"/>
    <mergeCell ref="P375:T375"/>
    <mergeCell ref="P159:T159"/>
    <mergeCell ref="P227:V227"/>
    <mergeCell ref="P380:T380"/>
    <mergeCell ref="P276:T276"/>
    <mergeCell ref="A245:O246"/>
    <mergeCell ref="P149:T149"/>
    <mergeCell ref="P174:T174"/>
    <mergeCell ref="T5:U5"/>
    <mergeCell ref="D119:E119"/>
    <mergeCell ref="V5:W5"/>
    <mergeCell ref="P203:T203"/>
    <mergeCell ref="D46:E46"/>
    <mergeCell ref="P374:T374"/>
    <mergeCell ref="P310:T310"/>
    <mergeCell ref="P272:T272"/>
    <mergeCell ref="P210:T210"/>
    <mergeCell ref="D327:E327"/>
    <mergeCell ref="A267:O268"/>
    <mergeCell ref="D106:E106"/>
    <mergeCell ref="A41:O42"/>
    <mergeCell ref="P185:T185"/>
    <mergeCell ref="D93:E93"/>
    <mergeCell ref="D264:E264"/>
    <mergeCell ref="A133:O134"/>
    <mergeCell ref="D220:E220"/>
    <mergeCell ref="P277:T277"/>
    <mergeCell ref="P36:T36"/>
    <mergeCell ref="P50:V50"/>
    <mergeCell ref="D29:E29"/>
    <mergeCell ref="Q10:R10"/>
    <mergeCell ref="D185:E185"/>
    <mergeCell ref="D40:E40"/>
    <mergeCell ref="P496:T496"/>
    <mergeCell ref="D111:E111"/>
    <mergeCell ref="D233:E233"/>
    <mergeCell ref="P212:V212"/>
    <mergeCell ref="D469:E469"/>
    <mergeCell ref="Q8:R8"/>
    <mergeCell ref="A186:O187"/>
    <mergeCell ref="P438:T438"/>
    <mergeCell ref="D444:E444"/>
    <mergeCell ref="D219:E219"/>
    <mergeCell ref="D104:E104"/>
    <mergeCell ref="D275:E275"/>
    <mergeCell ref="P425:T425"/>
    <mergeCell ref="T6:U9"/>
    <mergeCell ref="D340:E340"/>
    <mergeCell ref="A349:O350"/>
    <mergeCell ref="A12:M12"/>
    <mergeCell ref="A53:Z53"/>
    <mergeCell ref="A253:Z253"/>
    <mergeCell ref="A324:Z324"/>
    <mergeCell ref="A411:Z411"/>
    <mergeCell ref="A19:Z19"/>
    <mergeCell ref="D68:E68"/>
    <mergeCell ref="T554:T555"/>
    <mergeCell ref="A14:M14"/>
    <mergeCell ref="D280:E280"/>
    <mergeCell ref="D480:E480"/>
    <mergeCell ref="V554:V555"/>
    <mergeCell ref="P424:T424"/>
    <mergeCell ref="D467:E467"/>
    <mergeCell ref="D538:E538"/>
    <mergeCell ref="D533:E533"/>
    <mergeCell ref="D485:E485"/>
    <mergeCell ref="P514:T514"/>
    <mergeCell ref="P543:T543"/>
    <mergeCell ref="D424:E424"/>
    <mergeCell ref="P224:T224"/>
    <mergeCell ref="D286:E286"/>
    <mergeCell ref="D132:E132"/>
    <mergeCell ref="P89:T89"/>
    <mergeCell ref="P15:T16"/>
    <mergeCell ref="A398:Z398"/>
    <mergeCell ref="P450:T450"/>
    <mergeCell ref="D414:E414"/>
    <mergeCell ref="P219:T219"/>
    <mergeCell ref="D162:E162"/>
    <mergeCell ref="A69:O70"/>
    <mergeCell ref="P370:V370"/>
    <mergeCell ref="P122:T122"/>
    <mergeCell ref="P435:V435"/>
    <mergeCell ref="P288:V288"/>
    <mergeCell ref="D492:E492"/>
    <mergeCell ref="P181:V181"/>
    <mergeCell ref="P305:T305"/>
    <mergeCell ref="P540:V540"/>
    <mergeCell ref="A304:Z304"/>
    <mergeCell ref="P132:T132"/>
    <mergeCell ref="P406:T406"/>
    <mergeCell ref="D388:E388"/>
    <mergeCell ref="P133:V133"/>
    <mergeCell ref="A328:O329"/>
    <mergeCell ref="P127:V127"/>
    <mergeCell ref="P298:V298"/>
    <mergeCell ref="D339:E339"/>
    <mergeCell ref="A490:Z490"/>
    <mergeCell ref="D201:E201"/>
    <mergeCell ref="D335:E335"/>
    <mergeCell ref="A440:O441"/>
    <mergeCell ref="P427:T427"/>
    <mergeCell ref="P428:V428"/>
    <mergeCell ref="A442:Z442"/>
    <mergeCell ref="D96:E96"/>
    <mergeCell ref="P306:V306"/>
    <mergeCell ref="P513:T513"/>
    <mergeCell ref="D27:E27"/>
    <mergeCell ref="P408:V408"/>
    <mergeCell ref="D325:E325"/>
    <mergeCell ref="A138:O139"/>
    <mergeCell ref="D454:E454"/>
    <mergeCell ref="D460:E460"/>
    <mergeCell ref="P285:T285"/>
    <mergeCell ref="A188:Z188"/>
    <mergeCell ref="P434:V434"/>
    <mergeCell ref="P228:V228"/>
    <mergeCell ref="P260:T260"/>
    <mergeCell ref="D399:E399"/>
    <mergeCell ref="D59:E59"/>
    <mergeCell ref="A206:O207"/>
    <mergeCell ref="P309:T309"/>
    <mergeCell ref="A377:O378"/>
    <mergeCell ref="P239:T239"/>
    <mergeCell ref="P186:V186"/>
    <mergeCell ref="D38:E38"/>
    <mergeCell ref="P353:T353"/>
    <mergeCell ref="P440:V440"/>
    <mergeCell ref="A44:Z44"/>
    <mergeCell ref="P75:V75"/>
    <mergeCell ref="P342:V342"/>
    <mergeCell ref="D295:E295"/>
    <mergeCell ref="D178:E178"/>
    <mergeCell ref="P88:T88"/>
    <mergeCell ref="D172:E172"/>
    <mergeCell ref="A5:C5"/>
    <mergeCell ref="A110:Z110"/>
    <mergeCell ref="A237:Z237"/>
    <mergeCell ref="P340:T340"/>
    <mergeCell ref="P191:V191"/>
    <mergeCell ref="P51:V51"/>
    <mergeCell ref="D179:E179"/>
    <mergeCell ref="A6:C6"/>
    <mergeCell ref="P167:T167"/>
    <mergeCell ref="P336:V336"/>
    <mergeCell ref="P55:T55"/>
    <mergeCell ref="D115:E115"/>
    <mergeCell ref="Q12:R12"/>
    <mergeCell ref="P280:T280"/>
    <mergeCell ref="D261:E261"/>
    <mergeCell ref="P119:T119"/>
    <mergeCell ref="P62:V62"/>
    <mergeCell ref="L554:L555"/>
    <mergeCell ref="P349:V349"/>
    <mergeCell ref="D166:E166"/>
    <mergeCell ref="A410:Z410"/>
    <mergeCell ref="P128:V128"/>
    <mergeCell ref="W553:X553"/>
    <mergeCell ref="A17:A18"/>
    <mergeCell ref="K17:K18"/>
    <mergeCell ref="A118:Z118"/>
    <mergeCell ref="C17:C18"/>
    <mergeCell ref="P493:T493"/>
    <mergeCell ref="P431:T431"/>
    <mergeCell ref="D103:E103"/>
    <mergeCell ref="D37:E37"/>
    <mergeCell ref="D230:E230"/>
    <mergeCell ref="P358:T358"/>
    <mergeCell ref="D309:E309"/>
    <mergeCell ref="D113:E113"/>
    <mergeCell ref="P180:T180"/>
    <mergeCell ref="P415:V415"/>
    <mergeCell ref="D88:E88"/>
    <mergeCell ref="P142:T142"/>
    <mergeCell ref="D26:E26"/>
    <mergeCell ref="D148:E148"/>
    <mergeCell ref="Q9:R9"/>
    <mergeCell ref="P267:V267"/>
    <mergeCell ref="A331:Z331"/>
    <mergeCell ref="D255:E255"/>
    <mergeCell ref="A524:Z524"/>
    <mergeCell ref="P78:T78"/>
    <mergeCell ref="Q11:R11"/>
    <mergeCell ref="P205:T205"/>
    <mergeCell ref="D260:E260"/>
    <mergeCell ref="A290:Z290"/>
    <mergeCell ref="P376:T376"/>
    <mergeCell ref="P480:T480"/>
    <mergeCell ref="P467:T467"/>
    <mergeCell ref="P469:T469"/>
    <mergeCell ref="D401:E401"/>
    <mergeCell ref="A474:Z474"/>
    <mergeCell ref="D466:E466"/>
    <mergeCell ref="P66:T66"/>
    <mergeCell ref="D9:E9"/>
    <mergeCell ref="P137:T137"/>
    <mergeCell ref="D180:E180"/>
    <mergeCell ref="F9:G9"/>
    <mergeCell ref="P495:T495"/>
    <mergeCell ref="D167:E167"/>
    <mergeCell ref="P17:T18"/>
    <mergeCell ref="A229:Z229"/>
    <mergeCell ref="P250:T250"/>
    <mergeCell ref="P492:T492"/>
    <mergeCell ref="P286:T286"/>
    <mergeCell ref="D400:E400"/>
    <mergeCell ref="D77:E77"/>
    <mergeCell ref="P131:T131"/>
    <mergeCell ref="D375:E375"/>
    <mergeCell ref="D369:E369"/>
    <mergeCell ref="P423:T423"/>
    <mergeCell ref="P223:T223"/>
    <mergeCell ref="D160:E160"/>
    <mergeCell ref="P139:V139"/>
    <mergeCell ref="I17:I18"/>
    <mergeCell ref="D141:E141"/>
    <mergeCell ref="P189:T189"/>
    <mergeCell ref="P281:T281"/>
    <mergeCell ref="P414:T414"/>
    <mergeCell ref="D72:E72"/>
    <mergeCell ref="D161:E161"/>
    <mergeCell ref="P422:T422"/>
    <mergeCell ref="D232:E232"/>
    <mergeCell ref="P264:T264"/>
    <mergeCell ref="D1:F1"/>
    <mergeCell ref="P190:V190"/>
    <mergeCell ref="A71:Z71"/>
    <mergeCell ref="P466:T466"/>
    <mergeCell ref="A313:Z313"/>
    <mergeCell ref="P47:T47"/>
    <mergeCell ref="P488:V488"/>
    <mergeCell ref="P282:V282"/>
    <mergeCell ref="K554:K555"/>
    <mergeCell ref="M554:M555"/>
    <mergeCell ref="P409:V409"/>
    <mergeCell ref="A405:Z405"/>
    <mergeCell ref="J17:J18"/>
    <mergeCell ref="L17:L18"/>
    <mergeCell ref="D240:E240"/>
    <mergeCell ref="D511:E511"/>
    <mergeCell ref="P255:T255"/>
    <mergeCell ref="A100:Z100"/>
    <mergeCell ref="P426:T426"/>
    <mergeCell ref="A542:Z542"/>
    <mergeCell ref="D334:E334"/>
    <mergeCell ref="A165:Z165"/>
    <mergeCell ref="P321:V321"/>
    <mergeCell ref="A308:Z308"/>
    <mergeCell ref="W554:W555"/>
    <mergeCell ref="P273:T273"/>
    <mergeCell ref="P526:V526"/>
    <mergeCell ref="D316:E316"/>
    <mergeCell ref="D387:E387"/>
    <mergeCell ref="D272:E272"/>
    <mergeCell ref="A123:O124"/>
    <mergeCell ref="D210:E210"/>
    <mergeCell ref="A345:Z345"/>
    <mergeCell ref="D381:E381"/>
    <mergeCell ref="P400:T400"/>
    <mergeCell ref="D443:E443"/>
    <mergeCell ref="D514:E514"/>
    <mergeCell ref="P537:T537"/>
    <mergeCell ref="P166:T166"/>
    <mergeCell ref="D147:E147"/>
    <mergeCell ref="D380:E380"/>
    <mergeCell ref="A453:Z453"/>
    <mergeCell ref="D274:E274"/>
    <mergeCell ref="D301:E301"/>
    <mergeCell ref="P551:V551"/>
    <mergeCell ref="D224:E224"/>
    <mergeCell ref="D250:E250"/>
    <mergeCell ref="A227:O228"/>
    <mergeCell ref="D5:E5"/>
    <mergeCell ref="A140:Z140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A300:Z300"/>
    <mergeCell ref="D356:E356"/>
    <mergeCell ref="P164:V164"/>
    <mergeCell ref="A396:O397"/>
    <mergeCell ref="A45:Z45"/>
    <mergeCell ref="P462:V462"/>
    <mergeCell ref="P39:T39"/>
    <mergeCell ref="D87:E87"/>
    <mergeCell ref="D122:E122"/>
    <mergeCell ref="P103:T103"/>
    <mergeCell ref="P230:T230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28:E28"/>
    <mergeCell ref="D495:E495"/>
    <mergeCell ref="D326:E326"/>
    <mergeCell ref="P257:V257"/>
    <mergeCell ref="A76:Z76"/>
    <mergeCell ref="P184:T184"/>
    <mergeCell ref="A108:O109"/>
    <mergeCell ref="D432:E432"/>
    <mergeCell ref="A472:O473"/>
    <mergeCell ref="P171:T171"/>
    <mergeCell ref="D55:E55"/>
    <mergeCell ref="D30:E30"/>
    <mergeCell ref="P413:T413"/>
    <mergeCell ref="D353:E353"/>
    <mergeCell ref="D8:M8"/>
    <mergeCell ref="A211:O212"/>
    <mergeCell ref="E554:E555"/>
    <mergeCell ref="D366:E366"/>
    <mergeCell ref="P108:V108"/>
    <mergeCell ref="P472:V472"/>
    <mergeCell ref="D406:E406"/>
    <mergeCell ref="P251:V251"/>
    <mergeCell ref="P416:V416"/>
    <mergeCell ref="P487:V487"/>
    <mergeCell ref="P343:V343"/>
    <mergeCell ref="P95:T95"/>
    <mergeCell ref="P266:T266"/>
    <mergeCell ref="P530:V530"/>
    <mergeCell ref="A461:O462"/>
    <mergeCell ref="D470:E470"/>
    <mergeCell ref="P182:V182"/>
    <mergeCell ref="B554:B555"/>
    <mergeCell ref="P407:T407"/>
    <mergeCell ref="D67:E67"/>
    <mergeCell ref="D498:E498"/>
    <mergeCell ref="P401:T401"/>
    <mergeCell ref="P339:T339"/>
    <mergeCell ref="D382:E382"/>
    <mergeCell ref="X554:X555"/>
    <mergeCell ref="Z554:Z555"/>
    <mergeCell ref="P160:T160"/>
    <mergeCell ref="A522:O523"/>
    <mergeCell ref="P517:V517"/>
    <mergeCell ref="A447:Z447"/>
    <mergeCell ref="P147:T147"/>
    <mergeCell ref="A385:Z385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P548:V548"/>
    <mergeCell ref="P91:V91"/>
    <mergeCell ref="D365:E365"/>
    <mergeCell ref="D79:E79"/>
    <mergeCell ref="P156:V156"/>
    <mergeCell ref="P334:T334"/>
    <mergeCell ref="D315:E315"/>
    <mergeCell ref="P394:T394"/>
    <mergeCell ref="AA554:AA555"/>
    <mergeCell ref="P402:V402"/>
    <mergeCell ref="A311:O312"/>
    <mergeCell ref="C554:C555"/>
    <mergeCell ref="P206:V206"/>
    <mergeCell ref="P377:V377"/>
    <mergeCell ref="A258:Z258"/>
    <mergeCell ref="P104:T104"/>
    <mergeCell ref="P168:V168"/>
    <mergeCell ref="P275:T275"/>
    <mergeCell ref="P143:V143"/>
    <mergeCell ref="P441:V441"/>
    <mergeCell ref="D131:E131"/>
    <mergeCell ref="P235:V235"/>
    <mergeCell ref="P506:V506"/>
    <mergeCell ref="P477:V477"/>
    <mergeCell ref="A502:Z502"/>
    <mergeCell ref="D494:E494"/>
    <mergeCell ref="D543:E543"/>
    <mergeCell ref="P207:V207"/>
    <mergeCell ref="A197:Z197"/>
    <mergeCell ref="D189:E189"/>
    <mergeCell ref="P299:V299"/>
    <mergeCell ref="D431:E431"/>
    <mergeCell ref="R1:T1"/>
    <mergeCell ref="P172:T172"/>
    <mergeCell ref="P28:T28"/>
    <mergeCell ref="P150:T150"/>
    <mergeCell ref="P221:T221"/>
    <mergeCell ref="A74:O75"/>
    <mergeCell ref="P326:T326"/>
    <mergeCell ref="P215:T215"/>
    <mergeCell ref="D332:E332"/>
    <mergeCell ref="A282:O283"/>
    <mergeCell ref="P30:T30"/>
    <mergeCell ref="D73:E73"/>
    <mergeCell ref="B17:B18"/>
    <mergeCell ref="A52:Z52"/>
    <mergeCell ref="P56:T56"/>
    <mergeCell ref="V10:W10"/>
    <mergeCell ref="D66:E66"/>
    <mergeCell ref="P316:T316"/>
    <mergeCell ref="D126:E126"/>
    <mergeCell ref="D47:E47"/>
    <mergeCell ref="D7:M7"/>
    <mergeCell ref="P173:T173"/>
    <mergeCell ref="P29:T29"/>
    <mergeCell ref="A97:O98"/>
    <mergeCell ref="D554:D555"/>
    <mergeCell ref="P220:T220"/>
    <mergeCell ref="D263:E263"/>
    <mergeCell ref="D505:E505"/>
    <mergeCell ref="F554:F555"/>
    <mergeCell ref="D499:E499"/>
    <mergeCell ref="D238:E238"/>
    <mergeCell ref="D426:E426"/>
    <mergeCell ref="D486:E486"/>
    <mergeCell ref="A287:O288"/>
    <mergeCell ref="P303:V303"/>
    <mergeCell ref="D376:E376"/>
    <mergeCell ref="P249:T249"/>
    <mergeCell ref="D363:E363"/>
    <mergeCell ref="D357:E357"/>
    <mergeCell ref="P386:T386"/>
    <mergeCell ref="A516:O517"/>
    <mergeCell ref="P432:T432"/>
    <mergeCell ref="P446:V446"/>
    <mergeCell ref="A445:O446"/>
    <mergeCell ref="A436:Z436"/>
    <mergeCell ref="D493:E493"/>
    <mergeCell ref="P366:T366"/>
    <mergeCell ref="P468:T468"/>
    <mergeCell ref="A34:Z34"/>
    <mergeCell ref="A83:Z83"/>
    <mergeCell ref="P451:V451"/>
    <mergeCell ref="P245:V245"/>
    <mergeCell ref="P516:V516"/>
    <mergeCell ref="H9:I9"/>
    <mergeCell ref="P24:V24"/>
    <mergeCell ref="D281:E281"/>
    <mergeCell ref="P322:V322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443:T443"/>
    <mergeCell ref="P381:T381"/>
    <mergeCell ref="A451:O452"/>
    <mergeCell ref="P271:T271"/>
    <mergeCell ref="P94:T94"/>
    <mergeCell ref="P265:T265"/>
    <mergeCell ref="P458:T458"/>
    <mergeCell ref="P79:T79"/>
    <mergeCell ref="D60:E60"/>
    <mergeCell ref="P73:T73"/>
    <mergeCell ref="P244:T244"/>
    <mergeCell ref="P315:T315"/>
    <mergeCell ref="P437:T437"/>
    <mergeCell ref="Y553:Z553"/>
    <mergeCell ref="A190:O191"/>
    <mergeCell ref="P231:T231"/>
    <mergeCell ref="D423:E423"/>
    <mergeCell ref="D174:E174"/>
    <mergeCell ref="A352:Z352"/>
    <mergeCell ref="P545:V545"/>
    <mergeCell ref="P521:T521"/>
    <mergeCell ref="P535:V535"/>
    <mergeCell ref="A116:O117"/>
    <mergeCell ref="P113:T113"/>
    <mergeCell ref="A344:Z344"/>
    <mergeCell ref="P494:T494"/>
    <mergeCell ref="P498:T498"/>
    <mergeCell ref="P547:V547"/>
    <mergeCell ref="A534:O535"/>
    <mergeCell ref="P529:T529"/>
    <mergeCell ref="P68:T6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2026-10-15T11:15:14Z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