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3F29BE8-3211-4272-B3BB-D22CA1AB44E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P543" i="1"/>
  <c r="BO543" i="1"/>
  <c r="BM543" i="1"/>
  <c r="Z543" i="1"/>
  <c r="Z544" i="1" s="1"/>
  <c r="Y543" i="1"/>
  <c r="AC556" i="1" s="1"/>
  <c r="P543" i="1"/>
  <c r="X540" i="1"/>
  <c r="Y539" i="1"/>
  <c r="X539" i="1"/>
  <c r="BO538" i="1"/>
  <c r="BN538" i="1"/>
  <c r="BM538" i="1"/>
  <c r="Y538" i="1"/>
  <c r="BP538" i="1" s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O486" i="1"/>
  <c r="BN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N471" i="1"/>
  <c r="BM471" i="1"/>
  <c r="Y471" i="1"/>
  <c r="BP471" i="1" s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O467" i="1"/>
  <c r="BN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N449" i="1"/>
  <c r="BM449" i="1"/>
  <c r="Y449" i="1"/>
  <c r="BP449" i="1" s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N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BN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N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N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O359" i="1"/>
  <c r="BN359" i="1"/>
  <c r="BM359" i="1"/>
  <c r="Y359" i="1"/>
  <c r="BP359" i="1" s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N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N339" i="1"/>
  <c r="BM339" i="1"/>
  <c r="Y339" i="1"/>
  <c r="BP339" i="1" s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N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2" i="1"/>
  <c r="X311" i="1"/>
  <c r="BO310" i="1"/>
  <c r="BM310" i="1"/>
  <c r="Y310" i="1"/>
  <c r="BN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N285" i="1"/>
  <c r="BM285" i="1"/>
  <c r="Y285" i="1"/>
  <c r="BP285" i="1" s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N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N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M231" i="1"/>
  <c r="Z231" i="1"/>
  <c r="Y231" i="1"/>
  <c r="BN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N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N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M166" i="1"/>
  <c r="Z166" i="1"/>
  <c r="Y166" i="1"/>
  <c r="BN166" i="1" s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O160" i="1"/>
  <c r="BN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M147" i="1"/>
  <c r="Z147" i="1"/>
  <c r="Y147" i="1"/>
  <c r="BN147" i="1" s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BN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M121" i="1"/>
  <c r="Z121" i="1"/>
  <c r="Y121" i="1"/>
  <c r="BN121" i="1" s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O115" i="1"/>
  <c r="BN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N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N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N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N79" i="1" s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N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N55" i="1"/>
  <c r="BM55" i="1"/>
  <c r="Z55" i="1"/>
  <c r="Y55" i="1"/>
  <c r="BP55" i="1" s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N46" i="1"/>
  <c r="BM46" i="1"/>
  <c r="Y46" i="1"/>
  <c r="BP46" i="1" s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N26" i="1" s="1"/>
  <c r="P26" i="1"/>
  <c r="X24" i="1"/>
  <c r="Y23" i="1"/>
  <c r="X23" i="1"/>
  <c r="BO22" i="1"/>
  <c r="BN22" i="1"/>
  <c r="BM22" i="1"/>
  <c r="Y22" i="1"/>
  <c r="BP22" i="1" s="1"/>
  <c r="P22" i="1"/>
  <c r="H10" i="1"/>
  <c r="A9" i="1"/>
  <c r="A10" i="1" s="1"/>
  <c r="D7" i="1"/>
  <c r="Q6" i="1"/>
  <c r="P2" i="1"/>
  <c r="BP26" i="1" l="1"/>
  <c r="BP136" i="1"/>
  <c r="BP174" i="1"/>
  <c r="Z184" i="1"/>
  <c r="Z215" i="1"/>
  <c r="BP239" i="1"/>
  <c r="Y321" i="1"/>
  <c r="Z399" i="1"/>
  <c r="BP399" i="1"/>
  <c r="Z422" i="1"/>
  <c r="BP422" i="1"/>
  <c r="Z512" i="1"/>
  <c r="BP512" i="1"/>
  <c r="J9" i="1"/>
  <c r="Z46" i="1"/>
  <c r="Z59" i="1"/>
  <c r="Z86" i="1"/>
  <c r="H556" i="1"/>
  <c r="Z202" i="1"/>
  <c r="Z254" i="1"/>
  <c r="Z279" i="1"/>
  <c r="Z317" i="1"/>
  <c r="Z339" i="1"/>
  <c r="Y349" i="1"/>
  <c r="Z449" i="1"/>
  <c r="Z471" i="1"/>
  <c r="Z538" i="1"/>
  <c r="BN543" i="1"/>
  <c r="Y544" i="1"/>
  <c r="F9" i="1"/>
  <c r="Z26" i="1"/>
  <c r="Z38" i="1"/>
  <c r="BP38" i="1"/>
  <c r="Z79" i="1"/>
  <c r="BP79" i="1"/>
  <c r="Z136" i="1"/>
  <c r="Z174" i="1"/>
  <c r="BP184" i="1"/>
  <c r="BP215" i="1"/>
  <c r="Z239" i="1"/>
  <c r="Z310" i="1"/>
  <c r="BP310" i="1"/>
  <c r="F10" i="1"/>
  <c r="Z22" i="1"/>
  <c r="Z23" i="1" s="1"/>
  <c r="Z65" i="1"/>
  <c r="Z94" i="1"/>
  <c r="Z105" i="1"/>
  <c r="Z115" i="1"/>
  <c r="Z160" i="1"/>
  <c r="Z223" i="1"/>
  <c r="Y242" i="1"/>
  <c r="Z262" i="1"/>
  <c r="Z275" i="1"/>
  <c r="Z285" i="1"/>
  <c r="Z326" i="1"/>
  <c r="Z346" i="1"/>
  <c r="BP346" i="1"/>
  <c r="Z359" i="1"/>
  <c r="Z369" i="1"/>
  <c r="Z387" i="1"/>
  <c r="Z438" i="1"/>
  <c r="Z467" i="1"/>
  <c r="Z486" i="1"/>
  <c r="Z496" i="1"/>
  <c r="BP341" i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Y181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70" i="1"/>
  <c r="Y74" i="1"/>
  <c r="Y80" i="1"/>
  <c r="Y91" i="1"/>
  <c r="Y124" i="1"/>
  <c r="BP161" i="1"/>
  <c r="BN161" i="1"/>
  <c r="Z161" i="1"/>
  <c r="Y190" i="1"/>
  <c r="BP189" i="1"/>
  <c r="BN189" i="1"/>
  <c r="Z189" i="1"/>
  <c r="Z190" i="1" s="1"/>
  <c r="Y191" i="1"/>
  <c r="K556" i="1"/>
  <c r="Y206" i="1"/>
  <c r="BP199" i="1"/>
  <c r="BN199" i="1"/>
  <c r="Z199" i="1"/>
  <c r="BP203" i="1"/>
  <c r="BN203" i="1"/>
  <c r="Z203" i="1"/>
  <c r="BP220" i="1"/>
  <c r="BN220" i="1"/>
  <c r="Z220" i="1"/>
  <c r="BP224" i="1"/>
  <c r="BN224" i="1"/>
  <c r="Z224" i="1"/>
  <c r="Y245" i="1"/>
  <c r="BP244" i="1"/>
  <c r="BN244" i="1"/>
  <c r="Z244" i="1"/>
  <c r="Z245" i="1" s="1"/>
  <c r="Y246" i="1"/>
  <c r="M556" i="1"/>
  <c r="Y252" i="1"/>
  <c r="BP249" i="1"/>
  <c r="BN249" i="1"/>
  <c r="Z249" i="1"/>
  <c r="Z251" i="1" s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Y51" i="1"/>
  <c r="Y62" i="1"/>
  <c r="Y97" i="1"/>
  <c r="Y108" i="1"/>
  <c r="Y116" i="1"/>
  <c r="Y128" i="1"/>
  <c r="Y133" i="1"/>
  <c r="Y139" i="1"/>
  <c r="Y143" i="1"/>
  <c r="BP173" i="1"/>
  <c r="BN173" i="1"/>
  <c r="Z173" i="1"/>
  <c r="BP177" i="1"/>
  <c r="BN177" i="1"/>
  <c r="Z177" i="1"/>
  <c r="BP185" i="1"/>
  <c r="BN185" i="1"/>
  <c r="Z185" i="1"/>
  <c r="Z186" i="1" s="1"/>
  <c r="Y187" i="1"/>
  <c r="Y194" i="1"/>
  <c r="BP193" i="1"/>
  <c r="BN193" i="1"/>
  <c r="Z193" i="1"/>
  <c r="Z194" i="1" s="1"/>
  <c r="Y195" i="1"/>
  <c r="BP216" i="1"/>
  <c r="BN216" i="1"/>
  <c r="Z216" i="1"/>
  <c r="BP232" i="1"/>
  <c r="BN232" i="1"/>
  <c r="Z232" i="1"/>
  <c r="BP240" i="1"/>
  <c r="BN240" i="1"/>
  <c r="Z240" i="1"/>
  <c r="H9" i="1"/>
  <c r="B556" i="1"/>
  <c r="X547" i="1"/>
  <c r="X549" i="1" s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Z80" i="1" s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Z328" i="1" s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Z360" i="1" s="1"/>
  <c r="BP364" i="1"/>
  <c r="BN364" i="1"/>
  <c r="Z364" i="1"/>
  <c r="BP368" i="1"/>
  <c r="BN368" i="1"/>
  <c r="Z368" i="1"/>
  <c r="Z370" i="1" s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Z440" i="1" s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500" i="1" l="1"/>
  <c r="Z97" i="1"/>
  <c r="Z487" i="1"/>
  <c r="Z377" i="1"/>
  <c r="Z108" i="1"/>
  <c r="Y550" i="1"/>
  <c r="Z50" i="1"/>
  <c r="Z41" i="1"/>
  <c r="Y547" i="1"/>
  <c r="Z461" i="1"/>
  <c r="Z321" i="1"/>
  <c r="Z298" i="1"/>
  <c r="Z163" i="1"/>
  <c r="Z151" i="1"/>
  <c r="Z123" i="1"/>
  <c r="Z116" i="1"/>
  <c r="Z90" i="1"/>
  <c r="Z69" i="1"/>
  <c r="Y548" i="1"/>
  <c r="Z31" i="1"/>
  <c r="Z408" i="1"/>
  <c r="Z434" i="1"/>
  <c r="Z282" i="1"/>
  <c r="Z336" i="1"/>
  <c r="Z62" i="1"/>
  <c r="Z472" i="1"/>
  <c r="Z206" i="1"/>
  <c r="Z428" i="1"/>
  <c r="Z516" i="1"/>
  <c r="Z390" i="1"/>
  <c r="Z267" i="1"/>
  <c r="Z235" i="1"/>
  <c r="Z227" i="1"/>
  <c r="Z181" i="1"/>
  <c r="Y546" i="1"/>
  <c r="Z415" i="1"/>
  <c r="Y549" i="1" l="1"/>
  <c r="Z551" i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<sst xmlns="http://schemas.openxmlformats.org/spreadsheetml/2006/main" count="2464" uniqueCount="894">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</sst>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4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3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0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703" t="s">
        <v>0</v>
      </c>
      <c r="E1" s="669"/>
      <c r="F1" s="669"/>
      <c r="G1" s="12" t="s">
        <v>1</v>
      </c>
      <c r="H1" s="703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64" t="s">
        <v>8</v>
      </c>
      <c r="B5" s="646"/>
      <c r="C5" s="647"/>
      <c r="D5" s="708"/>
      <c r="E5" s="709"/>
      <c r="F5" s="931" t="s">
        <v>9</v>
      </c>
      <c r="G5" s="647"/>
      <c r="H5" s="708" t="s">
        <v>893</v>
      </c>
      <c r="I5" s="871"/>
      <c r="J5" s="871"/>
      <c r="K5" s="871"/>
      <c r="L5" s="871"/>
      <c r="M5" s="709"/>
      <c r="N5" s="58"/>
      <c r="P5" s="24" t="s">
        <v>10</v>
      </c>
      <c r="Q5" s="949">
        <v>46313</v>
      </c>
      <c r="R5" s="746"/>
      <c r="T5" s="798" t="s">
        <v>11</v>
      </c>
      <c r="U5" s="795"/>
      <c r="V5" s="799" t="s">
        <v>12</v>
      </c>
      <c r="W5" s="746"/>
      <c r="AB5" s="51"/>
      <c r="AC5" s="51"/>
      <c r="AD5" s="51"/>
      <c r="AE5" s="51"/>
    </row>
    <row r="6" spans="1:32" s="614" customFormat="1" ht="24" customHeight="1" x14ac:dyDescent="0.2">
      <c r="A6" s="764" t="s">
        <v>13</v>
      </c>
      <c r="B6" s="646"/>
      <c r="C6" s="647"/>
      <c r="D6" s="873" t="s">
        <v>851</v>
      </c>
      <c r="E6" s="874"/>
      <c r="F6" s="874"/>
      <c r="G6" s="874"/>
      <c r="H6" s="874"/>
      <c r="I6" s="874"/>
      <c r="J6" s="874"/>
      <c r="K6" s="874"/>
      <c r="L6" s="874"/>
      <c r="M6" s="746"/>
      <c r="N6" s="59"/>
      <c r="P6" s="24" t="s">
        <v>14</v>
      </c>
      <c r="Q6" s="960" t="str">
        <f>IF(Q5=0," ",CHOOSE(WEEKDAY(Q5,2),"Понедельник","Вторник","Среда","Четверг","Пятница","Суббота","Воскресенье"))</f>
        <v>Воскресенье</v>
      </c>
      <c r="R6" s="625"/>
      <c r="T6" s="794" t="s">
        <v>15</v>
      </c>
      <c r="U6" s="795"/>
      <c r="V6" s="878" t="s">
        <v>16</v>
      </c>
      <c r="W6" s="681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83" t="str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33"/>
      <c r="U7" s="795"/>
      <c r="V7" s="879"/>
      <c r="W7" s="880"/>
      <c r="AB7" s="51"/>
      <c r="AC7" s="51"/>
      <c r="AD7" s="51"/>
      <c r="AE7" s="51"/>
    </row>
    <row r="8" spans="1:32" s="614" customFormat="1" ht="25.5" customHeight="1" x14ac:dyDescent="0.2">
      <c r="A8" s="967" t="s">
        <v>17</v>
      </c>
      <c r="B8" s="638"/>
      <c r="C8" s="639"/>
      <c r="D8" s="695"/>
      <c r="E8" s="696"/>
      <c r="F8" s="696"/>
      <c r="G8" s="696"/>
      <c r="H8" s="696"/>
      <c r="I8" s="696"/>
      <c r="J8" s="696"/>
      <c r="K8" s="696"/>
      <c r="L8" s="696"/>
      <c r="M8" s="697"/>
      <c r="N8" s="61"/>
      <c r="P8" s="24" t="s">
        <v>18</v>
      </c>
      <c r="Q8" s="768">
        <v>0.41666666666666669</v>
      </c>
      <c r="R8" s="685"/>
      <c r="T8" s="633"/>
      <c r="U8" s="795"/>
      <c r="V8" s="879"/>
      <c r="W8" s="880"/>
      <c r="AB8" s="51"/>
      <c r="AC8" s="51"/>
      <c r="AD8" s="51"/>
      <c r="AE8" s="51"/>
    </row>
    <row r="9" spans="1:32" s="614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53"/>
      <c r="E9" s="651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15"/>
      <c r="P9" s="26" t="s">
        <v>19</v>
      </c>
      <c r="Q9" s="742"/>
      <c r="R9" s="743"/>
      <c r="T9" s="633"/>
      <c r="U9" s="795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53"/>
      <c r="E10" s="651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0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9"/>
      <c r="R10" s="810"/>
      <c r="U10" s="24" t="s">
        <v>21</v>
      </c>
      <c r="V10" s="680" t="s">
        <v>22</v>
      </c>
      <c r="W10" s="681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5"/>
      <c r="R11" s="746"/>
      <c r="U11" s="24" t="s">
        <v>25</v>
      </c>
      <c r="V11" s="894" t="s">
        <v>26</v>
      </c>
      <c r="W11" s="743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1" t="s">
        <v>27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28</v>
      </c>
      <c r="Q12" s="768"/>
      <c r="R12" s="685"/>
      <c r="S12" s="23"/>
      <c r="U12" s="24"/>
      <c r="V12" s="669"/>
      <c r="W12" s="633"/>
      <c r="AB12" s="51"/>
      <c r="AC12" s="51"/>
      <c r="AD12" s="51"/>
      <c r="AE12" s="51"/>
    </row>
    <row r="13" spans="1:32" s="614" customFormat="1" ht="23.25" customHeight="1" x14ac:dyDescent="0.2">
      <c r="A13" s="781" t="s">
        <v>29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30</v>
      </c>
      <c r="Q13" s="894"/>
      <c r="R13" s="7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1" t="s">
        <v>31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17" t="s">
        <v>32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87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7" t="s">
        <v>34</v>
      </c>
      <c r="B17" s="677" t="s">
        <v>35</v>
      </c>
      <c r="C17" s="757" t="s">
        <v>36</v>
      </c>
      <c r="D17" s="677" t="s">
        <v>37</v>
      </c>
      <c r="E17" s="727"/>
      <c r="F17" s="677" t="s">
        <v>38</v>
      </c>
      <c r="G17" s="677" t="s">
        <v>39</v>
      </c>
      <c r="H17" s="677" t="s">
        <v>40</v>
      </c>
      <c r="I17" s="677" t="s">
        <v>41</v>
      </c>
      <c r="J17" s="677" t="s">
        <v>42</v>
      </c>
      <c r="K17" s="677" t="s">
        <v>43</v>
      </c>
      <c r="L17" s="677" t="s">
        <v>44</v>
      </c>
      <c r="M17" s="677" t="s">
        <v>45</v>
      </c>
      <c r="N17" s="677" t="s">
        <v>46</v>
      </c>
      <c r="O17" s="677" t="s">
        <v>47</v>
      </c>
      <c r="P17" s="677" t="s">
        <v>48</v>
      </c>
      <c r="Q17" s="726"/>
      <c r="R17" s="726"/>
      <c r="S17" s="726"/>
      <c r="T17" s="727"/>
      <c r="U17" s="979" t="s">
        <v>49</v>
      </c>
      <c r="V17" s="647"/>
      <c r="W17" s="677" t="s">
        <v>50</v>
      </c>
      <c r="X17" s="677" t="s">
        <v>51</v>
      </c>
      <c r="Y17" s="980" t="s">
        <v>52</v>
      </c>
      <c r="Z17" s="869" t="s">
        <v>53</v>
      </c>
      <c r="AA17" s="841" t="s">
        <v>54</v>
      </c>
      <c r="AB17" s="841" t="s">
        <v>55</v>
      </c>
      <c r="AC17" s="841" t="s">
        <v>56</v>
      </c>
      <c r="AD17" s="841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78"/>
      <c r="B18" s="678"/>
      <c r="C18" s="678"/>
      <c r="D18" s="728"/>
      <c r="E18" s="730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728"/>
      <c r="Q18" s="729"/>
      <c r="R18" s="729"/>
      <c r="S18" s="729"/>
      <c r="T18" s="730"/>
      <c r="U18" s="67" t="s">
        <v>59</v>
      </c>
      <c r="V18" s="67" t="s">
        <v>60</v>
      </c>
      <c r="W18" s="678"/>
      <c r="X18" s="678"/>
      <c r="Y18" s="981"/>
      <c r="Z18" s="870"/>
      <c r="AA18" s="842"/>
      <c r="AB18" s="842"/>
      <c r="AC18" s="842"/>
      <c r="AD18" s="928"/>
      <c r="AE18" s="929"/>
      <c r="AF18" s="930"/>
      <c r="AG18" s="66"/>
      <c r="BD18" s="65"/>
    </row>
    <row r="19" spans="1:68" ht="27.75" hidden="1" customHeight="1" x14ac:dyDescent="0.2">
      <c r="A19" s="796" t="s">
        <v>61</v>
      </c>
      <c r="B19" s="797"/>
      <c r="C19" s="797"/>
      <c r="D19" s="797"/>
      <c r="E19" s="797"/>
      <c r="F19" s="797"/>
      <c r="G19" s="797"/>
      <c r="H19" s="797"/>
      <c r="I19" s="797"/>
      <c r="J19" s="797"/>
      <c r="K19" s="797"/>
      <c r="L19" s="797"/>
      <c r="M19" s="797"/>
      <c r="N19" s="797"/>
      <c r="O19" s="797"/>
      <c r="P19" s="797"/>
      <c r="Q19" s="797"/>
      <c r="R19" s="797"/>
      <c r="S19" s="797"/>
      <c r="T19" s="797"/>
      <c r="U19" s="797"/>
      <c r="V19" s="797"/>
      <c r="W19" s="797"/>
      <c r="X19" s="797"/>
      <c r="Y19" s="797"/>
      <c r="Z19" s="797"/>
      <c r="AA19" s="48"/>
      <c r="AB19" s="48"/>
      <c r="AC19" s="48"/>
    </row>
    <row r="20" spans="1:68" ht="16.5" hidden="1" customHeight="1" x14ac:dyDescent="0.25">
      <c r="A20" s="642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96" t="s">
        <v>89</v>
      </c>
      <c r="B33" s="797"/>
      <c r="C33" s="797"/>
      <c r="D33" s="797"/>
      <c r="E33" s="797"/>
      <c r="F33" s="797"/>
      <c r="G33" s="797"/>
      <c r="H33" s="797"/>
      <c r="I33" s="797"/>
      <c r="J33" s="797"/>
      <c r="K33" s="797"/>
      <c r="L33" s="797"/>
      <c r="M33" s="797"/>
      <c r="N33" s="797"/>
      <c r="O33" s="797"/>
      <c r="P33" s="797"/>
      <c r="Q33" s="797"/>
      <c r="R33" s="797"/>
      <c r="S33" s="797"/>
      <c r="T33" s="797"/>
      <c r="U33" s="797"/>
      <c r="V33" s="797"/>
      <c r="W33" s="797"/>
      <c r="X33" s="797"/>
      <c r="Y33" s="797"/>
      <c r="Z33" s="797"/>
      <c r="AA33" s="48"/>
      <c r="AB33" s="48"/>
      <c r="AC33" s="48"/>
    </row>
    <row r="34" spans="1:68" ht="16.5" hidden="1" customHeight="1" x14ac:dyDescent="0.25">
      <c r="A34" s="642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8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96" t="s">
        <v>106</v>
      </c>
      <c r="B43" s="797"/>
      <c r="C43" s="797"/>
      <c r="D43" s="797"/>
      <c r="E43" s="797"/>
      <c r="F43" s="797"/>
      <c r="G43" s="797"/>
      <c r="H43" s="797"/>
      <c r="I43" s="797"/>
      <c r="J43" s="797"/>
      <c r="K43" s="797"/>
      <c r="L43" s="797"/>
      <c r="M43" s="797"/>
      <c r="N43" s="797"/>
      <c r="O43" s="797"/>
      <c r="P43" s="797"/>
      <c r="Q43" s="797"/>
      <c r="R43" s="797"/>
      <c r="S43" s="797"/>
      <c r="T43" s="797"/>
      <c r="U43" s="797"/>
      <c r="V43" s="797"/>
      <c r="W43" s="797"/>
      <c r="X43" s="797"/>
      <c r="Y43" s="797"/>
      <c r="Z43" s="797"/>
      <c r="AA43" s="48"/>
      <c r="AB43" s="48"/>
      <c r="AC43" s="48"/>
    </row>
    <row r="44" spans="1:68" ht="16.5" hidden="1" customHeight="1" x14ac:dyDescent="0.25">
      <c r="A44" s="642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9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10</v>
      </c>
      <c r="Y49" s="618">
        <f>IFERROR(IF(X49="",0,CEILING((X49/$H49),1)*$H49),"")</f>
        <v>11.100000000000001</v>
      </c>
      <c r="Z49" s="36">
        <f>IFERROR(IF(Y49=0,"",ROUNDUP(Y49/H49,0)*0.00902),"")</f>
        <v>2.7060000000000001E-2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10.513513513513512</v>
      </c>
      <c r="BN49" s="64">
        <f>IFERROR(Y49*I49/H49,"0")</f>
        <v>11.670000000000002</v>
      </c>
      <c r="BO49" s="64">
        <f>IFERROR(1/J49*(X49/H49),"0")</f>
        <v>2.0475020475020474E-2</v>
      </c>
      <c r="BP49" s="64">
        <f>IFERROR(1/J49*(Y49/H49),"0")</f>
        <v>2.2727272727272731E-2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2.7027027027027026</v>
      </c>
      <c r="Y50" s="619">
        <f>IFERROR(Y46/H46,"0")+IFERROR(Y47/H47,"0")+IFERROR(Y48/H48,"0")+IFERROR(Y49/H49,"0")</f>
        <v>3.0000000000000004</v>
      </c>
      <c r="Z50" s="619">
        <f>IFERROR(IF(Z46="",0,Z46),"0")+IFERROR(IF(Z47="",0,Z47),"0")+IFERROR(IF(Z48="",0,Z48),"0")+IFERROR(IF(Z49="",0,Z49),"0")</f>
        <v>2.7060000000000001E-2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10</v>
      </c>
      <c r="Y51" s="619">
        <f>IFERROR(SUM(Y46:Y49),"0")</f>
        <v>11.100000000000001</v>
      </c>
      <c r="Z51" s="37"/>
      <c r="AA51" s="620"/>
      <c r="AB51" s="620"/>
      <c r="AC51" s="620"/>
    </row>
    <row r="52" spans="1:68" ht="16.5" hidden="1" customHeight="1" x14ac:dyDescent="0.25">
      <c r="A52" s="642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0</v>
      </c>
      <c r="Y55" s="618">
        <f t="shared" si="0"/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4</v>
      </c>
      <c r="Y58" s="618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4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57</v>
      </c>
      <c r="Y61" s="618">
        <f t="shared" si="0"/>
        <v>58.5</v>
      </c>
      <c r="Z61" s="36">
        <f>IFERROR(IF(Y61=0,"",ROUNDUP(Y61/H61,0)*0.00902),"")</f>
        <v>0.11726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59.406666666666673</v>
      </c>
      <c r="BN61" s="64">
        <f t="shared" si="2"/>
        <v>60.97</v>
      </c>
      <c r="BO61" s="64">
        <f t="shared" si="3"/>
        <v>9.5959595959595953E-2</v>
      </c>
      <c r="BP61" s="64">
        <f t="shared" si="4"/>
        <v>9.8484848484848481E-2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13.666666666666666</v>
      </c>
      <c r="Y62" s="619">
        <f>IFERROR(Y54/H54,"0")+IFERROR(Y55/H55,"0")+IFERROR(Y56/H56,"0")+IFERROR(Y57/H57,"0")+IFERROR(Y58/H58,"0")+IFERROR(Y59/H59,"0")+IFERROR(Y60/H60,"0")+IFERROR(Y61/H61,"0")</f>
        <v>14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0.12628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61</v>
      </c>
      <c r="Y63" s="619">
        <f>IFERROR(SUM(Y54:Y61),"0")</f>
        <v>62.5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198</v>
      </c>
      <c r="Y77" s="618">
        <f>IFERROR(IF(X77="",0,CEILING((X77/$H77),1)*$H77),"")</f>
        <v>202.79999999999998</v>
      </c>
      <c r="Z77" s="36">
        <f>IFERROR(IF(Y77=0,"",ROUNDUP(Y77/H77,0)*0.01898),"")</f>
        <v>0.49348000000000003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208.40769230769234</v>
      </c>
      <c r="BN77" s="64">
        <f>IFERROR(Y77*I77/H77,"0")</f>
        <v>213.46</v>
      </c>
      <c r="BO77" s="64">
        <f>IFERROR(1/J77*(X77/H77),"0")</f>
        <v>0.39663461538461542</v>
      </c>
      <c r="BP77" s="64">
        <f>IFERROR(1/J77*(Y77/H77),"0")</f>
        <v>0.40625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25.384615384615387</v>
      </c>
      <c r="Y80" s="619">
        <f>IFERROR(Y77/H77,"0")+IFERROR(Y78/H78,"0")+IFERROR(Y79/H79,"0")</f>
        <v>26</v>
      </c>
      <c r="Z80" s="619">
        <f>IFERROR(IF(Z77="",0,Z77),"0")+IFERROR(IF(Z78="",0,Z78),"0")+IFERROR(IF(Z79="",0,Z79),"0")</f>
        <v>0.49348000000000003</v>
      </c>
      <c r="AA80" s="620"/>
      <c r="AB80" s="620"/>
      <c r="AC80" s="620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198</v>
      </c>
      <c r="Y81" s="619">
        <f>IFERROR(SUM(Y77:Y79),"0")</f>
        <v>202.79999999999998</v>
      </c>
      <c r="Z81" s="37"/>
      <c r="AA81" s="620"/>
      <c r="AB81" s="620"/>
      <c r="AC81" s="620"/>
    </row>
    <row r="82" spans="1:68" ht="16.5" hidden="1" customHeight="1" x14ac:dyDescent="0.25">
      <c r="A82" s="642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32</v>
      </c>
      <c r="Y89" s="618">
        <f t="shared" si="5"/>
        <v>36</v>
      </c>
      <c r="Z89" s="36">
        <f>IFERROR(IF(Y89=0,"",ROUNDUP(Y89/H89,0)*0.00902),"")</f>
        <v>7.2160000000000002E-2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33.351111111111116</v>
      </c>
      <c r="BN89" s="64">
        <f t="shared" si="7"/>
        <v>37.520000000000003</v>
      </c>
      <c r="BO89" s="64">
        <f t="shared" si="8"/>
        <v>5.387205387205387E-2</v>
      </c>
      <c r="BP89" s="64">
        <f t="shared" si="9"/>
        <v>6.0606060606060608E-2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7.1111111111111107</v>
      </c>
      <c r="Y90" s="619">
        <f>IFERROR(Y84/H84,"0")+IFERROR(Y85/H85,"0")+IFERROR(Y86/H86,"0")+IFERROR(Y87/H87,"0")+IFERROR(Y88/H88,"0")+IFERROR(Y89/H89,"0")</f>
        <v>8</v>
      </c>
      <c r="Z90" s="619">
        <f>IFERROR(IF(Z84="",0,Z84),"0")+IFERROR(IF(Z85="",0,Z85),"0")+IFERROR(IF(Z86="",0,Z86),"0")+IFERROR(IF(Z87="",0,Z87),"0")+IFERROR(IF(Z88="",0,Z88),"0")+IFERROR(IF(Z89="",0,Z89),"0")</f>
        <v>7.2160000000000002E-2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32</v>
      </c>
      <c r="Y91" s="619">
        <f>IFERROR(SUM(Y84:Y89),"0")</f>
        <v>36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5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585</v>
      </c>
      <c r="Y93" s="618">
        <f>IFERROR(IF(X93="",0,CEILING((X93/$H93),1)*$H93),"")</f>
        <v>591.29999999999995</v>
      </c>
      <c r="Z93" s="36">
        <f>IFERROR(IF(Y93=0,"",ROUNDUP(Y93/H93,0)*0.01898),"")</f>
        <v>1.38554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620.67777777777781</v>
      </c>
      <c r="BN93" s="64">
        <f>IFERROR(Y93*I93/H93,"0")</f>
        <v>627.36199999999997</v>
      </c>
      <c r="BO93" s="64">
        <f>IFERROR(1/J93*(X93/H93),"0")</f>
        <v>1.1284722222222223</v>
      </c>
      <c r="BP93" s="64">
        <f>IFERROR(1/J93*(Y93/H93),"0")</f>
        <v>1.140625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141</v>
      </c>
      <c r="Y95" s="618">
        <f>IFERROR(IF(X95="",0,CEILING((X95/$H95),1)*$H95),"")</f>
        <v>143.10000000000002</v>
      </c>
      <c r="Z95" s="36">
        <f>IFERROR(IF(Y95=0,"",ROUNDUP(Y95/H95,0)*0.00651),"")</f>
        <v>0.34503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154.15999999999997</v>
      </c>
      <c r="BN95" s="64">
        <f>IFERROR(Y95*I95/H95,"0")</f>
        <v>156.45600000000002</v>
      </c>
      <c r="BO95" s="64">
        <f>IFERROR(1/J95*(X95/H95),"0")</f>
        <v>0.28693528693528697</v>
      </c>
      <c r="BP95" s="64">
        <f>IFERROR(1/J95*(Y95/H95),"0")</f>
        <v>0.29120879120879128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124.44444444444446</v>
      </c>
      <c r="Y97" s="619">
        <f>IFERROR(Y93/H93,"0")+IFERROR(Y94/H94,"0")+IFERROR(Y95/H95,"0")+IFERROR(Y96/H96,"0")</f>
        <v>126</v>
      </c>
      <c r="Z97" s="619">
        <f>IFERROR(IF(Z93="",0,Z93),"0")+IFERROR(IF(Z94="",0,Z94),"0")+IFERROR(IF(Z95="",0,Z95),"0")+IFERROR(IF(Z96="",0,Z96),"0")</f>
        <v>1.7305699999999999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726</v>
      </c>
      <c r="Y98" s="619">
        <f>IFERROR(SUM(Y93:Y96),"0")</f>
        <v>734.4</v>
      </c>
      <c r="Z98" s="37"/>
      <c r="AA98" s="620"/>
      <c r="AB98" s="620"/>
      <c r="AC98" s="620"/>
    </row>
    <row r="99" spans="1:68" ht="16.5" hidden="1" customHeight="1" x14ac:dyDescent="0.25">
      <c r="A99" s="642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64</v>
      </c>
      <c r="Y101" s="618">
        <f t="shared" ref="Y101:Y107" si="10">IFERROR(IF(X101="",0,CEILING((X101/$H101),1)*$H101),"")</f>
        <v>64.800000000000011</v>
      </c>
      <c r="Z101" s="36">
        <f>IFERROR(IF(Y101=0,"",ROUNDUP(Y101/H101,0)*0.01898),"")</f>
        <v>0.11388000000000001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66.42962962962963</v>
      </c>
      <c r="BN101" s="64">
        <f t="shared" ref="BN101:BN107" si="12">IFERROR(Y101*I101/H101,"0")</f>
        <v>67.260000000000005</v>
      </c>
      <c r="BO101" s="64">
        <f t="shared" ref="BO101:BO107" si="13">IFERROR(1/J101*(X101/H101),"0")</f>
        <v>9.2592592592592587E-2</v>
      </c>
      <c r="BP101" s="64">
        <f t="shared" ref="BP101:BP107" si="14">IFERROR(1/J101*(Y101/H101),"0")</f>
        <v>9.3750000000000014E-2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8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29</v>
      </c>
      <c r="Y105" s="618">
        <f t="shared" si="10"/>
        <v>31.5</v>
      </c>
      <c r="Z105" s="36">
        <f>IFERROR(IF(Y105=0,"",ROUNDUP(Y105/H105,0)*0.00902),"")</f>
        <v>6.3140000000000002E-2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30.224444444444448</v>
      </c>
      <c r="BN105" s="64">
        <f t="shared" si="12"/>
        <v>32.830000000000005</v>
      </c>
      <c r="BO105" s="64">
        <f t="shared" si="13"/>
        <v>4.8821548821548821E-2</v>
      </c>
      <c r="BP105" s="64">
        <f t="shared" si="14"/>
        <v>5.3030303030303032E-2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5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4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12.37037037037037</v>
      </c>
      <c r="Y108" s="619">
        <f>IFERROR(Y101/H101,"0")+IFERROR(Y102/H102,"0")+IFERROR(Y103/H103,"0")+IFERROR(Y104/H104,"0")+IFERROR(Y105/H105,"0")+IFERROR(Y106/H106,"0")+IFERROR(Y107/H107,"0")</f>
        <v>13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0.17702000000000001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93</v>
      </c>
      <c r="Y109" s="619">
        <f>IFERROR(SUM(Y101:Y107),"0")</f>
        <v>96.300000000000011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64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4</v>
      </c>
      <c r="Y115" s="618">
        <f>IFERROR(IF(X115="",0,CEILING((X115/$H115),1)*$H115),"")</f>
        <v>4.8</v>
      </c>
      <c r="Z115" s="36">
        <f>IFERROR(IF(Y115=0,"",ROUNDUP(Y115/H115,0)*0.00651),"")</f>
        <v>1.302E-2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4.3000000000000007</v>
      </c>
      <c r="BN115" s="64">
        <f>IFERROR(Y115*I115/H115,"0")</f>
        <v>5.16</v>
      </c>
      <c r="BO115" s="64">
        <f>IFERROR(1/J115*(X115/H115),"0")</f>
        <v>9.1575091575091579E-3</v>
      </c>
      <c r="BP115" s="64">
        <f>IFERROR(1/J115*(Y115/H115),"0")</f>
        <v>1.098901098901099E-2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1.6666666666666667</v>
      </c>
      <c r="Y116" s="619">
        <f>IFERROR(Y111/H111,"0")+IFERROR(Y112/H112,"0")+IFERROR(Y113/H113,"0")+IFERROR(Y114/H114,"0")+IFERROR(Y115/H115,"0")</f>
        <v>2</v>
      </c>
      <c r="Z116" s="619">
        <f>IFERROR(IF(Z111="",0,Z111),"0")+IFERROR(IF(Z112="",0,Z112),"0")+IFERROR(IF(Z113="",0,Z113),"0")+IFERROR(IF(Z114="",0,Z114),"0")+IFERROR(IF(Z115="",0,Z115),"0")</f>
        <v>1.302E-2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4</v>
      </c>
      <c r="Y117" s="619">
        <f>IFERROR(SUM(Y111:Y115),"0")</f>
        <v>4.8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7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115</v>
      </c>
      <c r="Y119" s="618">
        <f>IFERROR(IF(X119="",0,CEILING((X119/$H119),1)*$H119),"")</f>
        <v>121.5</v>
      </c>
      <c r="Z119" s="36">
        <f>IFERROR(IF(Y119=0,"",ROUNDUP(Y119/H119,0)*0.01898),"")</f>
        <v>0.28470000000000001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121.92839506172838</v>
      </c>
      <c r="BN119" s="64">
        <f>IFERROR(Y119*I119/H119,"0")</f>
        <v>128.82</v>
      </c>
      <c r="BO119" s="64">
        <f>IFERROR(1/J119*(X119/H119),"0")</f>
        <v>0.22183641975308643</v>
      </c>
      <c r="BP119" s="64">
        <f>IFERROR(1/J119*(Y119/H119),"0")</f>
        <v>0.234375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14.197530864197532</v>
      </c>
      <c r="Y123" s="619">
        <f>IFERROR(Y119/H119,"0")+IFERROR(Y120/H120,"0")+IFERROR(Y121/H121,"0")+IFERROR(Y122/H122,"0")</f>
        <v>15</v>
      </c>
      <c r="Z123" s="619">
        <f>IFERROR(IF(Z119="",0,Z119),"0")+IFERROR(IF(Z120="",0,Z120),"0")+IFERROR(IF(Z121="",0,Z121),"0")+IFERROR(IF(Z122="",0,Z122),"0")</f>
        <v>0.28470000000000001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115</v>
      </c>
      <c r="Y124" s="619">
        <f>IFERROR(SUM(Y119:Y122),"0")</f>
        <v>121.5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43</v>
      </c>
      <c r="Y126" s="618">
        <f>IFERROR(IF(X126="",0,CEILING((X126/$H126),1)*$H126),"")</f>
        <v>43.56</v>
      </c>
      <c r="Z126" s="36">
        <f>IFERROR(IF(Y126=0,"",ROUNDUP(Y126/H126,0)*0.00651),"")</f>
        <v>0.14322000000000001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48.603030303030302</v>
      </c>
      <c r="BN126" s="64">
        <f>IFERROR(Y126*I126/H126,"0")</f>
        <v>49.235999999999997</v>
      </c>
      <c r="BO126" s="64">
        <f>IFERROR(1/J126*(X126/H126),"0")</f>
        <v>0.11932511932511933</v>
      </c>
      <c r="BP126" s="64">
        <f>IFERROR(1/J126*(Y126/H126),"0")</f>
        <v>0.12087912087912089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21.717171717171716</v>
      </c>
      <c r="Y127" s="619">
        <f>IFERROR(Y126/H126,"0")</f>
        <v>22</v>
      </c>
      <c r="Z127" s="619">
        <f>IFERROR(IF(Z126="",0,Z126),"0")</f>
        <v>0.14322000000000001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43</v>
      </c>
      <c r="Y128" s="619">
        <f>IFERROR(SUM(Y126:Y126),"0")</f>
        <v>43.56</v>
      </c>
      <c r="Z128" s="37"/>
      <c r="AA128" s="620"/>
      <c r="AB128" s="620"/>
      <c r="AC128" s="620"/>
    </row>
    <row r="129" spans="1:68" ht="16.5" hidden="1" customHeight="1" x14ac:dyDescent="0.25">
      <c r="A129" s="642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38</v>
      </c>
      <c r="Y136" s="618">
        <f>IFERROR(IF(X136="",0,CEILING((X136/$H136),1)*$H136),"")</f>
        <v>39.199999999999996</v>
      </c>
      <c r="Z136" s="36">
        <f>IFERROR(IF(Y136=0,"",ROUNDUP(Y136/H136,0)*0.00651),"")</f>
        <v>9.1139999999999999E-2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41.637142857142862</v>
      </c>
      <c r="BN136" s="64">
        <f>IFERROR(Y136*I136/H136,"0")</f>
        <v>42.951999999999998</v>
      </c>
      <c r="BO136" s="64">
        <f>IFERROR(1/J136*(X136/H136),"0")</f>
        <v>7.4568288854003156E-2</v>
      </c>
      <c r="BP136" s="64">
        <f>IFERROR(1/J136*(Y136/H136),"0")</f>
        <v>7.6923076923076927E-2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5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13.571428571428573</v>
      </c>
      <c r="Y138" s="619">
        <f>IFERROR(Y136/H136,"0")+IFERROR(Y137/H137,"0")</f>
        <v>14</v>
      </c>
      <c r="Z138" s="619">
        <f>IFERROR(IF(Z136="",0,Z136),"0")+IFERROR(IF(Z137="",0,Z137),"0")</f>
        <v>9.1139999999999999E-2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38</v>
      </c>
      <c r="Y139" s="619">
        <f>IFERROR(SUM(Y136:Y137),"0")</f>
        <v>39.199999999999996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42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3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2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9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3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109</v>
      </c>
      <c r="Y174" s="618">
        <f t="shared" si="15"/>
        <v>112</v>
      </c>
      <c r="Z174" s="36">
        <f>IFERROR(IF(Y174=0,"",ROUNDUP(Y174/H174,0)*0.00902),"")</f>
        <v>0.28864000000000001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114.91714285714285</v>
      </c>
      <c r="BN174" s="64">
        <f t="shared" si="17"/>
        <v>118.08</v>
      </c>
      <c r="BO174" s="64">
        <f t="shared" si="18"/>
        <v>0.23593073593073594</v>
      </c>
      <c r="BP174" s="64">
        <f t="shared" si="19"/>
        <v>0.24242424242424243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9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0</v>
      </c>
      <c r="Y176" s="618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5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6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31.142857142857142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32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0.28864000000000001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109</v>
      </c>
      <c r="Y182" s="619">
        <f>IFERROR(SUM(Y171:Y180),"0")</f>
        <v>112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80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96" t="s">
        <v>327</v>
      </c>
      <c r="B196" s="797"/>
      <c r="C196" s="797"/>
      <c r="D196" s="797"/>
      <c r="E196" s="797"/>
      <c r="F196" s="797"/>
      <c r="G196" s="797"/>
      <c r="H196" s="797"/>
      <c r="I196" s="797"/>
      <c r="J196" s="797"/>
      <c r="K196" s="797"/>
      <c r="L196" s="797"/>
      <c r="M196" s="797"/>
      <c r="N196" s="797"/>
      <c r="O196" s="797"/>
      <c r="P196" s="797"/>
      <c r="Q196" s="797"/>
      <c r="R196" s="797"/>
      <c r="S196" s="797"/>
      <c r="T196" s="797"/>
      <c r="U196" s="797"/>
      <c r="V196" s="797"/>
      <c r="W196" s="797"/>
      <c r="X196" s="797"/>
      <c r="Y196" s="797"/>
      <c r="Z196" s="797"/>
      <c r="AA196" s="48"/>
      <c r="AB196" s="48"/>
      <c r="AC196" s="48"/>
    </row>
    <row r="197" spans="1:68" ht="16.5" hidden="1" customHeight="1" x14ac:dyDescent="0.25">
      <c r="A197" s="642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2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76</v>
      </c>
      <c r="Y216" s="618">
        <f t="shared" si="26"/>
        <v>79.8</v>
      </c>
      <c r="Z216" s="36">
        <f>IFERROR(IF(Y216=0,"",ROUNDUP(Y216/H216,0)*0.00902),"")</f>
        <v>0.17138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79.438095238095229</v>
      </c>
      <c r="BN216" s="64">
        <f t="shared" si="28"/>
        <v>83.409999999999982</v>
      </c>
      <c r="BO216" s="64">
        <f t="shared" si="29"/>
        <v>0.13708513708513709</v>
      </c>
      <c r="BP216" s="64">
        <f t="shared" si="30"/>
        <v>0.14393939393939395</v>
      </c>
    </row>
    <row r="217" spans="1:68" ht="37.5" hidden="1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0</v>
      </c>
      <c r="Y217" s="618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4</v>
      </c>
      <c r="Y223" s="618">
        <f t="shared" si="26"/>
        <v>4</v>
      </c>
      <c r="Z223" s="36">
        <f>IFERROR(IF(Y223=0,"",ROUNDUP(Y223/H223,0)*0.00417),"")</f>
        <v>2.085E-2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5.05</v>
      </c>
      <c r="BN223" s="64">
        <f t="shared" si="28"/>
        <v>5.05</v>
      </c>
      <c r="BO223" s="64">
        <f t="shared" si="29"/>
        <v>1.488095238095238E-2</v>
      </c>
      <c r="BP223" s="64">
        <f t="shared" si="30"/>
        <v>1.488095238095238E-2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134</v>
      </c>
      <c r="Y224" s="618">
        <f t="shared" si="26"/>
        <v>134.4</v>
      </c>
      <c r="Z224" s="36">
        <f>IFERROR(IF(Y224=0,"",ROUNDUP(Y224/H224,0)*0.00502),"")</f>
        <v>0.32128000000000001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140.38095238095238</v>
      </c>
      <c r="BN224" s="64">
        <f t="shared" si="28"/>
        <v>140.80000000000001</v>
      </c>
      <c r="BO224" s="64">
        <f t="shared" si="29"/>
        <v>0.27269027269027274</v>
      </c>
      <c r="BP224" s="64">
        <f t="shared" si="30"/>
        <v>0.27350427350427353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86.904761904761898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88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0.51351000000000002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214</v>
      </c>
      <c r="Y228" s="619">
        <f>IFERROR(SUM(Y214:Y226),"0")</f>
        <v>218.2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5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5</v>
      </c>
      <c r="Y244" s="618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5.753968253968254</v>
      </c>
      <c r="BN244" s="64">
        <f>IFERROR(Y244*I244/H244,"0")</f>
        <v>5.8</v>
      </c>
      <c r="BO244" s="64">
        <f>IFERROR(1/J244*(X244/H244),"0")</f>
        <v>1.8371546149323927E-2</v>
      </c>
      <c r="BP244" s="64">
        <f>IFERROR(1/J244*(Y244/H244),"0")</f>
        <v>1.8518518518518517E-2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3.9682539682539684</v>
      </c>
      <c r="Y245" s="619">
        <f>IFERROR(Y244/H244,"0")</f>
        <v>4</v>
      </c>
      <c r="Z245" s="619">
        <f>IFERROR(IF(Z244="",0,Z244),"0")</f>
        <v>2.3599999999999999E-2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5</v>
      </c>
      <c r="Y246" s="619">
        <f>IFERROR(SUM(Y244:Y244),"0")</f>
        <v>5.04</v>
      </c>
      <c r="Z246" s="37"/>
      <c r="AA246" s="620"/>
      <c r="AB246" s="620"/>
      <c r="AC246" s="620"/>
    </row>
    <row r="247" spans="1:68" ht="16.5" hidden="1" customHeight="1" x14ac:dyDescent="0.25">
      <c r="A247" s="642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3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312</v>
      </c>
      <c r="Y261" s="618">
        <f t="shared" si="31"/>
        <v>313.20000000000005</v>
      </c>
      <c r="Z261" s="36">
        <f>IFERROR(IF(Y261=0,"",ROUNDUP(Y261/H261,0)*0.00902),"")</f>
        <v>0.52316000000000007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322.97777777777776</v>
      </c>
      <c r="BN261" s="64">
        <f t="shared" si="33"/>
        <v>324.22000000000003</v>
      </c>
      <c r="BO261" s="64">
        <f t="shared" si="34"/>
        <v>0.43771043771043766</v>
      </c>
      <c r="BP261" s="64">
        <f t="shared" si="35"/>
        <v>0.43939393939393945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7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45</v>
      </c>
      <c r="Y264" s="618">
        <f t="shared" si="31"/>
        <v>45</v>
      </c>
      <c r="Z264" s="36">
        <f>IFERROR(IF(Y264=0,"",ROUNDUP(Y264/H264,0)*0.00502),"")</f>
        <v>0.1255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47.5</v>
      </c>
      <c r="BN264" s="64">
        <f t="shared" si="33"/>
        <v>47.5</v>
      </c>
      <c r="BO264" s="64">
        <f t="shared" si="34"/>
        <v>0.10683760683760685</v>
      </c>
      <c r="BP264" s="64">
        <f t="shared" si="35"/>
        <v>0.10683760683760685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82.777777777777771</v>
      </c>
      <c r="Y267" s="619">
        <f>IFERROR(Y259/H259,"0")+IFERROR(Y260/H260,"0")+IFERROR(Y261/H261,"0")+IFERROR(Y262/H262,"0")+IFERROR(Y263/H263,"0")+IFERROR(Y264/H264,"0")+IFERROR(Y265/H265,"0")+IFERROR(Y266/H266,"0")</f>
        <v>83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0.64866000000000001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357</v>
      </c>
      <c r="Y268" s="619">
        <f>IFERROR(SUM(Y259:Y266),"0")</f>
        <v>358.20000000000005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91</v>
      </c>
      <c r="Y270" s="618">
        <f t="shared" ref="Y270:Y281" si="36">IFERROR(IF(X270="",0,CEILING((X270/$H270),1)*$H270),"")</f>
        <v>97.199999999999989</v>
      </c>
      <c r="Z270" s="36">
        <f>IFERROR(IF(Y270=0,"",ROUNDUP(Y270/H270,0)*0.01898),"")</f>
        <v>0.22776000000000002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96.549876543209876</v>
      </c>
      <c r="BN270" s="64">
        <f t="shared" ref="BN270:BN281" si="38">IFERROR(Y270*I270/H270,"0")</f>
        <v>103.12799999999999</v>
      </c>
      <c r="BO270" s="64">
        <f t="shared" ref="BO270:BO281" si="39">IFERROR(1/J270*(X270/H270),"0")</f>
        <v>0.17554012345679013</v>
      </c>
      <c r="BP270" s="64">
        <f t="shared" ref="BP270:BP281" si="40">IFERROR(1/J270*(Y270/H270),"0")</f>
        <v>0.1875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158</v>
      </c>
      <c r="Y271" s="618">
        <f t="shared" si="36"/>
        <v>162</v>
      </c>
      <c r="Z271" s="36">
        <f>IFERROR(IF(Y271=0,"",ROUNDUP(Y271/H271,0)*0.01898),"")</f>
        <v>0.37959999999999999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167.28493827160494</v>
      </c>
      <c r="BN271" s="64">
        <f t="shared" si="38"/>
        <v>171.52</v>
      </c>
      <c r="BO271" s="64">
        <f t="shared" si="39"/>
        <v>0.30478395061728397</v>
      </c>
      <c r="BP271" s="64">
        <f t="shared" si="40"/>
        <v>0.3125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0</v>
      </c>
      <c r="Y276" s="618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0</v>
      </c>
      <c r="Y278" s="618">
        <f t="shared" si="36"/>
        <v>0</v>
      </c>
      <c r="Z278" s="36" t="str">
        <f>IFERROR(IF(Y278=0,"",ROUNDUP(Y278/H278,0)*0.00651),"")</f>
        <v/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97</v>
      </c>
      <c r="Y279" s="618">
        <f t="shared" si="36"/>
        <v>98.399999999999991</v>
      </c>
      <c r="Z279" s="36">
        <f>IFERROR(IF(Y279=0,"",ROUNDUP(Y279/H279,0)*0.00651),"")</f>
        <v>0.26690999999999998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107.18500000000002</v>
      </c>
      <c r="BN279" s="64">
        <f t="shared" si="38"/>
        <v>108.732</v>
      </c>
      <c r="BO279" s="64">
        <f t="shared" si="39"/>
        <v>0.22206959706959711</v>
      </c>
      <c r="BP279" s="64">
        <f t="shared" si="40"/>
        <v>0.22527472527472528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59</v>
      </c>
      <c r="Y280" s="618">
        <f t="shared" si="36"/>
        <v>60</v>
      </c>
      <c r="Z280" s="36">
        <f>IFERROR(IF(Y280=0,"",ROUNDUP(Y280/H280,0)*0.00651),"")</f>
        <v>0.16275000000000001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65.342500000000001</v>
      </c>
      <c r="BN280" s="64">
        <f t="shared" si="38"/>
        <v>66.45</v>
      </c>
      <c r="BO280" s="64">
        <f t="shared" si="39"/>
        <v>0.13507326007326009</v>
      </c>
      <c r="BP280" s="64">
        <f t="shared" si="40"/>
        <v>0.13736263736263737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95.740740740740762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98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1.0370200000000001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405</v>
      </c>
      <c r="Y283" s="619">
        <f>IFERROR(SUM(Y270:Y281),"0")</f>
        <v>417.59999999999997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27</v>
      </c>
      <c r="Y285" s="618">
        <f>IFERROR(IF(X285="",0,CEILING((X285/$H285),1)*$H285),"")</f>
        <v>28.799999999999997</v>
      </c>
      <c r="Z285" s="36">
        <f>IFERROR(IF(Y285=0,"",ROUNDUP(Y285/H285,0)*0.00651),"")</f>
        <v>7.8119999999999995E-2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29.835000000000001</v>
      </c>
      <c r="BN285" s="64">
        <f>IFERROR(Y285*I285/H285,"0")</f>
        <v>31.824000000000002</v>
      </c>
      <c r="BO285" s="64">
        <f>IFERROR(1/J285*(X285/H285),"0")</f>
        <v>6.1813186813186816E-2</v>
      </c>
      <c r="BP285" s="64">
        <f>IFERROR(1/J285*(Y285/H285),"0")</f>
        <v>6.5934065934065936E-2</v>
      </c>
    </row>
    <row r="286" spans="1:68" ht="27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41</v>
      </c>
      <c r="Y286" s="618">
        <f>IFERROR(IF(X286="",0,CEILING((X286/$H286),1)*$H286),"")</f>
        <v>43.199999999999996</v>
      </c>
      <c r="Z286" s="36">
        <f>IFERROR(IF(Y286=0,"",ROUNDUP(Y286/H286,0)*0.00651),"")</f>
        <v>0.11718000000000001</v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45.305</v>
      </c>
      <c r="BN286" s="64">
        <f>IFERROR(Y286*I286/H286,"0")</f>
        <v>47.736000000000004</v>
      </c>
      <c r="BO286" s="64">
        <f>IFERROR(1/J286*(X286/H286),"0")</f>
        <v>9.3864468864468878E-2</v>
      </c>
      <c r="BP286" s="64">
        <f>IFERROR(1/J286*(Y286/H286),"0")</f>
        <v>9.8901098901098911E-2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28.333333333333336</v>
      </c>
      <c r="Y287" s="619">
        <f>IFERROR(Y285/H285,"0")+IFERROR(Y286/H286,"0")</f>
        <v>30</v>
      </c>
      <c r="Z287" s="619">
        <f>IFERROR(IF(Z285="",0,Z285),"0")+IFERROR(IF(Z286="",0,Z286),"0")</f>
        <v>0.1953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68</v>
      </c>
      <c r="Y288" s="619">
        <f>IFERROR(SUM(Y285:Y286),"0")</f>
        <v>72</v>
      </c>
      <c r="Z288" s="37"/>
      <c r="AA288" s="620"/>
      <c r="AB288" s="620"/>
      <c r="AC288" s="620"/>
    </row>
    <row r="289" spans="1:68" ht="16.5" hidden="1" customHeight="1" x14ac:dyDescent="0.25">
      <c r="A289" s="642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8</v>
      </c>
      <c r="Y305" s="618">
        <f>IFERROR(IF(X305="",0,CEILING((X305/$H305),1)*$H305),"")</f>
        <v>9</v>
      </c>
      <c r="Z305" s="36">
        <f>IFERROR(IF(Y305=0,"",ROUNDUP(Y305/H305,0)*0.0059),"")</f>
        <v>2.9499999999999998E-2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8.7777777777777786</v>
      </c>
      <c r="BN305" s="64">
        <f>IFERROR(Y305*I305/H305,"0")</f>
        <v>9.8750000000000018</v>
      </c>
      <c r="BO305" s="64">
        <f>IFERROR(1/J305*(X305/H305),"0")</f>
        <v>2.0576131687242798E-2</v>
      </c>
      <c r="BP305" s="64">
        <f>IFERROR(1/J305*(Y305/H305),"0")</f>
        <v>2.3148148148148147E-2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4.4444444444444446</v>
      </c>
      <c r="Y306" s="619">
        <f>IFERROR(Y305/H305,"0")</f>
        <v>5</v>
      </c>
      <c r="Z306" s="619">
        <f>IFERROR(IF(Z305="",0,Z305),"0")</f>
        <v>2.9499999999999998E-2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8</v>
      </c>
      <c r="Y307" s="619">
        <f>IFERROR(SUM(Y305:Y305),"0")</f>
        <v>9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2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2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21</v>
      </c>
      <c r="Y326" s="618">
        <f>IFERROR(IF(X326="",0,CEILING((X326/$H326),1)*$H326),"")</f>
        <v>21.599999999999998</v>
      </c>
      <c r="Z326" s="36">
        <f>IFERROR(IF(Y326=0,"",ROUNDUP(Y326/H326,0)*0.00651),"")</f>
        <v>5.8590000000000003E-2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23.205000000000002</v>
      </c>
      <c r="BN326" s="64">
        <f>IFERROR(Y326*I326/H326,"0")</f>
        <v>23.868000000000002</v>
      </c>
      <c r="BO326" s="64">
        <f>IFERROR(1/J326*(X326/H326),"0")</f>
        <v>4.807692307692308E-2</v>
      </c>
      <c r="BP326" s="64">
        <f>IFERROR(1/J326*(Y326/H326),"0")</f>
        <v>4.9450549450549455E-2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8.75</v>
      </c>
      <c r="Y328" s="619">
        <f>IFERROR(Y325/H325,"0")+IFERROR(Y326/H326,"0")+IFERROR(Y327/H327,"0")</f>
        <v>9</v>
      </c>
      <c r="Z328" s="619">
        <f>IFERROR(IF(Z325="",0,Z325),"0")+IFERROR(IF(Z326="",0,Z326),"0")+IFERROR(IF(Z327="",0,Z327),"0")</f>
        <v>5.8590000000000003E-2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21</v>
      </c>
      <c r="Y329" s="619">
        <f>IFERROR(SUM(Y325:Y327),"0")</f>
        <v>21.599999999999998</v>
      </c>
      <c r="Z329" s="37"/>
      <c r="AA329" s="620"/>
      <c r="AB329" s="620"/>
      <c r="AC329" s="620"/>
    </row>
    <row r="330" spans="1:68" ht="16.5" hidden="1" customHeight="1" x14ac:dyDescent="0.25">
      <c r="A330" s="642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9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4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2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90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69</v>
      </c>
      <c r="Y346" s="618">
        <f>IFERROR(IF(X346="",0,CEILING((X346/$H346),1)*$H346),"")</f>
        <v>70.2</v>
      </c>
      <c r="Z346" s="36">
        <f>IFERROR(IF(Y346=0,"",ROUNDUP(Y346/H346,0)*0.01898),"")</f>
        <v>0.17082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72.626923076923077</v>
      </c>
      <c r="BN346" s="64">
        <f>IFERROR(Y346*I346/H346,"0")</f>
        <v>73.890000000000015</v>
      </c>
      <c r="BO346" s="64">
        <f>IFERROR(1/J346*(X346/H346),"0")</f>
        <v>0.13822115384615385</v>
      </c>
      <c r="BP346" s="64">
        <f>IFERROR(1/J346*(Y346/H346),"0")</f>
        <v>0.140625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0</v>
      </c>
      <c r="Y347" s="618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21</v>
      </c>
      <c r="Y348" s="618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22.103846153846156</v>
      </c>
      <c r="BN348" s="64">
        <f>IFERROR(Y348*I348/H348,"0")</f>
        <v>24.630000000000003</v>
      </c>
      <c r="BO348" s="64">
        <f>IFERROR(1/J348*(X348/H348),"0")</f>
        <v>4.2067307692307696E-2</v>
      </c>
      <c r="BP348" s="64">
        <f>IFERROR(1/J348*(Y348/H348),"0")</f>
        <v>4.6875E-2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11.53846153846154</v>
      </c>
      <c r="Y349" s="619">
        <f>IFERROR(Y346/H346,"0")+IFERROR(Y347/H347,"0")+IFERROR(Y348/H348,"0")</f>
        <v>12</v>
      </c>
      <c r="Z349" s="619">
        <f>IFERROR(IF(Z346="",0,Z346),"0")+IFERROR(IF(Z347="",0,Z347),"0")+IFERROR(IF(Z348="",0,Z348),"0")</f>
        <v>0.22776000000000002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90</v>
      </c>
      <c r="Y350" s="619">
        <f>IFERROR(SUM(Y346:Y348),"0")</f>
        <v>93.6</v>
      </c>
      <c r="Z350" s="37"/>
      <c r="AA350" s="620"/>
      <c r="AB350" s="620"/>
      <c r="AC350" s="620"/>
    </row>
    <row r="351" spans="1:68" ht="16.5" hidden="1" customHeight="1" x14ac:dyDescent="0.25">
      <c r="A351" s="642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73</v>
      </c>
      <c r="Y369" s="618">
        <f t="shared" si="56"/>
        <v>73.8</v>
      </c>
      <c r="Z369" s="36">
        <f>IFERROR(IF(Y369=0,"",ROUNDUP(Y369/H369,0)*0.00651),"")</f>
        <v>0.26690999999999998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82.24666666666667</v>
      </c>
      <c r="BN369" s="64">
        <f t="shared" si="58"/>
        <v>83.14800000000001</v>
      </c>
      <c r="BO369" s="64">
        <f t="shared" si="59"/>
        <v>0.22283272283272285</v>
      </c>
      <c r="BP369" s="64">
        <f t="shared" si="60"/>
        <v>0.22527472527472528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40.555555555555557</v>
      </c>
      <c r="Y370" s="619">
        <f>IFERROR(Y363/H363,"0")+IFERROR(Y364/H364,"0")+IFERROR(Y365/H365,"0")+IFERROR(Y366/H366,"0")+IFERROR(Y367/H367,"0")+IFERROR(Y368/H368,"0")+IFERROR(Y369/H369,"0")</f>
        <v>41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0.26690999999999998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73</v>
      </c>
      <c r="Y371" s="619">
        <f>IFERROR(SUM(Y363:Y369),"0")</f>
        <v>73.8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8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6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0</v>
      </c>
      <c r="Y381" s="61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151</v>
      </c>
      <c r="Y382" s="618">
        <f>IFERROR(IF(X382="",0,CEILING((X382/$H382),1)*$H382),"")</f>
        <v>151.20000000000002</v>
      </c>
      <c r="Z382" s="36">
        <f>IFERROR(IF(Y382=0,"",ROUNDUP(Y382/H382,0)*0.01898),"")</f>
        <v>0.34164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159.88023809523807</v>
      </c>
      <c r="BN382" s="64">
        <f>IFERROR(Y382*I382/H382,"0")</f>
        <v>160.09200000000001</v>
      </c>
      <c r="BO382" s="64">
        <f>IFERROR(1/J382*(X382/H382),"0")</f>
        <v>0.28087797619047616</v>
      </c>
      <c r="BP382" s="64">
        <f>IFERROR(1/J382*(Y382/H382),"0")</f>
        <v>0.28125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17.976190476190474</v>
      </c>
      <c r="Y383" s="619">
        <f>IFERROR(Y380/H380,"0")+IFERROR(Y381/H381,"0")+IFERROR(Y382/H382,"0")</f>
        <v>18</v>
      </c>
      <c r="Z383" s="619">
        <f>IFERROR(IF(Z380="",0,Z380),"0")+IFERROR(IF(Z381="",0,Z381),"0")+IFERROR(IF(Z382="",0,Z382),"0")</f>
        <v>0.34164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151</v>
      </c>
      <c r="Y384" s="619">
        <f>IFERROR(SUM(Y380:Y382),"0")</f>
        <v>151.20000000000002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58</v>
      </c>
      <c r="Y386" s="618">
        <f>IFERROR(IF(X386="",0,CEILING((X386/$H386),1)*$H386),"")</f>
        <v>60.8</v>
      </c>
      <c r="Z386" s="36">
        <f>IFERROR(IF(Y386=0,"",ROUNDUP(Y386/H386,0)*0.00902),"")</f>
        <v>0.1804</v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63.151315789473678</v>
      </c>
      <c r="BN386" s="64">
        <f>IFERROR(Y386*I386/H386,"0")</f>
        <v>66.2</v>
      </c>
      <c r="BO386" s="64">
        <f>IFERROR(1/J386*(X386/H386),"0")</f>
        <v>0.14453748006379585</v>
      </c>
      <c r="BP386" s="64">
        <f>IFERROR(1/J386*(Y386/H386),"0")</f>
        <v>0.15151515151515152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69</v>
      </c>
      <c r="Y387" s="618">
        <f>IFERROR(IF(X387="",0,CEILING((X387/$H387),1)*$H387),"")</f>
        <v>69.92</v>
      </c>
      <c r="Z387" s="36">
        <f>IFERROR(IF(Y387=0,"",ROUNDUP(Y387/H387,0)*0.00902),"")</f>
        <v>0.20746000000000001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74.22039473684211</v>
      </c>
      <c r="BN387" s="64">
        <f>IFERROR(Y387*I387/H387,"0")</f>
        <v>75.210000000000008</v>
      </c>
      <c r="BO387" s="64">
        <f>IFERROR(1/J387*(X387/H387),"0")</f>
        <v>0.17194976076555024</v>
      </c>
      <c r="BP387" s="64">
        <f>IFERROR(1/J387*(Y387/H387),"0")</f>
        <v>0.17424242424242425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17</v>
      </c>
      <c r="Y388" s="618">
        <f>IFERROR(IF(X388="",0,CEILING((X388/$H388),1)*$H388),"")</f>
        <v>17.849999999999998</v>
      </c>
      <c r="Z388" s="36">
        <f>IFERROR(IF(Y388=0,"",ROUNDUP(Y388/H388,0)*0.00651),"")</f>
        <v>4.5569999999999999E-2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19.700000000000003</v>
      </c>
      <c r="BN388" s="64">
        <f>IFERROR(Y388*I388/H388,"0")</f>
        <v>20.684999999999999</v>
      </c>
      <c r="BO388" s="64">
        <f>IFERROR(1/J388*(X388/H388),"0")</f>
        <v>3.6630036630036632E-2</v>
      </c>
      <c r="BP388" s="64">
        <f>IFERROR(1/J388*(Y388/H388),"0")</f>
        <v>3.8461538461538464E-2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32</v>
      </c>
      <c r="Y389" s="618">
        <f>IFERROR(IF(X389="",0,CEILING((X389/$H389),1)*$H389),"")</f>
        <v>33.15</v>
      </c>
      <c r="Z389" s="36">
        <f>IFERROR(IF(Y389=0,"",ROUNDUP(Y389/H389,0)*0.00651),"")</f>
        <v>8.4629999999999997E-2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36.141176470588235</v>
      </c>
      <c r="BN389" s="64">
        <f>IFERROR(Y389*I389/H389,"0")</f>
        <v>37.44</v>
      </c>
      <c r="BO389" s="64">
        <f>IFERROR(1/J389*(X389/H389),"0")</f>
        <v>6.8950657185951322E-2</v>
      </c>
      <c r="BP389" s="64">
        <f>IFERROR(1/J389*(Y389/H389),"0")</f>
        <v>7.1428571428571438E-2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60.992002063983492</v>
      </c>
      <c r="Y390" s="619">
        <f>IFERROR(Y386/H386,"0")+IFERROR(Y387/H387,"0")+IFERROR(Y388/H388,"0")+IFERROR(Y389/H389,"0")</f>
        <v>63</v>
      </c>
      <c r="Z390" s="619">
        <f>IFERROR(IF(Z386="",0,Z386),"0")+IFERROR(IF(Z387="",0,Z387),"0")+IFERROR(IF(Z388="",0,Z388),"0")+IFERROR(IF(Z389="",0,Z389),"0")</f>
        <v>0.51805999999999996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176</v>
      </c>
      <c r="Y391" s="619">
        <f>IFERROR(SUM(Y386:Y389),"0")</f>
        <v>181.72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27</v>
      </c>
      <c r="Y393" s="618">
        <f>IFERROR(IF(X393="",0,CEILING((X393/$H393),1)*$H393),"")</f>
        <v>28</v>
      </c>
      <c r="Z393" s="36">
        <f>IFERROR(IF(Y393=0,"",ROUNDUP(Y393/H393,0)*0.00474),"")</f>
        <v>6.6360000000000002E-2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30.240000000000002</v>
      </c>
      <c r="BN393" s="64">
        <f>IFERROR(Y393*I393/H393,"0")</f>
        <v>31.360000000000003</v>
      </c>
      <c r="BO393" s="64">
        <f>IFERROR(1/J393*(X393/H393),"0")</f>
        <v>5.6722689075630252E-2</v>
      </c>
      <c r="BP393" s="64">
        <f>IFERROR(1/J393*(Y393/H393),"0")</f>
        <v>5.8823529411764705E-2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32</v>
      </c>
      <c r="Y394" s="618">
        <f>IFERROR(IF(X394="",0,CEILING((X394/$H394),1)*$H394),"")</f>
        <v>32</v>
      </c>
      <c r="Z394" s="36">
        <f>IFERROR(IF(Y394=0,"",ROUNDUP(Y394/H394,0)*0.00474),"")</f>
        <v>7.5840000000000005E-2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35.840000000000003</v>
      </c>
      <c r="BN394" s="64">
        <f>IFERROR(Y394*I394/H394,"0")</f>
        <v>35.840000000000003</v>
      </c>
      <c r="BO394" s="64">
        <f>IFERROR(1/J394*(X394/H394),"0")</f>
        <v>6.7226890756302518E-2</v>
      </c>
      <c r="BP394" s="64">
        <f>IFERROR(1/J394*(Y394/H394),"0")</f>
        <v>6.7226890756302518E-2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47</v>
      </c>
      <c r="Y395" s="618">
        <f>IFERROR(IF(X395="",0,CEILING((X395/$H395),1)*$H395),"")</f>
        <v>48</v>
      </c>
      <c r="Z395" s="36">
        <f>IFERROR(IF(Y395=0,"",ROUNDUP(Y395/H395,0)*0.00474),"")</f>
        <v>0.11376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52.640000000000008</v>
      </c>
      <c r="BN395" s="64">
        <f>IFERROR(Y395*I395/H395,"0")</f>
        <v>53.760000000000005</v>
      </c>
      <c r="BO395" s="64">
        <f>IFERROR(1/J395*(X395/H395),"0")</f>
        <v>9.8739495798319324E-2</v>
      </c>
      <c r="BP395" s="64">
        <f>IFERROR(1/J395*(Y395/H395),"0")</f>
        <v>0.10084033613445378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53</v>
      </c>
      <c r="Y396" s="619">
        <f>IFERROR(Y393/H393,"0")+IFERROR(Y394/H394,"0")+IFERROR(Y395/H395,"0")</f>
        <v>54</v>
      </c>
      <c r="Z396" s="619">
        <f>IFERROR(IF(Z393="",0,Z393),"0")+IFERROR(IF(Z394="",0,Z394),"0")+IFERROR(IF(Z395="",0,Z395),"0")</f>
        <v>0.25595999999999997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106</v>
      </c>
      <c r="Y397" s="619">
        <f>IFERROR(SUM(Y393:Y395),"0")</f>
        <v>108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0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2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8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2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11</v>
      </c>
      <c r="Y413" s="618">
        <f>IFERROR(IF(X413="",0,CEILING((X413/$H413),1)*$H413),"")</f>
        <v>12.600000000000001</v>
      </c>
      <c r="Z413" s="36">
        <f>IFERROR(IF(Y413=0,"",ROUNDUP(Y413/H413,0)*0.00651),"")</f>
        <v>3.9059999999999997E-2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12.32</v>
      </c>
      <c r="BN413" s="64">
        <f>IFERROR(Y413*I413/H413,"0")</f>
        <v>14.112</v>
      </c>
      <c r="BO413" s="64">
        <f>IFERROR(1/J413*(X413/H413),"0")</f>
        <v>2.8780743066457355E-2</v>
      </c>
      <c r="BP413" s="64">
        <f>IFERROR(1/J413*(Y413/H413),"0")</f>
        <v>3.2967032967032968E-2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12</v>
      </c>
      <c r="Y414" s="618">
        <f>IFERROR(IF(X414="",0,CEILING((X414/$H414),1)*$H414),"")</f>
        <v>12.600000000000001</v>
      </c>
      <c r="Z414" s="36">
        <f>IFERROR(IF(Y414=0,"",ROUNDUP(Y414/H414,0)*0.00651),"")</f>
        <v>3.9059999999999997E-2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13.37142857142857</v>
      </c>
      <c r="BN414" s="64">
        <f>IFERROR(Y414*I414/H414,"0")</f>
        <v>14.040000000000001</v>
      </c>
      <c r="BO414" s="64">
        <f>IFERROR(1/J414*(X414/H414),"0")</f>
        <v>3.1397174254317116E-2</v>
      </c>
      <c r="BP414" s="64">
        <f>IFERROR(1/J414*(Y414/H414),"0")</f>
        <v>3.2967032967032968E-2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10.952380952380953</v>
      </c>
      <c r="Y415" s="619">
        <f>IFERROR(Y412/H412,"0")+IFERROR(Y413/H413,"0")+IFERROR(Y414/H414,"0")</f>
        <v>12</v>
      </c>
      <c r="Z415" s="619">
        <f>IFERROR(IF(Z412="",0,Z412),"0")+IFERROR(IF(Z413="",0,Z413),"0")+IFERROR(IF(Z414="",0,Z414),"0")</f>
        <v>7.8119999999999995E-2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23</v>
      </c>
      <c r="Y416" s="619">
        <f>IFERROR(SUM(Y412:Y414),"0")</f>
        <v>25.200000000000003</v>
      </c>
      <c r="Z416" s="37"/>
      <c r="AA416" s="620"/>
      <c r="AB416" s="620"/>
      <c r="AC416" s="620"/>
    </row>
    <row r="417" spans="1:68" ht="27.75" hidden="1" customHeight="1" x14ac:dyDescent="0.2">
      <c r="A417" s="796" t="s">
        <v>673</v>
      </c>
      <c r="B417" s="797"/>
      <c r="C417" s="797"/>
      <c r="D417" s="797"/>
      <c r="E417" s="797"/>
      <c r="F417" s="797"/>
      <c r="G417" s="797"/>
      <c r="H417" s="797"/>
      <c r="I417" s="797"/>
      <c r="J417" s="797"/>
      <c r="K417" s="797"/>
      <c r="L417" s="797"/>
      <c r="M417" s="797"/>
      <c r="N417" s="797"/>
      <c r="O417" s="797"/>
      <c r="P417" s="797"/>
      <c r="Q417" s="797"/>
      <c r="R417" s="797"/>
      <c r="S417" s="797"/>
      <c r="T417" s="797"/>
      <c r="U417" s="797"/>
      <c r="V417" s="797"/>
      <c r="W417" s="797"/>
      <c r="X417" s="797"/>
      <c r="Y417" s="797"/>
      <c r="Z417" s="797"/>
      <c r="AA417" s="48"/>
      <c r="AB417" s="48"/>
      <c r="AC417" s="48"/>
    </row>
    <row r="418" spans="1:68" ht="16.5" hidden="1" customHeight="1" x14ac:dyDescent="0.25">
      <c r="A418" s="642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hidden="1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0</v>
      </c>
      <c r="Y421" s="618">
        <f t="shared" si="61"/>
        <v>0</v>
      </c>
      <c r="Z421" s="36" t="str">
        <f>IFERROR(IF(Y421=0,"",ROUNDUP(Y421/H421,0)*0.02175),"")</f>
        <v/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0</v>
      </c>
      <c r="BN421" s="64">
        <f t="shared" si="63"/>
        <v>0</v>
      </c>
      <c r="BO421" s="64">
        <f t="shared" si="64"/>
        <v>0</v>
      </c>
      <c r="BP421" s="64">
        <f t="shared" si="65"/>
        <v>0</v>
      </c>
    </row>
    <row r="422" spans="1:68" ht="27" hidden="1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0</v>
      </c>
      <c r="Y422" s="618">
        <f t="shared" si="61"/>
        <v>0</v>
      </c>
      <c r="Z422" s="36" t="str">
        <f>IFERROR(IF(Y422=0,"",ROUNDUP(Y422/H422,0)*0.02175),"")</f>
        <v/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0</v>
      </c>
      <c r="BN422" s="64">
        <f t="shared" si="63"/>
        <v>0</v>
      </c>
      <c r="BO422" s="64">
        <f t="shared" si="64"/>
        <v>0</v>
      </c>
      <c r="BP422" s="64">
        <f t="shared" si="65"/>
        <v>0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1632</v>
      </c>
      <c r="Y423" s="618">
        <f t="shared" si="61"/>
        <v>1635</v>
      </c>
      <c r="Z423" s="36">
        <f>IFERROR(IF(Y423=0,"",ROUNDUP(Y423/H423,0)*0.02175),"")</f>
        <v>2.3707499999999997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1683.136</v>
      </c>
      <c r="BN423" s="64">
        <f t="shared" si="63"/>
        <v>1686.23</v>
      </c>
      <c r="BO423" s="64">
        <f t="shared" si="64"/>
        <v>2.2666666666666666</v>
      </c>
      <c r="BP423" s="64">
        <f t="shared" si="65"/>
        <v>2.270833333333333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678</v>
      </c>
      <c r="Y424" s="618">
        <f t="shared" si="61"/>
        <v>690</v>
      </c>
      <c r="Z424" s="36">
        <f>IFERROR(IF(Y424=0,"",ROUNDUP(Y424/H424,0)*0.02175),"")</f>
        <v>1.0004999999999999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699.24400000000003</v>
      </c>
      <c r="BN424" s="64">
        <f t="shared" si="63"/>
        <v>711.62000000000012</v>
      </c>
      <c r="BO424" s="64">
        <f t="shared" si="64"/>
        <v>0.94166666666666665</v>
      </c>
      <c r="BP424" s="64">
        <f t="shared" si="65"/>
        <v>0.95833333333333326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154</v>
      </c>
      <c r="Y428" s="619">
        <f>IFERROR(Y420/H420,"0")+IFERROR(Y421/H421,"0")+IFERROR(Y422/H422,"0")+IFERROR(Y423/H423,"0")+IFERROR(Y424/H424,"0")+IFERROR(Y425/H425,"0")+IFERROR(Y426/H426,"0")+IFERROR(Y427/H427,"0")</f>
        <v>155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3.3712499999999999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2310</v>
      </c>
      <c r="Y429" s="619">
        <f>IFERROR(SUM(Y420:Y427),"0")</f>
        <v>2325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hidden="1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0</v>
      </c>
      <c r="Y431" s="618">
        <f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0</v>
      </c>
      <c r="Y434" s="619">
        <f>IFERROR(Y431/H431,"0")+IFERROR(Y432/H432,"0")+IFERROR(Y433/H433,"0")</f>
        <v>0</v>
      </c>
      <c r="Z434" s="619">
        <f>IFERROR(IF(Z431="",0,Z431),"0")+IFERROR(IF(Z432="",0,Z432),"0")+IFERROR(IF(Z433="",0,Z433),"0")</f>
        <v>0</v>
      </c>
      <c r="AA434" s="620"/>
      <c r="AB434" s="620"/>
      <c r="AC434" s="620"/>
    </row>
    <row r="435" spans="1:68" hidden="1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0</v>
      </c>
      <c r="Y435" s="619">
        <f>IFERROR(SUM(Y431:Y433),"0")</f>
        <v>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169</v>
      </c>
      <c r="Y444" s="618">
        <f>IFERROR(IF(X444="",0,CEILING((X444/$H444),1)*$H444),"")</f>
        <v>171</v>
      </c>
      <c r="Z444" s="36">
        <f>IFERROR(IF(Y444=0,"",ROUNDUP(Y444/H444,0)*0.01898),"")</f>
        <v>0.36062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178.2762222222222</v>
      </c>
      <c r="BN444" s="64">
        <f>IFERROR(Y444*I444/H444,"0")</f>
        <v>180.386</v>
      </c>
      <c r="BO444" s="64">
        <f>IFERROR(1/J444*(X444/H444),"0")</f>
        <v>0.29340277777777779</v>
      </c>
      <c r="BP444" s="64">
        <f>IFERROR(1/J444*(Y444/H444),"0")</f>
        <v>0.296875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18.777777777777779</v>
      </c>
      <c r="Y445" s="619">
        <f>IFERROR(Y443/H443,"0")+IFERROR(Y444/H444,"0")</f>
        <v>19</v>
      </c>
      <c r="Z445" s="619">
        <f>IFERROR(IF(Z443="",0,Z443),"0")+IFERROR(IF(Z444="",0,Z444),"0")</f>
        <v>0.36062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169</v>
      </c>
      <c r="Y446" s="619">
        <f>IFERROR(SUM(Y443:Y444),"0")</f>
        <v>171</v>
      </c>
      <c r="Z446" s="37"/>
      <c r="AA446" s="620"/>
      <c r="AB446" s="620"/>
      <c r="AC446" s="620"/>
    </row>
    <row r="447" spans="1:68" ht="16.5" hidden="1" customHeight="1" x14ac:dyDescent="0.25">
      <c r="A447" s="642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1780</v>
      </c>
      <c r="Y458" s="618">
        <f>IFERROR(IF(X458="",0,CEILING((X458/$H458),1)*$H458),"")</f>
        <v>1782</v>
      </c>
      <c r="Z458" s="36">
        <f>IFERROR(IF(Y458=0,"",ROUNDUP(Y458/H458,0)*0.01898),"")</f>
        <v>3.7580400000000003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1877.7022222222222</v>
      </c>
      <c r="BN458" s="64">
        <f>IFERROR(Y458*I458/H458,"0")</f>
        <v>1879.8120000000001</v>
      </c>
      <c r="BO458" s="64">
        <f>IFERROR(1/J458*(X458/H458),"0")</f>
        <v>3.0902777777777777</v>
      </c>
      <c r="BP458" s="64">
        <f>IFERROR(1/J458*(Y458/H458),"0")</f>
        <v>3.09375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24</v>
      </c>
      <c r="Y459" s="618">
        <f>IFERROR(IF(X459="",0,CEILING((X459/$H459),1)*$H459),"")</f>
        <v>24</v>
      </c>
      <c r="Z459" s="36">
        <f>IFERROR(IF(Y459=0,"",ROUNDUP(Y459/H459,0)*0.00651),"")</f>
        <v>6.5100000000000005E-2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26.640000000000004</v>
      </c>
      <c r="BN459" s="64">
        <f>IFERROR(Y459*I459/H459,"0")</f>
        <v>26.640000000000004</v>
      </c>
      <c r="BO459" s="64">
        <f>IFERROR(1/J459*(X459/H459),"0")</f>
        <v>5.4945054945054951E-2</v>
      </c>
      <c r="BP459" s="64">
        <f>IFERROR(1/J459*(Y459/H459),"0")</f>
        <v>5.4945054945054951E-2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207.77777777777777</v>
      </c>
      <c r="Y461" s="619">
        <f>IFERROR(Y458/H458,"0")+IFERROR(Y459/H459,"0")+IFERROR(Y460/H460,"0")</f>
        <v>208</v>
      </c>
      <c r="Z461" s="619">
        <f>IFERROR(IF(Z458="",0,Z458),"0")+IFERROR(IF(Z459="",0,Z459),"0")+IFERROR(IF(Z460="",0,Z460),"0")</f>
        <v>3.8231400000000004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1804</v>
      </c>
      <c r="Y462" s="619">
        <f>IFERROR(SUM(Y458:Y460),"0")</f>
        <v>1806</v>
      </c>
      <c r="Z462" s="37"/>
      <c r="AA462" s="620"/>
      <c r="AB462" s="620"/>
      <c r="AC462" s="620"/>
    </row>
    <row r="463" spans="1:68" ht="27.75" hidden="1" customHeight="1" x14ac:dyDescent="0.2">
      <c r="A463" s="796" t="s">
        <v>739</v>
      </c>
      <c r="B463" s="797"/>
      <c r="C463" s="797"/>
      <c r="D463" s="797"/>
      <c r="E463" s="797"/>
      <c r="F463" s="797"/>
      <c r="G463" s="797"/>
      <c r="H463" s="797"/>
      <c r="I463" s="797"/>
      <c r="J463" s="797"/>
      <c r="K463" s="797"/>
      <c r="L463" s="797"/>
      <c r="M463" s="797"/>
      <c r="N463" s="797"/>
      <c r="O463" s="797"/>
      <c r="P463" s="797"/>
      <c r="Q463" s="797"/>
      <c r="R463" s="797"/>
      <c r="S463" s="797"/>
      <c r="T463" s="797"/>
      <c r="U463" s="797"/>
      <c r="V463" s="797"/>
      <c r="W463" s="797"/>
      <c r="X463" s="797"/>
      <c r="Y463" s="797"/>
      <c r="Z463" s="797"/>
      <c r="AA463" s="48"/>
      <c r="AB463" s="48"/>
      <c r="AC463" s="48"/>
    </row>
    <row r="464" spans="1:68" ht="16.5" hidden="1" customHeight="1" x14ac:dyDescent="0.25">
      <c r="A464" s="642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2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96" t="s">
        <v>772</v>
      </c>
      <c r="B489" s="797"/>
      <c r="C489" s="797"/>
      <c r="D489" s="797"/>
      <c r="E489" s="797"/>
      <c r="F489" s="797"/>
      <c r="G489" s="797"/>
      <c r="H489" s="797"/>
      <c r="I489" s="797"/>
      <c r="J489" s="797"/>
      <c r="K489" s="797"/>
      <c r="L489" s="797"/>
      <c r="M489" s="797"/>
      <c r="N489" s="797"/>
      <c r="O489" s="797"/>
      <c r="P489" s="797"/>
      <c r="Q489" s="797"/>
      <c r="R489" s="797"/>
      <c r="S489" s="797"/>
      <c r="T489" s="797"/>
      <c r="U489" s="797"/>
      <c r="V489" s="797"/>
      <c r="W489" s="797"/>
      <c r="X489" s="797"/>
      <c r="Y489" s="797"/>
      <c r="Z489" s="797"/>
      <c r="AA489" s="48"/>
      <c r="AB489" s="48"/>
      <c r="AC489" s="48"/>
    </row>
    <row r="490" spans="1:68" ht="16.5" hidden="1" customHeight="1" x14ac:dyDescent="0.25">
      <c r="A490" s="642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0</v>
      </c>
      <c r="Y495" s="618">
        <f t="shared" si="71"/>
        <v>0</v>
      </c>
      <c r="Z495" s="36" t="str">
        <f>IFERROR(IF(Y495=0,"",ROUNDUP(Y495/H495,0)*0.01196),"")</f>
        <v/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0</v>
      </c>
      <c r="BN495" s="64">
        <f t="shared" si="73"/>
        <v>0</v>
      </c>
      <c r="BO495" s="64">
        <f t="shared" si="74"/>
        <v>0</v>
      </c>
      <c r="BP495" s="64">
        <f t="shared" si="75"/>
        <v>0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185</v>
      </c>
      <c r="Y496" s="618">
        <f t="shared" si="71"/>
        <v>190.08</v>
      </c>
      <c r="Z496" s="36">
        <f>IFERROR(IF(Y496=0,"",ROUNDUP(Y496/H496,0)*0.01196),"")</f>
        <v>0.43056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197.26325757575756</v>
      </c>
      <c r="BN496" s="64">
        <f t="shared" si="73"/>
        <v>202.67999999999998</v>
      </c>
      <c r="BO496" s="64">
        <f t="shared" si="74"/>
        <v>0.3369026806526807</v>
      </c>
      <c r="BP496" s="64">
        <f t="shared" si="75"/>
        <v>0.34615384615384615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35.037878787878789</v>
      </c>
      <c r="Y500" s="619">
        <f>IFERROR(Y492/H492,"0")+IFERROR(Y493/H493,"0")+IFERROR(Y494/H494,"0")+IFERROR(Y495/H495,"0")+IFERROR(Y496/H496,"0")+IFERROR(Y497/H497,"0")+IFERROR(Y498/H498,"0")+IFERROR(Y499/H499,"0")</f>
        <v>36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0.43056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185</v>
      </c>
      <c r="Y501" s="619">
        <f>IFERROR(SUM(Y492:Y499),"0")</f>
        <v>190.08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162</v>
      </c>
      <c r="Y503" s="618">
        <f>IFERROR(IF(X503="",0,CEILING((X503/$H503),1)*$H503),"")</f>
        <v>163.68</v>
      </c>
      <c r="Z503" s="36">
        <f>IFERROR(IF(Y503=0,"",ROUNDUP(Y503/H503,0)*0.01196),"")</f>
        <v>0.37075999999999998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172.73863636363635</v>
      </c>
      <c r="BN503" s="64">
        <f>IFERROR(Y503*I503/H503,"0")</f>
        <v>174.53</v>
      </c>
      <c r="BO503" s="64">
        <f>IFERROR(1/J503*(X503/H503),"0")</f>
        <v>0.2950174825174825</v>
      </c>
      <c r="BP503" s="64">
        <f>IFERROR(1/J503*(Y503/H503),"0")</f>
        <v>0.29807692307692307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30.68181818181818</v>
      </c>
      <c r="Y506" s="619">
        <f>IFERROR(Y503/H503,"0")+IFERROR(Y504/H504,"0")+IFERROR(Y505/H505,"0")</f>
        <v>31</v>
      </c>
      <c r="Z506" s="619">
        <f>IFERROR(IF(Z503="",0,Z503),"0")+IFERROR(IF(Z504="",0,Z504),"0")+IFERROR(IF(Z505="",0,Z505),"0")</f>
        <v>0.37075999999999998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162</v>
      </c>
      <c r="Y507" s="619">
        <f>IFERROR(SUM(Y503:Y505),"0")</f>
        <v>163.68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56</v>
      </c>
      <c r="Y509" s="618">
        <f t="shared" ref="Y509:Y515" si="76">IFERROR(IF(X509="",0,CEILING((X509/$H509),1)*$H509),"")</f>
        <v>58.080000000000005</v>
      </c>
      <c r="Z509" s="36">
        <f>IFERROR(IF(Y509=0,"",ROUNDUP(Y509/H509,0)*0.01196),"")</f>
        <v>0.13156000000000001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59.712121212121204</v>
      </c>
      <c r="BN509" s="64">
        <f t="shared" ref="BN509:BN515" si="78">IFERROR(Y509*I509/H509,"0")</f>
        <v>61.93</v>
      </c>
      <c r="BO509" s="64">
        <f t="shared" ref="BO509:BO515" si="79">IFERROR(1/J509*(X509/H509),"0")</f>
        <v>0.10198135198135198</v>
      </c>
      <c r="BP509" s="64">
        <f t="shared" ref="BP509:BP515" si="80">IFERROR(1/J509*(Y509/H509),"0")</f>
        <v>0.10576923076923078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138</v>
      </c>
      <c r="Y510" s="618">
        <f t="shared" si="76"/>
        <v>142.56</v>
      </c>
      <c r="Z510" s="36">
        <f>IFERROR(IF(Y510=0,"",ROUNDUP(Y510/H510,0)*0.01196),"")</f>
        <v>0.32291999999999998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147.14772727272725</v>
      </c>
      <c r="BN510" s="64">
        <f t="shared" si="78"/>
        <v>152.01</v>
      </c>
      <c r="BO510" s="64">
        <f t="shared" si="79"/>
        <v>0.2513111888111888</v>
      </c>
      <c r="BP510" s="64">
        <f t="shared" si="80"/>
        <v>0.25961538461538464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108</v>
      </c>
      <c r="Y511" s="618">
        <f t="shared" si="76"/>
        <v>110.88000000000001</v>
      </c>
      <c r="Z511" s="36">
        <f>IFERROR(IF(Y511=0,"",ROUNDUP(Y511/H511,0)*0.01196),"")</f>
        <v>0.25115999999999999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115.15909090909089</v>
      </c>
      <c r="BN511" s="64">
        <f t="shared" si="78"/>
        <v>118.23</v>
      </c>
      <c r="BO511" s="64">
        <f t="shared" si="79"/>
        <v>0.19667832167832167</v>
      </c>
      <c r="BP511" s="64">
        <f t="shared" si="80"/>
        <v>0.20192307692307693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57.196969696969695</v>
      </c>
      <c r="Y516" s="619">
        <f>IFERROR(Y509/H509,"0")+IFERROR(Y510/H510,"0")+IFERROR(Y511/H511,"0")+IFERROR(Y512/H512,"0")+IFERROR(Y513/H513,"0")+IFERROR(Y514/H514,"0")+IFERROR(Y515/H515,"0")</f>
        <v>59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0.70564000000000004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302</v>
      </c>
      <c r="Y517" s="619">
        <f>IFERROR(SUM(Y509:Y515),"0")</f>
        <v>311.52000000000004</v>
      </c>
      <c r="Z517" s="37"/>
      <c r="AA517" s="620"/>
      <c r="AB517" s="620"/>
      <c r="AC517" s="620"/>
    </row>
    <row r="518" spans="1:68" ht="27.75" hidden="1" customHeight="1" x14ac:dyDescent="0.2">
      <c r="A518" s="796" t="s">
        <v>816</v>
      </c>
      <c r="B518" s="797"/>
      <c r="C518" s="797"/>
      <c r="D518" s="797"/>
      <c r="E518" s="797"/>
      <c r="F518" s="797"/>
      <c r="G518" s="797"/>
      <c r="H518" s="797"/>
      <c r="I518" s="797"/>
      <c r="J518" s="797"/>
      <c r="K518" s="797"/>
      <c r="L518" s="797"/>
      <c r="M518" s="797"/>
      <c r="N518" s="797"/>
      <c r="O518" s="797"/>
      <c r="P518" s="797"/>
      <c r="Q518" s="797"/>
      <c r="R518" s="797"/>
      <c r="S518" s="797"/>
      <c r="T518" s="797"/>
      <c r="U518" s="797"/>
      <c r="V518" s="797"/>
      <c r="W518" s="797"/>
      <c r="X518" s="797"/>
      <c r="Y518" s="797"/>
      <c r="Z518" s="797"/>
      <c r="AA518" s="48"/>
      <c r="AB518" s="48"/>
      <c r="AC518" s="48"/>
    </row>
    <row r="519" spans="1:68" ht="16.5" hidden="1" customHeight="1" x14ac:dyDescent="0.25">
      <c r="A519" s="642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40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9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64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8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2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9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5"/>
      <c r="P546" s="645" t="s">
        <v>838</v>
      </c>
      <c r="Q546" s="646"/>
      <c r="R546" s="646"/>
      <c r="S546" s="646"/>
      <c r="T546" s="646"/>
      <c r="U546" s="646"/>
      <c r="V546" s="647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8058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8166.6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5"/>
      <c r="P547" s="645" t="s">
        <v>839</v>
      </c>
      <c r="Q547" s="646"/>
      <c r="R547" s="646"/>
      <c r="S547" s="646"/>
      <c r="T547" s="646"/>
      <c r="U547" s="646"/>
      <c r="V547" s="647"/>
      <c r="W547" s="37" t="s">
        <v>67</v>
      </c>
      <c r="X547" s="619">
        <f>IFERROR(SUM(BM22:BM543),"0")</f>
        <v>8494.833700112049</v>
      </c>
      <c r="Y547" s="619">
        <f>IFERROR(SUM(BN22:BN543),"0")</f>
        <v>8610.3540000000012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5"/>
      <c r="P548" s="645" t="s">
        <v>840</v>
      </c>
      <c r="Q548" s="646"/>
      <c r="R548" s="646"/>
      <c r="S548" s="646"/>
      <c r="T548" s="646"/>
      <c r="U548" s="646"/>
      <c r="V548" s="647"/>
      <c r="W548" s="37" t="s">
        <v>841</v>
      </c>
      <c r="X548" s="38">
        <f>ROUNDUP(SUM(BO22:BO543),0)</f>
        <v>15</v>
      </c>
      <c r="Y548" s="38">
        <f>ROUNDUP(SUM(BP22:BP543),0)</f>
        <v>15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5"/>
      <c r="P549" s="645" t="s">
        <v>842</v>
      </c>
      <c r="Q549" s="646"/>
      <c r="R549" s="646"/>
      <c r="S549" s="646"/>
      <c r="T549" s="646"/>
      <c r="U549" s="646"/>
      <c r="V549" s="647"/>
      <c r="W549" s="37" t="s">
        <v>67</v>
      </c>
      <c r="X549" s="619">
        <f>GrossWeightTotal+PalletQtyTotal*25</f>
        <v>8869.833700112049</v>
      </c>
      <c r="Y549" s="619">
        <f>GrossWeightTotalR+PalletQtyTotalR*25</f>
        <v>8985.3540000000012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5"/>
      <c r="P550" s="645" t="s">
        <v>843</v>
      </c>
      <c r="Q550" s="646"/>
      <c r="R550" s="646"/>
      <c r="S550" s="646"/>
      <c r="T550" s="646"/>
      <c r="U550" s="646"/>
      <c r="V550" s="647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1277.381690620339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1300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5"/>
      <c r="P551" s="645" t="s">
        <v>844</v>
      </c>
      <c r="Q551" s="646"/>
      <c r="R551" s="646"/>
      <c r="S551" s="646"/>
      <c r="T551" s="646"/>
      <c r="U551" s="646"/>
      <c r="V551" s="647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16.703890000000001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88"/>
      <c r="F553" s="888"/>
      <c r="G553" s="888"/>
      <c r="H553" s="888"/>
      <c r="I553" s="888"/>
      <c r="J553" s="631"/>
      <c r="K553" s="630" t="s">
        <v>327</v>
      </c>
      <c r="L553" s="888"/>
      <c r="M553" s="888"/>
      <c r="N553" s="888"/>
      <c r="O553" s="888"/>
      <c r="P553" s="888"/>
      <c r="Q553" s="888"/>
      <c r="R553" s="888"/>
      <c r="S553" s="888"/>
      <c r="T553" s="888"/>
      <c r="U553" s="888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3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4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10"/>
      <c r="O555" s="661"/>
      <c r="P555" s="661"/>
      <c r="Q555" s="661"/>
      <c r="R555" s="661"/>
      <c r="S555" s="661"/>
      <c r="T555" s="661"/>
      <c r="U555" s="661"/>
      <c r="V555" s="661"/>
      <c r="W555" s="661"/>
      <c r="X555" s="661"/>
      <c r="Y555" s="661"/>
      <c r="Z555" s="661"/>
      <c r="AA555" s="661"/>
      <c r="AB555" s="661"/>
      <c r="AC555" s="661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11.100000000000001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265.29999999999995</v>
      </c>
      <c r="F556" s="46">
        <f>IFERROR(Y84*1,"0")+IFERROR(Y85*1,"0")+IFERROR(Y86*1,"0")+IFERROR(Y87*1,"0")+IFERROR(Y88*1,"0")+IFERROR(Y89*1,"0")+IFERROR(Y93*1,"0")+IFERROR(Y94*1,"0")+IFERROR(Y95*1,"0")+IFERROR(Y96*1,"0")</f>
        <v>770.4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266.16000000000003</v>
      </c>
      <c r="H556" s="46">
        <f>IFERROR(Y131*1,"0")+IFERROR(Y132*1,"0")+IFERROR(Y136*1,"0")+IFERROR(Y137*1,"0")+IFERROR(Y141*1,"0")+IFERROR(Y142*1,"0")</f>
        <v>39.199999999999996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112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223.23999999999998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847.80000000000007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9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21.599999999999998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93.6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514.72</v>
      </c>
      <c r="U556" s="46">
        <f>IFERROR(Y406*1,"0")+IFERROR(Y407*1,"0")</f>
        <v>0</v>
      </c>
      <c r="V556" s="46">
        <f>IFERROR(Y412*1,"0")+IFERROR(Y413*1,"0")+IFERROR(Y414*1,"0")</f>
        <v>25.200000000000003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2496</v>
      </c>
      <c r="X556" s="46">
        <f>IFERROR(Y449*1,"0")+IFERROR(Y450*1,"0")+IFERROR(Y454*1,"0")+IFERROR(Y458*1,"0")+IFERROR(Y459*1,"0")+IFERROR(Y460*1,"0")</f>
        <v>1806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665.28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77,38"/>
        <filter val="1 632,00"/>
        <filter val="1 780,00"/>
        <filter val="1 804,00"/>
        <filter val="1,67"/>
        <filter val="10,00"/>
        <filter val="10,95"/>
        <filter val="106,00"/>
        <filter val="108,00"/>
        <filter val="109,00"/>
        <filter val="11,00"/>
        <filter val="11,54"/>
        <filter val="115,00"/>
        <filter val="12,00"/>
        <filter val="12,37"/>
        <filter val="124,44"/>
        <filter val="13,57"/>
        <filter val="13,67"/>
        <filter val="134,00"/>
        <filter val="138,00"/>
        <filter val="14,20"/>
        <filter val="141,00"/>
        <filter val="15"/>
        <filter val="151,00"/>
        <filter val="154,00"/>
        <filter val="158,00"/>
        <filter val="162,00"/>
        <filter val="169,00"/>
        <filter val="17,00"/>
        <filter val="17,98"/>
        <filter val="176,00"/>
        <filter val="18,78"/>
        <filter val="185,00"/>
        <filter val="198,00"/>
        <filter val="2 310,00"/>
        <filter val="2,70"/>
        <filter val="207,78"/>
        <filter val="21,00"/>
        <filter val="21,72"/>
        <filter val="214,00"/>
        <filter val="23,00"/>
        <filter val="24,00"/>
        <filter val="25,38"/>
        <filter val="27,00"/>
        <filter val="28,33"/>
        <filter val="29,00"/>
        <filter val="3,97"/>
        <filter val="30,68"/>
        <filter val="302,00"/>
        <filter val="31,14"/>
        <filter val="312,00"/>
        <filter val="32,00"/>
        <filter val="35,04"/>
        <filter val="357,00"/>
        <filter val="38,00"/>
        <filter val="4,00"/>
        <filter val="4,44"/>
        <filter val="40,56"/>
        <filter val="405,00"/>
        <filter val="41,00"/>
        <filter val="43,00"/>
        <filter val="45,00"/>
        <filter val="47,00"/>
        <filter val="5,00"/>
        <filter val="53,00"/>
        <filter val="56,00"/>
        <filter val="57,00"/>
        <filter val="57,20"/>
        <filter val="58,00"/>
        <filter val="585,00"/>
        <filter val="59,00"/>
        <filter val="60,99"/>
        <filter val="61,00"/>
        <filter val="64,00"/>
        <filter val="678,00"/>
        <filter val="68,00"/>
        <filter val="69,00"/>
        <filter val="7,11"/>
        <filter val="726,00"/>
        <filter val="73,00"/>
        <filter val="76,00"/>
        <filter val="8 058,00"/>
        <filter val="8 494,83"/>
        <filter val="8 869,83"/>
        <filter val="8,00"/>
        <filter val="8,75"/>
        <filter val="82,78"/>
        <filter val="86,90"/>
        <filter val="90,00"/>
        <filter val="91,00"/>
        <filter val="93,00"/>
        <filter val="95,74"/>
        <filter val="97,00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O554:O555"/>
    <mergeCell ref="P433:T433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D249:E249"/>
    <mergeCell ref="P262:T262"/>
    <mergeCell ref="D105:E105"/>
    <mergeCell ref="D276:E276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R554:R555"/>
    <mergeCell ref="P194:V194"/>
    <mergeCell ref="A402:O403"/>
    <mergeCell ref="D513:E513"/>
    <mergeCell ref="D223:E223"/>
    <mergeCell ref="D279:E279"/>
    <mergeCell ref="D394:E394"/>
    <mergeCell ref="A434:O435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P107:T107"/>
    <mergeCell ref="D150:E150"/>
    <mergeCell ref="P278:T278"/>
    <mergeCell ref="P63:V63"/>
    <mergeCell ref="P101:T101"/>
    <mergeCell ref="D215:E215"/>
    <mergeCell ref="D386:E386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523:V523"/>
    <mergeCell ref="A404:Z404"/>
    <mergeCell ref="A544:O545"/>
    <mergeCell ref="P364:T364"/>
    <mergeCell ref="P509:T509"/>
    <mergeCell ref="A546:O551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529:E529"/>
    <mergeCell ref="P539:V539"/>
    <mergeCell ref="H554:H555"/>
    <mergeCell ref="J554:J555"/>
    <mergeCell ref="P476:V476"/>
    <mergeCell ref="D459:E459"/>
    <mergeCell ref="A532:Z532"/>
    <mergeCell ref="D136:E136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86:E86"/>
    <mergeCell ref="P214:T214"/>
    <mergeCell ref="P270:T270"/>
    <mergeCell ref="P341:T341"/>
    <mergeCell ref="A457:Z457"/>
    <mergeCell ref="P48:T48"/>
    <mergeCell ref="D292:E292"/>
    <mergeCell ref="P346:T346"/>
    <mergeCell ref="P399:T399"/>
    <mergeCell ref="D450:E450"/>
    <mergeCell ref="P121:T121"/>
    <mergeCell ref="A428:O429"/>
    <mergeCell ref="P357:T357"/>
    <mergeCell ref="D216:E216"/>
    <mergeCell ref="D265:E265"/>
    <mergeCell ref="P195:V195"/>
    <mergeCell ref="P176:T176"/>
    <mergeCell ref="D226:E226"/>
    <mergeCell ref="P354:T354"/>
    <mergeCell ref="D305:E305"/>
    <mergeCell ref="D270:E270"/>
    <mergeCell ref="P420:T420"/>
    <mergeCell ref="A130:Z130"/>
    <mergeCell ref="D310:E310"/>
    <mergeCell ref="P32:V32"/>
    <mergeCell ref="Q13:R13"/>
    <mergeCell ref="P97:V97"/>
    <mergeCell ref="D222:E222"/>
    <mergeCell ref="G17:G18"/>
    <mergeCell ref="P333:T333"/>
    <mergeCell ref="P242:V242"/>
    <mergeCell ref="D159:E159"/>
    <mergeCell ref="P42:V42"/>
    <mergeCell ref="P59:T59"/>
    <mergeCell ref="P123:V123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A127:O128"/>
    <mergeCell ref="P301:T301"/>
    <mergeCell ref="P295:T295"/>
    <mergeCell ref="P178:T178"/>
    <mergeCell ref="P105:T105"/>
    <mergeCell ref="AC554:AC555"/>
    <mergeCell ref="A455:O456"/>
    <mergeCell ref="S554:S555"/>
    <mergeCell ref="U554:U555"/>
    <mergeCell ref="P533:T533"/>
    <mergeCell ref="P549:V549"/>
    <mergeCell ref="D509:E509"/>
    <mergeCell ref="P512:T512"/>
    <mergeCell ref="K553:V553"/>
    <mergeCell ref="A530:O531"/>
    <mergeCell ref="P511:T511"/>
    <mergeCell ref="P507:V507"/>
    <mergeCell ref="A506:O507"/>
    <mergeCell ref="P534:V534"/>
    <mergeCell ref="P525:T525"/>
    <mergeCell ref="P470:T470"/>
    <mergeCell ref="D521:E521"/>
    <mergeCell ref="AB554:AB555"/>
    <mergeCell ref="A518:Z518"/>
    <mergeCell ref="A520:Z520"/>
    <mergeCell ref="G554:G555"/>
    <mergeCell ref="I554:I555"/>
    <mergeCell ref="A476:O477"/>
    <mergeCell ref="D525:E525"/>
    <mergeCell ref="V6:W9"/>
    <mergeCell ref="D199:E199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P49:T49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A336:O337"/>
    <mergeCell ref="P116:V116"/>
    <mergeCell ref="D39:E39"/>
    <mergeCell ref="D449:E449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D36:E36"/>
    <mergeCell ref="P96:T96"/>
    <mergeCell ref="A80:O81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475:T475"/>
    <mergeCell ref="P384:V384"/>
    <mergeCell ref="P455:V455"/>
    <mergeCell ref="A372:Z372"/>
    <mergeCell ref="P393:T393"/>
    <mergeCell ref="D374:E374"/>
    <mergeCell ref="P395:T395"/>
    <mergeCell ref="D438:E438"/>
    <mergeCell ref="D425:E425"/>
    <mergeCell ref="A464:Z464"/>
    <mergeCell ref="A489:Z489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P193:T193"/>
    <mergeCell ref="P320:T320"/>
    <mergeCell ref="P236:V236"/>
    <mergeCell ref="D368:E368"/>
    <mergeCell ref="P106:T106"/>
    <mergeCell ref="P177:T177"/>
    <mergeCell ref="P93:T93"/>
    <mergeCell ref="P226:T226"/>
    <mergeCell ref="A50:O51"/>
    <mergeCell ref="A158:Z158"/>
    <mergeCell ref="A351:Z351"/>
    <mergeCell ref="D273:E273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P22:T22"/>
    <mergeCell ref="D65:E65"/>
    <mergeCell ref="P40:T40"/>
    <mergeCell ref="P328:V328"/>
    <mergeCell ref="A209:Z209"/>
    <mergeCell ref="A302:O303"/>
    <mergeCell ref="A338:Z338"/>
    <mergeCell ref="P232:T232"/>
    <mergeCell ref="D359:E359"/>
    <mergeCell ref="P327:T327"/>
    <mergeCell ref="P252:V252"/>
    <mergeCell ref="P307:V307"/>
    <mergeCell ref="A390:O391"/>
    <mergeCell ref="D203:E203"/>
    <mergeCell ref="P152:V152"/>
    <mergeCell ref="A82:Z82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P26:T26"/>
    <mergeCell ref="P461:V461"/>
    <mergeCell ref="A143:O144"/>
    <mergeCell ref="A92:Z9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P387:T387"/>
    <mergeCell ref="P124:V124"/>
    <mergeCell ref="P360:V360"/>
    <mergeCell ref="D422:E422"/>
    <mergeCell ref="P80:V80"/>
    <mergeCell ref="P87:T87"/>
    <mergeCell ref="P151:V151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419:Z419"/>
    <mergeCell ref="P77:T77"/>
    <mergeCell ref="P204:T204"/>
    <mergeCell ref="P179:T179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A198:Z198"/>
    <mergeCell ref="P375:T375"/>
    <mergeCell ref="P159:T159"/>
    <mergeCell ref="P227:V227"/>
    <mergeCell ref="P380:T380"/>
    <mergeCell ref="P276:T276"/>
    <mergeCell ref="A245:O246"/>
    <mergeCell ref="P149:T149"/>
    <mergeCell ref="P174:T174"/>
    <mergeCell ref="T5:U5"/>
    <mergeCell ref="D119:E119"/>
    <mergeCell ref="V5:W5"/>
    <mergeCell ref="P203:T203"/>
    <mergeCell ref="D46:E46"/>
    <mergeCell ref="P374:T374"/>
    <mergeCell ref="P310:T310"/>
    <mergeCell ref="P272:T272"/>
    <mergeCell ref="P210:T210"/>
    <mergeCell ref="D327:E327"/>
    <mergeCell ref="A267:O268"/>
    <mergeCell ref="D106:E106"/>
    <mergeCell ref="A41:O42"/>
    <mergeCell ref="P185:T185"/>
    <mergeCell ref="D93:E93"/>
    <mergeCell ref="D264:E264"/>
    <mergeCell ref="A133:O134"/>
    <mergeCell ref="D220:E220"/>
    <mergeCell ref="P277:T277"/>
    <mergeCell ref="P36:T36"/>
    <mergeCell ref="P50:V50"/>
    <mergeCell ref="D29:E29"/>
    <mergeCell ref="Q10:R10"/>
    <mergeCell ref="D185:E185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D68:E68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P132:T132"/>
    <mergeCell ref="P406:T406"/>
    <mergeCell ref="D388:E388"/>
    <mergeCell ref="P133:V133"/>
    <mergeCell ref="A328:O329"/>
    <mergeCell ref="P127:V127"/>
    <mergeCell ref="P298:V298"/>
    <mergeCell ref="D339:E339"/>
    <mergeCell ref="A490:Z490"/>
    <mergeCell ref="D201:E201"/>
    <mergeCell ref="D335:E335"/>
    <mergeCell ref="A440:O441"/>
    <mergeCell ref="P427:T427"/>
    <mergeCell ref="P428:V428"/>
    <mergeCell ref="A442:Z442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340:T340"/>
    <mergeCell ref="P191:V191"/>
    <mergeCell ref="P51:V51"/>
    <mergeCell ref="D179:E179"/>
    <mergeCell ref="A6:C6"/>
    <mergeCell ref="P167:T167"/>
    <mergeCell ref="P336:V336"/>
    <mergeCell ref="P55:T55"/>
    <mergeCell ref="D115:E115"/>
    <mergeCell ref="Q12:R12"/>
    <mergeCell ref="P280:T280"/>
    <mergeCell ref="D261:E261"/>
    <mergeCell ref="P119:T119"/>
    <mergeCell ref="P62:V62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2026-10-15T11:14:38Z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