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80F2A95-B162-469A-BD70-1F98FE392EC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заказа'!$B$114:$B$114</definedName>
    <definedName name="ProductId46">'Бланк заказа'!$B$118:$B$118</definedName>
    <definedName name="ProductId47">'Бланк заказа'!$B$122:$B$122</definedName>
    <definedName name="ProductId48">'Бланк заказа'!$B$127:$B$127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заказа'!$B$183:$B$183</definedName>
    <definedName name="ProductId67">'Бланк заказа'!$B$188:$B$188</definedName>
    <definedName name="ProductId68">'Бланк заказа'!$B$189:$B$189</definedName>
    <definedName name="ProductId69">'Бланк заказа'!$B$194:$B$194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заказа'!$B$209:$B$209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заказа'!$X$114:$X$114</definedName>
    <definedName name="SalesQty46">'Бланк заказа'!$X$118:$X$118</definedName>
    <definedName name="SalesQty47">'Бланк заказа'!$X$122:$X$122</definedName>
    <definedName name="SalesQty48">'Бланк заказа'!$X$127:$X$127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заказа'!$X$183:$X$183</definedName>
    <definedName name="SalesQty67">'Бланк заказа'!$X$188:$X$188</definedName>
    <definedName name="SalesQty68">'Бланк заказа'!$X$189:$X$189</definedName>
    <definedName name="SalesQty69">'Бланк заказа'!$X$194:$X$194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заказа'!$X$209:$X$209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заказа'!$Y$114:$Y$114</definedName>
    <definedName name="SalesRoundBox46">'Бланк заказа'!$Y$118:$Y$118</definedName>
    <definedName name="SalesRoundBox47">'Бланк заказа'!$Y$122:$Y$122</definedName>
    <definedName name="SalesRoundBox48">'Бланк заказа'!$Y$127:$Y$127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заказа'!$Y$183:$Y$183</definedName>
    <definedName name="SalesRoundBox67">'Бланк заказа'!$Y$188:$Y$188</definedName>
    <definedName name="SalesRoundBox68">'Бланк заказа'!$Y$189:$Y$189</definedName>
    <definedName name="SalesRoundBox69">'Бланк заказа'!$Y$194:$Y$194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заказа'!$Y$209:$Y$209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заказа'!$W$114:$W$114</definedName>
    <definedName name="UnitOfMeasure46">'Бланк заказа'!$W$118:$W$118</definedName>
    <definedName name="UnitOfMeasure47">'Бланк заказа'!$W$122:$W$122</definedName>
    <definedName name="UnitOfMeasure48">'Бланк заказа'!$W$127:$W$127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заказа'!$W$183:$W$183</definedName>
    <definedName name="UnitOfMeasure67">'Бланк заказа'!$W$188:$W$188</definedName>
    <definedName name="UnitOfMeasure68">'Бланк заказа'!$W$189:$W$189</definedName>
    <definedName name="UnitOfMeasure69">'Бланк заказа'!$W$194:$W$194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заказа'!$W$209:$W$209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Setting!$B$8:$B$8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BO274" i="2"/>
  <c r="BM274" i="2"/>
  <c r="Z274" i="2"/>
  <c r="Y274" i="2"/>
  <c r="BP274" i="2" s="1"/>
  <c r="P274" i="2"/>
  <c r="BO273" i="2"/>
  <c r="BM273" i="2"/>
  <c r="Z273" i="2"/>
  <c r="Y273" i="2"/>
  <c r="BP273" i="2" s="1"/>
  <c r="BO272" i="2"/>
  <c r="BM272" i="2"/>
  <c r="Z272" i="2"/>
  <c r="Y272" i="2"/>
  <c r="BP272" i="2" s="1"/>
  <c r="BO271" i="2"/>
  <c r="BM271" i="2"/>
  <c r="Z271" i="2"/>
  <c r="Y271" i="2"/>
  <c r="BP271" i="2" s="1"/>
  <c r="BO270" i="2"/>
  <c r="BM270" i="2"/>
  <c r="Z270" i="2"/>
  <c r="Y270" i="2"/>
  <c r="BP270" i="2" s="1"/>
  <c r="BO269" i="2"/>
  <c r="BM269" i="2"/>
  <c r="Z269" i="2"/>
  <c r="Y269" i="2"/>
  <c r="BP269" i="2" s="1"/>
  <c r="BO268" i="2"/>
  <c r="BM268" i="2"/>
  <c r="Z268" i="2"/>
  <c r="Y268" i="2"/>
  <c r="X266" i="2"/>
  <c r="X265" i="2"/>
  <c r="BO264" i="2"/>
  <c r="BM264" i="2"/>
  <c r="Z264" i="2"/>
  <c r="Y264" i="2"/>
  <c r="BN264" i="2" s="1"/>
  <c r="BO263" i="2"/>
  <c r="BM263" i="2"/>
  <c r="Z263" i="2"/>
  <c r="Y263" i="2"/>
  <c r="BP263" i="2" s="1"/>
  <c r="BO262" i="2"/>
  <c r="BM262" i="2"/>
  <c r="Z262" i="2"/>
  <c r="Z265" i="2" s="1"/>
  <c r="Y262" i="2"/>
  <c r="Y265" i="2" s="1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P257" i="2"/>
  <c r="X253" i="2"/>
  <c r="X252" i="2"/>
  <c r="BO251" i="2"/>
  <c r="BM251" i="2"/>
  <c r="Z251" i="2"/>
  <c r="Z252" i="2" s="1"/>
  <c r="Y251" i="2"/>
  <c r="Y253" i="2" s="1"/>
  <c r="P251" i="2"/>
  <c r="X249" i="2"/>
  <c r="X248" i="2"/>
  <c r="BO247" i="2"/>
  <c r="BM247" i="2"/>
  <c r="Z247" i="2"/>
  <c r="Z248" i="2" s="1"/>
  <c r="Y247" i="2"/>
  <c r="BN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BN231" i="2" s="1"/>
  <c r="P231" i="2"/>
  <c r="X227" i="2"/>
  <c r="X226" i="2"/>
  <c r="BO225" i="2"/>
  <c r="BM225" i="2"/>
  <c r="Z225" i="2"/>
  <c r="Z226" i="2" s="1"/>
  <c r="Y225" i="2"/>
  <c r="Y227" i="2" s="1"/>
  <c r="P225" i="2"/>
  <c r="X222" i="2"/>
  <c r="X221" i="2"/>
  <c r="BO220" i="2"/>
  <c r="BM220" i="2"/>
  <c r="Z220" i="2"/>
  <c r="Y220" i="2"/>
  <c r="BN220" i="2" s="1"/>
  <c r="P220" i="2"/>
  <c r="BO219" i="2"/>
  <c r="BM219" i="2"/>
  <c r="Z219" i="2"/>
  <c r="Y219" i="2"/>
  <c r="P219" i="2"/>
  <c r="X216" i="2"/>
  <c r="X215" i="2"/>
  <c r="BO214" i="2"/>
  <c r="BM214" i="2"/>
  <c r="Z214" i="2"/>
  <c r="Y214" i="2"/>
  <c r="BP214" i="2" s="1"/>
  <c r="P214" i="2"/>
  <c r="BO213" i="2"/>
  <c r="BM213" i="2"/>
  <c r="Z213" i="2"/>
  <c r="Y213" i="2"/>
  <c r="P213" i="2"/>
  <c r="X211" i="2"/>
  <c r="X210" i="2"/>
  <c r="BO209" i="2"/>
  <c r="BM209" i="2"/>
  <c r="Z209" i="2"/>
  <c r="Z210" i="2" s="1"/>
  <c r="Y209" i="2"/>
  <c r="BN209" i="2" s="1"/>
  <c r="P209" i="2"/>
  <c r="X205" i="2"/>
  <c r="X204" i="2"/>
  <c r="BO203" i="2"/>
  <c r="BM203" i="2"/>
  <c r="Z203" i="2"/>
  <c r="Y203" i="2"/>
  <c r="BN203" i="2" s="1"/>
  <c r="P203" i="2"/>
  <c r="BO202" i="2"/>
  <c r="BM202" i="2"/>
  <c r="Z202" i="2"/>
  <c r="Y202" i="2"/>
  <c r="BN202" i="2" s="1"/>
  <c r="P202" i="2"/>
  <c r="BO201" i="2"/>
  <c r="BM201" i="2"/>
  <c r="Z201" i="2"/>
  <c r="Y201" i="2"/>
  <c r="P201" i="2"/>
  <c r="BO200" i="2"/>
  <c r="BM200" i="2"/>
  <c r="Z200" i="2"/>
  <c r="Y200" i="2"/>
  <c r="BP200" i="2" s="1"/>
  <c r="P200" i="2"/>
  <c r="X196" i="2"/>
  <c r="X195" i="2"/>
  <c r="BO194" i="2"/>
  <c r="BM194" i="2"/>
  <c r="Z194" i="2"/>
  <c r="Z195" i="2" s="1"/>
  <c r="Y194" i="2"/>
  <c r="Y196" i="2" s="1"/>
  <c r="P194" i="2"/>
  <c r="X191" i="2"/>
  <c r="X190" i="2"/>
  <c r="BO189" i="2"/>
  <c r="BM189" i="2"/>
  <c r="Z189" i="2"/>
  <c r="Y189" i="2"/>
  <c r="P189" i="2"/>
  <c r="BO188" i="2"/>
  <c r="BM188" i="2"/>
  <c r="Z188" i="2"/>
  <c r="Y188" i="2"/>
  <c r="BN188" i="2" s="1"/>
  <c r="P188" i="2"/>
  <c r="X185" i="2"/>
  <c r="X184" i="2"/>
  <c r="BO183" i="2"/>
  <c r="BM183" i="2"/>
  <c r="Z183" i="2"/>
  <c r="Z184" i="2" s="1"/>
  <c r="Y183" i="2"/>
  <c r="Y185" i="2" s="1"/>
  <c r="P183" i="2"/>
  <c r="X181" i="2"/>
  <c r="X180" i="2"/>
  <c r="BO179" i="2"/>
  <c r="BM179" i="2"/>
  <c r="Z179" i="2"/>
  <c r="Z180" i="2" s="1"/>
  <c r="Y179" i="2"/>
  <c r="Y180" i="2" s="1"/>
  <c r="P179" i="2"/>
  <c r="X175" i="2"/>
  <c r="X174" i="2"/>
  <c r="BO173" i="2"/>
  <c r="BM173" i="2"/>
  <c r="Z173" i="2"/>
  <c r="Z174" i="2" s="1"/>
  <c r="Y173" i="2"/>
  <c r="BN173" i="2" s="1"/>
  <c r="P173" i="2"/>
  <c r="X170" i="2"/>
  <c r="X169" i="2"/>
  <c r="BO168" i="2"/>
  <c r="BM168" i="2"/>
  <c r="Z168" i="2"/>
  <c r="Z169" i="2" s="1"/>
  <c r="Y168" i="2"/>
  <c r="Y170" i="2" s="1"/>
  <c r="P168" i="2"/>
  <c r="X165" i="2"/>
  <c r="X164" i="2"/>
  <c r="BO163" i="2"/>
  <c r="BM163" i="2"/>
  <c r="Z163" i="2"/>
  <c r="Z164" i="2" s="1"/>
  <c r="Y163" i="2"/>
  <c r="Y164" i="2" s="1"/>
  <c r="P163" i="2"/>
  <c r="X160" i="2"/>
  <c r="X159" i="2"/>
  <c r="BO158" i="2"/>
  <c r="BM158" i="2"/>
  <c r="Z158" i="2"/>
  <c r="Y158" i="2"/>
  <c r="BN158" i="2" s="1"/>
  <c r="P158" i="2"/>
  <c r="BO157" i="2"/>
  <c r="BM157" i="2"/>
  <c r="Z157" i="2"/>
  <c r="Y157" i="2"/>
  <c r="BP157" i="2" s="1"/>
  <c r="P157" i="2"/>
  <c r="X154" i="2"/>
  <c r="X153" i="2"/>
  <c r="BO152" i="2"/>
  <c r="BM152" i="2"/>
  <c r="Z152" i="2"/>
  <c r="Y152" i="2"/>
  <c r="BN152" i="2" s="1"/>
  <c r="P152" i="2"/>
  <c r="BO151" i="2"/>
  <c r="BM151" i="2"/>
  <c r="Z151" i="2"/>
  <c r="Y151" i="2"/>
  <c r="BN151" i="2" s="1"/>
  <c r="P151" i="2"/>
  <c r="X148" i="2"/>
  <c r="X147" i="2"/>
  <c r="BO146" i="2"/>
  <c r="BM146" i="2"/>
  <c r="Z146" i="2"/>
  <c r="Y146" i="2"/>
  <c r="BN146" i="2" s="1"/>
  <c r="P146" i="2"/>
  <c r="BO145" i="2"/>
  <c r="BM145" i="2"/>
  <c r="Z145" i="2"/>
  <c r="Y145" i="2"/>
  <c r="BN145" i="2" s="1"/>
  <c r="P145" i="2"/>
  <c r="X142" i="2"/>
  <c r="X141" i="2"/>
  <c r="BO140" i="2"/>
  <c r="BM140" i="2"/>
  <c r="Z140" i="2"/>
  <c r="Y140" i="2"/>
  <c r="BP140" i="2" s="1"/>
  <c r="P140" i="2"/>
  <c r="BO139" i="2"/>
  <c r="BM139" i="2"/>
  <c r="Z139" i="2"/>
  <c r="Y139" i="2"/>
  <c r="BN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P131" i="2"/>
  <c r="X129" i="2"/>
  <c r="X128" i="2"/>
  <c r="BO127" i="2"/>
  <c r="BM127" i="2"/>
  <c r="Z127" i="2"/>
  <c r="Z128" i="2" s="1"/>
  <c r="Y127" i="2"/>
  <c r="Y129" i="2" s="1"/>
  <c r="P127" i="2"/>
  <c r="X124" i="2"/>
  <c r="X123" i="2"/>
  <c r="BO122" i="2"/>
  <c r="BM122" i="2"/>
  <c r="Z122" i="2"/>
  <c r="Z123" i="2" s="1"/>
  <c r="Y122" i="2"/>
  <c r="BN122" i="2" s="1"/>
  <c r="P122" i="2"/>
  <c r="X120" i="2"/>
  <c r="X119" i="2"/>
  <c r="BO118" i="2"/>
  <c r="BM118" i="2"/>
  <c r="Z118" i="2"/>
  <c r="Z119" i="2" s="1"/>
  <c r="Y118" i="2"/>
  <c r="BN118" i="2" s="1"/>
  <c r="P118" i="2"/>
  <c r="X116" i="2"/>
  <c r="X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N110" i="2" s="1"/>
  <c r="P110" i="2"/>
  <c r="BO109" i="2"/>
  <c r="BM109" i="2"/>
  <c r="Z109" i="2"/>
  <c r="Y109" i="2"/>
  <c r="BP109" i="2" s="1"/>
  <c r="P109" i="2"/>
  <c r="BO108" i="2"/>
  <c r="BM108" i="2"/>
  <c r="Z108" i="2"/>
  <c r="Y108" i="2"/>
  <c r="P108" i="2"/>
  <c r="BO107" i="2"/>
  <c r="BM107" i="2"/>
  <c r="Z107" i="2"/>
  <c r="Y107" i="2"/>
  <c r="BP107" i="2" s="1"/>
  <c r="P107" i="2"/>
  <c r="X104" i="2"/>
  <c r="X103" i="2"/>
  <c r="BO102" i="2"/>
  <c r="BM102" i="2"/>
  <c r="Z102" i="2"/>
  <c r="Y102" i="2"/>
  <c r="P102" i="2"/>
  <c r="BO101" i="2"/>
  <c r="BM101" i="2"/>
  <c r="Z101" i="2"/>
  <c r="Y101" i="2"/>
  <c r="BP101" i="2" s="1"/>
  <c r="P101" i="2"/>
  <c r="X98" i="2"/>
  <c r="X97" i="2"/>
  <c r="BO96" i="2"/>
  <c r="BM96" i="2"/>
  <c r="Z96" i="2"/>
  <c r="Y96" i="2"/>
  <c r="BP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BO93" i="2"/>
  <c r="BM93" i="2"/>
  <c r="Z93" i="2"/>
  <c r="Y93" i="2"/>
  <c r="BN93" i="2" s="1"/>
  <c r="P93" i="2"/>
  <c r="BO92" i="2"/>
  <c r="BM92" i="2"/>
  <c r="Z92" i="2"/>
  <c r="Y92" i="2"/>
  <c r="BP92" i="2" s="1"/>
  <c r="P92" i="2"/>
  <c r="BO91" i="2"/>
  <c r="BM91" i="2"/>
  <c r="Z91" i="2"/>
  <c r="Y91" i="2"/>
  <c r="P91" i="2"/>
  <c r="X88" i="2"/>
  <c r="X87" i="2"/>
  <c r="BO86" i="2"/>
  <c r="BM86" i="2"/>
  <c r="Z86" i="2"/>
  <c r="Y86" i="2"/>
  <c r="BN86" i="2" s="1"/>
  <c r="P86" i="2"/>
  <c r="BO85" i="2"/>
  <c r="BM85" i="2"/>
  <c r="Z85" i="2"/>
  <c r="Y85" i="2"/>
  <c r="BP85" i="2" s="1"/>
  <c r="P85" i="2"/>
  <c r="X82" i="2"/>
  <c r="X81" i="2"/>
  <c r="BO80" i="2"/>
  <c r="BM80" i="2"/>
  <c r="Z80" i="2"/>
  <c r="Z81" i="2" s="1"/>
  <c r="Y80" i="2"/>
  <c r="Y82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P74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P68" i="2" s="1"/>
  <c r="P68" i="2"/>
  <c r="BO67" i="2"/>
  <c r="BM67" i="2"/>
  <c r="Z67" i="2"/>
  <c r="Y67" i="2"/>
  <c r="BN67" i="2" s="1"/>
  <c r="P67" i="2"/>
  <c r="BO66" i="2"/>
  <c r="BM66" i="2"/>
  <c r="Z66" i="2"/>
  <c r="Y66" i="2"/>
  <c r="P66" i="2"/>
  <c r="BO65" i="2"/>
  <c r="BM65" i="2"/>
  <c r="Z65" i="2"/>
  <c r="Y65" i="2"/>
  <c r="BP65" i="2" s="1"/>
  <c r="P65" i="2"/>
  <c r="X62" i="2"/>
  <c r="X61" i="2"/>
  <c r="BO60" i="2"/>
  <c r="BM60" i="2"/>
  <c r="Z60" i="2"/>
  <c r="Y60" i="2"/>
  <c r="BN60" i="2" s="1"/>
  <c r="P60" i="2"/>
  <c r="BO59" i="2"/>
  <c r="BM59" i="2"/>
  <c r="Z59" i="2"/>
  <c r="Y59" i="2"/>
  <c r="BP59" i="2" s="1"/>
  <c r="P59" i="2"/>
  <c r="BO58" i="2"/>
  <c r="BM58" i="2"/>
  <c r="Z58" i="2"/>
  <c r="Y58" i="2"/>
  <c r="BP58" i="2" s="1"/>
  <c r="P58" i="2"/>
  <c r="BO57" i="2"/>
  <c r="BM57" i="2"/>
  <c r="Z57" i="2"/>
  <c r="Y57" i="2"/>
  <c r="P57" i="2"/>
  <c r="X54" i="2"/>
  <c r="X53" i="2"/>
  <c r="BO52" i="2"/>
  <c r="BM52" i="2"/>
  <c r="Z52" i="2"/>
  <c r="Y52" i="2"/>
  <c r="BN52" i="2" s="1"/>
  <c r="P52" i="2"/>
  <c r="BO51" i="2"/>
  <c r="BM51" i="2"/>
  <c r="Z51" i="2"/>
  <c r="Y51" i="2"/>
  <c r="P51" i="2"/>
  <c r="X48" i="2"/>
  <c r="X47" i="2"/>
  <c r="BO46" i="2"/>
  <c r="BM46" i="2"/>
  <c r="Z46" i="2"/>
  <c r="Y46" i="2"/>
  <c r="BP46" i="2" s="1"/>
  <c r="P46" i="2"/>
  <c r="BO45" i="2"/>
  <c r="BM45" i="2"/>
  <c r="Z45" i="2"/>
  <c r="Y45" i="2"/>
  <c r="P45" i="2"/>
  <c r="X41" i="2"/>
  <c r="X40" i="2"/>
  <c r="BO39" i="2"/>
  <c r="BM39" i="2"/>
  <c r="Z39" i="2"/>
  <c r="Y39" i="2"/>
  <c r="P39" i="2"/>
  <c r="BO38" i="2"/>
  <c r="BM38" i="2"/>
  <c r="Z38" i="2"/>
  <c r="Y38" i="2"/>
  <c r="P38" i="2"/>
  <c r="X35" i="2"/>
  <c r="X34" i="2"/>
  <c r="BO33" i="2"/>
  <c r="BM33" i="2"/>
  <c r="Z33" i="2"/>
  <c r="Z34" i="2" s="1"/>
  <c r="Y33" i="2"/>
  <c r="Y35" i="2" s="1"/>
  <c r="P33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Z147" i="2" l="1"/>
  <c r="Z159" i="2"/>
  <c r="BN27" i="2"/>
  <c r="BN29" i="2"/>
  <c r="Z47" i="2"/>
  <c r="Z53" i="2"/>
  <c r="Z61" i="2"/>
  <c r="BN59" i="2"/>
  <c r="Z70" i="2"/>
  <c r="BN65" i="2"/>
  <c r="Y70" i="2"/>
  <c r="Y76" i="2"/>
  <c r="Z76" i="2"/>
  <c r="BN75" i="2"/>
  <c r="Z87" i="2"/>
  <c r="BN95" i="2"/>
  <c r="BN101" i="2"/>
  <c r="Y104" i="2"/>
  <c r="BN113" i="2"/>
  <c r="Y128" i="2"/>
  <c r="Z135" i="2"/>
  <c r="Z204" i="2"/>
  <c r="BN200" i="2"/>
  <c r="Y204" i="2"/>
  <c r="Y216" i="2"/>
  <c r="Y222" i="2"/>
  <c r="Y259" i="2"/>
  <c r="BN258" i="2"/>
  <c r="Z277" i="2"/>
  <c r="X279" i="2"/>
  <c r="BN85" i="2"/>
  <c r="Z30" i="2"/>
  <c r="BN22" i="2"/>
  <c r="BN24" i="2"/>
  <c r="Y40" i="2"/>
  <c r="Y98" i="2"/>
  <c r="Y103" i="2"/>
  <c r="Z115" i="2"/>
  <c r="Y142" i="2"/>
  <c r="Z141" i="2"/>
  <c r="Z153" i="2"/>
  <c r="X280" i="2"/>
  <c r="X281" i="2"/>
  <c r="BP26" i="2"/>
  <c r="X283" i="2"/>
  <c r="Z40" i="2"/>
  <c r="BN38" i="2"/>
  <c r="BP38" i="2"/>
  <c r="Y41" i="2"/>
  <c r="Y48" i="2"/>
  <c r="Y53" i="2"/>
  <c r="Y54" i="2"/>
  <c r="Y62" i="2"/>
  <c r="BN58" i="2"/>
  <c r="BP67" i="2"/>
  <c r="BN69" i="2"/>
  <c r="Y88" i="2"/>
  <c r="Z97" i="2"/>
  <c r="BN91" i="2"/>
  <c r="BP91" i="2"/>
  <c r="BN96" i="2"/>
  <c r="Z103" i="2"/>
  <c r="BN102" i="2"/>
  <c r="BP102" i="2"/>
  <c r="BN107" i="2"/>
  <c r="Y116" i="2"/>
  <c r="BP110" i="2"/>
  <c r="BN112" i="2"/>
  <c r="Y124" i="2"/>
  <c r="Y136" i="2"/>
  <c r="BP133" i="2"/>
  <c r="BN138" i="2"/>
  <c r="BP138" i="2"/>
  <c r="BN140" i="2"/>
  <c r="Y141" i="2"/>
  <c r="BP146" i="2"/>
  <c r="Y147" i="2"/>
  <c r="BP158" i="2"/>
  <c r="Y159" i="2"/>
  <c r="BP163" i="2"/>
  <c r="Y165" i="2"/>
  <c r="BP188" i="2"/>
  <c r="Y191" i="2"/>
  <c r="BN194" i="2"/>
  <c r="BP194" i="2"/>
  <c r="Y195" i="2"/>
  <c r="Y205" i="2"/>
  <c r="BN201" i="2"/>
  <c r="BP201" i="2"/>
  <c r="Z215" i="2"/>
  <c r="Z221" i="2"/>
  <c r="BP220" i="2"/>
  <c r="BP237" i="2"/>
  <c r="Z259" i="2"/>
  <c r="Y260" i="2"/>
  <c r="Y278" i="2"/>
  <c r="F10" i="2"/>
  <c r="Y31" i="2"/>
  <c r="Y30" i="2"/>
  <c r="BP52" i="2"/>
  <c r="Y71" i="2"/>
  <c r="Y77" i="2"/>
  <c r="BP93" i="2"/>
  <c r="BP122" i="2"/>
  <c r="Y123" i="2"/>
  <c r="Y148" i="2"/>
  <c r="BP151" i="2"/>
  <c r="BP152" i="2"/>
  <c r="Y153" i="2"/>
  <c r="BP173" i="2"/>
  <c r="Y174" i="2"/>
  <c r="BP179" i="2"/>
  <c r="Y181" i="2"/>
  <c r="Z190" i="2"/>
  <c r="BP203" i="2"/>
  <c r="BP209" i="2"/>
  <c r="Y210" i="2"/>
  <c r="Y211" i="2"/>
  <c r="BP231" i="2"/>
  <c r="Y232" i="2"/>
  <c r="BP247" i="2"/>
  <c r="Y248" i="2"/>
  <c r="BP264" i="2"/>
  <c r="BN219" i="2"/>
  <c r="BN270" i="2"/>
  <c r="BN273" i="2"/>
  <c r="BP45" i="2"/>
  <c r="BN57" i="2"/>
  <c r="BN68" i="2"/>
  <c r="BN94" i="2"/>
  <c r="Y97" i="2"/>
  <c r="BP108" i="2"/>
  <c r="BP118" i="2"/>
  <c r="BP131" i="2"/>
  <c r="Y154" i="2"/>
  <c r="BN168" i="2"/>
  <c r="BN183" i="2"/>
  <c r="BP213" i="2"/>
  <c r="BN225" i="2"/>
  <c r="BN241" i="2"/>
  <c r="BN257" i="2"/>
  <c r="BN262" i="2"/>
  <c r="BN134" i="2"/>
  <c r="Y160" i="2"/>
  <c r="Y175" i="2"/>
  <c r="BN189" i="2"/>
  <c r="BP219" i="2"/>
  <c r="Y233" i="2"/>
  <c r="Y249" i="2"/>
  <c r="Y266" i="2"/>
  <c r="BN276" i="2"/>
  <c r="Y169" i="2"/>
  <c r="Y184" i="2"/>
  <c r="Y226" i="2"/>
  <c r="Y242" i="2"/>
  <c r="BP80" i="2"/>
  <c r="BN92" i="2"/>
  <c r="BN114" i="2"/>
  <c r="BN127" i="2"/>
  <c r="BP139" i="2"/>
  <c r="H9" i="2"/>
  <c r="BP23" i="2"/>
  <c r="BP33" i="2"/>
  <c r="BN46" i="2"/>
  <c r="BP60" i="2"/>
  <c r="BP86" i="2"/>
  <c r="BN109" i="2"/>
  <c r="Y120" i="2"/>
  <c r="BN132" i="2"/>
  <c r="Y135" i="2"/>
  <c r="BP145" i="2"/>
  <c r="BN157" i="2"/>
  <c r="Y190" i="2"/>
  <c r="BP202" i="2"/>
  <c r="BN214" i="2"/>
  <c r="BN268" i="2"/>
  <c r="BN271" i="2"/>
  <c r="Y277" i="2"/>
  <c r="BN25" i="2"/>
  <c r="BP25" i="2"/>
  <c r="BP51" i="2"/>
  <c r="BN74" i="2"/>
  <c r="BN111" i="2"/>
  <c r="BN28" i="2"/>
  <c r="BP57" i="2"/>
  <c r="Y119" i="2"/>
  <c r="F9" i="2"/>
  <c r="BN39" i="2"/>
  <c r="BN66" i="2"/>
  <c r="J9" i="2"/>
  <c r="BP39" i="2"/>
  <c r="BP66" i="2"/>
  <c r="Y81" i="2"/>
  <c r="BP127" i="2"/>
  <c r="BN163" i="2"/>
  <c r="BN179" i="2"/>
  <c r="BN237" i="2"/>
  <c r="BN251" i="2"/>
  <c r="BN263" i="2"/>
  <c r="BN274" i="2"/>
  <c r="BN45" i="2"/>
  <c r="BN213" i="2"/>
  <c r="BN51" i="2"/>
  <c r="BN80" i="2"/>
  <c r="BP168" i="2"/>
  <c r="BP183" i="2"/>
  <c r="BP225" i="2"/>
  <c r="BP241" i="2"/>
  <c r="BP257" i="2"/>
  <c r="BP262" i="2"/>
  <c r="BN33" i="2"/>
  <c r="BP74" i="2"/>
  <c r="BP189" i="2"/>
  <c r="Y34" i="2"/>
  <c r="Y61" i="2"/>
  <c r="Y87" i="2"/>
  <c r="BP268" i="2"/>
  <c r="BP251" i="2"/>
  <c r="BP275" i="2"/>
  <c r="Y47" i="2"/>
  <c r="Y215" i="2"/>
  <c r="Y221" i="2"/>
  <c r="Y238" i="2"/>
  <c r="Y252" i="2"/>
  <c r="BN269" i="2"/>
  <c r="BN272" i="2"/>
  <c r="BN108" i="2"/>
  <c r="BN131" i="2"/>
  <c r="Y115" i="2"/>
  <c r="X282" i="2" l="1"/>
  <c r="Z284" i="2"/>
  <c r="Y280" i="2"/>
  <c r="Y283" i="2"/>
  <c r="Y279" i="2"/>
  <c r="Y281" i="2"/>
  <c r="Y282" i="2" l="1"/>
  <c r="C292" i="2"/>
  <c r="A292" i="2"/>
  <c r="B292" i="2"/>
</calcChain>
</file>

<file path=xl/sharedStrings.xml><?xml version="1.0" encoding="utf-8"?>
<sst xmlns="http://schemas.openxmlformats.org/spreadsheetml/2006/main" count="1733" uniqueCount="415">
  <si>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</si>
  <si>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</si>
  <si>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</si>
  <si>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</si>
  <si>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</si>
  <si>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</si>
  <si>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</si>
  <si>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</si>
  <si>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</si>
  <si>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</si>
  <si>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</si>
  <si>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</si>
  <si>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</si>
  <si>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</si>
  <si>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</si>
  <si>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</si>
  <si>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</si>
  <si>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</si>
  <si>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</si>
  <si>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</si>
  <si>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</si>
  <si>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</si>
  <si>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</si>
  <si>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</si>
  <si>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</si>
  <si>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</si>
  <si>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</si>
  <si>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</si>
  <si>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</si>
  <si>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</si>
  <si>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</si>
  <si>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</si>
  <si>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</si>
  <si>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</si>
  <si>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</si>
  <si>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</si>
  <si>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</si>
  <si>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</si>
  <si>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</si>
  <si>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</si>
  <si>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</si>
  <si>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</si>
  <si>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</si>
  <si>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</si>
  <si>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</si>
  <si>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</si>
  <si>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</si>
  <si>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</si>
  <si>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</si>
  <si>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</si>
  <si>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</si>
  <si>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</si>
  <si>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</si>
  <si>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</si>
  <si>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</si>
  <si>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</si>
  <si>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</si>
  <si>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</si>
  <si>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</si>
  <si>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</si>
  <si>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</si>
  <si>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</si>
  <si>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</si>
  <si>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</si>
  <si>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</si>
  <si>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</si>
  <si>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</si>
  <si>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</si>
  <si>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</si>
  <si>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</si>
  <si>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</si>
  <si>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23.10.2026</t>
  </si>
  <si>
    <t>22.10.2026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</si>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</sst>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45" sqref="AA4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0" t="s">
        <v>26</v>
      </c>
      <c r="E1" s="460"/>
      <c r="F1" s="460"/>
      <c r="G1" s="14" t="s">
        <v>70</v>
      </c>
      <c r="H1" s="460" t="s">
        <v>47</v>
      </c>
      <c r="I1" s="460"/>
      <c r="J1" s="460"/>
      <c r="K1" s="460"/>
      <c r="L1" s="460"/>
      <c r="M1" s="460"/>
      <c r="N1" s="460"/>
      <c r="O1" s="460"/>
      <c r="P1" s="460"/>
      <c r="Q1" s="460"/>
      <c r="R1" s="461" t="s">
        <v>71</v>
      </c>
      <c r="S1" s="462"/>
      <c r="T1" s="46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3"/>
      <c r="R2" s="463"/>
      <c r="S2" s="463"/>
      <c r="T2" s="463"/>
      <c r="U2" s="463"/>
      <c r="V2" s="463"/>
      <c r="W2" s="46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3"/>
      <c r="Q3" s="463"/>
      <c r="R3" s="463"/>
      <c r="S3" s="463"/>
      <c r="T3" s="463"/>
      <c r="U3" s="463"/>
      <c r="V3" s="463"/>
      <c r="W3" s="46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1" t="s">
        <v>8</v>
      </c>
      <c r="B5" s="441"/>
      <c r="C5" s="441"/>
      <c r="D5" s="464"/>
      <c r="E5" s="464"/>
      <c r="F5" s="465" t="s">
        <v>14</v>
      </c>
      <c r="G5" s="465"/>
      <c r="H5" s="464" t="s">
        <v>414</v>
      </c>
      <c r="I5" s="464"/>
      <c r="J5" s="464"/>
      <c r="K5" s="464"/>
      <c r="L5" s="464"/>
      <c r="M5" s="464"/>
      <c r="N5" s="75"/>
      <c r="P5" s="27" t="s">
        <v>4</v>
      </c>
      <c r="Q5" s="466">
        <v>46328</v>
      </c>
      <c r="R5" s="467"/>
      <c r="T5" s="468" t="s">
        <v>3</v>
      </c>
      <c r="U5" s="469"/>
      <c r="V5" s="470" t="s">
        <v>400</v>
      </c>
      <c r="W5" s="471"/>
      <c r="AB5" s="59"/>
      <c r="AC5" s="59"/>
      <c r="AD5" s="59"/>
      <c r="AE5" s="59"/>
    </row>
    <row r="6" spans="1:32" s="17" customFormat="1" ht="24" customHeight="1" x14ac:dyDescent="0.2">
      <c r="A6" s="441" t="s">
        <v>1</v>
      </c>
      <c r="B6" s="441"/>
      <c r="C6" s="441"/>
      <c r="D6" s="442" t="s">
        <v>79</v>
      </c>
      <c r="E6" s="442"/>
      <c r="F6" s="442"/>
      <c r="G6" s="442"/>
      <c r="H6" s="442"/>
      <c r="I6" s="442"/>
      <c r="J6" s="442"/>
      <c r="K6" s="442"/>
      <c r="L6" s="442"/>
      <c r="M6" s="442"/>
      <c r="N6" s="76"/>
      <c r="P6" s="27" t="s">
        <v>27</v>
      </c>
      <c r="Q6" s="443" t="str">
        <f>IF(Q5=0," ",CHOOSE(WEEKDAY(Q5,2),"Понедельник","Вторник","Среда","Четверг","Пятница","Суббота","Воскресенье"))</f>
        <v>Понедельник</v>
      </c>
      <c r="R6" s="443"/>
      <c r="T6" s="444" t="s">
        <v>5</v>
      </c>
      <c r="U6" s="445"/>
      <c r="V6" s="446" t="s">
        <v>73</v>
      </c>
      <c r="W6" s="44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2" t="str">
        <f>IFERROR(VLOOKUP(DeliveryAddress,Table,3,0),1)</f>
        <v>1</v>
      </c>
      <c r="E7" s="453"/>
      <c r="F7" s="453"/>
      <c r="G7" s="453"/>
      <c r="H7" s="453"/>
      <c r="I7" s="453"/>
      <c r="J7" s="453"/>
      <c r="K7" s="453"/>
      <c r="L7" s="453"/>
      <c r="M7" s="454"/>
      <c r="N7" s="77"/>
      <c r="P7" s="29"/>
      <c r="Q7" s="48"/>
      <c r="R7" s="48"/>
      <c r="T7" s="444"/>
      <c r="U7" s="445"/>
      <c r="V7" s="448"/>
      <c r="W7" s="449"/>
      <c r="AB7" s="59"/>
      <c r="AC7" s="59"/>
      <c r="AD7" s="59"/>
      <c r="AE7" s="59"/>
    </row>
    <row r="8" spans="1:32" s="17" customFormat="1" ht="25.5" customHeight="1" x14ac:dyDescent="0.2">
      <c r="A8" s="455" t="s">
        <v>58</v>
      </c>
      <c r="B8" s="455"/>
      <c r="C8" s="455"/>
      <c r="D8" s="456" t="s">
        <v>80</v>
      </c>
      <c r="E8" s="456"/>
      <c r="F8" s="456"/>
      <c r="G8" s="456"/>
      <c r="H8" s="456"/>
      <c r="I8" s="456"/>
      <c r="J8" s="456"/>
      <c r="K8" s="456"/>
      <c r="L8" s="456"/>
      <c r="M8" s="456"/>
      <c r="N8" s="78"/>
      <c r="P8" s="27" t="s">
        <v>11</v>
      </c>
      <c r="Q8" s="439">
        <v>0.41666666666666669</v>
      </c>
      <c r="R8" s="457"/>
      <c r="T8" s="444"/>
      <c r="U8" s="445"/>
      <c r="V8" s="448"/>
      <c r="W8" s="449"/>
      <c r="AB8" s="59"/>
      <c r="AC8" s="59"/>
      <c r="AD8" s="59"/>
      <c r="AE8" s="59"/>
    </row>
    <row r="9" spans="1:32" s="1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1"/>
      <c r="C9" s="431"/>
      <c r="D9" s="432" t="s">
        <v>46</v>
      </c>
      <c r="E9" s="43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1"/>
      <c r="H9" s="458" t="str">
        <f>IF(AND($A$9="Тип доверенности/получателя при получении в адресе перегруза:",$D$9="Разовая доверенность"),"Введите ФИО","")</f>
        <v/>
      </c>
      <c r="I9" s="458"/>
      <c r="J9" s="4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8"/>
      <c r="L9" s="458"/>
      <c r="M9" s="458"/>
      <c r="N9" s="73"/>
      <c r="P9" s="31" t="s">
        <v>15</v>
      </c>
      <c r="Q9" s="459"/>
      <c r="R9" s="459"/>
      <c r="T9" s="444"/>
      <c r="U9" s="445"/>
      <c r="V9" s="450"/>
      <c r="W9" s="45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1"/>
      <c r="C10" s="431"/>
      <c r="D10" s="432"/>
      <c r="E10" s="43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1"/>
      <c r="H10" s="434" t="str">
        <f>IFERROR(VLOOKUP($D$10,Proxy,2,FALSE),"")</f>
        <v/>
      </c>
      <c r="I10" s="434"/>
      <c r="J10" s="434"/>
      <c r="K10" s="434"/>
      <c r="L10" s="434"/>
      <c r="M10" s="434"/>
      <c r="N10" s="74"/>
      <c r="P10" s="31" t="s">
        <v>32</v>
      </c>
      <c r="Q10" s="435"/>
      <c r="R10" s="435"/>
      <c r="U10" s="29" t="s">
        <v>12</v>
      </c>
      <c r="V10" s="436" t="s">
        <v>74</v>
      </c>
      <c r="W10" s="4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8"/>
      <c r="R11" s="438"/>
      <c r="U11" s="29" t="s">
        <v>28</v>
      </c>
      <c r="V11" s="417" t="s">
        <v>55</v>
      </c>
      <c r="W11" s="4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6" t="s">
        <v>75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79"/>
      <c r="P12" s="27" t="s">
        <v>30</v>
      </c>
      <c r="Q12" s="439"/>
      <c r="R12" s="439"/>
      <c r="S12" s="28"/>
      <c r="T12"/>
      <c r="U12" s="29" t="s">
        <v>46</v>
      </c>
      <c r="V12" s="440"/>
      <c r="W12" s="440"/>
      <c r="X12"/>
      <c r="AB12" s="59"/>
      <c r="AC12" s="59"/>
      <c r="AD12" s="59"/>
      <c r="AE12" s="59"/>
    </row>
    <row r="13" spans="1:32" s="17" customFormat="1" ht="23.25" customHeight="1" x14ac:dyDescent="0.2">
      <c r="A13" s="416" t="s">
        <v>76</v>
      </c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79"/>
      <c r="O13" s="31"/>
      <c r="P13" s="31" t="s">
        <v>31</v>
      </c>
      <c r="Q13" s="417"/>
      <c r="R13" s="4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6" t="s">
        <v>77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8" t="s">
        <v>78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80"/>
      <c r="O15"/>
      <c r="P15" s="419" t="s">
        <v>61</v>
      </c>
      <c r="Q15" s="419"/>
      <c r="R15" s="419"/>
      <c r="S15" s="419"/>
      <c r="T15" s="4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0"/>
      <c r="Q16" s="420"/>
      <c r="R16" s="420"/>
      <c r="S16" s="420"/>
      <c r="T16" s="4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2" t="s">
        <v>59</v>
      </c>
      <c r="B17" s="402" t="s">
        <v>49</v>
      </c>
      <c r="C17" s="423" t="s">
        <v>48</v>
      </c>
      <c r="D17" s="425" t="s">
        <v>50</v>
      </c>
      <c r="E17" s="426"/>
      <c r="F17" s="402" t="s">
        <v>21</v>
      </c>
      <c r="G17" s="402" t="s">
        <v>24</v>
      </c>
      <c r="H17" s="402" t="s">
        <v>22</v>
      </c>
      <c r="I17" s="402" t="s">
        <v>23</v>
      </c>
      <c r="J17" s="402" t="s">
        <v>16</v>
      </c>
      <c r="K17" s="402" t="s">
        <v>69</v>
      </c>
      <c r="L17" s="402" t="s">
        <v>67</v>
      </c>
      <c r="M17" s="402" t="s">
        <v>2</v>
      </c>
      <c r="N17" s="402" t="s">
        <v>66</v>
      </c>
      <c r="O17" s="402" t="s">
        <v>25</v>
      </c>
      <c r="P17" s="425" t="s">
        <v>17</v>
      </c>
      <c r="Q17" s="429"/>
      <c r="R17" s="429"/>
      <c r="S17" s="429"/>
      <c r="T17" s="426"/>
      <c r="U17" s="421" t="s">
        <v>56</v>
      </c>
      <c r="V17" s="422"/>
      <c r="W17" s="402" t="s">
        <v>6</v>
      </c>
      <c r="X17" s="402" t="s">
        <v>41</v>
      </c>
      <c r="Y17" s="404" t="s">
        <v>54</v>
      </c>
      <c r="Z17" s="406" t="s">
        <v>18</v>
      </c>
      <c r="AA17" s="408" t="s">
        <v>60</v>
      </c>
      <c r="AB17" s="408" t="s">
        <v>19</v>
      </c>
      <c r="AC17" s="408" t="s">
        <v>68</v>
      </c>
      <c r="AD17" s="410" t="s">
        <v>57</v>
      </c>
      <c r="AE17" s="411"/>
      <c r="AF17" s="412"/>
      <c r="AG17" s="85"/>
      <c r="BD17" s="84" t="s">
        <v>64</v>
      </c>
    </row>
    <row r="18" spans="1:68" ht="14.25" customHeight="1" x14ac:dyDescent="0.2">
      <c r="A18" s="403"/>
      <c r="B18" s="403"/>
      <c r="C18" s="424"/>
      <c r="D18" s="427"/>
      <c r="E18" s="428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27"/>
      <c r="Q18" s="430"/>
      <c r="R18" s="430"/>
      <c r="S18" s="430"/>
      <c r="T18" s="428"/>
      <c r="U18" s="86" t="s">
        <v>44</v>
      </c>
      <c r="V18" s="86" t="s">
        <v>43</v>
      </c>
      <c r="W18" s="403"/>
      <c r="X18" s="403"/>
      <c r="Y18" s="405"/>
      <c r="Z18" s="407"/>
      <c r="AA18" s="409"/>
      <c r="AB18" s="409"/>
      <c r="AC18" s="409"/>
      <c r="AD18" s="413"/>
      <c r="AE18" s="414"/>
      <c r="AF18" s="415"/>
      <c r="AG18" s="85"/>
      <c r="BD18" s="84"/>
    </row>
    <row r="19" spans="1:68" ht="27.75" hidden="1" customHeight="1" x14ac:dyDescent="0.2">
      <c r="A19" s="316" t="s">
        <v>81</v>
      </c>
      <c r="B19" s="316"/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54"/>
      <c r="AB19" s="54"/>
      <c r="AC19" s="54"/>
    </row>
    <row r="20" spans="1:68" ht="16.5" hidden="1" customHeight="1" x14ac:dyDescent="0.25">
      <c r="A20" s="317" t="s">
        <v>81</v>
      </c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65"/>
      <c r="AB20" s="65"/>
      <c r="AC20" s="82"/>
    </row>
    <row r="21" spans="1:68" ht="14.25" hidden="1" customHeight="1" x14ac:dyDescent="0.25">
      <c r="A21" s="309" t="s">
        <v>82</v>
      </c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289">
        <v>4620207491508</v>
      </c>
      <c r="E22" s="289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9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1"/>
      <c r="R22" s="291"/>
      <c r="S22" s="291"/>
      <c r="T22" s="29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289">
        <v>4620207491256</v>
      </c>
      <c r="E23" s="289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9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1"/>
      <c r="R23" s="291"/>
      <c r="S23" s="291"/>
      <c r="T23" s="29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289">
        <v>4620207491713</v>
      </c>
      <c r="E24" s="289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1"/>
      <c r="R24" s="291"/>
      <c r="S24" s="291"/>
      <c r="T24" s="29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289">
        <v>4620207491720</v>
      </c>
      <c r="E25" s="289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0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1"/>
      <c r="R25" s="291"/>
      <c r="S25" s="291"/>
      <c r="T25" s="29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289">
        <v>4607111035912</v>
      </c>
      <c r="E26" s="289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1"/>
      <c r="R26" s="291"/>
      <c r="S26" s="291"/>
      <c r="T26" s="29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289">
        <v>4607111035929</v>
      </c>
      <c r="E27" s="28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9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1"/>
      <c r="R27" s="291"/>
      <c r="S27" s="291"/>
      <c r="T27" s="29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289">
        <v>4607111035882</v>
      </c>
      <c r="E28" s="289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9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1"/>
      <c r="R28" s="291"/>
      <c r="S28" s="291"/>
      <c r="T28" s="292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289">
        <v>4607111035905</v>
      </c>
      <c r="E29" s="289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9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1"/>
      <c r="R29" s="291"/>
      <c r="S29" s="291"/>
      <c r="T29" s="292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297"/>
      <c r="B30" s="297"/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8"/>
      <c r="P30" s="294" t="s">
        <v>40</v>
      </c>
      <c r="Q30" s="295"/>
      <c r="R30" s="295"/>
      <c r="S30" s="295"/>
      <c r="T30" s="295"/>
      <c r="U30" s="295"/>
      <c r="V30" s="296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297"/>
      <c r="B31" s="297"/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8"/>
      <c r="P31" s="294" t="s">
        <v>40</v>
      </c>
      <c r="Q31" s="295"/>
      <c r="R31" s="295"/>
      <c r="S31" s="295"/>
      <c r="T31" s="295"/>
      <c r="U31" s="295"/>
      <c r="V31" s="296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4.25" hidden="1" customHeight="1" x14ac:dyDescent="0.25">
      <c r="A32" s="309" t="s">
        <v>106</v>
      </c>
      <c r="B32" s="309"/>
      <c r="C32" s="309"/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  <c r="AA32" s="66"/>
      <c r="AB32" s="66"/>
      <c r="AC32" s="83"/>
    </row>
    <row r="33" spans="1:68" ht="37.5" hidden="1" customHeight="1" x14ac:dyDescent="0.25">
      <c r="A33" s="63" t="s">
        <v>107</v>
      </c>
      <c r="B33" s="63" t="s">
        <v>108</v>
      </c>
      <c r="C33" s="36">
        <v>4301080162</v>
      </c>
      <c r="D33" s="289">
        <v>4620207492178</v>
      </c>
      <c r="E33" s="289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92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91"/>
      <c r="R33" s="291"/>
      <c r="S33" s="291"/>
      <c r="T33" s="292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110</v>
      </c>
      <c r="AC33" s="105" t="s">
        <v>109</v>
      </c>
      <c r="AG33" s="81"/>
      <c r="AJ33" s="87" t="s">
        <v>89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hidden="1" x14ac:dyDescent="0.2">
      <c r="A34" s="297"/>
      <c r="B34" s="297"/>
      <c r="C34" s="297"/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8"/>
      <c r="P34" s="294" t="s">
        <v>40</v>
      </c>
      <c r="Q34" s="295"/>
      <c r="R34" s="295"/>
      <c r="S34" s="295"/>
      <c r="T34" s="295"/>
      <c r="U34" s="295"/>
      <c r="V34" s="296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hidden="1" x14ac:dyDescent="0.2">
      <c r="A35" s="297"/>
      <c r="B35" s="297"/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8"/>
      <c r="P35" s="294" t="s">
        <v>40</v>
      </c>
      <c r="Q35" s="295"/>
      <c r="R35" s="295"/>
      <c r="S35" s="295"/>
      <c r="T35" s="295"/>
      <c r="U35" s="295"/>
      <c r="V35" s="296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hidden="1" customHeight="1" x14ac:dyDescent="0.25">
      <c r="A36" s="317" t="s">
        <v>111</v>
      </c>
      <c r="B36" s="317"/>
      <c r="C36" s="317"/>
      <c r="D36" s="317"/>
      <c r="E36" s="317"/>
      <c r="F36" s="317"/>
      <c r="G36" s="317"/>
      <c r="H36" s="317"/>
      <c r="I36" s="317"/>
      <c r="J36" s="317"/>
      <c r="K36" s="317"/>
      <c r="L36" s="317"/>
      <c r="M36" s="317"/>
      <c r="N36" s="317"/>
      <c r="O36" s="317"/>
      <c r="P36" s="317"/>
      <c r="Q36" s="317"/>
      <c r="R36" s="317"/>
      <c r="S36" s="317"/>
      <c r="T36" s="317"/>
      <c r="U36" s="317"/>
      <c r="V36" s="317"/>
      <c r="W36" s="317"/>
      <c r="X36" s="317"/>
      <c r="Y36" s="317"/>
      <c r="Z36" s="317"/>
      <c r="AA36" s="65"/>
      <c r="AB36" s="65"/>
      <c r="AC36" s="82"/>
    </row>
    <row r="37" spans="1:68" ht="14.25" hidden="1" customHeight="1" x14ac:dyDescent="0.25">
      <c r="A37" s="309" t="s">
        <v>82</v>
      </c>
      <c r="B37" s="309"/>
      <c r="C37" s="309"/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  <c r="AA37" s="66"/>
      <c r="AB37" s="66"/>
      <c r="AC37" s="83"/>
    </row>
    <row r="38" spans="1:68" ht="16.5" hidden="1" customHeight="1" x14ac:dyDescent="0.25">
      <c r="A38" s="63" t="s">
        <v>112</v>
      </c>
      <c r="B38" s="63" t="s">
        <v>113</v>
      </c>
      <c r="C38" s="36">
        <v>4301071099</v>
      </c>
      <c r="D38" s="289">
        <v>4607111039019</v>
      </c>
      <c r="E38" s="289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87</v>
      </c>
      <c r="L38" s="37" t="s">
        <v>88</v>
      </c>
      <c r="M38" s="38" t="s">
        <v>86</v>
      </c>
      <c r="N38" s="38"/>
      <c r="O38" s="37">
        <v>180</v>
      </c>
      <c r="P38" s="39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91"/>
      <c r="R38" s="291"/>
      <c r="S38" s="291"/>
      <c r="T38" s="292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114</v>
      </c>
      <c r="AG38" s="81"/>
      <c r="AJ38" s="87" t="s">
        <v>89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hidden="1" customHeight="1" x14ac:dyDescent="0.25">
      <c r="A39" s="63" t="s">
        <v>115</v>
      </c>
      <c r="B39" s="63" t="s">
        <v>116</v>
      </c>
      <c r="C39" s="36">
        <v>4301071100</v>
      </c>
      <c r="D39" s="289">
        <v>4607111038708</v>
      </c>
      <c r="E39" s="289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87</v>
      </c>
      <c r="L39" s="37" t="s">
        <v>88</v>
      </c>
      <c r="M39" s="38" t="s">
        <v>86</v>
      </c>
      <c r="N39" s="38"/>
      <c r="O39" s="37">
        <v>180</v>
      </c>
      <c r="P39" s="39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91"/>
      <c r="R39" s="291"/>
      <c r="S39" s="291"/>
      <c r="T39" s="292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114</v>
      </c>
      <c r="AG39" s="81"/>
      <c r="AJ39" s="87" t="s">
        <v>89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idden="1" x14ac:dyDescent="0.2">
      <c r="A40" s="297"/>
      <c r="B40" s="297"/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8"/>
      <c r="P40" s="294" t="s">
        <v>40</v>
      </c>
      <c r="Q40" s="295"/>
      <c r="R40" s="295"/>
      <c r="S40" s="295"/>
      <c r="T40" s="295"/>
      <c r="U40" s="295"/>
      <c r="V40" s="296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hidden="1" x14ac:dyDescent="0.2">
      <c r="A41" s="297"/>
      <c r="B41" s="297"/>
      <c r="C41" s="297"/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8"/>
      <c r="P41" s="294" t="s">
        <v>40</v>
      </c>
      <c r="Q41" s="295"/>
      <c r="R41" s="295"/>
      <c r="S41" s="295"/>
      <c r="T41" s="295"/>
      <c r="U41" s="295"/>
      <c r="V41" s="296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hidden="1" customHeight="1" x14ac:dyDescent="0.2">
      <c r="A42" s="316" t="s">
        <v>45</v>
      </c>
      <c r="B42" s="316"/>
      <c r="C42" s="316"/>
      <c r="D42" s="316"/>
      <c r="E42" s="316"/>
      <c r="F42" s="316"/>
      <c r="G42" s="316"/>
      <c r="H42" s="316"/>
      <c r="I42" s="316"/>
      <c r="J42" s="316"/>
      <c r="K42" s="316"/>
      <c r="L42" s="316"/>
      <c r="M42" s="316"/>
      <c r="N42" s="316"/>
      <c r="O42" s="316"/>
      <c r="P42" s="316"/>
      <c r="Q42" s="316"/>
      <c r="R42" s="316"/>
      <c r="S42" s="316"/>
      <c r="T42" s="316"/>
      <c r="U42" s="316"/>
      <c r="V42" s="316"/>
      <c r="W42" s="316"/>
      <c r="X42" s="316"/>
      <c r="Y42" s="316"/>
      <c r="Z42" s="316"/>
      <c r="AA42" s="54"/>
      <c r="AB42" s="54"/>
      <c r="AC42" s="54"/>
    </row>
    <row r="43" spans="1:68" ht="16.5" hidden="1" customHeight="1" x14ac:dyDescent="0.25">
      <c r="A43" s="317" t="s">
        <v>117</v>
      </c>
      <c r="B43" s="317"/>
      <c r="C43" s="317"/>
      <c r="D43" s="317"/>
      <c r="E43" s="317"/>
      <c r="F43" s="317"/>
      <c r="G43" s="317"/>
      <c r="H43" s="317"/>
      <c r="I43" s="317"/>
      <c r="J43" s="317"/>
      <c r="K43" s="317"/>
      <c r="L43" s="317"/>
      <c r="M43" s="317"/>
      <c r="N43" s="317"/>
      <c r="O43" s="317"/>
      <c r="P43" s="317"/>
      <c r="Q43" s="317"/>
      <c r="R43" s="317"/>
      <c r="S43" s="317"/>
      <c r="T43" s="317"/>
      <c r="U43" s="317"/>
      <c r="V43" s="317"/>
      <c r="W43" s="317"/>
      <c r="X43" s="317"/>
      <c r="Y43" s="317"/>
      <c r="Z43" s="317"/>
      <c r="AA43" s="65"/>
      <c r="AB43" s="65"/>
      <c r="AC43" s="82"/>
    </row>
    <row r="44" spans="1:68" ht="14.25" hidden="1" customHeight="1" x14ac:dyDescent="0.25">
      <c r="A44" s="309" t="s">
        <v>118</v>
      </c>
      <c r="B44" s="309"/>
      <c r="C44" s="309"/>
      <c r="D44" s="309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  <c r="AA44" s="66"/>
      <c r="AB44" s="66"/>
      <c r="AC44" s="83"/>
    </row>
    <row r="45" spans="1:68" ht="27" customHeight="1" x14ac:dyDescent="0.25">
      <c r="A45" s="63" t="s">
        <v>119</v>
      </c>
      <c r="B45" s="63" t="s">
        <v>120</v>
      </c>
      <c r="C45" s="36">
        <v>4301132190</v>
      </c>
      <c r="D45" s="289">
        <v>4607111036537</v>
      </c>
      <c r="E45" s="289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123</v>
      </c>
      <c r="L45" s="37" t="s">
        <v>124</v>
      </c>
      <c r="M45" s="38" t="s">
        <v>86</v>
      </c>
      <c r="N45" s="38"/>
      <c r="O45" s="37">
        <v>365</v>
      </c>
      <c r="P45" s="3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91"/>
      <c r="R45" s="291"/>
      <c r="S45" s="291"/>
      <c r="T45" s="292"/>
      <c r="U45" s="39" t="s">
        <v>46</v>
      </c>
      <c r="V45" s="39" t="s">
        <v>46</v>
      </c>
      <c r="W45" s="40" t="s">
        <v>39</v>
      </c>
      <c r="X45" s="58">
        <v>126</v>
      </c>
      <c r="Y45" s="55">
        <f>IFERROR(IF(X45="","",X45),"")</f>
        <v>126</v>
      </c>
      <c r="Z45" s="41">
        <f>IFERROR(IF(X45="","",X45*0.00941),"")</f>
        <v>1.1856599999999999</v>
      </c>
      <c r="AA45" s="68" t="s">
        <v>46</v>
      </c>
      <c r="AB45" s="69" t="s">
        <v>46</v>
      </c>
      <c r="AC45" s="111" t="s">
        <v>121</v>
      </c>
      <c r="AG45" s="81"/>
      <c r="AJ45" s="87" t="s">
        <v>125</v>
      </c>
      <c r="AK45" s="87">
        <v>14</v>
      </c>
      <c r="BB45" s="112" t="s">
        <v>122</v>
      </c>
      <c r="BM45" s="81">
        <f>IFERROR(X45*I45,"0")</f>
        <v>242.14679999999998</v>
      </c>
      <c r="BN45" s="81">
        <f>IFERROR(Y45*I45,"0")</f>
        <v>242.14679999999998</v>
      </c>
      <c r="BO45" s="81">
        <f>IFERROR(X45/J45,"0")</f>
        <v>0.9</v>
      </c>
      <c r="BP45" s="81">
        <f>IFERROR(Y45/J45,"0")</f>
        <v>0.9</v>
      </c>
    </row>
    <row r="46" spans="1:68" ht="27" customHeight="1" x14ac:dyDescent="0.25">
      <c r="A46" s="63" t="s">
        <v>126</v>
      </c>
      <c r="B46" s="63" t="s">
        <v>127</v>
      </c>
      <c r="C46" s="36">
        <v>4301132188</v>
      </c>
      <c r="D46" s="289">
        <v>4607111036605</v>
      </c>
      <c r="E46" s="289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123</v>
      </c>
      <c r="L46" s="37" t="s">
        <v>124</v>
      </c>
      <c r="M46" s="38" t="s">
        <v>86</v>
      </c>
      <c r="N46" s="38"/>
      <c r="O46" s="37">
        <v>365</v>
      </c>
      <c r="P46" s="38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91"/>
      <c r="R46" s="291"/>
      <c r="S46" s="291"/>
      <c r="T46" s="292"/>
      <c r="U46" s="39" t="s">
        <v>46</v>
      </c>
      <c r="V46" s="39" t="s">
        <v>46</v>
      </c>
      <c r="W46" s="40" t="s">
        <v>39</v>
      </c>
      <c r="X46" s="58">
        <v>126</v>
      </c>
      <c r="Y46" s="55">
        <f>IFERROR(IF(X46="","",X46),"")</f>
        <v>126</v>
      </c>
      <c r="Z46" s="41">
        <f>IFERROR(IF(X46="","",X46*0.00941),"")</f>
        <v>1.1856599999999999</v>
      </c>
      <c r="AA46" s="68" t="s">
        <v>46</v>
      </c>
      <c r="AB46" s="69" t="s">
        <v>46</v>
      </c>
      <c r="AC46" s="113" t="s">
        <v>121</v>
      </c>
      <c r="AG46" s="81"/>
      <c r="AJ46" s="87" t="s">
        <v>125</v>
      </c>
      <c r="AK46" s="87">
        <v>14</v>
      </c>
      <c r="BB46" s="114" t="s">
        <v>122</v>
      </c>
      <c r="BM46" s="81">
        <f>IFERROR(X46*I46,"0")</f>
        <v>242.14679999999998</v>
      </c>
      <c r="BN46" s="81">
        <f>IFERROR(Y46*I46,"0")</f>
        <v>242.14679999999998</v>
      </c>
      <c r="BO46" s="81">
        <f>IFERROR(X46/J46,"0")</f>
        <v>0.9</v>
      </c>
      <c r="BP46" s="81">
        <f>IFERROR(Y46/J46,"0")</f>
        <v>0.9</v>
      </c>
    </row>
    <row r="47" spans="1:68" x14ac:dyDescent="0.2">
      <c r="A47" s="297"/>
      <c r="B47" s="297"/>
      <c r="C47" s="297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8"/>
      <c r="P47" s="294" t="s">
        <v>40</v>
      </c>
      <c r="Q47" s="295"/>
      <c r="R47" s="295"/>
      <c r="S47" s="295"/>
      <c r="T47" s="295"/>
      <c r="U47" s="295"/>
      <c r="V47" s="296"/>
      <c r="W47" s="42" t="s">
        <v>39</v>
      </c>
      <c r="X47" s="43">
        <f>IFERROR(SUM(X45:X46),"0")</f>
        <v>252</v>
      </c>
      <c r="Y47" s="43">
        <f>IFERROR(SUM(Y45:Y46),"0")</f>
        <v>252</v>
      </c>
      <c r="Z47" s="43">
        <f>IFERROR(IF(Z45="",0,Z45),"0")+IFERROR(IF(Z46="",0,Z46),"0")</f>
        <v>2.3713199999999999</v>
      </c>
      <c r="AA47" s="67"/>
      <c r="AB47" s="67"/>
      <c r="AC47" s="67"/>
    </row>
    <row r="48" spans="1:68" x14ac:dyDescent="0.2">
      <c r="A48" s="297"/>
      <c r="B48" s="297"/>
      <c r="C48" s="297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8"/>
      <c r="P48" s="294" t="s">
        <v>40</v>
      </c>
      <c r="Q48" s="295"/>
      <c r="R48" s="295"/>
      <c r="S48" s="295"/>
      <c r="T48" s="295"/>
      <c r="U48" s="295"/>
      <c r="V48" s="296"/>
      <c r="W48" s="42" t="s">
        <v>0</v>
      </c>
      <c r="X48" s="43">
        <f>IFERROR(SUMPRODUCT(X45:X46*H45:H46),"0")</f>
        <v>378</v>
      </c>
      <c r="Y48" s="43">
        <f>IFERROR(SUMPRODUCT(Y45:Y46*H45:H46),"0")</f>
        <v>378</v>
      </c>
      <c r="Z48" s="42"/>
      <c r="AA48" s="67"/>
      <c r="AB48" s="67"/>
      <c r="AC48" s="67"/>
    </row>
    <row r="49" spans="1:68" ht="16.5" hidden="1" customHeight="1" x14ac:dyDescent="0.25">
      <c r="A49" s="317" t="s">
        <v>128</v>
      </c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M49" s="317"/>
      <c r="N49" s="317"/>
      <c r="O49" s="317"/>
      <c r="P49" s="317"/>
      <c r="Q49" s="317"/>
      <c r="R49" s="317"/>
      <c r="S49" s="317"/>
      <c r="T49" s="317"/>
      <c r="U49" s="317"/>
      <c r="V49" s="317"/>
      <c r="W49" s="317"/>
      <c r="X49" s="317"/>
      <c r="Y49" s="317"/>
      <c r="Z49" s="317"/>
      <c r="AA49" s="65"/>
      <c r="AB49" s="65"/>
      <c r="AC49" s="82"/>
    </row>
    <row r="50" spans="1:68" ht="14.25" hidden="1" customHeight="1" x14ac:dyDescent="0.25">
      <c r="A50" s="309" t="s">
        <v>82</v>
      </c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309"/>
      <c r="W50" s="309"/>
      <c r="X50" s="309"/>
      <c r="Y50" s="309"/>
      <c r="Z50" s="309"/>
      <c r="AA50" s="66"/>
      <c r="AB50" s="66"/>
      <c r="AC50" s="83"/>
    </row>
    <row r="51" spans="1:68" ht="27" customHeight="1" x14ac:dyDescent="0.25">
      <c r="A51" s="63" t="s">
        <v>129</v>
      </c>
      <c r="B51" s="63" t="s">
        <v>130</v>
      </c>
      <c r="C51" s="36">
        <v>4301071090</v>
      </c>
      <c r="D51" s="289">
        <v>4620207490075</v>
      </c>
      <c r="E51" s="289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87</v>
      </c>
      <c r="L51" s="37" t="s">
        <v>124</v>
      </c>
      <c r="M51" s="38" t="s">
        <v>86</v>
      </c>
      <c r="N51" s="38"/>
      <c r="O51" s="37">
        <v>180</v>
      </c>
      <c r="P51" s="38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91"/>
      <c r="R51" s="291"/>
      <c r="S51" s="291"/>
      <c r="T51" s="292"/>
      <c r="U51" s="39" t="s">
        <v>46</v>
      </c>
      <c r="V51" s="39" t="s">
        <v>46</v>
      </c>
      <c r="W51" s="40" t="s">
        <v>39</v>
      </c>
      <c r="X51" s="58">
        <v>36</v>
      </c>
      <c r="Y51" s="55">
        <f>IFERROR(IF(X51="","",X51),"")</f>
        <v>36</v>
      </c>
      <c r="Z51" s="41">
        <f>IFERROR(IF(X51="","",X51*0.0155),"")</f>
        <v>0.55800000000000005</v>
      </c>
      <c r="AA51" s="68" t="s">
        <v>46</v>
      </c>
      <c r="AB51" s="69" t="s">
        <v>46</v>
      </c>
      <c r="AC51" s="115" t="s">
        <v>131</v>
      </c>
      <c r="AG51" s="81"/>
      <c r="AJ51" s="87" t="s">
        <v>125</v>
      </c>
      <c r="AK51" s="87">
        <v>12</v>
      </c>
      <c r="BB51" s="116" t="s">
        <v>70</v>
      </c>
      <c r="BM51" s="81">
        <f>IFERROR(X51*I51,"0")</f>
        <v>211.32</v>
      </c>
      <c r="BN51" s="81">
        <f>IFERROR(Y51*I51,"0")</f>
        <v>211.32</v>
      </c>
      <c r="BO51" s="81">
        <f>IFERROR(X51/J51,"0")</f>
        <v>0.42857142857142855</v>
      </c>
      <c r="BP51" s="81">
        <f>IFERROR(Y51/J51,"0")</f>
        <v>0.42857142857142855</v>
      </c>
    </row>
    <row r="52" spans="1:68" ht="27" customHeight="1" x14ac:dyDescent="0.25">
      <c r="A52" s="63" t="s">
        <v>132</v>
      </c>
      <c r="B52" s="63" t="s">
        <v>133</v>
      </c>
      <c r="C52" s="36">
        <v>4301071092</v>
      </c>
      <c r="D52" s="289">
        <v>4620207490174</v>
      </c>
      <c r="E52" s="289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87</v>
      </c>
      <c r="L52" s="37" t="s">
        <v>88</v>
      </c>
      <c r="M52" s="38" t="s">
        <v>86</v>
      </c>
      <c r="N52" s="38"/>
      <c r="O52" s="37">
        <v>180</v>
      </c>
      <c r="P52" s="38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91"/>
      <c r="R52" s="291"/>
      <c r="S52" s="291"/>
      <c r="T52" s="292"/>
      <c r="U52" s="39" t="s">
        <v>46</v>
      </c>
      <c r="V52" s="39" t="s">
        <v>46</v>
      </c>
      <c r="W52" s="40" t="s">
        <v>39</v>
      </c>
      <c r="X52" s="58">
        <v>32</v>
      </c>
      <c r="Y52" s="55">
        <f>IFERROR(IF(X52="","",X52),"")</f>
        <v>32</v>
      </c>
      <c r="Z52" s="41">
        <f>IFERROR(IF(X52="","",X52*0.0155),"")</f>
        <v>0.496</v>
      </c>
      <c r="AA52" s="68" t="s">
        <v>46</v>
      </c>
      <c r="AB52" s="69" t="s">
        <v>46</v>
      </c>
      <c r="AC52" s="117" t="s">
        <v>134</v>
      </c>
      <c r="AG52" s="81"/>
      <c r="AJ52" s="87" t="s">
        <v>89</v>
      </c>
      <c r="AK52" s="87">
        <v>1</v>
      </c>
      <c r="BB52" s="118" t="s">
        <v>70</v>
      </c>
      <c r="BM52" s="81">
        <f>IFERROR(X52*I52,"0")</f>
        <v>187.84</v>
      </c>
      <c r="BN52" s="81">
        <f>IFERROR(Y52*I52,"0")</f>
        <v>187.84</v>
      </c>
      <c r="BO52" s="81">
        <f>IFERROR(X52/J52,"0")</f>
        <v>0.38095238095238093</v>
      </c>
      <c r="BP52" s="81">
        <f>IFERROR(Y52/J52,"0")</f>
        <v>0.38095238095238093</v>
      </c>
    </row>
    <row r="53" spans="1:68" x14ac:dyDescent="0.2">
      <c r="A53" s="297"/>
      <c r="B53" s="297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8"/>
      <c r="P53" s="294" t="s">
        <v>40</v>
      </c>
      <c r="Q53" s="295"/>
      <c r="R53" s="295"/>
      <c r="S53" s="295"/>
      <c r="T53" s="295"/>
      <c r="U53" s="295"/>
      <c r="V53" s="296"/>
      <c r="W53" s="42" t="s">
        <v>39</v>
      </c>
      <c r="X53" s="43">
        <f>IFERROR(SUM(X51:X52),"0")</f>
        <v>68</v>
      </c>
      <c r="Y53" s="43">
        <f>IFERROR(SUM(Y51:Y52),"0")</f>
        <v>68</v>
      </c>
      <c r="Z53" s="43">
        <f>IFERROR(IF(Z51="",0,Z51),"0")+IFERROR(IF(Z52="",0,Z52),"0")</f>
        <v>1.054</v>
      </c>
      <c r="AA53" s="67"/>
      <c r="AB53" s="67"/>
      <c r="AC53" s="67"/>
    </row>
    <row r="54" spans="1:68" x14ac:dyDescent="0.2">
      <c r="A54" s="297"/>
      <c r="B54" s="297"/>
      <c r="C54" s="297"/>
      <c r="D54" s="297"/>
      <c r="E54" s="297"/>
      <c r="F54" s="297"/>
      <c r="G54" s="297"/>
      <c r="H54" s="297"/>
      <c r="I54" s="297"/>
      <c r="J54" s="297"/>
      <c r="K54" s="297"/>
      <c r="L54" s="297"/>
      <c r="M54" s="297"/>
      <c r="N54" s="297"/>
      <c r="O54" s="298"/>
      <c r="P54" s="294" t="s">
        <v>40</v>
      </c>
      <c r="Q54" s="295"/>
      <c r="R54" s="295"/>
      <c r="S54" s="295"/>
      <c r="T54" s="295"/>
      <c r="U54" s="295"/>
      <c r="V54" s="296"/>
      <c r="W54" s="42" t="s">
        <v>0</v>
      </c>
      <c r="X54" s="43">
        <f>IFERROR(SUMPRODUCT(X51:X52*H51:H52),"0")</f>
        <v>380.79999999999995</v>
      </c>
      <c r="Y54" s="43">
        <f>IFERROR(SUMPRODUCT(Y51:Y52*H51:H52),"0")</f>
        <v>380.79999999999995</v>
      </c>
      <c r="Z54" s="42"/>
      <c r="AA54" s="67"/>
      <c r="AB54" s="67"/>
      <c r="AC54" s="67"/>
    </row>
    <row r="55" spans="1:68" ht="16.5" hidden="1" customHeight="1" x14ac:dyDescent="0.25">
      <c r="A55" s="317" t="s">
        <v>135</v>
      </c>
      <c r="B55" s="317"/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17"/>
      <c r="N55" s="317"/>
      <c r="O55" s="317"/>
      <c r="P55" s="317"/>
      <c r="Q55" s="317"/>
      <c r="R55" s="317"/>
      <c r="S55" s="317"/>
      <c r="T55" s="317"/>
      <c r="U55" s="317"/>
      <c r="V55" s="317"/>
      <c r="W55" s="317"/>
      <c r="X55" s="317"/>
      <c r="Y55" s="317"/>
      <c r="Z55" s="317"/>
      <c r="AA55" s="65"/>
      <c r="AB55" s="65"/>
      <c r="AC55" s="82"/>
    </row>
    <row r="56" spans="1:68" ht="14.25" hidden="1" customHeight="1" x14ac:dyDescent="0.25">
      <c r="A56" s="309" t="s">
        <v>82</v>
      </c>
      <c r="B56" s="309"/>
      <c r="C56" s="309"/>
      <c r="D56" s="309"/>
      <c r="E56" s="309"/>
      <c r="F56" s="309"/>
      <c r="G56" s="309"/>
      <c r="H56" s="309"/>
      <c r="I56" s="309"/>
      <c r="J56" s="309"/>
      <c r="K56" s="309"/>
      <c r="L56" s="309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  <c r="AA56" s="66"/>
      <c r="AB56" s="66"/>
      <c r="AC56" s="83"/>
    </row>
    <row r="57" spans="1:68" ht="27" hidden="1" customHeight="1" x14ac:dyDescent="0.25">
      <c r="A57" s="63" t="s">
        <v>136</v>
      </c>
      <c r="B57" s="63" t="s">
        <v>137</v>
      </c>
      <c r="C57" s="36">
        <v>4301071044</v>
      </c>
      <c r="D57" s="289">
        <v>4607111039385</v>
      </c>
      <c r="E57" s="289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124</v>
      </c>
      <c r="M57" s="38" t="s">
        <v>86</v>
      </c>
      <c r="N57" s="38"/>
      <c r="O57" s="37">
        <v>180</v>
      </c>
      <c r="P57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91"/>
      <c r="R57" s="291"/>
      <c r="S57" s="291"/>
      <c r="T57" s="292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19" t="s">
        <v>138</v>
      </c>
      <c r="AG57" s="81"/>
      <c r="AJ57" s="87" t="s">
        <v>125</v>
      </c>
      <c r="AK57" s="87">
        <v>12</v>
      </c>
      <c r="BB57" s="120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27" hidden="1" customHeight="1" x14ac:dyDescent="0.25">
      <c r="A58" s="63" t="s">
        <v>139</v>
      </c>
      <c r="B58" s="63" t="s">
        <v>140</v>
      </c>
      <c r="C58" s="36">
        <v>4301071031</v>
      </c>
      <c r="D58" s="289">
        <v>4607111038982</v>
      </c>
      <c r="E58" s="289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87</v>
      </c>
      <c r="L58" s="37" t="s">
        <v>124</v>
      </c>
      <c r="M58" s="38" t="s">
        <v>86</v>
      </c>
      <c r="N58" s="38"/>
      <c r="O58" s="37">
        <v>180</v>
      </c>
      <c r="P58" s="38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91"/>
      <c r="R58" s="291"/>
      <c r="S58" s="291"/>
      <c r="T58" s="292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IFERROR(IF(X58="","",X58*0.0155),"")</f>
        <v>0</v>
      </c>
      <c r="AA58" s="68" t="s">
        <v>46</v>
      </c>
      <c r="AB58" s="69" t="s">
        <v>46</v>
      </c>
      <c r="AC58" s="121" t="s">
        <v>141</v>
      </c>
      <c r="AG58" s="81"/>
      <c r="AJ58" s="87" t="s">
        <v>125</v>
      </c>
      <c r="AK58" s="87">
        <v>12</v>
      </c>
      <c r="BB58" s="122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ht="27" hidden="1" customHeight="1" x14ac:dyDescent="0.25">
      <c r="A59" s="63" t="s">
        <v>142</v>
      </c>
      <c r="B59" s="63" t="s">
        <v>143</v>
      </c>
      <c r="C59" s="36">
        <v>4301071046</v>
      </c>
      <c r="D59" s="289">
        <v>4607111039354</v>
      </c>
      <c r="E59" s="289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87</v>
      </c>
      <c r="L59" s="37" t="s">
        <v>124</v>
      </c>
      <c r="M59" s="38" t="s">
        <v>86</v>
      </c>
      <c r="N59" s="38"/>
      <c r="O59" s="37">
        <v>180</v>
      </c>
      <c r="P59" s="38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91"/>
      <c r="R59" s="291"/>
      <c r="S59" s="291"/>
      <c r="T59" s="292"/>
      <c r="U59" s="39" t="s">
        <v>46</v>
      </c>
      <c r="V59" s="39" t="s">
        <v>46</v>
      </c>
      <c r="W59" s="40" t="s">
        <v>39</v>
      </c>
      <c r="X59" s="58">
        <v>0</v>
      </c>
      <c r="Y59" s="55">
        <f>IFERROR(IF(X59="","",X59),"")</f>
        <v>0</v>
      </c>
      <c r="Z59" s="41">
        <f>IFERROR(IF(X59="","",X59*0.0155),"")</f>
        <v>0</v>
      </c>
      <c r="AA59" s="68" t="s">
        <v>46</v>
      </c>
      <c r="AB59" s="69" t="s">
        <v>46</v>
      </c>
      <c r="AC59" s="123" t="s">
        <v>141</v>
      </c>
      <c r="AG59" s="81"/>
      <c r="AJ59" s="87" t="s">
        <v>125</v>
      </c>
      <c r="AK59" s="87">
        <v>12</v>
      </c>
      <c r="BB59" s="124" t="s">
        <v>70</v>
      </c>
      <c r="BM59" s="81">
        <f>IFERROR(X59*I59,"0")</f>
        <v>0</v>
      </c>
      <c r="BN59" s="81">
        <f>IFERROR(Y59*I59,"0")</f>
        <v>0</v>
      </c>
      <c r="BO59" s="81">
        <f>IFERROR(X59/J59,"0")</f>
        <v>0</v>
      </c>
      <c r="BP59" s="81">
        <f>IFERROR(Y59/J59,"0")</f>
        <v>0</v>
      </c>
    </row>
    <row r="60" spans="1:68" ht="27" hidden="1" customHeight="1" x14ac:dyDescent="0.25">
      <c r="A60" s="63" t="s">
        <v>144</v>
      </c>
      <c r="B60" s="63" t="s">
        <v>145</v>
      </c>
      <c r="C60" s="36">
        <v>4301071047</v>
      </c>
      <c r="D60" s="289">
        <v>4607111039330</v>
      </c>
      <c r="E60" s="289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87</v>
      </c>
      <c r="L60" s="37" t="s">
        <v>124</v>
      </c>
      <c r="M60" s="38" t="s">
        <v>86</v>
      </c>
      <c r="N60" s="38"/>
      <c r="O60" s="37">
        <v>180</v>
      </c>
      <c r="P60" s="38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91"/>
      <c r="R60" s="291"/>
      <c r="S60" s="291"/>
      <c r="T60" s="292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IFERROR(IF(X60="","",X60*0.0155),"")</f>
        <v>0</v>
      </c>
      <c r="AA60" s="68" t="s">
        <v>46</v>
      </c>
      <c r="AB60" s="69" t="s">
        <v>46</v>
      </c>
      <c r="AC60" s="125" t="s">
        <v>141</v>
      </c>
      <c r="AG60" s="81"/>
      <c r="AJ60" s="87" t="s">
        <v>125</v>
      </c>
      <c r="AK60" s="87">
        <v>12</v>
      </c>
      <c r="BB60" s="126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hidden="1" x14ac:dyDescent="0.2">
      <c r="A61" s="297"/>
      <c r="B61" s="297"/>
      <c r="C61" s="297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8"/>
      <c r="P61" s="294" t="s">
        <v>40</v>
      </c>
      <c r="Q61" s="295"/>
      <c r="R61" s="295"/>
      <c r="S61" s="295"/>
      <c r="T61" s="295"/>
      <c r="U61" s="295"/>
      <c r="V61" s="296"/>
      <c r="W61" s="42" t="s">
        <v>39</v>
      </c>
      <c r="X61" s="43">
        <f>IFERROR(SUM(X57:X60),"0")</f>
        <v>0</v>
      </c>
      <c r="Y61" s="43">
        <f>IFERROR(SUM(Y57:Y60),"0")</f>
        <v>0</v>
      </c>
      <c r="Z61" s="43">
        <f>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297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8"/>
      <c r="P62" s="294" t="s">
        <v>40</v>
      </c>
      <c r="Q62" s="295"/>
      <c r="R62" s="295"/>
      <c r="S62" s="295"/>
      <c r="T62" s="295"/>
      <c r="U62" s="295"/>
      <c r="V62" s="296"/>
      <c r="W62" s="42" t="s">
        <v>0</v>
      </c>
      <c r="X62" s="43">
        <f>IFERROR(SUMPRODUCT(X57:X60*H57:H60),"0")</f>
        <v>0</v>
      </c>
      <c r="Y62" s="43">
        <f>IFERROR(SUMPRODUCT(Y57:Y60*H57:H60),"0")</f>
        <v>0</v>
      </c>
      <c r="Z62" s="42"/>
      <c r="AA62" s="67"/>
      <c r="AB62" s="67"/>
      <c r="AC62" s="67"/>
    </row>
    <row r="63" spans="1:68" ht="16.5" hidden="1" customHeight="1" x14ac:dyDescent="0.25">
      <c r="A63" s="317" t="s">
        <v>146</v>
      </c>
      <c r="B63" s="317"/>
      <c r="C63" s="317"/>
      <c r="D63" s="317"/>
      <c r="E63" s="317"/>
      <c r="F63" s="317"/>
      <c r="G63" s="317"/>
      <c r="H63" s="317"/>
      <c r="I63" s="317"/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  <c r="AA63" s="65"/>
      <c r="AB63" s="65"/>
      <c r="AC63" s="82"/>
    </row>
    <row r="64" spans="1:68" ht="14.25" hidden="1" customHeight="1" x14ac:dyDescent="0.25">
      <c r="A64" s="309" t="s">
        <v>147</v>
      </c>
      <c r="B64" s="309"/>
      <c r="C64" s="309"/>
      <c r="D64" s="309"/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09"/>
      <c r="S64" s="309"/>
      <c r="T64" s="309"/>
      <c r="U64" s="309"/>
      <c r="V64" s="309"/>
      <c r="W64" s="309"/>
      <c r="X64" s="309"/>
      <c r="Y64" s="309"/>
      <c r="Z64" s="309"/>
      <c r="AA64" s="66"/>
      <c r="AB64" s="66"/>
      <c r="AC64" s="83"/>
    </row>
    <row r="65" spans="1:68" ht="27" hidden="1" customHeight="1" x14ac:dyDescent="0.25">
      <c r="A65" s="63" t="s">
        <v>148</v>
      </c>
      <c r="B65" s="63" t="s">
        <v>149</v>
      </c>
      <c r="C65" s="36">
        <v>4301132194</v>
      </c>
      <c r="D65" s="289">
        <v>4607111039712</v>
      </c>
      <c r="E65" s="289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123</v>
      </c>
      <c r="L65" s="37" t="s">
        <v>88</v>
      </c>
      <c r="M65" s="38" t="s">
        <v>86</v>
      </c>
      <c r="N65" s="38"/>
      <c r="O65" s="37">
        <v>365</v>
      </c>
      <c r="P65" s="379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91"/>
      <c r="R65" s="291"/>
      <c r="S65" s="291"/>
      <c r="T65" s="292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150</v>
      </c>
      <c r="AG65" s="81"/>
      <c r="AJ65" s="87" t="s">
        <v>89</v>
      </c>
      <c r="AK65" s="87">
        <v>1</v>
      </c>
      <c r="BB65" s="128" t="s">
        <v>122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hidden="1" customHeight="1" x14ac:dyDescent="0.25">
      <c r="A66" s="63" t="s">
        <v>151</v>
      </c>
      <c r="B66" s="63" t="s">
        <v>152</v>
      </c>
      <c r="C66" s="36">
        <v>4301135664</v>
      </c>
      <c r="D66" s="289">
        <v>4607111039705</v>
      </c>
      <c r="E66" s="289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123</v>
      </c>
      <c r="L66" s="37" t="s">
        <v>88</v>
      </c>
      <c r="M66" s="38" t="s">
        <v>86</v>
      </c>
      <c r="N66" s="38"/>
      <c r="O66" s="37">
        <v>365</v>
      </c>
      <c r="P66" s="380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91"/>
      <c r="R66" s="291"/>
      <c r="S66" s="291"/>
      <c r="T66" s="292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153</v>
      </c>
      <c r="AG66" s="81"/>
      <c r="AJ66" s="87" t="s">
        <v>89</v>
      </c>
      <c r="AK66" s="87">
        <v>1</v>
      </c>
      <c r="BB66" s="130" t="s">
        <v>122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hidden="1" customHeight="1" x14ac:dyDescent="0.25">
      <c r="A67" s="63" t="s">
        <v>154</v>
      </c>
      <c r="B67" s="63" t="s">
        <v>155</v>
      </c>
      <c r="C67" s="36">
        <v>4301135665</v>
      </c>
      <c r="D67" s="289">
        <v>4607111039729</v>
      </c>
      <c r="E67" s="289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123</v>
      </c>
      <c r="L67" s="37" t="s">
        <v>88</v>
      </c>
      <c r="M67" s="38" t="s">
        <v>86</v>
      </c>
      <c r="N67" s="38"/>
      <c r="O67" s="37">
        <v>365</v>
      </c>
      <c r="P67" s="381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91"/>
      <c r="R67" s="291"/>
      <c r="S67" s="291"/>
      <c r="T67" s="292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IFERROR(IF(X67="","",X67*0.00941),"")</f>
        <v>0</v>
      </c>
      <c r="AA67" s="68" t="s">
        <v>46</v>
      </c>
      <c r="AB67" s="69" t="s">
        <v>46</v>
      </c>
      <c r="AC67" s="131" t="s">
        <v>156</v>
      </c>
      <c r="AG67" s="81"/>
      <c r="AJ67" s="87" t="s">
        <v>89</v>
      </c>
      <c r="AK67" s="87">
        <v>1</v>
      </c>
      <c r="BB67" s="132" t="s">
        <v>122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hidden="1" customHeight="1" x14ac:dyDescent="0.25">
      <c r="A68" s="63" t="s">
        <v>157</v>
      </c>
      <c r="B68" s="63" t="s">
        <v>158</v>
      </c>
      <c r="C68" s="36">
        <v>4301135702</v>
      </c>
      <c r="D68" s="289">
        <v>4620207490228</v>
      </c>
      <c r="E68" s="289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123</v>
      </c>
      <c r="L68" s="37" t="s">
        <v>88</v>
      </c>
      <c r="M68" s="38" t="s">
        <v>86</v>
      </c>
      <c r="N68" s="38"/>
      <c r="O68" s="37">
        <v>365</v>
      </c>
      <c r="P68" s="382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91"/>
      <c r="R68" s="291"/>
      <c r="S68" s="291"/>
      <c r="T68" s="292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33" t="s">
        <v>156</v>
      </c>
      <c r="AG68" s="81"/>
      <c r="AJ68" s="87" t="s">
        <v>89</v>
      </c>
      <c r="AK68" s="87">
        <v>1</v>
      </c>
      <c r="BB68" s="134" t="s">
        <v>122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hidden="1" customHeight="1" x14ac:dyDescent="0.25">
      <c r="A69" s="63" t="s">
        <v>159</v>
      </c>
      <c r="B69" s="63" t="s">
        <v>160</v>
      </c>
      <c r="C69" s="36">
        <v>4301136015</v>
      </c>
      <c r="D69" s="289">
        <v>4607111037398</v>
      </c>
      <c r="E69" s="289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123</v>
      </c>
      <c r="L69" s="37" t="s">
        <v>88</v>
      </c>
      <c r="M69" s="38" t="s">
        <v>86</v>
      </c>
      <c r="N69" s="38"/>
      <c r="O69" s="37">
        <v>365</v>
      </c>
      <c r="P69" s="377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1"/>
      <c r="R69" s="291"/>
      <c r="S69" s="291"/>
      <c r="T69" s="29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153</v>
      </c>
      <c r="AG69" s="81"/>
      <c r="AJ69" s="87" t="s">
        <v>89</v>
      </c>
      <c r="AK69" s="87">
        <v>1</v>
      </c>
      <c r="BB69" s="136" t="s">
        <v>122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idden="1" x14ac:dyDescent="0.2">
      <c r="A70" s="297"/>
      <c r="B70" s="297"/>
      <c r="C70" s="297"/>
      <c r="D70" s="297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O70" s="298"/>
      <c r="P70" s="294" t="s">
        <v>40</v>
      </c>
      <c r="Q70" s="295"/>
      <c r="R70" s="295"/>
      <c r="S70" s="295"/>
      <c r="T70" s="295"/>
      <c r="U70" s="295"/>
      <c r="V70" s="296"/>
      <c r="W70" s="42" t="s">
        <v>39</v>
      </c>
      <c r="X70" s="43">
        <f>IFERROR(SUM(X65:X69),"0")</f>
        <v>0</v>
      </c>
      <c r="Y70" s="43">
        <f>IFERROR(SUM(Y65:Y69),"0")</f>
        <v>0</v>
      </c>
      <c r="Z70" s="43">
        <f>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297"/>
      <c r="B71" s="297"/>
      <c r="C71" s="297"/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8"/>
      <c r="P71" s="294" t="s">
        <v>40</v>
      </c>
      <c r="Q71" s="295"/>
      <c r="R71" s="295"/>
      <c r="S71" s="295"/>
      <c r="T71" s="295"/>
      <c r="U71" s="295"/>
      <c r="V71" s="296"/>
      <c r="W71" s="42" t="s">
        <v>0</v>
      </c>
      <c r="X71" s="43">
        <f>IFERROR(SUMPRODUCT(X65:X69*H65:H69),"0")</f>
        <v>0</v>
      </c>
      <c r="Y71" s="43">
        <f>IFERROR(SUMPRODUCT(Y65:Y69*H65:H69),"0")</f>
        <v>0</v>
      </c>
      <c r="Z71" s="42"/>
      <c r="AA71" s="67"/>
      <c r="AB71" s="67"/>
      <c r="AC71" s="67"/>
    </row>
    <row r="72" spans="1:68" ht="16.5" hidden="1" customHeight="1" x14ac:dyDescent="0.25">
      <c r="A72" s="317" t="s">
        <v>161</v>
      </c>
      <c r="B72" s="317"/>
      <c r="C72" s="317"/>
      <c r="D72" s="317"/>
      <c r="E72" s="317"/>
      <c r="F72" s="317"/>
      <c r="G72" s="317"/>
      <c r="H72" s="317"/>
      <c r="I72" s="317"/>
      <c r="J72" s="317"/>
      <c r="K72" s="317"/>
      <c r="L72" s="317"/>
      <c r="M72" s="317"/>
      <c r="N72" s="317"/>
      <c r="O72" s="317"/>
      <c r="P72" s="317"/>
      <c r="Q72" s="317"/>
      <c r="R72" s="317"/>
      <c r="S72" s="317"/>
      <c r="T72" s="317"/>
      <c r="U72" s="317"/>
      <c r="V72" s="317"/>
      <c r="W72" s="317"/>
      <c r="X72" s="317"/>
      <c r="Y72" s="317"/>
      <c r="Z72" s="317"/>
      <c r="AA72" s="65"/>
      <c r="AB72" s="65"/>
      <c r="AC72" s="82"/>
    </row>
    <row r="73" spans="1:68" ht="14.25" hidden="1" customHeight="1" x14ac:dyDescent="0.25">
      <c r="A73" s="309" t="s">
        <v>82</v>
      </c>
      <c r="B73" s="309"/>
      <c r="C73" s="309"/>
      <c r="D73" s="309"/>
      <c r="E73" s="309"/>
      <c r="F73" s="309"/>
      <c r="G73" s="309"/>
      <c r="H73" s="309"/>
      <c r="I73" s="309"/>
      <c r="J73" s="309"/>
      <c r="K73" s="309"/>
      <c r="L73" s="309"/>
      <c r="M73" s="309"/>
      <c r="N73" s="309"/>
      <c r="O73" s="309"/>
      <c r="P73" s="309"/>
      <c r="Q73" s="309"/>
      <c r="R73" s="309"/>
      <c r="S73" s="309"/>
      <c r="T73" s="309"/>
      <c r="U73" s="309"/>
      <c r="V73" s="309"/>
      <c r="W73" s="309"/>
      <c r="X73" s="309"/>
      <c r="Y73" s="309"/>
      <c r="Z73" s="309"/>
      <c r="AA73" s="66"/>
      <c r="AB73" s="66"/>
      <c r="AC73" s="83"/>
    </row>
    <row r="74" spans="1:68" ht="27" hidden="1" customHeight="1" x14ac:dyDescent="0.25">
      <c r="A74" s="63" t="s">
        <v>162</v>
      </c>
      <c r="B74" s="63" t="s">
        <v>163</v>
      </c>
      <c r="C74" s="36">
        <v>4301070977</v>
      </c>
      <c r="D74" s="289">
        <v>4607111037411</v>
      </c>
      <c r="E74" s="289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165</v>
      </c>
      <c r="L74" s="37" t="s">
        <v>124</v>
      </c>
      <c r="M74" s="38" t="s">
        <v>86</v>
      </c>
      <c r="N74" s="38"/>
      <c r="O74" s="37">
        <v>180</v>
      </c>
      <c r="P74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91"/>
      <c r="R74" s="291"/>
      <c r="S74" s="291"/>
      <c r="T74" s="292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164</v>
      </c>
      <c r="AG74" s="81"/>
      <c r="AJ74" s="87" t="s">
        <v>125</v>
      </c>
      <c r="AK74" s="87">
        <v>18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hidden="1" customHeight="1" x14ac:dyDescent="0.25">
      <c r="A75" s="63" t="s">
        <v>166</v>
      </c>
      <c r="B75" s="63" t="s">
        <v>167</v>
      </c>
      <c r="C75" s="36">
        <v>4301070981</v>
      </c>
      <c r="D75" s="289">
        <v>4607111036728</v>
      </c>
      <c r="E75" s="289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87</v>
      </c>
      <c r="L75" s="37" t="s">
        <v>124</v>
      </c>
      <c r="M75" s="38" t="s">
        <v>86</v>
      </c>
      <c r="N75" s="38"/>
      <c r="O75" s="37">
        <v>180</v>
      </c>
      <c r="P75" s="37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91"/>
      <c r="R75" s="291"/>
      <c r="S75" s="291"/>
      <c r="T75" s="292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IFERROR(IF(X75="","",X75*0.00866),"")</f>
        <v>0</v>
      </c>
      <c r="AA75" s="68" t="s">
        <v>46</v>
      </c>
      <c r="AB75" s="69" t="s">
        <v>46</v>
      </c>
      <c r="AC75" s="139" t="s">
        <v>164</v>
      </c>
      <c r="AG75" s="81"/>
      <c r="AJ75" s="87" t="s">
        <v>125</v>
      </c>
      <c r="AK75" s="87">
        <v>12</v>
      </c>
      <c r="BB75" s="140" t="s">
        <v>70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idden="1" x14ac:dyDescent="0.2">
      <c r="A76" s="297"/>
      <c r="B76" s="297"/>
      <c r="C76" s="297"/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8"/>
      <c r="P76" s="294" t="s">
        <v>40</v>
      </c>
      <c r="Q76" s="295"/>
      <c r="R76" s="295"/>
      <c r="S76" s="295"/>
      <c r="T76" s="295"/>
      <c r="U76" s="295"/>
      <c r="V76" s="296"/>
      <c r="W76" s="42" t="s">
        <v>39</v>
      </c>
      <c r="X76" s="43">
        <f>IFERROR(SUM(X74:X75),"0")</f>
        <v>0</v>
      </c>
      <c r="Y76" s="43">
        <f>IFERROR(SUM(Y74:Y75),"0")</f>
        <v>0</v>
      </c>
      <c r="Z76" s="43">
        <f>IFERROR(IF(Z74="",0,Z74),"0")+IFERROR(IF(Z75="",0,Z75),"0")</f>
        <v>0</v>
      </c>
      <c r="AA76" s="67"/>
      <c r="AB76" s="67"/>
      <c r="AC76" s="67"/>
    </row>
    <row r="77" spans="1:68" hidden="1" x14ac:dyDescent="0.2">
      <c r="A77" s="297"/>
      <c r="B77" s="297"/>
      <c r="C77" s="297"/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8"/>
      <c r="P77" s="294" t="s">
        <v>40</v>
      </c>
      <c r="Q77" s="295"/>
      <c r="R77" s="295"/>
      <c r="S77" s="295"/>
      <c r="T77" s="295"/>
      <c r="U77" s="295"/>
      <c r="V77" s="296"/>
      <c r="W77" s="42" t="s">
        <v>0</v>
      </c>
      <c r="X77" s="43">
        <f>IFERROR(SUMPRODUCT(X74:X75*H74:H75),"0")</f>
        <v>0</v>
      </c>
      <c r="Y77" s="43">
        <f>IFERROR(SUMPRODUCT(Y74:Y75*H74:H75),"0")</f>
        <v>0</v>
      </c>
      <c r="Z77" s="42"/>
      <c r="AA77" s="67"/>
      <c r="AB77" s="67"/>
      <c r="AC77" s="67"/>
    </row>
    <row r="78" spans="1:68" ht="16.5" hidden="1" customHeight="1" x14ac:dyDescent="0.25">
      <c r="A78" s="317" t="s">
        <v>168</v>
      </c>
      <c r="B78" s="317"/>
      <c r="C78" s="317"/>
      <c r="D78" s="317"/>
      <c r="E78" s="317"/>
      <c r="F78" s="317"/>
      <c r="G78" s="317"/>
      <c r="H78" s="317"/>
      <c r="I78" s="317"/>
      <c r="J78" s="317"/>
      <c r="K78" s="317"/>
      <c r="L78" s="317"/>
      <c r="M78" s="317"/>
      <c r="N78" s="317"/>
      <c r="O78" s="317"/>
      <c r="P78" s="317"/>
      <c r="Q78" s="317"/>
      <c r="R78" s="317"/>
      <c r="S78" s="317"/>
      <c r="T78" s="317"/>
      <c r="U78" s="317"/>
      <c r="V78" s="317"/>
      <c r="W78" s="317"/>
      <c r="X78" s="317"/>
      <c r="Y78" s="317"/>
      <c r="Z78" s="317"/>
      <c r="AA78" s="65"/>
      <c r="AB78" s="65"/>
      <c r="AC78" s="82"/>
    </row>
    <row r="79" spans="1:68" ht="14.25" hidden="1" customHeight="1" x14ac:dyDescent="0.25">
      <c r="A79" s="309" t="s">
        <v>169</v>
      </c>
      <c r="B79" s="309"/>
      <c r="C79" s="309"/>
      <c r="D79" s="309"/>
      <c r="E79" s="309"/>
      <c r="F79" s="309"/>
      <c r="G79" s="309"/>
      <c r="H79" s="309"/>
      <c r="I79" s="309"/>
      <c r="J79" s="309"/>
      <c r="K79" s="309"/>
      <c r="L79" s="309"/>
      <c r="M79" s="309"/>
      <c r="N79" s="309"/>
      <c r="O79" s="309"/>
      <c r="P79" s="309"/>
      <c r="Q79" s="309"/>
      <c r="R79" s="309"/>
      <c r="S79" s="309"/>
      <c r="T79" s="309"/>
      <c r="U79" s="309"/>
      <c r="V79" s="309"/>
      <c r="W79" s="309"/>
      <c r="X79" s="309"/>
      <c r="Y79" s="309"/>
      <c r="Z79" s="309"/>
      <c r="AA79" s="66"/>
      <c r="AB79" s="66"/>
      <c r="AC79" s="83"/>
    </row>
    <row r="80" spans="1:68" ht="27" hidden="1" customHeight="1" x14ac:dyDescent="0.25">
      <c r="A80" s="63" t="s">
        <v>170</v>
      </c>
      <c r="B80" s="63" t="s">
        <v>171</v>
      </c>
      <c r="C80" s="36">
        <v>4301135910</v>
      </c>
      <c r="D80" s="289">
        <v>4620207491638</v>
      </c>
      <c r="E80" s="289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123</v>
      </c>
      <c r="L80" s="37" t="s">
        <v>88</v>
      </c>
      <c r="M80" s="38" t="s">
        <v>86</v>
      </c>
      <c r="N80" s="38"/>
      <c r="O80" s="37">
        <v>180</v>
      </c>
      <c r="P80" s="376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91"/>
      <c r="R80" s="291"/>
      <c r="S80" s="291"/>
      <c r="T80" s="292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41" t="s">
        <v>172</v>
      </c>
      <c r="AG80" s="81"/>
      <c r="AJ80" s="87" t="s">
        <v>89</v>
      </c>
      <c r="AK80" s="87">
        <v>1</v>
      </c>
      <c r="BB80" s="142" t="s">
        <v>122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idden="1" x14ac:dyDescent="0.2">
      <c r="A81" s="297"/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8"/>
      <c r="P81" s="294" t="s">
        <v>40</v>
      </c>
      <c r="Q81" s="295"/>
      <c r="R81" s="295"/>
      <c r="S81" s="295"/>
      <c r="T81" s="295"/>
      <c r="U81" s="295"/>
      <c r="V81" s="296"/>
      <c r="W81" s="42" t="s">
        <v>39</v>
      </c>
      <c r="X81" s="43">
        <f>IFERROR(SUM(X80:X80),"0")</f>
        <v>0</v>
      </c>
      <c r="Y81" s="43">
        <f>IFERROR(SUM(Y80:Y80),"0")</f>
        <v>0</v>
      </c>
      <c r="Z81" s="43">
        <f>IFERROR(IF(Z80="",0,Z80),"0")</f>
        <v>0</v>
      </c>
      <c r="AA81" s="67"/>
      <c r="AB81" s="67"/>
      <c r="AC81" s="67"/>
    </row>
    <row r="82" spans="1:68" hidden="1" x14ac:dyDescent="0.2">
      <c r="A82" s="297"/>
      <c r="B82" s="297"/>
      <c r="C82" s="297"/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8"/>
      <c r="P82" s="294" t="s">
        <v>40</v>
      </c>
      <c r="Q82" s="295"/>
      <c r="R82" s="295"/>
      <c r="S82" s="295"/>
      <c r="T82" s="295"/>
      <c r="U82" s="295"/>
      <c r="V82" s="296"/>
      <c r="W82" s="42" t="s">
        <v>0</v>
      </c>
      <c r="X82" s="43">
        <f>IFERROR(SUMPRODUCT(X80:X80*H80:H80),"0")</f>
        <v>0</v>
      </c>
      <c r="Y82" s="43">
        <f>IFERROR(SUMPRODUCT(Y80:Y80*H80:H80),"0")</f>
        <v>0</v>
      </c>
      <c r="Z82" s="42"/>
      <c r="AA82" s="67"/>
      <c r="AB82" s="67"/>
      <c r="AC82" s="67"/>
    </row>
    <row r="83" spans="1:68" ht="16.5" hidden="1" customHeight="1" x14ac:dyDescent="0.25">
      <c r="A83" s="317" t="s">
        <v>173</v>
      </c>
      <c r="B83" s="317"/>
      <c r="C83" s="317"/>
      <c r="D83" s="317"/>
      <c r="E83" s="317"/>
      <c r="F83" s="317"/>
      <c r="G83" s="317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17"/>
      <c r="V83" s="317"/>
      <c r="W83" s="317"/>
      <c r="X83" s="317"/>
      <c r="Y83" s="317"/>
      <c r="Z83" s="317"/>
      <c r="AA83" s="65"/>
      <c r="AB83" s="65"/>
      <c r="AC83" s="82"/>
    </row>
    <row r="84" spans="1:68" ht="14.25" hidden="1" customHeight="1" x14ac:dyDescent="0.25">
      <c r="A84" s="309" t="s">
        <v>174</v>
      </c>
      <c r="B84" s="309"/>
      <c r="C84" s="309"/>
      <c r="D84" s="309"/>
      <c r="E84" s="309"/>
      <c r="F84" s="309"/>
      <c r="G84" s="309"/>
      <c r="H84" s="309"/>
      <c r="I84" s="309"/>
      <c r="J84" s="309"/>
      <c r="K84" s="309"/>
      <c r="L84" s="309"/>
      <c r="M84" s="309"/>
      <c r="N84" s="309"/>
      <c r="O84" s="309"/>
      <c r="P84" s="309"/>
      <c r="Q84" s="309"/>
      <c r="R84" s="309"/>
      <c r="S84" s="309"/>
      <c r="T84" s="309"/>
      <c r="U84" s="309"/>
      <c r="V84" s="309"/>
      <c r="W84" s="309"/>
      <c r="X84" s="309"/>
      <c r="Y84" s="309"/>
      <c r="Z84" s="309"/>
      <c r="AA84" s="66"/>
      <c r="AB84" s="66"/>
      <c r="AC84" s="83"/>
    </row>
    <row r="85" spans="1:68" ht="27" customHeight="1" x14ac:dyDescent="0.25">
      <c r="A85" s="63" t="s">
        <v>175</v>
      </c>
      <c r="B85" s="63" t="s">
        <v>176</v>
      </c>
      <c r="C85" s="36">
        <v>4301131047</v>
      </c>
      <c r="D85" s="289">
        <v>4607111034120</v>
      </c>
      <c r="E85" s="289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123</v>
      </c>
      <c r="L85" s="37" t="s">
        <v>124</v>
      </c>
      <c r="M85" s="38" t="s">
        <v>86</v>
      </c>
      <c r="N85" s="38"/>
      <c r="O85" s="37">
        <v>180</v>
      </c>
      <c r="P85" s="37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91"/>
      <c r="R85" s="291"/>
      <c r="S85" s="291"/>
      <c r="T85" s="292"/>
      <c r="U85" s="39" t="s">
        <v>46</v>
      </c>
      <c r="V85" s="39" t="s">
        <v>46</v>
      </c>
      <c r="W85" s="40" t="s">
        <v>39</v>
      </c>
      <c r="X85" s="58">
        <v>28</v>
      </c>
      <c r="Y85" s="55">
        <f>IFERROR(IF(X85="","",X85),"")</f>
        <v>28</v>
      </c>
      <c r="Z85" s="41">
        <f>IFERROR(IF(X85="","",X85*0.01788),"")</f>
        <v>0.50063999999999997</v>
      </c>
      <c r="AA85" s="68" t="s">
        <v>46</v>
      </c>
      <c r="AB85" s="69" t="s">
        <v>46</v>
      </c>
      <c r="AC85" s="143" t="s">
        <v>177</v>
      </c>
      <c r="AG85" s="81"/>
      <c r="AJ85" s="87" t="s">
        <v>125</v>
      </c>
      <c r="AK85" s="87">
        <v>14</v>
      </c>
      <c r="BB85" s="144" t="s">
        <v>122</v>
      </c>
      <c r="BM85" s="81">
        <f>IFERROR(X85*I85,"0")</f>
        <v>120.50080000000001</v>
      </c>
      <c r="BN85" s="81">
        <f>IFERROR(Y85*I85,"0")</f>
        <v>120.50080000000001</v>
      </c>
      <c r="BO85" s="81">
        <f>IFERROR(X85/J85,"0")</f>
        <v>0.4</v>
      </c>
      <c r="BP85" s="81">
        <f>IFERROR(Y85/J85,"0")</f>
        <v>0.4</v>
      </c>
    </row>
    <row r="86" spans="1:68" ht="27" hidden="1" customHeight="1" x14ac:dyDescent="0.25">
      <c r="A86" s="63" t="s">
        <v>178</v>
      </c>
      <c r="B86" s="63" t="s">
        <v>179</v>
      </c>
      <c r="C86" s="36">
        <v>4301131046</v>
      </c>
      <c r="D86" s="289">
        <v>4607111034137</v>
      </c>
      <c r="E86" s="289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123</v>
      </c>
      <c r="L86" s="37" t="s">
        <v>124</v>
      </c>
      <c r="M86" s="38" t="s">
        <v>86</v>
      </c>
      <c r="N86" s="38"/>
      <c r="O86" s="37">
        <v>180</v>
      </c>
      <c r="P86" s="37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91"/>
      <c r="R86" s="291"/>
      <c r="S86" s="291"/>
      <c r="T86" s="292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5" t="s">
        <v>180</v>
      </c>
      <c r="AG86" s="81"/>
      <c r="AJ86" s="87" t="s">
        <v>125</v>
      </c>
      <c r="AK86" s="87">
        <v>14</v>
      </c>
      <c r="BB86" s="146" t="s">
        <v>122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297"/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8"/>
      <c r="P87" s="294" t="s">
        <v>40</v>
      </c>
      <c r="Q87" s="295"/>
      <c r="R87" s="295"/>
      <c r="S87" s="295"/>
      <c r="T87" s="295"/>
      <c r="U87" s="295"/>
      <c r="V87" s="296"/>
      <c r="W87" s="42" t="s">
        <v>39</v>
      </c>
      <c r="X87" s="43">
        <f>IFERROR(SUM(X85:X86),"0")</f>
        <v>28</v>
      </c>
      <c r="Y87" s="43">
        <f>IFERROR(SUM(Y85:Y86),"0")</f>
        <v>28</v>
      </c>
      <c r="Z87" s="43">
        <f>IFERROR(IF(Z85="",0,Z85),"0")+IFERROR(IF(Z86="",0,Z86),"0")</f>
        <v>0.50063999999999997</v>
      </c>
      <c r="AA87" s="67"/>
      <c r="AB87" s="67"/>
      <c r="AC87" s="67"/>
    </row>
    <row r="88" spans="1:68" x14ac:dyDescent="0.2">
      <c r="A88" s="297"/>
      <c r="B88" s="297"/>
      <c r="C88" s="297"/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8"/>
      <c r="P88" s="294" t="s">
        <v>40</v>
      </c>
      <c r="Q88" s="295"/>
      <c r="R88" s="295"/>
      <c r="S88" s="295"/>
      <c r="T88" s="295"/>
      <c r="U88" s="295"/>
      <c r="V88" s="296"/>
      <c r="W88" s="42" t="s">
        <v>0</v>
      </c>
      <c r="X88" s="43">
        <f>IFERROR(SUMPRODUCT(X85:X86*H85:H86),"0")</f>
        <v>100.8</v>
      </c>
      <c r="Y88" s="43">
        <f>IFERROR(SUMPRODUCT(Y85:Y86*H85:H86),"0")</f>
        <v>100.8</v>
      </c>
      <c r="Z88" s="42"/>
      <c r="AA88" s="67"/>
      <c r="AB88" s="67"/>
      <c r="AC88" s="67"/>
    </row>
    <row r="89" spans="1:68" ht="16.5" hidden="1" customHeight="1" x14ac:dyDescent="0.25">
      <c r="A89" s="317" t="s">
        <v>181</v>
      </c>
      <c r="B89" s="317"/>
      <c r="C89" s="317"/>
      <c r="D89" s="317"/>
      <c r="E89" s="317"/>
      <c r="F89" s="317"/>
      <c r="G89" s="317"/>
      <c r="H89" s="317"/>
      <c r="I89" s="317"/>
      <c r="J89" s="317"/>
      <c r="K89" s="317"/>
      <c r="L89" s="317"/>
      <c r="M89" s="317"/>
      <c r="N89" s="317"/>
      <c r="O89" s="317"/>
      <c r="P89" s="317"/>
      <c r="Q89" s="317"/>
      <c r="R89" s="317"/>
      <c r="S89" s="317"/>
      <c r="T89" s="317"/>
      <c r="U89" s="317"/>
      <c r="V89" s="317"/>
      <c r="W89" s="317"/>
      <c r="X89" s="317"/>
      <c r="Y89" s="317"/>
      <c r="Z89" s="317"/>
      <c r="AA89" s="65"/>
      <c r="AB89" s="65"/>
      <c r="AC89" s="82"/>
    </row>
    <row r="90" spans="1:68" ht="14.25" hidden="1" customHeight="1" x14ac:dyDescent="0.25">
      <c r="A90" s="309" t="s">
        <v>169</v>
      </c>
      <c r="B90" s="309"/>
      <c r="C90" s="309"/>
      <c r="D90" s="309"/>
      <c r="E90" s="309"/>
      <c r="F90" s="309"/>
      <c r="G90" s="309"/>
      <c r="H90" s="309"/>
      <c r="I90" s="309"/>
      <c r="J90" s="309"/>
      <c r="K90" s="309"/>
      <c r="L90" s="309"/>
      <c r="M90" s="309"/>
      <c r="N90" s="309"/>
      <c r="O90" s="309"/>
      <c r="P90" s="309"/>
      <c r="Q90" s="309"/>
      <c r="R90" s="309"/>
      <c r="S90" s="309"/>
      <c r="T90" s="309"/>
      <c r="U90" s="309"/>
      <c r="V90" s="309"/>
      <c r="W90" s="309"/>
      <c r="X90" s="309"/>
      <c r="Y90" s="309"/>
      <c r="Z90" s="309"/>
      <c r="AA90" s="66"/>
      <c r="AB90" s="66"/>
      <c r="AC90" s="83"/>
    </row>
    <row r="91" spans="1:68" ht="27" hidden="1" customHeight="1" x14ac:dyDescent="0.25">
      <c r="A91" s="63" t="s">
        <v>182</v>
      </c>
      <c r="B91" s="63" t="s">
        <v>183</v>
      </c>
      <c r="C91" s="36">
        <v>4301135763</v>
      </c>
      <c r="D91" s="289">
        <v>4620207491027</v>
      </c>
      <c r="E91" s="289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123</v>
      </c>
      <c r="L91" s="37" t="s">
        <v>88</v>
      </c>
      <c r="M91" s="38" t="s">
        <v>86</v>
      </c>
      <c r="N91" s="38"/>
      <c r="O91" s="37">
        <v>180</v>
      </c>
      <c r="P91" s="37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91"/>
      <c r="R91" s="291"/>
      <c r="S91" s="291"/>
      <c r="T91" s="292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ref="Y91:Y96" si="6">IFERROR(IF(X91="","",X91),"")</f>
        <v>0</v>
      </c>
      <c r="Z91" s="41">
        <f t="shared" ref="Z91:Z96" si="7">IFERROR(IF(X91="","",X91*0.01788),"")</f>
        <v>0</v>
      </c>
      <c r="AA91" s="68" t="s">
        <v>46</v>
      </c>
      <c r="AB91" s="69" t="s">
        <v>46</v>
      </c>
      <c r="AC91" s="147" t="s">
        <v>184</v>
      </c>
      <c r="AG91" s="81"/>
      <c r="AJ91" s="87" t="s">
        <v>89</v>
      </c>
      <c r="AK91" s="87">
        <v>1</v>
      </c>
      <c r="BB91" s="148" t="s">
        <v>122</v>
      </c>
      <c r="BM91" s="81">
        <f t="shared" ref="BM91:BM96" si="8">IFERROR(X91*I91,"0")</f>
        <v>0</v>
      </c>
      <c r="BN91" s="81">
        <f t="shared" ref="BN91:BN96" si="9">IFERROR(Y91*I91,"0")</f>
        <v>0</v>
      </c>
      <c r="BO91" s="81">
        <f t="shared" ref="BO91:BO96" si="10">IFERROR(X91/J91,"0")</f>
        <v>0</v>
      </c>
      <c r="BP91" s="81">
        <f t="shared" ref="BP91:BP96" si="11">IFERROR(Y91/J91,"0")</f>
        <v>0</v>
      </c>
    </row>
    <row r="92" spans="1:68" ht="27" customHeight="1" x14ac:dyDescent="0.25">
      <c r="A92" s="63" t="s">
        <v>185</v>
      </c>
      <c r="B92" s="63" t="s">
        <v>186</v>
      </c>
      <c r="C92" s="36">
        <v>4301135914</v>
      </c>
      <c r="D92" s="289">
        <v>4620207491621</v>
      </c>
      <c r="E92" s="289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123</v>
      </c>
      <c r="L92" s="37" t="s">
        <v>88</v>
      </c>
      <c r="M92" s="38" t="s">
        <v>86</v>
      </c>
      <c r="N92" s="38"/>
      <c r="O92" s="37">
        <v>180</v>
      </c>
      <c r="P92" s="37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91"/>
      <c r="R92" s="291"/>
      <c r="S92" s="291"/>
      <c r="T92" s="292"/>
      <c r="U92" s="39" t="s">
        <v>46</v>
      </c>
      <c r="V92" s="39" t="s">
        <v>46</v>
      </c>
      <c r="W92" s="40" t="s">
        <v>39</v>
      </c>
      <c r="X92" s="58">
        <v>90</v>
      </c>
      <c r="Y92" s="55">
        <f t="shared" si="6"/>
        <v>90</v>
      </c>
      <c r="Z92" s="41">
        <f t="shared" si="7"/>
        <v>1.6092</v>
      </c>
      <c r="AA92" s="68" t="s">
        <v>46</v>
      </c>
      <c r="AB92" s="69" t="s">
        <v>46</v>
      </c>
      <c r="AC92" s="149" t="s">
        <v>187</v>
      </c>
      <c r="AG92" s="81"/>
      <c r="AJ92" s="87" t="s">
        <v>89</v>
      </c>
      <c r="AK92" s="87">
        <v>1</v>
      </c>
      <c r="BB92" s="150" t="s">
        <v>122</v>
      </c>
      <c r="BM92" s="81">
        <f t="shared" si="8"/>
        <v>322.524</v>
      </c>
      <c r="BN92" s="81">
        <f t="shared" si="9"/>
        <v>322.524</v>
      </c>
      <c r="BO92" s="81">
        <f t="shared" si="10"/>
        <v>1.2857142857142858</v>
      </c>
      <c r="BP92" s="81">
        <f t="shared" si="11"/>
        <v>1.2857142857142858</v>
      </c>
    </row>
    <row r="93" spans="1:68" ht="27" customHeight="1" x14ac:dyDescent="0.25">
      <c r="A93" s="63" t="s">
        <v>188</v>
      </c>
      <c r="B93" s="63" t="s">
        <v>189</v>
      </c>
      <c r="C93" s="36">
        <v>4301135990</v>
      </c>
      <c r="D93" s="289">
        <v>4620207491881</v>
      </c>
      <c r="E93" s="289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123</v>
      </c>
      <c r="L93" s="37" t="s">
        <v>88</v>
      </c>
      <c r="M93" s="38" t="s">
        <v>86</v>
      </c>
      <c r="N93" s="38"/>
      <c r="O93" s="37">
        <v>180</v>
      </c>
      <c r="P93" s="36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91"/>
      <c r="R93" s="291"/>
      <c r="S93" s="291"/>
      <c r="T93" s="292"/>
      <c r="U93" s="39" t="s">
        <v>46</v>
      </c>
      <c r="V93" s="39" t="s">
        <v>46</v>
      </c>
      <c r="W93" s="40" t="s">
        <v>39</v>
      </c>
      <c r="X93" s="58">
        <v>90</v>
      </c>
      <c r="Y93" s="55">
        <f t="shared" si="6"/>
        <v>90</v>
      </c>
      <c r="Z93" s="41">
        <f t="shared" si="7"/>
        <v>1.6092</v>
      </c>
      <c r="AA93" s="68" t="s">
        <v>46</v>
      </c>
      <c r="AB93" s="69" t="s">
        <v>46</v>
      </c>
      <c r="AC93" s="151" t="s">
        <v>187</v>
      </c>
      <c r="AG93" s="81"/>
      <c r="AJ93" s="87" t="s">
        <v>89</v>
      </c>
      <c r="AK93" s="87">
        <v>1</v>
      </c>
      <c r="BB93" s="152" t="s">
        <v>122</v>
      </c>
      <c r="BM93" s="81">
        <f t="shared" si="8"/>
        <v>322.524</v>
      </c>
      <c r="BN93" s="81">
        <f t="shared" si="9"/>
        <v>322.524</v>
      </c>
      <c r="BO93" s="81">
        <f t="shared" si="10"/>
        <v>1.2857142857142858</v>
      </c>
      <c r="BP93" s="81">
        <f t="shared" si="11"/>
        <v>1.2857142857142858</v>
      </c>
    </row>
    <row r="94" spans="1:68" ht="27" hidden="1" customHeight="1" x14ac:dyDescent="0.25">
      <c r="A94" s="63" t="s">
        <v>190</v>
      </c>
      <c r="B94" s="63" t="s">
        <v>191</v>
      </c>
      <c r="C94" s="36">
        <v>4301135920</v>
      </c>
      <c r="D94" s="289">
        <v>4620207491577</v>
      </c>
      <c r="E94" s="289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123</v>
      </c>
      <c r="L94" s="37" t="s">
        <v>88</v>
      </c>
      <c r="M94" s="38" t="s">
        <v>86</v>
      </c>
      <c r="N94" s="38"/>
      <c r="O94" s="37">
        <v>180</v>
      </c>
      <c r="P94" s="36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91"/>
      <c r="R94" s="291"/>
      <c r="S94" s="291"/>
      <c r="T94" s="292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53" t="s">
        <v>187</v>
      </c>
      <c r="AG94" s="81"/>
      <c r="AJ94" s="87" t="s">
        <v>89</v>
      </c>
      <c r="AK94" s="87">
        <v>1</v>
      </c>
      <c r="BB94" s="154" t="s">
        <v>122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hidden="1" customHeight="1" x14ac:dyDescent="0.25">
      <c r="A95" s="63" t="s">
        <v>192</v>
      </c>
      <c r="B95" s="63" t="s">
        <v>193</v>
      </c>
      <c r="C95" s="36">
        <v>4301135984</v>
      </c>
      <c r="D95" s="289">
        <v>4620207491874</v>
      </c>
      <c r="E95" s="289"/>
      <c r="F95" s="62">
        <v>0.48</v>
      </c>
      <c r="G95" s="37">
        <v>8</v>
      </c>
      <c r="H95" s="62">
        <v>3.84</v>
      </c>
      <c r="I95" s="62">
        <v>4.4488000000000003</v>
      </c>
      <c r="J95" s="37">
        <v>70</v>
      </c>
      <c r="K95" s="37" t="s">
        <v>123</v>
      </c>
      <c r="L95" s="37" t="s">
        <v>88</v>
      </c>
      <c r="M95" s="38" t="s">
        <v>86</v>
      </c>
      <c r="N95" s="38"/>
      <c r="O95" s="37">
        <v>180</v>
      </c>
      <c r="P95" s="36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91"/>
      <c r="R95" s="291"/>
      <c r="S95" s="291"/>
      <c r="T95" s="292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55" t="s">
        <v>187</v>
      </c>
      <c r="AG95" s="81"/>
      <c r="AJ95" s="87" t="s">
        <v>89</v>
      </c>
      <c r="AK95" s="87">
        <v>1</v>
      </c>
      <c r="BB95" s="156" t="s">
        <v>122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hidden="1" customHeight="1" x14ac:dyDescent="0.25">
      <c r="A96" s="63" t="s">
        <v>194</v>
      </c>
      <c r="B96" s="63" t="s">
        <v>195</v>
      </c>
      <c r="C96" s="36">
        <v>4301137008</v>
      </c>
      <c r="D96" s="289">
        <v>4620207491782</v>
      </c>
      <c r="E96" s="289"/>
      <c r="F96" s="62">
        <v>0.3</v>
      </c>
      <c r="G96" s="37">
        <v>14</v>
      </c>
      <c r="H96" s="62">
        <v>4.2</v>
      </c>
      <c r="I96" s="62">
        <v>4.5292000000000003</v>
      </c>
      <c r="J96" s="37">
        <v>70</v>
      </c>
      <c r="K96" s="37" t="s">
        <v>123</v>
      </c>
      <c r="L96" s="37" t="s">
        <v>88</v>
      </c>
      <c r="M96" s="38" t="s">
        <v>86</v>
      </c>
      <c r="N96" s="38"/>
      <c r="O96" s="37">
        <v>180</v>
      </c>
      <c r="P96" s="37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91"/>
      <c r="R96" s="291"/>
      <c r="S96" s="291"/>
      <c r="T96" s="292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7" t="s">
        <v>187</v>
      </c>
      <c r="AG96" s="81"/>
      <c r="AJ96" s="87" t="s">
        <v>89</v>
      </c>
      <c r="AK96" s="87">
        <v>1</v>
      </c>
      <c r="BB96" s="158" t="s">
        <v>122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x14ac:dyDescent="0.2">
      <c r="A97" s="297"/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8"/>
      <c r="P97" s="294" t="s">
        <v>40</v>
      </c>
      <c r="Q97" s="295"/>
      <c r="R97" s="295"/>
      <c r="S97" s="295"/>
      <c r="T97" s="295"/>
      <c r="U97" s="295"/>
      <c r="V97" s="296"/>
      <c r="W97" s="42" t="s">
        <v>39</v>
      </c>
      <c r="X97" s="43">
        <f>IFERROR(SUM(X91:X96),"0")</f>
        <v>180</v>
      </c>
      <c r="Y97" s="43">
        <f>IFERROR(SUM(Y91:Y96),"0")</f>
        <v>180</v>
      </c>
      <c r="Z97" s="43">
        <f>IFERROR(IF(Z91="",0,Z91),"0")+IFERROR(IF(Z92="",0,Z92),"0")+IFERROR(IF(Z93="",0,Z93),"0")+IFERROR(IF(Z94="",0,Z94),"0")+IFERROR(IF(Z95="",0,Z95),"0")+IFERROR(IF(Z96="",0,Z96),"0")</f>
        <v>3.2183999999999999</v>
      </c>
      <c r="AA97" s="67"/>
      <c r="AB97" s="67"/>
      <c r="AC97" s="67"/>
    </row>
    <row r="98" spans="1:68" x14ac:dyDescent="0.2">
      <c r="A98" s="297"/>
      <c r="B98" s="297"/>
      <c r="C98" s="297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8"/>
      <c r="P98" s="294" t="s">
        <v>40</v>
      </c>
      <c r="Q98" s="295"/>
      <c r="R98" s="295"/>
      <c r="S98" s="295"/>
      <c r="T98" s="295"/>
      <c r="U98" s="295"/>
      <c r="V98" s="296"/>
      <c r="W98" s="42" t="s">
        <v>0</v>
      </c>
      <c r="X98" s="43">
        <f>IFERROR(SUMPRODUCT(X91:X96*H91:H96),"0")</f>
        <v>518.4</v>
      </c>
      <c r="Y98" s="43">
        <f>IFERROR(SUMPRODUCT(Y91:Y96*H91:H96),"0")</f>
        <v>518.4</v>
      </c>
      <c r="Z98" s="42"/>
      <c r="AA98" s="67"/>
      <c r="AB98" s="67"/>
      <c r="AC98" s="67"/>
    </row>
    <row r="99" spans="1:68" ht="16.5" hidden="1" customHeight="1" x14ac:dyDescent="0.25">
      <c r="A99" s="317" t="s">
        <v>196</v>
      </c>
      <c r="B99" s="317"/>
      <c r="C99" s="317"/>
      <c r="D99" s="317"/>
      <c r="E99" s="317"/>
      <c r="F99" s="317"/>
      <c r="G99" s="317"/>
      <c r="H99" s="317"/>
      <c r="I99" s="317"/>
      <c r="J99" s="317"/>
      <c r="K99" s="317"/>
      <c r="L99" s="317"/>
      <c r="M99" s="317"/>
      <c r="N99" s="317"/>
      <c r="O99" s="317"/>
      <c r="P99" s="317"/>
      <c r="Q99" s="317"/>
      <c r="R99" s="317"/>
      <c r="S99" s="317"/>
      <c r="T99" s="317"/>
      <c r="U99" s="317"/>
      <c r="V99" s="317"/>
      <c r="W99" s="317"/>
      <c r="X99" s="317"/>
      <c r="Y99" s="317"/>
      <c r="Z99" s="317"/>
      <c r="AA99" s="65"/>
      <c r="AB99" s="65"/>
      <c r="AC99" s="82"/>
    </row>
    <row r="100" spans="1:68" ht="14.25" hidden="1" customHeight="1" x14ac:dyDescent="0.25">
      <c r="A100" s="309" t="s">
        <v>197</v>
      </c>
      <c r="B100" s="309"/>
      <c r="C100" s="309"/>
      <c r="D100" s="309"/>
      <c r="E100" s="309"/>
      <c r="F100" s="309"/>
      <c r="G100" s="309"/>
      <c r="H100" s="309"/>
      <c r="I100" s="309"/>
      <c r="J100" s="309"/>
      <c r="K100" s="309"/>
      <c r="L100" s="309"/>
      <c r="M100" s="309"/>
      <c r="N100" s="309"/>
      <c r="O100" s="309"/>
      <c r="P100" s="309"/>
      <c r="Q100" s="309"/>
      <c r="R100" s="309"/>
      <c r="S100" s="309"/>
      <c r="T100" s="309"/>
      <c r="U100" s="309"/>
      <c r="V100" s="309"/>
      <c r="W100" s="309"/>
      <c r="X100" s="309"/>
      <c r="Y100" s="309"/>
      <c r="Z100" s="309"/>
      <c r="AA100" s="66"/>
      <c r="AB100" s="66"/>
      <c r="AC100" s="83"/>
    </row>
    <row r="101" spans="1:68" ht="27" hidden="1" customHeight="1" x14ac:dyDescent="0.25">
      <c r="A101" s="63" t="s">
        <v>198</v>
      </c>
      <c r="B101" s="63" t="s">
        <v>199</v>
      </c>
      <c r="C101" s="36">
        <v>4301136101</v>
      </c>
      <c r="D101" s="289">
        <v>4620207491652</v>
      </c>
      <c r="E101" s="289"/>
      <c r="F101" s="62">
        <v>0.09</v>
      </c>
      <c r="G101" s="37">
        <v>24</v>
      </c>
      <c r="H101" s="62">
        <v>2.16</v>
      </c>
      <c r="I101" s="62">
        <v>2.4912000000000001</v>
      </c>
      <c r="J101" s="37">
        <v>126</v>
      </c>
      <c r="K101" s="37" t="s">
        <v>123</v>
      </c>
      <c r="L101" s="37" t="s">
        <v>88</v>
      </c>
      <c r="M101" s="38" t="s">
        <v>86</v>
      </c>
      <c r="N101" s="38"/>
      <c r="O101" s="37">
        <v>180</v>
      </c>
      <c r="P101" s="365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91"/>
      <c r="R101" s="291"/>
      <c r="S101" s="291"/>
      <c r="T101" s="292"/>
      <c r="U101" s="39" t="s">
        <v>46</v>
      </c>
      <c r="V101" s="39" t="s">
        <v>46</v>
      </c>
      <c r="W101" s="40" t="s">
        <v>39</v>
      </c>
      <c r="X101" s="58">
        <v>0</v>
      </c>
      <c r="Y101" s="55">
        <f>IFERROR(IF(X101="","",X101),"")</f>
        <v>0</v>
      </c>
      <c r="Z101" s="41">
        <f>IFERROR(IF(X101="","",X101*0.00936),"")</f>
        <v>0</v>
      </c>
      <c r="AA101" s="68" t="s">
        <v>46</v>
      </c>
      <c r="AB101" s="69" t="s">
        <v>46</v>
      </c>
      <c r="AC101" s="159" t="s">
        <v>200</v>
      </c>
      <c r="AG101" s="81"/>
      <c r="AJ101" s="87" t="s">
        <v>89</v>
      </c>
      <c r="AK101" s="87">
        <v>1</v>
      </c>
      <c r="BB101" s="160" t="s">
        <v>122</v>
      </c>
      <c r="BM101" s="81">
        <f>IFERROR(X101*I101,"0")</f>
        <v>0</v>
      </c>
      <c r="BN101" s="81">
        <f>IFERROR(Y101*I101,"0")</f>
        <v>0</v>
      </c>
      <c r="BO101" s="81">
        <f>IFERROR(X101/J101,"0")</f>
        <v>0</v>
      </c>
      <c r="BP101" s="81">
        <f>IFERROR(Y101/J101,"0")</f>
        <v>0</v>
      </c>
    </row>
    <row r="102" spans="1:68" ht="27" hidden="1" customHeight="1" x14ac:dyDescent="0.25">
      <c r="A102" s="63" t="s">
        <v>201</v>
      </c>
      <c r="B102" s="63" t="s">
        <v>202</v>
      </c>
      <c r="C102" s="36">
        <v>4301136103</v>
      </c>
      <c r="D102" s="289">
        <v>4620207491645</v>
      </c>
      <c r="E102" s="289"/>
      <c r="F102" s="62">
        <v>0.36</v>
      </c>
      <c r="G102" s="37">
        <v>10</v>
      </c>
      <c r="H102" s="62">
        <v>3.6</v>
      </c>
      <c r="I102" s="62">
        <v>4.2439999999999998</v>
      </c>
      <c r="J102" s="37">
        <v>70</v>
      </c>
      <c r="K102" s="37" t="s">
        <v>123</v>
      </c>
      <c r="L102" s="37" t="s">
        <v>88</v>
      </c>
      <c r="M102" s="38" t="s">
        <v>86</v>
      </c>
      <c r="N102" s="38"/>
      <c r="O102" s="37">
        <v>180</v>
      </c>
      <c r="P102" s="36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91"/>
      <c r="R102" s="291"/>
      <c r="S102" s="291"/>
      <c r="T102" s="292"/>
      <c r="U102" s="39" t="s">
        <v>46</v>
      </c>
      <c r="V102" s="39" t="s">
        <v>46</v>
      </c>
      <c r="W102" s="40" t="s">
        <v>39</v>
      </c>
      <c r="X102" s="58">
        <v>0</v>
      </c>
      <c r="Y102" s="55">
        <f>IFERROR(IF(X102="","",X102),"")</f>
        <v>0</v>
      </c>
      <c r="Z102" s="41">
        <f>IFERROR(IF(X102="","",X102*0.01788),"")</f>
        <v>0</v>
      </c>
      <c r="AA102" s="68" t="s">
        <v>46</v>
      </c>
      <c r="AB102" s="69" t="s">
        <v>46</v>
      </c>
      <c r="AC102" s="161" t="s">
        <v>200</v>
      </c>
      <c r="AG102" s="81"/>
      <c r="AJ102" s="87" t="s">
        <v>89</v>
      </c>
      <c r="AK102" s="87">
        <v>1</v>
      </c>
      <c r="BB102" s="162" t="s">
        <v>122</v>
      </c>
      <c r="BM102" s="81">
        <f>IFERROR(X102*I102,"0")</f>
        <v>0</v>
      </c>
      <c r="BN102" s="81">
        <f>IFERROR(Y102*I102,"0")</f>
        <v>0</v>
      </c>
      <c r="BO102" s="81">
        <f>IFERROR(X102/J102,"0")</f>
        <v>0</v>
      </c>
      <c r="BP102" s="81">
        <f>IFERROR(Y102/J102,"0")</f>
        <v>0</v>
      </c>
    </row>
    <row r="103" spans="1:68" hidden="1" x14ac:dyDescent="0.2">
      <c r="A103" s="297"/>
      <c r="B103" s="297"/>
      <c r="C103" s="297"/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298"/>
      <c r="P103" s="294" t="s">
        <v>40</v>
      </c>
      <c r="Q103" s="295"/>
      <c r="R103" s="295"/>
      <c r="S103" s="295"/>
      <c r="T103" s="295"/>
      <c r="U103" s="295"/>
      <c r="V103" s="296"/>
      <c r="W103" s="42" t="s">
        <v>39</v>
      </c>
      <c r="X103" s="43">
        <f>IFERROR(SUM(X101:X102),"0")</f>
        <v>0</v>
      </c>
      <c r="Y103" s="43">
        <f>IFERROR(SUM(Y101:Y102),"0")</f>
        <v>0</v>
      </c>
      <c r="Z103" s="43">
        <f>IFERROR(IF(Z101="",0,Z101),"0")+IFERROR(IF(Z102="",0,Z102),"0")</f>
        <v>0</v>
      </c>
      <c r="AA103" s="67"/>
      <c r="AB103" s="67"/>
      <c r="AC103" s="67"/>
    </row>
    <row r="104" spans="1:68" hidden="1" x14ac:dyDescent="0.2">
      <c r="A104" s="297"/>
      <c r="B104" s="297"/>
      <c r="C104" s="297"/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8"/>
      <c r="P104" s="294" t="s">
        <v>40</v>
      </c>
      <c r="Q104" s="295"/>
      <c r="R104" s="295"/>
      <c r="S104" s="295"/>
      <c r="T104" s="295"/>
      <c r="U104" s="295"/>
      <c r="V104" s="296"/>
      <c r="W104" s="42" t="s">
        <v>0</v>
      </c>
      <c r="X104" s="43">
        <f>IFERROR(SUMPRODUCT(X101:X102*H101:H102),"0")</f>
        <v>0</v>
      </c>
      <c r="Y104" s="43">
        <f>IFERROR(SUMPRODUCT(Y101:Y102*H101:H102),"0")</f>
        <v>0</v>
      </c>
      <c r="Z104" s="42"/>
      <c r="AA104" s="67"/>
      <c r="AB104" s="67"/>
      <c r="AC104" s="67"/>
    </row>
    <row r="105" spans="1:68" ht="16.5" hidden="1" customHeight="1" x14ac:dyDescent="0.25">
      <c r="A105" s="317" t="s">
        <v>203</v>
      </c>
      <c r="B105" s="317"/>
      <c r="C105" s="317"/>
      <c r="D105" s="317"/>
      <c r="E105" s="317"/>
      <c r="F105" s="317"/>
      <c r="G105" s="317"/>
      <c r="H105" s="317"/>
      <c r="I105" s="317"/>
      <c r="J105" s="317"/>
      <c r="K105" s="317"/>
      <c r="L105" s="317"/>
      <c r="M105" s="317"/>
      <c r="N105" s="317"/>
      <c r="O105" s="317"/>
      <c r="P105" s="317"/>
      <c r="Q105" s="317"/>
      <c r="R105" s="317"/>
      <c r="S105" s="317"/>
      <c r="T105" s="317"/>
      <c r="U105" s="317"/>
      <c r="V105" s="317"/>
      <c r="W105" s="317"/>
      <c r="X105" s="317"/>
      <c r="Y105" s="317"/>
      <c r="Z105" s="317"/>
      <c r="AA105" s="65"/>
      <c r="AB105" s="65"/>
      <c r="AC105" s="82"/>
    </row>
    <row r="106" spans="1:68" ht="14.25" hidden="1" customHeight="1" x14ac:dyDescent="0.25">
      <c r="A106" s="309" t="s">
        <v>82</v>
      </c>
      <c r="B106" s="309"/>
      <c r="C106" s="309"/>
      <c r="D106" s="309"/>
      <c r="E106" s="309"/>
      <c r="F106" s="309"/>
      <c r="G106" s="309"/>
      <c r="H106" s="309"/>
      <c r="I106" s="309"/>
      <c r="J106" s="309"/>
      <c r="K106" s="309"/>
      <c r="L106" s="309"/>
      <c r="M106" s="309"/>
      <c r="N106" s="309"/>
      <c r="O106" s="309"/>
      <c r="P106" s="309"/>
      <c r="Q106" s="309"/>
      <c r="R106" s="309"/>
      <c r="S106" s="309"/>
      <c r="T106" s="309"/>
      <c r="U106" s="309"/>
      <c r="V106" s="309"/>
      <c r="W106" s="309"/>
      <c r="X106" s="309"/>
      <c r="Y106" s="309"/>
      <c r="Z106" s="309"/>
      <c r="AA106" s="66"/>
      <c r="AB106" s="66"/>
      <c r="AC106" s="83"/>
    </row>
    <row r="107" spans="1:68" ht="27" hidden="1" customHeight="1" x14ac:dyDescent="0.25">
      <c r="A107" s="63" t="s">
        <v>204</v>
      </c>
      <c r="B107" s="63" t="s">
        <v>205</v>
      </c>
      <c r="C107" s="36">
        <v>4301071074</v>
      </c>
      <c r="D107" s="289">
        <v>4620207491157</v>
      </c>
      <c r="E107" s="289"/>
      <c r="F107" s="62">
        <v>0.7</v>
      </c>
      <c r="G107" s="37">
        <v>10</v>
      </c>
      <c r="H107" s="62">
        <v>7</v>
      </c>
      <c r="I107" s="62">
        <v>7.28</v>
      </c>
      <c r="J107" s="37">
        <v>84</v>
      </c>
      <c r="K107" s="37" t="s">
        <v>87</v>
      </c>
      <c r="L107" s="37" t="s">
        <v>124</v>
      </c>
      <c r="M107" s="38" t="s">
        <v>86</v>
      </c>
      <c r="N107" s="38"/>
      <c r="O107" s="37">
        <v>180</v>
      </c>
      <c r="P107" s="36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91"/>
      <c r="R107" s="291"/>
      <c r="S107" s="291"/>
      <c r="T107" s="292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ref="Y107:Y114" si="12">IFERROR(IF(X107="","",X107),"")</f>
        <v>0</v>
      </c>
      <c r="Z107" s="41">
        <f t="shared" ref="Z107:Z114" si="13">IFERROR(IF(X107="","",X107*0.0155),"")</f>
        <v>0</v>
      </c>
      <c r="AA107" s="68" t="s">
        <v>46</v>
      </c>
      <c r="AB107" s="69" t="s">
        <v>46</v>
      </c>
      <c r="AC107" s="163" t="s">
        <v>206</v>
      </c>
      <c r="AG107" s="81"/>
      <c r="AJ107" s="87" t="s">
        <v>125</v>
      </c>
      <c r="AK107" s="87">
        <v>12</v>
      </c>
      <c r="BB107" s="164" t="s">
        <v>70</v>
      </c>
      <c r="BM107" s="81">
        <f t="shared" ref="BM107:BM114" si="14">IFERROR(X107*I107,"0")</f>
        <v>0</v>
      </c>
      <c r="BN107" s="81">
        <f t="shared" ref="BN107:BN114" si="15">IFERROR(Y107*I107,"0")</f>
        <v>0</v>
      </c>
      <c r="BO107" s="81">
        <f t="shared" ref="BO107:BO114" si="16">IFERROR(X107/J107,"0")</f>
        <v>0</v>
      </c>
      <c r="BP107" s="81">
        <f t="shared" ref="BP107:BP114" si="17">IFERROR(Y107/J107,"0")</f>
        <v>0</v>
      </c>
    </row>
    <row r="108" spans="1:68" ht="27" hidden="1" customHeight="1" x14ac:dyDescent="0.25">
      <c r="A108" s="63" t="s">
        <v>207</v>
      </c>
      <c r="B108" s="63" t="s">
        <v>208</v>
      </c>
      <c r="C108" s="36">
        <v>4301071121</v>
      </c>
      <c r="D108" s="289">
        <v>4620207491393</v>
      </c>
      <c r="E108" s="289"/>
      <c r="F108" s="62">
        <v>0.4</v>
      </c>
      <c r="G108" s="37">
        <v>16</v>
      </c>
      <c r="H108" s="62">
        <v>6.4</v>
      </c>
      <c r="I108" s="62">
        <v>6.71</v>
      </c>
      <c r="J108" s="37">
        <v>84</v>
      </c>
      <c r="K108" s="37" t="s">
        <v>87</v>
      </c>
      <c r="L108" s="37" t="s">
        <v>88</v>
      </c>
      <c r="M108" s="38" t="s">
        <v>86</v>
      </c>
      <c r="N108" s="38"/>
      <c r="O108" s="37">
        <v>180</v>
      </c>
      <c r="P108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91"/>
      <c r="R108" s="291"/>
      <c r="S108" s="291"/>
      <c r="T108" s="292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12"/>
        <v>0</v>
      </c>
      <c r="Z108" s="41">
        <f t="shared" si="13"/>
        <v>0</v>
      </c>
      <c r="AA108" s="68" t="s">
        <v>46</v>
      </c>
      <c r="AB108" s="69" t="s">
        <v>46</v>
      </c>
      <c r="AC108" s="165" t="s">
        <v>209</v>
      </c>
      <c r="AG108" s="81"/>
      <c r="AJ108" s="87" t="s">
        <v>89</v>
      </c>
      <c r="AK108" s="87">
        <v>1</v>
      </c>
      <c r="BB108" s="166" t="s">
        <v>70</v>
      </c>
      <c r="BM108" s="81">
        <f t="shared" si="14"/>
        <v>0</v>
      </c>
      <c r="BN108" s="81">
        <f t="shared" si="15"/>
        <v>0</v>
      </c>
      <c r="BO108" s="81">
        <f t="shared" si="16"/>
        <v>0</v>
      </c>
      <c r="BP108" s="81">
        <f t="shared" si="17"/>
        <v>0</v>
      </c>
    </row>
    <row r="109" spans="1:68" ht="27" hidden="1" customHeight="1" x14ac:dyDescent="0.25">
      <c r="A109" s="63" t="s">
        <v>210</v>
      </c>
      <c r="B109" s="63" t="s">
        <v>211</v>
      </c>
      <c r="C109" s="36">
        <v>4301071051</v>
      </c>
      <c r="D109" s="289">
        <v>4607111039262</v>
      </c>
      <c r="E109" s="289"/>
      <c r="F109" s="62">
        <v>0.4</v>
      </c>
      <c r="G109" s="37">
        <v>16</v>
      </c>
      <c r="H109" s="62">
        <v>6.4</v>
      </c>
      <c r="I109" s="62">
        <v>6.7195999999999998</v>
      </c>
      <c r="J109" s="37">
        <v>84</v>
      </c>
      <c r="K109" s="37" t="s">
        <v>87</v>
      </c>
      <c r="L109" s="37" t="s">
        <v>124</v>
      </c>
      <c r="M109" s="38" t="s">
        <v>86</v>
      </c>
      <c r="N109" s="38"/>
      <c r="O109" s="37">
        <v>180</v>
      </c>
      <c r="P109" s="36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91"/>
      <c r="R109" s="291"/>
      <c r="S109" s="291"/>
      <c r="T109" s="292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si="12"/>
        <v>0</v>
      </c>
      <c r="Z109" s="41">
        <f t="shared" si="13"/>
        <v>0</v>
      </c>
      <c r="AA109" s="68" t="s">
        <v>46</v>
      </c>
      <c r="AB109" s="69" t="s">
        <v>46</v>
      </c>
      <c r="AC109" s="167" t="s">
        <v>164</v>
      </c>
      <c r="AG109" s="81"/>
      <c r="AJ109" s="87" t="s">
        <v>125</v>
      </c>
      <c r="AK109" s="87">
        <v>12</v>
      </c>
      <c r="BB109" s="168" t="s">
        <v>70</v>
      </c>
      <c r="BM109" s="81">
        <f t="shared" si="14"/>
        <v>0</v>
      </c>
      <c r="BN109" s="81">
        <f t="shared" si="15"/>
        <v>0</v>
      </c>
      <c r="BO109" s="81">
        <f t="shared" si="16"/>
        <v>0</v>
      </c>
      <c r="BP109" s="81">
        <f t="shared" si="17"/>
        <v>0</v>
      </c>
    </row>
    <row r="110" spans="1:68" ht="27" customHeight="1" x14ac:dyDescent="0.25">
      <c r="A110" s="63" t="s">
        <v>212</v>
      </c>
      <c r="B110" s="63" t="s">
        <v>213</v>
      </c>
      <c r="C110" s="36">
        <v>4301071038</v>
      </c>
      <c r="D110" s="289">
        <v>4607111039248</v>
      </c>
      <c r="E110" s="289"/>
      <c r="F110" s="62">
        <v>0.7</v>
      </c>
      <c r="G110" s="37">
        <v>10</v>
      </c>
      <c r="H110" s="62">
        <v>7</v>
      </c>
      <c r="I110" s="62">
        <v>7.3</v>
      </c>
      <c r="J110" s="37">
        <v>84</v>
      </c>
      <c r="K110" s="37" t="s">
        <v>87</v>
      </c>
      <c r="L110" s="37" t="s">
        <v>124</v>
      </c>
      <c r="M110" s="38" t="s">
        <v>86</v>
      </c>
      <c r="N110" s="38"/>
      <c r="O110" s="37">
        <v>180</v>
      </c>
      <c r="P110" s="36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91"/>
      <c r="R110" s="291"/>
      <c r="S110" s="291"/>
      <c r="T110" s="292"/>
      <c r="U110" s="39" t="s">
        <v>46</v>
      </c>
      <c r="V110" s="39" t="s">
        <v>46</v>
      </c>
      <c r="W110" s="40" t="s">
        <v>39</v>
      </c>
      <c r="X110" s="58">
        <v>24</v>
      </c>
      <c r="Y110" s="55">
        <f t="shared" si="12"/>
        <v>24</v>
      </c>
      <c r="Z110" s="41">
        <f t="shared" si="13"/>
        <v>0.372</v>
      </c>
      <c r="AA110" s="68" t="s">
        <v>46</v>
      </c>
      <c r="AB110" s="69" t="s">
        <v>46</v>
      </c>
      <c r="AC110" s="169" t="s">
        <v>164</v>
      </c>
      <c r="AG110" s="81"/>
      <c r="AJ110" s="87" t="s">
        <v>125</v>
      </c>
      <c r="AK110" s="87">
        <v>12</v>
      </c>
      <c r="BB110" s="170" t="s">
        <v>70</v>
      </c>
      <c r="BM110" s="81">
        <f t="shared" si="14"/>
        <v>175.2</v>
      </c>
      <c r="BN110" s="81">
        <f t="shared" si="15"/>
        <v>175.2</v>
      </c>
      <c r="BO110" s="81">
        <f t="shared" si="16"/>
        <v>0.2857142857142857</v>
      </c>
      <c r="BP110" s="81">
        <f t="shared" si="17"/>
        <v>0.2857142857142857</v>
      </c>
    </row>
    <row r="111" spans="1:68" ht="27" hidden="1" customHeight="1" x14ac:dyDescent="0.25">
      <c r="A111" s="63" t="s">
        <v>214</v>
      </c>
      <c r="B111" s="63" t="s">
        <v>215</v>
      </c>
      <c r="C111" s="36">
        <v>4301070979</v>
      </c>
      <c r="D111" s="289">
        <v>4607111037145</v>
      </c>
      <c r="E111" s="289"/>
      <c r="F111" s="62">
        <v>0.8</v>
      </c>
      <c r="G111" s="37">
        <v>8</v>
      </c>
      <c r="H111" s="62">
        <v>6.4</v>
      </c>
      <c r="I111" s="62">
        <v>6.6748000000000003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5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91"/>
      <c r="R111" s="291"/>
      <c r="S111" s="291"/>
      <c r="T111" s="292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71" t="s">
        <v>216</v>
      </c>
      <c r="AG111" s="81"/>
      <c r="AJ111" s="87" t="s">
        <v>89</v>
      </c>
      <c r="AK111" s="87">
        <v>1</v>
      </c>
      <c r="BB111" s="172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217</v>
      </c>
      <c r="B112" s="63" t="s">
        <v>218</v>
      </c>
      <c r="C112" s="36">
        <v>4301071075</v>
      </c>
      <c r="D112" s="289">
        <v>4620207491102</v>
      </c>
      <c r="E112" s="289"/>
      <c r="F112" s="62">
        <v>0.7</v>
      </c>
      <c r="G112" s="37">
        <v>10</v>
      </c>
      <c r="H112" s="62">
        <v>7</v>
      </c>
      <c r="I112" s="62">
        <v>7.23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358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2" s="291"/>
      <c r="R112" s="291"/>
      <c r="S112" s="291"/>
      <c r="T112" s="292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73" t="s">
        <v>219</v>
      </c>
      <c r="AG112" s="81"/>
      <c r="AJ112" s="87" t="s">
        <v>89</v>
      </c>
      <c r="AK112" s="87">
        <v>1</v>
      </c>
      <c r="BB112" s="174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220</v>
      </c>
      <c r="B113" s="63" t="s">
        <v>221</v>
      </c>
      <c r="C113" s="36">
        <v>4301071139</v>
      </c>
      <c r="D113" s="289">
        <v>4607111039293</v>
      </c>
      <c r="E113" s="289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359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3" s="291"/>
      <c r="R113" s="291"/>
      <c r="S113" s="291"/>
      <c r="T113" s="29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75" t="s">
        <v>222</v>
      </c>
      <c r="AG113" s="81"/>
      <c r="AJ113" s="87" t="s">
        <v>89</v>
      </c>
      <c r="AK113" s="87">
        <v>1</v>
      </c>
      <c r="BB113" s="176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4301071138</v>
      </c>
      <c r="D114" s="289">
        <v>4607111039279</v>
      </c>
      <c r="E114" s="289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60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4" s="291"/>
      <c r="R114" s="291"/>
      <c r="S114" s="291"/>
      <c r="T114" s="292"/>
      <c r="U114" s="39" t="s">
        <v>46</v>
      </c>
      <c r="V114" s="39" t="s">
        <v>46</v>
      </c>
      <c r="W114" s="40" t="s">
        <v>39</v>
      </c>
      <c r="X114" s="58">
        <v>20</v>
      </c>
      <c r="Y114" s="55">
        <f t="shared" si="12"/>
        <v>20</v>
      </c>
      <c r="Z114" s="41">
        <f t="shared" si="13"/>
        <v>0.31</v>
      </c>
      <c r="AA114" s="68" t="s">
        <v>46</v>
      </c>
      <c r="AB114" s="69" t="s">
        <v>46</v>
      </c>
      <c r="AC114" s="177" t="s">
        <v>222</v>
      </c>
      <c r="AG114" s="81"/>
      <c r="AJ114" s="87" t="s">
        <v>89</v>
      </c>
      <c r="AK114" s="87">
        <v>1</v>
      </c>
      <c r="BB114" s="178" t="s">
        <v>70</v>
      </c>
      <c r="BM114" s="81">
        <f t="shared" si="14"/>
        <v>146</v>
      </c>
      <c r="BN114" s="81">
        <f t="shared" si="15"/>
        <v>146</v>
      </c>
      <c r="BO114" s="81">
        <f t="shared" si="16"/>
        <v>0.23809523809523808</v>
      </c>
      <c r="BP114" s="81">
        <f t="shared" si="17"/>
        <v>0.23809523809523808</v>
      </c>
    </row>
    <row r="115" spans="1:68" x14ac:dyDescent="0.2">
      <c r="A115" s="297"/>
      <c r="B115" s="297"/>
      <c r="C115" s="297"/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8"/>
      <c r="P115" s="294" t="s">
        <v>40</v>
      </c>
      <c r="Q115" s="295"/>
      <c r="R115" s="295"/>
      <c r="S115" s="295"/>
      <c r="T115" s="295"/>
      <c r="U115" s="295"/>
      <c r="V115" s="296"/>
      <c r="W115" s="42" t="s">
        <v>39</v>
      </c>
      <c r="X115" s="43">
        <f>IFERROR(SUM(X107:X114),"0")</f>
        <v>44</v>
      </c>
      <c r="Y115" s="43">
        <f>IFERROR(SUM(Y107:Y114),"0")</f>
        <v>44</v>
      </c>
      <c r="Z115" s="43">
        <f>IFERROR(IF(Z107="",0,Z107),"0")+IFERROR(IF(Z108="",0,Z108),"0")+IFERROR(IF(Z109="",0,Z109),"0")+IFERROR(IF(Z110="",0,Z110),"0")+IFERROR(IF(Z111="",0,Z111),"0")+IFERROR(IF(Z112="",0,Z112),"0")+IFERROR(IF(Z113="",0,Z113),"0")+IFERROR(IF(Z114="",0,Z114),"0")</f>
        <v>0.68199999999999994</v>
      </c>
      <c r="AA115" s="67"/>
      <c r="AB115" s="67"/>
      <c r="AC115" s="67"/>
    </row>
    <row r="116" spans="1:68" x14ac:dyDescent="0.2">
      <c r="A116" s="297"/>
      <c r="B116" s="297"/>
      <c r="C116" s="297"/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8"/>
      <c r="P116" s="294" t="s">
        <v>40</v>
      </c>
      <c r="Q116" s="295"/>
      <c r="R116" s="295"/>
      <c r="S116" s="295"/>
      <c r="T116" s="295"/>
      <c r="U116" s="295"/>
      <c r="V116" s="296"/>
      <c r="W116" s="42" t="s">
        <v>0</v>
      </c>
      <c r="X116" s="43">
        <f>IFERROR(SUMPRODUCT(X107:X114*H107:H114),"0")</f>
        <v>308</v>
      </c>
      <c r="Y116" s="43">
        <f>IFERROR(SUMPRODUCT(Y107:Y114*H107:H114),"0")</f>
        <v>308</v>
      </c>
      <c r="Z116" s="42"/>
      <c r="AA116" s="67"/>
      <c r="AB116" s="67"/>
      <c r="AC116" s="67"/>
    </row>
    <row r="117" spans="1:68" ht="14.25" hidden="1" customHeight="1" x14ac:dyDescent="0.25">
      <c r="A117" s="309" t="s">
        <v>169</v>
      </c>
      <c r="B117" s="309"/>
      <c r="C117" s="309"/>
      <c r="D117" s="309"/>
      <c r="E117" s="309"/>
      <c r="F117" s="309"/>
      <c r="G117" s="309"/>
      <c r="H117" s="309"/>
      <c r="I117" s="309"/>
      <c r="J117" s="309"/>
      <c r="K117" s="309"/>
      <c r="L117" s="309"/>
      <c r="M117" s="309"/>
      <c r="N117" s="309"/>
      <c r="O117" s="309"/>
      <c r="P117" s="309"/>
      <c r="Q117" s="309"/>
      <c r="R117" s="309"/>
      <c r="S117" s="309"/>
      <c r="T117" s="309"/>
      <c r="U117" s="309"/>
      <c r="V117" s="309"/>
      <c r="W117" s="309"/>
      <c r="X117" s="309"/>
      <c r="Y117" s="309"/>
      <c r="Z117" s="309"/>
      <c r="AA117" s="66"/>
      <c r="AB117" s="66"/>
      <c r="AC117" s="83"/>
    </row>
    <row r="118" spans="1:68" ht="27" hidden="1" customHeight="1" x14ac:dyDescent="0.25">
      <c r="A118" s="63" t="s">
        <v>225</v>
      </c>
      <c r="B118" s="63" t="s">
        <v>226</v>
      </c>
      <c r="C118" s="36">
        <v>4301135826</v>
      </c>
      <c r="D118" s="289">
        <v>4620207490983</v>
      </c>
      <c r="E118" s="289"/>
      <c r="F118" s="62">
        <v>0.22</v>
      </c>
      <c r="G118" s="37">
        <v>12</v>
      </c>
      <c r="H118" s="62">
        <v>2.64</v>
      </c>
      <c r="I118" s="62">
        <v>3.3435999999999999</v>
      </c>
      <c r="J118" s="37">
        <v>70</v>
      </c>
      <c r="K118" s="37" t="s">
        <v>123</v>
      </c>
      <c r="L118" s="37" t="s">
        <v>88</v>
      </c>
      <c r="M118" s="38" t="s">
        <v>86</v>
      </c>
      <c r="N118" s="38"/>
      <c r="O118" s="37">
        <v>180</v>
      </c>
      <c r="P118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8" s="291"/>
      <c r="R118" s="291"/>
      <c r="S118" s="291"/>
      <c r="T118" s="292"/>
      <c r="U118" s="39" t="s">
        <v>46</v>
      </c>
      <c r="V118" s="39" t="s">
        <v>46</v>
      </c>
      <c r="W118" s="40" t="s">
        <v>39</v>
      </c>
      <c r="X118" s="58">
        <v>0</v>
      </c>
      <c r="Y118" s="55">
        <f>IFERROR(IF(X118="","",X118),"")</f>
        <v>0</v>
      </c>
      <c r="Z118" s="41">
        <f>IFERROR(IF(X118="","",X118*0.01788),"")</f>
        <v>0</v>
      </c>
      <c r="AA118" s="68" t="s">
        <v>46</v>
      </c>
      <c r="AB118" s="69" t="s">
        <v>46</v>
      </c>
      <c r="AC118" s="179" t="s">
        <v>227</v>
      </c>
      <c r="AG118" s="81"/>
      <c r="AJ118" s="87" t="s">
        <v>89</v>
      </c>
      <c r="AK118" s="87">
        <v>1</v>
      </c>
      <c r="BB118" s="180" t="s">
        <v>122</v>
      </c>
      <c r="BM118" s="81">
        <f>IFERROR(X118*I118,"0")</f>
        <v>0</v>
      </c>
      <c r="BN118" s="81">
        <f>IFERROR(Y118*I118,"0")</f>
        <v>0</v>
      </c>
      <c r="BO118" s="81">
        <f>IFERROR(X118/J118,"0")</f>
        <v>0</v>
      </c>
      <c r="BP118" s="81">
        <f>IFERROR(Y118/J118,"0")</f>
        <v>0</v>
      </c>
    </row>
    <row r="119" spans="1:68" hidden="1" x14ac:dyDescent="0.2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8"/>
      <c r="P119" s="294" t="s">
        <v>40</v>
      </c>
      <c r="Q119" s="295"/>
      <c r="R119" s="295"/>
      <c r="S119" s="295"/>
      <c r="T119" s="295"/>
      <c r="U119" s="295"/>
      <c r="V119" s="296"/>
      <c r="W119" s="42" t="s">
        <v>39</v>
      </c>
      <c r="X119" s="43">
        <f>IFERROR(SUM(X118:X118),"0")</f>
        <v>0</v>
      </c>
      <c r="Y119" s="43">
        <f>IFERROR(SUM(Y118:Y118),"0")</f>
        <v>0</v>
      </c>
      <c r="Z119" s="43">
        <f>IFERROR(IF(Z118="",0,Z118),"0")</f>
        <v>0</v>
      </c>
      <c r="AA119" s="67"/>
      <c r="AB119" s="67"/>
      <c r="AC119" s="67"/>
    </row>
    <row r="120" spans="1:68" hidden="1" x14ac:dyDescent="0.2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8"/>
      <c r="P120" s="294" t="s">
        <v>40</v>
      </c>
      <c r="Q120" s="295"/>
      <c r="R120" s="295"/>
      <c r="S120" s="295"/>
      <c r="T120" s="295"/>
      <c r="U120" s="295"/>
      <c r="V120" s="296"/>
      <c r="W120" s="42" t="s">
        <v>0</v>
      </c>
      <c r="X120" s="43">
        <f>IFERROR(SUMPRODUCT(X118:X118*H118:H118),"0")</f>
        <v>0</v>
      </c>
      <c r="Y120" s="43">
        <f>IFERROR(SUMPRODUCT(Y118:Y118*H118:H118),"0")</f>
        <v>0</v>
      </c>
      <c r="Z120" s="42"/>
      <c r="AA120" s="67"/>
      <c r="AB120" s="67"/>
      <c r="AC120" s="67"/>
    </row>
    <row r="121" spans="1:68" ht="14.25" hidden="1" customHeight="1" x14ac:dyDescent="0.25">
      <c r="A121" s="309" t="s">
        <v>228</v>
      </c>
      <c r="B121" s="309"/>
      <c r="C121" s="309"/>
      <c r="D121" s="309"/>
      <c r="E121" s="309"/>
      <c r="F121" s="309"/>
      <c r="G121" s="309"/>
      <c r="H121" s="309"/>
      <c r="I121" s="309"/>
      <c r="J121" s="309"/>
      <c r="K121" s="309"/>
      <c r="L121" s="309"/>
      <c r="M121" s="309"/>
      <c r="N121" s="309"/>
      <c r="O121" s="309"/>
      <c r="P121" s="309"/>
      <c r="Q121" s="309"/>
      <c r="R121" s="309"/>
      <c r="S121" s="309"/>
      <c r="T121" s="309"/>
      <c r="U121" s="309"/>
      <c r="V121" s="309"/>
      <c r="W121" s="309"/>
      <c r="X121" s="309"/>
      <c r="Y121" s="309"/>
      <c r="Z121" s="309"/>
      <c r="AA121" s="66"/>
      <c r="AB121" s="66"/>
      <c r="AC121" s="83"/>
    </row>
    <row r="122" spans="1:68" ht="27" hidden="1" customHeight="1" x14ac:dyDescent="0.25">
      <c r="A122" s="63" t="s">
        <v>229</v>
      </c>
      <c r="B122" s="63" t="s">
        <v>230</v>
      </c>
      <c r="C122" s="36">
        <v>4301071094</v>
      </c>
      <c r="D122" s="289">
        <v>4620207491140</v>
      </c>
      <c r="E122" s="289"/>
      <c r="F122" s="62">
        <v>0.6</v>
      </c>
      <c r="G122" s="37">
        <v>10</v>
      </c>
      <c r="H122" s="62">
        <v>6</v>
      </c>
      <c r="I122" s="62">
        <v>6.28</v>
      </c>
      <c r="J122" s="37">
        <v>84</v>
      </c>
      <c r="K122" s="37" t="s">
        <v>87</v>
      </c>
      <c r="L122" s="37" t="s">
        <v>88</v>
      </c>
      <c r="M122" s="38" t="s">
        <v>86</v>
      </c>
      <c r="N122" s="38"/>
      <c r="O122" s="37">
        <v>180</v>
      </c>
      <c r="P122" s="3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2" s="291"/>
      <c r="R122" s="291"/>
      <c r="S122" s="291"/>
      <c r="T122" s="292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IFERROR(IF(X122="","",X122*0.0155),"")</f>
        <v>0</v>
      </c>
      <c r="AA122" s="68" t="s">
        <v>46</v>
      </c>
      <c r="AB122" s="69" t="s">
        <v>46</v>
      </c>
      <c r="AC122" s="181" t="s">
        <v>231</v>
      </c>
      <c r="AG122" s="81"/>
      <c r="AJ122" s="87" t="s">
        <v>89</v>
      </c>
      <c r="AK122" s="87">
        <v>1</v>
      </c>
      <c r="BB122" s="182" t="s">
        <v>122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8"/>
      <c r="P123" s="294" t="s">
        <v>40</v>
      </c>
      <c r="Q123" s="295"/>
      <c r="R123" s="295"/>
      <c r="S123" s="295"/>
      <c r="T123" s="295"/>
      <c r="U123" s="295"/>
      <c r="V123" s="296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8"/>
      <c r="P124" s="294" t="s">
        <v>40</v>
      </c>
      <c r="Q124" s="295"/>
      <c r="R124" s="295"/>
      <c r="S124" s="295"/>
      <c r="T124" s="295"/>
      <c r="U124" s="295"/>
      <c r="V124" s="296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6.5" hidden="1" customHeight="1" x14ac:dyDescent="0.25">
      <c r="A125" s="317" t="s">
        <v>232</v>
      </c>
      <c r="B125" s="317"/>
      <c r="C125" s="317"/>
      <c r="D125" s="317"/>
      <c r="E125" s="317"/>
      <c r="F125" s="317"/>
      <c r="G125" s="317"/>
      <c r="H125" s="317"/>
      <c r="I125" s="317"/>
      <c r="J125" s="317"/>
      <c r="K125" s="317"/>
      <c r="L125" s="317"/>
      <c r="M125" s="317"/>
      <c r="N125" s="317"/>
      <c r="O125" s="317"/>
      <c r="P125" s="317"/>
      <c r="Q125" s="317"/>
      <c r="R125" s="317"/>
      <c r="S125" s="317"/>
      <c r="T125" s="317"/>
      <c r="U125" s="317"/>
      <c r="V125" s="317"/>
      <c r="W125" s="317"/>
      <c r="X125" s="317"/>
      <c r="Y125" s="317"/>
      <c r="Z125" s="317"/>
      <c r="AA125" s="65"/>
      <c r="AB125" s="65"/>
      <c r="AC125" s="82"/>
    </row>
    <row r="126" spans="1:68" ht="14.25" hidden="1" customHeight="1" x14ac:dyDescent="0.25">
      <c r="A126" s="309" t="s">
        <v>82</v>
      </c>
      <c r="B126" s="309"/>
      <c r="C126" s="309"/>
      <c r="D126" s="309"/>
      <c r="E126" s="309"/>
      <c r="F126" s="309"/>
      <c r="G126" s="309"/>
      <c r="H126" s="309"/>
      <c r="I126" s="309"/>
      <c r="J126" s="309"/>
      <c r="K126" s="309"/>
      <c r="L126" s="309"/>
      <c r="M126" s="309"/>
      <c r="N126" s="309"/>
      <c r="O126" s="309"/>
      <c r="P126" s="309"/>
      <c r="Q126" s="309"/>
      <c r="R126" s="309"/>
      <c r="S126" s="309"/>
      <c r="T126" s="309"/>
      <c r="U126" s="309"/>
      <c r="V126" s="309"/>
      <c r="W126" s="309"/>
      <c r="X126" s="309"/>
      <c r="Y126" s="309"/>
      <c r="Z126" s="309"/>
      <c r="AA126" s="66"/>
      <c r="AB126" s="66"/>
      <c r="AC126" s="83"/>
    </row>
    <row r="127" spans="1:68" ht="27" hidden="1" customHeight="1" x14ac:dyDescent="0.25">
      <c r="A127" s="63" t="s">
        <v>233</v>
      </c>
      <c r="B127" s="63" t="s">
        <v>234</v>
      </c>
      <c r="C127" s="36">
        <v>4301071142</v>
      </c>
      <c r="D127" s="289">
        <v>4620207491904</v>
      </c>
      <c r="E127" s="289"/>
      <c r="F127" s="62">
        <v>0.56999999999999995</v>
      </c>
      <c r="G127" s="37">
        <v>10</v>
      </c>
      <c r="H127" s="62">
        <v>5.7</v>
      </c>
      <c r="I127" s="62">
        <v>5.98</v>
      </c>
      <c r="J127" s="37">
        <v>84</v>
      </c>
      <c r="K127" s="37" t="s">
        <v>87</v>
      </c>
      <c r="L127" s="37" t="s">
        <v>88</v>
      </c>
      <c r="M127" s="38" t="s">
        <v>86</v>
      </c>
      <c r="N127" s="38"/>
      <c r="O127" s="37">
        <v>180</v>
      </c>
      <c r="P127" s="35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7" s="291"/>
      <c r="R127" s="291"/>
      <c r="S127" s="291"/>
      <c r="T127" s="292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IFERROR(IF(X127="","",X127*0.0155),"")</f>
        <v>0</v>
      </c>
      <c r="AA127" s="68" t="s">
        <v>46</v>
      </c>
      <c r="AB127" s="69" t="s">
        <v>110</v>
      </c>
      <c r="AC127" s="183" t="s">
        <v>235</v>
      </c>
      <c r="AG127" s="81"/>
      <c r="AJ127" s="87" t="s">
        <v>89</v>
      </c>
      <c r="AK127" s="87">
        <v>1</v>
      </c>
      <c r="BB127" s="184" t="s">
        <v>70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hidden="1" x14ac:dyDescent="0.2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8"/>
      <c r="P128" s="294" t="s">
        <v>40</v>
      </c>
      <c r="Q128" s="295"/>
      <c r="R128" s="295"/>
      <c r="S128" s="295"/>
      <c r="T128" s="295"/>
      <c r="U128" s="295"/>
      <c r="V128" s="296"/>
      <c r="W128" s="42" t="s">
        <v>39</v>
      </c>
      <c r="X128" s="43">
        <f>IFERROR(SUM(X127:X127),"0")</f>
        <v>0</v>
      </c>
      <c r="Y128" s="43">
        <f>IFERROR(SUM(Y127:Y127),"0")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297"/>
      <c r="B129" s="297"/>
      <c r="C129" s="297"/>
      <c r="D129" s="297"/>
      <c r="E129" s="297"/>
      <c r="F129" s="297"/>
      <c r="G129" s="297"/>
      <c r="H129" s="297"/>
      <c r="I129" s="297"/>
      <c r="J129" s="297"/>
      <c r="K129" s="297"/>
      <c r="L129" s="297"/>
      <c r="M129" s="297"/>
      <c r="N129" s="297"/>
      <c r="O129" s="298"/>
      <c r="P129" s="294" t="s">
        <v>40</v>
      </c>
      <c r="Q129" s="295"/>
      <c r="R129" s="295"/>
      <c r="S129" s="295"/>
      <c r="T129" s="295"/>
      <c r="U129" s="295"/>
      <c r="V129" s="296"/>
      <c r="W129" s="42" t="s">
        <v>0</v>
      </c>
      <c r="X129" s="43">
        <f>IFERROR(SUMPRODUCT(X127:X127*H127:H127),"0")</f>
        <v>0</v>
      </c>
      <c r="Y129" s="43">
        <f>IFERROR(SUMPRODUCT(Y127:Y127*H127:H127),"0")</f>
        <v>0</v>
      </c>
      <c r="Z129" s="42"/>
      <c r="AA129" s="67"/>
      <c r="AB129" s="67"/>
      <c r="AC129" s="67"/>
    </row>
    <row r="130" spans="1:68" ht="14.25" hidden="1" customHeight="1" x14ac:dyDescent="0.25">
      <c r="A130" s="309" t="s">
        <v>169</v>
      </c>
      <c r="B130" s="309"/>
      <c r="C130" s="309"/>
      <c r="D130" s="309"/>
      <c r="E130" s="309"/>
      <c r="F130" s="309"/>
      <c r="G130" s="309"/>
      <c r="H130" s="309"/>
      <c r="I130" s="309"/>
      <c r="J130" s="309"/>
      <c r="K130" s="309"/>
      <c r="L130" s="309"/>
      <c r="M130" s="309"/>
      <c r="N130" s="309"/>
      <c r="O130" s="309"/>
      <c r="P130" s="309"/>
      <c r="Q130" s="309"/>
      <c r="R130" s="309"/>
      <c r="S130" s="309"/>
      <c r="T130" s="309"/>
      <c r="U130" s="309"/>
      <c r="V130" s="309"/>
      <c r="W130" s="309"/>
      <c r="X130" s="309"/>
      <c r="Y130" s="309"/>
      <c r="Z130" s="309"/>
      <c r="AA130" s="66"/>
      <c r="AB130" s="66"/>
      <c r="AC130" s="83"/>
    </row>
    <row r="131" spans="1:68" ht="27" hidden="1" customHeight="1" x14ac:dyDescent="0.25">
      <c r="A131" s="63" t="s">
        <v>236</v>
      </c>
      <c r="B131" s="63" t="s">
        <v>237</v>
      </c>
      <c r="C131" s="36">
        <v>4301135850</v>
      </c>
      <c r="D131" s="289">
        <v>4620207491492</v>
      </c>
      <c r="E131" s="289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123</v>
      </c>
      <c r="L131" s="37" t="s">
        <v>88</v>
      </c>
      <c r="M131" s="38" t="s">
        <v>86</v>
      </c>
      <c r="N131" s="38"/>
      <c r="O131" s="37">
        <v>180</v>
      </c>
      <c r="P131" s="35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1"/>
      <c r="R131" s="291"/>
      <c r="S131" s="291"/>
      <c r="T131" s="292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238</v>
      </c>
      <c r="AG131" s="81"/>
      <c r="AJ131" s="87" t="s">
        <v>89</v>
      </c>
      <c r="AK131" s="87">
        <v>1</v>
      </c>
      <c r="BB131" s="186" t="s">
        <v>122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hidden="1" customHeight="1" x14ac:dyDescent="0.25">
      <c r="A132" s="63" t="s">
        <v>239</v>
      </c>
      <c r="B132" s="63" t="s">
        <v>240</v>
      </c>
      <c r="C132" s="36">
        <v>4301190118</v>
      </c>
      <c r="D132" s="289">
        <v>4620207491461</v>
      </c>
      <c r="E132" s="289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123</v>
      </c>
      <c r="L132" s="37" t="s">
        <v>88</v>
      </c>
      <c r="M132" s="38" t="s">
        <v>86</v>
      </c>
      <c r="N132" s="38"/>
      <c r="O132" s="37">
        <v>180</v>
      </c>
      <c r="P132" s="35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1"/>
      <c r="R132" s="291"/>
      <c r="S132" s="291"/>
      <c r="T132" s="292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238</v>
      </c>
      <c r="AG132" s="81"/>
      <c r="AJ132" s="87" t="s">
        <v>89</v>
      </c>
      <c r="AK132" s="87">
        <v>1</v>
      </c>
      <c r="BB132" s="188" t="s">
        <v>122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hidden="1" customHeight="1" x14ac:dyDescent="0.25">
      <c r="A133" s="63" t="s">
        <v>241</v>
      </c>
      <c r="B133" s="63" t="s">
        <v>242</v>
      </c>
      <c r="C133" s="36">
        <v>4301135865</v>
      </c>
      <c r="D133" s="289">
        <v>4620207491485</v>
      </c>
      <c r="E133" s="289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123</v>
      </c>
      <c r="L133" s="37" t="s">
        <v>88</v>
      </c>
      <c r="M133" s="38" t="s">
        <v>86</v>
      </c>
      <c r="N133" s="38"/>
      <c r="O133" s="37">
        <v>180</v>
      </c>
      <c r="P133" s="3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1"/>
      <c r="R133" s="291"/>
      <c r="S133" s="291"/>
      <c r="T133" s="292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238</v>
      </c>
      <c r="AG133" s="81"/>
      <c r="AJ133" s="87" t="s">
        <v>89</v>
      </c>
      <c r="AK133" s="87">
        <v>1</v>
      </c>
      <c r="BB133" s="190" t="s">
        <v>122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hidden="1" customHeight="1" x14ac:dyDescent="0.25">
      <c r="A134" s="63" t="s">
        <v>243</v>
      </c>
      <c r="B134" s="63" t="s">
        <v>244</v>
      </c>
      <c r="C134" s="36">
        <v>4301135848</v>
      </c>
      <c r="D134" s="289">
        <v>4620207491799</v>
      </c>
      <c r="E134" s="289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123</v>
      </c>
      <c r="L134" s="37" t="s">
        <v>88</v>
      </c>
      <c r="M134" s="38" t="s">
        <v>86</v>
      </c>
      <c r="N134" s="38"/>
      <c r="O134" s="37">
        <v>180</v>
      </c>
      <c r="P134" s="353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1"/>
      <c r="R134" s="291"/>
      <c r="S134" s="291"/>
      <c r="T134" s="292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91" t="s">
        <v>238</v>
      </c>
      <c r="AG134" s="81"/>
      <c r="AJ134" s="87" t="s">
        <v>89</v>
      </c>
      <c r="AK134" s="87">
        <v>1</v>
      </c>
      <c r="BB134" s="192" t="s">
        <v>122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idden="1" x14ac:dyDescent="0.2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8"/>
      <c r="P135" s="294" t="s">
        <v>40</v>
      </c>
      <c r="Q135" s="295"/>
      <c r="R135" s="295"/>
      <c r="S135" s="295"/>
      <c r="T135" s="295"/>
      <c r="U135" s="295"/>
      <c r="V135" s="296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hidden="1" x14ac:dyDescent="0.2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8"/>
      <c r="P136" s="294" t="s">
        <v>40</v>
      </c>
      <c r="Q136" s="295"/>
      <c r="R136" s="295"/>
      <c r="S136" s="295"/>
      <c r="T136" s="295"/>
      <c r="U136" s="295"/>
      <c r="V136" s="296"/>
      <c r="W136" s="42" t="s">
        <v>0</v>
      </c>
      <c r="X136" s="43">
        <f>IFERROR(SUMPRODUCT(X131:X134*H131:H134),"0")</f>
        <v>0</v>
      </c>
      <c r="Y136" s="43">
        <f>IFERROR(SUMPRODUCT(Y131:Y134*H131:H134),"0")</f>
        <v>0</v>
      </c>
      <c r="Z136" s="42"/>
      <c r="AA136" s="67"/>
      <c r="AB136" s="67"/>
      <c r="AC136" s="67"/>
    </row>
    <row r="137" spans="1:68" ht="14.25" hidden="1" customHeight="1" x14ac:dyDescent="0.25">
      <c r="A137" s="309" t="s">
        <v>245</v>
      </c>
      <c r="B137" s="309"/>
      <c r="C137" s="309"/>
      <c r="D137" s="309"/>
      <c r="E137" s="309"/>
      <c r="F137" s="309"/>
      <c r="G137" s="309"/>
      <c r="H137" s="309"/>
      <c r="I137" s="309"/>
      <c r="J137" s="309"/>
      <c r="K137" s="309"/>
      <c r="L137" s="309"/>
      <c r="M137" s="309"/>
      <c r="N137" s="309"/>
      <c r="O137" s="309"/>
      <c r="P137" s="309"/>
      <c r="Q137" s="309"/>
      <c r="R137" s="309"/>
      <c r="S137" s="309"/>
      <c r="T137" s="309"/>
      <c r="U137" s="309"/>
      <c r="V137" s="309"/>
      <c r="W137" s="309"/>
      <c r="X137" s="309"/>
      <c r="Y137" s="309"/>
      <c r="Z137" s="309"/>
      <c r="AA137" s="66"/>
      <c r="AB137" s="66"/>
      <c r="AC137" s="83"/>
    </row>
    <row r="138" spans="1:68" ht="27" hidden="1" customHeight="1" x14ac:dyDescent="0.25">
      <c r="A138" s="63" t="s">
        <v>246</v>
      </c>
      <c r="B138" s="63" t="s">
        <v>247</v>
      </c>
      <c r="C138" s="36">
        <v>4301190117</v>
      </c>
      <c r="D138" s="289">
        <v>4620207491386</v>
      </c>
      <c r="E138" s="289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123</v>
      </c>
      <c r="L138" s="37" t="s">
        <v>88</v>
      </c>
      <c r="M138" s="38" t="s">
        <v>86</v>
      </c>
      <c r="N138" s="38"/>
      <c r="O138" s="37">
        <v>180</v>
      </c>
      <c r="P138" s="34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1"/>
      <c r="R138" s="291"/>
      <c r="S138" s="291"/>
      <c r="T138" s="292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248</v>
      </c>
      <c r="AG138" s="81"/>
      <c r="AJ138" s="87" t="s">
        <v>89</v>
      </c>
      <c r="AK138" s="87">
        <v>1</v>
      </c>
      <c r="BB138" s="194" t="s">
        <v>122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249</v>
      </c>
      <c r="B139" s="63" t="s">
        <v>250</v>
      </c>
      <c r="C139" s="36">
        <v>4301190115</v>
      </c>
      <c r="D139" s="289">
        <v>4620207491362</v>
      </c>
      <c r="E139" s="289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123</v>
      </c>
      <c r="L139" s="37" t="s">
        <v>88</v>
      </c>
      <c r="M139" s="38" t="s">
        <v>86</v>
      </c>
      <c r="N139" s="38"/>
      <c r="O139" s="37">
        <v>180</v>
      </c>
      <c r="P139" s="34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1"/>
      <c r="R139" s="291"/>
      <c r="S139" s="291"/>
      <c r="T139" s="292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248</v>
      </c>
      <c r="AG139" s="81"/>
      <c r="AJ139" s="87" t="s">
        <v>89</v>
      </c>
      <c r="AK139" s="87">
        <v>1</v>
      </c>
      <c r="BB139" s="196" t="s">
        <v>122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251</v>
      </c>
      <c r="B140" s="63" t="s">
        <v>252</v>
      </c>
      <c r="C140" s="36">
        <v>4301190116</v>
      </c>
      <c r="D140" s="289">
        <v>4620207491379</v>
      </c>
      <c r="E140" s="289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123</v>
      </c>
      <c r="L140" s="37" t="s">
        <v>88</v>
      </c>
      <c r="M140" s="38" t="s">
        <v>86</v>
      </c>
      <c r="N140" s="38"/>
      <c r="O140" s="37">
        <v>180</v>
      </c>
      <c r="P140" s="34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1"/>
      <c r="R140" s="291"/>
      <c r="S140" s="291"/>
      <c r="T140" s="292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248</v>
      </c>
      <c r="AG140" s="81"/>
      <c r="AJ140" s="87" t="s">
        <v>89</v>
      </c>
      <c r="AK140" s="87">
        <v>1</v>
      </c>
      <c r="BB140" s="198" t="s">
        <v>122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8"/>
      <c r="P141" s="294" t="s">
        <v>40</v>
      </c>
      <c r="Q141" s="295"/>
      <c r="R141" s="295"/>
      <c r="S141" s="295"/>
      <c r="T141" s="295"/>
      <c r="U141" s="295"/>
      <c r="V141" s="296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8"/>
      <c r="P142" s="294" t="s">
        <v>40</v>
      </c>
      <c r="Q142" s="295"/>
      <c r="R142" s="295"/>
      <c r="S142" s="295"/>
      <c r="T142" s="295"/>
      <c r="U142" s="295"/>
      <c r="V142" s="296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17" t="s">
        <v>253</v>
      </c>
      <c r="B143" s="317"/>
      <c r="C143" s="317"/>
      <c r="D143" s="317"/>
      <c r="E143" s="317"/>
      <c r="F143" s="317"/>
      <c r="G143" s="317"/>
      <c r="H143" s="317"/>
      <c r="I143" s="317"/>
      <c r="J143" s="317"/>
      <c r="K143" s="317"/>
      <c r="L143" s="317"/>
      <c r="M143" s="317"/>
      <c r="N143" s="317"/>
      <c r="O143" s="317"/>
      <c r="P143" s="317"/>
      <c r="Q143" s="317"/>
      <c r="R143" s="317"/>
      <c r="S143" s="317"/>
      <c r="T143" s="317"/>
      <c r="U143" s="317"/>
      <c r="V143" s="317"/>
      <c r="W143" s="317"/>
      <c r="X143" s="317"/>
      <c r="Y143" s="317"/>
      <c r="Z143" s="317"/>
      <c r="AA143" s="65"/>
      <c r="AB143" s="65"/>
      <c r="AC143" s="82"/>
    </row>
    <row r="144" spans="1:68" ht="14.25" hidden="1" customHeight="1" x14ac:dyDescent="0.25">
      <c r="A144" s="309" t="s">
        <v>169</v>
      </c>
      <c r="B144" s="309"/>
      <c r="C144" s="309"/>
      <c r="D144" s="309"/>
      <c r="E144" s="309"/>
      <c r="F144" s="309"/>
      <c r="G144" s="309"/>
      <c r="H144" s="309"/>
      <c r="I144" s="309"/>
      <c r="J144" s="309"/>
      <c r="K144" s="309"/>
      <c r="L144" s="309"/>
      <c r="M144" s="309"/>
      <c r="N144" s="309"/>
      <c r="O144" s="309"/>
      <c r="P144" s="309"/>
      <c r="Q144" s="309"/>
      <c r="R144" s="309"/>
      <c r="S144" s="309"/>
      <c r="T144" s="309"/>
      <c r="U144" s="309"/>
      <c r="V144" s="309"/>
      <c r="W144" s="309"/>
      <c r="X144" s="309"/>
      <c r="Y144" s="309"/>
      <c r="Z144" s="309"/>
      <c r="AA144" s="66"/>
      <c r="AB144" s="66"/>
      <c r="AC144" s="83"/>
    </row>
    <row r="145" spans="1:68" ht="27" customHeight="1" x14ac:dyDescent="0.25">
      <c r="A145" s="63" t="s">
        <v>254</v>
      </c>
      <c r="B145" s="63" t="s">
        <v>255</v>
      </c>
      <c r="C145" s="36">
        <v>4301135956</v>
      </c>
      <c r="D145" s="289">
        <v>4620207491560</v>
      </c>
      <c r="E145" s="289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123</v>
      </c>
      <c r="L145" s="37" t="s">
        <v>88</v>
      </c>
      <c r="M145" s="38" t="s">
        <v>86</v>
      </c>
      <c r="N145" s="38"/>
      <c r="O145" s="37">
        <v>180</v>
      </c>
      <c r="P145" s="345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5" s="291"/>
      <c r="R145" s="291"/>
      <c r="S145" s="291"/>
      <c r="T145" s="292"/>
      <c r="U145" s="39" t="s">
        <v>46</v>
      </c>
      <c r="V145" s="39" t="s">
        <v>46</v>
      </c>
      <c r="W145" s="40" t="s">
        <v>39</v>
      </c>
      <c r="X145" s="58">
        <v>30</v>
      </c>
      <c r="Y145" s="55">
        <f>IFERROR(IF(X145="","",X145),"")</f>
        <v>30</v>
      </c>
      <c r="Z145" s="41">
        <f>IFERROR(IF(X145="","",X145*0.01788),"")</f>
        <v>0.53639999999999999</v>
      </c>
      <c r="AA145" s="68" t="s">
        <v>46</v>
      </c>
      <c r="AB145" s="69" t="s">
        <v>46</v>
      </c>
      <c r="AC145" s="199" t="s">
        <v>256</v>
      </c>
      <c r="AG145" s="81"/>
      <c r="AJ145" s="87" t="s">
        <v>89</v>
      </c>
      <c r="AK145" s="87">
        <v>1</v>
      </c>
      <c r="BB145" s="200" t="s">
        <v>122</v>
      </c>
      <c r="BM145" s="81">
        <f>IFERROR(X145*I145,"0")</f>
        <v>111.10799999999999</v>
      </c>
      <c r="BN145" s="81">
        <f>IFERROR(Y145*I145,"0")</f>
        <v>111.10799999999999</v>
      </c>
      <c r="BO145" s="81">
        <f>IFERROR(X145/J145,"0")</f>
        <v>0.42857142857142855</v>
      </c>
      <c r="BP145" s="81">
        <f>IFERROR(Y145/J145,"0")</f>
        <v>0.42857142857142855</v>
      </c>
    </row>
    <row r="146" spans="1:68" ht="27" customHeight="1" x14ac:dyDescent="0.25">
      <c r="A146" s="63" t="s">
        <v>257</v>
      </c>
      <c r="B146" s="63" t="s">
        <v>258</v>
      </c>
      <c r="C146" s="36">
        <v>4301135962</v>
      </c>
      <c r="D146" s="289">
        <v>4620207491584</v>
      </c>
      <c r="E146" s="289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123</v>
      </c>
      <c r="L146" s="37" t="s">
        <v>88</v>
      </c>
      <c r="M146" s="38" t="s">
        <v>86</v>
      </c>
      <c r="N146" s="38"/>
      <c r="O146" s="37">
        <v>180</v>
      </c>
      <c r="P146" s="34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6" s="291"/>
      <c r="R146" s="291"/>
      <c r="S146" s="291"/>
      <c r="T146" s="292"/>
      <c r="U146" s="39" t="s">
        <v>46</v>
      </c>
      <c r="V146" s="39" t="s">
        <v>46</v>
      </c>
      <c r="W146" s="40" t="s">
        <v>39</v>
      </c>
      <c r="X146" s="58">
        <v>30</v>
      </c>
      <c r="Y146" s="55">
        <f>IFERROR(IF(X146="","",X146),"")</f>
        <v>30</v>
      </c>
      <c r="Z146" s="41">
        <f>IFERROR(IF(X146="","",X146*0.01788),"")</f>
        <v>0.53639999999999999</v>
      </c>
      <c r="AA146" s="68" t="s">
        <v>46</v>
      </c>
      <c r="AB146" s="69" t="s">
        <v>46</v>
      </c>
      <c r="AC146" s="201" t="s">
        <v>256</v>
      </c>
      <c r="AG146" s="81"/>
      <c r="AJ146" s="87" t="s">
        <v>89</v>
      </c>
      <c r="AK146" s="87">
        <v>1</v>
      </c>
      <c r="BB146" s="202" t="s">
        <v>122</v>
      </c>
      <c r="BM146" s="81">
        <f>IFERROR(X146*I146,"0")</f>
        <v>111.10799999999999</v>
      </c>
      <c r="BN146" s="81">
        <f>IFERROR(Y146*I146,"0")</f>
        <v>111.10799999999999</v>
      </c>
      <c r="BO146" s="81">
        <f>IFERROR(X146/J146,"0")</f>
        <v>0.42857142857142855</v>
      </c>
      <c r="BP146" s="81">
        <f>IFERROR(Y146/J146,"0")</f>
        <v>0.42857142857142855</v>
      </c>
    </row>
    <row r="147" spans="1:68" x14ac:dyDescent="0.2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8"/>
      <c r="P147" s="294" t="s">
        <v>40</v>
      </c>
      <c r="Q147" s="295"/>
      <c r="R147" s="295"/>
      <c r="S147" s="295"/>
      <c r="T147" s="295"/>
      <c r="U147" s="295"/>
      <c r="V147" s="296"/>
      <c r="W147" s="42" t="s">
        <v>39</v>
      </c>
      <c r="X147" s="43">
        <f>IFERROR(SUM(X145:X146),"0")</f>
        <v>60</v>
      </c>
      <c r="Y147" s="43">
        <f>IFERROR(SUM(Y145:Y146),"0")</f>
        <v>60</v>
      </c>
      <c r="Z147" s="43">
        <f>IFERROR(IF(Z145="",0,Z145),"0")+IFERROR(IF(Z146="",0,Z146),"0")</f>
        <v>1.0728</v>
      </c>
      <c r="AA147" s="67"/>
      <c r="AB147" s="67"/>
      <c r="AC147" s="67"/>
    </row>
    <row r="148" spans="1:68" x14ac:dyDescent="0.2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8"/>
      <c r="P148" s="294" t="s">
        <v>40</v>
      </c>
      <c r="Q148" s="295"/>
      <c r="R148" s="295"/>
      <c r="S148" s="295"/>
      <c r="T148" s="295"/>
      <c r="U148" s="295"/>
      <c r="V148" s="296"/>
      <c r="W148" s="42" t="s">
        <v>0</v>
      </c>
      <c r="X148" s="43">
        <f>IFERROR(SUMPRODUCT(X145:X146*H145:H146),"0")</f>
        <v>180</v>
      </c>
      <c r="Y148" s="43">
        <f>IFERROR(SUMPRODUCT(Y145:Y146*H145:H146),"0")</f>
        <v>180</v>
      </c>
      <c r="Z148" s="42"/>
      <c r="AA148" s="67"/>
      <c r="AB148" s="67"/>
      <c r="AC148" s="67"/>
    </row>
    <row r="149" spans="1:68" ht="16.5" hidden="1" customHeight="1" x14ac:dyDescent="0.25">
      <c r="A149" s="317" t="s">
        <v>259</v>
      </c>
      <c r="B149" s="317"/>
      <c r="C149" s="317"/>
      <c r="D149" s="317"/>
      <c r="E149" s="317"/>
      <c r="F149" s="317"/>
      <c r="G149" s="317"/>
      <c r="H149" s="317"/>
      <c r="I149" s="317"/>
      <c r="J149" s="317"/>
      <c r="K149" s="317"/>
      <c r="L149" s="317"/>
      <c r="M149" s="317"/>
      <c r="N149" s="317"/>
      <c r="O149" s="317"/>
      <c r="P149" s="317"/>
      <c r="Q149" s="317"/>
      <c r="R149" s="317"/>
      <c r="S149" s="317"/>
      <c r="T149" s="317"/>
      <c r="U149" s="317"/>
      <c r="V149" s="317"/>
      <c r="W149" s="317"/>
      <c r="X149" s="317"/>
      <c r="Y149" s="317"/>
      <c r="Z149" s="317"/>
      <c r="AA149" s="65"/>
      <c r="AB149" s="65"/>
      <c r="AC149" s="82"/>
    </row>
    <row r="150" spans="1:68" ht="14.25" hidden="1" customHeight="1" x14ac:dyDescent="0.25">
      <c r="A150" s="309" t="s">
        <v>169</v>
      </c>
      <c r="B150" s="309"/>
      <c r="C150" s="309"/>
      <c r="D150" s="309"/>
      <c r="E150" s="309"/>
      <c r="F150" s="309"/>
      <c r="G150" s="309"/>
      <c r="H150" s="309"/>
      <c r="I150" s="309"/>
      <c r="J150" s="309"/>
      <c r="K150" s="309"/>
      <c r="L150" s="309"/>
      <c r="M150" s="309"/>
      <c r="N150" s="309"/>
      <c r="O150" s="309"/>
      <c r="P150" s="309"/>
      <c r="Q150" s="309"/>
      <c r="R150" s="309"/>
      <c r="S150" s="309"/>
      <c r="T150" s="309"/>
      <c r="U150" s="309"/>
      <c r="V150" s="309"/>
      <c r="W150" s="309"/>
      <c r="X150" s="309"/>
      <c r="Y150" s="309"/>
      <c r="Z150" s="309"/>
      <c r="AA150" s="66"/>
      <c r="AB150" s="66"/>
      <c r="AC150" s="83"/>
    </row>
    <row r="151" spans="1:68" ht="27" hidden="1" customHeight="1" x14ac:dyDescent="0.25">
      <c r="A151" s="63" t="s">
        <v>260</v>
      </c>
      <c r="B151" s="63" t="s">
        <v>261</v>
      </c>
      <c r="C151" s="36">
        <v>4301135954</v>
      </c>
      <c r="D151" s="289">
        <v>4620207491768</v>
      </c>
      <c r="E151" s="289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123</v>
      </c>
      <c r="L151" s="37" t="s">
        <v>88</v>
      </c>
      <c r="M151" s="38" t="s">
        <v>86</v>
      </c>
      <c r="N151" s="38"/>
      <c r="O151" s="37">
        <v>180</v>
      </c>
      <c r="P151" s="34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1" s="291"/>
      <c r="R151" s="291"/>
      <c r="S151" s="291"/>
      <c r="T151" s="292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262</v>
      </c>
      <c r="AG151" s="81"/>
      <c r="AJ151" s="87" t="s">
        <v>89</v>
      </c>
      <c r="AK151" s="87">
        <v>1</v>
      </c>
      <c r="BB151" s="204" t="s">
        <v>122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ht="16.5" customHeight="1" x14ac:dyDescent="0.25">
      <c r="A152" s="63" t="s">
        <v>263</v>
      </c>
      <c r="B152" s="63" t="s">
        <v>264</v>
      </c>
      <c r="C152" s="36">
        <v>4301135946</v>
      </c>
      <c r="D152" s="289">
        <v>4620207491553</v>
      </c>
      <c r="E152" s="289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123</v>
      </c>
      <c r="L152" s="37" t="s">
        <v>88</v>
      </c>
      <c r="M152" s="38" t="s">
        <v>86</v>
      </c>
      <c r="N152" s="38"/>
      <c r="O152" s="37">
        <v>180</v>
      </c>
      <c r="P152" s="344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1"/>
      <c r="R152" s="291"/>
      <c r="S152" s="291"/>
      <c r="T152" s="292"/>
      <c r="U152" s="39" t="s">
        <v>46</v>
      </c>
      <c r="V152" s="39" t="s">
        <v>46</v>
      </c>
      <c r="W152" s="40" t="s">
        <v>39</v>
      </c>
      <c r="X152" s="58">
        <v>84</v>
      </c>
      <c r="Y152" s="55">
        <f>IFERROR(IF(X152="","",X152),"")</f>
        <v>84</v>
      </c>
      <c r="Z152" s="41">
        <f>IFERROR(IF(X152="","",X152*0.01788),"")</f>
        <v>1.5019199999999999</v>
      </c>
      <c r="AA152" s="68" t="s">
        <v>46</v>
      </c>
      <c r="AB152" s="69" t="s">
        <v>46</v>
      </c>
      <c r="AC152" s="205" t="s">
        <v>262</v>
      </c>
      <c r="AG152" s="81"/>
      <c r="AJ152" s="87" t="s">
        <v>89</v>
      </c>
      <c r="AK152" s="87">
        <v>1</v>
      </c>
      <c r="BB152" s="206" t="s">
        <v>122</v>
      </c>
      <c r="BM152" s="81">
        <f>IFERROR(X152*I152,"0")</f>
        <v>311.10239999999999</v>
      </c>
      <c r="BN152" s="81">
        <f>IFERROR(Y152*I152,"0")</f>
        <v>311.10239999999999</v>
      </c>
      <c r="BO152" s="81">
        <f>IFERROR(X152/J152,"0")</f>
        <v>1.2</v>
      </c>
      <c r="BP152" s="81">
        <f>IFERROR(Y152/J152,"0")</f>
        <v>1.2</v>
      </c>
    </row>
    <row r="153" spans="1:68" x14ac:dyDescent="0.2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8"/>
      <c r="P153" s="294" t="s">
        <v>40</v>
      </c>
      <c r="Q153" s="295"/>
      <c r="R153" s="295"/>
      <c r="S153" s="295"/>
      <c r="T153" s="295"/>
      <c r="U153" s="295"/>
      <c r="V153" s="296"/>
      <c r="W153" s="42" t="s">
        <v>39</v>
      </c>
      <c r="X153" s="43">
        <f>IFERROR(SUM(X151:X152),"0")</f>
        <v>84</v>
      </c>
      <c r="Y153" s="43">
        <f>IFERROR(SUM(Y151:Y152),"0")</f>
        <v>84</v>
      </c>
      <c r="Z153" s="43">
        <f>IFERROR(IF(Z151="",0,Z151),"0")+IFERROR(IF(Z152="",0,Z152),"0")</f>
        <v>1.5019199999999999</v>
      </c>
      <c r="AA153" s="67"/>
      <c r="AB153" s="67"/>
      <c r="AC153" s="67"/>
    </row>
    <row r="154" spans="1:68" x14ac:dyDescent="0.2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8"/>
      <c r="P154" s="294" t="s">
        <v>40</v>
      </c>
      <c r="Q154" s="295"/>
      <c r="R154" s="295"/>
      <c r="S154" s="295"/>
      <c r="T154" s="295"/>
      <c r="U154" s="295"/>
      <c r="V154" s="296"/>
      <c r="W154" s="42" t="s">
        <v>0</v>
      </c>
      <c r="X154" s="43">
        <f>IFERROR(SUMPRODUCT(X151:X152*H151:H152),"0")</f>
        <v>252</v>
      </c>
      <c r="Y154" s="43">
        <f>IFERROR(SUMPRODUCT(Y151:Y152*H151:H152),"0")</f>
        <v>252</v>
      </c>
      <c r="Z154" s="42"/>
      <c r="AA154" s="67"/>
      <c r="AB154" s="67"/>
      <c r="AC154" s="67"/>
    </row>
    <row r="155" spans="1:68" ht="16.5" hidden="1" customHeight="1" x14ac:dyDescent="0.25">
      <c r="A155" s="317" t="s">
        <v>265</v>
      </c>
      <c r="B155" s="317"/>
      <c r="C155" s="317"/>
      <c r="D155" s="317"/>
      <c r="E155" s="317"/>
      <c r="F155" s="317"/>
      <c r="G155" s="317"/>
      <c r="H155" s="317"/>
      <c r="I155" s="317"/>
      <c r="J155" s="317"/>
      <c r="K155" s="317"/>
      <c r="L155" s="317"/>
      <c r="M155" s="317"/>
      <c r="N155" s="317"/>
      <c r="O155" s="317"/>
      <c r="P155" s="317"/>
      <c r="Q155" s="317"/>
      <c r="R155" s="317"/>
      <c r="S155" s="317"/>
      <c r="T155" s="317"/>
      <c r="U155" s="317"/>
      <c r="V155" s="317"/>
      <c r="W155" s="317"/>
      <c r="X155" s="317"/>
      <c r="Y155" s="317"/>
      <c r="Z155" s="317"/>
      <c r="AA155" s="65"/>
      <c r="AB155" s="65"/>
      <c r="AC155" s="82"/>
    </row>
    <row r="156" spans="1:68" ht="14.25" hidden="1" customHeight="1" x14ac:dyDescent="0.25">
      <c r="A156" s="309" t="s">
        <v>169</v>
      </c>
      <c r="B156" s="309"/>
      <c r="C156" s="309"/>
      <c r="D156" s="309"/>
      <c r="E156" s="309"/>
      <c r="F156" s="309"/>
      <c r="G156" s="309"/>
      <c r="H156" s="309"/>
      <c r="I156" s="309"/>
      <c r="J156" s="309"/>
      <c r="K156" s="309"/>
      <c r="L156" s="309"/>
      <c r="M156" s="309"/>
      <c r="N156" s="309"/>
      <c r="O156" s="309"/>
      <c r="P156" s="309"/>
      <c r="Q156" s="309"/>
      <c r="R156" s="309"/>
      <c r="S156" s="309"/>
      <c r="T156" s="309"/>
      <c r="U156" s="309"/>
      <c r="V156" s="309"/>
      <c r="W156" s="309"/>
      <c r="X156" s="309"/>
      <c r="Y156" s="309"/>
      <c r="Z156" s="309"/>
      <c r="AA156" s="66"/>
      <c r="AB156" s="66"/>
      <c r="AC156" s="83"/>
    </row>
    <row r="157" spans="1:68" ht="27" hidden="1" customHeight="1" x14ac:dyDescent="0.25">
      <c r="A157" s="63" t="s">
        <v>266</v>
      </c>
      <c r="B157" s="63" t="s">
        <v>267</v>
      </c>
      <c r="C157" s="36">
        <v>4301135926</v>
      </c>
      <c r="D157" s="289">
        <v>4620207491669</v>
      </c>
      <c r="E157" s="289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123</v>
      </c>
      <c r="L157" s="37" t="s">
        <v>88</v>
      </c>
      <c r="M157" s="38" t="s">
        <v>86</v>
      </c>
      <c r="N157" s="38"/>
      <c r="O157" s="37">
        <v>180</v>
      </c>
      <c r="P157" s="341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7" s="291"/>
      <c r="R157" s="291"/>
      <c r="S157" s="291"/>
      <c r="T157" s="292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268</v>
      </c>
      <c r="AG157" s="81"/>
      <c r="AJ157" s="87" t="s">
        <v>89</v>
      </c>
      <c r="AK157" s="87">
        <v>1</v>
      </c>
      <c r="BB157" s="208" t="s">
        <v>122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hidden="1" customHeight="1" x14ac:dyDescent="0.25">
      <c r="A158" s="63" t="s">
        <v>269</v>
      </c>
      <c r="B158" s="63" t="s">
        <v>270</v>
      </c>
      <c r="C158" s="36">
        <v>4301135932</v>
      </c>
      <c r="D158" s="289">
        <v>4620207491676</v>
      </c>
      <c r="E158" s="289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123</v>
      </c>
      <c r="L158" s="37" t="s">
        <v>88</v>
      </c>
      <c r="M158" s="38" t="s">
        <v>86</v>
      </c>
      <c r="N158" s="38"/>
      <c r="O158" s="37">
        <v>180</v>
      </c>
      <c r="P158" s="342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8" s="291"/>
      <c r="R158" s="291"/>
      <c r="S158" s="291"/>
      <c r="T158" s="292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9" t="s">
        <v>268</v>
      </c>
      <c r="AG158" s="81"/>
      <c r="AJ158" s="87" t="s">
        <v>89</v>
      </c>
      <c r="AK158" s="87">
        <v>1</v>
      </c>
      <c r="BB158" s="210" t="s">
        <v>122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hidden="1" x14ac:dyDescent="0.2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8"/>
      <c r="P159" s="294" t="s">
        <v>40</v>
      </c>
      <c r="Q159" s="295"/>
      <c r="R159" s="295"/>
      <c r="S159" s="295"/>
      <c r="T159" s="295"/>
      <c r="U159" s="295"/>
      <c r="V159" s="296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hidden="1" x14ac:dyDescent="0.2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8"/>
      <c r="P160" s="294" t="s">
        <v>40</v>
      </c>
      <c r="Q160" s="295"/>
      <c r="R160" s="295"/>
      <c r="S160" s="295"/>
      <c r="T160" s="295"/>
      <c r="U160" s="295"/>
      <c r="V160" s="296"/>
      <c r="W160" s="42" t="s">
        <v>0</v>
      </c>
      <c r="X160" s="43">
        <f>IFERROR(SUMPRODUCT(X157:X158*H157:H158),"0")</f>
        <v>0</v>
      </c>
      <c r="Y160" s="43">
        <f>IFERROR(SUMPRODUCT(Y157:Y158*H157:H158),"0")</f>
        <v>0</v>
      </c>
      <c r="Z160" s="42"/>
      <c r="AA160" s="67"/>
      <c r="AB160" s="67"/>
      <c r="AC160" s="67"/>
    </row>
    <row r="161" spans="1:68" ht="16.5" hidden="1" customHeight="1" x14ac:dyDescent="0.25">
      <c r="A161" s="317" t="s">
        <v>271</v>
      </c>
      <c r="B161" s="317"/>
      <c r="C161" s="317"/>
      <c r="D161" s="317"/>
      <c r="E161" s="317"/>
      <c r="F161" s="317"/>
      <c r="G161" s="317"/>
      <c r="H161" s="317"/>
      <c r="I161" s="317"/>
      <c r="J161" s="317"/>
      <c r="K161" s="317"/>
      <c r="L161" s="317"/>
      <c r="M161" s="317"/>
      <c r="N161" s="317"/>
      <c r="O161" s="317"/>
      <c r="P161" s="317"/>
      <c r="Q161" s="317"/>
      <c r="R161" s="317"/>
      <c r="S161" s="317"/>
      <c r="T161" s="317"/>
      <c r="U161" s="317"/>
      <c r="V161" s="317"/>
      <c r="W161" s="317"/>
      <c r="X161" s="317"/>
      <c r="Y161" s="317"/>
      <c r="Z161" s="317"/>
      <c r="AA161" s="65"/>
      <c r="AB161" s="65"/>
      <c r="AC161" s="82"/>
    </row>
    <row r="162" spans="1:68" ht="14.25" hidden="1" customHeight="1" x14ac:dyDescent="0.25">
      <c r="A162" s="309" t="s">
        <v>169</v>
      </c>
      <c r="B162" s="309"/>
      <c r="C162" s="309"/>
      <c r="D162" s="309"/>
      <c r="E162" s="309"/>
      <c r="F162" s="309"/>
      <c r="G162" s="309"/>
      <c r="H162" s="309"/>
      <c r="I162" s="309"/>
      <c r="J162" s="309"/>
      <c r="K162" s="309"/>
      <c r="L162" s="309"/>
      <c r="M162" s="309"/>
      <c r="N162" s="309"/>
      <c r="O162" s="309"/>
      <c r="P162" s="309"/>
      <c r="Q162" s="309"/>
      <c r="R162" s="309"/>
      <c r="S162" s="309"/>
      <c r="T162" s="309"/>
      <c r="U162" s="309"/>
      <c r="V162" s="309"/>
      <c r="W162" s="309"/>
      <c r="X162" s="309"/>
      <c r="Y162" s="309"/>
      <c r="Z162" s="309"/>
      <c r="AA162" s="66"/>
      <c r="AB162" s="66"/>
      <c r="AC162" s="83"/>
    </row>
    <row r="163" spans="1:68" ht="27" hidden="1" customHeight="1" x14ac:dyDescent="0.25">
      <c r="A163" s="63" t="s">
        <v>272</v>
      </c>
      <c r="B163" s="63" t="s">
        <v>273</v>
      </c>
      <c r="C163" s="36">
        <v>4301135940</v>
      </c>
      <c r="D163" s="289">
        <v>4620207491614</v>
      </c>
      <c r="E163" s="289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123</v>
      </c>
      <c r="L163" s="37" t="s">
        <v>88</v>
      </c>
      <c r="M163" s="38" t="s">
        <v>86</v>
      </c>
      <c r="N163" s="38"/>
      <c r="O163" s="37">
        <v>180</v>
      </c>
      <c r="P163" s="340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1"/>
      <c r="R163" s="291"/>
      <c r="S163" s="291"/>
      <c r="T163" s="292"/>
      <c r="U163" s="39" t="s">
        <v>46</v>
      </c>
      <c r="V163" s="39" t="s">
        <v>46</v>
      </c>
      <c r="W163" s="40" t="s">
        <v>39</v>
      </c>
      <c r="X163" s="58">
        <v>0</v>
      </c>
      <c r="Y163" s="55">
        <f>IFERROR(IF(X163="","",X163),"")</f>
        <v>0</v>
      </c>
      <c r="Z163" s="41">
        <f>IFERROR(IF(X163="","",X163*0.01788),"")</f>
        <v>0</v>
      </c>
      <c r="AA163" s="68" t="s">
        <v>46</v>
      </c>
      <c r="AB163" s="69" t="s">
        <v>46</v>
      </c>
      <c r="AC163" s="211" t="s">
        <v>172</v>
      </c>
      <c r="AG163" s="81"/>
      <c r="AJ163" s="87" t="s">
        <v>89</v>
      </c>
      <c r="AK163" s="87">
        <v>1</v>
      </c>
      <c r="BB163" s="212" t="s">
        <v>122</v>
      </c>
      <c r="BM163" s="81">
        <f>IFERROR(X163*I163,"0")</f>
        <v>0</v>
      </c>
      <c r="BN163" s="81">
        <f>IFERROR(Y163*I163,"0")</f>
        <v>0</v>
      </c>
      <c r="BO163" s="81">
        <f>IFERROR(X163/J163,"0")</f>
        <v>0</v>
      </c>
      <c r="BP163" s="81">
        <f>IFERROR(Y163/J163,"0")</f>
        <v>0</v>
      </c>
    </row>
    <row r="164" spans="1:68" hidden="1" x14ac:dyDescent="0.2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8"/>
      <c r="P164" s="294" t="s">
        <v>40</v>
      </c>
      <c r="Q164" s="295"/>
      <c r="R164" s="295"/>
      <c r="S164" s="295"/>
      <c r="T164" s="295"/>
      <c r="U164" s="295"/>
      <c r="V164" s="296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8"/>
      <c r="P165" s="294" t="s">
        <v>40</v>
      </c>
      <c r="Q165" s="295"/>
      <c r="R165" s="295"/>
      <c r="S165" s="295"/>
      <c r="T165" s="295"/>
      <c r="U165" s="295"/>
      <c r="V165" s="296"/>
      <c r="W165" s="42" t="s">
        <v>0</v>
      </c>
      <c r="X165" s="43">
        <f>IFERROR(SUMPRODUCT(X163:X163*H163:H163),"0")</f>
        <v>0</v>
      </c>
      <c r="Y165" s="43">
        <f>IFERROR(SUMPRODUCT(Y163:Y163*H163:H163),"0")</f>
        <v>0</v>
      </c>
      <c r="Z165" s="42"/>
      <c r="AA165" s="67"/>
      <c r="AB165" s="67"/>
      <c r="AC165" s="67"/>
    </row>
    <row r="166" spans="1:68" ht="16.5" hidden="1" customHeight="1" x14ac:dyDescent="0.25">
      <c r="A166" s="317" t="s">
        <v>274</v>
      </c>
      <c r="B166" s="317"/>
      <c r="C166" s="317"/>
      <c r="D166" s="317"/>
      <c r="E166" s="317"/>
      <c r="F166" s="317"/>
      <c r="G166" s="317"/>
      <c r="H166" s="317"/>
      <c r="I166" s="317"/>
      <c r="J166" s="317"/>
      <c r="K166" s="317"/>
      <c r="L166" s="317"/>
      <c r="M166" s="317"/>
      <c r="N166" s="317"/>
      <c r="O166" s="317"/>
      <c r="P166" s="317"/>
      <c r="Q166" s="317"/>
      <c r="R166" s="317"/>
      <c r="S166" s="317"/>
      <c r="T166" s="317"/>
      <c r="U166" s="317"/>
      <c r="V166" s="317"/>
      <c r="W166" s="317"/>
      <c r="X166" s="317"/>
      <c r="Y166" s="317"/>
      <c r="Z166" s="317"/>
      <c r="AA166" s="65"/>
      <c r="AB166" s="65"/>
      <c r="AC166" s="82"/>
    </row>
    <row r="167" spans="1:68" ht="14.25" hidden="1" customHeight="1" x14ac:dyDescent="0.25">
      <c r="A167" s="309" t="s">
        <v>169</v>
      </c>
      <c r="B167" s="309"/>
      <c r="C167" s="309"/>
      <c r="D167" s="309"/>
      <c r="E167" s="309"/>
      <c r="F167" s="309"/>
      <c r="G167" s="309"/>
      <c r="H167" s="309"/>
      <c r="I167" s="309"/>
      <c r="J167" s="309"/>
      <c r="K167" s="309"/>
      <c r="L167" s="309"/>
      <c r="M167" s="309"/>
      <c r="N167" s="309"/>
      <c r="O167" s="309"/>
      <c r="P167" s="309"/>
      <c r="Q167" s="309"/>
      <c r="R167" s="309"/>
      <c r="S167" s="309"/>
      <c r="T167" s="309"/>
      <c r="U167" s="309"/>
      <c r="V167" s="309"/>
      <c r="W167" s="309"/>
      <c r="X167" s="309"/>
      <c r="Y167" s="309"/>
      <c r="Z167" s="309"/>
      <c r="AA167" s="66"/>
      <c r="AB167" s="66"/>
      <c r="AC167" s="83"/>
    </row>
    <row r="168" spans="1:68" ht="16.5" hidden="1" customHeight="1" x14ac:dyDescent="0.25">
      <c r="A168" s="63" t="s">
        <v>275</v>
      </c>
      <c r="B168" s="63" t="s">
        <v>276</v>
      </c>
      <c r="C168" s="36">
        <v>4301135607</v>
      </c>
      <c r="D168" s="289">
        <v>4607111039613</v>
      </c>
      <c r="E168" s="289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123</v>
      </c>
      <c r="L168" s="37" t="s">
        <v>124</v>
      </c>
      <c r="M168" s="38" t="s">
        <v>86</v>
      </c>
      <c r="N168" s="38"/>
      <c r="O168" s="37">
        <v>180</v>
      </c>
      <c r="P168" s="33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1"/>
      <c r="R168" s="291"/>
      <c r="S168" s="291"/>
      <c r="T168" s="292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277</v>
      </c>
      <c r="AG168" s="81"/>
      <c r="AJ168" s="87" t="s">
        <v>125</v>
      </c>
      <c r="AK168" s="87">
        <v>14</v>
      </c>
      <c r="BB168" s="214" t="s">
        <v>122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8"/>
      <c r="P169" s="294" t="s">
        <v>40</v>
      </c>
      <c r="Q169" s="295"/>
      <c r="R169" s="295"/>
      <c r="S169" s="295"/>
      <c r="T169" s="295"/>
      <c r="U169" s="295"/>
      <c r="V169" s="296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8"/>
      <c r="P170" s="294" t="s">
        <v>40</v>
      </c>
      <c r="Q170" s="295"/>
      <c r="R170" s="295"/>
      <c r="S170" s="295"/>
      <c r="T170" s="295"/>
      <c r="U170" s="295"/>
      <c r="V170" s="296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17" t="s">
        <v>278</v>
      </c>
      <c r="B171" s="317"/>
      <c r="C171" s="317"/>
      <c r="D171" s="317"/>
      <c r="E171" s="317"/>
      <c r="F171" s="317"/>
      <c r="G171" s="317"/>
      <c r="H171" s="317"/>
      <c r="I171" s="317"/>
      <c r="J171" s="317"/>
      <c r="K171" s="317"/>
      <c r="L171" s="317"/>
      <c r="M171" s="317"/>
      <c r="N171" s="317"/>
      <c r="O171" s="317"/>
      <c r="P171" s="317"/>
      <c r="Q171" s="317"/>
      <c r="R171" s="317"/>
      <c r="S171" s="317"/>
      <c r="T171" s="317"/>
      <c r="U171" s="317"/>
      <c r="V171" s="317"/>
      <c r="W171" s="317"/>
      <c r="X171" s="317"/>
      <c r="Y171" s="317"/>
      <c r="Z171" s="317"/>
      <c r="AA171" s="65"/>
      <c r="AB171" s="65"/>
      <c r="AC171" s="82"/>
    </row>
    <row r="172" spans="1:68" ht="14.25" hidden="1" customHeight="1" x14ac:dyDescent="0.25">
      <c r="A172" s="309" t="s">
        <v>169</v>
      </c>
      <c r="B172" s="309"/>
      <c r="C172" s="309"/>
      <c r="D172" s="309"/>
      <c r="E172" s="309"/>
      <c r="F172" s="309"/>
      <c r="G172" s="309"/>
      <c r="H172" s="309"/>
      <c r="I172" s="309"/>
      <c r="J172" s="309"/>
      <c r="K172" s="309"/>
      <c r="L172" s="309"/>
      <c r="M172" s="309"/>
      <c r="N172" s="309"/>
      <c r="O172" s="309"/>
      <c r="P172" s="309"/>
      <c r="Q172" s="309"/>
      <c r="R172" s="309"/>
      <c r="S172" s="309"/>
      <c r="T172" s="309"/>
      <c r="U172" s="309"/>
      <c r="V172" s="309"/>
      <c r="W172" s="309"/>
      <c r="X172" s="309"/>
      <c r="Y172" s="309"/>
      <c r="Z172" s="309"/>
      <c r="AA172" s="66"/>
      <c r="AB172" s="66"/>
      <c r="AC172" s="83"/>
    </row>
    <row r="173" spans="1:68" ht="27" hidden="1" customHeight="1" x14ac:dyDescent="0.25">
      <c r="A173" s="63" t="s">
        <v>279</v>
      </c>
      <c r="B173" s="63" t="s">
        <v>280</v>
      </c>
      <c r="C173" s="36">
        <v>4301135912</v>
      </c>
      <c r="D173" s="289">
        <v>4620207491751</v>
      </c>
      <c r="E173" s="289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123</v>
      </c>
      <c r="L173" s="37" t="s">
        <v>88</v>
      </c>
      <c r="M173" s="38" t="s">
        <v>86</v>
      </c>
      <c r="N173" s="38"/>
      <c r="O173" s="37">
        <v>180</v>
      </c>
      <c r="P173" s="337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3" s="291"/>
      <c r="R173" s="291"/>
      <c r="S173" s="291"/>
      <c r="T173" s="292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IFERROR(IF(X173="","",X173*0.00941),"")</f>
        <v>0</v>
      </c>
      <c r="AA173" s="68" t="s">
        <v>46</v>
      </c>
      <c r="AB173" s="69" t="s">
        <v>46</v>
      </c>
      <c r="AC173" s="215" t="s">
        <v>172</v>
      </c>
      <c r="AG173" s="81"/>
      <c r="AJ173" s="87" t="s">
        <v>89</v>
      </c>
      <c r="AK173" s="87">
        <v>1</v>
      </c>
      <c r="BB173" s="216" t="s">
        <v>122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8"/>
      <c r="P174" s="294" t="s">
        <v>40</v>
      </c>
      <c r="Q174" s="295"/>
      <c r="R174" s="295"/>
      <c r="S174" s="295"/>
      <c r="T174" s="295"/>
      <c r="U174" s="295"/>
      <c r="V174" s="296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8"/>
      <c r="P175" s="294" t="s">
        <v>40</v>
      </c>
      <c r="Q175" s="295"/>
      <c r="R175" s="295"/>
      <c r="S175" s="295"/>
      <c r="T175" s="295"/>
      <c r="U175" s="295"/>
      <c r="V175" s="296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16" t="s">
        <v>281</v>
      </c>
      <c r="B176" s="316"/>
      <c r="C176" s="316"/>
      <c r="D176" s="316"/>
      <c r="E176" s="316"/>
      <c r="F176" s="316"/>
      <c r="G176" s="316"/>
      <c r="H176" s="316"/>
      <c r="I176" s="316"/>
      <c r="J176" s="316"/>
      <c r="K176" s="316"/>
      <c r="L176" s="316"/>
      <c r="M176" s="316"/>
      <c r="N176" s="316"/>
      <c r="O176" s="316"/>
      <c r="P176" s="316"/>
      <c r="Q176" s="316"/>
      <c r="R176" s="316"/>
      <c r="S176" s="316"/>
      <c r="T176" s="316"/>
      <c r="U176" s="316"/>
      <c r="V176" s="316"/>
      <c r="W176" s="316"/>
      <c r="X176" s="316"/>
      <c r="Y176" s="316"/>
      <c r="Z176" s="316"/>
      <c r="AA176" s="54"/>
      <c r="AB176" s="54"/>
      <c r="AC176" s="54"/>
    </row>
    <row r="177" spans="1:68" ht="16.5" hidden="1" customHeight="1" x14ac:dyDescent="0.25">
      <c r="A177" s="317" t="s">
        <v>282</v>
      </c>
      <c r="B177" s="317"/>
      <c r="C177" s="317"/>
      <c r="D177" s="317"/>
      <c r="E177" s="317"/>
      <c r="F177" s="317"/>
      <c r="G177" s="317"/>
      <c r="H177" s="317"/>
      <c r="I177" s="317"/>
      <c r="J177" s="317"/>
      <c r="K177" s="317"/>
      <c r="L177" s="317"/>
      <c r="M177" s="317"/>
      <c r="N177" s="317"/>
      <c r="O177" s="317"/>
      <c r="P177" s="317"/>
      <c r="Q177" s="317"/>
      <c r="R177" s="317"/>
      <c r="S177" s="317"/>
      <c r="T177" s="317"/>
      <c r="U177" s="317"/>
      <c r="V177" s="317"/>
      <c r="W177" s="317"/>
      <c r="X177" s="317"/>
      <c r="Y177" s="317"/>
      <c r="Z177" s="317"/>
      <c r="AA177" s="65"/>
      <c r="AB177" s="65"/>
      <c r="AC177" s="82"/>
    </row>
    <row r="178" spans="1:68" ht="14.25" hidden="1" customHeight="1" x14ac:dyDescent="0.25">
      <c r="A178" s="309" t="s">
        <v>118</v>
      </c>
      <c r="B178" s="309"/>
      <c r="C178" s="309"/>
      <c r="D178" s="309"/>
      <c r="E178" s="309"/>
      <c r="F178" s="309"/>
      <c r="G178" s="309"/>
      <c r="H178" s="309"/>
      <c r="I178" s="309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09"/>
      <c r="U178" s="309"/>
      <c r="V178" s="309"/>
      <c r="W178" s="309"/>
      <c r="X178" s="309"/>
      <c r="Y178" s="309"/>
      <c r="Z178" s="309"/>
      <c r="AA178" s="66"/>
      <c r="AB178" s="66"/>
      <c r="AC178" s="83"/>
    </row>
    <row r="179" spans="1:68" ht="27" hidden="1" customHeight="1" x14ac:dyDescent="0.25">
      <c r="A179" s="63" t="s">
        <v>283</v>
      </c>
      <c r="B179" s="63" t="s">
        <v>284</v>
      </c>
      <c r="C179" s="36">
        <v>4301132226</v>
      </c>
      <c r="D179" s="289">
        <v>4620207490631</v>
      </c>
      <c r="E179" s="289"/>
      <c r="F179" s="62">
        <v>6</v>
      </c>
      <c r="G179" s="37">
        <v>1</v>
      </c>
      <c r="H179" s="62">
        <v>6</v>
      </c>
      <c r="I179" s="62">
        <v>6.2350000000000003</v>
      </c>
      <c r="J179" s="37">
        <v>84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338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9" s="291"/>
      <c r="R179" s="291"/>
      <c r="S179" s="291"/>
      <c r="T179" s="292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IFERROR(IF(X179="","",X179*0.0155),"")</f>
        <v>0</v>
      </c>
      <c r="AA179" s="68" t="s">
        <v>46</v>
      </c>
      <c r="AB179" s="69" t="s">
        <v>46</v>
      </c>
      <c r="AC179" s="217" t="s">
        <v>285</v>
      </c>
      <c r="AG179" s="81"/>
      <c r="AJ179" s="87" t="s">
        <v>89</v>
      </c>
      <c r="AK179" s="87">
        <v>1</v>
      </c>
      <c r="BB179" s="218" t="s">
        <v>122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idden="1" x14ac:dyDescent="0.2">
      <c r="A180" s="297"/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8"/>
      <c r="P180" s="294" t="s">
        <v>40</v>
      </c>
      <c r="Q180" s="295"/>
      <c r="R180" s="295"/>
      <c r="S180" s="295"/>
      <c r="T180" s="295"/>
      <c r="U180" s="295"/>
      <c r="V180" s="296"/>
      <c r="W180" s="42" t="s">
        <v>39</v>
      </c>
      <c r="X180" s="43">
        <f>IFERROR(SUM(X179:X179),"0")</f>
        <v>0</v>
      </c>
      <c r="Y180" s="43">
        <f>IFERROR(SUM(Y179:Y179),"0")</f>
        <v>0</v>
      </c>
      <c r="Z180" s="43">
        <f>IFERROR(IF(Z179="",0,Z179),"0")</f>
        <v>0</v>
      </c>
      <c r="AA180" s="67"/>
      <c r="AB180" s="67"/>
      <c r="AC180" s="67"/>
    </row>
    <row r="181" spans="1:68" hidden="1" x14ac:dyDescent="0.2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8"/>
      <c r="P181" s="294" t="s">
        <v>40</v>
      </c>
      <c r="Q181" s="295"/>
      <c r="R181" s="295"/>
      <c r="S181" s="295"/>
      <c r="T181" s="295"/>
      <c r="U181" s="295"/>
      <c r="V181" s="296"/>
      <c r="W181" s="42" t="s">
        <v>0</v>
      </c>
      <c r="X181" s="43">
        <f>IFERROR(SUMPRODUCT(X179:X179*H179:H179),"0")</f>
        <v>0</v>
      </c>
      <c r="Y181" s="43">
        <f>IFERROR(SUMPRODUCT(Y179:Y179*H179:H179),"0")</f>
        <v>0</v>
      </c>
      <c r="Z181" s="42"/>
      <c r="AA181" s="67"/>
      <c r="AB181" s="67"/>
      <c r="AC181" s="67"/>
    </row>
    <row r="182" spans="1:68" ht="14.25" hidden="1" customHeight="1" x14ac:dyDescent="0.25">
      <c r="A182" s="309" t="s">
        <v>169</v>
      </c>
      <c r="B182" s="309"/>
      <c r="C182" s="309"/>
      <c r="D182" s="309"/>
      <c r="E182" s="309"/>
      <c r="F182" s="309"/>
      <c r="G182" s="309"/>
      <c r="H182" s="309"/>
      <c r="I182" s="309"/>
      <c r="J182" s="309"/>
      <c r="K182" s="309"/>
      <c r="L182" s="309"/>
      <c r="M182" s="309"/>
      <c r="N182" s="309"/>
      <c r="O182" s="309"/>
      <c r="P182" s="309"/>
      <c r="Q182" s="309"/>
      <c r="R182" s="309"/>
      <c r="S182" s="309"/>
      <c r="T182" s="309"/>
      <c r="U182" s="309"/>
      <c r="V182" s="309"/>
      <c r="W182" s="309"/>
      <c r="X182" s="309"/>
      <c r="Y182" s="309"/>
      <c r="Z182" s="309"/>
      <c r="AA182" s="66"/>
      <c r="AB182" s="66"/>
      <c r="AC182" s="83"/>
    </row>
    <row r="183" spans="1:68" ht="27" hidden="1" customHeight="1" x14ac:dyDescent="0.25">
      <c r="A183" s="63" t="s">
        <v>286</v>
      </c>
      <c r="B183" s="63" t="s">
        <v>287</v>
      </c>
      <c r="C183" s="36">
        <v>4301135392</v>
      </c>
      <c r="D183" s="289">
        <v>4607111039132</v>
      </c>
      <c r="E183" s="289"/>
      <c r="F183" s="62">
        <v>3.7</v>
      </c>
      <c r="G183" s="37">
        <v>1</v>
      </c>
      <c r="H183" s="62">
        <v>3.7</v>
      </c>
      <c r="I183" s="62">
        <v>3.8919999999999999</v>
      </c>
      <c r="J183" s="37">
        <v>126</v>
      </c>
      <c r="K183" s="37" t="s">
        <v>123</v>
      </c>
      <c r="L183" s="37" t="s">
        <v>88</v>
      </c>
      <c r="M183" s="38" t="s">
        <v>86</v>
      </c>
      <c r="N183" s="38"/>
      <c r="O183" s="37">
        <v>180</v>
      </c>
      <c r="P183" s="336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3" s="291"/>
      <c r="R183" s="291"/>
      <c r="S183" s="291"/>
      <c r="T183" s="292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IFERROR(IF(X183="","",X183*0.00936),"")</f>
        <v>0</v>
      </c>
      <c r="AA183" s="68" t="s">
        <v>46</v>
      </c>
      <c r="AB183" s="69" t="s">
        <v>46</v>
      </c>
      <c r="AC183" s="219" t="s">
        <v>288</v>
      </c>
      <c r="AG183" s="81"/>
      <c r="AJ183" s="87" t="s">
        <v>89</v>
      </c>
      <c r="AK183" s="87">
        <v>1</v>
      </c>
      <c r="BB183" s="220" t="s">
        <v>122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idden="1" x14ac:dyDescent="0.2">
      <c r="A184" s="297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8"/>
      <c r="P184" s="294" t="s">
        <v>40</v>
      </c>
      <c r="Q184" s="295"/>
      <c r="R184" s="295"/>
      <c r="S184" s="295"/>
      <c r="T184" s="295"/>
      <c r="U184" s="295"/>
      <c r="V184" s="296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hidden="1" x14ac:dyDescent="0.2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8"/>
      <c r="P185" s="294" t="s">
        <v>40</v>
      </c>
      <c r="Q185" s="295"/>
      <c r="R185" s="295"/>
      <c r="S185" s="295"/>
      <c r="T185" s="295"/>
      <c r="U185" s="295"/>
      <c r="V185" s="296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16.5" hidden="1" customHeight="1" x14ac:dyDescent="0.25">
      <c r="A186" s="317" t="s">
        <v>289</v>
      </c>
      <c r="B186" s="317"/>
      <c r="C186" s="317"/>
      <c r="D186" s="317"/>
      <c r="E186" s="317"/>
      <c r="F186" s="317"/>
      <c r="G186" s="317"/>
      <c r="H186" s="317"/>
      <c r="I186" s="317"/>
      <c r="J186" s="317"/>
      <c r="K186" s="317"/>
      <c r="L186" s="317"/>
      <c r="M186" s="317"/>
      <c r="N186" s="317"/>
      <c r="O186" s="317"/>
      <c r="P186" s="317"/>
      <c r="Q186" s="317"/>
      <c r="R186" s="317"/>
      <c r="S186" s="317"/>
      <c r="T186" s="317"/>
      <c r="U186" s="317"/>
      <c r="V186" s="317"/>
      <c r="W186" s="317"/>
      <c r="X186" s="317"/>
      <c r="Y186" s="317"/>
      <c r="Z186" s="317"/>
      <c r="AA186" s="65"/>
      <c r="AB186" s="65"/>
      <c r="AC186" s="82"/>
    </row>
    <row r="187" spans="1:68" ht="14.25" hidden="1" customHeight="1" x14ac:dyDescent="0.25">
      <c r="A187" s="309" t="s">
        <v>82</v>
      </c>
      <c r="B187" s="309"/>
      <c r="C187" s="309"/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  <c r="AA187" s="66"/>
      <c r="AB187" s="66"/>
      <c r="AC187" s="83"/>
    </row>
    <row r="188" spans="1:68" ht="16.5" hidden="1" customHeight="1" x14ac:dyDescent="0.25">
      <c r="A188" s="63" t="s">
        <v>290</v>
      </c>
      <c r="B188" s="63" t="s">
        <v>291</v>
      </c>
      <c r="C188" s="36">
        <v>4301071062</v>
      </c>
      <c r="D188" s="289">
        <v>4607111036384</v>
      </c>
      <c r="E188" s="289"/>
      <c r="F188" s="62">
        <v>5</v>
      </c>
      <c r="G188" s="37">
        <v>1</v>
      </c>
      <c r="H188" s="62">
        <v>5</v>
      </c>
      <c r="I188" s="62">
        <v>5.2106000000000003</v>
      </c>
      <c r="J188" s="37">
        <v>144</v>
      </c>
      <c r="K188" s="37" t="s">
        <v>87</v>
      </c>
      <c r="L188" s="37" t="s">
        <v>88</v>
      </c>
      <c r="M188" s="38" t="s">
        <v>86</v>
      </c>
      <c r="N188" s="38"/>
      <c r="O188" s="37">
        <v>180</v>
      </c>
      <c r="P188" s="3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8" s="291"/>
      <c r="R188" s="291"/>
      <c r="S188" s="291"/>
      <c r="T188" s="292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IFERROR(IF(X188="","",X188*0.00866),"")</f>
        <v>0</v>
      </c>
      <c r="AA188" s="68" t="s">
        <v>46</v>
      </c>
      <c r="AB188" s="69" t="s">
        <v>46</v>
      </c>
      <c r="AC188" s="221" t="s">
        <v>292</v>
      </c>
      <c r="AG188" s="81"/>
      <c r="AJ188" s="87" t="s">
        <v>89</v>
      </c>
      <c r="AK188" s="87">
        <v>1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t="27" hidden="1" customHeight="1" x14ac:dyDescent="0.25">
      <c r="A189" s="63" t="s">
        <v>293</v>
      </c>
      <c r="B189" s="63" t="s">
        <v>294</v>
      </c>
      <c r="C189" s="36">
        <v>4301071050</v>
      </c>
      <c r="D189" s="289">
        <v>4607111036216</v>
      </c>
      <c r="E189" s="289"/>
      <c r="F189" s="62">
        <v>5</v>
      </c>
      <c r="G189" s="37">
        <v>1</v>
      </c>
      <c r="H189" s="62">
        <v>5</v>
      </c>
      <c r="I189" s="62">
        <v>5.2131999999999996</v>
      </c>
      <c r="J189" s="37">
        <v>144</v>
      </c>
      <c r="K189" s="37" t="s">
        <v>87</v>
      </c>
      <c r="L189" s="37" t="s">
        <v>124</v>
      </c>
      <c r="M189" s="38" t="s">
        <v>86</v>
      </c>
      <c r="N189" s="38"/>
      <c r="O189" s="37">
        <v>180</v>
      </c>
      <c r="P189" s="3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9" s="291"/>
      <c r="R189" s="291"/>
      <c r="S189" s="291"/>
      <c r="T189" s="292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IFERROR(IF(X189="","",X189*0.00866),"")</f>
        <v>0</v>
      </c>
      <c r="AA189" s="68" t="s">
        <v>46</v>
      </c>
      <c r="AB189" s="69" t="s">
        <v>46</v>
      </c>
      <c r="AC189" s="223" t="s">
        <v>295</v>
      </c>
      <c r="AG189" s="81"/>
      <c r="AJ189" s="87" t="s">
        <v>125</v>
      </c>
      <c r="AK189" s="87">
        <v>12</v>
      </c>
      <c r="BB189" s="224" t="s">
        <v>70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idden="1" x14ac:dyDescent="0.2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8"/>
      <c r="P190" s="294" t="s">
        <v>40</v>
      </c>
      <c r="Q190" s="295"/>
      <c r="R190" s="295"/>
      <c r="S190" s="295"/>
      <c r="T190" s="295"/>
      <c r="U190" s="295"/>
      <c r="V190" s="296"/>
      <c r="W190" s="42" t="s">
        <v>39</v>
      </c>
      <c r="X190" s="43">
        <f>IFERROR(SUM(X188:X189),"0")</f>
        <v>0</v>
      </c>
      <c r="Y190" s="43">
        <f>IFERROR(SUM(Y188:Y189),"0")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297"/>
      <c r="B191" s="297"/>
      <c r="C191" s="297"/>
      <c r="D191" s="297"/>
      <c r="E191" s="297"/>
      <c r="F191" s="297"/>
      <c r="G191" s="297"/>
      <c r="H191" s="297"/>
      <c r="I191" s="297"/>
      <c r="J191" s="297"/>
      <c r="K191" s="297"/>
      <c r="L191" s="297"/>
      <c r="M191" s="297"/>
      <c r="N191" s="297"/>
      <c r="O191" s="298"/>
      <c r="P191" s="294" t="s">
        <v>40</v>
      </c>
      <c r="Q191" s="295"/>
      <c r="R191" s="295"/>
      <c r="S191" s="295"/>
      <c r="T191" s="295"/>
      <c r="U191" s="295"/>
      <c r="V191" s="296"/>
      <c r="W191" s="42" t="s">
        <v>0</v>
      </c>
      <c r="X191" s="43">
        <f>IFERROR(SUMPRODUCT(X188:X189*H188:H189),"0")</f>
        <v>0</v>
      </c>
      <c r="Y191" s="43">
        <f>IFERROR(SUMPRODUCT(Y188:Y189*H188:H189),"0")</f>
        <v>0</v>
      </c>
      <c r="Z191" s="42"/>
      <c r="AA191" s="67"/>
      <c r="AB191" s="67"/>
      <c r="AC191" s="67"/>
    </row>
    <row r="192" spans="1:68" ht="16.5" hidden="1" customHeight="1" x14ac:dyDescent="0.25">
      <c r="A192" s="317" t="s">
        <v>296</v>
      </c>
      <c r="B192" s="317"/>
      <c r="C192" s="317"/>
      <c r="D192" s="317"/>
      <c r="E192" s="317"/>
      <c r="F192" s="317"/>
      <c r="G192" s="317"/>
      <c r="H192" s="317"/>
      <c r="I192" s="317"/>
      <c r="J192" s="317"/>
      <c r="K192" s="317"/>
      <c r="L192" s="317"/>
      <c r="M192" s="317"/>
      <c r="N192" s="317"/>
      <c r="O192" s="317"/>
      <c r="P192" s="317"/>
      <c r="Q192" s="317"/>
      <c r="R192" s="317"/>
      <c r="S192" s="317"/>
      <c r="T192" s="317"/>
      <c r="U192" s="317"/>
      <c r="V192" s="317"/>
      <c r="W192" s="317"/>
      <c r="X192" s="317"/>
      <c r="Y192" s="317"/>
      <c r="Z192" s="317"/>
      <c r="AA192" s="65"/>
      <c r="AB192" s="65"/>
      <c r="AC192" s="82"/>
    </row>
    <row r="193" spans="1:68" ht="14.25" hidden="1" customHeight="1" x14ac:dyDescent="0.25">
      <c r="A193" s="309" t="s">
        <v>82</v>
      </c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  <c r="AA193" s="66"/>
      <c r="AB193" s="66"/>
      <c r="AC193" s="83"/>
    </row>
    <row r="194" spans="1:68" ht="27" hidden="1" customHeight="1" x14ac:dyDescent="0.25">
      <c r="A194" s="63" t="s">
        <v>297</v>
      </c>
      <c r="B194" s="63" t="s">
        <v>298</v>
      </c>
      <c r="C194" s="36">
        <v>4301071117</v>
      </c>
      <c r="D194" s="289">
        <v>4620207491737</v>
      </c>
      <c r="E194" s="289"/>
      <c r="F194" s="62">
        <v>1</v>
      </c>
      <c r="G194" s="37">
        <v>5</v>
      </c>
      <c r="H194" s="62">
        <v>5</v>
      </c>
      <c r="I194" s="62">
        <v>5.2619999999999996</v>
      </c>
      <c r="J194" s="37">
        <v>84</v>
      </c>
      <c r="K194" s="37" t="s">
        <v>87</v>
      </c>
      <c r="L194" s="37" t="s">
        <v>88</v>
      </c>
      <c r="M194" s="38" t="s">
        <v>86</v>
      </c>
      <c r="N194" s="38"/>
      <c r="O194" s="37">
        <v>180</v>
      </c>
      <c r="P194" s="33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4" s="291"/>
      <c r="R194" s="291"/>
      <c r="S194" s="291"/>
      <c r="T194" s="292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25" t="s">
        <v>295</v>
      </c>
      <c r="AG194" s="81"/>
      <c r="AJ194" s="87" t="s">
        <v>89</v>
      </c>
      <c r="AK194" s="87">
        <v>1</v>
      </c>
      <c r="BB194" s="22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idden="1" x14ac:dyDescent="0.2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8"/>
      <c r="P195" s="294" t="s">
        <v>40</v>
      </c>
      <c r="Q195" s="295"/>
      <c r="R195" s="295"/>
      <c r="S195" s="295"/>
      <c r="T195" s="295"/>
      <c r="U195" s="295"/>
      <c r="V195" s="296"/>
      <c r="W195" s="42" t="s">
        <v>39</v>
      </c>
      <c r="X195" s="43">
        <f>IFERROR(SUM(X194:X194),"0")</f>
        <v>0</v>
      </c>
      <c r="Y195" s="43">
        <f>IFERROR(SUM(Y194:Y194),"0")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8"/>
      <c r="P196" s="294" t="s">
        <v>40</v>
      </c>
      <c r="Q196" s="295"/>
      <c r="R196" s="295"/>
      <c r="S196" s="295"/>
      <c r="T196" s="295"/>
      <c r="U196" s="295"/>
      <c r="V196" s="296"/>
      <c r="W196" s="42" t="s">
        <v>0</v>
      </c>
      <c r="X196" s="43">
        <f>IFERROR(SUMPRODUCT(X194:X194*H194:H194),"0")</f>
        <v>0</v>
      </c>
      <c r="Y196" s="43">
        <f>IFERROR(SUMPRODUCT(Y194:Y194*H194:H194),"0")</f>
        <v>0</v>
      </c>
      <c r="Z196" s="42"/>
      <c r="AA196" s="67"/>
      <c r="AB196" s="67"/>
      <c r="AC196" s="67"/>
    </row>
    <row r="197" spans="1:68" ht="27.75" hidden="1" customHeight="1" x14ac:dyDescent="0.2">
      <c r="A197" s="316" t="s">
        <v>299</v>
      </c>
      <c r="B197" s="316"/>
      <c r="C197" s="316"/>
      <c r="D197" s="316"/>
      <c r="E197" s="316"/>
      <c r="F197" s="316"/>
      <c r="G197" s="316"/>
      <c r="H197" s="316"/>
      <c r="I197" s="316"/>
      <c r="J197" s="316"/>
      <c r="K197" s="316"/>
      <c r="L197" s="316"/>
      <c r="M197" s="316"/>
      <c r="N197" s="316"/>
      <c r="O197" s="316"/>
      <c r="P197" s="316"/>
      <c r="Q197" s="316"/>
      <c r="R197" s="316"/>
      <c r="S197" s="316"/>
      <c r="T197" s="316"/>
      <c r="U197" s="316"/>
      <c r="V197" s="316"/>
      <c r="W197" s="316"/>
      <c r="X197" s="316"/>
      <c r="Y197" s="316"/>
      <c r="Z197" s="316"/>
      <c r="AA197" s="54"/>
      <c r="AB197" s="54"/>
      <c r="AC197" s="54"/>
    </row>
    <row r="198" spans="1:68" ht="16.5" hidden="1" customHeight="1" x14ac:dyDescent="0.25">
      <c r="A198" s="317" t="s">
        <v>300</v>
      </c>
      <c r="B198" s="317"/>
      <c r="C198" s="317"/>
      <c r="D198" s="317"/>
      <c r="E198" s="317"/>
      <c r="F198" s="317"/>
      <c r="G198" s="317"/>
      <c r="H198" s="317"/>
      <c r="I198" s="317"/>
      <c r="J198" s="317"/>
      <c r="K198" s="317"/>
      <c r="L198" s="317"/>
      <c r="M198" s="317"/>
      <c r="N198" s="317"/>
      <c r="O198" s="317"/>
      <c r="P198" s="317"/>
      <c r="Q198" s="317"/>
      <c r="R198" s="317"/>
      <c r="S198" s="317"/>
      <c r="T198" s="317"/>
      <c r="U198" s="317"/>
      <c r="V198" s="317"/>
      <c r="W198" s="317"/>
      <c r="X198" s="317"/>
      <c r="Y198" s="317"/>
      <c r="Z198" s="317"/>
      <c r="AA198" s="65"/>
      <c r="AB198" s="65"/>
      <c r="AC198" s="82"/>
    </row>
    <row r="199" spans="1:68" ht="14.25" hidden="1" customHeight="1" x14ac:dyDescent="0.25">
      <c r="A199" s="309" t="s">
        <v>118</v>
      </c>
      <c r="B199" s="309"/>
      <c r="C199" s="309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9"/>
      <c r="AA199" s="66"/>
      <c r="AB199" s="66"/>
      <c r="AC199" s="83"/>
    </row>
    <row r="200" spans="1:68" ht="16.5" hidden="1" customHeight="1" x14ac:dyDescent="0.25">
      <c r="A200" s="63" t="s">
        <v>301</v>
      </c>
      <c r="B200" s="63" t="s">
        <v>302</v>
      </c>
      <c r="C200" s="36">
        <v>4301132179</v>
      </c>
      <c r="D200" s="289">
        <v>4607111035691</v>
      </c>
      <c r="E200" s="289"/>
      <c r="F200" s="62">
        <v>0.25</v>
      </c>
      <c r="G200" s="37">
        <v>12</v>
      </c>
      <c r="H200" s="62">
        <v>3</v>
      </c>
      <c r="I200" s="62">
        <v>3.3879999999999999</v>
      </c>
      <c r="J200" s="37">
        <v>70</v>
      </c>
      <c r="K200" s="37" t="s">
        <v>123</v>
      </c>
      <c r="L200" s="37" t="s">
        <v>124</v>
      </c>
      <c r="M200" s="38" t="s">
        <v>86</v>
      </c>
      <c r="N200" s="38"/>
      <c r="O200" s="37">
        <v>365</v>
      </c>
      <c r="P200" s="3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0" s="291"/>
      <c r="R200" s="291"/>
      <c r="S200" s="291"/>
      <c r="T200" s="292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303</v>
      </c>
      <c r="AG200" s="81"/>
      <c r="AJ200" s="87" t="s">
        <v>125</v>
      </c>
      <c r="AK200" s="87">
        <v>14</v>
      </c>
      <c r="BB200" s="228" t="s">
        <v>122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hidden="1" customHeight="1" x14ac:dyDescent="0.25">
      <c r="A201" s="63" t="s">
        <v>304</v>
      </c>
      <c r="B201" s="63" t="s">
        <v>305</v>
      </c>
      <c r="C201" s="36">
        <v>4301132182</v>
      </c>
      <c r="D201" s="289">
        <v>4607111035721</v>
      </c>
      <c r="E201" s="289"/>
      <c r="F201" s="62">
        <v>0.25</v>
      </c>
      <c r="G201" s="37">
        <v>12</v>
      </c>
      <c r="H201" s="62">
        <v>3</v>
      </c>
      <c r="I201" s="62">
        <v>3.3879999999999999</v>
      </c>
      <c r="J201" s="37">
        <v>70</v>
      </c>
      <c r="K201" s="37" t="s">
        <v>123</v>
      </c>
      <c r="L201" s="37" t="s">
        <v>124</v>
      </c>
      <c r="M201" s="38" t="s">
        <v>86</v>
      </c>
      <c r="N201" s="38"/>
      <c r="O201" s="37">
        <v>365</v>
      </c>
      <c r="P201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1" s="291"/>
      <c r="R201" s="291"/>
      <c r="S201" s="291"/>
      <c r="T201" s="292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9" t="s">
        <v>306</v>
      </c>
      <c r="AG201" s="81"/>
      <c r="AJ201" s="87" t="s">
        <v>125</v>
      </c>
      <c r="AK201" s="87">
        <v>14</v>
      </c>
      <c r="BB201" s="230" t="s">
        <v>122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hidden="1" customHeight="1" x14ac:dyDescent="0.25">
      <c r="A202" s="63" t="s">
        <v>307</v>
      </c>
      <c r="B202" s="63" t="s">
        <v>308</v>
      </c>
      <c r="C202" s="36">
        <v>4301132170</v>
      </c>
      <c r="D202" s="289">
        <v>4607111038487</v>
      </c>
      <c r="E202" s="289"/>
      <c r="F202" s="62">
        <v>0.25</v>
      </c>
      <c r="G202" s="37">
        <v>12</v>
      </c>
      <c r="H202" s="62">
        <v>3</v>
      </c>
      <c r="I202" s="62">
        <v>3.7360000000000002</v>
      </c>
      <c r="J202" s="37">
        <v>70</v>
      </c>
      <c r="K202" s="37" t="s">
        <v>123</v>
      </c>
      <c r="L202" s="37" t="s">
        <v>124</v>
      </c>
      <c r="M202" s="38" t="s">
        <v>86</v>
      </c>
      <c r="N202" s="38"/>
      <c r="O202" s="37">
        <v>180</v>
      </c>
      <c r="P202" s="3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2" s="291"/>
      <c r="R202" s="291"/>
      <c r="S202" s="291"/>
      <c r="T202" s="292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31" t="s">
        <v>309</v>
      </c>
      <c r="AG202" s="81"/>
      <c r="AJ202" s="87" t="s">
        <v>125</v>
      </c>
      <c r="AK202" s="87">
        <v>14</v>
      </c>
      <c r="BB202" s="232" t="s">
        <v>122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hidden="1" customHeight="1" x14ac:dyDescent="0.25">
      <c r="A203" s="63" t="s">
        <v>310</v>
      </c>
      <c r="B203" s="63" t="s">
        <v>311</v>
      </c>
      <c r="C203" s="36">
        <v>4301132243</v>
      </c>
      <c r="D203" s="289">
        <v>4620207491195</v>
      </c>
      <c r="E203" s="289"/>
      <c r="F203" s="62">
        <v>0.23</v>
      </c>
      <c r="G203" s="37">
        <v>12</v>
      </c>
      <c r="H203" s="62">
        <v>2.76</v>
      </c>
      <c r="I203" s="62">
        <v>3.1480000000000001</v>
      </c>
      <c r="J203" s="37">
        <v>70</v>
      </c>
      <c r="K203" s="37" t="s">
        <v>123</v>
      </c>
      <c r="L203" s="37" t="s">
        <v>88</v>
      </c>
      <c r="M203" s="38" t="s">
        <v>86</v>
      </c>
      <c r="N203" s="38"/>
      <c r="O203" s="37">
        <v>180</v>
      </c>
      <c r="P203" s="3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3" s="291"/>
      <c r="R203" s="291"/>
      <c r="S203" s="291"/>
      <c r="T203" s="292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3" t="s">
        <v>312</v>
      </c>
      <c r="AG203" s="81"/>
      <c r="AJ203" s="87" t="s">
        <v>89</v>
      </c>
      <c r="AK203" s="87">
        <v>1</v>
      </c>
      <c r="BB203" s="234" t="s">
        <v>122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idden="1" x14ac:dyDescent="0.2">
      <c r="A204" s="297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8"/>
      <c r="P204" s="294" t="s">
        <v>40</v>
      </c>
      <c r="Q204" s="295"/>
      <c r="R204" s="295"/>
      <c r="S204" s="295"/>
      <c r="T204" s="295"/>
      <c r="U204" s="295"/>
      <c r="V204" s="296"/>
      <c r="W204" s="42" t="s">
        <v>39</v>
      </c>
      <c r="X204" s="43">
        <f>IFERROR(SUM(X200:X203),"0")</f>
        <v>0</v>
      </c>
      <c r="Y204" s="43">
        <f>IFERROR(SUM(Y200:Y203),"0")</f>
        <v>0</v>
      </c>
      <c r="Z204" s="43">
        <f>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hidden="1" x14ac:dyDescent="0.2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8"/>
      <c r="P205" s="294" t="s">
        <v>40</v>
      </c>
      <c r="Q205" s="295"/>
      <c r="R205" s="295"/>
      <c r="S205" s="295"/>
      <c r="T205" s="295"/>
      <c r="U205" s="295"/>
      <c r="V205" s="296"/>
      <c r="W205" s="42" t="s">
        <v>0</v>
      </c>
      <c r="X205" s="43">
        <f>IFERROR(SUMPRODUCT(X200:X203*H200:H203),"0")</f>
        <v>0</v>
      </c>
      <c r="Y205" s="43">
        <f>IFERROR(SUMPRODUCT(Y200:Y203*H200:H203),"0")</f>
        <v>0</v>
      </c>
      <c r="Z205" s="42"/>
      <c r="AA205" s="67"/>
      <c r="AB205" s="67"/>
      <c r="AC205" s="67"/>
    </row>
    <row r="206" spans="1:68" ht="27.75" hidden="1" customHeight="1" x14ac:dyDescent="0.2">
      <c r="A206" s="316" t="s">
        <v>313</v>
      </c>
      <c r="B206" s="316"/>
      <c r="C206" s="316"/>
      <c r="D206" s="316"/>
      <c r="E206" s="316"/>
      <c r="F206" s="316"/>
      <c r="G206" s="316"/>
      <c r="H206" s="316"/>
      <c r="I206" s="316"/>
      <c r="J206" s="316"/>
      <c r="K206" s="316"/>
      <c r="L206" s="316"/>
      <c r="M206" s="316"/>
      <c r="N206" s="316"/>
      <c r="O206" s="316"/>
      <c r="P206" s="316"/>
      <c r="Q206" s="316"/>
      <c r="R206" s="316"/>
      <c r="S206" s="316"/>
      <c r="T206" s="316"/>
      <c r="U206" s="316"/>
      <c r="V206" s="316"/>
      <c r="W206" s="316"/>
      <c r="X206" s="316"/>
      <c r="Y206" s="316"/>
      <c r="Z206" s="316"/>
      <c r="AA206" s="54"/>
      <c r="AB206" s="54"/>
      <c r="AC206" s="54"/>
    </row>
    <row r="207" spans="1:68" ht="16.5" hidden="1" customHeight="1" x14ac:dyDescent="0.25">
      <c r="A207" s="317" t="s">
        <v>314</v>
      </c>
      <c r="B207" s="317"/>
      <c r="C207" s="317"/>
      <c r="D207" s="317"/>
      <c r="E207" s="317"/>
      <c r="F207" s="317"/>
      <c r="G207" s="317"/>
      <c r="H207" s="317"/>
      <c r="I207" s="317"/>
      <c r="J207" s="317"/>
      <c r="K207" s="317"/>
      <c r="L207" s="317"/>
      <c r="M207" s="317"/>
      <c r="N207" s="317"/>
      <c r="O207" s="317"/>
      <c r="P207" s="317"/>
      <c r="Q207" s="317"/>
      <c r="R207" s="317"/>
      <c r="S207" s="317"/>
      <c r="T207" s="317"/>
      <c r="U207" s="317"/>
      <c r="V207" s="317"/>
      <c r="W207" s="317"/>
      <c r="X207" s="317"/>
      <c r="Y207" s="317"/>
      <c r="Z207" s="317"/>
      <c r="AA207" s="65"/>
      <c r="AB207" s="65"/>
      <c r="AC207" s="82"/>
    </row>
    <row r="208" spans="1:68" ht="14.25" hidden="1" customHeight="1" x14ac:dyDescent="0.25">
      <c r="A208" s="309" t="s">
        <v>118</v>
      </c>
      <c r="B208" s="309"/>
      <c r="C208" s="309"/>
      <c r="D208" s="309"/>
      <c r="E208" s="309"/>
      <c r="F208" s="309"/>
      <c r="G208" s="309"/>
      <c r="H208" s="309"/>
      <c r="I208" s="309"/>
      <c r="J208" s="309"/>
      <c r="K208" s="309"/>
      <c r="L208" s="309"/>
      <c r="M208" s="309"/>
      <c r="N208" s="309"/>
      <c r="O208" s="309"/>
      <c r="P208" s="309"/>
      <c r="Q208" s="309"/>
      <c r="R208" s="309"/>
      <c r="S208" s="309"/>
      <c r="T208" s="309"/>
      <c r="U208" s="309"/>
      <c r="V208" s="309"/>
      <c r="W208" s="309"/>
      <c r="X208" s="309"/>
      <c r="Y208" s="309"/>
      <c r="Z208" s="309"/>
      <c r="AA208" s="66"/>
      <c r="AB208" s="66"/>
      <c r="AC208" s="83"/>
    </row>
    <row r="209" spans="1:68" ht="27" hidden="1" customHeight="1" x14ac:dyDescent="0.25">
      <c r="A209" s="63" t="s">
        <v>315</v>
      </c>
      <c r="B209" s="63" t="s">
        <v>316</v>
      </c>
      <c r="C209" s="36">
        <v>4301132227</v>
      </c>
      <c r="D209" s="289">
        <v>4620207491133</v>
      </c>
      <c r="E209" s="289"/>
      <c r="F209" s="62">
        <v>0.23</v>
      </c>
      <c r="G209" s="37">
        <v>12</v>
      </c>
      <c r="H209" s="62">
        <v>2.76</v>
      </c>
      <c r="I209" s="62">
        <v>2.98</v>
      </c>
      <c r="J209" s="37">
        <v>70</v>
      </c>
      <c r="K209" s="37" t="s">
        <v>123</v>
      </c>
      <c r="L209" s="37" t="s">
        <v>124</v>
      </c>
      <c r="M209" s="38" t="s">
        <v>86</v>
      </c>
      <c r="N209" s="38"/>
      <c r="O209" s="37">
        <v>180</v>
      </c>
      <c r="P209" s="3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9" s="291"/>
      <c r="R209" s="291"/>
      <c r="S209" s="291"/>
      <c r="T209" s="292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317</v>
      </c>
      <c r="AG209" s="81"/>
      <c r="AJ209" s="87" t="s">
        <v>125</v>
      </c>
      <c r="AK209" s="87">
        <v>14</v>
      </c>
      <c r="BB209" s="236" t="s">
        <v>122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idden="1" x14ac:dyDescent="0.2">
      <c r="A210" s="297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8"/>
      <c r="P210" s="294" t="s">
        <v>40</v>
      </c>
      <c r="Q210" s="295"/>
      <c r="R210" s="295"/>
      <c r="S210" s="295"/>
      <c r="T210" s="295"/>
      <c r="U210" s="295"/>
      <c r="V210" s="296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8"/>
      <c r="P211" s="294" t="s">
        <v>40</v>
      </c>
      <c r="Q211" s="295"/>
      <c r="R211" s="295"/>
      <c r="S211" s="295"/>
      <c r="T211" s="295"/>
      <c r="U211" s="295"/>
      <c r="V211" s="296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4.25" hidden="1" customHeight="1" x14ac:dyDescent="0.25">
      <c r="A212" s="309" t="s">
        <v>169</v>
      </c>
      <c r="B212" s="309"/>
      <c r="C212" s="309"/>
      <c r="D212" s="309"/>
      <c r="E212" s="309"/>
      <c r="F212" s="309"/>
      <c r="G212" s="309"/>
      <c r="H212" s="309"/>
      <c r="I212" s="309"/>
      <c r="J212" s="309"/>
      <c r="K212" s="309"/>
      <c r="L212" s="309"/>
      <c r="M212" s="309"/>
      <c r="N212" s="309"/>
      <c r="O212" s="309"/>
      <c r="P212" s="309"/>
      <c r="Q212" s="309"/>
      <c r="R212" s="309"/>
      <c r="S212" s="309"/>
      <c r="T212" s="309"/>
      <c r="U212" s="309"/>
      <c r="V212" s="309"/>
      <c r="W212" s="309"/>
      <c r="X212" s="309"/>
      <c r="Y212" s="309"/>
      <c r="Z212" s="309"/>
      <c r="AA212" s="66"/>
      <c r="AB212" s="66"/>
      <c r="AC212" s="83"/>
    </row>
    <row r="213" spans="1:68" ht="27" hidden="1" customHeight="1" x14ac:dyDescent="0.25">
      <c r="A213" s="63" t="s">
        <v>318</v>
      </c>
      <c r="B213" s="63" t="s">
        <v>319</v>
      </c>
      <c r="C213" s="36">
        <v>4301135834</v>
      </c>
      <c r="D213" s="289">
        <v>4620207491188</v>
      </c>
      <c r="E213" s="289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123</v>
      </c>
      <c r="L213" s="37" t="s">
        <v>88</v>
      </c>
      <c r="M213" s="38" t="s">
        <v>86</v>
      </c>
      <c r="N213" s="38"/>
      <c r="O213" s="37">
        <v>180</v>
      </c>
      <c r="P213" s="32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3" s="291"/>
      <c r="R213" s="291"/>
      <c r="S213" s="291"/>
      <c r="T213" s="292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89</v>
      </c>
      <c r="AK213" s="87">
        <v>1</v>
      </c>
      <c r="BB213" s="238" t="s">
        <v>122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hidden="1" customHeight="1" x14ac:dyDescent="0.25">
      <c r="A214" s="63" t="s">
        <v>321</v>
      </c>
      <c r="B214" s="63" t="s">
        <v>322</v>
      </c>
      <c r="C214" s="36">
        <v>4301135697</v>
      </c>
      <c r="D214" s="289">
        <v>4620207490259</v>
      </c>
      <c r="E214" s="289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123</v>
      </c>
      <c r="L214" s="37" t="s">
        <v>88</v>
      </c>
      <c r="M214" s="38" t="s">
        <v>86</v>
      </c>
      <c r="N214" s="38"/>
      <c r="O214" s="37">
        <v>180</v>
      </c>
      <c r="P214" s="3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91"/>
      <c r="R214" s="291"/>
      <c r="S214" s="291"/>
      <c r="T214" s="292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323</v>
      </c>
      <c r="AG214" s="81"/>
      <c r="AJ214" s="87" t="s">
        <v>89</v>
      </c>
      <c r="AK214" s="87">
        <v>1</v>
      </c>
      <c r="BB214" s="240" t="s">
        <v>122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idden="1" x14ac:dyDescent="0.2">
      <c r="A215" s="297"/>
      <c r="B215" s="297"/>
      <c r="C215" s="297"/>
      <c r="D215" s="297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298"/>
      <c r="P215" s="294" t="s">
        <v>40</v>
      </c>
      <c r="Q215" s="295"/>
      <c r="R215" s="295"/>
      <c r="S215" s="295"/>
      <c r="T215" s="295"/>
      <c r="U215" s="295"/>
      <c r="V215" s="296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hidden="1" x14ac:dyDescent="0.2">
      <c r="A216" s="297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8"/>
      <c r="P216" s="294" t="s">
        <v>40</v>
      </c>
      <c r="Q216" s="295"/>
      <c r="R216" s="295"/>
      <c r="S216" s="295"/>
      <c r="T216" s="295"/>
      <c r="U216" s="295"/>
      <c r="V216" s="296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16.5" hidden="1" customHeight="1" x14ac:dyDescent="0.25">
      <c r="A217" s="317" t="s">
        <v>324</v>
      </c>
      <c r="B217" s="317"/>
      <c r="C217" s="317"/>
      <c r="D217" s="317"/>
      <c r="E217" s="317"/>
      <c r="F217" s="317"/>
      <c r="G217" s="317"/>
      <c r="H217" s="317"/>
      <c r="I217" s="317"/>
      <c r="J217" s="317"/>
      <c r="K217" s="317"/>
      <c r="L217" s="317"/>
      <c r="M217" s="317"/>
      <c r="N217" s="317"/>
      <c r="O217" s="317"/>
      <c r="P217" s="317"/>
      <c r="Q217" s="317"/>
      <c r="R217" s="317"/>
      <c r="S217" s="317"/>
      <c r="T217" s="317"/>
      <c r="U217" s="317"/>
      <c r="V217" s="317"/>
      <c r="W217" s="317"/>
      <c r="X217" s="317"/>
      <c r="Y217" s="317"/>
      <c r="Z217" s="317"/>
      <c r="AA217" s="65"/>
      <c r="AB217" s="65"/>
      <c r="AC217" s="82"/>
    </row>
    <row r="218" spans="1:68" ht="14.25" hidden="1" customHeight="1" x14ac:dyDescent="0.25">
      <c r="A218" s="309" t="s">
        <v>169</v>
      </c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66"/>
      <c r="AB218" s="66"/>
      <c r="AC218" s="83"/>
    </row>
    <row r="219" spans="1:68" ht="27" hidden="1" customHeight="1" x14ac:dyDescent="0.25">
      <c r="A219" s="63" t="s">
        <v>325</v>
      </c>
      <c r="B219" s="63" t="s">
        <v>326</v>
      </c>
      <c r="C219" s="36">
        <v>4301135854</v>
      </c>
      <c r="D219" s="289">
        <v>4620207491706</v>
      </c>
      <c r="E219" s="289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123</v>
      </c>
      <c r="L219" s="37" t="s">
        <v>88</v>
      </c>
      <c r="M219" s="38" t="s">
        <v>86</v>
      </c>
      <c r="N219" s="38"/>
      <c r="O219" s="37">
        <v>180</v>
      </c>
      <c r="P219" s="32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91"/>
      <c r="R219" s="291"/>
      <c r="S219" s="291"/>
      <c r="T219" s="292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327</v>
      </c>
      <c r="AG219" s="81"/>
      <c r="AJ219" s="87" t="s">
        <v>89</v>
      </c>
      <c r="AK219" s="87">
        <v>1</v>
      </c>
      <c r="BB219" s="242" t="s">
        <v>122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27" hidden="1" customHeight="1" x14ac:dyDescent="0.25">
      <c r="A220" s="63" t="s">
        <v>328</v>
      </c>
      <c r="B220" s="63" t="s">
        <v>329</v>
      </c>
      <c r="C220" s="36">
        <v>4301135895</v>
      </c>
      <c r="D220" s="289">
        <v>4620207491522</v>
      </c>
      <c r="E220" s="289"/>
      <c r="F220" s="62">
        <v>0.28000000000000003</v>
      </c>
      <c r="G220" s="37">
        <v>12</v>
      </c>
      <c r="H220" s="62">
        <v>3.36</v>
      </c>
      <c r="I220" s="62">
        <v>4.0636000000000001</v>
      </c>
      <c r="J220" s="37">
        <v>70</v>
      </c>
      <c r="K220" s="37" t="s">
        <v>123</v>
      </c>
      <c r="L220" s="37" t="s">
        <v>88</v>
      </c>
      <c r="M220" s="38" t="s">
        <v>86</v>
      </c>
      <c r="N220" s="38"/>
      <c r="O220" s="37">
        <v>180</v>
      </c>
      <c r="P220" s="32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91"/>
      <c r="R220" s="291"/>
      <c r="S220" s="291"/>
      <c r="T220" s="292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3" t="s">
        <v>330</v>
      </c>
      <c r="AG220" s="81"/>
      <c r="AJ220" s="87" t="s">
        <v>89</v>
      </c>
      <c r="AK220" s="87">
        <v>1</v>
      </c>
      <c r="BB220" s="244" t="s">
        <v>122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297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8"/>
      <c r="P221" s="294" t="s">
        <v>40</v>
      </c>
      <c r="Q221" s="295"/>
      <c r="R221" s="295"/>
      <c r="S221" s="295"/>
      <c r="T221" s="295"/>
      <c r="U221" s="295"/>
      <c r="V221" s="296"/>
      <c r="W221" s="42" t="s">
        <v>39</v>
      </c>
      <c r="X221" s="43">
        <f>IFERROR(SUM(X219:X220),"0")</f>
        <v>0</v>
      </c>
      <c r="Y221" s="43">
        <f>IFERROR(SUM(Y219:Y220),"0")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hidden="1" x14ac:dyDescent="0.2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8"/>
      <c r="P222" s="294" t="s">
        <v>40</v>
      </c>
      <c r="Q222" s="295"/>
      <c r="R222" s="295"/>
      <c r="S222" s="295"/>
      <c r="T222" s="295"/>
      <c r="U222" s="295"/>
      <c r="V222" s="296"/>
      <c r="W222" s="42" t="s">
        <v>0</v>
      </c>
      <c r="X222" s="43">
        <f>IFERROR(SUMPRODUCT(X219:X220*H219:H220),"0")</f>
        <v>0</v>
      </c>
      <c r="Y222" s="43">
        <f>IFERROR(SUMPRODUCT(Y219:Y220*H219:H220),"0")</f>
        <v>0</v>
      </c>
      <c r="Z222" s="42"/>
      <c r="AA222" s="67"/>
      <c r="AB222" s="67"/>
      <c r="AC222" s="67"/>
    </row>
    <row r="223" spans="1:68" ht="16.5" hidden="1" customHeight="1" x14ac:dyDescent="0.25">
      <c r="A223" s="317" t="s">
        <v>331</v>
      </c>
      <c r="B223" s="317"/>
      <c r="C223" s="317"/>
      <c r="D223" s="317"/>
      <c r="E223" s="317"/>
      <c r="F223" s="317"/>
      <c r="G223" s="317"/>
      <c r="H223" s="317"/>
      <c r="I223" s="317"/>
      <c r="J223" s="317"/>
      <c r="K223" s="317"/>
      <c r="L223" s="317"/>
      <c r="M223" s="317"/>
      <c r="N223" s="317"/>
      <c r="O223" s="317"/>
      <c r="P223" s="317"/>
      <c r="Q223" s="317"/>
      <c r="R223" s="317"/>
      <c r="S223" s="317"/>
      <c r="T223" s="317"/>
      <c r="U223" s="317"/>
      <c r="V223" s="317"/>
      <c r="W223" s="317"/>
      <c r="X223" s="317"/>
      <c r="Y223" s="317"/>
      <c r="Z223" s="317"/>
      <c r="AA223" s="65"/>
      <c r="AB223" s="65"/>
      <c r="AC223" s="82"/>
    </row>
    <row r="224" spans="1:68" ht="14.25" hidden="1" customHeight="1" x14ac:dyDescent="0.25">
      <c r="A224" s="309" t="s">
        <v>82</v>
      </c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66"/>
      <c r="AB224" s="66"/>
      <c r="AC224" s="83"/>
    </row>
    <row r="225" spans="1:68" ht="27" hidden="1" customHeight="1" x14ac:dyDescent="0.25">
      <c r="A225" s="63" t="s">
        <v>332</v>
      </c>
      <c r="B225" s="63" t="s">
        <v>333</v>
      </c>
      <c r="C225" s="36">
        <v>4301071097</v>
      </c>
      <c r="D225" s="289">
        <v>4620207491096</v>
      </c>
      <c r="E225" s="289"/>
      <c r="F225" s="62">
        <v>1</v>
      </c>
      <c r="G225" s="37">
        <v>5</v>
      </c>
      <c r="H225" s="62">
        <v>5</v>
      </c>
      <c r="I225" s="62">
        <v>5.23</v>
      </c>
      <c r="J225" s="37">
        <v>84</v>
      </c>
      <c r="K225" s="37" t="s">
        <v>87</v>
      </c>
      <c r="L225" s="37" t="s">
        <v>124</v>
      </c>
      <c r="M225" s="38" t="s">
        <v>86</v>
      </c>
      <c r="N225" s="38"/>
      <c r="O225" s="37">
        <v>180</v>
      </c>
      <c r="P225" s="3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91"/>
      <c r="R225" s="291"/>
      <c r="S225" s="291"/>
      <c r="T225" s="292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5" t="s">
        <v>334</v>
      </c>
      <c r="AG225" s="81"/>
      <c r="AJ225" s="87" t="s">
        <v>125</v>
      </c>
      <c r="AK225" s="87">
        <v>12</v>
      </c>
      <c r="BB225" s="246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idden="1" x14ac:dyDescent="0.2">
      <c r="A226" s="297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8"/>
      <c r="P226" s="294" t="s">
        <v>40</v>
      </c>
      <c r="Q226" s="295"/>
      <c r="R226" s="295"/>
      <c r="S226" s="295"/>
      <c r="T226" s="295"/>
      <c r="U226" s="295"/>
      <c r="V226" s="296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idden="1" x14ac:dyDescent="0.2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8"/>
      <c r="P227" s="294" t="s">
        <v>40</v>
      </c>
      <c r="Q227" s="295"/>
      <c r="R227" s="295"/>
      <c r="S227" s="295"/>
      <c r="T227" s="295"/>
      <c r="U227" s="295"/>
      <c r="V227" s="296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hidden="1" customHeight="1" x14ac:dyDescent="0.2">
      <c r="A228" s="316" t="s">
        <v>335</v>
      </c>
      <c r="B228" s="316"/>
      <c r="C228" s="316"/>
      <c r="D228" s="316"/>
      <c r="E228" s="316"/>
      <c r="F228" s="316"/>
      <c r="G228" s="316"/>
      <c r="H228" s="316"/>
      <c r="I228" s="316"/>
      <c r="J228" s="316"/>
      <c r="K228" s="316"/>
      <c r="L228" s="316"/>
      <c r="M228" s="316"/>
      <c r="N228" s="316"/>
      <c r="O228" s="316"/>
      <c r="P228" s="316"/>
      <c r="Q228" s="316"/>
      <c r="R228" s="316"/>
      <c r="S228" s="316"/>
      <c r="T228" s="316"/>
      <c r="U228" s="316"/>
      <c r="V228" s="316"/>
      <c r="W228" s="316"/>
      <c r="X228" s="316"/>
      <c r="Y228" s="316"/>
      <c r="Z228" s="316"/>
      <c r="AA228" s="54"/>
      <c r="AB228" s="54"/>
      <c r="AC228" s="54"/>
    </row>
    <row r="229" spans="1:68" ht="16.5" hidden="1" customHeight="1" x14ac:dyDescent="0.25">
      <c r="A229" s="317" t="s">
        <v>336</v>
      </c>
      <c r="B229" s="317"/>
      <c r="C229" s="317"/>
      <c r="D229" s="317"/>
      <c r="E229" s="317"/>
      <c r="F229" s="317"/>
      <c r="G229" s="317"/>
      <c r="H229" s="317"/>
      <c r="I229" s="317"/>
      <c r="J229" s="317"/>
      <c r="K229" s="317"/>
      <c r="L229" s="317"/>
      <c r="M229" s="317"/>
      <c r="N229" s="317"/>
      <c r="O229" s="317"/>
      <c r="P229" s="317"/>
      <c r="Q229" s="317"/>
      <c r="R229" s="317"/>
      <c r="S229" s="317"/>
      <c r="T229" s="317"/>
      <c r="U229" s="317"/>
      <c r="V229" s="317"/>
      <c r="W229" s="317"/>
      <c r="X229" s="317"/>
      <c r="Y229" s="317"/>
      <c r="Z229" s="317"/>
      <c r="AA229" s="65"/>
      <c r="AB229" s="65"/>
      <c r="AC229" s="82"/>
    </row>
    <row r="230" spans="1:68" ht="14.25" hidden="1" customHeight="1" x14ac:dyDescent="0.25">
      <c r="A230" s="309" t="s">
        <v>82</v>
      </c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66"/>
      <c r="AB230" s="66"/>
      <c r="AC230" s="83"/>
    </row>
    <row r="231" spans="1:68" ht="27" hidden="1" customHeight="1" x14ac:dyDescent="0.25">
      <c r="A231" s="63" t="s">
        <v>337</v>
      </c>
      <c r="B231" s="63" t="s">
        <v>338</v>
      </c>
      <c r="C231" s="36">
        <v>4301071036</v>
      </c>
      <c r="D231" s="289">
        <v>4607111036162</v>
      </c>
      <c r="E231" s="289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90</v>
      </c>
      <c r="P231" s="32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1"/>
      <c r="R231" s="291"/>
      <c r="S231" s="291"/>
      <c r="T231" s="292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7" t="s">
        <v>339</v>
      </c>
      <c r="AG231" s="81"/>
      <c r="AJ231" s="87" t="s">
        <v>89</v>
      </c>
      <c r="AK231" s="87">
        <v>1</v>
      </c>
      <c r="BB231" s="248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idden="1" x14ac:dyDescent="0.2">
      <c r="A232" s="297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8"/>
      <c r="P232" s="294" t="s">
        <v>40</v>
      </c>
      <c r="Q232" s="295"/>
      <c r="R232" s="295"/>
      <c r="S232" s="295"/>
      <c r="T232" s="295"/>
      <c r="U232" s="295"/>
      <c r="V232" s="296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idden="1" x14ac:dyDescent="0.2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8"/>
      <c r="P233" s="294" t="s">
        <v>40</v>
      </c>
      <c r="Q233" s="295"/>
      <c r="R233" s="295"/>
      <c r="S233" s="295"/>
      <c r="T233" s="295"/>
      <c r="U233" s="295"/>
      <c r="V233" s="296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hidden="1" customHeight="1" x14ac:dyDescent="0.2">
      <c r="A234" s="316" t="s">
        <v>340</v>
      </c>
      <c r="B234" s="316"/>
      <c r="C234" s="316"/>
      <c r="D234" s="316"/>
      <c r="E234" s="316"/>
      <c r="F234" s="316"/>
      <c r="G234" s="316"/>
      <c r="H234" s="316"/>
      <c r="I234" s="316"/>
      <c r="J234" s="316"/>
      <c r="K234" s="316"/>
      <c r="L234" s="316"/>
      <c r="M234" s="316"/>
      <c r="N234" s="316"/>
      <c r="O234" s="316"/>
      <c r="P234" s="316"/>
      <c r="Q234" s="316"/>
      <c r="R234" s="316"/>
      <c r="S234" s="316"/>
      <c r="T234" s="316"/>
      <c r="U234" s="316"/>
      <c r="V234" s="316"/>
      <c r="W234" s="316"/>
      <c r="X234" s="316"/>
      <c r="Y234" s="316"/>
      <c r="Z234" s="316"/>
      <c r="AA234" s="54"/>
      <c r="AB234" s="54"/>
      <c r="AC234" s="54"/>
    </row>
    <row r="235" spans="1:68" ht="16.5" hidden="1" customHeight="1" x14ac:dyDescent="0.25">
      <c r="A235" s="317" t="s">
        <v>341</v>
      </c>
      <c r="B235" s="317"/>
      <c r="C235" s="317"/>
      <c r="D235" s="317"/>
      <c r="E235" s="317"/>
      <c r="F235" s="317"/>
      <c r="G235" s="317"/>
      <c r="H235" s="317"/>
      <c r="I235" s="317"/>
      <c r="J235" s="317"/>
      <c r="K235" s="317"/>
      <c r="L235" s="317"/>
      <c r="M235" s="317"/>
      <c r="N235" s="317"/>
      <c r="O235" s="317"/>
      <c r="P235" s="317"/>
      <c r="Q235" s="317"/>
      <c r="R235" s="317"/>
      <c r="S235" s="317"/>
      <c r="T235" s="317"/>
      <c r="U235" s="317"/>
      <c r="V235" s="317"/>
      <c r="W235" s="317"/>
      <c r="X235" s="317"/>
      <c r="Y235" s="317"/>
      <c r="Z235" s="317"/>
      <c r="AA235" s="65"/>
      <c r="AB235" s="65"/>
      <c r="AC235" s="82"/>
    </row>
    <row r="236" spans="1:68" ht="14.25" hidden="1" customHeight="1" x14ac:dyDescent="0.25">
      <c r="A236" s="309" t="s">
        <v>342</v>
      </c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  <c r="AA236" s="66"/>
      <c r="AB236" s="66"/>
      <c r="AC236" s="83"/>
    </row>
    <row r="237" spans="1:68" ht="27" hidden="1" customHeight="1" x14ac:dyDescent="0.25">
      <c r="A237" s="63" t="s">
        <v>343</v>
      </c>
      <c r="B237" s="63" t="s">
        <v>344</v>
      </c>
      <c r="C237" s="36">
        <v>4301133004</v>
      </c>
      <c r="D237" s="289">
        <v>4607111039774</v>
      </c>
      <c r="E237" s="289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123</v>
      </c>
      <c r="L237" s="37" t="s">
        <v>88</v>
      </c>
      <c r="M237" s="38" t="s">
        <v>86</v>
      </c>
      <c r="N237" s="38"/>
      <c r="O237" s="37">
        <v>180</v>
      </c>
      <c r="P237" s="32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1"/>
      <c r="R237" s="291"/>
      <c r="S237" s="291"/>
      <c r="T237" s="292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345</v>
      </c>
      <c r="AG237" s="81"/>
      <c r="AJ237" s="87" t="s">
        <v>89</v>
      </c>
      <c r="AK237" s="87">
        <v>1</v>
      </c>
      <c r="BB237" s="250" t="s">
        <v>122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297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8"/>
      <c r="P238" s="294" t="s">
        <v>40</v>
      </c>
      <c r="Q238" s="295"/>
      <c r="R238" s="295"/>
      <c r="S238" s="295"/>
      <c r="T238" s="295"/>
      <c r="U238" s="295"/>
      <c r="V238" s="296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8"/>
      <c r="P239" s="294" t="s">
        <v>40</v>
      </c>
      <c r="Q239" s="295"/>
      <c r="R239" s="295"/>
      <c r="S239" s="295"/>
      <c r="T239" s="295"/>
      <c r="U239" s="295"/>
      <c r="V239" s="296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hidden="1" customHeight="1" x14ac:dyDescent="0.25">
      <c r="A240" s="309" t="s">
        <v>169</v>
      </c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66"/>
      <c r="AB240" s="66"/>
      <c r="AC240" s="83"/>
    </row>
    <row r="241" spans="1:68" ht="37.5" hidden="1" customHeight="1" x14ac:dyDescent="0.25">
      <c r="A241" s="63" t="s">
        <v>346</v>
      </c>
      <c r="B241" s="63" t="s">
        <v>347</v>
      </c>
      <c r="C241" s="36">
        <v>4301135400</v>
      </c>
      <c r="D241" s="289">
        <v>4607111039361</v>
      </c>
      <c r="E241" s="289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123</v>
      </c>
      <c r="L241" s="37" t="s">
        <v>88</v>
      </c>
      <c r="M241" s="38" t="s">
        <v>86</v>
      </c>
      <c r="N241" s="38"/>
      <c r="O241" s="37">
        <v>180</v>
      </c>
      <c r="P241" s="32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1"/>
      <c r="R241" s="291"/>
      <c r="S241" s="291"/>
      <c r="T241" s="292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51" t="s">
        <v>345</v>
      </c>
      <c r="AG241" s="81"/>
      <c r="AJ241" s="87" t="s">
        <v>89</v>
      </c>
      <c r="AK241" s="87">
        <v>1</v>
      </c>
      <c r="BB241" s="252" t="s">
        <v>122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idden="1" x14ac:dyDescent="0.2">
      <c r="A242" s="297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8"/>
      <c r="P242" s="294" t="s">
        <v>40</v>
      </c>
      <c r="Q242" s="295"/>
      <c r="R242" s="295"/>
      <c r="S242" s="295"/>
      <c r="T242" s="295"/>
      <c r="U242" s="295"/>
      <c r="V242" s="296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idden="1" x14ac:dyDescent="0.2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8"/>
      <c r="P243" s="294" t="s">
        <v>40</v>
      </c>
      <c r="Q243" s="295"/>
      <c r="R243" s="295"/>
      <c r="S243" s="295"/>
      <c r="T243" s="295"/>
      <c r="U243" s="295"/>
      <c r="V243" s="296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16" t="s">
        <v>348</v>
      </c>
      <c r="B244" s="316"/>
      <c r="C244" s="316"/>
      <c r="D244" s="316"/>
      <c r="E244" s="316"/>
      <c r="F244" s="316"/>
      <c r="G244" s="316"/>
      <c r="H244" s="316"/>
      <c r="I244" s="316"/>
      <c r="J244" s="316"/>
      <c r="K244" s="316"/>
      <c r="L244" s="316"/>
      <c r="M244" s="316"/>
      <c r="N244" s="316"/>
      <c r="O244" s="316"/>
      <c r="P244" s="316"/>
      <c r="Q244" s="316"/>
      <c r="R244" s="316"/>
      <c r="S244" s="316"/>
      <c r="T244" s="316"/>
      <c r="U244" s="316"/>
      <c r="V244" s="316"/>
      <c r="W244" s="316"/>
      <c r="X244" s="316"/>
      <c r="Y244" s="316"/>
      <c r="Z244" s="316"/>
      <c r="AA244" s="54"/>
      <c r="AB244" s="54"/>
      <c r="AC244" s="54"/>
    </row>
    <row r="245" spans="1:68" ht="16.5" hidden="1" customHeight="1" x14ac:dyDescent="0.25">
      <c r="A245" s="317" t="s">
        <v>348</v>
      </c>
      <c r="B245" s="317"/>
      <c r="C245" s="317"/>
      <c r="D245" s="317"/>
      <c r="E245" s="317"/>
      <c r="F245" s="317"/>
      <c r="G245" s="317"/>
      <c r="H245" s="317"/>
      <c r="I245" s="317"/>
      <c r="J245" s="317"/>
      <c r="K245" s="317"/>
      <c r="L245" s="317"/>
      <c r="M245" s="317"/>
      <c r="N245" s="317"/>
      <c r="O245" s="317"/>
      <c r="P245" s="317"/>
      <c r="Q245" s="317"/>
      <c r="R245" s="317"/>
      <c r="S245" s="317"/>
      <c r="T245" s="317"/>
      <c r="U245" s="317"/>
      <c r="V245" s="317"/>
      <c r="W245" s="317"/>
      <c r="X245" s="317"/>
      <c r="Y245" s="317"/>
      <c r="Z245" s="317"/>
      <c r="AA245" s="65"/>
      <c r="AB245" s="65"/>
      <c r="AC245" s="82"/>
    </row>
    <row r="246" spans="1:68" ht="14.25" hidden="1" customHeight="1" x14ac:dyDescent="0.25">
      <c r="A246" s="309" t="s">
        <v>118</v>
      </c>
      <c r="B246" s="309"/>
      <c r="C246" s="309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  <c r="AA246" s="66"/>
      <c r="AB246" s="66"/>
      <c r="AC246" s="83"/>
    </row>
    <row r="247" spans="1:68" ht="27" hidden="1" customHeight="1" x14ac:dyDescent="0.25">
      <c r="A247" s="63" t="s">
        <v>349</v>
      </c>
      <c r="B247" s="63" t="s">
        <v>350</v>
      </c>
      <c r="C247" s="36">
        <v>4301132228</v>
      </c>
      <c r="D247" s="289">
        <v>4640242181950</v>
      </c>
      <c r="E247" s="289"/>
      <c r="F247" s="62">
        <v>0.23</v>
      </c>
      <c r="G247" s="37">
        <v>12</v>
      </c>
      <c r="H247" s="62">
        <v>2.76</v>
      </c>
      <c r="I247" s="62">
        <v>3.22</v>
      </c>
      <c r="J247" s="37">
        <v>70</v>
      </c>
      <c r="K247" s="37" t="s">
        <v>123</v>
      </c>
      <c r="L247" s="37" t="s">
        <v>88</v>
      </c>
      <c r="M247" s="38" t="s">
        <v>86</v>
      </c>
      <c r="N247" s="38"/>
      <c r="O247" s="37">
        <v>365</v>
      </c>
      <c r="P247" s="31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91"/>
      <c r="R247" s="291"/>
      <c r="S247" s="291"/>
      <c r="T247" s="292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53" t="s">
        <v>351</v>
      </c>
      <c r="AG247" s="81"/>
      <c r="AJ247" s="87" t="s">
        <v>89</v>
      </c>
      <c r="AK247" s="87">
        <v>1</v>
      </c>
      <c r="BB247" s="254" t="s">
        <v>122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297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8"/>
      <c r="P248" s="294" t="s">
        <v>40</v>
      </c>
      <c r="Q248" s="295"/>
      <c r="R248" s="295"/>
      <c r="S248" s="295"/>
      <c r="T248" s="295"/>
      <c r="U248" s="295"/>
      <c r="V248" s="296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8"/>
      <c r="P249" s="294" t="s">
        <v>40</v>
      </c>
      <c r="Q249" s="295"/>
      <c r="R249" s="295"/>
      <c r="S249" s="295"/>
      <c r="T249" s="295"/>
      <c r="U249" s="295"/>
      <c r="V249" s="296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14.25" hidden="1" customHeight="1" x14ac:dyDescent="0.25">
      <c r="A250" s="309" t="s">
        <v>197</v>
      </c>
      <c r="B250" s="309"/>
      <c r="C250" s="309"/>
      <c r="D250" s="309"/>
      <c r="E250" s="309"/>
      <c r="F250" s="309"/>
      <c r="G250" s="309"/>
      <c r="H250" s="309"/>
      <c r="I250" s="309"/>
      <c r="J250" s="309"/>
      <c r="K250" s="309"/>
      <c r="L250" s="309"/>
      <c r="M250" s="309"/>
      <c r="N250" s="309"/>
      <c r="O250" s="309"/>
      <c r="P250" s="309"/>
      <c r="Q250" s="309"/>
      <c r="R250" s="309"/>
      <c r="S250" s="309"/>
      <c r="T250" s="309"/>
      <c r="U250" s="309"/>
      <c r="V250" s="309"/>
      <c r="W250" s="309"/>
      <c r="X250" s="309"/>
      <c r="Y250" s="309"/>
      <c r="Z250" s="309"/>
      <c r="AA250" s="66"/>
      <c r="AB250" s="66"/>
      <c r="AC250" s="83"/>
    </row>
    <row r="251" spans="1:68" ht="27" hidden="1" customHeight="1" x14ac:dyDescent="0.25">
      <c r="A251" s="63" t="s">
        <v>352</v>
      </c>
      <c r="B251" s="63" t="s">
        <v>353</v>
      </c>
      <c r="C251" s="36">
        <v>4301136098</v>
      </c>
      <c r="D251" s="289">
        <v>4640242181943</v>
      </c>
      <c r="E251" s="289"/>
      <c r="F251" s="62">
        <v>0.09</v>
      </c>
      <c r="G251" s="37">
        <v>24</v>
      </c>
      <c r="H251" s="62">
        <v>2.16</v>
      </c>
      <c r="I251" s="62">
        <v>2.34</v>
      </c>
      <c r="J251" s="37">
        <v>126</v>
      </c>
      <c r="K251" s="37" t="s">
        <v>123</v>
      </c>
      <c r="L251" s="37" t="s">
        <v>88</v>
      </c>
      <c r="M251" s="38" t="s">
        <v>86</v>
      </c>
      <c r="N251" s="38"/>
      <c r="O251" s="37">
        <v>180</v>
      </c>
      <c r="P251" s="31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91"/>
      <c r="R251" s="291"/>
      <c r="S251" s="291"/>
      <c r="T251" s="292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IFERROR(IF(X251="","",X251*0.00936),"")</f>
        <v>0</v>
      </c>
      <c r="AA251" s="68" t="s">
        <v>46</v>
      </c>
      <c r="AB251" s="69" t="s">
        <v>46</v>
      </c>
      <c r="AC251" s="255" t="s">
        <v>354</v>
      </c>
      <c r="AG251" s="81"/>
      <c r="AJ251" s="87" t="s">
        <v>89</v>
      </c>
      <c r="AK251" s="87">
        <v>1</v>
      </c>
      <c r="BB251" s="256" t="s">
        <v>122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idden="1" x14ac:dyDescent="0.2">
      <c r="A252" s="297"/>
      <c r="B252" s="297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8"/>
      <c r="P252" s="294" t="s">
        <v>40</v>
      </c>
      <c r="Q252" s="295"/>
      <c r="R252" s="295"/>
      <c r="S252" s="295"/>
      <c r="T252" s="295"/>
      <c r="U252" s="295"/>
      <c r="V252" s="296"/>
      <c r="W252" s="42" t="s">
        <v>39</v>
      </c>
      <c r="X252" s="43">
        <f>IFERROR(SUM(X251:X251),"0")</f>
        <v>0</v>
      </c>
      <c r="Y252" s="43">
        <f>IFERROR(SUM(Y251:Y251),"0")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297"/>
      <c r="B253" s="297"/>
      <c r="C253" s="297"/>
      <c r="D253" s="297"/>
      <c r="E253" s="297"/>
      <c r="F253" s="297"/>
      <c r="G253" s="297"/>
      <c r="H253" s="297"/>
      <c r="I253" s="297"/>
      <c r="J253" s="297"/>
      <c r="K253" s="297"/>
      <c r="L253" s="297"/>
      <c r="M253" s="297"/>
      <c r="N253" s="297"/>
      <c r="O253" s="298"/>
      <c r="P253" s="294" t="s">
        <v>40</v>
      </c>
      <c r="Q253" s="295"/>
      <c r="R253" s="295"/>
      <c r="S253" s="295"/>
      <c r="T253" s="295"/>
      <c r="U253" s="295"/>
      <c r="V253" s="296"/>
      <c r="W253" s="42" t="s">
        <v>0</v>
      </c>
      <c r="X253" s="43">
        <f>IFERROR(SUMPRODUCT(X251:X251*H251:H251),"0")</f>
        <v>0</v>
      </c>
      <c r="Y253" s="43">
        <f>IFERROR(SUMPRODUCT(Y251:Y251*H251:H251),"0")</f>
        <v>0</v>
      </c>
      <c r="Z253" s="42"/>
      <c r="AA253" s="67"/>
      <c r="AB253" s="67"/>
      <c r="AC253" s="67"/>
    </row>
    <row r="254" spans="1:68" ht="27.75" hidden="1" customHeight="1" x14ac:dyDescent="0.2">
      <c r="A254" s="316" t="s">
        <v>282</v>
      </c>
      <c r="B254" s="316"/>
      <c r="C254" s="316"/>
      <c r="D254" s="316"/>
      <c r="E254" s="316"/>
      <c r="F254" s="316"/>
      <c r="G254" s="316"/>
      <c r="H254" s="316"/>
      <c r="I254" s="316"/>
      <c r="J254" s="316"/>
      <c r="K254" s="316"/>
      <c r="L254" s="316"/>
      <c r="M254" s="316"/>
      <c r="N254" s="316"/>
      <c r="O254" s="316"/>
      <c r="P254" s="316"/>
      <c r="Q254" s="316"/>
      <c r="R254" s="316"/>
      <c r="S254" s="316"/>
      <c r="T254" s="316"/>
      <c r="U254" s="316"/>
      <c r="V254" s="316"/>
      <c r="W254" s="316"/>
      <c r="X254" s="316"/>
      <c r="Y254" s="316"/>
      <c r="Z254" s="316"/>
      <c r="AA254" s="54"/>
      <c r="AB254" s="54"/>
      <c r="AC254" s="54"/>
    </row>
    <row r="255" spans="1:68" ht="16.5" hidden="1" customHeight="1" x14ac:dyDescent="0.25">
      <c r="A255" s="317" t="s">
        <v>282</v>
      </c>
      <c r="B255" s="317"/>
      <c r="C255" s="317"/>
      <c r="D255" s="317"/>
      <c r="E255" s="317"/>
      <c r="F255" s="317"/>
      <c r="G255" s="317"/>
      <c r="H255" s="317"/>
      <c r="I255" s="317"/>
      <c r="J255" s="317"/>
      <c r="K255" s="317"/>
      <c r="L255" s="317"/>
      <c r="M255" s="317"/>
      <c r="N255" s="317"/>
      <c r="O255" s="317"/>
      <c r="P255" s="317"/>
      <c r="Q255" s="317"/>
      <c r="R255" s="317"/>
      <c r="S255" s="317"/>
      <c r="T255" s="317"/>
      <c r="U255" s="317"/>
      <c r="V255" s="317"/>
      <c r="W255" s="317"/>
      <c r="X255" s="317"/>
      <c r="Y255" s="317"/>
      <c r="Z255" s="317"/>
      <c r="AA255" s="65"/>
      <c r="AB255" s="65"/>
      <c r="AC255" s="82"/>
    </row>
    <row r="256" spans="1:68" ht="14.25" hidden="1" customHeight="1" x14ac:dyDescent="0.25">
      <c r="A256" s="309" t="s">
        <v>82</v>
      </c>
      <c r="B256" s="309"/>
      <c r="C256" s="309"/>
      <c r="D256" s="309"/>
      <c r="E256" s="309"/>
      <c r="F256" s="309"/>
      <c r="G256" s="309"/>
      <c r="H256" s="309"/>
      <c r="I256" s="309"/>
      <c r="J256" s="309"/>
      <c r="K256" s="309"/>
      <c r="L256" s="309"/>
      <c r="M256" s="309"/>
      <c r="N256" s="309"/>
      <c r="O256" s="309"/>
      <c r="P256" s="309"/>
      <c r="Q256" s="309"/>
      <c r="R256" s="309"/>
      <c r="S256" s="309"/>
      <c r="T256" s="309"/>
      <c r="U256" s="309"/>
      <c r="V256" s="309"/>
      <c r="W256" s="309"/>
      <c r="X256" s="309"/>
      <c r="Y256" s="309"/>
      <c r="Z256" s="309"/>
      <c r="AA256" s="66"/>
      <c r="AB256" s="66"/>
      <c r="AC256" s="83"/>
    </row>
    <row r="257" spans="1:68" ht="27" hidden="1" customHeight="1" x14ac:dyDescent="0.25">
      <c r="A257" s="63" t="s">
        <v>355</v>
      </c>
      <c r="B257" s="63" t="s">
        <v>356</v>
      </c>
      <c r="C257" s="36">
        <v>4301071014</v>
      </c>
      <c r="D257" s="289">
        <v>4640242181264</v>
      </c>
      <c r="E257" s="289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87</v>
      </c>
      <c r="L257" s="37" t="s">
        <v>88</v>
      </c>
      <c r="M257" s="38" t="s">
        <v>86</v>
      </c>
      <c r="N257" s="38"/>
      <c r="O257" s="37">
        <v>180</v>
      </c>
      <c r="P257" s="31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91"/>
      <c r="R257" s="291"/>
      <c r="S257" s="291"/>
      <c r="T257" s="292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357</v>
      </c>
      <c r="AG257" s="81"/>
      <c r="AJ257" s="87" t="s">
        <v>89</v>
      </c>
      <c r="AK257" s="87">
        <v>1</v>
      </c>
      <c r="BB257" s="258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hidden="1" customHeight="1" x14ac:dyDescent="0.25">
      <c r="A258" s="63" t="s">
        <v>358</v>
      </c>
      <c r="B258" s="63" t="s">
        <v>359</v>
      </c>
      <c r="C258" s="36">
        <v>4301071141</v>
      </c>
      <c r="D258" s="289">
        <v>4620207491980</v>
      </c>
      <c r="E258" s="289"/>
      <c r="F258" s="62">
        <v>0.7</v>
      </c>
      <c r="G258" s="37">
        <v>10</v>
      </c>
      <c r="H258" s="62">
        <v>7</v>
      </c>
      <c r="I258" s="62">
        <v>7.28</v>
      </c>
      <c r="J258" s="37">
        <v>84</v>
      </c>
      <c r="K258" s="37" t="s">
        <v>87</v>
      </c>
      <c r="L258" s="37" t="s">
        <v>88</v>
      </c>
      <c r="M258" s="38" t="s">
        <v>86</v>
      </c>
      <c r="N258" s="38"/>
      <c r="O258" s="37">
        <v>180</v>
      </c>
      <c r="P258" s="31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91"/>
      <c r="R258" s="291"/>
      <c r="S258" s="291"/>
      <c r="T258" s="292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360</v>
      </c>
      <c r="AG258" s="81"/>
      <c r="AJ258" s="87" t="s">
        <v>89</v>
      </c>
      <c r="AK258" s="87">
        <v>1</v>
      </c>
      <c r="BB258" s="260" t="s">
        <v>70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idden="1" x14ac:dyDescent="0.2">
      <c r="A259" s="297"/>
      <c r="B259" s="297"/>
      <c r="C259" s="297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298"/>
      <c r="P259" s="294" t="s">
        <v>40</v>
      </c>
      <c r="Q259" s="295"/>
      <c r="R259" s="295"/>
      <c r="S259" s="295"/>
      <c r="T259" s="295"/>
      <c r="U259" s="295"/>
      <c r="V259" s="296"/>
      <c r="W259" s="42" t="s">
        <v>39</v>
      </c>
      <c r="X259" s="43">
        <f>IFERROR(SUM(X257:X258),"0")</f>
        <v>0</v>
      </c>
      <c r="Y259" s="43">
        <f>IFERROR(SUM(Y257:Y258),"0")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297"/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8"/>
      <c r="P260" s="294" t="s">
        <v>40</v>
      </c>
      <c r="Q260" s="295"/>
      <c r="R260" s="295"/>
      <c r="S260" s="295"/>
      <c r="T260" s="295"/>
      <c r="U260" s="295"/>
      <c r="V260" s="296"/>
      <c r="W260" s="42" t="s">
        <v>0</v>
      </c>
      <c r="X260" s="43">
        <f>IFERROR(SUMPRODUCT(X257:X258*H257:H258),"0")</f>
        <v>0</v>
      </c>
      <c r="Y260" s="43">
        <f>IFERROR(SUMPRODUCT(Y257:Y258*H257:H258),"0")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09" t="s">
        <v>197</v>
      </c>
      <c r="B261" s="309"/>
      <c r="C261" s="309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  <c r="AA261" s="66"/>
      <c r="AB261" s="66"/>
      <c r="AC261" s="83"/>
    </row>
    <row r="262" spans="1:68" ht="27" hidden="1" customHeight="1" x14ac:dyDescent="0.25">
      <c r="A262" s="63" t="s">
        <v>361</v>
      </c>
      <c r="B262" s="63" t="s">
        <v>362</v>
      </c>
      <c r="C262" s="36">
        <v>4301136116</v>
      </c>
      <c r="D262" s="289">
        <v>4620207492147</v>
      </c>
      <c r="E262" s="289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123</v>
      </c>
      <c r="L262" s="37" t="s">
        <v>88</v>
      </c>
      <c r="M262" s="38" t="s">
        <v>86</v>
      </c>
      <c r="N262" s="38"/>
      <c r="O262" s="37">
        <v>180</v>
      </c>
      <c r="P262" s="313" t="s">
        <v>363</v>
      </c>
      <c r="Q262" s="291"/>
      <c r="R262" s="291"/>
      <c r="S262" s="291"/>
      <c r="T262" s="292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200</v>
      </c>
      <c r="AG262" s="81"/>
      <c r="AJ262" s="87" t="s">
        <v>89</v>
      </c>
      <c r="AK262" s="87">
        <v>1</v>
      </c>
      <c r="BB262" s="262" t="s">
        <v>122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364</v>
      </c>
      <c r="B263" s="63" t="s">
        <v>365</v>
      </c>
      <c r="C263" s="36">
        <v>4301136112</v>
      </c>
      <c r="D263" s="289">
        <v>4620207492154</v>
      </c>
      <c r="E263" s="289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314" t="s">
        <v>366</v>
      </c>
      <c r="Q263" s="291"/>
      <c r="R263" s="291"/>
      <c r="S263" s="291"/>
      <c r="T263" s="292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200</v>
      </c>
      <c r="AG263" s="81"/>
      <c r="AJ263" s="87" t="s">
        <v>89</v>
      </c>
      <c r="AK263" s="87">
        <v>1</v>
      </c>
      <c r="BB263" s="264" t="s">
        <v>122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hidden="1" customHeight="1" x14ac:dyDescent="0.25">
      <c r="A264" s="63" t="s">
        <v>367</v>
      </c>
      <c r="B264" s="63" t="s">
        <v>368</v>
      </c>
      <c r="C264" s="36">
        <v>4301136114</v>
      </c>
      <c r="D264" s="289">
        <v>4620207492086</v>
      </c>
      <c r="E264" s="289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123</v>
      </c>
      <c r="L264" s="37" t="s">
        <v>88</v>
      </c>
      <c r="M264" s="38" t="s">
        <v>86</v>
      </c>
      <c r="N264" s="38"/>
      <c r="O264" s="37">
        <v>180</v>
      </c>
      <c r="P264" s="308" t="s">
        <v>369</v>
      </c>
      <c r="Q264" s="291"/>
      <c r="R264" s="291"/>
      <c r="S264" s="291"/>
      <c r="T264" s="292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200</v>
      </c>
      <c r="AG264" s="81"/>
      <c r="AJ264" s="87" t="s">
        <v>89</v>
      </c>
      <c r="AK264" s="87">
        <v>1</v>
      </c>
      <c r="BB264" s="266" t="s">
        <v>122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idden="1" x14ac:dyDescent="0.2">
      <c r="A265" s="297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8"/>
      <c r="P265" s="294" t="s">
        <v>40</v>
      </c>
      <c r="Q265" s="295"/>
      <c r="R265" s="295"/>
      <c r="S265" s="295"/>
      <c r="T265" s="295"/>
      <c r="U265" s="295"/>
      <c r="V265" s="296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hidden="1" x14ac:dyDescent="0.2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8"/>
      <c r="P266" s="294" t="s">
        <v>40</v>
      </c>
      <c r="Q266" s="295"/>
      <c r="R266" s="295"/>
      <c r="S266" s="295"/>
      <c r="T266" s="295"/>
      <c r="U266" s="295"/>
      <c r="V266" s="296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hidden="1" customHeight="1" x14ac:dyDescent="0.25">
      <c r="A267" s="309" t="s">
        <v>169</v>
      </c>
      <c r="B267" s="309"/>
      <c r="C267" s="309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  <c r="AA267" s="66"/>
      <c r="AB267" s="66"/>
      <c r="AC267" s="83"/>
    </row>
    <row r="268" spans="1:68" ht="16.5" hidden="1" customHeight="1" x14ac:dyDescent="0.25">
      <c r="A268" s="63" t="s">
        <v>370</v>
      </c>
      <c r="B268" s="63" t="s">
        <v>371</v>
      </c>
      <c r="C268" s="36">
        <v>4301137066</v>
      </c>
      <c r="D268" s="289">
        <v>4620207492109</v>
      </c>
      <c r="E268" s="289"/>
      <c r="F268" s="62">
        <v>5.5</v>
      </c>
      <c r="G268" s="37">
        <v>1</v>
      </c>
      <c r="H268" s="62">
        <v>5.5</v>
      </c>
      <c r="I268" s="62">
        <v>5.7350000000000003</v>
      </c>
      <c r="J268" s="37">
        <v>84</v>
      </c>
      <c r="K268" s="37" t="s">
        <v>87</v>
      </c>
      <c r="L268" s="37" t="s">
        <v>88</v>
      </c>
      <c r="M268" s="38" t="s">
        <v>86</v>
      </c>
      <c r="N268" s="38"/>
      <c r="O268" s="37">
        <v>180</v>
      </c>
      <c r="P268" s="310" t="s">
        <v>372</v>
      </c>
      <c r="Q268" s="291"/>
      <c r="R268" s="291"/>
      <c r="S268" s="291"/>
      <c r="T268" s="292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6" si="18">IFERROR(IF(X268="","",X268),"")</f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67" t="s">
        <v>373</v>
      </c>
      <c r="AG268" s="81"/>
      <c r="AJ268" s="87" t="s">
        <v>89</v>
      </c>
      <c r="AK268" s="87">
        <v>1</v>
      </c>
      <c r="BB268" s="268" t="s">
        <v>122</v>
      </c>
      <c r="BM268" s="81">
        <f t="shared" ref="BM268:BM276" si="19">IFERROR(X268*I268,"0")</f>
        <v>0</v>
      </c>
      <c r="BN268" s="81">
        <f t="shared" ref="BN268:BN276" si="20">IFERROR(Y268*I268,"0")</f>
        <v>0</v>
      </c>
      <c r="BO268" s="81">
        <f t="shared" ref="BO268:BO276" si="21">IFERROR(X268/J268,"0")</f>
        <v>0</v>
      </c>
      <c r="BP268" s="81">
        <f t="shared" ref="BP268:BP276" si="22">IFERROR(Y268/J268,"0")</f>
        <v>0</v>
      </c>
    </row>
    <row r="269" spans="1:68" ht="37.5" hidden="1" customHeight="1" x14ac:dyDescent="0.25">
      <c r="A269" s="63" t="s">
        <v>374</v>
      </c>
      <c r="B269" s="63" t="s">
        <v>375</v>
      </c>
      <c r="C269" s="36">
        <v>4301137068</v>
      </c>
      <c r="D269" s="289">
        <v>4620207492161</v>
      </c>
      <c r="E269" s="289"/>
      <c r="F269" s="62">
        <v>3</v>
      </c>
      <c r="G269" s="37">
        <v>1</v>
      </c>
      <c r="H269" s="62">
        <v>3</v>
      </c>
      <c r="I269" s="62">
        <v>3.1920000000000002</v>
      </c>
      <c r="J269" s="37">
        <v>126</v>
      </c>
      <c r="K269" s="37" t="s">
        <v>123</v>
      </c>
      <c r="L269" s="37" t="s">
        <v>88</v>
      </c>
      <c r="M269" s="38" t="s">
        <v>86</v>
      </c>
      <c r="N269" s="38"/>
      <c r="O269" s="37">
        <v>180</v>
      </c>
      <c r="P269" s="311" t="s">
        <v>376</v>
      </c>
      <c r="Q269" s="291"/>
      <c r="R269" s="291"/>
      <c r="S269" s="291"/>
      <c r="T269" s="292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ref="Z269:Z276" si="23">IFERROR(IF(X269="","",X269*0.00936),"")</f>
        <v>0</v>
      </c>
      <c r="AA269" s="68" t="s">
        <v>46</v>
      </c>
      <c r="AB269" s="69" t="s">
        <v>46</v>
      </c>
      <c r="AC269" s="269" t="s">
        <v>377</v>
      </c>
      <c r="AG269" s="81"/>
      <c r="AJ269" s="87" t="s">
        <v>89</v>
      </c>
      <c r="AK269" s="87">
        <v>1</v>
      </c>
      <c r="BB269" s="270" t="s">
        <v>122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378</v>
      </c>
      <c r="B270" s="63" t="s">
        <v>379</v>
      </c>
      <c r="C270" s="36">
        <v>4301137046</v>
      </c>
      <c r="D270" s="289">
        <v>4620207492093</v>
      </c>
      <c r="E270" s="289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123</v>
      </c>
      <c r="L270" s="37" t="s">
        <v>88</v>
      </c>
      <c r="M270" s="38" t="s">
        <v>86</v>
      </c>
      <c r="N270" s="38"/>
      <c r="O270" s="37">
        <v>180</v>
      </c>
      <c r="P270" s="303" t="s">
        <v>380</v>
      </c>
      <c r="Q270" s="291"/>
      <c r="R270" s="291"/>
      <c r="S270" s="291"/>
      <c r="T270" s="292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1" t="s">
        <v>381</v>
      </c>
      <c r="AG270" s="81"/>
      <c r="AJ270" s="87" t="s">
        <v>89</v>
      </c>
      <c r="AK270" s="87">
        <v>1</v>
      </c>
      <c r="BB270" s="272" t="s">
        <v>122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382</v>
      </c>
      <c r="B271" s="63" t="s">
        <v>383</v>
      </c>
      <c r="C271" s="36">
        <v>4301137074</v>
      </c>
      <c r="D271" s="289">
        <v>4620207492116</v>
      </c>
      <c r="E271" s="289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123</v>
      </c>
      <c r="L271" s="37" t="s">
        <v>88</v>
      </c>
      <c r="M271" s="38" t="s">
        <v>86</v>
      </c>
      <c r="N271" s="38"/>
      <c r="O271" s="37">
        <v>180</v>
      </c>
      <c r="P271" s="304" t="s">
        <v>384</v>
      </c>
      <c r="Q271" s="291"/>
      <c r="R271" s="291"/>
      <c r="S271" s="291"/>
      <c r="T271" s="292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3" t="s">
        <v>373</v>
      </c>
      <c r="AG271" s="81"/>
      <c r="AJ271" s="87" t="s">
        <v>89</v>
      </c>
      <c r="AK271" s="87">
        <v>1</v>
      </c>
      <c r="BB271" s="274" t="s">
        <v>122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37.5" hidden="1" customHeight="1" x14ac:dyDescent="0.25">
      <c r="A272" s="63" t="s">
        <v>385</v>
      </c>
      <c r="B272" s="63" t="s">
        <v>386</v>
      </c>
      <c r="C272" s="36">
        <v>4301137070</v>
      </c>
      <c r="D272" s="289">
        <v>4620207492123</v>
      </c>
      <c r="E272" s="289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123</v>
      </c>
      <c r="L272" s="37" t="s">
        <v>88</v>
      </c>
      <c r="M272" s="38" t="s">
        <v>86</v>
      </c>
      <c r="N272" s="38"/>
      <c r="O272" s="37">
        <v>180</v>
      </c>
      <c r="P272" s="305" t="s">
        <v>387</v>
      </c>
      <c r="Q272" s="291"/>
      <c r="R272" s="291"/>
      <c r="S272" s="291"/>
      <c r="T272" s="292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377</v>
      </c>
      <c r="AG272" s="81"/>
      <c r="AJ272" s="87" t="s">
        <v>89</v>
      </c>
      <c r="AK272" s="87">
        <v>1</v>
      </c>
      <c r="BB272" s="276" t="s">
        <v>122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hidden="1" customHeight="1" x14ac:dyDescent="0.25">
      <c r="A273" s="63" t="s">
        <v>388</v>
      </c>
      <c r="B273" s="63" t="s">
        <v>389</v>
      </c>
      <c r="C273" s="36">
        <v>4301137078</v>
      </c>
      <c r="D273" s="289">
        <v>4620207492130</v>
      </c>
      <c r="E273" s="289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123</v>
      </c>
      <c r="L273" s="37" t="s">
        <v>88</v>
      </c>
      <c r="M273" s="38" t="s">
        <v>86</v>
      </c>
      <c r="N273" s="38"/>
      <c r="O273" s="37">
        <v>180</v>
      </c>
      <c r="P273" s="306" t="s">
        <v>390</v>
      </c>
      <c r="Q273" s="291"/>
      <c r="R273" s="291"/>
      <c r="S273" s="291"/>
      <c r="T273" s="292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377</v>
      </c>
      <c r="AG273" s="81"/>
      <c r="AJ273" s="87" t="s">
        <v>89</v>
      </c>
      <c r="AK273" s="87">
        <v>1</v>
      </c>
      <c r="BB273" s="278" t="s">
        <v>122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391</v>
      </c>
      <c r="B274" s="63" t="s">
        <v>392</v>
      </c>
      <c r="C274" s="36">
        <v>4301137092</v>
      </c>
      <c r="D274" s="289">
        <v>4620207491942</v>
      </c>
      <c r="E274" s="289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123</v>
      </c>
      <c r="L274" s="37" t="s">
        <v>88</v>
      </c>
      <c r="M274" s="38" t="s">
        <v>86</v>
      </c>
      <c r="N274" s="38"/>
      <c r="O274" s="37">
        <v>180</v>
      </c>
      <c r="P274" s="307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291"/>
      <c r="R274" s="291"/>
      <c r="S274" s="291"/>
      <c r="T274" s="292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377</v>
      </c>
      <c r="AG274" s="81"/>
      <c r="AJ274" s="87" t="s">
        <v>89</v>
      </c>
      <c r="AK274" s="87">
        <v>1</v>
      </c>
      <c r="BB274" s="280" t="s">
        <v>122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393</v>
      </c>
      <c r="B275" s="63" t="s">
        <v>394</v>
      </c>
      <c r="C275" s="36">
        <v>4301137014</v>
      </c>
      <c r="D275" s="289">
        <v>4620207491911</v>
      </c>
      <c r="E275" s="289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123</v>
      </c>
      <c r="L275" s="37" t="s">
        <v>88</v>
      </c>
      <c r="M275" s="38" t="s">
        <v>86</v>
      </c>
      <c r="N275" s="38"/>
      <c r="O275" s="37">
        <v>180</v>
      </c>
      <c r="P275" s="290" t="s">
        <v>395</v>
      </c>
      <c r="Q275" s="291"/>
      <c r="R275" s="291"/>
      <c r="S275" s="291"/>
      <c r="T275" s="292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381</v>
      </c>
      <c r="AG275" s="81"/>
      <c r="AJ275" s="87" t="s">
        <v>89</v>
      </c>
      <c r="AK275" s="87">
        <v>1</v>
      </c>
      <c r="BB275" s="282" t="s">
        <v>122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396</v>
      </c>
      <c r="B276" s="63" t="s">
        <v>397</v>
      </c>
      <c r="C276" s="36">
        <v>4301137012</v>
      </c>
      <c r="D276" s="289">
        <v>4620207491935</v>
      </c>
      <c r="E276" s="289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123</v>
      </c>
      <c r="L276" s="37" t="s">
        <v>88</v>
      </c>
      <c r="M276" s="38" t="s">
        <v>86</v>
      </c>
      <c r="N276" s="38"/>
      <c r="O276" s="37">
        <v>180</v>
      </c>
      <c r="P276" s="293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91"/>
      <c r="R276" s="291"/>
      <c r="S276" s="291"/>
      <c r="T276" s="292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373</v>
      </c>
      <c r="AG276" s="81"/>
      <c r="AJ276" s="87" t="s">
        <v>89</v>
      </c>
      <c r="AK276" s="87">
        <v>1</v>
      </c>
      <c r="BB276" s="284" t="s">
        <v>122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idden="1" x14ac:dyDescent="0.2">
      <c r="A277" s="297"/>
      <c r="B277" s="297"/>
      <c r="C277" s="297"/>
      <c r="D277" s="297"/>
      <c r="E277" s="297"/>
      <c r="F277" s="297"/>
      <c r="G277" s="297"/>
      <c r="H277" s="297"/>
      <c r="I277" s="297"/>
      <c r="J277" s="297"/>
      <c r="K277" s="297"/>
      <c r="L277" s="297"/>
      <c r="M277" s="297"/>
      <c r="N277" s="297"/>
      <c r="O277" s="298"/>
      <c r="P277" s="294" t="s">
        <v>40</v>
      </c>
      <c r="Q277" s="295"/>
      <c r="R277" s="295"/>
      <c r="S277" s="295"/>
      <c r="T277" s="295"/>
      <c r="U277" s="295"/>
      <c r="V277" s="296"/>
      <c r="W277" s="42" t="s">
        <v>39</v>
      </c>
      <c r="X277" s="43">
        <f>IFERROR(SUM(X268:X276),"0")</f>
        <v>0</v>
      </c>
      <c r="Y277" s="43">
        <f>IFERROR(SUM(Y268:Y276),"0")</f>
        <v>0</v>
      </c>
      <c r="Z277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297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8"/>
      <c r="P278" s="294" t="s">
        <v>40</v>
      </c>
      <c r="Q278" s="295"/>
      <c r="R278" s="295"/>
      <c r="S278" s="295"/>
      <c r="T278" s="295"/>
      <c r="U278" s="295"/>
      <c r="V278" s="296"/>
      <c r="W278" s="42" t="s">
        <v>0</v>
      </c>
      <c r="X278" s="43">
        <f>IFERROR(SUMPRODUCT(X268:X276*H268:H276),"0")</f>
        <v>0</v>
      </c>
      <c r="Y278" s="43">
        <f>IFERROR(SUMPRODUCT(Y268:Y276*H268:H276),"0")</f>
        <v>0</v>
      </c>
      <c r="Z278" s="42"/>
      <c r="AA278" s="67"/>
      <c r="AB278" s="67"/>
      <c r="AC278" s="67"/>
    </row>
    <row r="279" spans="1:68" ht="15" customHeight="1" x14ac:dyDescent="0.2">
      <c r="A279" s="297"/>
      <c r="B279" s="297"/>
      <c r="C279" s="297"/>
      <c r="D279" s="297"/>
      <c r="E279" s="297"/>
      <c r="F279" s="297"/>
      <c r="G279" s="297"/>
      <c r="H279" s="297"/>
      <c r="I279" s="297"/>
      <c r="J279" s="297"/>
      <c r="K279" s="297"/>
      <c r="L279" s="297"/>
      <c r="M279" s="297"/>
      <c r="N279" s="297"/>
      <c r="O279" s="302"/>
      <c r="P279" s="299" t="s">
        <v>33</v>
      </c>
      <c r="Q279" s="300"/>
      <c r="R279" s="300"/>
      <c r="S279" s="300"/>
      <c r="T279" s="300"/>
      <c r="U279" s="300"/>
      <c r="V279" s="301"/>
      <c r="W279" s="42" t="s">
        <v>0</v>
      </c>
      <c r="X279" s="43">
        <f>IFERROR(X31+X35+X41+X48+X54+X62+X71+X77+X82+X88+X98+X104+X116+X120+X124+X129+X136+X142+X148+X154+X160+X165+X170+X175+X181+X185+X191+X196+X205+X211+X216+X222+X227+X233+X239+X243+X249+X253+X260+X266+X278,"0")</f>
        <v>2118</v>
      </c>
      <c r="Y279" s="43">
        <f>IFERROR(Y31+Y35+Y41+Y48+Y54+Y62+Y71+Y77+Y82+Y88+Y98+Y104+Y116+Y120+Y124+Y129+Y136+Y142+Y148+Y154+Y160+Y165+Y170+Y175+Y181+Y185+Y191+Y196+Y205+Y211+Y216+Y222+Y227+Y233+Y239+Y243+Y249+Y253+Y260+Y266+Y278,"0")</f>
        <v>2118</v>
      </c>
      <c r="Z279" s="42"/>
      <c r="AA279" s="67"/>
      <c r="AB279" s="67"/>
      <c r="AC279" s="67"/>
    </row>
    <row r="280" spans="1:68" x14ac:dyDescent="0.2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302"/>
      <c r="P280" s="299" t="s">
        <v>34</v>
      </c>
      <c r="Q280" s="300"/>
      <c r="R280" s="300"/>
      <c r="S280" s="300"/>
      <c r="T280" s="300"/>
      <c r="U280" s="300"/>
      <c r="V280" s="301"/>
      <c r="W280" s="42" t="s">
        <v>0</v>
      </c>
      <c r="X280" s="43">
        <f>IFERROR(SUM(BM22:BM276),"0")</f>
        <v>2503.5208000000002</v>
      </c>
      <c r="Y280" s="43">
        <f>IFERROR(SUM(BN22:BN276),"0")</f>
        <v>2503.5208000000002</v>
      </c>
      <c r="Z280" s="42"/>
      <c r="AA280" s="67"/>
      <c r="AB280" s="67"/>
      <c r="AC280" s="67"/>
    </row>
    <row r="281" spans="1:68" x14ac:dyDescent="0.2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302"/>
      <c r="P281" s="299" t="s">
        <v>35</v>
      </c>
      <c r="Q281" s="300"/>
      <c r="R281" s="300"/>
      <c r="S281" s="300"/>
      <c r="T281" s="300"/>
      <c r="U281" s="300"/>
      <c r="V281" s="301"/>
      <c r="W281" s="42" t="s">
        <v>20</v>
      </c>
      <c r="X281" s="44">
        <f>ROUNDUP(SUM(BO22:BO276),0)</f>
        <v>9</v>
      </c>
      <c r="Y281" s="44">
        <f>ROUNDUP(SUM(BP22:BP276),0)</f>
        <v>9</v>
      </c>
      <c r="Z281" s="42"/>
      <c r="AA281" s="67"/>
      <c r="AB281" s="67"/>
      <c r="AC281" s="67"/>
    </row>
    <row r="282" spans="1:68" x14ac:dyDescent="0.2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302"/>
      <c r="P282" s="299" t="s">
        <v>36</v>
      </c>
      <c r="Q282" s="300"/>
      <c r="R282" s="300"/>
      <c r="S282" s="300"/>
      <c r="T282" s="300"/>
      <c r="U282" s="300"/>
      <c r="V282" s="301"/>
      <c r="W282" s="42" t="s">
        <v>0</v>
      </c>
      <c r="X282" s="43">
        <f>GrossWeightTotal+PalletQtyTotal*25</f>
        <v>2728.5208000000002</v>
      </c>
      <c r="Y282" s="43">
        <f>GrossWeightTotalR+PalletQtyTotalR*25</f>
        <v>2728.5208000000002</v>
      </c>
      <c r="Z282" s="42"/>
      <c r="AA282" s="67"/>
      <c r="AB282" s="67"/>
      <c r="AC282" s="67"/>
    </row>
    <row r="283" spans="1:68" x14ac:dyDescent="0.2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302"/>
      <c r="P283" s="299" t="s">
        <v>37</v>
      </c>
      <c r="Q283" s="300"/>
      <c r="R283" s="300"/>
      <c r="S283" s="300"/>
      <c r="T283" s="300"/>
      <c r="U283" s="300"/>
      <c r="V283" s="301"/>
      <c r="W283" s="42" t="s">
        <v>20</v>
      </c>
      <c r="X283" s="43">
        <f>IFERROR(X30+X34+X40+X47+X53+X61+X70+X76+X81+X87+X97+X103+X115+X119+X123+X128+X135+X141+X147+X153+X159+X164+X169+X174+X180+X184+X190+X195+X204+X210+X215+X221+X226+X232+X238+X242+X248+X252+X259+X265+X277,"0")</f>
        <v>716</v>
      </c>
      <c r="Y283" s="43">
        <f>IFERROR(Y30+Y34+Y40+Y47+Y53+Y61+Y70+Y76+Y81+Y87+Y97+Y103+Y115+Y119+Y123+Y128+Y135+Y141+Y147+Y153+Y159+Y164+Y169+Y174+Y180+Y184+Y190+Y195+Y204+Y210+Y215+Y221+Y226+Y232+Y238+Y242+Y248+Y252+Y259+Y265+Y277,"0")</f>
        <v>716</v>
      </c>
      <c r="Z283" s="42"/>
      <c r="AA283" s="67"/>
      <c r="AB283" s="67"/>
      <c r="AC283" s="67"/>
    </row>
    <row r="284" spans="1:68" ht="14.25" hidden="1" x14ac:dyDescent="0.2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302"/>
      <c r="P284" s="299" t="s">
        <v>38</v>
      </c>
      <c r="Q284" s="300"/>
      <c r="R284" s="300"/>
      <c r="S284" s="300"/>
      <c r="T284" s="300"/>
      <c r="U284" s="300"/>
      <c r="V284" s="301"/>
      <c r="W284" s="45" t="s">
        <v>52</v>
      </c>
      <c r="X284" s="42"/>
      <c r="Y284" s="42"/>
      <c r="Z284" s="42">
        <f>IFERROR(Z30+Z34+Z40+Z47+Z53+Z61+Z70+Z76+Z81+Z87+Z97+Z103+Z115+Z119+Z123+Z128+Z135+Z141+Z147+Z153+Z159+Z164+Z169+Z174+Z180+Z184+Z190+Z195+Z204+Z210+Z215+Z221+Z226+Z232+Z238+Z242+Z248+Z252+Z259+Z265+Z277,"0")</f>
        <v>10.401079999999999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285" t="s">
        <v>81</v>
      </c>
      <c r="C286" s="285" t="s">
        <v>81</v>
      </c>
      <c r="D286" s="285" t="s">
        <v>45</v>
      </c>
      <c r="E286" s="285" t="s">
        <v>45</v>
      </c>
      <c r="F286" s="285" t="s">
        <v>45</v>
      </c>
      <c r="G286" s="285" t="s">
        <v>45</v>
      </c>
      <c r="H286" s="285" t="s">
        <v>45</v>
      </c>
      <c r="I286" s="285" t="s">
        <v>45</v>
      </c>
      <c r="J286" s="285" t="s">
        <v>45</v>
      </c>
      <c r="K286" s="285" t="s">
        <v>45</v>
      </c>
      <c r="L286" s="285" t="s">
        <v>45</v>
      </c>
      <c r="M286" s="285" t="s">
        <v>45</v>
      </c>
      <c r="N286" s="286"/>
      <c r="O286" s="285" t="s">
        <v>45</v>
      </c>
      <c r="P286" s="285" t="s">
        <v>45</v>
      </c>
      <c r="Q286" s="285" t="s">
        <v>45</v>
      </c>
      <c r="R286" s="285" t="s">
        <v>45</v>
      </c>
      <c r="S286" s="285" t="s">
        <v>45</v>
      </c>
      <c r="T286" s="285" t="s">
        <v>45</v>
      </c>
      <c r="U286" s="285" t="s">
        <v>45</v>
      </c>
      <c r="V286" s="285" t="s">
        <v>281</v>
      </c>
      <c r="W286" s="285" t="s">
        <v>281</v>
      </c>
      <c r="X286" s="285" t="s">
        <v>281</v>
      </c>
      <c r="Y286" s="88" t="s">
        <v>299</v>
      </c>
      <c r="Z286" s="285" t="s">
        <v>313</v>
      </c>
      <c r="AA286" s="285" t="s">
        <v>313</v>
      </c>
      <c r="AB286" s="285" t="s">
        <v>313</v>
      </c>
      <c r="AC286" s="88" t="s">
        <v>335</v>
      </c>
      <c r="AD286" s="88" t="s">
        <v>340</v>
      </c>
      <c r="AE286" s="88" t="s">
        <v>348</v>
      </c>
      <c r="AF286" s="88" t="s">
        <v>282</v>
      </c>
    </row>
    <row r="287" spans="1:68" ht="14.25" customHeight="1" thickTop="1" x14ac:dyDescent="0.2">
      <c r="A287" s="287" t="s">
        <v>10</v>
      </c>
      <c r="B287" s="285" t="s">
        <v>81</v>
      </c>
      <c r="C287" s="285" t="s">
        <v>111</v>
      </c>
      <c r="D287" s="285" t="s">
        <v>117</v>
      </c>
      <c r="E287" s="285" t="s">
        <v>128</v>
      </c>
      <c r="F287" s="285" t="s">
        <v>135</v>
      </c>
      <c r="G287" s="285" t="s">
        <v>146</v>
      </c>
      <c r="H287" s="285" t="s">
        <v>161</v>
      </c>
      <c r="I287" s="285" t="s">
        <v>168</v>
      </c>
      <c r="J287" s="285" t="s">
        <v>173</v>
      </c>
      <c r="K287" s="285" t="s">
        <v>181</v>
      </c>
      <c r="L287" s="285" t="s">
        <v>196</v>
      </c>
      <c r="M287" s="285" t="s">
        <v>203</v>
      </c>
      <c r="N287" s="1"/>
      <c r="O287" s="285" t="s">
        <v>232</v>
      </c>
      <c r="P287" s="285" t="s">
        <v>253</v>
      </c>
      <c r="Q287" s="285" t="s">
        <v>259</v>
      </c>
      <c r="R287" s="285" t="s">
        <v>265</v>
      </c>
      <c r="S287" s="285" t="s">
        <v>271</v>
      </c>
      <c r="T287" s="285" t="s">
        <v>274</v>
      </c>
      <c r="U287" s="285" t="s">
        <v>278</v>
      </c>
      <c r="V287" s="285" t="s">
        <v>282</v>
      </c>
      <c r="W287" s="285" t="s">
        <v>289</v>
      </c>
      <c r="X287" s="285" t="s">
        <v>296</v>
      </c>
      <c r="Y287" s="285" t="s">
        <v>300</v>
      </c>
      <c r="Z287" s="285" t="s">
        <v>314</v>
      </c>
      <c r="AA287" s="285" t="s">
        <v>324</v>
      </c>
      <c r="AB287" s="285" t="s">
        <v>331</v>
      </c>
      <c r="AC287" s="285" t="s">
        <v>336</v>
      </c>
      <c r="AD287" s="285" t="s">
        <v>341</v>
      </c>
      <c r="AE287" s="285" t="s">
        <v>348</v>
      </c>
      <c r="AF287" s="285" t="s">
        <v>282</v>
      </c>
    </row>
    <row r="288" spans="1:68" ht="13.5" thickBot="1" x14ac:dyDescent="0.25">
      <c r="A288" s="288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1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285"/>
      <c r="AE288" s="285"/>
      <c r="AF288" s="285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IFERROR(X22*H22,"0")+IFERROR(X23*H23,"0")+IFERROR(X24*H24,"0")+IFERROR(X25*H25,"0")+IFERROR(X26*H26,"0")+IFERROR(X27*H27,"0")+IFERROR(X28*H28,"0")+IFERROR(X29*H29,"0")+IFERROR(X33*H33,"0")</f>
        <v>0</v>
      </c>
      <c r="C289" s="52">
        <f>IFERROR(X38*H38,"0")+IFERROR(X39*H39,"0")</f>
        <v>0</v>
      </c>
      <c r="D289" s="52">
        <f>IFERROR(X45*H45,"0")+IFERROR(X46*H46,"0")</f>
        <v>378</v>
      </c>
      <c r="E289" s="52">
        <f>IFERROR(X51*H51,"0")+IFERROR(X52*H52,"0")</f>
        <v>380.79999999999995</v>
      </c>
      <c r="F289" s="52">
        <f>IFERROR(X57*H57,"0")+IFERROR(X58*H58,"0")+IFERROR(X59*H59,"0")+IFERROR(X60*H60,"0")</f>
        <v>0</v>
      </c>
      <c r="G289" s="52">
        <f>IFERROR(X65*H65,"0")+IFERROR(X66*H66,"0")+IFERROR(X67*H67,"0")+IFERROR(X68*H68,"0")+IFERROR(X69*H69,"0")</f>
        <v>0</v>
      </c>
      <c r="H289" s="52">
        <f>IFERROR(X74*H74,"0")+IFERROR(X75*H75,"0")</f>
        <v>0</v>
      </c>
      <c r="I289" s="52">
        <f>IFERROR(X80*H80,"0")</f>
        <v>0</v>
      </c>
      <c r="J289" s="52">
        <f>IFERROR(X85*H85,"0")+IFERROR(X86*H86,"0")</f>
        <v>100.8</v>
      </c>
      <c r="K289" s="52">
        <f>IFERROR(X91*H91,"0")+IFERROR(X92*H92,"0")+IFERROR(X93*H93,"0")+IFERROR(X94*H94,"0")+IFERROR(X95*H95,"0")+IFERROR(X96*H96,"0")</f>
        <v>518.4</v>
      </c>
      <c r="L289" s="52">
        <f>IFERROR(X101*H101,"0")+IFERROR(X102*H102,"0")</f>
        <v>0</v>
      </c>
      <c r="M289" s="52">
        <f>IFERROR(X107*H107,"0")+IFERROR(X108*H108,"0")+IFERROR(X109*H109,"0")+IFERROR(X110*H110,"0")+IFERROR(X111*H111,"0")+IFERROR(X112*H112,"0")+IFERROR(X113*H113,"0")+IFERROR(X114*H114,"0")+IFERROR(X118*H118,"0")+IFERROR(X122*H122,"0")</f>
        <v>308</v>
      </c>
      <c r="N289" s="1"/>
      <c r="O289" s="52">
        <f>IFERROR(X127*H127,"0")+IFERROR(X131*H131,"0")+IFERROR(X132*H132,"0")+IFERROR(X133*H133,"0")+IFERROR(X134*H134,"0")+IFERROR(X138*H138,"0")+IFERROR(X139*H139,"0")+IFERROR(X140*H140,"0")</f>
        <v>0</v>
      </c>
      <c r="P289" s="52">
        <f>IFERROR(X145*H145,"0")+IFERROR(X146*H146,"0")</f>
        <v>180</v>
      </c>
      <c r="Q289" s="52">
        <f>IFERROR(X151*H151,"0")+IFERROR(X152*H152,"0")</f>
        <v>252</v>
      </c>
      <c r="R289" s="52">
        <f>IFERROR(X157*H157,"0")+IFERROR(X158*H158,"0")</f>
        <v>0</v>
      </c>
      <c r="S289" s="52">
        <f>IFERROR(X163*H163,"0")</f>
        <v>0</v>
      </c>
      <c r="T289" s="52">
        <f>IFERROR(X168*H168,"0")</f>
        <v>0</v>
      </c>
      <c r="U289" s="52">
        <f>IFERROR(X173*H173,"0")</f>
        <v>0</v>
      </c>
      <c r="V289" s="52">
        <f>IFERROR(X179*H179,"0")+IFERROR(X183*H183,"0")</f>
        <v>0</v>
      </c>
      <c r="W289" s="52">
        <f>IFERROR(X188*H188,"0")+IFERROR(X189*H189,"0")</f>
        <v>0</v>
      </c>
      <c r="X289" s="52">
        <f>IFERROR(X194*H194,"0")</f>
        <v>0</v>
      </c>
      <c r="Y289" s="52">
        <f>IFERROR(X200*H200,"0")+IFERROR(X201*H201,"0")+IFERROR(X202*H202,"0")+IFERROR(X203*H203,"0")</f>
        <v>0</v>
      </c>
      <c r="Z289" s="52">
        <f>IFERROR(X209*H209,"0")+IFERROR(X213*H213,"0")+IFERROR(X214*H214,"0")</f>
        <v>0</v>
      </c>
      <c r="AA289" s="52">
        <f>IFERROR(X219*H219,"0")+IFERROR(X220*H220,"0")</f>
        <v>0</v>
      </c>
      <c r="AB289" s="52">
        <f>IFERROR(X225*H225,"0")</f>
        <v>0</v>
      </c>
      <c r="AC289" s="52">
        <f>IFERROR(X231*H231,"0")</f>
        <v>0</v>
      </c>
      <c r="AD289" s="52">
        <f>IFERROR(X237*H237,"0")+IFERROR(X241*H241,"0")</f>
        <v>0</v>
      </c>
      <c r="AE289" s="52">
        <f>IFERROR(X247*H247,"0")+IFERROR(X251*H251,"0")</f>
        <v>0</v>
      </c>
      <c r="AF289" s="52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</f>
        <v>0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688.8</v>
      </c>
      <c r="B292" s="72">
        <f>SUMPRODUCT(--(BB:BB="ПГП"),--(W:W="кор"),H:H,Y:Y)+SUMPRODUCT(--(BB:BB="ПГП"),--(W:W="кг"),Y:Y)</f>
        <v>1429.2</v>
      </c>
      <c r="C292" s="72">
        <f>SUMPRODUCT(--(BB:BB="КИЗ"),--(W:W="кор"),H:H,Y:Y)+SUMPRODUCT(--(BB:BB="КИЗ"),--(W:W="кг"),Y:Y)</f>
        <v>0</v>
      </c>
    </row>
  </sheetData>
  <sheetProtection algorithmName="SHA-512" hashValue="4Qipyd31T4ccZZVic6EmQmNAa5r1yeFw6Rxxk0KTKEWF4TJLDMGzzcdXPaOX4rSQ52CLsMBoTkWSKGqWUlEgGw==" saltValue="CktebWo/YFrh7J+voD0e3Q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80"/>
        <filter val="126,00"/>
        <filter val="180,00"/>
        <filter val="2 118,00"/>
        <filter val="2 503,52"/>
        <filter val="2 728,52"/>
        <filter val="20,00"/>
        <filter val="24,00"/>
        <filter val="252,00"/>
        <filter val="28,00"/>
        <filter val="30,00"/>
        <filter val="308,00"/>
        <filter val="32,00"/>
        <filter val="36,00"/>
        <filter val="378,00"/>
        <filter val="380,80"/>
        <filter val="44,00"/>
        <filter val="518,40"/>
        <filter val="60,00"/>
        <filter val="68,00"/>
        <filter val="716,00"/>
        <filter val="84,00"/>
        <filter val="9"/>
        <filter val="90,00"/>
      </filters>
    </filterColumn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P103:V103"/>
    <mergeCell ref="A103:O104"/>
    <mergeCell ref="P104:V104"/>
    <mergeCell ref="A105:Z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A126:Z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P184:V184"/>
    <mergeCell ref="A184:O185"/>
    <mergeCell ref="P185:V185"/>
    <mergeCell ref="A186:Z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206:Z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X286"/>
    <mergeCell ref="Z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6 X262:X264 X257:X258 X251 X247 X241 X237 X231 X219:X220 X213:X214 X203 X194 X188 X183 X179 X173 X163 X157:X158 X151:X152 X145:X146 X138:X140 X131:X134 X127 X122 X118 X111:X114 X108 X101:X102 X91:X96 X80 X65:X69 X52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5 X209 X200:X202 X189 X168 X109:X110 X107 X85:X86 X74:X75 X57:X60 X51 X45:X46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9"/>
    </row>
    <row r="3" spans="2:8" x14ac:dyDescent="0.2">
      <c r="B3" s="53" t="s">
        <v>399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400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401</v>
      </c>
      <c r="D6" s="53" t="s">
        <v>402</v>
      </c>
      <c r="E6" s="53" t="s">
        <v>46</v>
      </c>
    </row>
    <row r="8" spans="2:8" x14ac:dyDescent="0.2">
      <c r="B8" s="53" t="s">
        <v>80</v>
      </c>
      <c r="C8" s="53" t="s">
        <v>401</v>
      </c>
      <c r="D8" s="53" t="s">
        <v>46</v>
      </c>
      <c r="E8" s="53" t="s">
        <v>46</v>
      </c>
    </row>
    <row r="10" spans="2:8" x14ac:dyDescent="0.2">
      <c r="B10" s="53" t="s">
        <v>403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404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405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406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407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408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410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411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412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413</v>
      </c>
      <c r="C20" s="53" t="s">
        <v>46</v>
      </c>
      <c r="D20" s="53" t="s">
        <v>46</v>
      </c>
      <c r="E20" s="53" t="s">
        <v>46</v>
      </c>
    </row>
  </sheetData>
  <sheetProtection algorithmName="SHA-512" hashValue="xsX9e+XpGClgKVUFTuLJvKgSTNNCdBjO7ZNroLiHnZviRz2umb1d9541MwUhPetUkQuxyyKMZ12bZmMAl9ab1Q==" saltValue="t7qsJuMBn6eHHn37iSpNv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433</vt:i4>
      </vt:variant>
    </vt:vector>
  </HeadingPairs>
  <TitlesOfParts>
    <vt:vector size="43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