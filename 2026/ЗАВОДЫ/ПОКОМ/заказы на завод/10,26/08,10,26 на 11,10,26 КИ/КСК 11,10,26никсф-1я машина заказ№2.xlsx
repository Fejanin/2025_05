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15CE58-30C3-4A6C-B7A7-9BA60F81B18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Z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86" i="2" l="1"/>
  <c r="BP86" i="2"/>
  <c r="Z93" i="2"/>
  <c r="BP93" i="2"/>
  <c r="Z404" i="2"/>
  <c r="Z440" i="2"/>
  <c r="Z261" i="2"/>
  <c r="Z262" i="2" s="1"/>
  <c r="BP98" i="2"/>
  <c r="Y136" i="2"/>
  <c r="Z231" i="2"/>
  <c r="Z28" i="2"/>
  <c r="BN28" i="2"/>
  <c r="Z77" i="2"/>
  <c r="BN77" i="2"/>
  <c r="BP173" i="2"/>
  <c r="Z221" i="2"/>
  <c r="Z240" i="2"/>
  <c r="BN240" i="2"/>
  <c r="Z241" i="2"/>
  <c r="Z326" i="2"/>
  <c r="BN326" i="2"/>
  <c r="Z327" i="2"/>
  <c r="BN327" i="2"/>
  <c r="Z328" i="2"/>
  <c r="Z442" i="2"/>
  <c r="BN442" i="2"/>
  <c r="Z466" i="2"/>
  <c r="BN466" i="2"/>
  <c r="Z474" i="2"/>
  <c r="BN474" i="2"/>
  <c r="Z476" i="2"/>
  <c r="Y179" i="2"/>
  <c r="BN187" i="2"/>
  <c r="BN194" i="2"/>
  <c r="BN266" i="2"/>
  <c r="BN382" i="2"/>
  <c r="BP396" i="2"/>
  <c r="BN410" i="2"/>
  <c r="BN416" i="2"/>
  <c r="BN455" i="2"/>
  <c r="BN503" i="2"/>
  <c r="BN516" i="2"/>
  <c r="Y33" i="2"/>
  <c r="Z31" i="2"/>
  <c r="BN31" i="2"/>
  <c r="BP38" i="2"/>
  <c r="BN41" i="2"/>
  <c r="Z48" i="2"/>
  <c r="Y82" i="2"/>
  <c r="BP80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Z436" i="2"/>
  <c r="BN436" i="2"/>
  <c r="BN443" i="2"/>
  <c r="BN454" i="2"/>
  <c r="BN460" i="2"/>
  <c r="Y462" i="2"/>
  <c r="Z486" i="2"/>
  <c r="BN486" i="2"/>
  <c r="BN502" i="2"/>
  <c r="BN510" i="2"/>
  <c r="BN515" i="2"/>
  <c r="BN530" i="2"/>
  <c r="Z532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9" i="2" l="1"/>
  <c r="Z32" i="2"/>
  <c r="Z386" i="2"/>
  <c r="Z345" i="2"/>
  <c r="Z174" i="2"/>
  <c r="Z120" i="2"/>
  <c r="Z444" i="2"/>
  <c r="Z456" i="2"/>
  <c r="Z142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<sst xmlns="http://schemas.openxmlformats.org/spreadsheetml/2006/main" count="4366" uniqueCount="910">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</sst>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46306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4.1666666666666664E-2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110</v>
      </c>
      <c r="Y56" s="55">
        <f t="shared" si="0"/>
        <v>118.80000000000001</v>
      </c>
      <c r="Z56" s="41">
        <f>IFERROR(IF(Y56=0,"",ROUNDUP(Y56/H56,0)*0.01898),"")</f>
        <v>0.20877999999999999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114.17592592592594</v>
      </c>
      <c r="BN56" s="78">
        <f t="shared" si="2"/>
        <v>123.31000000000002</v>
      </c>
      <c r="BO56" s="78">
        <f t="shared" si="3"/>
        <v>0.15914351851851852</v>
      </c>
      <c r="BP56" s="78">
        <f t="shared" si="4"/>
        <v>0.171875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/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10.185185185185185</v>
      </c>
      <c r="Y61" s="43">
        <f>IFERROR(Y55/H55,"0")+IFERROR(Y56/H56,"0")+IFERROR(Y57/H57,"0")+IFERROR(Y58/H58,"0")+IFERROR(Y59/H59,"0")+IFERROR(Y60/H60,"0")</f>
        <v>11</v>
      </c>
      <c r="Z61" s="43">
        <f>IFERROR(IF(Z55="",0,Z55),"0")+IFERROR(IF(Z56="",0,Z56),"0")+IFERROR(IF(Z57="",0,Z57),"0")+IFERROR(IF(Z58="",0,Z58),"0")+IFERROR(IF(Z59="",0,Z59),"0")+IFERROR(IF(Z60="",0,Z60),"0")</f>
        <v>0.20877999999999999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110</v>
      </c>
      <c r="Y62" s="43">
        <f>IFERROR(SUM(Y55:Y60),"0")</f>
        <v>118.80000000000001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20</v>
      </c>
      <c r="Y64" s="55">
        <f>IFERROR(IF(X64="",0,CEILING((X64/$H64),1)*$H64),"")</f>
        <v>21.6</v>
      </c>
      <c r="Z64" s="41">
        <f>IFERROR(IF(Y64=0,"",ROUNDUP(Y64/H64,0)*0.01898),"")</f>
        <v>3.7960000000000001E-2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20.75925925925926</v>
      </c>
      <c r="BN64" s="78">
        <f>IFERROR(Y64*I64/H64,"0")</f>
        <v>22.42</v>
      </c>
      <c r="BO64" s="78">
        <f>IFERROR(1/J64*(X64/H64),"0")</f>
        <v>2.8935185185185182E-2</v>
      </c>
      <c r="BP64" s="78">
        <f>IFERROR(1/J64*(Y64/H64),"0")</f>
        <v>3.125E-2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1.8518518518518516</v>
      </c>
      <c r="Y68" s="43">
        <f>IFERROR(Y64/H64,"0")+IFERROR(Y65/H65,"0")+IFERROR(Y66/H66,"0")+IFERROR(Y67/H67,"0")</f>
        <v>2</v>
      </c>
      <c r="Z68" s="43">
        <f>IFERROR(IF(Z64="",0,Z64),"0")+IFERROR(IF(Z65="",0,Z65),"0")+IFERROR(IF(Z66="",0,Z66),"0")+IFERROR(IF(Z67="",0,Z67),"0")</f>
        <v>3.7960000000000001E-2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20</v>
      </c>
      <c r="Y69" s="43">
        <f>IFERROR(SUM(Y64:Y67),"0")</f>
        <v>21.6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20</v>
      </c>
      <c r="Y85" s="55">
        <f>IFERROR(IF(X85="",0,CEILING((X85/$H85),1)*$H85),"")</f>
        <v>21.6</v>
      </c>
      <c r="Z85" s="41">
        <f>IFERROR(IF(Y85=0,"",ROUNDUP(Y85/H85,0)*0.01898),"")</f>
        <v>3.7960000000000001E-2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20.75925925925926</v>
      </c>
      <c r="BN85" s="78">
        <f>IFERROR(Y85*I85/H85,"0")</f>
        <v>22.42</v>
      </c>
      <c r="BO85" s="78">
        <f>IFERROR(1/J85*(X85/H85),"0")</f>
        <v>2.8935185185185182E-2</v>
      </c>
      <c r="BP85" s="78">
        <f>IFERROR(1/J85*(Y85/H85),"0")</f>
        <v>3.125E-2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/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1.8518518518518516</v>
      </c>
      <c r="Y90" s="43">
        <f>IFERROR(Y85/H85,"0")+IFERROR(Y86/H86,"0")+IFERROR(Y87/H87,"0")+IFERROR(Y88/H88,"0")+IFERROR(Y89/H89,"0")</f>
        <v>2</v>
      </c>
      <c r="Z90" s="43">
        <f>IFERROR(IF(Z85="",0,Z85),"0")+IFERROR(IF(Z86="",0,Z86),"0")+IFERROR(IF(Z87="",0,Z87),"0")+IFERROR(IF(Z88="",0,Z88),"0")+IFERROR(IF(Z89="",0,Z89),"0")</f>
        <v>3.7960000000000001E-2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20</v>
      </c>
      <c r="Y91" s="43">
        <f>IFERROR(SUM(Y85:Y89),"0")</f>
        <v>21.6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/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1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20.75925925925926</v>
      </c>
      <c r="BN104" s="78">
        <f t="shared" ref="BN104:BN111" si="12">IFERROR(Y104*I104/H104,"0")</f>
        <v>22.42</v>
      </c>
      <c r="BO104" s="78">
        <f t="shared" ref="BO104:BO111" si="13">IFERROR(1/J104*(X104/H104),"0")</f>
        <v>2.8935185185185182E-2</v>
      </c>
      <c r="BP104" s="78">
        <f t="shared" ref="BP104:BP111" si="14">IFERROR(1/J104*(Y104/H104),"0")</f>
        <v>3.125E-2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1.8518518518518516</v>
      </c>
      <c r="Y112" s="43">
        <f>IFERROR(Y104/H104,"0")+IFERROR(Y105/H105,"0")+IFERROR(Y106/H106,"0")+IFERROR(Y107/H107,"0")+IFERROR(Y108/H108,"0")+IFERROR(Y109/H109,"0")+IFERROR(Y110/H110,"0")+IFERROR(Y111/H111,"0")</f>
        <v>2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3.7960000000000001E-2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20</v>
      </c>
      <c r="Y113" s="43">
        <f>IFERROR(SUM(Y104:Y111),"0")</f>
        <v>21.6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/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27"/>
        <v>140</v>
      </c>
      <c r="Z184" s="41">
        <f t="shared" si="28"/>
        <v>0.36080000000000001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147.6</v>
      </c>
      <c r="BN184" s="78">
        <f t="shared" si="30"/>
        <v>147.6</v>
      </c>
      <c r="BO184" s="78">
        <f t="shared" si="31"/>
        <v>0.30303030303030304</v>
      </c>
      <c r="BP184" s="78">
        <f t="shared" si="32"/>
        <v>0.30303030303030304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/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3.36</v>
      </c>
      <c r="Y190" s="55">
        <f t="shared" si="27"/>
        <v>3.36</v>
      </c>
      <c r="Z190" s="41">
        <f>IFERROR(IF(Y190=0,"",ROUNDUP(Y190/H190,0)*0.00502),"")</f>
        <v>1.004E-2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3.5599999999999996</v>
      </c>
      <c r="BN190" s="78">
        <f t="shared" si="30"/>
        <v>3.5599999999999996</v>
      </c>
      <c r="BO190" s="78">
        <f t="shared" si="31"/>
        <v>8.5470085470085479E-3</v>
      </c>
      <c r="BP190" s="78">
        <f t="shared" si="32"/>
        <v>8.5470085470085479E-3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6.72</v>
      </c>
      <c r="Y195" s="55">
        <f t="shared" si="27"/>
        <v>6.72</v>
      </c>
      <c r="Z195" s="41">
        <f>IFERROR(IF(Y195=0,"",ROUNDUP(Y195/H195,0)*0.00502),"")</f>
        <v>2.0080000000000001E-2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7.1199999999999992</v>
      </c>
      <c r="BN195" s="78">
        <f t="shared" si="30"/>
        <v>7.1199999999999992</v>
      </c>
      <c r="BO195" s="78">
        <f t="shared" si="31"/>
        <v>1.7094017094017096E-2</v>
      </c>
      <c r="BP195" s="78">
        <f t="shared" si="32"/>
        <v>1.7094017094017096E-2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59.571428571428569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60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0.49720000000000003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188.48000000000002</v>
      </c>
      <c r="Y197" s="43">
        <f>IFERROR(SUM(Y182:Y195),"0")</f>
        <v>189.98000000000002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80</v>
      </c>
      <c r="Y276" s="55">
        <f t="shared" ref="Y276:Y283" si="45">IFERROR(IF(X276="",0,CEILING((X276/$H276),1)*$H276),"")</f>
        <v>81</v>
      </c>
      <c r="Z276" s="41">
        <f>IFERROR(IF(Y276=0,"",ROUNDUP(Y276/H276,0)*0.00902),"")</f>
        <v>0.1353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82.81481481481481</v>
      </c>
      <c r="BN276" s="78">
        <f t="shared" ref="BN276:BN283" si="47">IFERROR(Y276*I276/H276,"0")</f>
        <v>83.85</v>
      </c>
      <c r="BO276" s="78">
        <f t="shared" ref="BO276:BO283" si="48">IFERROR(1/J276*(X276/H276),"0")</f>
        <v>0.11223344556677889</v>
      </c>
      <c r="BP276" s="78">
        <f t="shared" ref="BP276:BP283" si="49">IFERROR(1/J276*(Y276/H276),"0")</f>
        <v>0.11363636363636363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40</v>
      </c>
      <c r="Y277" s="55">
        <f t="shared" si="45"/>
        <v>43.2</v>
      </c>
      <c r="Z277" s="41">
        <f>IFERROR(IF(Y277=0,"",ROUNDUP(Y277/H277,0)*0.00902),"")</f>
        <v>7.2160000000000002E-2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41.407407407407405</v>
      </c>
      <c r="BN277" s="78">
        <f t="shared" si="47"/>
        <v>44.72</v>
      </c>
      <c r="BO277" s="78">
        <f t="shared" si="48"/>
        <v>5.6116722783389444E-2</v>
      </c>
      <c r="BP277" s="78">
        <f t="shared" si="49"/>
        <v>6.0606060606060608E-2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45"/>
        <v>81</v>
      </c>
      <c r="Z278" s="41">
        <f>IFERROR(IF(Y278=0,"",ROUNDUP(Y278/H278,0)*0.00902),"")</f>
        <v>0.1353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82.81481481481481</v>
      </c>
      <c r="BN278" s="78">
        <f t="shared" si="47"/>
        <v>83.85</v>
      </c>
      <c r="BO278" s="78">
        <f t="shared" si="48"/>
        <v>0.11223344556677889</v>
      </c>
      <c r="BP278" s="78">
        <f t="shared" si="49"/>
        <v>0.11363636363636363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46.296296296296298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0.43296000000000001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250</v>
      </c>
      <c r="Y285" s="43">
        <f>IFERROR(SUM(Y276:Y283),"0")</f>
        <v>259.2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/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/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60</v>
      </c>
      <c r="Y335" s="55">
        <f>IFERROR(IF(X335="",0,CEILING((X335/$H335),1)*$H335),"")</f>
        <v>64.800000000000011</v>
      </c>
      <c r="Z335" s="41">
        <f>IFERROR(IF(Y335=0,"",ROUNDUP(Y335/H335,0)*0.01898),"")</f>
        <v>0.11388000000000001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62.277777777777779</v>
      </c>
      <c r="BN335" s="78">
        <f>IFERROR(Y335*I335/H335,"0")</f>
        <v>67.260000000000005</v>
      </c>
      <c r="BO335" s="78">
        <f>IFERROR(1/J335*(X335/H335),"0")</f>
        <v>8.6805555555555552E-2</v>
      </c>
      <c r="BP335" s="78">
        <f>IFERROR(1/J335*(Y335/H335),"0")</f>
        <v>9.3750000000000014E-2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5.5555555555555554</v>
      </c>
      <c r="Y338" s="43">
        <f>IFERROR(Y333/H333,"0")+IFERROR(Y334/H334,"0")+IFERROR(Y335/H335,"0")+IFERROR(Y336/H336,"0")+IFERROR(Y337/H337,"0")</f>
        <v>6.0000000000000009</v>
      </c>
      <c r="Z338" s="43">
        <f>IFERROR(IF(Z333="",0,Z333),"0")+IFERROR(IF(Z334="",0,Z334),"0")+IFERROR(IF(Z335="",0,Z335),"0")+IFERROR(IF(Z336="",0,Z336),"0")+IFERROR(IF(Z337="",0,Z337),"0")</f>
        <v>0.11388000000000001</v>
      </c>
      <c r="AA338" s="67"/>
      <c r="AB338" s="67"/>
      <c r="AC338" s="67"/>
    </row>
    <row r="339" spans="1:68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60</v>
      </c>
      <c r="Y339" s="43">
        <f>IFERROR(SUM(Y333:Y337),"0")</f>
        <v>64.800000000000011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/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15</v>
      </c>
      <c r="Y379" s="55">
        <f t="shared" ref="Y379:Y385" si="65">IFERROR(IF(X379="",0,CEILING((X379/$H379),1)*$H379),"")</f>
        <v>16.8</v>
      </c>
      <c r="Z379" s="41">
        <f>IFERROR(IF(Y379=0,"",ROUNDUP(Y379/H379,0)*0.00902),"")</f>
        <v>3.6080000000000001E-2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15.892857142857142</v>
      </c>
      <c r="BN379" s="78">
        <f t="shared" ref="BN379:BN385" si="67">IFERROR(Y379*I379/H379,"0")</f>
        <v>17.8</v>
      </c>
      <c r="BO379" s="78">
        <f t="shared" ref="BO379:BO385" si="68">IFERROR(1/J379*(X379/H379),"0")</f>
        <v>2.7056277056277056E-2</v>
      </c>
      <c r="BP379" s="78">
        <f t="shared" ref="BP379:BP385" si="69">IFERROR(1/J379*(Y379/H379),"0")</f>
        <v>3.0303030303030304E-2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15</v>
      </c>
      <c r="Y380" s="55">
        <f t="shared" si="65"/>
        <v>16.8</v>
      </c>
      <c r="Z380" s="41">
        <f>IFERROR(IF(Y380=0,"",ROUNDUP(Y380/H380,0)*0.00902),"")</f>
        <v>3.6080000000000001E-2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15.892857142857142</v>
      </c>
      <c r="BN380" s="78">
        <f t="shared" si="67"/>
        <v>17.8</v>
      </c>
      <c r="BO380" s="78">
        <f t="shared" si="68"/>
        <v>2.7056277056277056E-2</v>
      </c>
      <c r="BP380" s="78">
        <f t="shared" si="69"/>
        <v>3.0303030303030304E-2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7.1428571428571423</v>
      </c>
      <c r="Y386" s="43">
        <f>IFERROR(Y379/H379,"0")+IFERROR(Y380/H380,"0")+IFERROR(Y381/H381,"0")+IFERROR(Y382/H382,"0")+IFERROR(Y383/H383,"0")+IFERROR(Y384/H384,"0")+IFERROR(Y385/H385,"0")</f>
        <v>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7.2160000000000002E-2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30</v>
      </c>
      <c r="Y387" s="43">
        <f>IFERROR(SUM(Y379:Y385),"0")</f>
        <v>33.6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/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/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16.8</v>
      </c>
      <c r="Y429" s="55">
        <f>IFERROR(IF(X429="",0,CEILING((X429/$H429),1)*$H429),"")</f>
        <v>16.8</v>
      </c>
      <c r="Z429" s="41">
        <f>IFERROR(IF(Y429=0,"",ROUNDUP(Y429/H429,0)*0.00651),"")</f>
        <v>5.2080000000000001E-2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18.815999999999999</v>
      </c>
      <c r="BN429" s="78">
        <f>IFERROR(Y429*I429/H429,"0")</f>
        <v>18.815999999999999</v>
      </c>
      <c r="BO429" s="78">
        <f>IFERROR(1/J429*(X429/H429),"0")</f>
        <v>4.3956043956043959E-2</v>
      </c>
      <c r="BP429" s="78">
        <f>IFERROR(1/J429*(Y429/H429),"0")</f>
        <v>4.3956043956043959E-2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11</v>
      </c>
      <c r="Y431" s="43">
        <f>IFERROR(Y428/H428,"0")+IFERROR(Y429/H429,"0")+IFERROR(Y430/H430,"0")</f>
        <v>11</v>
      </c>
      <c r="Z431" s="43">
        <f>IFERROR(IF(Z428="",0,Z428),"0")+IFERROR(IF(Z429="",0,Z429),"0")+IFERROR(IF(Z430="",0,Z430),"0")</f>
        <v>7.1610000000000007E-2</v>
      </c>
      <c r="AA431" s="67"/>
      <c r="AB431" s="67"/>
      <c r="AC431" s="67"/>
    </row>
    <row r="432" spans="1:68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23.1</v>
      </c>
      <c r="Y432" s="43">
        <f>IFERROR(SUM(Y428:Y430),"0")</f>
        <v>23.1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/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30</v>
      </c>
      <c r="Y438" s="55">
        <f t="shared" si="70"/>
        <v>30</v>
      </c>
      <c r="Z438" s="41">
        <f>IFERROR(IF(Y438=0,"",ROUNDUP(Y438/H438,0)*0.02175),"")</f>
        <v>4.3499999999999997E-2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30.94</v>
      </c>
      <c r="BN438" s="78">
        <f t="shared" si="72"/>
        <v>30.94</v>
      </c>
      <c r="BO438" s="78">
        <f t="shared" si="73"/>
        <v>4.1666666666666664E-2</v>
      </c>
      <c r="BP438" s="78">
        <f t="shared" si="74"/>
        <v>4.1666666666666664E-2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250</v>
      </c>
      <c r="Y439" s="55">
        <f t="shared" si="70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257.83333333333331</v>
      </c>
      <c r="BN439" s="78">
        <f t="shared" si="72"/>
        <v>262.99</v>
      </c>
      <c r="BO439" s="78">
        <f t="shared" si="73"/>
        <v>0.34722222222222221</v>
      </c>
      <c r="BP439" s="78">
        <f t="shared" si="74"/>
        <v>0.35416666666666663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18.666666666666668</v>
      </c>
      <c r="Y444" s="43">
        <f>IFERROR(Y436/H436,"0")+IFERROR(Y437/H437,"0")+IFERROR(Y438/H438,"0")+IFERROR(Y439/H439,"0")+IFERROR(Y440/H440,"0")+IFERROR(Y441/H441,"0")+IFERROR(Y442/H442,"0")+IFERROR(Y443/H443,"0")</f>
        <v>19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0.41324999999999995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280</v>
      </c>
      <c r="Y445" s="43">
        <f>IFERROR(SUM(Y436:Y443),"0")</f>
        <v>285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255</v>
      </c>
      <c r="Z447" s="41">
        <f>IFERROR(IF(Y447=0,"",ROUNDUP(Y447/H447,0)*0.02175),"")</f>
        <v>0.36974999999999997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257.83333333333331</v>
      </c>
      <c r="BN447" s="78">
        <f>IFERROR(Y447*I447/H447,"0")</f>
        <v>262.99</v>
      </c>
      <c r="BO447" s="78">
        <f>IFERROR(1/J447*(X447/H447),"0")</f>
        <v>0.34722222222222221</v>
      </c>
      <c r="BP447" s="78">
        <f>IFERROR(1/J447*(Y447/H447),"0")</f>
        <v>0.35416666666666663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16.666666666666668</v>
      </c>
      <c r="Y450" s="43">
        <f>IFERROR(Y447/H447,"0")+IFERROR(Y448/H448,"0")+IFERROR(Y449/H449,"0")</f>
        <v>17</v>
      </c>
      <c r="Z450" s="43">
        <f>IFERROR(IF(Z447="",0,Z447),"0")+IFERROR(IF(Z448="",0,Z448),"0")+IFERROR(IF(Z449="",0,Z449),"0")</f>
        <v>0.36974999999999997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250</v>
      </c>
      <c r="Y451" s="43">
        <f>IFERROR(SUM(Y447:Y449),"0")</f>
        <v>255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10</v>
      </c>
      <c r="Y465" s="55">
        <f>IFERROR(IF(X465="",0,CEILING((X465/$H465),1)*$H465),"")</f>
        <v>12</v>
      </c>
      <c r="Z465" s="41">
        <f>IFERROR(IF(Y465=0,"",ROUNDUP(Y465/H465,0)*0.01898),"")</f>
        <v>1.898E-2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10.341666666666667</v>
      </c>
      <c r="BN465" s="78">
        <f>IFERROR(Y465*I465/H465,"0")</f>
        <v>12.410000000000002</v>
      </c>
      <c r="BO465" s="78">
        <f>IFERROR(1/J465*(X465/H465),"0")</f>
        <v>1.3020833333333334E-2</v>
      </c>
      <c r="BP465" s="78">
        <f>IFERROR(1/J465*(Y465/H465),"0")</f>
        <v>1.5625E-2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0.83333333333333337</v>
      </c>
      <c r="Y467" s="43">
        <f>IFERROR(Y465/H465,"0")+IFERROR(Y466/H466,"0")</f>
        <v>1</v>
      </c>
      <c r="Z467" s="43">
        <f>IFERROR(IF(Z465="",0,Z465),"0")+IFERROR(IF(Z466="",0,Z466),"0")</f>
        <v>1.898E-2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10</v>
      </c>
      <c r="Y468" s="43">
        <f>IFERROR(SUM(Y465:Y466),"0")</f>
        <v>12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10</v>
      </c>
      <c r="Y482" s="55">
        <f t="shared" ref="Y482:Y487" si="75">IFERROR(IF(X482="",0,CEILING((X482/$H482),1)*$H482),"")</f>
        <v>10.8</v>
      </c>
      <c r="Z482" s="41">
        <f>IFERROR(IF(Y482=0,"",ROUNDUP(Y482/H482,0)*0.00902),"")</f>
        <v>1.804E-2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10.351851851851851</v>
      </c>
      <c r="BN482" s="78">
        <f t="shared" ref="BN482:BN487" si="77">IFERROR(Y482*I482/H482,"0")</f>
        <v>11.18</v>
      </c>
      <c r="BO482" s="78">
        <f t="shared" ref="BO482:BO487" si="78">IFERROR(1/J482*(X482/H482),"0")</f>
        <v>1.4029180695847361E-2</v>
      </c>
      <c r="BP482" s="78">
        <f t="shared" ref="BP482:BP487" si="79">IFERROR(1/J482*(Y482/H482),"0")</f>
        <v>1.5151515151515152E-2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/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1.8518518518518516</v>
      </c>
      <c r="Y488" s="43">
        <f>IFERROR(Y482/H482,"0")+IFERROR(Y483/H483,"0")+IFERROR(Y484/H484,"0")+IFERROR(Y485/H485,"0")+IFERROR(Y486/H486,"0")+IFERROR(Y487/H487,"0")</f>
        <v>2</v>
      </c>
      <c r="Z488" s="43">
        <f>IFERROR(IF(Z482="",0,Z482),"0")+IFERROR(IF(Z483="",0,Z483),"0")+IFERROR(IF(Z484="",0,Z484),"0")+IFERROR(IF(Z485="",0,Z485),"0")+IFERROR(IF(Z486="",0,Z486),"0")+IFERROR(IF(Z487="",0,Z487),"0")</f>
        <v>1.804E-2</v>
      </c>
      <c r="AA488" s="67"/>
      <c r="AB488" s="67"/>
      <c r="AC488" s="67"/>
    </row>
    <row r="489" spans="1:68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10</v>
      </c>
      <c r="Y489" s="43">
        <f>IFERROR(SUM(Y482:Y487),"0")</f>
        <v>10.8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35</v>
      </c>
      <c r="Y501" s="55">
        <f>IFERROR(IF(X501="",0,CEILING((X501/$H501),1)*$H501),"")</f>
        <v>37.800000000000004</v>
      </c>
      <c r="Z501" s="41">
        <f>IFERROR(IF(Y501=0,"",ROUNDUP(Y501/H501,0)*0.00902),"")</f>
        <v>6.3140000000000002E-2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36.231481481481481</v>
      </c>
      <c r="BN501" s="78">
        <f>IFERROR(Y501*I501/H501,"0")</f>
        <v>39.130000000000003</v>
      </c>
      <c r="BO501" s="78">
        <f>IFERROR(1/J501*(X501/H501),"0")</f>
        <v>4.9102132435465767E-2</v>
      </c>
      <c r="BP501" s="78">
        <f>IFERROR(1/J501*(Y501/H501),"0")</f>
        <v>5.3030303030303032E-2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6.481481481481481</v>
      </c>
      <c r="Y504" s="43">
        <f>IFERROR(Y501/H501,"0")+IFERROR(Y502/H502,"0")+IFERROR(Y503/H503,"0")</f>
        <v>7</v>
      </c>
      <c r="Z504" s="43">
        <f>IFERROR(IF(Z501="",0,Z501),"0")+IFERROR(IF(Z502="",0,Z502),"0")+IFERROR(IF(Z503="",0,Z503),"0")</f>
        <v>6.3140000000000002E-2</v>
      </c>
      <c r="AA504" s="67"/>
      <c r="AB504" s="67"/>
      <c r="AC504" s="67"/>
    </row>
    <row r="505" spans="1:68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35</v>
      </c>
      <c r="Y505" s="43">
        <f>IFERROR(SUM(Y501:Y503),"0")</f>
        <v>37.800000000000004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10</v>
      </c>
      <c r="Y511" s="55">
        <f t="shared" si="80"/>
        <v>10.56</v>
      </c>
      <c r="Z511" s="41">
        <f t="shared" si="81"/>
        <v>2.392E-2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10.662878787878787</v>
      </c>
      <c r="BN511" s="78">
        <f t="shared" si="83"/>
        <v>11.26</v>
      </c>
      <c r="BO511" s="78">
        <f t="shared" si="84"/>
        <v>1.8210955710955712E-2</v>
      </c>
      <c r="BP511" s="78">
        <f t="shared" si="85"/>
        <v>1.9230769230769232E-2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120</v>
      </c>
      <c r="Y512" s="55">
        <f t="shared" si="80"/>
        <v>121.44000000000001</v>
      </c>
      <c r="Z512" s="41">
        <f t="shared" si="81"/>
        <v>0.27507999999999999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127.95454545454545</v>
      </c>
      <c r="BN512" s="78">
        <f t="shared" si="83"/>
        <v>129.49</v>
      </c>
      <c r="BO512" s="78">
        <f t="shared" si="84"/>
        <v>0.21853146853146854</v>
      </c>
      <c r="BP512" s="78">
        <f t="shared" si="85"/>
        <v>0.22115384615384617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80"/>
        <v>153.12</v>
      </c>
      <c r="Z514" s="41">
        <f t="shared" si="81"/>
        <v>0.34683999999999998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159.94318181818181</v>
      </c>
      <c r="BN514" s="78">
        <f t="shared" si="83"/>
        <v>163.26999999999998</v>
      </c>
      <c r="BO514" s="78">
        <f t="shared" si="84"/>
        <v>0.27316433566433568</v>
      </c>
      <c r="BP514" s="78">
        <f t="shared" si="85"/>
        <v>0.27884615384615385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58.712121212121204</v>
      </c>
      <c r="Y518" s="43">
        <f>IFERROR(Y509/H509,"0")+IFERROR(Y510/H510,"0")+IFERROR(Y511/H511,"0")+IFERROR(Y512/H512,"0")+IFERROR(Y513/H513,"0")+IFERROR(Y514/H514,"0")+IFERROR(Y515/H515,"0")+IFERROR(Y516/H516,"0")+IFERROR(Y517/H517,"0")</f>
        <v>60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0.71760000000000002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310</v>
      </c>
      <c r="Y519" s="43">
        <f>IFERROR(SUM(Y509:Y517),"0")</f>
        <v>316.8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170</v>
      </c>
      <c r="Y521" s="55">
        <f>IFERROR(IF(X521="",0,CEILING((X521/$H521),1)*$H521),"")</f>
        <v>174.24</v>
      </c>
      <c r="Z521" s="41">
        <f>IFERROR(IF(Y521=0,"",ROUNDUP(Y521/H521,0)*0.01196),"")</f>
        <v>0.39468000000000003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181.26893939393938</v>
      </c>
      <c r="BN521" s="78">
        <f>IFERROR(Y521*I521/H521,"0")</f>
        <v>185.79</v>
      </c>
      <c r="BO521" s="78">
        <f>IFERROR(1/J521*(X521/H521),"0")</f>
        <v>0.3095862470862471</v>
      </c>
      <c r="BP521" s="78">
        <f>IFERROR(1/J521*(Y521/H521),"0")</f>
        <v>0.31730769230769235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32.196969696969695</v>
      </c>
      <c r="Y524" s="43">
        <f>IFERROR(Y521/H521,"0")+IFERROR(Y522/H522,"0")+IFERROR(Y523/H523,"0")</f>
        <v>33</v>
      </c>
      <c r="Z524" s="43">
        <f>IFERROR(IF(Z521="",0,Z521),"0")+IFERROR(IF(Z522="",0,Z522),"0")+IFERROR(IF(Z523="",0,Z523),"0")</f>
        <v>0.39468000000000003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170</v>
      </c>
      <c r="Y525" s="43">
        <f>IFERROR(SUM(Y521:Y523),"0")</f>
        <v>174.24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35</v>
      </c>
      <c r="Y527" s="55">
        <f t="shared" ref="Y527:Y533" si="86">IFERROR(IF(X527="",0,CEILING((X527/$H527),1)*$H527),"")</f>
        <v>36.96</v>
      </c>
      <c r="Z527" s="41">
        <f>IFERROR(IF(Y527=0,"",ROUNDUP(Y527/H527,0)*0.01196),"")</f>
        <v>8.3720000000000003E-2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37.320075757575751</v>
      </c>
      <c r="BN527" s="78">
        <f t="shared" ref="BN527:BN533" si="88">IFERROR(Y527*I527/H527,"0")</f>
        <v>39.409999999999997</v>
      </c>
      <c r="BO527" s="78">
        <f t="shared" ref="BO527:BO533" si="89">IFERROR(1/J527*(X527/H527),"0")</f>
        <v>6.3738344988344992E-2</v>
      </c>
      <c r="BP527" s="78">
        <f t="shared" ref="BP527:BP533" si="90">IFERROR(1/J527*(Y527/H527),"0")</f>
        <v>6.7307692307692318E-2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50</v>
      </c>
      <c r="Y528" s="55">
        <f t="shared" si="86"/>
        <v>52.800000000000004</v>
      </c>
      <c r="Z528" s="41">
        <f>IFERROR(IF(Y528=0,"",ROUNDUP(Y528/H528,0)*0.01196),"")</f>
        <v>0.1196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53.314393939393938</v>
      </c>
      <c r="BN528" s="78">
        <f t="shared" si="88"/>
        <v>56.3</v>
      </c>
      <c r="BO528" s="78">
        <f t="shared" si="89"/>
        <v>9.1054778554778545E-2</v>
      </c>
      <c r="BP528" s="78">
        <f t="shared" si="90"/>
        <v>9.6153846153846159E-2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90</v>
      </c>
      <c r="Y529" s="55">
        <f t="shared" si="86"/>
        <v>95.04</v>
      </c>
      <c r="Z529" s="41">
        <f>IFERROR(IF(Y529=0,"",ROUNDUP(Y529/H529,0)*0.01196),"")</f>
        <v>0.21528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95.965909090909079</v>
      </c>
      <c r="BN529" s="78">
        <f t="shared" si="88"/>
        <v>101.33999999999999</v>
      </c>
      <c r="BO529" s="78">
        <f t="shared" si="89"/>
        <v>0.16389860139860138</v>
      </c>
      <c r="BP529" s="78">
        <f t="shared" si="90"/>
        <v>0.17307692307692307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33.143939393939391</v>
      </c>
      <c r="Y534" s="43">
        <f>IFERROR(Y527/H527,"0")+IFERROR(Y528/H528,"0")+IFERROR(Y529/H529,"0")+IFERROR(Y530/H530,"0")+IFERROR(Y531/H531,"0")+IFERROR(Y532/H532,"0")+IFERROR(Y533/H533,"0")</f>
        <v>35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0.41859999999999997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175</v>
      </c>
      <c r="Y535" s="43">
        <f>IFERROR(SUM(Y527:Y533),"0")</f>
        <v>184.8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20</v>
      </c>
      <c r="Y539" s="55">
        <f>IFERROR(IF(X539="",0,CEILING((X539/$H539),1)*$H539),"")</f>
        <v>24</v>
      </c>
      <c r="Z539" s="41">
        <f>IFERROR(IF(Y539=0,"",ROUNDUP(Y539/H539,0)*0.01898),"")</f>
        <v>3.7960000000000001E-2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20.683333333333334</v>
      </c>
      <c r="BN539" s="78">
        <f>IFERROR(Y539*I539/H539,"0")</f>
        <v>24.820000000000004</v>
      </c>
      <c r="BO539" s="78">
        <f>IFERROR(1/J539*(X539/H539),"0")</f>
        <v>2.6041666666666668E-2</v>
      </c>
      <c r="BP539" s="78">
        <f>IFERROR(1/J539*(Y539/H539),"0")</f>
        <v>3.125E-2</v>
      </c>
    </row>
    <row r="540" spans="1:68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1.6666666666666667</v>
      </c>
      <c r="Y540" s="43">
        <f>IFERROR(Y539/H539,"0")</f>
        <v>2</v>
      </c>
      <c r="Z540" s="43">
        <f>IFERROR(IF(Z539="",0,Z539),"0")</f>
        <v>3.7960000000000001E-2</v>
      </c>
      <c r="AA540" s="67"/>
      <c r="AB540" s="67"/>
      <c r="AC540" s="67"/>
    </row>
    <row r="541" spans="1:68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20</v>
      </c>
      <c r="Y541" s="43">
        <f>IFERROR(SUM(Y539:Y539),"0")</f>
        <v>24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/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2026.58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2102.7200000000003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2123.5189745254747</v>
      </c>
      <c r="Y565" s="43">
        <f>IFERROR(SUM(BN22:BN561),"0")</f>
        <v>2203.1260000000007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2223.5189745254747</v>
      </c>
      <c r="Y567" s="43">
        <f>GrossWeightTotalR+PalletQtyTotalR*25</f>
        <v>2303.1260000000007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320.22742997742995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331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4.0573699999999997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140.4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21.6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21.6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189.98000000000002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259.2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64.800000000000011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33.6</v>
      </c>
      <c r="U574" s="52">
        <f>IFERROR(Y422*1,"0")+IFERROR(Y423*1,"0")</f>
        <v>0</v>
      </c>
      <c r="V574" s="52">
        <f>IFERROR(Y428*1,"0")+IFERROR(Y429*1,"0")+IFERROR(Y430*1,"0")</f>
        <v>23.1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540</v>
      </c>
      <c r="X574" s="52">
        <f>IFERROR(Y465*1,"0")+IFERROR(Y466*1,"0")+IFERROR(Y470*1,"0")+IFERROR(Y474*1,"0")+IFERROR(Y475*1,"0")+IFERROR(Y476*1,"0")</f>
        <v>12</v>
      </c>
      <c r="Y574" s="52">
        <f>IFERROR(Y482*1,"0")+IFERROR(Y483*1,"0")+IFERROR(Y484*1,"0")+IFERROR(Y485*1,"0")+IFERROR(Y486*1,"0")+IFERROR(Y487*1,"0")+IFERROR(Y491*1,"0")+IFERROR(Y492*1,"0")</f>
        <v>10.8</v>
      </c>
      <c r="Z574" s="52">
        <f>IFERROR(Y497*1,"0")+IFERROR(Y501*1,"0")+IFERROR(Y502*1,"0")+IFERROR(Y503*1,"0")</f>
        <v>37.800000000000004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675.83999999999992</v>
      </c>
      <c r="AB574" s="52">
        <f>IFERROR(Y539*1,"0")+IFERROR(Y543*1,"0")+IFERROR(Y547*1,"0")+IFERROR(Y551*1,"0")+IFERROR(Y555*1,"0")+IFERROR(Y556*1,"0")</f>
        <v>24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67"/>
        <filter val="1,85"/>
        <filter val="1,92"/>
        <filter val="10,00"/>
        <filter val="10,19"/>
        <filter val="11,00"/>
        <filter val="110,00"/>
        <filter val="120,00"/>
        <filter val="140,00"/>
        <filter val="15,00"/>
        <filter val="150,00"/>
        <filter val="16,67"/>
        <filter val="16,80"/>
        <filter val="170,00"/>
        <filter val="175,00"/>
        <filter val="18,67"/>
        <filter val="188,48"/>
        <filter val="2 026,58"/>
        <filter val="2 123,52"/>
        <filter val="2 223,52"/>
        <filter val="2,78"/>
        <filter val="20,00"/>
        <filter val="23,10"/>
        <filter val="250,00"/>
        <filter val="280,00"/>
        <filter val="3,36"/>
        <filter val="30,00"/>
        <filter val="310,00"/>
        <filter val="32,20"/>
        <filter val="320,23"/>
        <filter val="33,14"/>
        <filter val="35,00"/>
        <filter val="4"/>
        <filter val="40,00"/>
        <filter val="46,30"/>
        <filter val="5,56"/>
        <filter val="50,00"/>
        <filter val="58,71"/>
        <filter val="59,57"/>
        <filter val="6,30"/>
        <filter val="6,48"/>
        <filter val="6,72"/>
        <filter val="60,00"/>
        <filter val="7,14"/>
        <filter val="8,40"/>
        <filter val="80,00"/>
        <filter val="90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