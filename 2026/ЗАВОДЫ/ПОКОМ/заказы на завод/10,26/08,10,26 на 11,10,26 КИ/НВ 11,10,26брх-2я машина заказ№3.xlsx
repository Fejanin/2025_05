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0256AE-6203-48B1-93FE-C64D27DBACD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P543" i="1"/>
  <c r="X540" i="1"/>
  <c r="X539" i="1"/>
  <c r="BO538" i="1"/>
  <c r="BM538" i="1"/>
  <c r="Y538" i="1"/>
  <c r="P538" i="1"/>
  <c r="BO537" i="1"/>
  <c r="BM537" i="1"/>
  <c r="Y537" i="1"/>
  <c r="Y539" i="1" s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O484" i="1"/>
  <c r="BM484" i="1"/>
  <c r="Y484" i="1"/>
  <c r="BP484" i="1" s="1"/>
  <c r="P484" i="1"/>
  <c r="X482" i="1"/>
  <c r="X481" i="1"/>
  <c r="BO480" i="1"/>
  <c r="BM480" i="1"/>
  <c r="Y480" i="1"/>
  <c r="Y482" i="1" s="1"/>
  <c r="P480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BN459" i="1" s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P444" i="1"/>
  <c r="BO444" i="1"/>
  <c r="BM444" i="1"/>
  <c r="Z444" i="1"/>
  <c r="Y444" i="1"/>
  <c r="BN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M424" i="1"/>
  <c r="Z424" i="1"/>
  <c r="Y424" i="1"/>
  <c r="BN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BN420" i="1" s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Y416" i="1" s="1"/>
  <c r="P412" i="1"/>
  <c r="X409" i="1"/>
  <c r="X408" i="1"/>
  <c r="BO407" i="1"/>
  <c r="BM407" i="1"/>
  <c r="Y407" i="1"/>
  <c r="P407" i="1"/>
  <c r="BO406" i="1"/>
  <c r="BN406" i="1"/>
  <c r="BM406" i="1"/>
  <c r="Y406" i="1"/>
  <c r="BP406" i="1" s="1"/>
  <c r="P406" i="1"/>
  <c r="X403" i="1"/>
  <c r="X402" i="1"/>
  <c r="BP401" i="1"/>
  <c r="BO401" i="1"/>
  <c r="BM401" i="1"/>
  <c r="Z401" i="1"/>
  <c r="Y401" i="1"/>
  <c r="BN401" i="1" s="1"/>
  <c r="P401" i="1"/>
  <c r="BO400" i="1"/>
  <c r="BM400" i="1"/>
  <c r="Y400" i="1"/>
  <c r="P400" i="1"/>
  <c r="BO399" i="1"/>
  <c r="BM399" i="1"/>
  <c r="Y399" i="1"/>
  <c r="Y402" i="1" s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P393" i="1"/>
  <c r="X391" i="1"/>
  <c r="X390" i="1"/>
  <c r="BO389" i="1"/>
  <c r="BN389" i="1"/>
  <c r="BM389" i="1"/>
  <c r="Y389" i="1"/>
  <c r="BP389" i="1" s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BN381" i="1" s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M373" i="1"/>
  <c r="Z373" i="1"/>
  <c r="Y373" i="1"/>
  <c r="BN373" i="1" s="1"/>
  <c r="P373" i="1"/>
  <c r="X371" i="1"/>
  <c r="X370" i="1"/>
  <c r="BO369" i="1"/>
  <c r="BM369" i="1"/>
  <c r="Y369" i="1"/>
  <c r="P369" i="1"/>
  <c r="BO368" i="1"/>
  <c r="BM368" i="1"/>
  <c r="Y368" i="1"/>
  <c r="P368" i="1"/>
  <c r="BO367" i="1"/>
  <c r="BN367" i="1"/>
  <c r="BM367" i="1"/>
  <c r="Y367" i="1"/>
  <c r="BP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M363" i="1"/>
  <c r="Z363" i="1"/>
  <c r="Y363" i="1"/>
  <c r="BN363" i="1" s="1"/>
  <c r="P363" i="1"/>
  <c r="X361" i="1"/>
  <c r="X360" i="1"/>
  <c r="BO359" i="1"/>
  <c r="BM359" i="1"/>
  <c r="Y359" i="1"/>
  <c r="P359" i="1"/>
  <c r="BO358" i="1"/>
  <c r="BM358" i="1"/>
  <c r="Y358" i="1"/>
  <c r="P358" i="1"/>
  <c r="BO357" i="1"/>
  <c r="BN357" i="1"/>
  <c r="BM357" i="1"/>
  <c r="Y357" i="1"/>
  <c r="BP357" i="1" s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Y360" i="1" s="1"/>
  <c r="P354" i="1"/>
  <c r="BP353" i="1"/>
  <c r="BO353" i="1"/>
  <c r="BN353" i="1"/>
  <c r="BM353" i="1"/>
  <c r="Z353" i="1"/>
  <c r="Y353" i="1"/>
  <c r="P353" i="1"/>
  <c r="X350" i="1"/>
  <c r="Y349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BN341" i="1" s="1"/>
  <c r="P341" i="1"/>
  <c r="BO340" i="1"/>
  <c r="BM340" i="1"/>
  <c r="Y340" i="1"/>
  <c r="P340" i="1"/>
  <c r="BO339" i="1"/>
  <c r="BM339" i="1"/>
  <c r="Y339" i="1"/>
  <c r="P339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Z319" i="1"/>
  <c r="Y319" i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BN315" i="1" s="1"/>
  <c r="P315" i="1"/>
  <c r="X312" i="1"/>
  <c r="X311" i="1"/>
  <c r="BO310" i="1"/>
  <c r="BM310" i="1"/>
  <c r="Y310" i="1"/>
  <c r="BP310" i="1" s="1"/>
  <c r="P310" i="1"/>
  <c r="BO309" i="1"/>
  <c r="BM309" i="1"/>
  <c r="Y309" i="1"/>
  <c r="Y311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N296" i="1"/>
  <c r="BM296" i="1"/>
  <c r="Y296" i="1"/>
  <c r="BP296" i="1" s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O292" i="1"/>
  <c r="BN292" i="1"/>
  <c r="BM292" i="1"/>
  <c r="Z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P281" i="1"/>
  <c r="BO281" i="1"/>
  <c r="BM281" i="1"/>
  <c r="Z281" i="1"/>
  <c r="Y281" i="1"/>
  <c r="BN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N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N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N264" i="1" s="1"/>
  <c r="P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N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2" i="1"/>
  <c r="X251" i="1"/>
  <c r="BP250" i="1"/>
  <c r="BO250" i="1"/>
  <c r="BM250" i="1"/>
  <c r="Z250" i="1"/>
  <c r="Y250" i="1"/>
  <c r="BN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P234" i="1"/>
  <c r="BO233" i="1"/>
  <c r="BN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N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N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P204" i="1"/>
  <c r="BO204" i="1"/>
  <c r="BM204" i="1"/>
  <c r="Z204" i="1"/>
  <c r="Y204" i="1"/>
  <c r="BN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N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Y186" i="1" s="1"/>
  <c r="P184" i="1"/>
  <c r="X182" i="1"/>
  <c r="X181" i="1"/>
  <c r="BO180" i="1"/>
  <c r="BN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P172" i="1"/>
  <c r="BO172" i="1"/>
  <c r="BM172" i="1"/>
  <c r="Z172" i="1"/>
  <c r="Y172" i="1"/>
  <c r="BN172" i="1" s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BP166" i="1" s="1"/>
  <c r="P166" i="1"/>
  <c r="X164" i="1"/>
  <c r="X163" i="1"/>
  <c r="BO162" i="1"/>
  <c r="BM162" i="1"/>
  <c r="Y162" i="1"/>
  <c r="BN162" i="1" s="1"/>
  <c r="P162" i="1"/>
  <c r="BO161" i="1"/>
  <c r="BM161" i="1"/>
  <c r="Y161" i="1"/>
  <c r="P161" i="1"/>
  <c r="BO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N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BP147" i="1" s="1"/>
  <c r="P147" i="1"/>
  <c r="X144" i="1"/>
  <c r="X143" i="1"/>
  <c r="BO142" i="1"/>
  <c r="BM142" i="1"/>
  <c r="Y142" i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O131" i="1"/>
  <c r="BN131" i="1"/>
  <c r="BM131" i="1"/>
  <c r="Y131" i="1"/>
  <c r="BP131" i="1" s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N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N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G556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N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O73" i="1"/>
  <c r="BM73" i="1"/>
  <c r="Y73" i="1"/>
  <c r="P73" i="1"/>
  <c r="BO72" i="1"/>
  <c r="BM72" i="1"/>
  <c r="Y72" i="1"/>
  <c r="BN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N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N47" i="1"/>
  <c r="BM47" i="1"/>
  <c r="Y47" i="1"/>
  <c r="BP47" i="1" s="1"/>
  <c r="P47" i="1"/>
  <c r="BO46" i="1"/>
  <c r="BM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N37" i="1"/>
  <c r="BM37" i="1"/>
  <c r="Y37" i="1"/>
  <c r="BP37" i="1" s="1"/>
  <c r="P37" i="1"/>
  <c r="BO36" i="1"/>
  <c r="BM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N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X550" i="1" l="1"/>
  <c r="Z27" i="1"/>
  <c r="BP27" i="1"/>
  <c r="Z72" i="1"/>
  <c r="BP72" i="1"/>
  <c r="Z104" i="1"/>
  <c r="BP104" i="1"/>
  <c r="Z141" i="1"/>
  <c r="BP141" i="1"/>
  <c r="Z162" i="1"/>
  <c r="BP162" i="1"/>
  <c r="Z200" i="1"/>
  <c r="BP200" i="1"/>
  <c r="Z225" i="1"/>
  <c r="BP225" i="1"/>
  <c r="Z264" i="1"/>
  <c r="BP264" i="1"/>
  <c r="Z277" i="1"/>
  <c r="BP277" i="1"/>
  <c r="Z315" i="1"/>
  <c r="BP315" i="1"/>
  <c r="BN326" i="1"/>
  <c r="Z341" i="1"/>
  <c r="BP341" i="1"/>
  <c r="Z381" i="1"/>
  <c r="BP381" i="1"/>
  <c r="BN395" i="1"/>
  <c r="Z420" i="1"/>
  <c r="BP420" i="1"/>
  <c r="Z432" i="1"/>
  <c r="BP432" i="1"/>
  <c r="Z459" i="1"/>
  <c r="BP459" i="1"/>
  <c r="BN475" i="1"/>
  <c r="Y476" i="1"/>
  <c r="Z480" i="1"/>
  <c r="Z481" i="1" s="1"/>
  <c r="BP480" i="1"/>
  <c r="BN484" i="1"/>
  <c r="BN498" i="1"/>
  <c r="Z514" i="1"/>
  <c r="BP514" i="1"/>
  <c r="Z37" i="1"/>
  <c r="Y63" i="1"/>
  <c r="Z112" i="1"/>
  <c r="Z131" i="1"/>
  <c r="Z150" i="1"/>
  <c r="Z180" i="1"/>
  <c r="Z221" i="1"/>
  <c r="Z233" i="1"/>
  <c r="Z260" i="1"/>
  <c r="Z273" i="1"/>
  <c r="Z296" i="1"/>
  <c r="Z348" i="1"/>
  <c r="Y378" i="1"/>
  <c r="Z389" i="1"/>
  <c r="Z406" i="1"/>
  <c r="X547" i="1"/>
  <c r="Z47" i="1"/>
  <c r="Z58" i="1"/>
  <c r="Y75" i="1"/>
  <c r="Z89" i="1"/>
  <c r="Y97" i="1"/>
  <c r="Z120" i="1"/>
  <c r="Y144" i="1"/>
  <c r="Z326" i="1"/>
  <c r="Z357" i="1"/>
  <c r="Z367" i="1"/>
  <c r="Z395" i="1"/>
  <c r="Z475" i="1"/>
  <c r="Z476" i="1" s="1"/>
  <c r="BP475" i="1"/>
  <c r="BN480" i="1"/>
  <c r="Y481" i="1"/>
  <c r="Z484" i="1"/>
  <c r="Z498" i="1"/>
  <c r="BP339" i="1"/>
  <c r="BN339" i="1"/>
  <c r="Z339" i="1"/>
  <c r="BP355" i="1"/>
  <c r="BN355" i="1"/>
  <c r="Z355" i="1"/>
  <c r="BP365" i="1"/>
  <c r="BN365" i="1"/>
  <c r="Z365" i="1"/>
  <c r="BP375" i="1"/>
  <c r="BN375" i="1"/>
  <c r="Z375" i="1"/>
  <c r="BP393" i="1"/>
  <c r="BN393" i="1"/>
  <c r="Z393" i="1"/>
  <c r="BP413" i="1"/>
  <c r="BN413" i="1"/>
  <c r="Z413" i="1"/>
  <c r="BP426" i="1"/>
  <c r="BN426" i="1"/>
  <c r="Z426" i="1"/>
  <c r="Y451" i="1"/>
  <c r="BP449" i="1"/>
  <c r="BN449" i="1"/>
  <c r="Z449" i="1"/>
  <c r="BP471" i="1"/>
  <c r="BN471" i="1"/>
  <c r="Z471" i="1"/>
  <c r="BP496" i="1"/>
  <c r="BN496" i="1"/>
  <c r="Z496" i="1"/>
  <c r="BP512" i="1"/>
  <c r="BN512" i="1"/>
  <c r="Z512" i="1"/>
  <c r="B556" i="1"/>
  <c r="X548" i="1"/>
  <c r="X549" i="1" s="1"/>
  <c r="X546" i="1"/>
  <c r="Y32" i="1"/>
  <c r="Z29" i="1"/>
  <c r="BN29" i="1"/>
  <c r="C556" i="1"/>
  <c r="Z39" i="1"/>
  <c r="BN39" i="1"/>
  <c r="D556" i="1"/>
  <c r="Z49" i="1"/>
  <c r="BN49" i="1"/>
  <c r="Z56" i="1"/>
  <c r="BN56" i="1"/>
  <c r="Z60" i="1"/>
  <c r="BN60" i="1"/>
  <c r="Y69" i="1"/>
  <c r="Z68" i="1"/>
  <c r="BN68" i="1"/>
  <c r="Y74" i="1"/>
  <c r="Z78" i="1"/>
  <c r="BN78" i="1"/>
  <c r="F556" i="1"/>
  <c r="Z87" i="1"/>
  <c r="BN87" i="1"/>
  <c r="Z93" i="1"/>
  <c r="BN93" i="1"/>
  <c r="BP93" i="1"/>
  <c r="Y98" i="1"/>
  <c r="Z102" i="1"/>
  <c r="BN102" i="1"/>
  <c r="Z106" i="1"/>
  <c r="BN106" i="1"/>
  <c r="Y117" i="1"/>
  <c r="Z114" i="1"/>
  <c r="BN114" i="1"/>
  <c r="Y123" i="1"/>
  <c r="Z122" i="1"/>
  <c r="BN122" i="1"/>
  <c r="Z137" i="1"/>
  <c r="BN137" i="1"/>
  <c r="Y143" i="1"/>
  <c r="Z148" i="1"/>
  <c r="BN148" i="1"/>
  <c r="Z160" i="1"/>
  <c r="BN160" i="1"/>
  <c r="Z166" i="1"/>
  <c r="BN166" i="1"/>
  <c r="Y181" i="1"/>
  <c r="Z174" i="1"/>
  <c r="BN174" i="1"/>
  <c r="Z178" i="1"/>
  <c r="BN178" i="1"/>
  <c r="Z184" i="1"/>
  <c r="BN184" i="1"/>
  <c r="BP184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Z254" i="1"/>
  <c r="BN254" i="1"/>
  <c r="BP254" i="1"/>
  <c r="Y257" i="1"/>
  <c r="Y267" i="1"/>
  <c r="Z262" i="1"/>
  <c r="BN262" i="1"/>
  <c r="Z271" i="1"/>
  <c r="BN271" i="1"/>
  <c r="Z275" i="1"/>
  <c r="BN275" i="1"/>
  <c r="Z279" i="1"/>
  <c r="BN279" i="1"/>
  <c r="Z285" i="1"/>
  <c r="BN285" i="1"/>
  <c r="BP285" i="1"/>
  <c r="Z294" i="1"/>
  <c r="BN294" i="1"/>
  <c r="Z310" i="1"/>
  <c r="BN310" i="1"/>
  <c r="Y321" i="1"/>
  <c r="Z317" i="1"/>
  <c r="BN317" i="1"/>
  <c r="BP319" i="1"/>
  <c r="BN319" i="1"/>
  <c r="BP333" i="1"/>
  <c r="BN333" i="1"/>
  <c r="Z333" i="1"/>
  <c r="BP346" i="1"/>
  <c r="BN346" i="1"/>
  <c r="Z346" i="1"/>
  <c r="BP359" i="1"/>
  <c r="BN359" i="1"/>
  <c r="Z359" i="1"/>
  <c r="BP369" i="1"/>
  <c r="BN369" i="1"/>
  <c r="Z369" i="1"/>
  <c r="BP387" i="1"/>
  <c r="BN387" i="1"/>
  <c r="Z387" i="1"/>
  <c r="Y403" i="1"/>
  <c r="BP399" i="1"/>
  <c r="BN399" i="1"/>
  <c r="Z399" i="1"/>
  <c r="BP422" i="1"/>
  <c r="BN422" i="1"/>
  <c r="Z422" i="1"/>
  <c r="BP438" i="1"/>
  <c r="BN438" i="1"/>
  <c r="Z438" i="1"/>
  <c r="X556" i="1"/>
  <c r="BP467" i="1"/>
  <c r="BN467" i="1"/>
  <c r="Z467" i="1"/>
  <c r="BP486" i="1"/>
  <c r="BN486" i="1"/>
  <c r="Z486" i="1"/>
  <c r="BP492" i="1"/>
  <c r="BN492" i="1"/>
  <c r="Z492" i="1"/>
  <c r="BP504" i="1"/>
  <c r="BN504" i="1"/>
  <c r="Z504" i="1"/>
  <c r="BP538" i="1"/>
  <c r="BN538" i="1"/>
  <c r="Z538" i="1"/>
  <c r="AC556" i="1"/>
  <c r="Y544" i="1"/>
  <c r="BP543" i="1"/>
  <c r="BN543" i="1"/>
  <c r="Z543" i="1"/>
  <c r="Z544" i="1" s="1"/>
  <c r="Y342" i="1"/>
  <c r="Y371" i="1"/>
  <c r="Y396" i="1"/>
  <c r="Y488" i="1"/>
  <c r="Y487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6" i="1"/>
  <c r="BN36" i="1"/>
  <c r="BP36" i="1"/>
  <c r="Z38" i="1"/>
  <c r="BN38" i="1"/>
  <c r="Z40" i="1"/>
  <c r="BN40" i="1"/>
  <c r="Y41" i="1"/>
  <c r="Z46" i="1"/>
  <c r="BN46" i="1"/>
  <c r="BP46" i="1"/>
  <c r="Z48" i="1"/>
  <c r="BN48" i="1"/>
  <c r="Y51" i="1"/>
  <c r="E556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Y70" i="1"/>
  <c r="Z73" i="1"/>
  <c r="Z74" i="1" s="1"/>
  <c r="BN73" i="1"/>
  <c r="BP73" i="1"/>
  <c r="Z77" i="1"/>
  <c r="BN77" i="1"/>
  <c r="BP77" i="1"/>
  <c r="Z79" i="1"/>
  <c r="BN79" i="1"/>
  <c r="Y80" i="1"/>
  <c r="Z84" i="1"/>
  <c r="BN84" i="1"/>
  <c r="BP84" i="1"/>
  <c r="Z86" i="1"/>
  <c r="BN86" i="1"/>
  <c r="Z88" i="1"/>
  <c r="BN88" i="1"/>
  <c r="Y91" i="1"/>
  <c r="Z94" i="1"/>
  <c r="BN94" i="1"/>
  <c r="BP94" i="1"/>
  <c r="Z96" i="1"/>
  <c r="BN96" i="1"/>
  <c r="Z101" i="1"/>
  <c r="BN101" i="1"/>
  <c r="BP101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Y116" i="1"/>
  <c r="Z119" i="1"/>
  <c r="BN119" i="1"/>
  <c r="BP119" i="1"/>
  <c r="Z121" i="1"/>
  <c r="BN121" i="1"/>
  <c r="Y124" i="1"/>
  <c r="H556" i="1"/>
  <c r="Z132" i="1"/>
  <c r="Z133" i="1" s="1"/>
  <c r="BN132" i="1"/>
  <c r="BP132" i="1"/>
  <c r="Y133" i="1"/>
  <c r="Z136" i="1"/>
  <c r="Z138" i="1" s="1"/>
  <c r="BN136" i="1"/>
  <c r="BP136" i="1"/>
  <c r="Y139" i="1"/>
  <c r="Z142" i="1"/>
  <c r="Z143" i="1" s="1"/>
  <c r="BN142" i="1"/>
  <c r="BP142" i="1"/>
  <c r="Z147" i="1"/>
  <c r="BN147" i="1"/>
  <c r="Z149" i="1"/>
  <c r="BN149" i="1"/>
  <c r="BP161" i="1"/>
  <c r="BN161" i="1"/>
  <c r="Z161" i="1"/>
  <c r="Y168" i="1"/>
  <c r="BP173" i="1"/>
  <c r="BN173" i="1"/>
  <c r="Z173" i="1"/>
  <c r="BP177" i="1"/>
  <c r="BN177" i="1"/>
  <c r="Z177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5" i="1"/>
  <c r="BP244" i="1"/>
  <c r="BN244" i="1"/>
  <c r="Z244" i="1"/>
  <c r="Z245" i="1" s="1"/>
  <c r="Y246" i="1"/>
  <c r="M556" i="1"/>
  <c r="Y251" i="1"/>
  <c r="Y252" i="1"/>
  <c r="BP249" i="1"/>
  <c r="BN249" i="1"/>
  <c r="Z249" i="1"/>
  <c r="Z251" i="1" s="1"/>
  <c r="H9" i="1"/>
  <c r="Y24" i="1"/>
  <c r="Y42" i="1"/>
  <c r="Y50" i="1"/>
  <c r="Y90" i="1"/>
  <c r="Y109" i="1"/>
  <c r="I556" i="1"/>
  <c r="Y151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Z255" i="1"/>
  <c r="BN255" i="1"/>
  <c r="BP255" i="1"/>
  <c r="Z259" i="1"/>
  <c r="BN259" i="1"/>
  <c r="BP259" i="1"/>
  <c r="Z261" i="1"/>
  <c r="BN261" i="1"/>
  <c r="Z263" i="1"/>
  <c r="BN263" i="1"/>
  <c r="Z265" i="1"/>
  <c r="BN265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BP272" i="1"/>
  <c r="BN272" i="1"/>
  <c r="Z272" i="1"/>
  <c r="BP276" i="1"/>
  <c r="BN276" i="1"/>
  <c r="Z276" i="1"/>
  <c r="BP280" i="1"/>
  <c r="BN280" i="1"/>
  <c r="Z280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BP354" i="1"/>
  <c r="BN354" i="1"/>
  <c r="Z354" i="1"/>
  <c r="BP358" i="1"/>
  <c r="BN358" i="1"/>
  <c r="Z358" i="1"/>
  <c r="BP366" i="1"/>
  <c r="BN366" i="1"/>
  <c r="Z366" i="1"/>
  <c r="Z370" i="1" s="1"/>
  <c r="Y370" i="1"/>
  <c r="BP374" i="1"/>
  <c r="BN374" i="1"/>
  <c r="Z374" i="1"/>
  <c r="Z377" i="1" s="1"/>
  <c r="BP382" i="1"/>
  <c r="BN382" i="1"/>
  <c r="Z382" i="1"/>
  <c r="Y384" i="1"/>
  <c r="Y391" i="1"/>
  <c r="BP386" i="1"/>
  <c r="BN386" i="1"/>
  <c r="Z386" i="1"/>
  <c r="Z390" i="1" s="1"/>
  <c r="Y390" i="1"/>
  <c r="BP394" i="1"/>
  <c r="BN394" i="1"/>
  <c r="Z394" i="1"/>
  <c r="Z396" i="1" s="1"/>
  <c r="BP407" i="1"/>
  <c r="BN407" i="1"/>
  <c r="Z407" i="1"/>
  <c r="Z408" i="1" s="1"/>
  <c r="Y409" i="1"/>
  <c r="V556" i="1"/>
  <c r="Y415" i="1"/>
  <c r="BP412" i="1"/>
  <c r="BN412" i="1"/>
  <c r="Z412" i="1"/>
  <c r="Z415" i="1" s="1"/>
  <c r="BP460" i="1"/>
  <c r="BN460" i="1"/>
  <c r="Z460" i="1"/>
  <c r="Y462" i="1"/>
  <c r="Y556" i="1"/>
  <c r="Y473" i="1"/>
  <c r="BP466" i="1"/>
  <c r="BN466" i="1"/>
  <c r="Z466" i="1"/>
  <c r="Y472" i="1"/>
  <c r="BP470" i="1"/>
  <c r="BN470" i="1"/>
  <c r="Z470" i="1"/>
  <c r="P556" i="1"/>
  <c r="S556" i="1"/>
  <c r="Y350" i="1"/>
  <c r="Y361" i="1"/>
  <c r="U556" i="1"/>
  <c r="Y408" i="1"/>
  <c r="BP421" i="1"/>
  <c r="BN421" i="1"/>
  <c r="Z421" i="1"/>
  <c r="Z428" i="1" s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461" i="1" l="1"/>
  <c r="Z360" i="1"/>
  <c r="Z267" i="1"/>
  <c r="Z62" i="1"/>
  <c r="Z321" i="1"/>
  <c r="Z500" i="1"/>
  <c r="Z487" i="1"/>
  <c r="Z451" i="1"/>
  <c r="Z342" i="1"/>
  <c r="Z336" i="1"/>
  <c r="Z311" i="1"/>
  <c r="Z256" i="1"/>
  <c r="Z97" i="1"/>
  <c r="Z90" i="1"/>
  <c r="Z80" i="1"/>
  <c r="Z50" i="1"/>
  <c r="Z41" i="1"/>
  <c r="Z472" i="1"/>
  <c r="Z516" i="1"/>
  <c r="Z328" i="1"/>
  <c r="Z235" i="1"/>
  <c r="Z227" i="1"/>
  <c r="Z206" i="1"/>
  <c r="Z151" i="1"/>
  <c r="Z123" i="1"/>
  <c r="Z116" i="1"/>
  <c r="Z108" i="1"/>
  <c r="Z69" i="1"/>
  <c r="Y550" i="1"/>
  <c r="Y547" i="1"/>
  <c r="Z434" i="1"/>
  <c r="Z383" i="1"/>
  <c r="Z298" i="1"/>
  <c r="Z282" i="1"/>
  <c r="Z181" i="1"/>
  <c r="Y546" i="1"/>
  <c r="Z31" i="1"/>
  <c r="Y548" i="1"/>
  <c r="Z551" i="1" l="1"/>
  <c r="Y549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<sst xmlns="http://schemas.openxmlformats.org/spreadsheetml/2006/main" count="2464" uniqueCount="894">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</sst>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46306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851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Воскресенье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1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0.41666666666666669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idden="1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0</v>
      </c>
      <c r="Y50" s="619">
        <f>IFERROR(Y46/H46,"0")+IFERROR(Y47/H47,"0")+IFERROR(Y48/H48,"0")+IFERROR(Y49/H49,"0")</f>
        <v>0</v>
      </c>
      <c r="Z50" s="619">
        <f>IFERROR(IF(Z46="",0,Z46),"0")+IFERROR(IF(Z47="",0,Z47),"0")+IFERROR(IF(Z48="",0,Z48),"0")+IFERROR(IF(Z49="",0,Z49),"0")</f>
        <v>0</v>
      </c>
      <c r="AA50" s="620"/>
      <c r="AB50" s="620"/>
      <c r="AC50" s="620"/>
    </row>
    <row r="51" spans="1:68" hidden="1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0</v>
      </c>
      <c r="Y51" s="619">
        <f>IFERROR(SUM(Y46:Y49),"0")</f>
        <v>0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28</v>
      </c>
      <c r="Y54" s="618">
        <f t="shared" ref="Y54:Y61" si="0">IFERROR(IF(X54="",0,CEILING((X54/$H54),1)*$H54),"")</f>
        <v>33.599999999999994</v>
      </c>
      <c r="Z54" s="36">
        <f>IFERROR(IF(Y54=0,"",ROUNDUP(Y54/H54,0)*0.01898),"")</f>
        <v>5.6940000000000004E-2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29.025000000000002</v>
      </c>
      <c r="BN54" s="64">
        <f t="shared" ref="BN54:BN61" si="2">IFERROR(Y54*I54/H54,"0")</f>
        <v>34.829999999999991</v>
      </c>
      <c r="BO54" s="64">
        <f t="shared" ref="BO54:BO61" si="3">IFERROR(1/J54*(X54/H54),"0")</f>
        <v>3.90625E-2</v>
      </c>
      <c r="BP54" s="64">
        <f t="shared" ref="BP54:BP61" si="4">IFERROR(1/J54*(Y54/H54),"0")</f>
        <v>4.6874999999999993E-2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15</v>
      </c>
      <c r="Y55" s="618">
        <f t="shared" si="0"/>
        <v>21.6</v>
      </c>
      <c r="Z55" s="36">
        <f>IFERROR(IF(Y55=0,"",ROUNDUP(Y55/H55,0)*0.01898),"")</f>
        <v>3.7960000000000001E-2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15.569444444444445</v>
      </c>
      <c r="BN55" s="64">
        <f t="shared" si="2"/>
        <v>22.42</v>
      </c>
      <c r="BO55" s="64">
        <f t="shared" si="3"/>
        <v>2.1701388888888888E-2</v>
      </c>
      <c r="BP55" s="64">
        <f t="shared" si="4"/>
        <v>3.125E-2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28</v>
      </c>
      <c r="Y61" s="618">
        <f t="shared" si="0"/>
        <v>31.5</v>
      </c>
      <c r="Z61" s="36">
        <f>IFERROR(IF(Y61=0,"",ROUNDUP(Y61/H61,0)*0.00902),"")</f>
        <v>6.3140000000000002E-2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29.182222222222226</v>
      </c>
      <c r="BN61" s="64">
        <f t="shared" si="2"/>
        <v>32.830000000000005</v>
      </c>
      <c r="BO61" s="64">
        <f t="shared" si="3"/>
        <v>4.7138047138047139E-2</v>
      </c>
      <c r="BP61" s="64">
        <f t="shared" si="4"/>
        <v>5.3030303030303032E-2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10.111111111111111</v>
      </c>
      <c r="Y62" s="619">
        <f>IFERROR(Y54/H54,"0")+IFERROR(Y55/H55,"0")+IFERROR(Y56/H56,"0")+IFERROR(Y57/H57,"0")+IFERROR(Y58/H58,"0")+IFERROR(Y59/H59,"0")+IFERROR(Y60/H60,"0")+IFERROR(Y61/H61,"0")</f>
        <v>12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0.15804000000000001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71</v>
      </c>
      <c r="Y63" s="619">
        <f>IFERROR(SUM(Y54:Y61),"0")</f>
        <v>86.699999999999989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60</v>
      </c>
      <c r="Y84" s="618">
        <f t="shared" ref="Y84:Y89" si="5"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62.277777777777779</v>
      </c>
      <c r="BN84" s="64">
        <f t="shared" ref="BN84:BN89" si="7">IFERROR(Y84*I84/H84,"0")</f>
        <v>67.260000000000005</v>
      </c>
      <c r="BO84" s="64">
        <f t="shared" ref="BO84:BO89" si="8">IFERROR(1/J84*(X84/H84),"0")</f>
        <v>8.6805555555555552E-2</v>
      </c>
      <c r="BP84" s="64">
        <f t="shared" ref="BP84:BP89" si="9">IFERROR(1/J84*(Y84/H84),"0")</f>
        <v>9.3750000000000014E-2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23</v>
      </c>
      <c r="Y89" s="618">
        <f t="shared" si="5"/>
        <v>27</v>
      </c>
      <c r="Z89" s="36">
        <f>IFERROR(IF(Y89=0,"",ROUNDUP(Y89/H89,0)*0.00902),"")</f>
        <v>5.4120000000000001E-2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23.971111111111114</v>
      </c>
      <c r="BN89" s="64">
        <f t="shared" si="7"/>
        <v>28.14</v>
      </c>
      <c r="BO89" s="64">
        <f t="shared" si="8"/>
        <v>3.8720538720538718E-2</v>
      </c>
      <c r="BP89" s="64">
        <f t="shared" si="9"/>
        <v>4.5454545454545456E-2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10.666666666666666</v>
      </c>
      <c r="Y90" s="619">
        <f>IFERROR(Y84/H84,"0")+IFERROR(Y85/H85,"0")+IFERROR(Y86/H86,"0")+IFERROR(Y87/H87,"0")+IFERROR(Y88/H88,"0")+IFERROR(Y89/H89,"0")</f>
        <v>12</v>
      </c>
      <c r="Z90" s="619">
        <f>IFERROR(IF(Z84="",0,Z84),"0")+IFERROR(IF(Z85="",0,Z85),"0")+IFERROR(IF(Z86="",0,Z86),"0")+IFERROR(IF(Z87="",0,Z87),"0")+IFERROR(IF(Z88="",0,Z88),"0")+IFERROR(IF(Z89="",0,Z89),"0")</f>
        <v>0.16800000000000001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83</v>
      </c>
      <c r="Y91" s="619">
        <f>IFERROR(SUM(Y84:Y89),"0")</f>
        <v>91.800000000000011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hidden="1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0</v>
      </c>
      <c r="Y101" s="618">
        <f t="shared" ref="Y101:Y107" si="10"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0</v>
      </c>
      <c r="BN101" s="64">
        <f t="shared" ref="BN101:BN107" si="12">IFERROR(Y101*I101/H101,"0")</f>
        <v>0</v>
      </c>
      <c r="BO101" s="64">
        <f t="shared" ref="BO101:BO107" si="13">IFERROR(1/J101*(X101/H101),"0")</f>
        <v>0</v>
      </c>
      <c r="BP101" s="64">
        <f t="shared" ref="BP101:BP107" si="14">IFERROR(1/J101*(Y101/H101),"0")</f>
        <v>0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0</v>
      </c>
      <c r="Y108" s="619">
        <f>IFERROR(Y101/H101,"0")+IFERROR(Y102/H102,"0")+IFERROR(Y103/H103,"0")+IFERROR(Y104/H104,"0")+IFERROR(Y105/H105,"0")+IFERROR(Y106/H106,"0")+IFERROR(Y107/H107,"0")</f>
        <v>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20"/>
      <c r="AB108" s="620"/>
      <c r="AC108" s="620"/>
    </row>
    <row r="109" spans="1:68" hidden="1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0</v>
      </c>
      <c r="Y109" s="619">
        <f>IFERROR(SUM(Y101:Y107),"0")</f>
        <v>0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26</v>
      </c>
      <c r="Y111" s="618">
        <f>IFERROR(IF(X111="",0,CEILING((X111/$H111),1)*$H111),"")</f>
        <v>32.400000000000006</v>
      </c>
      <c r="Z111" s="36">
        <f>IFERROR(IF(Y111=0,"",ROUNDUP(Y111/H111,0)*0.01898),"")</f>
        <v>5.6940000000000004E-2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26.987037037037037</v>
      </c>
      <c r="BN111" s="64">
        <f>IFERROR(Y111*I111/H111,"0")</f>
        <v>33.630000000000003</v>
      </c>
      <c r="BO111" s="64">
        <f>IFERROR(1/J111*(X111/H111),"0")</f>
        <v>3.7615740740740741E-2</v>
      </c>
      <c r="BP111" s="64">
        <f>IFERROR(1/J111*(Y111/H111),"0")</f>
        <v>4.6875000000000007E-2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7</v>
      </c>
      <c r="Y115" s="618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7.5250000000000012</v>
      </c>
      <c r="BN115" s="64">
        <f>IFERROR(Y115*I115/H115,"0")</f>
        <v>7.7399999999999993</v>
      </c>
      <c r="BO115" s="64">
        <f>IFERROR(1/J115*(X115/H115),"0")</f>
        <v>1.6025641025641028E-2</v>
      </c>
      <c r="BP115" s="64">
        <f>IFERROR(1/J115*(Y115/H115),"0")</f>
        <v>1.6483516483516484E-2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5.3240740740740744</v>
      </c>
      <c r="Y116" s="619">
        <f>IFERROR(Y111/H111,"0")+IFERROR(Y112/H112,"0")+IFERROR(Y113/H113,"0")+IFERROR(Y114/H114,"0")+IFERROR(Y115/H115,"0")</f>
        <v>6</v>
      </c>
      <c r="Z116" s="619">
        <f>IFERROR(IF(Z111="",0,Z111),"0")+IFERROR(IF(Z112="",0,Z112),"0")+IFERROR(IF(Z113="",0,Z113),"0")+IFERROR(IF(Z114="",0,Z114),"0")+IFERROR(IF(Z115="",0,Z115),"0")</f>
        <v>7.647000000000001E-2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33</v>
      </c>
      <c r="Y117" s="619">
        <f>IFERROR(SUM(Y111:Y115),"0")</f>
        <v>39.600000000000009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160</v>
      </c>
      <c r="Y119" s="618">
        <f>IFERROR(IF(X119="",0,CEILING((X119/$H119),1)*$H119),"")</f>
        <v>162</v>
      </c>
      <c r="Z119" s="36">
        <f>IFERROR(IF(Y119=0,"",ROUNDUP(Y119/H119,0)*0.01898),"")</f>
        <v>0.37959999999999999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169.6395061728395</v>
      </c>
      <c r="BN119" s="64">
        <f>IFERROR(Y119*I119/H119,"0")</f>
        <v>171.76</v>
      </c>
      <c r="BO119" s="64">
        <f>IFERROR(1/J119*(X119/H119),"0")</f>
        <v>0.30864197530864201</v>
      </c>
      <c r="BP119" s="64">
        <f>IFERROR(1/J119*(Y119/H119),"0")</f>
        <v>0.3125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90</v>
      </c>
      <c r="Y121" s="618">
        <f>IFERROR(IF(X121="",0,CEILING((X121/$H121),1)*$H121),"")</f>
        <v>91.800000000000011</v>
      </c>
      <c r="Z121" s="36">
        <f>IFERROR(IF(Y121=0,"",ROUNDUP(Y121/H121,0)*0.00651),"")</f>
        <v>0.22134000000000001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98.399999999999991</v>
      </c>
      <c r="BN121" s="64">
        <f>IFERROR(Y121*I121/H121,"0")</f>
        <v>100.36799999999999</v>
      </c>
      <c r="BO121" s="64">
        <f>IFERROR(1/J121*(X121/H121),"0")</f>
        <v>0.18315018315018314</v>
      </c>
      <c r="BP121" s="64">
        <f>IFERROR(1/J121*(Y121/H121),"0")</f>
        <v>0.18681318681318682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53.086419753086417</v>
      </c>
      <c r="Y123" s="619">
        <f>IFERROR(Y119/H119,"0")+IFERROR(Y120/H120,"0")+IFERROR(Y121/H121,"0")+IFERROR(Y122/H122,"0")</f>
        <v>54</v>
      </c>
      <c r="Z123" s="619">
        <f>IFERROR(IF(Z119="",0,Z119),"0")+IFERROR(IF(Z120="",0,Z120),"0")+IFERROR(IF(Z121="",0,Z121),"0")+IFERROR(IF(Z122="",0,Z122),"0")</f>
        <v>0.60094000000000003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250</v>
      </c>
      <c r="Y124" s="619">
        <f>IFERROR(SUM(Y119:Y122),"0")</f>
        <v>253.8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11</v>
      </c>
      <c r="Y126" s="618">
        <f>IFERROR(IF(X126="",0,CEILING((X126/$H126),1)*$H126),"")</f>
        <v>11.879999999999999</v>
      </c>
      <c r="Z126" s="36">
        <f>IFERROR(IF(Y126=0,"",ROUNDUP(Y126/H126,0)*0.00651),"")</f>
        <v>3.9059999999999997E-2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12.433333333333334</v>
      </c>
      <c r="BN126" s="64">
        <f>IFERROR(Y126*I126/H126,"0")</f>
        <v>13.427999999999999</v>
      </c>
      <c r="BO126" s="64">
        <f>IFERROR(1/J126*(X126/H126),"0")</f>
        <v>3.0525030525030528E-2</v>
      </c>
      <c r="BP126" s="64">
        <f>IFERROR(1/J126*(Y126/H126),"0")</f>
        <v>3.2967032967032968E-2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5.5555555555555554</v>
      </c>
      <c r="Y127" s="619">
        <f>IFERROR(Y126/H126,"0")</f>
        <v>5.9999999999999991</v>
      </c>
      <c r="Z127" s="619">
        <f>IFERROR(IF(Z126="",0,Z126),"0")</f>
        <v>3.9059999999999997E-2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11</v>
      </c>
      <c r="Y128" s="619">
        <f>IFERROR(SUM(Y126:Y126),"0")</f>
        <v>11.879999999999999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33</v>
      </c>
      <c r="Y131" s="618">
        <f>IFERROR(IF(X131="",0,CEILING((X131/$H131),1)*$H131),"")</f>
        <v>35.200000000000003</v>
      </c>
      <c r="Z131" s="36">
        <f>IFERROR(IF(Y131=0,"",ROUNDUP(Y131/H131,0)*0.00651),"")</f>
        <v>7.1610000000000007E-2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34.856249999999996</v>
      </c>
      <c r="BN131" s="64">
        <f>IFERROR(Y131*I131/H131,"0")</f>
        <v>37.18</v>
      </c>
      <c r="BO131" s="64">
        <f>IFERROR(1/J131*(X131/H131),"0")</f>
        <v>5.6662087912087919E-2</v>
      </c>
      <c r="BP131" s="64">
        <f>IFERROR(1/J131*(Y131/H131),"0")</f>
        <v>6.0439560439560447E-2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10.3125</v>
      </c>
      <c r="Y133" s="619">
        <f>IFERROR(Y131/H131,"0")+IFERROR(Y132/H132,"0")</f>
        <v>11</v>
      </c>
      <c r="Z133" s="619">
        <f>IFERROR(IF(Z131="",0,Z131),"0")+IFERROR(IF(Z132="",0,Z132),"0")</f>
        <v>7.1610000000000007E-2</v>
      </c>
      <c r="AA133" s="620"/>
      <c r="AB133" s="620"/>
      <c r="AC133" s="620"/>
    </row>
    <row r="134" spans="1:68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33</v>
      </c>
      <c r="Y134" s="619">
        <f>IFERROR(SUM(Y131:Y132),"0")</f>
        <v>35.200000000000003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54</v>
      </c>
      <c r="Y141" s="618">
        <f>IFERROR(IF(X141="",0,CEILING((X141/$H141),1)*$H141),"")</f>
        <v>55.440000000000005</v>
      </c>
      <c r="Z141" s="36">
        <f>IFERROR(IF(Y141=0,"",ROUNDUP(Y141/H141,0)*0.00651),"")</f>
        <v>0.13671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59.48181818181817</v>
      </c>
      <c r="BN141" s="64">
        <f>IFERROR(Y141*I141/H141,"0")</f>
        <v>61.068000000000005</v>
      </c>
      <c r="BO141" s="64">
        <f>IFERROR(1/J141*(X141/H141),"0")</f>
        <v>0.11238761238761238</v>
      </c>
      <c r="BP141" s="64">
        <f>IFERROR(1/J141*(Y141/H141),"0")</f>
        <v>0.11538461538461539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20.454545454545453</v>
      </c>
      <c r="Y143" s="619">
        <f>IFERROR(Y141/H141,"0")+IFERROR(Y142/H142,"0")</f>
        <v>21</v>
      </c>
      <c r="Z143" s="619">
        <f>IFERROR(IF(Z141="",0,Z141),"0")+IFERROR(IF(Z142="",0,Z142),"0")</f>
        <v>0.13671</v>
      </c>
      <c r="AA143" s="620"/>
      <c r="AB143" s="620"/>
      <c r="AC143" s="62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54</v>
      </c>
      <c r="Y144" s="619">
        <f>IFERROR(SUM(Y141:Y142),"0")</f>
        <v>55.440000000000005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100</v>
      </c>
      <c r="Y171" s="618">
        <f t="shared" ref="Y171:Y180" si="15">IFERROR(IF(X171="",0,CEILING((X171/$H171),1)*$H171),"")</f>
        <v>101.5</v>
      </c>
      <c r="Z171" s="36">
        <f>IFERROR(IF(Y171=0,"",ROUNDUP(Y171/H171,0)*0.00902),"")</f>
        <v>0.26158000000000003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105.42857142857143</v>
      </c>
      <c r="BN171" s="64">
        <f t="shared" ref="BN171:BN180" si="17">IFERROR(Y171*I171/H171,"0")</f>
        <v>107.00999999999999</v>
      </c>
      <c r="BO171" s="64">
        <f t="shared" ref="BO171:BO180" si="18">IFERROR(1/J171*(X171/H171),"0")</f>
        <v>0.21645021645021648</v>
      </c>
      <c r="BP171" s="64">
        <f t="shared" ref="BP171:BP180" si="19">IFERROR(1/J171*(Y171/H171),"0")</f>
        <v>0.2196969696969697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14</v>
      </c>
      <c r="Y176" s="618">
        <f t="shared" si="15"/>
        <v>15.12</v>
      </c>
      <c r="Z176" s="36">
        <f>IFERROR(IF(Y176=0,"",ROUNDUP(Y176/H176,0)*0.00502),"")</f>
        <v>4.5179999999999998E-2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14.833333333333336</v>
      </c>
      <c r="BN176" s="64">
        <f t="shared" si="17"/>
        <v>16.02</v>
      </c>
      <c r="BO176" s="64">
        <f t="shared" si="18"/>
        <v>3.561253561253562E-2</v>
      </c>
      <c r="BP176" s="64">
        <f t="shared" si="19"/>
        <v>3.8461538461538464E-2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14</v>
      </c>
      <c r="Y178" s="618">
        <f t="shared" si="15"/>
        <v>15.12</v>
      </c>
      <c r="Z178" s="36">
        <f>IFERROR(IF(Y178=0,"",ROUNDUP(Y178/H178,0)*0.00502),"")</f>
        <v>4.5179999999999998E-2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14.833333333333336</v>
      </c>
      <c r="BN178" s="64">
        <f t="shared" si="17"/>
        <v>16.02</v>
      </c>
      <c r="BO178" s="64">
        <f t="shared" si="18"/>
        <v>3.561253561253562E-2</v>
      </c>
      <c r="BP178" s="64">
        <f t="shared" si="19"/>
        <v>3.8461538461538464E-2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14</v>
      </c>
      <c r="Y180" s="618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53.571428571428577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56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0.39712000000000003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142</v>
      </c>
      <c r="Y182" s="619">
        <f>IFERROR(SUM(Y171:Y180),"0")</f>
        <v>146.86000000000001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300</v>
      </c>
      <c r="Y214" s="618">
        <f t="shared" ref="Y214:Y226" si="26">IFERROR(IF(X214="",0,CEILING((X214/$H214),1)*$H214),"")</f>
        <v>302.40000000000003</v>
      </c>
      <c r="Z214" s="36">
        <f>IFERROR(IF(Y214=0,"",ROUNDUP(Y214/H214,0)*0.00902),"")</f>
        <v>0.64944000000000002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317.85714285714283</v>
      </c>
      <c r="BN214" s="64">
        <f t="shared" ref="BN214:BN226" si="28">IFERROR(Y214*I214/H214,"0")</f>
        <v>320.40000000000003</v>
      </c>
      <c r="BO214" s="64">
        <f t="shared" ref="BO214:BO226" si="29">IFERROR(1/J214*(X214/H214),"0")</f>
        <v>0.54112554112554112</v>
      </c>
      <c r="BP214" s="64">
        <f t="shared" ref="BP214:BP226" si="30">IFERROR(1/J214*(Y214/H214),"0")</f>
        <v>0.54545454545454541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200</v>
      </c>
      <c r="Y216" s="618">
        <f t="shared" si="26"/>
        <v>201.60000000000002</v>
      </c>
      <c r="Z216" s="36">
        <f>IFERROR(IF(Y216=0,"",ROUNDUP(Y216/H216,0)*0.00902),"")</f>
        <v>0.43296000000000001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209.04761904761901</v>
      </c>
      <c r="BN216" s="64">
        <f t="shared" si="28"/>
        <v>210.72</v>
      </c>
      <c r="BO216" s="64">
        <f t="shared" si="29"/>
        <v>0.36075036075036077</v>
      </c>
      <c r="BP216" s="64">
        <f t="shared" si="30"/>
        <v>0.36363636363636365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7</v>
      </c>
      <c r="Y217" s="618">
        <f t="shared" si="26"/>
        <v>7.2</v>
      </c>
      <c r="Z217" s="36">
        <f>IFERROR(IF(Y217=0,"",ROUNDUP(Y217/H217,0)*0.00556),"")</f>
        <v>5.0040000000000001E-2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8.1375000000000011</v>
      </c>
      <c r="BN217" s="64">
        <f t="shared" si="28"/>
        <v>8.370000000000001</v>
      </c>
      <c r="BO217" s="64">
        <f t="shared" si="29"/>
        <v>3.4722222222222224E-2</v>
      </c>
      <c r="BP217" s="64">
        <f t="shared" si="30"/>
        <v>3.5714285714285712E-2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46</v>
      </c>
      <c r="Y218" s="618">
        <f t="shared" si="26"/>
        <v>46.2</v>
      </c>
      <c r="Z218" s="36">
        <f>IFERROR(IF(Y218=0,"",ROUNDUP(Y218/H218,0)*0.00502),"")</f>
        <v>0.11044000000000001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48.847619047619048</v>
      </c>
      <c r="BN218" s="64">
        <f t="shared" si="28"/>
        <v>49.06</v>
      </c>
      <c r="BO218" s="64">
        <f t="shared" si="29"/>
        <v>9.361009361009362E-2</v>
      </c>
      <c r="BP218" s="64">
        <f t="shared" si="30"/>
        <v>9.401709401709403E-2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45</v>
      </c>
      <c r="Y222" s="618">
        <f t="shared" si="26"/>
        <v>45</v>
      </c>
      <c r="Z222" s="36">
        <f>IFERROR(IF(Y222=0,"",ROUNDUP(Y222/H222,0)*0.00502),"")</f>
        <v>0.1255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48.249999999999993</v>
      </c>
      <c r="BN222" s="64">
        <f t="shared" si="28"/>
        <v>48.249999999999993</v>
      </c>
      <c r="BO222" s="64">
        <f t="shared" si="29"/>
        <v>0.10683760683760685</v>
      </c>
      <c r="BP222" s="64">
        <f t="shared" si="30"/>
        <v>0.10683760683760685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2</v>
      </c>
      <c r="Y223" s="618">
        <f t="shared" si="26"/>
        <v>2.4000000000000004</v>
      </c>
      <c r="Z223" s="36">
        <f>IFERROR(IF(Y223=0,"",ROUNDUP(Y223/H223,0)*0.00417),"")</f>
        <v>1.251E-2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2.5249999999999999</v>
      </c>
      <c r="BN223" s="64">
        <f t="shared" si="28"/>
        <v>3.0300000000000002</v>
      </c>
      <c r="BO223" s="64">
        <f t="shared" si="29"/>
        <v>7.4404761904761901E-3</v>
      </c>
      <c r="BP223" s="64">
        <f t="shared" si="30"/>
        <v>8.9285714285714298E-3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177.20238095238096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179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1.3808900000000002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600</v>
      </c>
      <c r="Y228" s="619">
        <f>IFERROR(SUM(Y214:Y226),"0")</f>
        <v>604.80000000000007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7</v>
      </c>
      <c r="Y239" s="618">
        <f>IFERROR(IF(X239="",0,CEILING((X239/$H239),1)*$H239),"")</f>
        <v>7.5600000000000005</v>
      </c>
      <c r="Z239" s="36">
        <f>IFERROR(IF(Y239=0,"",ROUNDUP(Y239/H239,0)*0.0059),"")</f>
        <v>3.5400000000000001E-2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8.0555555555555554</v>
      </c>
      <c r="BN239" s="64">
        <f>IFERROR(Y239*I239/H239,"0")</f>
        <v>8.6999999999999993</v>
      </c>
      <c r="BO239" s="64">
        <f>IFERROR(1/J239*(X239/H239),"0")</f>
        <v>2.5720164609053495E-2</v>
      </c>
      <c r="BP239" s="64">
        <f>IFERROR(1/J239*(Y239/H239),"0")</f>
        <v>2.7777777777777776E-2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4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8.7301587301587293</v>
      </c>
      <c r="Y241" s="619">
        <f>IFERROR(Y238/H238,"0")+IFERROR(Y239/H239,"0")+IFERROR(Y240/H240,"0")</f>
        <v>10</v>
      </c>
      <c r="Z241" s="619">
        <f>IFERROR(IF(Z238="",0,Z238),"0")+IFERROR(IF(Z239="",0,Z239),"0")+IFERROR(IF(Z240="",0,Z240),"0")</f>
        <v>5.8999999999999997E-2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11</v>
      </c>
      <c r="Y242" s="619">
        <f>IFERROR(SUM(Y238:Y240),"0")</f>
        <v>12.600000000000001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2</v>
      </c>
      <c r="Y244" s="618">
        <f>IFERROR(IF(X244="",0,CEILING((X244/$H244),1)*$H244),"")</f>
        <v>2.52</v>
      </c>
      <c r="Z244" s="36">
        <f>IFERROR(IF(Y244=0,"",ROUNDUP(Y244/H244,0)*0.0059),"")</f>
        <v>1.18E-2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2.3015873015873014</v>
      </c>
      <c r="BN244" s="64">
        <f>IFERROR(Y244*I244/H244,"0")</f>
        <v>2.9</v>
      </c>
      <c r="BO244" s="64">
        <f>IFERROR(1/J244*(X244/H244),"0")</f>
        <v>7.3486184597295699E-3</v>
      </c>
      <c r="BP244" s="64">
        <f>IFERROR(1/J244*(Y244/H244),"0")</f>
        <v>9.2592592592592587E-3</v>
      </c>
    </row>
    <row r="245" spans="1:68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1.5873015873015872</v>
      </c>
      <c r="Y245" s="619">
        <f>IFERROR(Y244/H244,"0")</f>
        <v>2</v>
      </c>
      <c r="Z245" s="619">
        <f>IFERROR(IF(Z244="",0,Z244),"0")</f>
        <v>1.18E-2</v>
      </c>
      <c r="AA245" s="620"/>
      <c r="AB245" s="620"/>
      <c r="AC245" s="620"/>
    </row>
    <row r="246" spans="1:68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2</v>
      </c>
      <c r="Y246" s="619">
        <f>IFERROR(SUM(Y244:Y244),"0")</f>
        <v>2.52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178</v>
      </c>
      <c r="Y259" s="618">
        <f t="shared" ref="Y259:Y266" si="31">IFERROR(IF(X259="",0,CEILING((X259/$H259),1)*$H259),"")</f>
        <v>178.20000000000002</v>
      </c>
      <c r="Z259" s="36">
        <f>IFERROR(IF(Y259=0,"",ROUNDUP(Y259/H259,0)*0.00902),"")</f>
        <v>0.29766000000000004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184.26296296296294</v>
      </c>
      <c r="BN259" s="64">
        <f t="shared" ref="BN259:BN266" si="33">IFERROR(Y259*I259/H259,"0")</f>
        <v>184.47</v>
      </c>
      <c r="BO259" s="64">
        <f t="shared" ref="BO259:BO266" si="34">IFERROR(1/J259*(X259/H259),"0")</f>
        <v>0.24971941638608305</v>
      </c>
      <c r="BP259" s="64">
        <f t="shared" ref="BP259:BP266" si="35">IFERROR(1/J259*(Y259/H259),"0")</f>
        <v>0.25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20</v>
      </c>
      <c r="Y260" s="618">
        <f t="shared" si="31"/>
        <v>21.6</v>
      </c>
      <c r="Z260" s="36">
        <f>IFERROR(IF(Y260=0,"",ROUNDUP(Y260/H260,0)*0.00902),"")</f>
        <v>3.6080000000000001E-2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20.703703703703702</v>
      </c>
      <c r="BN260" s="64">
        <f t="shared" si="33"/>
        <v>22.36</v>
      </c>
      <c r="BO260" s="64">
        <f t="shared" si="34"/>
        <v>2.8058361391694722E-2</v>
      </c>
      <c r="BP260" s="64">
        <f t="shared" si="35"/>
        <v>3.0303030303030304E-2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50</v>
      </c>
      <c r="Y261" s="618">
        <f t="shared" si="31"/>
        <v>54</v>
      </c>
      <c r="Z261" s="36">
        <f>IFERROR(IF(Y261=0,"",ROUNDUP(Y261/H261,0)*0.00902),"")</f>
        <v>9.0200000000000002E-2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51.759259259259252</v>
      </c>
      <c r="BN261" s="64">
        <f t="shared" si="33"/>
        <v>55.9</v>
      </c>
      <c r="BO261" s="64">
        <f t="shared" si="34"/>
        <v>7.0145903479236812E-2</v>
      </c>
      <c r="BP261" s="64">
        <f t="shared" si="35"/>
        <v>7.575757575757576E-2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40</v>
      </c>
      <c r="Y262" s="618">
        <f t="shared" si="31"/>
        <v>43.2</v>
      </c>
      <c r="Z262" s="36">
        <f>IFERROR(IF(Y262=0,"",ROUNDUP(Y262/H262,0)*0.00902),"")</f>
        <v>7.2160000000000002E-2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41.407407407407405</v>
      </c>
      <c r="BN262" s="64">
        <f t="shared" si="33"/>
        <v>44.72</v>
      </c>
      <c r="BO262" s="64">
        <f t="shared" si="34"/>
        <v>5.6116722783389444E-2</v>
      </c>
      <c r="BP262" s="64">
        <f t="shared" si="35"/>
        <v>6.0606060606060608E-2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30</v>
      </c>
      <c r="Y263" s="618">
        <f t="shared" si="31"/>
        <v>30.6</v>
      </c>
      <c r="Z263" s="36">
        <f>IFERROR(IF(Y263=0,"",ROUNDUP(Y263/H263,0)*0.00502),"")</f>
        <v>8.5339999999999999E-2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32.166666666666664</v>
      </c>
      <c r="BN263" s="64">
        <f t="shared" si="33"/>
        <v>32.81</v>
      </c>
      <c r="BO263" s="64">
        <f t="shared" si="34"/>
        <v>7.122507122507124E-2</v>
      </c>
      <c r="BP263" s="64">
        <f t="shared" si="35"/>
        <v>7.2649572649572655E-2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15</v>
      </c>
      <c r="Y264" s="618">
        <f t="shared" si="31"/>
        <v>16.2</v>
      </c>
      <c r="Z264" s="36">
        <f>IFERROR(IF(Y264=0,"",ROUNDUP(Y264/H264,0)*0.00502),"")</f>
        <v>4.5179999999999998E-2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15.833333333333332</v>
      </c>
      <c r="BN264" s="64">
        <f t="shared" si="33"/>
        <v>17.099999999999998</v>
      </c>
      <c r="BO264" s="64">
        <f t="shared" si="34"/>
        <v>3.561253561253562E-2</v>
      </c>
      <c r="BP264" s="64">
        <f t="shared" si="35"/>
        <v>3.8461538461538464E-2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30</v>
      </c>
      <c r="Y266" s="618">
        <f t="shared" si="31"/>
        <v>30.6</v>
      </c>
      <c r="Z266" s="36">
        <f>IFERROR(IF(Y266=0,"",ROUNDUP(Y266/H266,0)*0.00502),"")</f>
        <v>8.5339999999999999E-2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31.666666666666664</v>
      </c>
      <c r="BN266" s="64">
        <f t="shared" si="33"/>
        <v>32.299999999999997</v>
      </c>
      <c r="BO266" s="64">
        <f t="shared" si="34"/>
        <v>7.122507122507124E-2</v>
      </c>
      <c r="BP266" s="64">
        <f t="shared" si="35"/>
        <v>7.2649572649572655E-2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95</v>
      </c>
      <c r="Y267" s="619">
        <f>IFERROR(Y259/H259,"0")+IFERROR(Y260/H260,"0")+IFERROR(Y261/H261,"0")+IFERROR(Y262/H262,"0")+IFERROR(Y263/H263,"0")+IFERROR(Y264/H264,"0")+IFERROR(Y265/H265,"0")+IFERROR(Y266/H266,"0")</f>
        <v>98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0.71196000000000004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363</v>
      </c>
      <c r="Y268" s="619">
        <f>IFERROR(SUM(Y259:Y266),"0")</f>
        <v>374.40000000000003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73</v>
      </c>
      <c r="Y270" s="618">
        <f t="shared" ref="Y270:Y281" si="36">IFERROR(IF(X270="",0,CEILING((X270/$H270),1)*$H270),"")</f>
        <v>81</v>
      </c>
      <c r="Z270" s="36">
        <f>IFERROR(IF(Y270=0,"",ROUNDUP(Y270/H270,0)*0.01898),"")</f>
        <v>0.1898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77.452098765432098</v>
      </c>
      <c r="BN270" s="64">
        <f t="shared" ref="BN270:BN281" si="38">IFERROR(Y270*I270/H270,"0")</f>
        <v>85.94</v>
      </c>
      <c r="BO270" s="64">
        <f t="shared" ref="BO270:BO281" si="39">IFERROR(1/J270*(X270/H270),"0")</f>
        <v>0.14081790123456792</v>
      </c>
      <c r="BP270" s="64">
        <f t="shared" ref="BP270:BP281" si="40">IFERROR(1/J270*(Y270/H270),"0")</f>
        <v>0.15625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153</v>
      </c>
      <c r="Y273" s="618">
        <f t="shared" si="36"/>
        <v>153.6</v>
      </c>
      <c r="Z273" s="36">
        <f>IFERROR(IF(Y273=0,"",ROUNDUP(Y273/H273,0)*0.00651),"")</f>
        <v>0.41664000000000001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170.21250000000001</v>
      </c>
      <c r="BN273" s="64">
        <f t="shared" si="38"/>
        <v>170.88</v>
      </c>
      <c r="BO273" s="64">
        <f t="shared" si="39"/>
        <v>0.35027472527472531</v>
      </c>
      <c r="BP273" s="64">
        <f t="shared" si="40"/>
        <v>0.35164835164835168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548</v>
      </c>
      <c r="Y276" s="618">
        <f t="shared" si="36"/>
        <v>549.6</v>
      </c>
      <c r="Z276" s="36">
        <f>IFERROR(IF(Y276=0,"",ROUNDUP(Y276/H276,0)*0.00651),"")</f>
        <v>1.4907900000000001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605.54000000000008</v>
      </c>
      <c r="BN276" s="64">
        <f t="shared" si="38"/>
        <v>607.30800000000011</v>
      </c>
      <c r="BO276" s="64">
        <f t="shared" si="39"/>
        <v>1.2545787545787548</v>
      </c>
      <c r="BP276" s="64">
        <f t="shared" si="40"/>
        <v>1.2582417582417584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123</v>
      </c>
      <c r="Y278" s="618">
        <f t="shared" si="36"/>
        <v>124.8</v>
      </c>
      <c r="Z278" s="36">
        <f>IFERROR(IF(Y278=0,"",ROUNDUP(Y278/H278,0)*0.00651),"")</f>
        <v>0.33851999999999999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135.91500000000002</v>
      </c>
      <c r="BN278" s="64">
        <f t="shared" si="38"/>
        <v>137.90400000000002</v>
      </c>
      <c r="BO278" s="64">
        <f t="shared" si="39"/>
        <v>0.28159340659340659</v>
      </c>
      <c r="BP278" s="64">
        <f t="shared" si="40"/>
        <v>0.28571428571428575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92</v>
      </c>
      <c r="Y279" s="618">
        <f t="shared" si="36"/>
        <v>93.6</v>
      </c>
      <c r="Z279" s="36">
        <f>IFERROR(IF(Y279=0,"",ROUNDUP(Y279/H279,0)*0.00651),"")</f>
        <v>0.25389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101.66000000000001</v>
      </c>
      <c r="BN279" s="64">
        <f t="shared" si="38"/>
        <v>103.42800000000001</v>
      </c>
      <c r="BO279" s="64">
        <f t="shared" si="39"/>
        <v>0.21062271062271065</v>
      </c>
      <c r="BP279" s="64">
        <f t="shared" si="40"/>
        <v>0.2142857142857143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88</v>
      </c>
      <c r="Y280" s="618">
        <f t="shared" si="36"/>
        <v>88.8</v>
      </c>
      <c r="Z280" s="36">
        <f>IFERROR(IF(Y280=0,"",ROUNDUP(Y280/H280,0)*0.00651),"")</f>
        <v>0.24087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97.460000000000008</v>
      </c>
      <c r="BN280" s="64">
        <f t="shared" si="38"/>
        <v>98.346000000000004</v>
      </c>
      <c r="BO280" s="64">
        <f t="shared" si="39"/>
        <v>0.2014652014652015</v>
      </c>
      <c r="BP280" s="64">
        <f t="shared" si="40"/>
        <v>0.20329670329670332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427.34567901234567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431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2.9305100000000004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1077</v>
      </c>
      <c r="Y283" s="619">
        <f>IFERROR(SUM(Y270:Y281),"0")</f>
        <v>1091.4000000000001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41</v>
      </c>
      <c r="Y326" s="618">
        <f>IFERROR(IF(X326="",0,CEILING((X326/$H326),1)*$H326),"")</f>
        <v>43.199999999999996</v>
      </c>
      <c r="Z326" s="36">
        <f>IFERROR(IF(Y326=0,"",ROUNDUP(Y326/H326,0)*0.00651),"")</f>
        <v>0.11718000000000001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45.305</v>
      </c>
      <c r="BN326" s="64">
        <f>IFERROR(Y326*I326/H326,"0")</f>
        <v>47.736000000000004</v>
      </c>
      <c r="BO326" s="64">
        <f>IFERROR(1/J326*(X326/H326),"0")</f>
        <v>9.3864468864468878E-2</v>
      </c>
      <c r="BP326" s="64">
        <f>IFERROR(1/J326*(Y326/H326),"0")</f>
        <v>9.8901098901098911E-2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34</v>
      </c>
      <c r="Y327" s="618">
        <f>IFERROR(IF(X327="",0,CEILING((X327/$H327),1)*$H327),"")</f>
        <v>36</v>
      </c>
      <c r="Z327" s="36">
        <f>IFERROR(IF(Y327=0,"",ROUNDUP(Y327/H327,0)*0.00651),"")</f>
        <v>9.7650000000000001E-2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36.550000000000004</v>
      </c>
      <c r="BN327" s="64">
        <f>IFERROR(Y327*I327/H327,"0")</f>
        <v>38.700000000000003</v>
      </c>
      <c r="BO327" s="64">
        <f>IFERROR(1/J327*(X327/H327),"0")</f>
        <v>7.7838827838827854E-2</v>
      </c>
      <c r="BP327" s="64">
        <f>IFERROR(1/J327*(Y327/H327),"0")</f>
        <v>8.241758241758243E-2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31.250000000000004</v>
      </c>
      <c r="Y328" s="619">
        <f>IFERROR(Y325/H325,"0")+IFERROR(Y326/H326,"0")+IFERROR(Y327/H327,"0")</f>
        <v>33</v>
      </c>
      <c r="Z328" s="619">
        <f>IFERROR(IF(Z325="",0,Z325),"0")+IFERROR(IF(Z326="",0,Z326),"0")+IFERROR(IF(Z327="",0,Z327),"0")</f>
        <v>0.21483000000000002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75</v>
      </c>
      <c r="Y329" s="619">
        <f>IFERROR(SUM(Y325:Y327),"0")</f>
        <v>79.199999999999989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86</v>
      </c>
      <c r="Y346" s="618">
        <f>IFERROR(IF(X346="",0,CEILING((X346/$H346),1)*$H346),"")</f>
        <v>93.6</v>
      </c>
      <c r="Z346" s="36">
        <f>IFERROR(IF(Y346=0,"",ROUNDUP(Y346/H346,0)*0.01898),"")</f>
        <v>0.22776000000000002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90.520512820512835</v>
      </c>
      <c r="BN346" s="64">
        <f>IFERROR(Y346*I346/H346,"0")</f>
        <v>98.52000000000001</v>
      </c>
      <c r="BO346" s="64">
        <f>IFERROR(1/J346*(X346/H346),"0")</f>
        <v>0.17227564102564102</v>
      </c>
      <c r="BP346" s="64">
        <f>IFERROR(1/J346*(Y346/H346),"0")</f>
        <v>0.1875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100</v>
      </c>
      <c r="Y347" s="618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105.25641025641028</v>
      </c>
      <c r="BN347" s="64">
        <f>IFERROR(Y347*I347/H347,"0")</f>
        <v>106.73</v>
      </c>
      <c r="BO347" s="64">
        <f>IFERROR(1/J347*(X347/H347),"0")</f>
        <v>0.20032051282051283</v>
      </c>
      <c r="BP347" s="64">
        <f>IFERROR(1/J347*(Y347/H347),"0")</f>
        <v>0.203125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7</v>
      </c>
      <c r="Y348" s="618">
        <f>IFERROR(IF(X348="",0,CEILING((X348/$H348),1)*$H348),"")</f>
        <v>7.8</v>
      </c>
      <c r="Z348" s="36">
        <f>IFERROR(IF(Y348=0,"",ROUNDUP(Y348/H348,0)*0.01898),"")</f>
        <v>1.898E-2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7.3679487179487193</v>
      </c>
      <c r="BN348" s="64">
        <f>IFERROR(Y348*I348/H348,"0")</f>
        <v>8.2100000000000009</v>
      </c>
      <c r="BO348" s="64">
        <f>IFERROR(1/J348*(X348/H348),"0")</f>
        <v>1.4022435897435898E-2</v>
      </c>
      <c r="BP348" s="64">
        <f>IFERROR(1/J348*(Y348/H348),"0")</f>
        <v>1.5625E-2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24.743589743589745</v>
      </c>
      <c r="Y349" s="619">
        <f>IFERROR(Y346/H346,"0")+IFERROR(Y347/H347,"0")+IFERROR(Y348/H348,"0")</f>
        <v>26</v>
      </c>
      <c r="Z349" s="619">
        <f>IFERROR(IF(Z346="",0,Z346),"0")+IFERROR(IF(Z347="",0,Z347),"0")+IFERROR(IF(Z348="",0,Z348),"0")</f>
        <v>0.49348000000000003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193</v>
      </c>
      <c r="Y350" s="619">
        <f>IFERROR(SUM(Y346:Y348),"0")</f>
        <v>202.8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237</v>
      </c>
      <c r="Y380" s="618">
        <f>IFERROR(IF(X380="",0,CEILING((X380/$H380),1)*$H380),"")</f>
        <v>243.60000000000002</v>
      </c>
      <c r="Z380" s="36">
        <f>IFERROR(IF(Y380=0,"",ROUNDUP(Y380/H380,0)*0.01898),"")</f>
        <v>0.55042000000000002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250.93785714285715</v>
      </c>
      <c r="BN380" s="64">
        <f>IFERROR(Y380*I380/H380,"0")</f>
        <v>257.92600000000004</v>
      </c>
      <c r="BO380" s="64">
        <f>IFERROR(1/J380*(X380/H380),"0")</f>
        <v>0.44084821428571425</v>
      </c>
      <c r="BP380" s="64">
        <f>IFERROR(1/J380*(Y380/H380),"0")</f>
        <v>0.453125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25</v>
      </c>
      <c r="Y381" s="618">
        <f>IFERROR(IF(X381="",0,CEILING((X381/$H381),1)*$H381),"")</f>
        <v>31.2</v>
      </c>
      <c r="Z381" s="36">
        <f>IFERROR(IF(Y381=0,"",ROUNDUP(Y381/H381,0)*0.01898),"")</f>
        <v>7.5920000000000001E-2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26.583333333333336</v>
      </c>
      <c r="BN381" s="64">
        <f>IFERROR(Y381*I381/H381,"0")</f>
        <v>33.176000000000002</v>
      </c>
      <c r="BO381" s="64">
        <f>IFERROR(1/J381*(X381/H381),"0")</f>
        <v>5.0080128205128208E-2</v>
      </c>
      <c r="BP381" s="64">
        <f>IFERROR(1/J381*(Y381/H381),"0")</f>
        <v>6.25E-2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31.419413919413916</v>
      </c>
      <c r="Y383" s="619">
        <f>IFERROR(Y380/H380,"0")+IFERROR(Y381/H381,"0")+IFERROR(Y382/H382,"0")</f>
        <v>33</v>
      </c>
      <c r="Z383" s="619">
        <f>IFERROR(IF(Z380="",0,Z380),"0")+IFERROR(IF(Z381="",0,Z381),"0")+IFERROR(IF(Z382="",0,Z382),"0")</f>
        <v>0.62634000000000001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262</v>
      </c>
      <c r="Y384" s="619">
        <f>IFERROR(SUM(Y380:Y382),"0")</f>
        <v>274.8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10</v>
      </c>
      <c r="Y386" s="618">
        <f>IFERROR(IF(X386="",0,CEILING((X386/$H386),1)*$H386),"")</f>
        <v>12.16</v>
      </c>
      <c r="Z386" s="36">
        <f>IFERROR(IF(Y386=0,"",ROUNDUP(Y386/H386,0)*0.00902),"")</f>
        <v>3.6080000000000001E-2</v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10.888157894736842</v>
      </c>
      <c r="BN386" s="64">
        <f>IFERROR(Y386*I386/H386,"0")</f>
        <v>13.24</v>
      </c>
      <c r="BO386" s="64">
        <f>IFERROR(1/J386*(X386/H386),"0")</f>
        <v>2.4920255183413079E-2</v>
      </c>
      <c r="BP386" s="64">
        <f>IFERROR(1/J386*(Y386/H386),"0")</f>
        <v>3.0303030303030304E-2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10</v>
      </c>
      <c r="Y387" s="618">
        <f>IFERROR(IF(X387="",0,CEILING((X387/$H387),1)*$H387),"")</f>
        <v>12.16</v>
      </c>
      <c r="Z387" s="36">
        <f>IFERROR(IF(Y387=0,"",ROUNDUP(Y387/H387,0)*0.00902),"")</f>
        <v>3.6080000000000001E-2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10.756578947368421</v>
      </c>
      <c r="BN387" s="64">
        <f>IFERROR(Y387*I387/H387,"0")</f>
        <v>13.079999999999998</v>
      </c>
      <c r="BO387" s="64">
        <f>IFERROR(1/J387*(X387/H387),"0")</f>
        <v>2.4920255183413079E-2</v>
      </c>
      <c r="BP387" s="64">
        <f>IFERROR(1/J387*(Y387/H387),"0")</f>
        <v>3.0303030303030304E-2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14</v>
      </c>
      <c r="Y388" s="618">
        <f>IFERROR(IF(X388="",0,CEILING((X388/$H388),1)*$H388),"")</f>
        <v>15.299999999999999</v>
      </c>
      <c r="Z388" s="36">
        <f>IFERROR(IF(Y388=0,"",ROUNDUP(Y388/H388,0)*0.00651),"")</f>
        <v>3.9059999999999997E-2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16.223529411764709</v>
      </c>
      <c r="BN388" s="64">
        <f>IFERROR(Y388*I388/H388,"0")</f>
        <v>17.73</v>
      </c>
      <c r="BO388" s="64">
        <f>IFERROR(1/J388*(X388/H388),"0")</f>
        <v>3.0165912518853699E-2</v>
      </c>
      <c r="BP388" s="64">
        <f>IFERROR(1/J388*(Y388/H388),"0")</f>
        <v>3.2967032967032968E-2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12.069143446852426</v>
      </c>
      <c r="Y390" s="619">
        <f>IFERROR(Y386/H386,"0")+IFERROR(Y387/H387,"0")+IFERROR(Y388/H388,"0")+IFERROR(Y389/H389,"0")</f>
        <v>14</v>
      </c>
      <c r="Z390" s="619">
        <f>IFERROR(IF(Z386="",0,Z386),"0")+IFERROR(IF(Z387="",0,Z387),"0")+IFERROR(IF(Z388="",0,Z388),"0")+IFERROR(IF(Z389="",0,Z389),"0")</f>
        <v>0.11122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34</v>
      </c>
      <c r="Y391" s="619">
        <f>IFERROR(SUM(Y386:Y389),"0")</f>
        <v>39.619999999999997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13</v>
      </c>
      <c r="Y393" s="618">
        <f>IFERROR(IF(X393="",0,CEILING((X393/$H393),1)*$H393),"")</f>
        <v>14</v>
      </c>
      <c r="Z393" s="36">
        <f>IFERROR(IF(Y393=0,"",ROUNDUP(Y393/H393,0)*0.00474),"")</f>
        <v>3.3180000000000001E-2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14.560000000000002</v>
      </c>
      <c r="BN393" s="64">
        <f>IFERROR(Y393*I393/H393,"0")</f>
        <v>15.680000000000001</v>
      </c>
      <c r="BO393" s="64">
        <f>IFERROR(1/J393*(X393/H393),"0")</f>
        <v>2.7310924369747899E-2</v>
      </c>
      <c r="BP393" s="64">
        <f>IFERROR(1/J393*(Y393/H393),"0")</f>
        <v>2.9411764705882353E-2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6.5</v>
      </c>
      <c r="Y396" s="619">
        <f>IFERROR(Y393/H393,"0")+IFERROR(Y394/H394,"0")+IFERROR(Y395/H395,"0")</f>
        <v>7</v>
      </c>
      <c r="Z396" s="619">
        <f>IFERROR(IF(Z393="",0,Z393),"0")+IFERROR(IF(Z394="",0,Z394),"0")+IFERROR(IF(Z395="",0,Z395),"0")</f>
        <v>3.3180000000000001E-2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13</v>
      </c>
      <c r="Y397" s="619">
        <f>IFERROR(SUM(Y393:Y395),"0")</f>
        <v>14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723</v>
      </c>
      <c r="Y421" s="618">
        <f t="shared" si="61"/>
        <v>735</v>
      </c>
      <c r="Z421" s="36">
        <f>IFERROR(IF(Y421=0,"",ROUNDUP(Y421/H421,0)*0.02175),"")</f>
        <v>1.06575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745.65400000000011</v>
      </c>
      <c r="BN421" s="64">
        <f t="shared" si="63"/>
        <v>758.03000000000009</v>
      </c>
      <c r="BO421" s="64">
        <f t="shared" si="64"/>
        <v>1.0041666666666667</v>
      </c>
      <c r="BP421" s="64">
        <f t="shared" si="65"/>
        <v>1.0208333333333333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1943</v>
      </c>
      <c r="Y422" s="618">
        <f t="shared" si="61"/>
        <v>1950</v>
      </c>
      <c r="Z422" s="36">
        <f>IFERROR(IF(Y422=0,"",ROUNDUP(Y422/H422,0)*0.02175),"")</f>
        <v>2.8274999999999997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2003.8806666666669</v>
      </c>
      <c r="BN422" s="64">
        <f t="shared" si="63"/>
        <v>2011.1</v>
      </c>
      <c r="BO422" s="64">
        <f t="shared" si="64"/>
        <v>2.6986111111111111</v>
      </c>
      <c r="BP422" s="64">
        <f t="shared" si="65"/>
        <v>2.708333333333333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177.73333333333335</v>
      </c>
      <c r="Y428" s="619">
        <f>IFERROR(Y420/H420,"0")+IFERROR(Y421/H421,"0")+IFERROR(Y422/H422,"0")+IFERROR(Y423/H423,"0")+IFERROR(Y424/H424,"0")+IFERROR(Y425/H425,"0")+IFERROR(Y426/H426,"0")+IFERROR(Y427/H427,"0")</f>
        <v>179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3.8932499999999997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2666</v>
      </c>
      <c r="Y429" s="619">
        <f>IFERROR(SUM(Y420:Y427),"0")</f>
        <v>2685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1648</v>
      </c>
      <c r="Y431" s="618">
        <f>IFERROR(IF(X431="",0,CEILING((X431/$H431),1)*$H431),"")</f>
        <v>1650</v>
      </c>
      <c r="Z431" s="36">
        <f>IFERROR(IF(Y431=0,"",ROUNDUP(Y431/H431,0)*0.02175),"")</f>
        <v>2.3924999999999996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1699.6373333333333</v>
      </c>
      <c r="BN431" s="64">
        <f>IFERROR(Y431*I431/H431,"0")</f>
        <v>1701.7</v>
      </c>
      <c r="BO431" s="64">
        <f>IFERROR(1/J431*(X431/H431),"0")</f>
        <v>2.2888888888888888</v>
      </c>
      <c r="BP431" s="64">
        <f>IFERROR(1/J431*(Y431/H431),"0")</f>
        <v>2.2916666666666665</v>
      </c>
    </row>
    <row r="432" spans="1:68" ht="27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34</v>
      </c>
      <c r="Y432" s="618">
        <f>IFERROR(IF(X432="",0,CEILING((X432/$H432),1)*$H432),"")</f>
        <v>45</v>
      </c>
      <c r="Z432" s="36">
        <f>IFERROR(IF(Y432=0,"",ROUNDUP(Y432/H432,0)*0.02175),"")</f>
        <v>6.5250000000000002E-2</v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35.065333333333335</v>
      </c>
      <c r="BN432" s="64">
        <f>IFERROR(Y432*I432/H432,"0")</f>
        <v>46.41</v>
      </c>
      <c r="BO432" s="64">
        <f>IFERROR(1/J432*(X432/H432),"0")</f>
        <v>4.7222222222222221E-2</v>
      </c>
      <c r="BP432" s="64">
        <f>IFERROR(1/J432*(Y432/H432),"0")</f>
        <v>6.25E-2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112.13333333333333</v>
      </c>
      <c r="Y434" s="619">
        <f>IFERROR(Y431/H431,"0")+IFERROR(Y432/H432,"0")+IFERROR(Y433/H433,"0")</f>
        <v>113</v>
      </c>
      <c r="Z434" s="619">
        <f>IFERROR(IF(Z431="",0,Z431),"0")+IFERROR(IF(Z432="",0,Z432),"0")+IFERROR(IF(Z433="",0,Z433),"0")</f>
        <v>2.4577499999999994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1682</v>
      </c>
      <c r="Y435" s="619">
        <f>IFERROR(SUM(Y431:Y433),"0")</f>
        <v>1695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0</v>
      </c>
      <c r="Y461" s="619">
        <f>IFERROR(Y458/H458,"0")+IFERROR(Y459/H459,"0")+IFERROR(Y460/H460,"0")</f>
        <v>0</v>
      </c>
      <c r="Z461" s="619">
        <f>IFERROR(IF(Z458="",0,Z458),"0")+IFERROR(IF(Z459="",0,Z459),"0")+IFERROR(IF(Z460="",0,Z460),"0")</f>
        <v>0</v>
      </c>
      <c r="AA461" s="620"/>
      <c r="AB461" s="620"/>
      <c r="AC461" s="620"/>
    </row>
    <row r="462" spans="1:68" hidden="1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0</v>
      </c>
      <c r="Y462" s="619">
        <f>IFERROR(SUM(Y458:Y460),"0")</f>
        <v>0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249</v>
      </c>
      <c r="Y466" s="618">
        <f t="shared" ref="Y466:Y471" si="66">IFERROR(IF(X466="",0,CEILING((X466/$H466),1)*$H466),"")</f>
        <v>253.8</v>
      </c>
      <c r="Z466" s="36">
        <f>IFERROR(IF(Y466=0,"",ROUNDUP(Y466/H466,0)*0.00902),"")</f>
        <v>0.42393999999999998</v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257.76111111111106</v>
      </c>
      <c r="BN466" s="64">
        <f t="shared" ref="BN466:BN471" si="68">IFERROR(Y466*I466/H466,"0")</f>
        <v>262.72999999999996</v>
      </c>
      <c r="BO466" s="64">
        <f t="shared" ref="BO466:BO471" si="69">IFERROR(1/J466*(X466/H466),"0")</f>
        <v>0.34932659932659932</v>
      </c>
      <c r="BP466" s="64">
        <f t="shared" ref="BP466:BP471" si="70">IFERROR(1/J466*(Y466/H466),"0")</f>
        <v>0.35606060606060608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46.111111111111107</v>
      </c>
      <c r="Y472" s="619">
        <f>IFERROR(Y466/H466,"0")+IFERROR(Y467/H467,"0")+IFERROR(Y468/H468,"0")+IFERROR(Y469/H469,"0")+IFERROR(Y470/H470,"0")+IFERROR(Y471/H471,"0")</f>
        <v>47</v>
      </c>
      <c r="Z472" s="619">
        <f>IFERROR(IF(Z466="",0,Z466),"0")+IFERROR(IF(Z467="",0,Z467),"0")+IFERROR(IF(Z468="",0,Z468),"0")+IFERROR(IF(Z469="",0,Z469),"0")+IFERROR(IF(Z470="",0,Z470),"0")+IFERROR(IF(Z471="",0,Z471),"0")</f>
        <v>0.42393999999999998</v>
      </c>
      <c r="AA472" s="620"/>
      <c r="AB472" s="620"/>
      <c r="AC472" s="620"/>
    </row>
    <row r="473" spans="1:68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249</v>
      </c>
      <c r="Y473" s="619">
        <f>IFERROR(SUM(Y466:Y471),"0")</f>
        <v>253.8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189</v>
      </c>
      <c r="Y484" s="618">
        <f>IFERROR(IF(X484="",0,CEILING((X484/$H484),1)*$H484),"")</f>
        <v>189</v>
      </c>
      <c r="Z484" s="36">
        <f>IFERROR(IF(Y484=0,"",ROUNDUP(Y484/H484,0)*0.00902),"")</f>
        <v>0.31569999999999998</v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195.64999999999998</v>
      </c>
      <c r="BN484" s="64">
        <f>IFERROR(Y484*I484/H484,"0")</f>
        <v>195.64999999999998</v>
      </c>
      <c r="BO484" s="64">
        <f>IFERROR(1/J484*(X484/H484),"0")</f>
        <v>0.26515151515151514</v>
      </c>
      <c r="BP484" s="64">
        <f>IFERROR(1/J484*(Y484/H484),"0")</f>
        <v>0.26515151515151514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35</v>
      </c>
      <c r="Y487" s="619">
        <f>IFERROR(Y484/H484,"0")+IFERROR(Y485/H485,"0")+IFERROR(Y486/H486,"0")</f>
        <v>35</v>
      </c>
      <c r="Z487" s="619">
        <f>IFERROR(IF(Z484="",0,Z484),"0")+IFERROR(IF(Z485="",0,Z485),"0")+IFERROR(IF(Z486="",0,Z486),"0")</f>
        <v>0.31569999999999998</v>
      </c>
      <c r="AA487" s="620"/>
      <c r="AB487" s="620"/>
      <c r="AC487" s="620"/>
    </row>
    <row r="488" spans="1:68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189</v>
      </c>
      <c r="Y488" s="619">
        <f>IFERROR(SUM(Y484:Y486),"0")</f>
        <v>189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hidden="1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0</v>
      </c>
      <c r="Y496" s="618">
        <f t="shared" si="71"/>
        <v>0</v>
      </c>
      <c r="Z496" s="36" t="str">
        <f>IFERROR(IF(Y496=0,"",ROUNDUP(Y496/H496,0)*0.01196),"")</f>
        <v/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0</v>
      </c>
      <c r="BN496" s="64">
        <f t="shared" si="73"/>
        <v>0</v>
      </c>
      <c r="BO496" s="64">
        <f t="shared" si="74"/>
        <v>0</v>
      </c>
      <c r="BP496" s="64">
        <f t="shared" si="75"/>
        <v>0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hidden="1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0</v>
      </c>
      <c r="Y500" s="619">
        <f>IFERROR(Y492/H492,"0")+IFERROR(Y493/H493,"0")+IFERROR(Y494/H494,"0")+IFERROR(Y495/H495,"0")+IFERROR(Y496/H496,"0")+IFERROR(Y497/H497,"0")+IFERROR(Y498/H498,"0")+IFERROR(Y499/H499,"0")</f>
        <v>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</v>
      </c>
      <c r="AA500" s="620"/>
      <c r="AB500" s="620"/>
      <c r="AC500" s="620"/>
    </row>
    <row r="501" spans="1:68" hidden="1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0</v>
      </c>
      <c r="Y501" s="619">
        <f>IFERROR(SUM(Y492:Y499),"0")</f>
        <v>0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154</v>
      </c>
      <c r="Y503" s="618">
        <f>IFERROR(IF(X503="",0,CEILING((X503/$H503),1)*$H503),"")</f>
        <v>158.4</v>
      </c>
      <c r="Z503" s="36">
        <f>IFERROR(IF(Y503=0,"",ROUNDUP(Y503/H503,0)*0.01196),"")</f>
        <v>0.35880000000000001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164.20833333333331</v>
      </c>
      <c r="BN503" s="64">
        <f>IFERROR(Y503*I503/H503,"0")</f>
        <v>168.9</v>
      </c>
      <c r="BO503" s="64">
        <f>IFERROR(1/J503*(X503/H503),"0")</f>
        <v>0.28044871794871795</v>
      </c>
      <c r="BP503" s="64">
        <f>IFERROR(1/J503*(Y503/H503),"0")</f>
        <v>0.28846153846153849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29.166666666666664</v>
      </c>
      <c r="Y506" s="619">
        <f>IFERROR(Y503/H503,"0")+IFERROR(Y504/H504,"0")+IFERROR(Y505/H505,"0")</f>
        <v>30</v>
      </c>
      <c r="Z506" s="619">
        <f>IFERROR(IF(Z503="",0,Z503),"0")+IFERROR(IF(Z504="",0,Z504),"0")+IFERROR(IF(Z505="",0,Z505),"0")</f>
        <v>0.35880000000000001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154</v>
      </c>
      <c r="Y507" s="619">
        <f>IFERROR(SUM(Y503:Y505),"0")</f>
        <v>158.4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hidden="1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0</v>
      </c>
      <c r="Y511" s="618">
        <f t="shared" si="76"/>
        <v>0</v>
      </c>
      <c r="Z511" s="36" t="str">
        <f>IFERROR(IF(Y511=0,"",ROUNDUP(Y511/H511,0)*0.01196),"")</f>
        <v/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0</v>
      </c>
      <c r="BN511" s="64">
        <f t="shared" si="78"/>
        <v>0</v>
      </c>
      <c r="BO511" s="64">
        <f t="shared" si="79"/>
        <v>0</v>
      </c>
      <c r="BP511" s="64">
        <f t="shared" si="80"/>
        <v>0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idden="1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0</v>
      </c>
      <c r="Y516" s="619">
        <f>IFERROR(Y509/H509,"0")+IFERROR(Y510/H510,"0")+IFERROR(Y511/H511,"0")+IFERROR(Y512/H512,"0")+IFERROR(Y513/H513,"0")+IFERROR(Y514/H514,"0")+IFERROR(Y515/H515,"0")</f>
        <v>0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20"/>
      <c r="AB516" s="620"/>
      <c r="AC516" s="620"/>
    </row>
    <row r="517" spans="1:68" hidden="1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0</v>
      </c>
      <c r="Y517" s="619">
        <f>IFERROR(SUM(Y509:Y515),"0")</f>
        <v>0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155</v>
      </c>
      <c r="Y533" s="618">
        <f>IFERROR(IF(X533="",0,CEILING((X533/$H533),1)*$H533),"")</f>
        <v>162</v>
      </c>
      <c r="Z533" s="36">
        <f>IFERROR(IF(Y533=0,"",ROUNDUP(Y533/H533,0)*0.01898),"")</f>
        <v>0.34164</v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163.50777777777776</v>
      </c>
      <c r="BN533" s="64">
        <f>IFERROR(Y533*I533/H533,"0")</f>
        <v>170.892</v>
      </c>
      <c r="BO533" s="64">
        <f>IFERROR(1/J533*(X533/H533),"0")</f>
        <v>0.26909722222222221</v>
      </c>
      <c r="BP533" s="64">
        <f>IFERROR(1/J533*(Y533/H533),"0")</f>
        <v>0.28125</v>
      </c>
    </row>
    <row r="534" spans="1:68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17.222222222222221</v>
      </c>
      <c r="Y534" s="619">
        <f>IFERROR(Y533/H533,"0")</f>
        <v>18</v>
      </c>
      <c r="Z534" s="619">
        <f>IFERROR(IF(Z533="",0,Z533),"0")</f>
        <v>0.34164</v>
      </c>
      <c r="AA534" s="620"/>
      <c r="AB534" s="620"/>
      <c r="AC534" s="620"/>
    </row>
    <row r="535" spans="1:68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155</v>
      </c>
      <c r="Y535" s="619">
        <f>IFERROR(SUM(Y533:Y533),"0")</f>
        <v>162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8402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8560.6200000000008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8815.2557529677724</v>
      </c>
      <c r="Y547" s="619">
        <f>IFERROR(SUM(BN22:BN543),"0")</f>
        <v>8982.5599999999977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14</v>
      </c>
      <c r="Y548" s="38">
        <f>ROUNDUP(SUM(BP22:BP543),0)</f>
        <v>15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9165.2557529677724</v>
      </c>
      <c r="Y549" s="619">
        <f>GrossWeightTotalR+PalletQtyTotalR*25</f>
        <v>9357.5599999999977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1402.2966352451776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1433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16.012240000000002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0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86.699999999999989</v>
      </c>
      <c r="F556" s="46">
        <f>IFERROR(Y84*1,"0")+IFERROR(Y85*1,"0")+IFERROR(Y86*1,"0")+IFERROR(Y87*1,"0")+IFERROR(Y88*1,"0")+IFERROR(Y89*1,"0")+IFERROR(Y93*1,"0")+IFERROR(Y94*1,"0")+IFERROR(Y95*1,"0")+IFERROR(Y96*1,"0")</f>
        <v>91.800000000000011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305.28000000000003</v>
      </c>
      <c r="H556" s="46">
        <f>IFERROR(Y131*1,"0")+IFERROR(Y132*1,"0")+IFERROR(Y136*1,"0")+IFERROR(Y137*1,"0")+IFERROR(Y141*1,"0")+IFERROR(Y142*1,"0")</f>
        <v>90.640000000000015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146.86000000000001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619.91999999999996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1465.7999999999997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79.199999999999989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202.8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328.42000000000007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4380</v>
      </c>
      <c r="X556" s="46">
        <f>IFERROR(Y449*1,"0")+IFERROR(Y450*1,"0")+IFERROR(Y454*1,"0")+IFERROR(Y458*1,"0")+IFERROR(Y459*1,"0")+IFERROR(Y460*1,"0")</f>
        <v>0</v>
      </c>
      <c r="Y556" s="46">
        <f>IFERROR(Y466*1,"0")+IFERROR(Y467*1,"0")+IFERROR(Y468*1,"0")+IFERROR(Y469*1,"0")+IFERROR(Y470*1,"0")+IFERROR(Y471*1,"0")+IFERROR(Y475*1,"0")</f>
        <v>253.8</v>
      </c>
      <c r="Z556" s="46">
        <f>IFERROR(Y480*1,"0")+IFERROR(Y484*1,"0")+IFERROR(Y485*1,"0")+IFERROR(Y486*1,"0")</f>
        <v>189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158.4</v>
      </c>
      <c r="AB556" s="46">
        <f>IFERROR(Y521*1,"0")+IFERROR(Y525*1,"0")+IFERROR(Y529*1,"0")+IFERROR(Y533*1,"0")+IFERROR(Y537*1,"0")+IFERROR(Y538*1,"0")</f>
        <v>162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7,00"/>
        <filter val="1 402,30"/>
        <filter val="1 648,00"/>
        <filter val="1 682,00"/>
        <filter val="1 943,00"/>
        <filter val="1,59"/>
        <filter val="10,00"/>
        <filter val="10,11"/>
        <filter val="10,31"/>
        <filter val="10,67"/>
        <filter val="100,00"/>
        <filter val="11,00"/>
        <filter val="112,13"/>
        <filter val="12,07"/>
        <filter val="123,00"/>
        <filter val="13,00"/>
        <filter val="14"/>
        <filter val="14,00"/>
        <filter val="142,00"/>
        <filter val="15,00"/>
        <filter val="153,00"/>
        <filter val="154,00"/>
        <filter val="155,00"/>
        <filter val="160,00"/>
        <filter val="17,22"/>
        <filter val="177,20"/>
        <filter val="177,73"/>
        <filter val="178,00"/>
        <filter val="189,00"/>
        <filter val="193,00"/>
        <filter val="2 666,00"/>
        <filter val="2,00"/>
        <filter val="20,00"/>
        <filter val="20,45"/>
        <filter val="200,00"/>
        <filter val="23,00"/>
        <filter val="237,00"/>
        <filter val="24,74"/>
        <filter val="249,00"/>
        <filter val="25,00"/>
        <filter val="250,00"/>
        <filter val="26,00"/>
        <filter val="262,00"/>
        <filter val="28,00"/>
        <filter val="29,17"/>
        <filter val="30,00"/>
        <filter val="300,00"/>
        <filter val="31,25"/>
        <filter val="31,42"/>
        <filter val="33,00"/>
        <filter val="34,00"/>
        <filter val="35,00"/>
        <filter val="363,00"/>
        <filter val="4,00"/>
        <filter val="40,00"/>
        <filter val="41,00"/>
        <filter val="427,35"/>
        <filter val="45,00"/>
        <filter val="46,00"/>
        <filter val="46,11"/>
        <filter val="5,32"/>
        <filter val="5,56"/>
        <filter val="50,00"/>
        <filter val="53,09"/>
        <filter val="53,57"/>
        <filter val="54,00"/>
        <filter val="548,00"/>
        <filter val="6,50"/>
        <filter val="60,00"/>
        <filter val="600,00"/>
        <filter val="7,00"/>
        <filter val="71,00"/>
        <filter val="723,00"/>
        <filter val="73,00"/>
        <filter val="75,00"/>
        <filter val="8 402,00"/>
        <filter val="8 815,26"/>
        <filter val="8,73"/>
        <filter val="83,00"/>
        <filter val="86,00"/>
        <filter val="88,00"/>
        <filter val="9 165,26"/>
        <filter val="90,00"/>
        <filter val="92,00"/>
        <filter val="95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