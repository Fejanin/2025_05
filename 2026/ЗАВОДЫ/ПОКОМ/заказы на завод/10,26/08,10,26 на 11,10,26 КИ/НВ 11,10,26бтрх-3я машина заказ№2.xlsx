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8EF31FA-88D1-4D47-BF4A-7B2FAB31271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AC568" i="2" s="1"/>
  <c r="P555" i="2"/>
  <c r="X552" i="2"/>
  <c r="X551" i="2"/>
  <c r="BO550" i="2"/>
  <c r="BM550" i="2"/>
  <c r="Y550" i="2"/>
  <c r="BP550" i="2" s="1"/>
  <c r="P550" i="2"/>
  <c r="BO549" i="2"/>
  <c r="BM549" i="2"/>
  <c r="Y549" i="2"/>
  <c r="P549" i="2"/>
  <c r="X547" i="2"/>
  <c r="X546" i="2"/>
  <c r="BO545" i="2"/>
  <c r="BM545" i="2"/>
  <c r="Y545" i="2"/>
  <c r="P545" i="2"/>
  <c r="X543" i="2"/>
  <c r="X542" i="2"/>
  <c r="BO541" i="2"/>
  <c r="BM541" i="2"/>
  <c r="Y541" i="2"/>
  <c r="Z541" i="2" s="1"/>
  <c r="Z542" i="2" s="1"/>
  <c r="P541" i="2"/>
  <c r="X539" i="2"/>
  <c r="X538" i="2"/>
  <c r="BO537" i="2"/>
  <c r="BM537" i="2"/>
  <c r="Y537" i="2"/>
  <c r="BN537" i="2" s="1"/>
  <c r="P537" i="2"/>
  <c r="X535" i="2"/>
  <c r="X534" i="2"/>
  <c r="BO533" i="2"/>
  <c r="BM533" i="2"/>
  <c r="Y533" i="2"/>
  <c r="Y534" i="2" s="1"/>
  <c r="P533" i="2"/>
  <c r="X529" i="2"/>
  <c r="X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P523" i="2"/>
  <c r="BO522" i="2"/>
  <c r="BM522" i="2"/>
  <c r="Y522" i="2"/>
  <c r="Z522" i="2" s="1"/>
  <c r="P522" i="2"/>
  <c r="BO521" i="2"/>
  <c r="BM521" i="2"/>
  <c r="Y521" i="2"/>
  <c r="BP521" i="2" s="1"/>
  <c r="P521" i="2"/>
  <c r="X519" i="2"/>
  <c r="X518" i="2"/>
  <c r="BO517" i="2"/>
  <c r="BM517" i="2"/>
  <c r="Y517" i="2"/>
  <c r="BN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X513" i="2"/>
  <c r="X512" i="2"/>
  <c r="BO511" i="2"/>
  <c r="BM511" i="2"/>
  <c r="Y511" i="2"/>
  <c r="P511" i="2"/>
  <c r="BO510" i="2"/>
  <c r="BM510" i="2"/>
  <c r="Y510" i="2"/>
  <c r="BN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P503" i="2"/>
  <c r="X499" i="2"/>
  <c r="X498" i="2"/>
  <c r="BO497" i="2"/>
  <c r="BM497" i="2"/>
  <c r="Y497" i="2"/>
  <c r="P497" i="2"/>
  <c r="BO496" i="2"/>
  <c r="BM496" i="2"/>
  <c r="Y496" i="2"/>
  <c r="BP496" i="2" s="1"/>
  <c r="P496" i="2"/>
  <c r="BO495" i="2"/>
  <c r="BM495" i="2"/>
  <c r="Y495" i="2"/>
  <c r="P495" i="2"/>
  <c r="X493" i="2"/>
  <c r="X492" i="2"/>
  <c r="BO491" i="2"/>
  <c r="BM491" i="2"/>
  <c r="Y491" i="2"/>
  <c r="Z491" i="2" s="1"/>
  <c r="Z492" i="2" s="1"/>
  <c r="P491" i="2"/>
  <c r="X488" i="2"/>
  <c r="X487" i="2"/>
  <c r="BO486" i="2"/>
  <c r="BM486" i="2"/>
  <c r="Y486" i="2"/>
  <c r="BP486" i="2" s="1"/>
  <c r="P486" i="2"/>
  <c r="BO485" i="2"/>
  <c r="BM485" i="2"/>
  <c r="Y485" i="2"/>
  <c r="P485" i="2"/>
  <c r="X483" i="2"/>
  <c r="X482" i="2"/>
  <c r="BO481" i="2"/>
  <c r="BM481" i="2"/>
  <c r="Y481" i="2"/>
  <c r="BP481" i="2" s="1"/>
  <c r="P481" i="2"/>
  <c r="BO480" i="2"/>
  <c r="BM480" i="2"/>
  <c r="Y480" i="2"/>
  <c r="BP480" i="2" s="1"/>
  <c r="P480" i="2"/>
  <c r="BO479" i="2"/>
  <c r="BM479" i="2"/>
  <c r="Y479" i="2"/>
  <c r="P479" i="2"/>
  <c r="BO478" i="2"/>
  <c r="BM478" i="2"/>
  <c r="Y478" i="2"/>
  <c r="BP478" i="2" s="1"/>
  <c r="P478" i="2"/>
  <c r="BO477" i="2"/>
  <c r="BM477" i="2"/>
  <c r="Y477" i="2"/>
  <c r="P477" i="2"/>
  <c r="BO476" i="2"/>
  <c r="BM476" i="2"/>
  <c r="Y476" i="2"/>
  <c r="P476" i="2"/>
  <c r="X472" i="2"/>
  <c r="X471" i="2"/>
  <c r="BO470" i="2"/>
  <c r="BM470" i="2"/>
  <c r="Y470" i="2"/>
  <c r="BN470" i="2" s="1"/>
  <c r="P470" i="2"/>
  <c r="BO469" i="2"/>
  <c r="BM469" i="2"/>
  <c r="Y469" i="2"/>
  <c r="BP469" i="2" s="1"/>
  <c r="P469" i="2"/>
  <c r="BO468" i="2"/>
  <c r="BM468" i="2"/>
  <c r="Y468" i="2"/>
  <c r="P468" i="2"/>
  <c r="X466" i="2"/>
  <c r="X465" i="2"/>
  <c r="BO464" i="2"/>
  <c r="BM464" i="2"/>
  <c r="Y464" i="2"/>
  <c r="P464" i="2"/>
  <c r="X462" i="2"/>
  <c r="X461" i="2"/>
  <c r="BO460" i="2"/>
  <c r="BM460" i="2"/>
  <c r="Y460" i="2"/>
  <c r="Z460" i="2" s="1"/>
  <c r="P460" i="2"/>
  <c r="BO459" i="2"/>
  <c r="BM459" i="2"/>
  <c r="Y459" i="2"/>
  <c r="BN459" i="2" s="1"/>
  <c r="P459" i="2"/>
  <c r="X456" i="2"/>
  <c r="X455" i="2"/>
  <c r="BO454" i="2"/>
  <c r="BM454" i="2"/>
  <c r="Y454" i="2"/>
  <c r="P454" i="2"/>
  <c r="BO453" i="2"/>
  <c r="BM453" i="2"/>
  <c r="Y453" i="2"/>
  <c r="BP453" i="2" s="1"/>
  <c r="P453" i="2"/>
  <c r="X451" i="2"/>
  <c r="X450" i="2"/>
  <c r="BO449" i="2"/>
  <c r="BM449" i="2"/>
  <c r="Y449" i="2"/>
  <c r="P449" i="2"/>
  <c r="BO448" i="2"/>
  <c r="BM448" i="2"/>
  <c r="Y448" i="2"/>
  <c r="BP448" i="2" s="1"/>
  <c r="P448" i="2"/>
  <c r="BO447" i="2"/>
  <c r="BM447" i="2"/>
  <c r="Y447" i="2"/>
  <c r="P447" i="2"/>
  <c r="X445" i="2"/>
  <c r="X444" i="2"/>
  <c r="BO443" i="2"/>
  <c r="BM443" i="2"/>
  <c r="Y443" i="2"/>
  <c r="BN443" i="2" s="1"/>
  <c r="P443" i="2"/>
  <c r="BO442" i="2"/>
  <c r="BM442" i="2"/>
  <c r="Y442" i="2"/>
  <c r="P442" i="2"/>
  <c r="BO441" i="2"/>
  <c r="BM441" i="2"/>
  <c r="Y441" i="2"/>
  <c r="Z441" i="2" s="1"/>
  <c r="P441" i="2"/>
  <c r="X439" i="2"/>
  <c r="X438" i="2"/>
  <c r="BO437" i="2"/>
  <c r="BM437" i="2"/>
  <c r="Y437" i="2"/>
  <c r="Z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Z434" i="2" s="1"/>
  <c r="P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X426" i="2"/>
  <c r="X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Z422" i="2" s="1"/>
  <c r="P422" i="2"/>
  <c r="X419" i="2"/>
  <c r="X418" i="2"/>
  <c r="BO417" i="2"/>
  <c r="BM417" i="2"/>
  <c r="Y417" i="2"/>
  <c r="P417" i="2"/>
  <c r="BO416" i="2"/>
  <c r="BM416" i="2"/>
  <c r="Y416" i="2"/>
  <c r="P416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P409" i="2"/>
  <c r="X407" i="2"/>
  <c r="X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Z403" i="2" s="1"/>
  <c r="P403" i="2"/>
  <c r="X401" i="2"/>
  <c r="X400" i="2"/>
  <c r="BO399" i="2"/>
  <c r="BM399" i="2"/>
  <c r="Y399" i="2"/>
  <c r="BP399" i="2" s="1"/>
  <c r="P399" i="2"/>
  <c r="BO398" i="2"/>
  <c r="BM398" i="2"/>
  <c r="Y398" i="2"/>
  <c r="Z398" i="2" s="1"/>
  <c r="P398" i="2"/>
  <c r="BO397" i="2"/>
  <c r="BM397" i="2"/>
  <c r="Y397" i="2"/>
  <c r="BP397" i="2" s="1"/>
  <c r="P397" i="2"/>
  <c r="BO396" i="2"/>
  <c r="BM396" i="2"/>
  <c r="Y396" i="2"/>
  <c r="BP396" i="2" s="1"/>
  <c r="P396" i="2"/>
  <c r="X394" i="2"/>
  <c r="X393" i="2"/>
  <c r="BO392" i="2"/>
  <c r="BM392" i="2"/>
  <c r="Y392" i="2"/>
  <c r="BP392" i="2" s="1"/>
  <c r="P392" i="2"/>
  <c r="BO391" i="2"/>
  <c r="BM391" i="2"/>
  <c r="Y391" i="2"/>
  <c r="BN391" i="2" s="1"/>
  <c r="P391" i="2"/>
  <c r="BO390" i="2"/>
  <c r="BM390" i="2"/>
  <c r="Y390" i="2"/>
  <c r="P390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X381" i="2"/>
  <c r="X380" i="2"/>
  <c r="BO379" i="2"/>
  <c r="BM379" i="2"/>
  <c r="Y379" i="2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X371" i="2"/>
  <c r="X370" i="2"/>
  <c r="BO369" i="2"/>
  <c r="BM369" i="2"/>
  <c r="Y369" i="2"/>
  <c r="BN369" i="2" s="1"/>
  <c r="P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N351" i="2" s="1"/>
  <c r="P351" i="2"/>
  <c r="BO350" i="2"/>
  <c r="BM350" i="2"/>
  <c r="Y350" i="2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Z344" i="2" s="1"/>
  <c r="P344" i="2"/>
  <c r="BO343" i="2"/>
  <c r="BM343" i="2"/>
  <c r="Y343" i="2"/>
  <c r="BN343" i="2" s="1"/>
  <c r="P343" i="2"/>
  <c r="X340" i="2"/>
  <c r="X339" i="2"/>
  <c r="BO338" i="2"/>
  <c r="BM338" i="2"/>
  <c r="Y338" i="2"/>
  <c r="P338" i="2"/>
  <c r="BO337" i="2"/>
  <c r="BM337" i="2"/>
  <c r="Y337" i="2"/>
  <c r="Z337" i="2" s="1"/>
  <c r="P337" i="2"/>
  <c r="BO336" i="2"/>
  <c r="BM336" i="2"/>
  <c r="Y336" i="2"/>
  <c r="Y339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P317" i="2"/>
  <c r="X315" i="2"/>
  <c r="X314" i="2"/>
  <c r="BO313" i="2"/>
  <c r="BM313" i="2"/>
  <c r="Y313" i="2"/>
  <c r="Y314" i="2" s="1"/>
  <c r="P313" i="2"/>
  <c r="X311" i="2"/>
  <c r="X310" i="2"/>
  <c r="BO309" i="2"/>
  <c r="BM309" i="2"/>
  <c r="Y309" i="2"/>
  <c r="BP309" i="2" s="1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BO303" i="2"/>
  <c r="BM303" i="2"/>
  <c r="Y303" i="2"/>
  <c r="BP303" i="2" s="1"/>
  <c r="P303" i="2"/>
  <c r="X300" i="2"/>
  <c r="X299" i="2"/>
  <c r="BO298" i="2"/>
  <c r="BM298" i="2"/>
  <c r="Y298" i="2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N291" i="2" s="1"/>
  <c r="P291" i="2"/>
  <c r="BO290" i="2"/>
  <c r="BM290" i="2"/>
  <c r="Y290" i="2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P285" i="2" s="1"/>
  <c r="P285" i="2"/>
  <c r="BO284" i="2"/>
  <c r="BM284" i="2"/>
  <c r="Y284" i="2"/>
  <c r="P284" i="2"/>
  <c r="BO283" i="2"/>
  <c r="BM283" i="2"/>
  <c r="Y283" i="2"/>
  <c r="P283" i="2"/>
  <c r="BO282" i="2"/>
  <c r="BM282" i="2"/>
  <c r="Y282" i="2"/>
  <c r="BP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8" i="2" s="1"/>
  <c r="P256" i="2"/>
  <c r="X254" i="2"/>
  <c r="X253" i="2"/>
  <c r="BO252" i="2"/>
  <c r="BM252" i="2"/>
  <c r="Y252" i="2"/>
  <c r="BP252" i="2" s="1"/>
  <c r="P252" i="2"/>
  <c r="BO251" i="2"/>
  <c r="BM251" i="2"/>
  <c r="Y251" i="2"/>
  <c r="Z251" i="2" s="1"/>
  <c r="P251" i="2"/>
  <c r="BO250" i="2"/>
  <c r="BM250" i="2"/>
  <c r="Y250" i="2"/>
  <c r="Y253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Z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BO229" i="2"/>
  <c r="BM229" i="2"/>
  <c r="Y229" i="2"/>
  <c r="BN229" i="2" s="1"/>
  <c r="P229" i="2"/>
  <c r="BO228" i="2"/>
  <c r="BM228" i="2"/>
  <c r="Y228" i="2"/>
  <c r="Z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BN217" i="2" s="1"/>
  <c r="P217" i="2"/>
  <c r="X214" i="2"/>
  <c r="X213" i="2"/>
  <c r="BO212" i="2"/>
  <c r="BM212" i="2"/>
  <c r="Y212" i="2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2" i="2"/>
  <c r="X201" i="2"/>
  <c r="BO200" i="2"/>
  <c r="BM200" i="2"/>
  <c r="Y200" i="2"/>
  <c r="BN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N192" i="2" s="1"/>
  <c r="P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X174" i="2"/>
  <c r="X173" i="2"/>
  <c r="BO172" i="2"/>
  <c r="BM172" i="2"/>
  <c r="Y172" i="2"/>
  <c r="P172" i="2"/>
  <c r="BO171" i="2"/>
  <c r="BM171" i="2"/>
  <c r="Y171" i="2"/>
  <c r="Y174" i="2" s="1"/>
  <c r="P171" i="2"/>
  <c r="X169" i="2"/>
  <c r="X168" i="2"/>
  <c r="BO167" i="2"/>
  <c r="BM167" i="2"/>
  <c r="Y167" i="2"/>
  <c r="BP167" i="2" s="1"/>
  <c r="P167" i="2"/>
  <c r="BO166" i="2"/>
  <c r="BM166" i="2"/>
  <c r="Y166" i="2"/>
  <c r="BP166" i="2" s="1"/>
  <c r="P166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Y160" i="2" s="1"/>
  <c r="P159" i="2"/>
  <c r="X157" i="2"/>
  <c r="X156" i="2"/>
  <c r="BO155" i="2"/>
  <c r="BM155" i="2"/>
  <c r="Y155" i="2"/>
  <c r="BN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P152" i="2"/>
  <c r="BO151" i="2"/>
  <c r="BM151" i="2"/>
  <c r="Y151" i="2"/>
  <c r="BP151" i="2" s="1"/>
  <c r="P151" i="2"/>
  <c r="BO150" i="2"/>
  <c r="BM150" i="2"/>
  <c r="Y150" i="2"/>
  <c r="BP150" i="2" s="1"/>
  <c r="P150" i="2"/>
  <c r="X147" i="2"/>
  <c r="X146" i="2"/>
  <c r="BO145" i="2"/>
  <c r="BM145" i="2"/>
  <c r="Y145" i="2"/>
  <c r="BN145" i="2" s="1"/>
  <c r="P145" i="2"/>
  <c r="BO144" i="2"/>
  <c r="BM144" i="2"/>
  <c r="Y144" i="2"/>
  <c r="Y146" i="2" s="1"/>
  <c r="P144" i="2"/>
  <c r="X142" i="2"/>
  <c r="X141" i="2"/>
  <c r="BO140" i="2"/>
  <c r="BM140" i="2"/>
  <c r="Y140" i="2"/>
  <c r="BN140" i="2" s="1"/>
  <c r="P140" i="2"/>
  <c r="BO139" i="2"/>
  <c r="BM139" i="2"/>
  <c r="Y139" i="2"/>
  <c r="Z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P104" i="2"/>
  <c r="X101" i="2"/>
  <c r="X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X84" i="2"/>
  <c r="X83" i="2"/>
  <c r="BO82" i="2"/>
  <c r="BM82" i="2"/>
  <c r="Y82" i="2"/>
  <c r="Z82" i="2" s="1"/>
  <c r="P82" i="2"/>
  <c r="BO81" i="2"/>
  <c r="BM81" i="2"/>
  <c r="Y81" i="2"/>
  <c r="BP81" i="2" s="1"/>
  <c r="P81" i="2"/>
  <c r="BO80" i="2"/>
  <c r="BM80" i="2"/>
  <c r="Y80" i="2"/>
  <c r="BP80" i="2" s="1"/>
  <c r="P80" i="2"/>
  <c r="X78" i="2"/>
  <c r="X77" i="2"/>
  <c r="BO76" i="2"/>
  <c r="BM76" i="2"/>
  <c r="Y76" i="2"/>
  <c r="BP76" i="2" s="1"/>
  <c r="P76" i="2"/>
  <c r="BO75" i="2"/>
  <c r="BM75" i="2"/>
  <c r="Y75" i="2"/>
  <c r="Y77" i="2" s="1"/>
  <c r="P75" i="2"/>
  <c r="X73" i="2"/>
  <c r="X72" i="2"/>
  <c r="BO71" i="2"/>
  <c r="BM71" i="2"/>
  <c r="Y71" i="2"/>
  <c r="BP71" i="2" s="1"/>
  <c r="P71" i="2"/>
  <c r="BO70" i="2"/>
  <c r="BM70" i="2"/>
  <c r="Y70" i="2"/>
  <c r="P70" i="2"/>
  <c r="BO69" i="2"/>
  <c r="BM69" i="2"/>
  <c r="Y69" i="2"/>
  <c r="BN69" i="2" s="1"/>
  <c r="P69" i="2"/>
  <c r="BO68" i="2"/>
  <c r="BM68" i="2"/>
  <c r="Y68" i="2"/>
  <c r="BN68" i="2" s="1"/>
  <c r="P68" i="2"/>
  <c r="BO67" i="2"/>
  <c r="BM67" i="2"/>
  <c r="Y67" i="2"/>
  <c r="BN67" i="2" s="1"/>
  <c r="P67" i="2"/>
  <c r="X65" i="2"/>
  <c r="X64" i="2"/>
  <c r="BO63" i="2"/>
  <c r="BM63" i="2"/>
  <c r="Y63" i="2"/>
  <c r="P63" i="2"/>
  <c r="BO62" i="2"/>
  <c r="BM62" i="2"/>
  <c r="Y62" i="2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F10" i="2" s="1"/>
  <c r="D7" i="2"/>
  <c r="Q6" i="2"/>
  <c r="P2" i="2"/>
  <c r="Y487" i="2" l="1"/>
  <c r="BP129" i="2"/>
  <c r="Z287" i="2"/>
  <c r="Z227" i="2"/>
  <c r="BN227" i="2"/>
  <c r="Z459" i="2"/>
  <c r="Z461" i="2" s="1"/>
  <c r="Z68" i="2"/>
  <c r="Z246" i="2"/>
  <c r="Z364" i="2"/>
  <c r="Z209" i="2"/>
  <c r="BN209" i="2"/>
  <c r="Z50" i="2"/>
  <c r="BN50" i="2"/>
  <c r="Z150" i="2"/>
  <c r="BN150" i="2"/>
  <c r="Z186" i="2"/>
  <c r="Z273" i="2"/>
  <c r="Z304" i="2"/>
  <c r="BN304" i="2"/>
  <c r="BP307" i="2"/>
  <c r="Z383" i="2"/>
  <c r="BN383" i="2"/>
  <c r="Z431" i="2"/>
  <c r="Z480" i="2"/>
  <c r="Z525" i="2"/>
  <c r="BN525" i="2"/>
  <c r="Z533" i="2"/>
  <c r="Z534" i="2" s="1"/>
  <c r="X559" i="2"/>
  <c r="Z59" i="2"/>
  <c r="Z135" i="2"/>
  <c r="BN135" i="2"/>
  <c r="BP140" i="2"/>
  <c r="Z155" i="2"/>
  <c r="Z178" i="2"/>
  <c r="BN178" i="2"/>
  <c r="BP196" i="2"/>
  <c r="Y197" i="2"/>
  <c r="BP200" i="2"/>
  <c r="Y218" i="2"/>
  <c r="BP229" i="2"/>
  <c r="Z343" i="2"/>
  <c r="Z369" i="2"/>
  <c r="Z443" i="2"/>
  <c r="Z470" i="2"/>
  <c r="BP510" i="2"/>
  <c r="Z537" i="2"/>
  <c r="Z538" i="2" s="1"/>
  <c r="BN23" i="2"/>
  <c r="BN57" i="2"/>
  <c r="Z62" i="2"/>
  <c r="BN62" i="2"/>
  <c r="BN63" i="2"/>
  <c r="BP63" i="2"/>
  <c r="BN80" i="2"/>
  <c r="BN91" i="2"/>
  <c r="BP97" i="2"/>
  <c r="BN97" i="2"/>
  <c r="Z97" i="2"/>
  <c r="BN99" i="2"/>
  <c r="BN116" i="2"/>
  <c r="BN180" i="2"/>
  <c r="BN228" i="2"/>
  <c r="BN232" i="2"/>
  <c r="BP241" i="2"/>
  <c r="Z241" i="2"/>
  <c r="Y263" i="2"/>
  <c r="BN275" i="2"/>
  <c r="BP283" i="2"/>
  <c r="BN283" i="2"/>
  <c r="Z283" i="2"/>
  <c r="BN286" i="2"/>
  <c r="BP286" i="2"/>
  <c r="BN346" i="2"/>
  <c r="Z346" i="2"/>
  <c r="BN367" i="2"/>
  <c r="BP373" i="2"/>
  <c r="Z373" i="2"/>
  <c r="BN379" i="2"/>
  <c r="Z379" i="2"/>
  <c r="BN386" i="2"/>
  <c r="BP386" i="2"/>
  <c r="BN432" i="2"/>
  <c r="Y451" i="2"/>
  <c r="Z447" i="2"/>
  <c r="BN449" i="2"/>
  <c r="Z449" i="2"/>
  <c r="BP476" i="2"/>
  <c r="BN476" i="2"/>
  <c r="Z476" i="2"/>
  <c r="BN479" i="2"/>
  <c r="BP479" i="2"/>
  <c r="Y499" i="2"/>
  <c r="Z495" i="2"/>
  <c r="BN497" i="2"/>
  <c r="Z497" i="2"/>
  <c r="BN507" i="2"/>
  <c r="Z507" i="2"/>
  <c r="BN509" i="2"/>
  <c r="Z509" i="2"/>
  <c r="BN521" i="2"/>
  <c r="BN524" i="2"/>
  <c r="BP524" i="2"/>
  <c r="X558" i="2"/>
  <c r="BN27" i="2"/>
  <c r="BP28" i="2"/>
  <c r="BN29" i="2"/>
  <c r="Z30" i="2"/>
  <c r="BN38" i="2"/>
  <c r="BP40" i="2"/>
  <c r="BN41" i="2"/>
  <c r="Y51" i="2"/>
  <c r="BN71" i="2"/>
  <c r="Z71" i="2"/>
  <c r="BP88" i="2"/>
  <c r="Z88" i="2"/>
  <c r="BN110" i="2"/>
  <c r="BN123" i="2"/>
  <c r="BN134" i="2"/>
  <c r="Y136" i="2"/>
  <c r="BP134" i="2"/>
  <c r="BN139" i="2"/>
  <c r="BN144" i="2"/>
  <c r="BN152" i="2"/>
  <c r="Z152" i="2"/>
  <c r="BP165" i="2"/>
  <c r="Z165" i="2"/>
  <c r="BP172" i="2"/>
  <c r="BN172" i="2"/>
  <c r="Z172" i="2"/>
  <c r="BN185" i="2"/>
  <c r="BN208" i="2"/>
  <c r="BP208" i="2"/>
  <c r="BN212" i="2"/>
  <c r="BP212" i="2"/>
  <c r="BN224" i="2"/>
  <c r="Z224" i="2"/>
  <c r="BN252" i="2"/>
  <c r="BP290" i="2"/>
  <c r="Z290" i="2"/>
  <c r="BP308" i="2"/>
  <c r="Z308" i="2"/>
  <c r="BP327" i="2"/>
  <c r="Z327" i="2"/>
  <c r="BP338" i="2"/>
  <c r="Z338" i="2"/>
  <c r="BP346" i="2"/>
  <c r="BN356" i="2"/>
  <c r="Z356" i="2"/>
  <c r="Y407" i="2"/>
  <c r="BP409" i="2"/>
  <c r="BN409" i="2"/>
  <c r="Z409" i="2"/>
  <c r="BP417" i="2"/>
  <c r="Z417" i="2"/>
  <c r="Y465" i="2"/>
  <c r="Z464" i="2"/>
  <c r="Z465" i="2" s="1"/>
  <c r="BN486" i="2"/>
  <c r="BN511" i="2"/>
  <c r="Z511" i="2"/>
  <c r="BN549" i="2"/>
  <c r="Z549" i="2"/>
  <c r="BN87" i="2"/>
  <c r="BN105" i="2"/>
  <c r="BN112" i="2"/>
  <c r="Y119" i="2"/>
  <c r="BN118" i="2"/>
  <c r="Y127" i="2"/>
  <c r="BP155" i="2"/>
  <c r="BN167" i="2"/>
  <c r="BN183" i="2"/>
  <c r="BN211" i="2"/>
  <c r="BN242" i="2"/>
  <c r="BP246" i="2"/>
  <c r="BN313" i="2"/>
  <c r="BN329" i="2"/>
  <c r="BN375" i="2"/>
  <c r="BN385" i="2"/>
  <c r="Y394" i="2"/>
  <c r="BN390" i="2"/>
  <c r="BN396" i="2"/>
  <c r="BN398" i="2"/>
  <c r="BN424" i="2"/>
  <c r="BN434" i="2"/>
  <c r="BN448" i="2"/>
  <c r="BP459" i="2"/>
  <c r="BN460" i="2"/>
  <c r="Y492" i="2"/>
  <c r="BN496" i="2"/>
  <c r="BN505" i="2"/>
  <c r="BN508" i="2"/>
  <c r="Y519" i="2"/>
  <c r="J9" i="2"/>
  <c r="BP39" i="2"/>
  <c r="BP48" i="2"/>
  <c r="BP223" i="2"/>
  <c r="BP297" i="2"/>
  <c r="Z297" i="2"/>
  <c r="BN297" i="2"/>
  <c r="Y319" i="2"/>
  <c r="BP317" i="2"/>
  <c r="Z317" i="2"/>
  <c r="Z318" i="2" s="1"/>
  <c r="Y318" i="2"/>
  <c r="BN317" i="2"/>
  <c r="BN411" i="2"/>
  <c r="Z411" i="2"/>
  <c r="BN433" i="2"/>
  <c r="Z433" i="2"/>
  <c r="Y482" i="2"/>
  <c r="Z477" i="2"/>
  <c r="BP523" i="2"/>
  <c r="BN523" i="2"/>
  <c r="A10" i="2"/>
  <c r="Y25" i="2"/>
  <c r="Y32" i="2"/>
  <c r="Y42" i="2"/>
  <c r="Z48" i="2"/>
  <c r="Z56" i="2"/>
  <c r="Z58" i="2"/>
  <c r="Z61" i="2"/>
  <c r="BP61" i="2"/>
  <c r="Z67" i="2"/>
  <c r="BP67" i="2"/>
  <c r="BP69" i="2"/>
  <c r="Y93" i="2"/>
  <c r="BP106" i="2"/>
  <c r="Z108" i="2"/>
  <c r="BP122" i="2"/>
  <c r="Z125" i="2"/>
  <c r="BP125" i="2"/>
  <c r="Z145" i="2"/>
  <c r="BP154" i="2"/>
  <c r="Z177" i="2"/>
  <c r="BP179" i="2"/>
  <c r="Z182" i="2"/>
  <c r="BP182" i="2"/>
  <c r="Y188" i="2"/>
  <c r="K568" i="2"/>
  <c r="BP206" i="2"/>
  <c r="Z206" i="2"/>
  <c r="Z223" i="2"/>
  <c r="BP230" i="2"/>
  <c r="BN230" i="2"/>
  <c r="BP267" i="2"/>
  <c r="Z267" i="2"/>
  <c r="BN267" i="2"/>
  <c r="BP277" i="2"/>
  <c r="Z277" i="2"/>
  <c r="BN277" i="2"/>
  <c r="BN293" i="2"/>
  <c r="Z293" i="2"/>
  <c r="BP305" i="2"/>
  <c r="Z305" i="2"/>
  <c r="Y352" i="2"/>
  <c r="BP350" i="2"/>
  <c r="BP363" i="2"/>
  <c r="Z363" i="2"/>
  <c r="BN363" i="2"/>
  <c r="BP384" i="2"/>
  <c r="Z384" i="2"/>
  <c r="BP442" i="2"/>
  <c r="Z442" i="2"/>
  <c r="BN442" i="2"/>
  <c r="BN454" i="2"/>
  <c r="BP454" i="2"/>
  <c r="BP58" i="2"/>
  <c r="BP145" i="2"/>
  <c r="Y147" i="2"/>
  <c r="BP177" i="2"/>
  <c r="BP377" i="2"/>
  <c r="Z377" i="2"/>
  <c r="BN377" i="2"/>
  <c r="X560" i="2"/>
  <c r="Z23" i="2"/>
  <c r="X562" i="2"/>
  <c r="BN31" i="2"/>
  <c r="Z38" i="2"/>
  <c r="BN39" i="2"/>
  <c r="D568" i="2"/>
  <c r="BP47" i="2"/>
  <c r="Y52" i="2"/>
  <c r="Z57" i="2"/>
  <c r="BP59" i="2"/>
  <c r="Z69" i="2"/>
  <c r="Z76" i="2"/>
  <c r="Z80" i="2"/>
  <c r="Z87" i="2"/>
  <c r="BN89" i="2"/>
  <c r="Y101" i="2"/>
  <c r="Z98" i="2"/>
  <c r="G568" i="2"/>
  <c r="BP107" i="2"/>
  <c r="Z112" i="2"/>
  <c r="BP116" i="2"/>
  <c r="Z118" i="2"/>
  <c r="Z122" i="2"/>
  <c r="Y130" i="2"/>
  <c r="Z144" i="2"/>
  <c r="BP144" i="2"/>
  <c r="I568" i="2"/>
  <c r="BP152" i="2"/>
  <c r="Z154" i="2"/>
  <c r="J568" i="2"/>
  <c r="BN165" i="2"/>
  <c r="Z166" i="2"/>
  <c r="BP176" i="2"/>
  <c r="Z179" i="2"/>
  <c r="Z185" i="2"/>
  <c r="Z207" i="2"/>
  <c r="BN207" i="2"/>
  <c r="Z210" i="2"/>
  <c r="L568" i="2"/>
  <c r="Y219" i="2"/>
  <c r="BP217" i="2"/>
  <c r="Z217" i="2"/>
  <c r="Z218" i="2" s="1"/>
  <c r="Y236" i="2"/>
  <c r="Y235" i="2"/>
  <c r="Z230" i="2"/>
  <c r="BP231" i="2"/>
  <c r="Z231" i="2"/>
  <c r="Z238" i="2"/>
  <c r="BN238" i="2"/>
  <c r="BN243" i="2"/>
  <c r="BP243" i="2"/>
  <c r="BP244" i="2"/>
  <c r="Z244" i="2"/>
  <c r="BP284" i="2"/>
  <c r="Z284" i="2"/>
  <c r="Y310" i="2"/>
  <c r="BN303" i="2"/>
  <c r="Y353" i="2"/>
  <c r="BN358" i="2"/>
  <c r="Z358" i="2"/>
  <c r="BN366" i="2"/>
  <c r="BP366" i="2"/>
  <c r="Z392" i="2"/>
  <c r="BN392" i="2"/>
  <c r="BN397" i="2"/>
  <c r="Z397" i="2"/>
  <c r="BP436" i="2"/>
  <c r="Z436" i="2"/>
  <c r="BN436" i="2"/>
  <c r="Y546" i="2"/>
  <c r="Z545" i="2"/>
  <c r="Z546" i="2" s="1"/>
  <c r="BN545" i="2"/>
  <c r="BP22" i="2"/>
  <c r="Y24" i="2"/>
  <c r="BP27" i="2"/>
  <c r="Y33" i="2"/>
  <c r="E568" i="2"/>
  <c r="BP62" i="2"/>
  <c r="BP68" i="2"/>
  <c r="Y73" i="2"/>
  <c r="BP75" i="2"/>
  <c r="Y78" i="2"/>
  <c r="Z91" i="2"/>
  <c r="Y100" i="2"/>
  <c r="Z105" i="2"/>
  <c r="BN106" i="2"/>
  <c r="BN108" i="2"/>
  <c r="Z109" i="2"/>
  <c r="BP111" i="2"/>
  <c r="Y113" i="2"/>
  <c r="BP117" i="2"/>
  <c r="BP139" i="2"/>
  <c r="Y142" i="2"/>
  <c r="BN151" i="2"/>
  <c r="BP153" i="2"/>
  <c r="Y168" i="2"/>
  <c r="BP184" i="2"/>
  <c r="BP190" i="2"/>
  <c r="BN190" i="2"/>
  <c r="Y194" i="2"/>
  <c r="BP192" i="2"/>
  <c r="Z192" i="2"/>
  <c r="BN206" i="2"/>
  <c r="BN222" i="2"/>
  <c r="Z222" i="2"/>
  <c r="Z225" i="2"/>
  <c r="BN225" i="2"/>
  <c r="BP234" i="2"/>
  <c r="BN234" i="2"/>
  <c r="BP240" i="2"/>
  <c r="BN240" i="2"/>
  <c r="BP250" i="2"/>
  <c r="Z250" i="2"/>
  <c r="BN250" i="2"/>
  <c r="Y294" i="2"/>
  <c r="BN282" i="2"/>
  <c r="BP331" i="2"/>
  <c r="Z331" i="2"/>
  <c r="BN331" i="2"/>
  <c r="BN404" i="2"/>
  <c r="BP404" i="2"/>
  <c r="BP411" i="2"/>
  <c r="BP416" i="2"/>
  <c r="Y419" i="2"/>
  <c r="Z416" i="2"/>
  <c r="Y418" i="2"/>
  <c r="BN416" i="2"/>
  <c r="BP433" i="2"/>
  <c r="BP468" i="2"/>
  <c r="Z468" i="2"/>
  <c r="BN468" i="2"/>
  <c r="BN504" i="2"/>
  <c r="BP504" i="2"/>
  <c r="BP224" i="2"/>
  <c r="BP233" i="2"/>
  <c r="Y247" i="2"/>
  <c r="BP239" i="2"/>
  <c r="Y254" i="2"/>
  <c r="Z261" i="2"/>
  <c r="BP262" i="2"/>
  <c r="BP266" i="2"/>
  <c r="Y268" i="2"/>
  <c r="BN273" i="2"/>
  <c r="Z274" i="2"/>
  <c r="BP276" i="2"/>
  <c r="BN287" i="2"/>
  <c r="Z289" i="2"/>
  <c r="BN290" i="2"/>
  <c r="Z291" i="2"/>
  <c r="BP292" i="2"/>
  <c r="Y299" i="2"/>
  <c r="BN308" i="2"/>
  <c r="Y315" i="2"/>
  <c r="BN327" i="2"/>
  <c r="Z328" i="2"/>
  <c r="BP330" i="2"/>
  <c r="Y332" i="2"/>
  <c r="BN338" i="2"/>
  <c r="Z351" i="2"/>
  <c r="S568" i="2"/>
  <c r="Z367" i="2"/>
  <c r="BN373" i="2"/>
  <c r="Z374" i="2"/>
  <c r="BP376" i="2"/>
  <c r="BP379" i="2"/>
  <c r="Z390" i="2"/>
  <c r="BP390" i="2"/>
  <c r="Z396" i="2"/>
  <c r="BP398" i="2"/>
  <c r="Y406" i="2"/>
  <c r="BP403" i="2"/>
  <c r="Z405" i="2"/>
  <c r="Z424" i="2"/>
  <c r="W568" i="2"/>
  <c r="Z432" i="2"/>
  <c r="BP434" i="2"/>
  <c r="Y445" i="2"/>
  <c r="BP441" i="2"/>
  <c r="Z448" i="2"/>
  <c r="Y466" i="2"/>
  <c r="BP470" i="2"/>
  <c r="BN480" i="2"/>
  <c r="Z486" i="2"/>
  <c r="Z496" i="2"/>
  <c r="Z505" i="2"/>
  <c r="Z508" i="2"/>
  <c r="BP511" i="2"/>
  <c r="BN515" i="2"/>
  <c r="Z517" i="2"/>
  <c r="Z521" i="2"/>
  <c r="BN272" i="2"/>
  <c r="BN285" i="2"/>
  <c r="BN306" i="2"/>
  <c r="BP313" i="2"/>
  <c r="BN337" i="2"/>
  <c r="BP343" i="2"/>
  <c r="BN344" i="2"/>
  <c r="Y348" i="2"/>
  <c r="BP369" i="2"/>
  <c r="BP422" i="2"/>
  <c r="BP431" i="2"/>
  <c r="BP443" i="2"/>
  <c r="BP447" i="2"/>
  <c r="BP449" i="2"/>
  <c r="X568" i="2"/>
  <c r="Y461" i="2"/>
  <c r="BP464" i="2"/>
  <c r="BN478" i="2"/>
  <c r="BP485" i="2"/>
  <c r="BP495" i="2"/>
  <c r="BP497" i="2"/>
  <c r="AA568" i="2"/>
  <c r="BP507" i="2"/>
  <c r="BP509" i="2"/>
  <c r="Y528" i="2"/>
  <c r="BP537" i="2"/>
  <c r="Y539" i="2"/>
  <c r="Y551" i="2"/>
  <c r="Z555" i="2"/>
  <c r="Z556" i="2" s="1"/>
  <c r="BP261" i="2"/>
  <c r="BP272" i="2"/>
  <c r="BP289" i="2"/>
  <c r="BP291" i="2"/>
  <c r="Y333" i="2"/>
  <c r="BP326" i="2"/>
  <c r="BP337" i="2"/>
  <c r="BP344" i="2"/>
  <c r="BP351" i="2"/>
  <c r="BN365" i="2"/>
  <c r="Y400" i="2"/>
  <c r="BP405" i="2"/>
  <c r="BN422" i="2"/>
  <c r="Y426" i="2"/>
  <c r="BN437" i="2"/>
  <c r="BN453" i="2"/>
  <c r="Y462" i="2"/>
  <c r="BN485" i="2"/>
  <c r="Z568" i="2"/>
  <c r="BP491" i="2"/>
  <c r="Y493" i="2"/>
  <c r="BN503" i="2"/>
  <c r="Y513" i="2"/>
  <c r="BP517" i="2"/>
  <c r="BN533" i="2"/>
  <c r="Y538" i="2"/>
  <c r="Y542" i="2"/>
  <c r="BP549" i="2"/>
  <c r="BN550" i="2"/>
  <c r="Y295" i="2"/>
  <c r="Z37" i="2"/>
  <c r="Z49" i="2"/>
  <c r="Z60" i="2"/>
  <c r="Z70" i="2"/>
  <c r="BN82" i="2"/>
  <c r="Y94" i="2"/>
  <c r="Z104" i="2"/>
  <c r="Z124" i="2"/>
  <c r="Y161" i="2"/>
  <c r="Z171" i="2"/>
  <c r="Z181" i="2"/>
  <c r="BP183" i="2"/>
  <c r="Z191" i="2"/>
  <c r="BP207" i="2"/>
  <c r="Z226" i="2"/>
  <c r="BP228" i="2"/>
  <c r="BP238" i="2"/>
  <c r="Z256" i="2"/>
  <c r="Z257" i="2" s="1"/>
  <c r="BP271" i="2"/>
  <c r="Y280" i="2"/>
  <c r="Y300" i="2"/>
  <c r="Y311" i="2"/>
  <c r="Y323" i="2"/>
  <c r="BP336" i="2"/>
  <c r="Z345" i="2"/>
  <c r="BP391" i="2"/>
  <c r="Z399" i="2"/>
  <c r="Z423" i="2"/>
  <c r="Z425" i="2" s="1"/>
  <c r="Z435" i="2"/>
  <c r="BP437" i="2"/>
  <c r="BN447" i="2"/>
  <c r="Y450" i="2"/>
  <c r="BP460" i="2"/>
  <c r="Y483" i="2"/>
  <c r="BN495" i="2"/>
  <c r="Y498" i="2"/>
  <c r="BN527" i="2"/>
  <c r="BN541" i="2"/>
  <c r="BN30" i="2"/>
  <c r="Y43" i="2"/>
  <c r="Z55" i="2"/>
  <c r="Z75" i="2"/>
  <c r="BN88" i="2"/>
  <c r="BN98" i="2"/>
  <c r="BN109" i="2"/>
  <c r="Y120" i="2"/>
  <c r="Z129" i="2"/>
  <c r="Z130" i="2" s="1"/>
  <c r="Z153" i="2"/>
  <c r="BN166" i="2"/>
  <c r="Z176" i="2"/>
  <c r="BN186" i="2"/>
  <c r="Z196" i="2"/>
  <c r="Z197" i="2" s="1"/>
  <c r="Y201" i="2"/>
  <c r="BN210" i="2"/>
  <c r="Y213" i="2"/>
  <c r="Z221" i="2"/>
  <c r="BN231" i="2"/>
  <c r="BN241" i="2"/>
  <c r="BN251" i="2"/>
  <c r="Z262" i="2"/>
  <c r="Z263" i="2" s="1"/>
  <c r="BN274" i="2"/>
  <c r="BN284" i="2"/>
  <c r="Z292" i="2"/>
  <c r="BN305" i="2"/>
  <c r="BN328" i="2"/>
  <c r="Y340" i="2"/>
  <c r="Z350" i="2"/>
  <c r="BN364" i="2"/>
  <c r="BN374" i="2"/>
  <c r="BN384" i="2"/>
  <c r="Y387" i="2"/>
  <c r="Z404" i="2"/>
  <c r="BN417" i="2"/>
  <c r="Z430" i="2"/>
  <c r="Y455" i="2"/>
  <c r="BN477" i="2"/>
  <c r="Y488" i="2"/>
  <c r="Z510" i="2"/>
  <c r="BN522" i="2"/>
  <c r="Y535" i="2"/>
  <c r="Y547" i="2"/>
  <c r="M568" i="2"/>
  <c r="BN37" i="2"/>
  <c r="BN49" i="2"/>
  <c r="BN60" i="2"/>
  <c r="BN70" i="2"/>
  <c r="BN124" i="2"/>
  <c r="BN171" i="2"/>
  <c r="BN181" i="2"/>
  <c r="BN226" i="2"/>
  <c r="BN256" i="2"/>
  <c r="BN345" i="2"/>
  <c r="BN399" i="2"/>
  <c r="BN423" i="2"/>
  <c r="BN435" i="2"/>
  <c r="Y438" i="2"/>
  <c r="BP527" i="2"/>
  <c r="BP541" i="2"/>
  <c r="Y552" i="2"/>
  <c r="O568" i="2"/>
  <c r="BP82" i="2"/>
  <c r="BN104" i="2"/>
  <c r="BN191" i="2"/>
  <c r="Z28" i="2"/>
  <c r="Z40" i="2"/>
  <c r="BN55" i="2"/>
  <c r="Z63" i="2"/>
  <c r="BN75" i="2"/>
  <c r="Z96" i="2"/>
  <c r="Z107" i="2"/>
  <c r="Z117" i="2"/>
  <c r="BN129" i="2"/>
  <c r="Z140" i="2"/>
  <c r="Z141" i="2" s="1"/>
  <c r="Y156" i="2"/>
  <c r="Z164" i="2"/>
  <c r="Z184" i="2"/>
  <c r="BN196" i="2"/>
  <c r="Z208" i="2"/>
  <c r="BN221" i="2"/>
  <c r="Z229" i="2"/>
  <c r="Z239" i="2"/>
  <c r="BP251" i="2"/>
  <c r="Z282" i="2"/>
  <c r="Z303" i="2"/>
  <c r="Z313" i="2"/>
  <c r="Z314" i="2" s="1"/>
  <c r="Z326" i="2"/>
  <c r="BN350" i="2"/>
  <c r="BN430" i="2"/>
  <c r="BP477" i="2"/>
  <c r="Z485" i="2"/>
  <c r="Z487" i="2" s="1"/>
  <c r="BP522" i="2"/>
  <c r="P568" i="2"/>
  <c r="BP124" i="2"/>
  <c r="BP171" i="2"/>
  <c r="BP191" i="2"/>
  <c r="Y202" i="2"/>
  <c r="Y214" i="2"/>
  <c r="BP256" i="2"/>
  <c r="BP345" i="2"/>
  <c r="Y359" i="2"/>
  <c r="Y370" i="2"/>
  <c r="Y380" i="2"/>
  <c r="Y388" i="2"/>
  <c r="Y412" i="2"/>
  <c r="BP423" i="2"/>
  <c r="Y456" i="2"/>
  <c r="Y471" i="2"/>
  <c r="Y518" i="2"/>
  <c r="Q568" i="2"/>
  <c r="BP37" i="2"/>
  <c r="BP49" i="2"/>
  <c r="BP70" i="2"/>
  <c r="Y83" i="2"/>
  <c r="BP104" i="2"/>
  <c r="Z151" i="2"/>
  <c r="BN164" i="2"/>
  <c r="Y187" i="2"/>
  <c r="Y439" i="2"/>
  <c r="R568" i="2"/>
  <c r="F9" i="2"/>
  <c r="BN96" i="2"/>
  <c r="BN117" i="2"/>
  <c r="H9" i="2"/>
  <c r="Z31" i="2"/>
  <c r="BN47" i="2"/>
  <c r="Z89" i="2"/>
  <c r="Z99" i="2"/>
  <c r="Z110" i="2"/>
  <c r="Y157" i="2"/>
  <c r="Z167" i="2"/>
  <c r="Z211" i="2"/>
  <c r="Z232" i="2"/>
  <c r="Z242" i="2"/>
  <c r="Z252" i="2"/>
  <c r="Y257" i="2"/>
  <c r="Z275" i="2"/>
  <c r="Z285" i="2"/>
  <c r="Z306" i="2"/>
  <c r="Z329" i="2"/>
  <c r="BP356" i="2"/>
  <c r="Z365" i="2"/>
  <c r="Z375" i="2"/>
  <c r="Z385" i="2"/>
  <c r="Z453" i="2"/>
  <c r="Z478" i="2"/>
  <c r="BN491" i="2"/>
  <c r="Z503" i="2"/>
  <c r="BP515" i="2"/>
  <c r="Z523" i="2"/>
  <c r="Y84" i="2"/>
  <c r="Y248" i="2"/>
  <c r="Y360" i="2"/>
  <c r="Y371" i="2"/>
  <c r="Y381" i="2"/>
  <c r="Y413" i="2"/>
  <c r="Y472" i="2"/>
  <c r="Y529" i="2"/>
  <c r="Y543" i="2"/>
  <c r="BN555" i="2"/>
  <c r="T568" i="2"/>
  <c r="B568" i="2"/>
  <c r="U568" i="2"/>
  <c r="Y64" i="2"/>
  <c r="Z81" i="2"/>
  <c r="Z92" i="2"/>
  <c r="Y141" i="2"/>
  <c r="Z159" i="2"/>
  <c r="Z160" i="2" s="1"/>
  <c r="Z245" i="2"/>
  <c r="Z278" i="2"/>
  <c r="Z288" i="2"/>
  <c r="Z298" i="2"/>
  <c r="Z309" i="2"/>
  <c r="Z321" i="2"/>
  <c r="Z322" i="2" s="1"/>
  <c r="Z357" i="2"/>
  <c r="Z368" i="2"/>
  <c r="Z378" i="2"/>
  <c r="Y393" i="2"/>
  <c r="Y401" i="2"/>
  <c r="Z410" i="2"/>
  <c r="Z469" i="2"/>
  <c r="Z481" i="2"/>
  <c r="Z506" i="2"/>
  <c r="Z516" i="2"/>
  <c r="Z526" i="2"/>
  <c r="BP555" i="2"/>
  <c r="C568" i="2"/>
  <c r="V568" i="2"/>
  <c r="Z29" i="2"/>
  <c r="Z41" i="2"/>
  <c r="BN56" i="2"/>
  <c r="BN76" i="2"/>
  <c r="Y264" i="2"/>
  <c r="BN441" i="2"/>
  <c r="Y444" i="2"/>
  <c r="BN464" i="2"/>
  <c r="BP503" i="2"/>
  <c r="BN81" i="2"/>
  <c r="BN92" i="2"/>
  <c r="Y114" i="2"/>
  <c r="Z123" i="2"/>
  <c r="Y137" i="2"/>
  <c r="BN159" i="2"/>
  <c r="Z180" i="2"/>
  <c r="Z190" i="2"/>
  <c r="BN245" i="2"/>
  <c r="Y269" i="2"/>
  <c r="BN278" i="2"/>
  <c r="BN288" i="2"/>
  <c r="BN298" i="2"/>
  <c r="BN309" i="2"/>
  <c r="BN321" i="2"/>
  <c r="BN357" i="2"/>
  <c r="BN368" i="2"/>
  <c r="BN378" i="2"/>
  <c r="BN410" i="2"/>
  <c r="BN469" i="2"/>
  <c r="BN481" i="2"/>
  <c r="BN506" i="2"/>
  <c r="BN516" i="2"/>
  <c r="BN526" i="2"/>
  <c r="Z550" i="2"/>
  <c r="Y556" i="2"/>
  <c r="F568" i="2"/>
  <c r="Y568" i="2"/>
  <c r="Y65" i="2"/>
  <c r="BN48" i="2"/>
  <c r="Y72" i="2"/>
  <c r="Z111" i="2"/>
  <c r="Z134" i="2"/>
  <c r="Y193" i="2"/>
  <c r="Z200" i="2"/>
  <c r="Z201" i="2" s="1"/>
  <c r="Z212" i="2"/>
  <c r="Z266" i="2"/>
  <c r="Z276" i="2"/>
  <c r="Z286" i="2"/>
  <c r="BP298" i="2"/>
  <c r="Z307" i="2"/>
  <c r="BP321" i="2"/>
  <c r="Z330" i="2"/>
  <c r="Y347" i="2"/>
  <c r="Z366" i="2"/>
  <c r="Z376" i="2"/>
  <c r="Z386" i="2"/>
  <c r="Y425" i="2"/>
  <c r="Z454" i="2"/>
  <c r="Z479" i="2"/>
  <c r="Z504" i="2"/>
  <c r="Z524" i="2"/>
  <c r="Z22" i="2"/>
  <c r="Z90" i="2"/>
  <c r="Y126" i="2"/>
  <c r="BP159" i="2"/>
  <c r="Y173" i="2"/>
  <c r="Z233" i="2"/>
  <c r="Z243" i="2"/>
  <c r="Z271" i="2"/>
  <c r="Z336" i="2"/>
  <c r="Z391" i="2"/>
  <c r="BN403" i="2"/>
  <c r="Y512" i="2"/>
  <c r="BP533" i="2"/>
  <c r="BP545" i="2"/>
  <c r="Y557" i="2"/>
  <c r="H568" i="2"/>
  <c r="BN90" i="2"/>
  <c r="Y169" i="2"/>
  <c r="Y279" i="2"/>
  <c r="AB568" i="2"/>
  <c r="BN336" i="2"/>
  <c r="Z24" i="2" l="1"/>
  <c r="Z136" i="2"/>
  <c r="Z359" i="2"/>
  <c r="Z77" i="2"/>
  <c r="Z450" i="2"/>
  <c r="Z498" i="2"/>
  <c r="Z393" i="2"/>
  <c r="Z528" i="2"/>
  <c r="Z83" i="2"/>
  <c r="Z455" i="2"/>
  <c r="Z253" i="2"/>
  <c r="Z438" i="2"/>
  <c r="Z406" i="2"/>
  <c r="Z173" i="2"/>
  <c r="Z72" i="2"/>
  <c r="Z51" i="2"/>
  <c r="Z400" i="2"/>
  <c r="X561" i="2"/>
  <c r="Z268" i="2"/>
  <c r="Z347" i="2"/>
  <c r="Z418" i="2"/>
  <c r="Z146" i="2"/>
  <c r="Z444" i="2"/>
  <c r="Z126" i="2"/>
  <c r="Z187" i="2"/>
  <c r="Z339" i="2"/>
  <c r="Z551" i="2"/>
  <c r="Z412" i="2"/>
  <c r="Z299" i="2"/>
  <c r="Z156" i="2"/>
  <c r="Z352" i="2"/>
  <c r="Y559" i="2"/>
  <c r="Z380" i="2"/>
  <c r="Z482" i="2"/>
  <c r="Z370" i="2"/>
  <c r="Z247" i="2"/>
  <c r="Z64" i="2"/>
  <c r="Z42" i="2"/>
  <c r="Z93" i="2"/>
  <c r="Z213" i="2"/>
  <c r="Z471" i="2"/>
  <c r="Z32" i="2"/>
  <c r="Y558" i="2"/>
  <c r="Y560" i="2"/>
  <c r="Y561" i="2" s="1"/>
  <c r="Z193" i="2"/>
  <c r="Z518" i="2"/>
  <c r="Y562" i="2"/>
  <c r="Z512" i="2"/>
  <c r="Z387" i="2"/>
  <c r="Z168" i="2"/>
  <c r="Z119" i="2"/>
  <c r="Z113" i="2"/>
  <c r="Z235" i="2"/>
  <c r="Z332" i="2"/>
  <c r="Z100" i="2"/>
  <c r="Z310" i="2"/>
  <c r="Z294" i="2"/>
  <c r="Z279" i="2"/>
  <c r="Z563" i="2" l="1"/>
</calcChain>
</file>

<file path=xl/sharedStrings.xml><?xml version="1.0" encoding="utf-8"?>
<sst xmlns="http://schemas.openxmlformats.org/spreadsheetml/2006/main" count="4322" uniqueCount="911">
  <si>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</si>
  <si>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</si>
  <si>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</si>
  <si>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</si>
  <si>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</si>
  <si>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</si>
  <si>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</si>
  <si>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</si>
  <si>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</si>
  <si>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</si>
  <si>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</si>
  <si>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</si>
  <si>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</si>
  <si>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</si>
  <si>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</si>
  <si>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</si>
  <si>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</si>
  <si>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</si>
  <si>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</si>
  <si>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</si>
  <si>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</si>
  <si>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</si>
  <si>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</si>
  <si>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</si>
  <si>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</si>
  <si>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</si>
  <si>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</si>
  <si>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</si>
  <si>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</si>
  <si>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</si>
  <si>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</si>
  <si>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</si>
  <si>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</si>
  <si>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</si>
  <si>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</si>
  <si>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</si>
  <si>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</si>
  <si>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</si>
  <si>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</si>
  <si>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</si>
  <si>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</si>
  <si>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</si>
  <si>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</si>
  <si>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</si>
  <si>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</si>
  <si>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</si>
  <si>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</si>
  <si>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</si>
  <si>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</si>
  <si>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</si>
  <si>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</si>
  <si>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</si>
  <si>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</si>
  <si>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</si>
  <si>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</si>
  <si>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</si>
  <si>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</si>
  <si>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</si>
  <si>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</si>
  <si>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</si>
  <si>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</si>
  <si>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</si>
  <si>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</si>
  <si>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</si>
  <si>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</si>
  <si>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</si>
  <si>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</si>
  <si>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</si>
  <si>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01.10.2026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</si>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</sst>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0" fontId="90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D8" sqref="D8:M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 t="s">
        <v>910</v>
      </c>
      <c r="I5" s="995"/>
      <c r="J5" s="995"/>
      <c r="K5" s="995"/>
      <c r="L5" s="995"/>
      <c r="M5" s="995"/>
      <c r="N5" s="72"/>
      <c r="P5" s="27" t="s">
        <v>4</v>
      </c>
      <c r="Q5" s="997">
        <v>46306</v>
      </c>
      <c r="R5" s="997"/>
      <c r="T5" s="998" t="s">
        <v>3</v>
      </c>
      <c r="U5" s="999"/>
      <c r="V5" s="1000" t="s">
        <v>867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 t="s">
        <v>880</v>
      </c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Воскресенье</v>
      </c>
      <c r="R6" s="1003"/>
      <c r="T6" s="1004" t="s">
        <v>5</v>
      </c>
      <c r="U6" s="1005"/>
      <c r="V6" s="1006" t="s">
        <v>69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 t="str">
        <f>IFERROR(VLOOKUP(DeliveryAddress,Table,3,0),1)</f>
        <v>5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0.45833333333333331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71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72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73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74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5" t="s">
        <v>75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54" t="s">
        <v>76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5">
        <v>4680115886643</v>
      </c>
      <c r="E22" s="65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5">
        <v>4680115889071</v>
      </c>
      <c r="E23" s="65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4" t="s">
        <v>85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5">
        <v>4680115885912</v>
      </c>
      <c r="E27" s="65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5">
        <v>4607091388237</v>
      </c>
      <c r="E28" s="65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5">
        <v>4680115887350</v>
      </c>
      <c r="E29" s="65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5">
        <v>4680115885905</v>
      </c>
      <c r="E30" s="65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5">
        <v>4680115887619</v>
      </c>
      <c r="E31" s="65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5" t="s">
        <v>103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54" t="s">
        <v>85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5">
        <v>4680115889354</v>
      </c>
      <c r="E37" s="65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5">
        <v>4680115888463</v>
      </c>
      <c r="E38" s="65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5">
        <v>4680115889590</v>
      </c>
      <c r="E39" s="65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55">
        <v>4680115888272</v>
      </c>
      <c r="E40" s="65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55">
        <v>4680115888364</v>
      </c>
      <c r="E41" s="65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5" t="s">
        <v>120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54" t="s">
        <v>121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55">
        <v>4607091385670</v>
      </c>
      <c r="E47" s="65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55">
        <v>4680115887725</v>
      </c>
      <c r="E48" s="65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55">
        <v>4607091385687</v>
      </c>
      <c r="E49" s="65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55">
        <v>4680115882539</v>
      </c>
      <c r="E50" s="65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5" t="s">
        <v>136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54" t="s">
        <v>121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55">
        <v>4680115885882</v>
      </c>
      <c r="E55" s="65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55">
        <v>4680115881426</v>
      </c>
      <c r="E56" s="65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140</v>
      </c>
      <c r="B57" s="63" t="s">
        <v>143</v>
      </c>
      <c r="C57" s="36">
        <v>4301012162</v>
      </c>
      <c r="D57" s="655">
        <v>4680115881426</v>
      </c>
      <c r="E57" s="65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126</v>
      </c>
      <c r="L57" s="37" t="s">
        <v>46</v>
      </c>
      <c r="M57" s="38" t="s">
        <v>125</v>
      </c>
      <c r="N57" s="38"/>
      <c r="O57" s="37">
        <v>50</v>
      </c>
      <c r="P57" s="93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5">
        <v>4680115880283</v>
      </c>
      <c r="E58" s="65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45</v>
      </c>
      <c r="P58" s="92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5">
        <v>4680115881525</v>
      </c>
      <c r="E59" s="655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133</v>
      </c>
      <c r="L59" s="37" t="s">
        <v>46</v>
      </c>
      <c r="M59" s="38" t="s">
        <v>125</v>
      </c>
      <c r="N59" s="38"/>
      <c r="O59" s="37">
        <v>50</v>
      </c>
      <c r="P59" s="9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148</v>
      </c>
      <c r="B60" s="63" t="s">
        <v>151</v>
      </c>
      <c r="C60" s="36">
        <v>4301012159</v>
      </c>
      <c r="D60" s="655">
        <v>4680115881525</v>
      </c>
      <c r="E60" s="65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2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4301012165</v>
      </c>
      <c r="D61" s="655">
        <v>4680115885899</v>
      </c>
      <c r="E61" s="65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90</v>
      </c>
      <c r="L61" s="37" t="s">
        <v>46</v>
      </c>
      <c r="M61" s="38" t="s">
        <v>125</v>
      </c>
      <c r="N61" s="38"/>
      <c r="O61" s="37">
        <v>50</v>
      </c>
      <c r="P61" s="9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139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154</v>
      </c>
      <c r="B62" s="63" t="s">
        <v>155</v>
      </c>
      <c r="C62" s="36">
        <v>4301011801</v>
      </c>
      <c r="D62" s="655">
        <v>4680115881419</v>
      </c>
      <c r="E62" s="65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133</v>
      </c>
      <c r="L62" s="37" t="s">
        <v>46</v>
      </c>
      <c r="M62" s="38" t="s">
        <v>125</v>
      </c>
      <c r="N62" s="38"/>
      <c r="O62" s="37">
        <v>50</v>
      </c>
      <c r="P62" s="9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154</v>
      </c>
      <c r="B63" s="63" t="s">
        <v>157</v>
      </c>
      <c r="C63" s="36">
        <v>4301012158</v>
      </c>
      <c r="D63" s="655">
        <v>4680115881419</v>
      </c>
      <c r="E63" s="655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133</v>
      </c>
      <c r="L63" s="37" t="s">
        <v>46</v>
      </c>
      <c r="M63" s="38" t="s">
        <v>125</v>
      </c>
      <c r="N63" s="38"/>
      <c r="O63" s="37">
        <v>50</v>
      </c>
      <c r="P63" s="93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144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654" t="s">
        <v>158</v>
      </c>
      <c r="B66" s="654"/>
      <c r="C66" s="654"/>
      <c r="D66" s="654"/>
      <c r="E66" s="654"/>
      <c r="F66" s="654"/>
      <c r="G66" s="654"/>
      <c r="H66" s="654"/>
      <c r="I66" s="654"/>
      <c r="J66" s="654"/>
      <c r="K66" s="654"/>
      <c r="L66" s="654"/>
      <c r="M66" s="654"/>
      <c r="N66" s="654"/>
      <c r="O66" s="654"/>
      <c r="P66" s="654"/>
      <c r="Q66" s="654"/>
      <c r="R66" s="654"/>
      <c r="S66" s="654"/>
      <c r="T66" s="654"/>
      <c r="U66" s="654"/>
      <c r="V66" s="654"/>
      <c r="W66" s="654"/>
      <c r="X66" s="654"/>
      <c r="Y66" s="654"/>
      <c r="Z66" s="654"/>
      <c r="AA66" s="66"/>
      <c r="AB66" s="66"/>
      <c r="AC66" s="80"/>
    </row>
    <row r="67" spans="1:68" ht="16.5" hidden="1" customHeight="1" x14ac:dyDescent="0.25">
      <c r="A67" s="63" t="s">
        <v>159</v>
      </c>
      <c r="B67" s="63" t="s">
        <v>160</v>
      </c>
      <c r="C67" s="36">
        <v>4301020298</v>
      </c>
      <c r="D67" s="655">
        <v>4680115881440</v>
      </c>
      <c r="E67" s="655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126</v>
      </c>
      <c r="L67" s="37" t="s">
        <v>46</v>
      </c>
      <c r="M67" s="38" t="s">
        <v>125</v>
      </c>
      <c r="N67" s="38"/>
      <c r="O67" s="37">
        <v>50</v>
      </c>
      <c r="P67" s="93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159</v>
      </c>
      <c r="B68" s="63" t="s">
        <v>162</v>
      </c>
      <c r="C68" s="36">
        <v>4301020390</v>
      </c>
      <c r="D68" s="655">
        <v>4680115881440</v>
      </c>
      <c r="E68" s="655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126</v>
      </c>
      <c r="L68" s="37" t="s">
        <v>46</v>
      </c>
      <c r="M68" s="38" t="s">
        <v>125</v>
      </c>
      <c r="N68" s="38"/>
      <c r="O68" s="37">
        <v>50</v>
      </c>
      <c r="P68" s="91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163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164</v>
      </c>
      <c r="B69" s="63" t="s">
        <v>165</v>
      </c>
      <c r="C69" s="36">
        <v>4301020358</v>
      </c>
      <c r="D69" s="655">
        <v>4680115885950</v>
      </c>
      <c r="E69" s="655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90</v>
      </c>
      <c r="L69" s="37" t="s">
        <v>46</v>
      </c>
      <c r="M69" s="38" t="s">
        <v>89</v>
      </c>
      <c r="N69" s="38"/>
      <c r="O69" s="37">
        <v>50</v>
      </c>
      <c r="P69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166</v>
      </c>
      <c r="B70" s="63" t="s">
        <v>167</v>
      </c>
      <c r="C70" s="36">
        <v>4301020371</v>
      </c>
      <c r="D70" s="655">
        <v>4680115887688</v>
      </c>
      <c r="E70" s="655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130</v>
      </c>
      <c r="L70" s="37" t="s">
        <v>46</v>
      </c>
      <c r="M70" s="38" t="s">
        <v>80</v>
      </c>
      <c r="N70" s="38"/>
      <c r="O70" s="37">
        <v>30</v>
      </c>
      <c r="P70" s="92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168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169</v>
      </c>
      <c r="B71" s="63" t="s">
        <v>170</v>
      </c>
      <c r="C71" s="36">
        <v>4301020389</v>
      </c>
      <c r="D71" s="655">
        <v>4680115881433</v>
      </c>
      <c r="E71" s="655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90</v>
      </c>
      <c r="L71" s="37" t="s">
        <v>46</v>
      </c>
      <c r="M71" s="38" t="s">
        <v>125</v>
      </c>
      <c r="N71" s="38"/>
      <c r="O71" s="37">
        <v>50</v>
      </c>
      <c r="P71" s="922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163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idden="1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0</v>
      </c>
      <c r="Y72" s="43">
        <f>IFERROR(Y67/H67,"0")+IFERROR(Y68/H68,"0")+IFERROR(Y69/H69,"0")+IFERROR(Y70/H70,"0")+IFERROR(Y71/H71,"0")</f>
        <v>0</v>
      </c>
      <c r="Z72" s="43">
        <f>IFERROR(IF(Z67="",0,Z67),"0")+IFERROR(IF(Z68="",0,Z68),"0")+IFERROR(IF(Z69="",0,Z69),"0")+IFERROR(IF(Z70="",0,Z70),"0")+IFERROR(IF(Z71="",0,Z71),"0")</f>
        <v>0</v>
      </c>
      <c r="AA72" s="67"/>
      <c r="AB72" s="67"/>
      <c r="AC72" s="67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0</v>
      </c>
      <c r="Y73" s="43">
        <f>IFERROR(SUM(Y67:Y71),"0")</f>
        <v>0</v>
      </c>
      <c r="Z73" s="42"/>
      <c r="AA73" s="67"/>
      <c r="AB73" s="67"/>
      <c r="AC73" s="67"/>
    </row>
    <row r="74" spans="1:68" ht="14.25" hidden="1" customHeight="1" x14ac:dyDescent="0.25">
      <c r="A74" s="654" t="s">
        <v>85</v>
      </c>
      <c r="B74" s="654"/>
      <c r="C74" s="654"/>
      <c r="D74" s="654"/>
      <c r="E74" s="654"/>
      <c r="F74" s="654"/>
      <c r="G74" s="654"/>
      <c r="H74" s="654"/>
      <c r="I74" s="654"/>
      <c r="J74" s="654"/>
      <c r="K74" s="654"/>
      <c r="L74" s="654"/>
      <c r="M74" s="654"/>
      <c r="N74" s="654"/>
      <c r="O74" s="654"/>
      <c r="P74" s="654"/>
      <c r="Q74" s="654"/>
      <c r="R74" s="654"/>
      <c r="S74" s="654"/>
      <c r="T74" s="654"/>
      <c r="U74" s="654"/>
      <c r="V74" s="654"/>
      <c r="W74" s="654"/>
      <c r="X74" s="654"/>
      <c r="Y74" s="654"/>
      <c r="Z74" s="654"/>
      <c r="AA74" s="66"/>
      <c r="AB74" s="66"/>
      <c r="AC74" s="80"/>
    </row>
    <row r="75" spans="1:68" ht="16.5" hidden="1" customHeight="1" x14ac:dyDescent="0.25">
      <c r="A75" s="63" t="s">
        <v>171</v>
      </c>
      <c r="B75" s="63" t="s">
        <v>172</v>
      </c>
      <c r="C75" s="36">
        <v>4301051837</v>
      </c>
      <c r="D75" s="655">
        <v>4680115884311</v>
      </c>
      <c r="E75" s="655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90</v>
      </c>
      <c r="L75" s="37" t="s">
        <v>46</v>
      </c>
      <c r="M75" s="38" t="s">
        <v>89</v>
      </c>
      <c r="N75" s="38"/>
      <c r="O75" s="37">
        <v>40</v>
      </c>
      <c r="P75" s="92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173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174</v>
      </c>
      <c r="B76" s="63" t="s">
        <v>175</v>
      </c>
      <c r="C76" s="36">
        <v>4301052083</v>
      </c>
      <c r="D76" s="655">
        <v>4680115884403</v>
      </c>
      <c r="E76" s="655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90</v>
      </c>
      <c r="L76" s="37" t="s">
        <v>46</v>
      </c>
      <c r="M76" s="38" t="s">
        <v>89</v>
      </c>
      <c r="N76" s="38"/>
      <c r="O76" s="37">
        <v>40</v>
      </c>
      <c r="P76" s="92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176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654" t="s">
        <v>177</v>
      </c>
      <c r="B79" s="654"/>
      <c r="C79" s="654"/>
      <c r="D79" s="654"/>
      <c r="E79" s="654"/>
      <c r="F79" s="654"/>
      <c r="G79" s="654"/>
      <c r="H79" s="654"/>
      <c r="I79" s="654"/>
      <c r="J79" s="654"/>
      <c r="K79" s="654"/>
      <c r="L79" s="654"/>
      <c r="M79" s="654"/>
      <c r="N79" s="654"/>
      <c r="O79" s="654"/>
      <c r="P79" s="654"/>
      <c r="Q79" s="654"/>
      <c r="R79" s="654"/>
      <c r="S79" s="654"/>
      <c r="T79" s="654"/>
      <c r="U79" s="654"/>
      <c r="V79" s="654"/>
      <c r="W79" s="654"/>
      <c r="X79" s="654"/>
      <c r="Y79" s="654"/>
      <c r="Z79" s="654"/>
      <c r="AA79" s="66"/>
      <c r="AB79" s="66"/>
      <c r="AC79" s="80"/>
    </row>
    <row r="80" spans="1:68" ht="27" hidden="1" customHeight="1" x14ac:dyDescent="0.25">
      <c r="A80" s="63" t="s">
        <v>178</v>
      </c>
      <c r="B80" s="63" t="s">
        <v>179</v>
      </c>
      <c r="C80" s="36">
        <v>4301060455</v>
      </c>
      <c r="D80" s="655">
        <v>4680115881532</v>
      </c>
      <c r="E80" s="655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126</v>
      </c>
      <c r="L80" s="37" t="s">
        <v>46</v>
      </c>
      <c r="M80" s="38" t="s">
        <v>96</v>
      </c>
      <c r="N80" s="38"/>
      <c r="O80" s="37">
        <v>30</v>
      </c>
      <c r="P80" s="91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178</v>
      </c>
      <c r="B81" s="63" t="s">
        <v>181</v>
      </c>
      <c r="C81" s="36">
        <v>4301060526</v>
      </c>
      <c r="D81" s="655">
        <v>4680115881532</v>
      </c>
      <c r="E81" s="655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126</v>
      </c>
      <c r="L81" s="37" t="s">
        <v>46</v>
      </c>
      <c r="M81" s="38" t="s">
        <v>96</v>
      </c>
      <c r="N81" s="38"/>
      <c r="O81" s="37">
        <v>30</v>
      </c>
      <c r="P81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180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182</v>
      </c>
      <c r="B82" s="63" t="s">
        <v>183</v>
      </c>
      <c r="C82" s="36">
        <v>4301060527</v>
      </c>
      <c r="D82" s="655">
        <v>4680115881464</v>
      </c>
      <c r="E82" s="655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133</v>
      </c>
      <c r="L82" s="37" t="s">
        <v>46</v>
      </c>
      <c r="M82" s="38" t="s">
        <v>89</v>
      </c>
      <c r="N82" s="38"/>
      <c r="O82" s="37">
        <v>30</v>
      </c>
      <c r="P82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184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185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54" t="s">
        <v>121</v>
      </c>
      <c r="B86" s="654"/>
      <c r="C86" s="654"/>
      <c r="D86" s="654"/>
      <c r="E86" s="654"/>
      <c r="F86" s="654"/>
      <c r="G86" s="654"/>
      <c r="H86" s="654"/>
      <c r="I86" s="654"/>
      <c r="J86" s="654"/>
      <c r="K86" s="654"/>
      <c r="L86" s="654"/>
      <c r="M86" s="654"/>
      <c r="N86" s="654"/>
      <c r="O86" s="654"/>
      <c r="P86" s="654"/>
      <c r="Q86" s="654"/>
      <c r="R86" s="654"/>
      <c r="S86" s="654"/>
      <c r="T86" s="654"/>
      <c r="U86" s="654"/>
      <c r="V86" s="654"/>
      <c r="W86" s="654"/>
      <c r="X86" s="654"/>
      <c r="Y86" s="654"/>
      <c r="Z86" s="654"/>
      <c r="AA86" s="66"/>
      <c r="AB86" s="66"/>
      <c r="AC86" s="80"/>
    </row>
    <row r="87" spans="1:68" ht="27" hidden="1" customHeight="1" x14ac:dyDescent="0.25">
      <c r="A87" s="63" t="s">
        <v>186</v>
      </c>
      <c r="B87" s="63" t="s">
        <v>187</v>
      </c>
      <c r="C87" s="36">
        <v>4301011468</v>
      </c>
      <c r="D87" s="655">
        <v>4680115881327</v>
      </c>
      <c r="E87" s="655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126</v>
      </c>
      <c r="L87" s="37" t="s">
        <v>46</v>
      </c>
      <c r="M87" s="38" t="s">
        <v>96</v>
      </c>
      <c r="N87" s="38"/>
      <c r="O87" s="37">
        <v>50</v>
      </c>
      <c r="P87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ref="Y87:Y92" si="5"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0</v>
      </c>
      <c r="BN87" s="78">
        <f t="shared" ref="BN87:BN92" si="7">IFERROR(Y87*I87/H87,"0")</f>
        <v>0</v>
      </c>
      <c r="BO87" s="78">
        <f t="shared" ref="BO87:BO92" si="8">IFERROR(1/J87*(X87/H87),"0")</f>
        <v>0</v>
      </c>
      <c r="BP87" s="78">
        <f t="shared" ref="BP87:BP92" si="9">IFERROR(1/J87*(Y87/H87),"0")</f>
        <v>0</v>
      </c>
    </row>
    <row r="88" spans="1:68" ht="27" hidden="1" customHeight="1" x14ac:dyDescent="0.25">
      <c r="A88" s="63" t="s">
        <v>186</v>
      </c>
      <c r="B88" s="63" t="s">
        <v>189</v>
      </c>
      <c r="C88" s="36">
        <v>4301012251</v>
      </c>
      <c r="D88" s="655">
        <v>4680115881327</v>
      </c>
      <c r="E88" s="655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126</v>
      </c>
      <c r="L88" s="37" t="s">
        <v>46</v>
      </c>
      <c r="M88" s="38" t="s">
        <v>125</v>
      </c>
      <c r="N88" s="38"/>
      <c r="O88" s="37">
        <v>50</v>
      </c>
      <c r="P88" s="91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188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190</v>
      </c>
      <c r="B89" s="63" t="s">
        <v>191</v>
      </c>
      <c r="C89" s="36">
        <v>4301012392</v>
      </c>
      <c r="D89" s="655">
        <v>4680115887732</v>
      </c>
      <c r="E89" s="655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130</v>
      </c>
      <c r="L89" s="37" t="s">
        <v>46</v>
      </c>
      <c r="M89" s="38" t="s">
        <v>80</v>
      </c>
      <c r="N89" s="38"/>
      <c r="O89" s="37">
        <v>30</v>
      </c>
      <c r="P89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192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194</v>
      </c>
      <c r="C90" s="36">
        <v>4301011476</v>
      </c>
      <c r="D90" s="655">
        <v>4680115881518</v>
      </c>
      <c r="E90" s="655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133</v>
      </c>
      <c r="L90" s="37" t="s">
        <v>46</v>
      </c>
      <c r="M90" s="38" t="s">
        <v>89</v>
      </c>
      <c r="N90" s="38"/>
      <c r="O90" s="37">
        <v>50</v>
      </c>
      <c r="P90" s="90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188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193</v>
      </c>
      <c r="B91" s="63" t="s">
        <v>195</v>
      </c>
      <c r="C91" s="36">
        <v>4301012252</v>
      </c>
      <c r="D91" s="655">
        <v>4680115881518</v>
      </c>
      <c r="E91" s="655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133</v>
      </c>
      <c r="L91" s="37" t="s">
        <v>46</v>
      </c>
      <c r="M91" s="38" t="s">
        <v>125</v>
      </c>
      <c r="N91" s="38"/>
      <c r="O91" s="37">
        <v>50</v>
      </c>
      <c r="P91" s="90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188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196</v>
      </c>
      <c r="B92" s="63" t="s">
        <v>197</v>
      </c>
      <c r="C92" s="36">
        <v>4301012250</v>
      </c>
      <c r="D92" s="655">
        <v>4680115881303</v>
      </c>
      <c r="E92" s="655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133</v>
      </c>
      <c r="L92" s="37" t="s">
        <v>46</v>
      </c>
      <c r="M92" s="38" t="s">
        <v>125</v>
      </c>
      <c r="N92" s="38"/>
      <c r="O92" s="37">
        <v>50</v>
      </c>
      <c r="P92" s="90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188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idden="1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0</v>
      </c>
      <c r="Y93" s="43">
        <f>IFERROR(Y87/H87,"0")+IFERROR(Y88/H88,"0")+IFERROR(Y89/H89,"0")+IFERROR(Y90/H90,"0")+IFERROR(Y91/H91,"0")+IFERROR(Y92/H92,"0")</f>
        <v>0</v>
      </c>
      <c r="Z93" s="43">
        <f>IFERROR(IF(Z87="",0,Z87),"0")+IFERROR(IF(Z88="",0,Z88),"0")+IFERROR(IF(Z89="",0,Z89),"0")+IFERROR(IF(Z90="",0,Z90),"0")+IFERROR(IF(Z91="",0,Z91),"0")+IFERROR(IF(Z92="",0,Z92),"0")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0</v>
      </c>
      <c r="Y94" s="43">
        <f>IFERROR(SUM(Y87:Y92),"0")</f>
        <v>0</v>
      </c>
      <c r="Z94" s="42"/>
      <c r="AA94" s="67"/>
      <c r="AB94" s="67"/>
      <c r="AC94" s="67"/>
    </row>
    <row r="95" spans="1:68" ht="14.25" hidden="1" customHeight="1" x14ac:dyDescent="0.25">
      <c r="A95" s="654" t="s">
        <v>85</v>
      </c>
      <c r="B95" s="654"/>
      <c r="C95" s="654"/>
      <c r="D95" s="654"/>
      <c r="E95" s="654"/>
      <c r="F95" s="654"/>
      <c r="G95" s="654"/>
      <c r="H95" s="654"/>
      <c r="I95" s="654"/>
      <c r="J95" s="654"/>
      <c r="K95" s="654"/>
      <c r="L95" s="654"/>
      <c r="M95" s="654"/>
      <c r="N95" s="654"/>
      <c r="O95" s="654"/>
      <c r="P95" s="654"/>
      <c r="Q95" s="654"/>
      <c r="R95" s="654"/>
      <c r="S95" s="654"/>
      <c r="T95" s="654"/>
      <c r="U95" s="654"/>
      <c r="V95" s="654"/>
      <c r="W95" s="654"/>
      <c r="X95" s="654"/>
      <c r="Y95" s="654"/>
      <c r="Z95" s="654"/>
      <c r="AA95" s="66"/>
      <c r="AB95" s="66"/>
      <c r="AC95" s="80"/>
    </row>
    <row r="96" spans="1:68" ht="27" hidden="1" customHeight="1" x14ac:dyDescent="0.25">
      <c r="A96" s="63" t="s">
        <v>198</v>
      </c>
      <c r="B96" s="63" t="s">
        <v>199</v>
      </c>
      <c r="C96" s="36">
        <v>4301052101</v>
      </c>
      <c r="D96" s="655">
        <v>4607091386967</v>
      </c>
      <c r="E96" s="655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126</v>
      </c>
      <c r="L96" s="37" t="s">
        <v>46</v>
      </c>
      <c r="M96" s="38" t="s">
        <v>96</v>
      </c>
      <c r="N96" s="38"/>
      <c r="O96" s="37">
        <v>45</v>
      </c>
      <c r="P96" s="909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200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201</v>
      </c>
      <c r="B97" s="63" t="s">
        <v>202</v>
      </c>
      <c r="C97" s="36">
        <v>4301052090</v>
      </c>
      <c r="D97" s="655">
        <v>4680115884953</v>
      </c>
      <c r="E97" s="655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90</v>
      </c>
      <c r="L97" s="37" t="s">
        <v>46</v>
      </c>
      <c r="M97" s="38" t="s">
        <v>89</v>
      </c>
      <c r="N97" s="38"/>
      <c r="O97" s="37">
        <v>45</v>
      </c>
      <c r="P97" s="910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203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204</v>
      </c>
      <c r="B98" s="63" t="s">
        <v>205</v>
      </c>
      <c r="C98" s="36">
        <v>4301052094</v>
      </c>
      <c r="D98" s="655">
        <v>4607091385731</v>
      </c>
      <c r="E98" s="655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90</v>
      </c>
      <c r="L98" s="37" t="s">
        <v>46</v>
      </c>
      <c r="M98" s="38" t="s">
        <v>96</v>
      </c>
      <c r="N98" s="38"/>
      <c r="O98" s="37">
        <v>45</v>
      </c>
      <c r="P98" s="911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200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206</v>
      </c>
      <c r="B99" s="63" t="s">
        <v>207</v>
      </c>
      <c r="C99" s="36">
        <v>4301052092</v>
      </c>
      <c r="D99" s="655">
        <v>4680115880894</v>
      </c>
      <c r="E99" s="655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90</v>
      </c>
      <c r="L99" s="37" t="s">
        <v>46</v>
      </c>
      <c r="M99" s="38" t="s">
        <v>89</v>
      </c>
      <c r="N99" s="38"/>
      <c r="O99" s="37">
        <v>45</v>
      </c>
      <c r="P99" s="91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208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665" t="s">
        <v>209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54" t="s">
        <v>121</v>
      </c>
      <c r="B103" s="654"/>
      <c r="C103" s="654"/>
      <c r="D103" s="654"/>
      <c r="E103" s="654"/>
      <c r="F103" s="654"/>
      <c r="G103" s="654"/>
      <c r="H103" s="654"/>
      <c r="I103" s="654"/>
      <c r="J103" s="654"/>
      <c r="K103" s="654"/>
      <c r="L103" s="654"/>
      <c r="M103" s="654"/>
      <c r="N103" s="654"/>
      <c r="O103" s="654"/>
      <c r="P103" s="654"/>
      <c r="Q103" s="654"/>
      <c r="R103" s="654"/>
      <c r="S103" s="654"/>
      <c r="T103" s="654"/>
      <c r="U103" s="654"/>
      <c r="V103" s="654"/>
      <c r="W103" s="654"/>
      <c r="X103" s="654"/>
      <c r="Y103" s="654"/>
      <c r="Z103" s="654"/>
      <c r="AA103" s="66"/>
      <c r="AB103" s="66"/>
      <c r="AC103" s="80"/>
    </row>
    <row r="104" spans="1:68" ht="37.5" hidden="1" customHeight="1" x14ac:dyDescent="0.25">
      <c r="A104" s="63" t="s">
        <v>210</v>
      </c>
      <c r="B104" s="63" t="s">
        <v>211</v>
      </c>
      <c r="C104" s="36">
        <v>4301011514</v>
      </c>
      <c r="D104" s="655">
        <v>4680115882133</v>
      </c>
      <c r="E104" s="655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126</v>
      </c>
      <c r="L104" s="37" t="s">
        <v>46</v>
      </c>
      <c r="M104" s="38" t="s">
        <v>125</v>
      </c>
      <c r="N104" s="38"/>
      <c r="O104" s="37">
        <v>50</v>
      </c>
      <c r="P104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212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210</v>
      </c>
      <c r="B105" s="63" t="s">
        <v>213</v>
      </c>
      <c r="C105" s="36">
        <v>4301012256</v>
      </c>
      <c r="D105" s="655">
        <v>4680115882133</v>
      </c>
      <c r="E105" s="655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126</v>
      </c>
      <c r="L105" s="37" t="s">
        <v>46</v>
      </c>
      <c r="M105" s="38" t="s">
        <v>125</v>
      </c>
      <c r="N105" s="38"/>
      <c r="O105" s="37">
        <v>50</v>
      </c>
      <c r="P105" s="90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215</v>
      </c>
      <c r="B106" s="63" t="s">
        <v>216</v>
      </c>
      <c r="C106" s="36">
        <v>4301012379</v>
      </c>
      <c r="D106" s="655">
        <v>4680115887718</v>
      </c>
      <c r="E106" s="65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217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4301011417</v>
      </c>
      <c r="D107" s="655">
        <v>4680115880269</v>
      </c>
      <c r="E107" s="65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212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218</v>
      </c>
      <c r="B108" s="63" t="s">
        <v>220</v>
      </c>
      <c r="C108" s="36">
        <v>4301012253</v>
      </c>
      <c r="D108" s="655">
        <v>4680115880269</v>
      </c>
      <c r="E108" s="655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133</v>
      </c>
      <c r="L108" s="37" t="s">
        <v>46</v>
      </c>
      <c r="M108" s="38" t="s">
        <v>125</v>
      </c>
      <c r="N108" s="38"/>
      <c r="O108" s="37">
        <v>50</v>
      </c>
      <c r="P108" s="90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221</v>
      </c>
      <c r="B109" s="63" t="s">
        <v>222</v>
      </c>
      <c r="C109" s="36">
        <v>4301012254</v>
      </c>
      <c r="D109" s="655">
        <v>4680115880429</v>
      </c>
      <c r="E109" s="65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214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223</v>
      </c>
      <c r="B110" s="63" t="s">
        <v>224</v>
      </c>
      <c r="C110" s="36">
        <v>4301011462</v>
      </c>
      <c r="D110" s="655">
        <v>4680115881457</v>
      </c>
      <c r="E110" s="65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8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212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223</v>
      </c>
      <c r="B111" s="63" t="s">
        <v>225</v>
      </c>
      <c r="C111" s="36">
        <v>4301012255</v>
      </c>
      <c r="D111" s="655">
        <v>4680115881457</v>
      </c>
      <c r="E111" s="65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133</v>
      </c>
      <c r="L111" s="37" t="s">
        <v>46</v>
      </c>
      <c r="M111" s="38" t="s">
        <v>125</v>
      </c>
      <c r="N111" s="38"/>
      <c r="O111" s="37">
        <v>50</v>
      </c>
      <c r="P111" s="89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214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4301012366</v>
      </c>
      <c r="D112" s="655">
        <v>4680115889477</v>
      </c>
      <c r="E112" s="65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125</v>
      </c>
      <c r="N112" s="38"/>
      <c r="O112" s="37">
        <v>55</v>
      </c>
      <c r="P112" s="89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228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4" t="s">
        <v>158</v>
      </c>
      <c r="B115" s="654"/>
      <c r="C115" s="654"/>
      <c r="D115" s="654"/>
      <c r="E115" s="654"/>
      <c r="F115" s="654"/>
      <c r="G115" s="654"/>
      <c r="H115" s="654"/>
      <c r="I115" s="654"/>
      <c r="J115" s="654"/>
      <c r="K115" s="654"/>
      <c r="L115" s="654"/>
      <c r="M115" s="654"/>
      <c r="N115" s="654"/>
      <c r="O115" s="654"/>
      <c r="P115" s="654"/>
      <c r="Q115" s="654"/>
      <c r="R115" s="654"/>
      <c r="S115" s="654"/>
      <c r="T115" s="654"/>
      <c r="U115" s="654"/>
      <c r="V115" s="654"/>
      <c r="W115" s="654"/>
      <c r="X115" s="654"/>
      <c r="Y115" s="654"/>
      <c r="Z115" s="654"/>
      <c r="AA115" s="66"/>
      <c r="AB115" s="66"/>
      <c r="AC115" s="80"/>
    </row>
    <row r="116" spans="1:68" ht="27" hidden="1" customHeight="1" x14ac:dyDescent="0.25">
      <c r="A116" s="63" t="s">
        <v>229</v>
      </c>
      <c r="B116" s="63" t="s">
        <v>230</v>
      </c>
      <c r="C116" s="36">
        <v>4301020391</v>
      </c>
      <c r="D116" s="655">
        <v>4680115881488</v>
      </c>
      <c r="E116" s="65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126</v>
      </c>
      <c r="L116" s="37" t="s">
        <v>46</v>
      </c>
      <c r="M116" s="38" t="s">
        <v>125</v>
      </c>
      <c r="N116" s="38"/>
      <c r="O116" s="37">
        <v>55</v>
      </c>
      <c r="P116" s="89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232</v>
      </c>
      <c r="B117" s="63" t="s">
        <v>233</v>
      </c>
      <c r="C117" s="36">
        <v>4301020393</v>
      </c>
      <c r="D117" s="655">
        <v>4680115882775</v>
      </c>
      <c r="E117" s="65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8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234</v>
      </c>
      <c r="B118" s="63" t="s">
        <v>235</v>
      </c>
      <c r="C118" s="36">
        <v>4301020392</v>
      </c>
      <c r="D118" s="655">
        <v>4680115880658</v>
      </c>
      <c r="E118" s="65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8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231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54" t="s">
        <v>85</v>
      </c>
      <c r="B121" s="654"/>
      <c r="C121" s="654"/>
      <c r="D121" s="654"/>
      <c r="E121" s="654"/>
      <c r="F121" s="654"/>
      <c r="G121" s="654"/>
      <c r="H121" s="654"/>
      <c r="I121" s="654"/>
      <c r="J121" s="654"/>
      <c r="K121" s="654"/>
      <c r="L121" s="654"/>
      <c r="M121" s="654"/>
      <c r="N121" s="654"/>
      <c r="O121" s="654"/>
      <c r="P121" s="654"/>
      <c r="Q121" s="654"/>
      <c r="R121" s="654"/>
      <c r="S121" s="654"/>
      <c r="T121" s="654"/>
      <c r="U121" s="654"/>
      <c r="V121" s="654"/>
      <c r="W121" s="654"/>
      <c r="X121" s="654"/>
      <c r="Y121" s="654"/>
      <c r="Z121" s="654"/>
      <c r="AA121" s="66"/>
      <c r="AB121" s="66"/>
      <c r="AC121" s="80"/>
    </row>
    <row r="122" spans="1:68" ht="27" customHeight="1" x14ac:dyDescent="0.25">
      <c r="A122" s="63" t="s">
        <v>236</v>
      </c>
      <c r="B122" s="63" t="s">
        <v>237</v>
      </c>
      <c r="C122" s="36">
        <v>4301052088</v>
      </c>
      <c r="D122" s="655">
        <v>4607091385168</v>
      </c>
      <c r="E122" s="65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89</v>
      </c>
      <c r="N122" s="38"/>
      <c r="O122" s="37">
        <v>45</v>
      </c>
      <c r="P122" s="88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9" t="s">
        <v>46</v>
      </c>
      <c r="V122" s="39" t="s">
        <v>46</v>
      </c>
      <c r="W122" s="40" t="s">
        <v>0</v>
      </c>
      <c r="X122" s="58">
        <v>600</v>
      </c>
      <c r="Y122" s="55">
        <f>IFERROR(IF(X122="",0,CEILING((X122/$H122),1)*$H122),"")</f>
        <v>607.5</v>
      </c>
      <c r="Z122" s="41">
        <f>IFERROR(IF(Y122=0,"",ROUNDUP(Y122/H122,0)*0.01898),"")</f>
        <v>1.4235</v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636.14814814814804</v>
      </c>
      <c r="BN122" s="78">
        <f>IFERROR(Y122*I122/H122,"0")</f>
        <v>644.09999999999991</v>
      </c>
      <c r="BO122" s="78">
        <f>IFERROR(1/J122*(X122/H122),"0")</f>
        <v>1.1574074074074074</v>
      </c>
      <c r="BP122" s="78">
        <f>IFERROR(1/J122*(Y122/H122),"0")</f>
        <v>1.171875</v>
      </c>
    </row>
    <row r="123" spans="1:68" ht="27" hidden="1" customHeight="1" x14ac:dyDescent="0.25">
      <c r="A123" s="63" t="s">
        <v>239</v>
      </c>
      <c r="B123" s="63" t="s">
        <v>240</v>
      </c>
      <c r="C123" s="36">
        <v>4301052087</v>
      </c>
      <c r="D123" s="655">
        <v>4607091383256</v>
      </c>
      <c r="E123" s="655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89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241</v>
      </c>
      <c r="B124" s="63" t="s">
        <v>242</v>
      </c>
      <c r="C124" s="36">
        <v>4301052086</v>
      </c>
      <c r="D124" s="655">
        <v>4607091385748</v>
      </c>
      <c r="E124" s="655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90</v>
      </c>
      <c r="L124" s="37" t="s">
        <v>46</v>
      </c>
      <c r="M124" s="38" t="s">
        <v>89</v>
      </c>
      <c r="N124" s="38"/>
      <c r="O124" s="37">
        <v>45</v>
      </c>
      <c r="P124" s="89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238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243</v>
      </c>
      <c r="B125" s="63" t="s">
        <v>244</v>
      </c>
      <c r="C125" s="36">
        <v>4301052085</v>
      </c>
      <c r="D125" s="655">
        <v>4680115884533</v>
      </c>
      <c r="E125" s="655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90</v>
      </c>
      <c r="L125" s="37" t="s">
        <v>46</v>
      </c>
      <c r="M125" s="38" t="s">
        <v>89</v>
      </c>
      <c r="N125" s="38"/>
      <c r="O125" s="37">
        <v>45</v>
      </c>
      <c r="P125" s="89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245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74.074074074074076</v>
      </c>
      <c r="Y126" s="43">
        <f>IFERROR(Y122/H122,"0")+IFERROR(Y123/H123,"0")+IFERROR(Y124/H124,"0")+IFERROR(Y125/H125,"0")</f>
        <v>75</v>
      </c>
      <c r="Z126" s="43">
        <f>IFERROR(IF(Z122="",0,Z122),"0")+IFERROR(IF(Z123="",0,Z123),"0")+IFERROR(IF(Z124="",0,Z124),"0")+IFERROR(IF(Z125="",0,Z125),"0")</f>
        <v>1.4235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600</v>
      </c>
      <c r="Y127" s="43">
        <f>IFERROR(SUM(Y122:Y125),"0")</f>
        <v>607.5</v>
      </c>
      <c r="Z127" s="42"/>
      <c r="AA127" s="67"/>
      <c r="AB127" s="67"/>
      <c r="AC127" s="67"/>
    </row>
    <row r="128" spans="1:68" ht="14.25" hidden="1" customHeight="1" x14ac:dyDescent="0.25">
      <c r="A128" s="654" t="s">
        <v>177</v>
      </c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4"/>
      <c r="P128" s="654"/>
      <c r="Q128" s="654"/>
      <c r="R128" s="654"/>
      <c r="S128" s="654"/>
      <c r="T128" s="654"/>
      <c r="U128" s="654"/>
      <c r="V128" s="654"/>
      <c r="W128" s="654"/>
      <c r="X128" s="654"/>
      <c r="Y128" s="654"/>
      <c r="Z128" s="654"/>
      <c r="AA128" s="66"/>
      <c r="AB128" s="66"/>
      <c r="AC128" s="80"/>
    </row>
    <row r="129" spans="1:68" ht="16.5" hidden="1" customHeight="1" x14ac:dyDescent="0.25">
      <c r="A129" s="63" t="s">
        <v>246</v>
      </c>
      <c r="B129" s="63" t="s">
        <v>247</v>
      </c>
      <c r="C129" s="36">
        <v>4301060525</v>
      </c>
      <c r="D129" s="655">
        <v>4680115880238</v>
      </c>
      <c r="E129" s="655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90</v>
      </c>
      <c r="L129" s="37" t="s">
        <v>46</v>
      </c>
      <c r="M129" s="38" t="s">
        <v>89</v>
      </c>
      <c r="N129" s="38"/>
      <c r="O129" s="37">
        <v>40</v>
      </c>
      <c r="P129" s="89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248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249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54" t="s">
        <v>121</v>
      </c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4"/>
      <c r="P133" s="654"/>
      <c r="Q133" s="654"/>
      <c r="R133" s="654"/>
      <c r="S133" s="654"/>
      <c r="T133" s="654"/>
      <c r="U133" s="654"/>
      <c r="V133" s="654"/>
      <c r="W133" s="654"/>
      <c r="X133" s="654"/>
      <c r="Y133" s="654"/>
      <c r="Z133" s="654"/>
      <c r="AA133" s="66"/>
      <c r="AB133" s="66"/>
      <c r="AC133" s="80"/>
    </row>
    <row r="134" spans="1:68" ht="27" hidden="1" customHeight="1" x14ac:dyDescent="0.25">
      <c r="A134" s="63" t="s">
        <v>250</v>
      </c>
      <c r="B134" s="63" t="s">
        <v>251</v>
      </c>
      <c r="C134" s="36">
        <v>4301011562</v>
      </c>
      <c r="D134" s="655">
        <v>4680115882577</v>
      </c>
      <c r="E134" s="655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253</v>
      </c>
      <c r="N134" s="38"/>
      <c r="O134" s="37">
        <v>90</v>
      </c>
      <c r="P134" s="88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250</v>
      </c>
      <c r="B135" s="63" t="s">
        <v>254</v>
      </c>
      <c r="C135" s="36">
        <v>4301011564</v>
      </c>
      <c r="D135" s="655">
        <v>4680115882577</v>
      </c>
      <c r="E135" s="655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253</v>
      </c>
      <c r="N135" s="38"/>
      <c r="O135" s="37">
        <v>90</v>
      </c>
      <c r="P135" s="8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252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4" t="s">
        <v>76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27" hidden="1" customHeight="1" x14ac:dyDescent="0.25">
      <c r="A139" s="63" t="s">
        <v>255</v>
      </c>
      <c r="B139" s="63" t="s">
        <v>256</v>
      </c>
      <c r="C139" s="36">
        <v>4301031234</v>
      </c>
      <c r="D139" s="655">
        <v>4680115883444</v>
      </c>
      <c r="E139" s="655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90</v>
      </c>
      <c r="L139" s="37" t="s">
        <v>46</v>
      </c>
      <c r="M139" s="38" t="s">
        <v>253</v>
      </c>
      <c r="N139" s="38"/>
      <c r="O139" s="37">
        <v>90</v>
      </c>
      <c r="P139" s="88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255</v>
      </c>
      <c r="B140" s="63" t="s">
        <v>258</v>
      </c>
      <c r="C140" s="36">
        <v>4301031235</v>
      </c>
      <c r="D140" s="655">
        <v>4680115883444</v>
      </c>
      <c r="E140" s="655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90</v>
      </c>
      <c r="L140" s="37" t="s">
        <v>46</v>
      </c>
      <c r="M140" s="38" t="s">
        <v>253</v>
      </c>
      <c r="N140" s="38"/>
      <c r="O140" s="37">
        <v>90</v>
      </c>
      <c r="P140" s="8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257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54" t="s">
        <v>85</v>
      </c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4"/>
      <c r="P143" s="654"/>
      <c r="Q143" s="654"/>
      <c r="R143" s="654"/>
      <c r="S143" s="654"/>
      <c r="T143" s="654"/>
      <c r="U143" s="654"/>
      <c r="V143" s="654"/>
      <c r="W143" s="654"/>
      <c r="X143" s="654"/>
      <c r="Y143" s="654"/>
      <c r="Z143" s="654"/>
      <c r="AA143" s="66"/>
      <c r="AB143" s="66"/>
      <c r="AC143" s="80"/>
    </row>
    <row r="144" spans="1:68" ht="16.5" hidden="1" customHeight="1" x14ac:dyDescent="0.25">
      <c r="A144" s="63" t="s">
        <v>259</v>
      </c>
      <c r="B144" s="63" t="s">
        <v>260</v>
      </c>
      <c r="C144" s="36">
        <v>4301051476</v>
      </c>
      <c r="D144" s="655">
        <v>4680115882584</v>
      </c>
      <c r="E144" s="65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90</v>
      </c>
      <c r="L144" s="37" t="s">
        <v>46</v>
      </c>
      <c r="M144" s="38" t="s">
        <v>253</v>
      </c>
      <c r="N144" s="38"/>
      <c r="O144" s="37">
        <v>60</v>
      </c>
      <c r="P144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259</v>
      </c>
      <c r="B145" s="63" t="s">
        <v>261</v>
      </c>
      <c r="C145" s="36">
        <v>4301051477</v>
      </c>
      <c r="D145" s="655">
        <v>4680115882584</v>
      </c>
      <c r="E145" s="655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90</v>
      </c>
      <c r="L145" s="37" t="s">
        <v>46</v>
      </c>
      <c r="M145" s="38" t="s">
        <v>253</v>
      </c>
      <c r="N145" s="38"/>
      <c r="O145" s="37">
        <v>60</v>
      </c>
      <c r="P145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252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262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54" t="s">
        <v>85</v>
      </c>
      <c r="B149" s="654"/>
      <c r="C149" s="654"/>
      <c r="D149" s="654"/>
      <c r="E149" s="654"/>
      <c r="F149" s="654"/>
      <c r="G149" s="654"/>
      <c r="H149" s="654"/>
      <c r="I149" s="654"/>
      <c r="J149" s="654"/>
      <c r="K149" s="654"/>
      <c r="L149" s="654"/>
      <c r="M149" s="654"/>
      <c r="N149" s="654"/>
      <c r="O149" s="654"/>
      <c r="P149" s="654"/>
      <c r="Q149" s="654"/>
      <c r="R149" s="654"/>
      <c r="S149" s="654"/>
      <c r="T149" s="654"/>
      <c r="U149" s="654"/>
      <c r="V149" s="654"/>
      <c r="W149" s="654"/>
      <c r="X149" s="654"/>
      <c r="Y149" s="654"/>
      <c r="Z149" s="654"/>
      <c r="AA149" s="66"/>
      <c r="AB149" s="66"/>
      <c r="AC149" s="80"/>
    </row>
    <row r="150" spans="1:68" ht="27" hidden="1" customHeight="1" x14ac:dyDescent="0.25">
      <c r="A150" s="63" t="s">
        <v>263</v>
      </c>
      <c r="B150" s="63" t="s">
        <v>264</v>
      </c>
      <c r="C150" s="36">
        <v>4301052254</v>
      </c>
      <c r="D150" s="655">
        <v>4680115888203</v>
      </c>
      <c r="E150" s="655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265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266</v>
      </c>
      <c r="B151" s="63" t="s">
        <v>267</v>
      </c>
      <c r="C151" s="36">
        <v>4301052172</v>
      </c>
      <c r="D151" s="655">
        <v>4680115888180</v>
      </c>
      <c r="E151" s="655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8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266</v>
      </c>
      <c r="B152" s="63" t="s">
        <v>269</v>
      </c>
      <c r="C152" s="36">
        <v>4301052252</v>
      </c>
      <c r="D152" s="655">
        <v>4680115888180</v>
      </c>
      <c r="E152" s="65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8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268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270</v>
      </c>
      <c r="B153" s="63" t="s">
        <v>271</v>
      </c>
      <c r="C153" s="36">
        <v>4301052253</v>
      </c>
      <c r="D153" s="655">
        <v>4680115888197</v>
      </c>
      <c r="E153" s="65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8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272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273</v>
      </c>
      <c r="B154" s="63" t="s">
        <v>274</v>
      </c>
      <c r="C154" s="36">
        <v>4301052175</v>
      </c>
      <c r="D154" s="655">
        <v>4680115888210</v>
      </c>
      <c r="E154" s="65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273</v>
      </c>
      <c r="B155" s="63" t="s">
        <v>276</v>
      </c>
      <c r="C155" s="36">
        <v>4301052255</v>
      </c>
      <c r="D155" s="655">
        <v>4680115888210</v>
      </c>
      <c r="E155" s="65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275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4" t="s">
        <v>277</v>
      </c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4"/>
      <c r="P158" s="654"/>
      <c r="Q158" s="654"/>
      <c r="R158" s="654"/>
      <c r="S158" s="654"/>
      <c r="T158" s="654"/>
      <c r="U158" s="654"/>
      <c r="V158" s="654"/>
      <c r="W158" s="654"/>
      <c r="X158" s="654"/>
      <c r="Y158" s="654"/>
      <c r="Z158" s="654"/>
      <c r="AA158" s="66"/>
      <c r="AB158" s="66"/>
      <c r="AC158" s="80"/>
    </row>
    <row r="159" spans="1:68" ht="27" hidden="1" customHeight="1" x14ac:dyDescent="0.25">
      <c r="A159" s="63" t="s">
        <v>278</v>
      </c>
      <c r="B159" s="63" t="s">
        <v>279</v>
      </c>
      <c r="C159" s="36">
        <v>4301032067</v>
      </c>
      <c r="D159" s="655">
        <v>4680115889132</v>
      </c>
      <c r="E159" s="65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283</v>
      </c>
      <c r="L159" s="37" t="s">
        <v>46</v>
      </c>
      <c r="M159" s="38" t="s">
        <v>282</v>
      </c>
      <c r="N159" s="38"/>
      <c r="O159" s="37">
        <v>120</v>
      </c>
      <c r="P159" s="87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280</v>
      </c>
      <c r="AG159" s="78"/>
      <c r="AJ159" s="84" t="s">
        <v>46</v>
      </c>
      <c r="AK159" s="84">
        <v>0</v>
      </c>
      <c r="BB159" s="235" t="s">
        <v>281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119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54" t="s">
        <v>121</v>
      </c>
      <c r="B163" s="654"/>
      <c r="C163" s="654"/>
      <c r="D163" s="654"/>
      <c r="E163" s="654"/>
      <c r="F163" s="654"/>
      <c r="G163" s="654"/>
      <c r="H163" s="654"/>
      <c r="I163" s="654"/>
      <c r="J163" s="654"/>
      <c r="K163" s="654"/>
      <c r="L163" s="654"/>
      <c r="M163" s="654"/>
      <c r="N163" s="654"/>
      <c r="O163" s="654"/>
      <c r="P163" s="654"/>
      <c r="Q163" s="654"/>
      <c r="R163" s="654"/>
      <c r="S163" s="654"/>
      <c r="T163" s="654"/>
      <c r="U163" s="654"/>
      <c r="V163" s="654"/>
      <c r="W163" s="654"/>
      <c r="X163" s="654"/>
      <c r="Y163" s="654"/>
      <c r="Z163" s="654"/>
      <c r="AA163" s="66"/>
      <c r="AB163" s="66"/>
      <c r="AC163" s="80"/>
    </row>
    <row r="164" spans="1:68" ht="27" hidden="1" customHeight="1" x14ac:dyDescent="0.25">
      <c r="A164" s="63" t="s">
        <v>284</v>
      </c>
      <c r="B164" s="63" t="s">
        <v>285</v>
      </c>
      <c r="C164" s="36">
        <v>4301012338</v>
      </c>
      <c r="D164" s="655">
        <v>4680115887374</v>
      </c>
      <c r="E164" s="65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126</v>
      </c>
      <c r="L164" s="37" t="s">
        <v>46</v>
      </c>
      <c r="M164" s="38" t="s">
        <v>125</v>
      </c>
      <c r="N164" s="38"/>
      <c r="O164" s="37">
        <v>55</v>
      </c>
      <c r="P164" s="87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286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288</v>
      </c>
      <c r="C165" s="36">
        <v>4301011705</v>
      </c>
      <c r="D165" s="655">
        <v>4607091384604</v>
      </c>
      <c r="E165" s="65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133</v>
      </c>
      <c r="L165" s="37" t="s">
        <v>46</v>
      </c>
      <c r="M165" s="38" t="s">
        <v>125</v>
      </c>
      <c r="N165" s="38"/>
      <c r="O165" s="37">
        <v>50</v>
      </c>
      <c r="P165" s="87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287</v>
      </c>
      <c r="B166" s="63" t="s">
        <v>290</v>
      </c>
      <c r="C166" s="36">
        <v>4301012258</v>
      </c>
      <c r="D166" s="655">
        <v>4607091384604</v>
      </c>
      <c r="E166" s="65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133</v>
      </c>
      <c r="L166" s="37" t="s">
        <v>46</v>
      </c>
      <c r="M166" s="38" t="s">
        <v>125</v>
      </c>
      <c r="N166" s="38"/>
      <c r="O166" s="37">
        <v>50</v>
      </c>
      <c r="P166" s="871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289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291</v>
      </c>
      <c r="B167" s="63" t="s">
        <v>292</v>
      </c>
      <c r="C167" s="36">
        <v>4301012344</v>
      </c>
      <c r="D167" s="655">
        <v>4680115888876</v>
      </c>
      <c r="E167" s="65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90</v>
      </c>
      <c r="L167" s="37" t="s">
        <v>46</v>
      </c>
      <c r="M167" s="38" t="s">
        <v>89</v>
      </c>
      <c r="N167" s="38"/>
      <c r="O167" s="37">
        <v>55</v>
      </c>
      <c r="P167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293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4" t="s">
        <v>158</v>
      </c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4"/>
      <c r="P170" s="654"/>
      <c r="Q170" s="654"/>
      <c r="R170" s="654"/>
      <c r="S170" s="654"/>
      <c r="T170" s="654"/>
      <c r="U170" s="654"/>
      <c r="V170" s="654"/>
      <c r="W170" s="654"/>
      <c r="X170" s="654"/>
      <c r="Y170" s="654"/>
      <c r="Z170" s="654"/>
      <c r="AA170" s="66"/>
      <c r="AB170" s="66"/>
      <c r="AC170" s="80"/>
    </row>
    <row r="171" spans="1:68" ht="16.5" hidden="1" customHeight="1" x14ac:dyDescent="0.25">
      <c r="A171" s="63" t="s">
        <v>294</v>
      </c>
      <c r="B171" s="63" t="s">
        <v>295</v>
      </c>
      <c r="C171" s="36">
        <v>4301020410</v>
      </c>
      <c r="D171" s="655">
        <v>4680115887695</v>
      </c>
      <c r="E171" s="655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81</v>
      </c>
      <c r="L171" s="37" t="s">
        <v>46</v>
      </c>
      <c r="M171" s="38" t="s">
        <v>80</v>
      </c>
      <c r="N171" s="38"/>
      <c r="O171" s="37">
        <v>30</v>
      </c>
      <c r="P171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296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297</v>
      </c>
      <c r="B172" s="63" t="s">
        <v>298</v>
      </c>
      <c r="C172" s="36">
        <v>4301020439</v>
      </c>
      <c r="D172" s="655">
        <v>4680115889491</v>
      </c>
      <c r="E172" s="65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125</v>
      </c>
      <c r="N172" s="38"/>
      <c r="O172" s="37">
        <v>55</v>
      </c>
      <c r="P172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299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4" t="s">
        <v>76</v>
      </c>
      <c r="B175" s="654"/>
      <c r="C175" s="654"/>
      <c r="D175" s="654"/>
      <c r="E175" s="654"/>
      <c r="F175" s="654"/>
      <c r="G175" s="654"/>
      <c r="H175" s="654"/>
      <c r="I175" s="654"/>
      <c r="J175" s="654"/>
      <c r="K175" s="654"/>
      <c r="L175" s="654"/>
      <c r="M175" s="654"/>
      <c r="N175" s="654"/>
      <c r="O175" s="654"/>
      <c r="P175" s="654"/>
      <c r="Q175" s="654"/>
      <c r="R175" s="654"/>
      <c r="S175" s="654"/>
      <c r="T175" s="654"/>
      <c r="U175" s="654"/>
      <c r="V175" s="654"/>
      <c r="W175" s="654"/>
      <c r="X175" s="654"/>
      <c r="Y175" s="654"/>
      <c r="Z175" s="654"/>
      <c r="AA175" s="66"/>
      <c r="AB175" s="66"/>
      <c r="AC175" s="80"/>
    </row>
    <row r="176" spans="1:68" ht="27" hidden="1" customHeight="1" x14ac:dyDescent="0.25">
      <c r="A176" s="63" t="s">
        <v>300</v>
      </c>
      <c r="B176" s="63" t="s">
        <v>301</v>
      </c>
      <c r="C176" s="36">
        <v>4301031496</v>
      </c>
      <c r="D176" s="655">
        <v>4680115887428</v>
      </c>
      <c r="E176" s="655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133</v>
      </c>
      <c r="L176" s="37" t="s">
        <v>46</v>
      </c>
      <c r="M176" s="38" t="s">
        <v>80</v>
      </c>
      <c r="N176" s="38"/>
      <c r="O176" s="37">
        <v>40</v>
      </c>
      <c r="P176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302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303</v>
      </c>
      <c r="B177" s="63" t="s">
        <v>304</v>
      </c>
      <c r="C177" s="36">
        <v>4301031509</v>
      </c>
      <c r="D177" s="655">
        <v>4680115889170</v>
      </c>
      <c r="E177" s="655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133</v>
      </c>
      <c r="L177" s="37" t="s">
        <v>46</v>
      </c>
      <c r="M177" s="38" t="s">
        <v>80</v>
      </c>
      <c r="N177" s="38"/>
      <c r="O177" s="37">
        <v>45</v>
      </c>
      <c r="P177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305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306</v>
      </c>
      <c r="B178" s="63" t="s">
        <v>307</v>
      </c>
      <c r="C178" s="36">
        <v>4301031522</v>
      </c>
      <c r="D178" s="655">
        <v>4680115887398</v>
      </c>
      <c r="E178" s="65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133</v>
      </c>
      <c r="L178" s="37" t="s">
        <v>46</v>
      </c>
      <c r="M178" s="38" t="s">
        <v>80</v>
      </c>
      <c r="N178" s="38"/>
      <c r="O178" s="37">
        <v>45</v>
      </c>
      <c r="P178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308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309</v>
      </c>
      <c r="B179" s="63" t="s">
        <v>310</v>
      </c>
      <c r="C179" s="36">
        <v>4301031520</v>
      </c>
      <c r="D179" s="655">
        <v>4680115887336</v>
      </c>
      <c r="E179" s="65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133</v>
      </c>
      <c r="L179" s="37" t="s">
        <v>46</v>
      </c>
      <c r="M179" s="38" t="s">
        <v>80</v>
      </c>
      <c r="N179" s="38"/>
      <c r="O179" s="37">
        <v>45</v>
      </c>
      <c r="P179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311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312</v>
      </c>
      <c r="B180" s="63" t="s">
        <v>313</v>
      </c>
      <c r="C180" s="36">
        <v>4301032049</v>
      </c>
      <c r="D180" s="655">
        <v>4680115887787</v>
      </c>
      <c r="E180" s="655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130</v>
      </c>
      <c r="L180" s="37" t="s">
        <v>46</v>
      </c>
      <c r="M180" s="38" t="s">
        <v>80</v>
      </c>
      <c r="N180" s="38"/>
      <c r="O180" s="37">
        <v>45</v>
      </c>
      <c r="P180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312</v>
      </c>
      <c r="B181" s="63" t="s">
        <v>315</v>
      </c>
      <c r="C181" s="36">
        <v>4301031528</v>
      </c>
      <c r="D181" s="655">
        <v>4680115887787</v>
      </c>
      <c r="E181" s="65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130</v>
      </c>
      <c r="L181" s="37" t="s">
        <v>46</v>
      </c>
      <c r="M181" s="38" t="s">
        <v>80</v>
      </c>
      <c r="N181" s="38"/>
      <c r="O181" s="37">
        <v>45</v>
      </c>
      <c r="P181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314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4301031448</v>
      </c>
      <c r="D182" s="655">
        <v>4680115887503</v>
      </c>
      <c r="E182" s="65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302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318</v>
      </c>
      <c r="B183" s="63" t="s">
        <v>319</v>
      </c>
      <c r="C183" s="36">
        <v>4301031389</v>
      </c>
      <c r="D183" s="655">
        <v>4680115887763</v>
      </c>
      <c r="E183" s="65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130</v>
      </c>
      <c r="L183" s="37" t="s">
        <v>46</v>
      </c>
      <c r="M183" s="38" t="s">
        <v>80</v>
      </c>
      <c r="N183" s="38"/>
      <c r="O183" s="37">
        <v>45</v>
      </c>
      <c r="P183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321</v>
      </c>
      <c r="B184" s="63" t="s">
        <v>322</v>
      </c>
      <c r="C184" s="36">
        <v>4301031521</v>
      </c>
      <c r="D184" s="655">
        <v>4680115887480</v>
      </c>
      <c r="E184" s="65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56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308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323</v>
      </c>
      <c r="B185" s="63" t="s">
        <v>324</v>
      </c>
      <c r="C185" s="36">
        <v>4301031434</v>
      </c>
      <c r="D185" s="655">
        <v>4680115888067</v>
      </c>
      <c r="E185" s="655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325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326</v>
      </c>
      <c r="B186" s="63" t="s">
        <v>327</v>
      </c>
      <c r="C186" s="36">
        <v>4301031519</v>
      </c>
      <c r="D186" s="655">
        <v>4680115887435</v>
      </c>
      <c r="E186" s="65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81</v>
      </c>
      <c r="L186" s="37" t="s">
        <v>46</v>
      </c>
      <c r="M186" s="38" t="s">
        <v>80</v>
      </c>
      <c r="N186" s="38"/>
      <c r="O186" s="37">
        <v>45</v>
      </c>
      <c r="P186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311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4" t="s">
        <v>85</v>
      </c>
      <c r="B189" s="654"/>
      <c r="C189" s="654"/>
      <c r="D189" s="654"/>
      <c r="E189" s="654"/>
      <c r="F189" s="654"/>
      <c r="G189" s="654"/>
      <c r="H189" s="654"/>
      <c r="I189" s="654"/>
      <c r="J189" s="654"/>
      <c r="K189" s="654"/>
      <c r="L189" s="654"/>
      <c r="M189" s="654"/>
      <c r="N189" s="654"/>
      <c r="O189" s="654"/>
      <c r="P189" s="654"/>
      <c r="Q189" s="654"/>
      <c r="R189" s="654"/>
      <c r="S189" s="654"/>
      <c r="T189" s="654"/>
      <c r="U189" s="654"/>
      <c r="V189" s="654"/>
      <c r="W189" s="654"/>
      <c r="X189" s="654"/>
      <c r="Y189" s="654"/>
      <c r="Z189" s="654"/>
      <c r="AA189" s="66"/>
      <c r="AB189" s="66"/>
      <c r="AC189" s="80"/>
    </row>
    <row r="190" spans="1:68" ht="16.5" hidden="1" customHeight="1" x14ac:dyDescent="0.25">
      <c r="A190" s="63" t="s">
        <v>328</v>
      </c>
      <c r="B190" s="63" t="s">
        <v>329</v>
      </c>
      <c r="C190" s="36">
        <v>4301052193</v>
      </c>
      <c r="D190" s="655">
        <v>4680115888395</v>
      </c>
      <c r="E190" s="65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90</v>
      </c>
      <c r="L190" s="37" t="s">
        <v>46</v>
      </c>
      <c r="M190" s="38" t="s">
        <v>96</v>
      </c>
      <c r="N190" s="38"/>
      <c r="O190" s="37">
        <v>40</v>
      </c>
      <c r="P190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331</v>
      </c>
      <c r="B191" s="63" t="s">
        <v>332</v>
      </c>
      <c r="C191" s="36">
        <v>4301052191</v>
      </c>
      <c r="D191" s="655">
        <v>4680115888371</v>
      </c>
      <c r="E191" s="65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333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334</v>
      </c>
      <c r="B192" s="63" t="s">
        <v>335</v>
      </c>
      <c r="C192" s="36">
        <v>4301052064</v>
      </c>
      <c r="D192" s="655">
        <v>4680115887459</v>
      </c>
      <c r="E192" s="655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90</v>
      </c>
      <c r="L192" s="37" t="s">
        <v>46</v>
      </c>
      <c r="M192" s="38" t="s">
        <v>89</v>
      </c>
      <c r="N192" s="38"/>
      <c r="O192" s="37">
        <v>45</v>
      </c>
      <c r="P192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336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54" t="s">
        <v>277</v>
      </c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4"/>
      <c r="P195" s="654"/>
      <c r="Q195" s="654"/>
      <c r="R195" s="654"/>
      <c r="S195" s="654"/>
      <c r="T195" s="654"/>
      <c r="U195" s="654"/>
      <c r="V195" s="654"/>
      <c r="W195" s="654"/>
      <c r="X195" s="654"/>
      <c r="Y195" s="654"/>
      <c r="Z195" s="654"/>
      <c r="AA195" s="66"/>
      <c r="AB195" s="66"/>
      <c r="AC195" s="80"/>
    </row>
    <row r="196" spans="1:68" ht="16.5" hidden="1" customHeight="1" x14ac:dyDescent="0.25">
      <c r="A196" s="63" t="s">
        <v>337</v>
      </c>
      <c r="B196" s="63" t="s">
        <v>338</v>
      </c>
      <c r="C196" s="36">
        <v>4301032058</v>
      </c>
      <c r="D196" s="655">
        <v>4680115889026</v>
      </c>
      <c r="E196" s="65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340</v>
      </c>
      <c r="L196" s="37" t="s">
        <v>46</v>
      </c>
      <c r="M196" s="38" t="s">
        <v>282</v>
      </c>
      <c r="N196" s="38"/>
      <c r="O196" s="37">
        <v>60</v>
      </c>
      <c r="P196" s="85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339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54" t="s">
        <v>341</v>
      </c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4"/>
      <c r="P199" s="654"/>
      <c r="Q199" s="654"/>
      <c r="R199" s="654"/>
      <c r="S199" s="654"/>
      <c r="T199" s="654"/>
      <c r="U199" s="654"/>
      <c r="V199" s="654"/>
      <c r="W199" s="654"/>
      <c r="X199" s="654"/>
      <c r="Y199" s="654"/>
      <c r="Z199" s="654"/>
      <c r="AA199" s="66"/>
      <c r="AB199" s="66"/>
      <c r="AC199" s="80"/>
    </row>
    <row r="200" spans="1:68" ht="27" hidden="1" customHeight="1" x14ac:dyDescent="0.25">
      <c r="A200" s="63" t="s">
        <v>342</v>
      </c>
      <c r="B200" s="63" t="s">
        <v>343</v>
      </c>
      <c r="C200" s="36">
        <v>4301041009</v>
      </c>
      <c r="D200" s="655">
        <v>4680115889033</v>
      </c>
      <c r="E200" s="65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340</v>
      </c>
      <c r="L200" s="37" t="s">
        <v>46</v>
      </c>
      <c r="M200" s="38" t="s">
        <v>282</v>
      </c>
      <c r="N200" s="38"/>
      <c r="O200" s="37">
        <v>60</v>
      </c>
      <c r="P200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344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78" t="s">
        <v>345</v>
      </c>
      <c r="B203" s="678"/>
      <c r="C203" s="678"/>
      <c r="D203" s="678"/>
      <c r="E203" s="678"/>
      <c r="F203" s="678"/>
      <c r="G203" s="678"/>
      <c r="H203" s="678"/>
      <c r="I203" s="678"/>
      <c r="J203" s="678"/>
      <c r="K203" s="678"/>
      <c r="L203" s="678"/>
      <c r="M203" s="678"/>
      <c r="N203" s="678"/>
      <c r="O203" s="678"/>
      <c r="P203" s="678"/>
      <c r="Q203" s="678"/>
      <c r="R203" s="678"/>
      <c r="S203" s="678"/>
      <c r="T203" s="678"/>
      <c r="U203" s="678"/>
      <c r="V203" s="678"/>
      <c r="W203" s="678"/>
      <c r="X203" s="678"/>
      <c r="Y203" s="678"/>
      <c r="Z203" s="678"/>
      <c r="AA203" s="54"/>
      <c r="AB203" s="54"/>
      <c r="AC203" s="54"/>
    </row>
    <row r="204" spans="1:68" ht="16.5" hidden="1" customHeight="1" x14ac:dyDescent="0.25">
      <c r="A204" s="665" t="s">
        <v>346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54" t="s">
        <v>121</v>
      </c>
      <c r="B205" s="654"/>
      <c r="C205" s="654"/>
      <c r="D205" s="654"/>
      <c r="E205" s="654"/>
      <c r="F205" s="654"/>
      <c r="G205" s="654"/>
      <c r="H205" s="654"/>
      <c r="I205" s="654"/>
      <c r="J205" s="654"/>
      <c r="K205" s="654"/>
      <c r="L205" s="654"/>
      <c r="M205" s="654"/>
      <c r="N205" s="654"/>
      <c r="O205" s="654"/>
      <c r="P205" s="654"/>
      <c r="Q205" s="654"/>
      <c r="R205" s="654"/>
      <c r="S205" s="654"/>
      <c r="T205" s="654"/>
      <c r="U205" s="654"/>
      <c r="V205" s="654"/>
      <c r="W205" s="654"/>
      <c r="X205" s="654"/>
      <c r="Y205" s="654"/>
      <c r="Z205" s="654"/>
      <c r="AA205" s="66"/>
      <c r="AB205" s="66"/>
      <c r="AC205" s="80"/>
    </row>
    <row r="206" spans="1:68" ht="27" hidden="1" customHeight="1" x14ac:dyDescent="0.25">
      <c r="A206" s="63" t="s">
        <v>347</v>
      </c>
      <c r="B206" s="63" t="s">
        <v>348</v>
      </c>
      <c r="C206" s="36">
        <v>4301011223</v>
      </c>
      <c r="D206" s="655">
        <v>4607091383423</v>
      </c>
      <c r="E206" s="65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126</v>
      </c>
      <c r="L206" s="37" t="s">
        <v>46</v>
      </c>
      <c r="M206" s="38" t="s">
        <v>89</v>
      </c>
      <c r="N206" s="38"/>
      <c r="O206" s="37">
        <v>35</v>
      </c>
      <c r="P206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124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349</v>
      </c>
      <c r="B207" s="63" t="s">
        <v>350</v>
      </c>
      <c r="C207" s="36">
        <v>4301012340</v>
      </c>
      <c r="D207" s="655">
        <v>4680115888760</v>
      </c>
      <c r="E207" s="65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126</v>
      </c>
      <c r="L207" s="37" t="s">
        <v>46</v>
      </c>
      <c r="M207" s="38" t="s">
        <v>89</v>
      </c>
      <c r="N207" s="38"/>
      <c r="O207" s="37">
        <v>35</v>
      </c>
      <c r="P207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351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352</v>
      </c>
      <c r="B208" s="63" t="s">
        <v>353</v>
      </c>
      <c r="C208" s="36">
        <v>4301012341</v>
      </c>
      <c r="D208" s="655">
        <v>4680115888807</v>
      </c>
      <c r="E208" s="65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126</v>
      </c>
      <c r="L208" s="37" t="s">
        <v>46</v>
      </c>
      <c r="M208" s="38" t="s">
        <v>89</v>
      </c>
      <c r="N208" s="38"/>
      <c r="O208" s="37">
        <v>35</v>
      </c>
      <c r="P208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354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355</v>
      </c>
      <c r="B209" s="63" t="s">
        <v>356</v>
      </c>
      <c r="C209" s="36">
        <v>4301012342</v>
      </c>
      <c r="D209" s="655">
        <v>4680115888852</v>
      </c>
      <c r="E209" s="65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126</v>
      </c>
      <c r="L209" s="37" t="s">
        <v>46</v>
      </c>
      <c r="M209" s="38" t="s">
        <v>89</v>
      </c>
      <c r="N209" s="38"/>
      <c r="O209" s="37">
        <v>35</v>
      </c>
      <c r="P209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357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358</v>
      </c>
      <c r="B210" s="63" t="s">
        <v>359</v>
      </c>
      <c r="C210" s="36">
        <v>4301012370</v>
      </c>
      <c r="D210" s="655">
        <v>4680115886957</v>
      </c>
      <c r="E210" s="65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126</v>
      </c>
      <c r="L210" s="37" t="s">
        <v>46</v>
      </c>
      <c r="M210" s="38" t="s">
        <v>89</v>
      </c>
      <c r="N210" s="38"/>
      <c r="O210" s="37">
        <v>35</v>
      </c>
      <c r="P210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360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361</v>
      </c>
      <c r="B211" s="63" t="s">
        <v>362</v>
      </c>
      <c r="C211" s="36">
        <v>4301012098</v>
      </c>
      <c r="D211" s="655">
        <v>4680115885660</v>
      </c>
      <c r="E211" s="65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363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364</v>
      </c>
      <c r="B212" s="63" t="s">
        <v>365</v>
      </c>
      <c r="C212" s="36">
        <v>4301012369</v>
      </c>
      <c r="D212" s="655">
        <v>4680115886773</v>
      </c>
      <c r="E212" s="65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366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367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54" t="s">
        <v>158</v>
      </c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4"/>
      <c r="P216" s="654"/>
      <c r="Q216" s="654"/>
      <c r="R216" s="654"/>
      <c r="S216" s="654"/>
      <c r="T216" s="654"/>
      <c r="U216" s="654"/>
      <c r="V216" s="654"/>
      <c r="W216" s="654"/>
      <c r="X216" s="654"/>
      <c r="Y216" s="654"/>
      <c r="Z216" s="654"/>
      <c r="AA216" s="66"/>
      <c r="AB216" s="66"/>
      <c r="AC216" s="80"/>
    </row>
    <row r="217" spans="1:68" ht="27" hidden="1" customHeight="1" x14ac:dyDescent="0.25">
      <c r="A217" s="63" t="s">
        <v>368</v>
      </c>
      <c r="B217" s="63" t="s">
        <v>369</v>
      </c>
      <c r="C217" s="36">
        <v>4301020323</v>
      </c>
      <c r="D217" s="655">
        <v>4680115886223</v>
      </c>
      <c r="E217" s="65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81</v>
      </c>
      <c r="L217" s="37" t="s">
        <v>46</v>
      </c>
      <c r="M217" s="38" t="s">
        <v>80</v>
      </c>
      <c r="N217" s="38"/>
      <c r="O217" s="37">
        <v>40</v>
      </c>
      <c r="P217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370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54" t="s">
        <v>76</v>
      </c>
      <c r="B220" s="654"/>
      <c r="C220" s="654"/>
      <c r="D220" s="654"/>
      <c r="E220" s="654"/>
      <c r="F220" s="654"/>
      <c r="G220" s="654"/>
      <c r="H220" s="654"/>
      <c r="I220" s="654"/>
      <c r="J220" s="654"/>
      <c r="K220" s="654"/>
      <c r="L220" s="654"/>
      <c r="M220" s="654"/>
      <c r="N220" s="654"/>
      <c r="O220" s="654"/>
      <c r="P220" s="654"/>
      <c r="Q220" s="654"/>
      <c r="R220" s="654"/>
      <c r="S220" s="654"/>
      <c r="T220" s="654"/>
      <c r="U220" s="654"/>
      <c r="V220" s="654"/>
      <c r="W220" s="654"/>
      <c r="X220" s="654"/>
      <c r="Y220" s="654"/>
      <c r="Z220" s="654"/>
      <c r="AA220" s="66"/>
      <c r="AB220" s="66"/>
      <c r="AC220" s="80"/>
    </row>
    <row r="221" spans="1:68" ht="27" hidden="1" customHeight="1" x14ac:dyDescent="0.25">
      <c r="A221" s="63" t="s">
        <v>371</v>
      </c>
      <c r="B221" s="63" t="s">
        <v>372</v>
      </c>
      <c r="C221" s="36">
        <v>4301031191</v>
      </c>
      <c r="D221" s="655">
        <v>4680115880993</v>
      </c>
      <c r="E221" s="65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133</v>
      </c>
      <c r="L221" s="37" t="s">
        <v>46</v>
      </c>
      <c r="M221" s="38" t="s">
        <v>80</v>
      </c>
      <c r="N221" s="38"/>
      <c r="O221" s="37">
        <v>40</v>
      </c>
      <c r="P221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373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33">IFERROR(X221*I221/H221,"0")</f>
        <v>0</v>
      </c>
      <c r="BN221" s="78">
        <f t="shared" ref="BN221:BN234" si="34">IFERROR(Y221*I221/H221,"0")</f>
        <v>0</v>
      </c>
      <c r="BO221" s="78">
        <f t="shared" ref="BO221:BO234" si="35">IFERROR(1/J221*(X221/H221),"0")</f>
        <v>0</v>
      </c>
      <c r="BP221" s="78">
        <f t="shared" ref="BP221:BP234" si="36">IFERROR(1/J221*(Y221/H221),"0")</f>
        <v>0</v>
      </c>
    </row>
    <row r="222" spans="1:68" ht="27" hidden="1" customHeight="1" x14ac:dyDescent="0.25">
      <c r="A222" s="63" t="s">
        <v>374</v>
      </c>
      <c r="B222" s="63" t="s">
        <v>375</v>
      </c>
      <c r="C222" s="36">
        <v>4301031204</v>
      </c>
      <c r="D222" s="655">
        <v>4680115881761</v>
      </c>
      <c r="E222" s="65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133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376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377</v>
      </c>
      <c r="B223" s="63" t="s">
        <v>378</v>
      </c>
      <c r="C223" s="36">
        <v>4301031201</v>
      </c>
      <c r="D223" s="655">
        <v>4680115881563</v>
      </c>
      <c r="E223" s="65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133</v>
      </c>
      <c r="L223" s="37" t="s">
        <v>46</v>
      </c>
      <c r="M223" s="38" t="s">
        <v>80</v>
      </c>
      <c r="N223" s="38"/>
      <c r="O223" s="37">
        <v>40</v>
      </c>
      <c r="P223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379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380</v>
      </c>
      <c r="B224" s="63" t="s">
        <v>381</v>
      </c>
      <c r="C224" s="36">
        <v>4301031447</v>
      </c>
      <c r="D224" s="655">
        <v>4680115887565</v>
      </c>
      <c r="E224" s="65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382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383</v>
      </c>
      <c r="B225" s="63" t="s">
        <v>384</v>
      </c>
      <c r="C225" s="36">
        <v>4301031199</v>
      </c>
      <c r="D225" s="655">
        <v>4680115880986</v>
      </c>
      <c r="E225" s="65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304" t="s">
        <v>373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385</v>
      </c>
      <c r="B226" s="63" t="s">
        <v>386</v>
      </c>
      <c r="C226" s="36">
        <v>4301031443</v>
      </c>
      <c r="D226" s="655">
        <v>4680115887213</v>
      </c>
      <c r="E226" s="65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4301031205</v>
      </c>
      <c r="D227" s="655">
        <v>4680115881785</v>
      </c>
      <c r="E227" s="65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8" t="s">
        <v>376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390</v>
      </c>
      <c r="B228" s="63" t="s">
        <v>391</v>
      </c>
      <c r="C228" s="36">
        <v>4301031499</v>
      </c>
      <c r="D228" s="655">
        <v>4680115888432</v>
      </c>
      <c r="E228" s="65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10" t="s">
        <v>392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393</v>
      </c>
      <c r="B229" s="63" t="s">
        <v>394</v>
      </c>
      <c r="C229" s="36">
        <v>4301031503</v>
      </c>
      <c r="D229" s="655">
        <v>4680115886537</v>
      </c>
      <c r="E229" s="655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395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396</v>
      </c>
      <c r="B230" s="63" t="s">
        <v>397</v>
      </c>
      <c r="C230" s="36">
        <v>4301031279</v>
      </c>
      <c r="D230" s="655">
        <v>4680115887596</v>
      </c>
      <c r="E230" s="655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130</v>
      </c>
      <c r="L230" s="37" t="s">
        <v>46</v>
      </c>
      <c r="M230" s="38" t="s">
        <v>80</v>
      </c>
      <c r="N230" s="38"/>
      <c r="O230" s="37">
        <v>45</v>
      </c>
      <c r="P230" s="8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37.5" hidden="1" customHeight="1" x14ac:dyDescent="0.25">
      <c r="A231" s="63" t="s">
        <v>399</v>
      </c>
      <c r="B231" s="63" t="s">
        <v>400</v>
      </c>
      <c r="C231" s="36">
        <v>4301031530</v>
      </c>
      <c r="D231" s="655">
        <v>4680115881679</v>
      </c>
      <c r="E231" s="655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401</v>
      </c>
      <c r="B232" s="63" t="s">
        <v>402</v>
      </c>
      <c r="C232" s="36">
        <v>4301031158</v>
      </c>
      <c r="D232" s="655">
        <v>4680115880191</v>
      </c>
      <c r="E232" s="655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90</v>
      </c>
      <c r="L232" s="37" t="s">
        <v>46</v>
      </c>
      <c r="M232" s="38" t="s">
        <v>80</v>
      </c>
      <c r="N232" s="38"/>
      <c r="O232" s="37">
        <v>40</v>
      </c>
      <c r="P232" s="8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401</v>
      </c>
      <c r="B233" s="63" t="s">
        <v>403</v>
      </c>
      <c r="C233" s="36">
        <v>4301031531</v>
      </c>
      <c r="D233" s="655">
        <v>4680115880191</v>
      </c>
      <c r="E233" s="65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90</v>
      </c>
      <c r="L233" s="37" t="s">
        <v>46</v>
      </c>
      <c r="M233" s="38" t="s">
        <v>80</v>
      </c>
      <c r="N233" s="38"/>
      <c r="O233" s="37">
        <v>45</v>
      </c>
      <c r="P233" s="83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404</v>
      </c>
      <c r="B234" s="63" t="s">
        <v>405</v>
      </c>
      <c r="C234" s="36">
        <v>4301031245</v>
      </c>
      <c r="D234" s="655">
        <v>4680115883963</v>
      </c>
      <c r="E234" s="65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406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idden="1" x14ac:dyDescent="0.2">
      <c r="A235" s="663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4"/>
      <c r="P235" s="660" t="s">
        <v>40</v>
      </c>
      <c r="Q235" s="661"/>
      <c r="R235" s="661"/>
      <c r="S235" s="661"/>
      <c r="T235" s="661"/>
      <c r="U235" s="661"/>
      <c r="V235" s="66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54" t="s">
        <v>85</v>
      </c>
      <c r="B237" s="654"/>
      <c r="C237" s="654"/>
      <c r="D237" s="654"/>
      <c r="E237" s="654"/>
      <c r="F237" s="654"/>
      <c r="G237" s="654"/>
      <c r="H237" s="654"/>
      <c r="I237" s="654"/>
      <c r="J237" s="654"/>
      <c r="K237" s="654"/>
      <c r="L237" s="654"/>
      <c r="M237" s="654"/>
      <c r="N237" s="654"/>
      <c r="O237" s="654"/>
      <c r="P237" s="654"/>
      <c r="Q237" s="654"/>
      <c r="R237" s="654"/>
      <c r="S237" s="654"/>
      <c r="T237" s="654"/>
      <c r="U237" s="654"/>
      <c r="V237" s="654"/>
      <c r="W237" s="654"/>
      <c r="X237" s="654"/>
      <c r="Y237" s="654"/>
      <c r="Z237" s="654"/>
      <c r="AA237" s="66"/>
      <c r="AB237" s="66"/>
      <c r="AC237" s="80"/>
    </row>
    <row r="238" spans="1:68" ht="16.5" hidden="1" customHeight="1" x14ac:dyDescent="0.25">
      <c r="A238" s="63" t="s">
        <v>407</v>
      </c>
      <c r="B238" s="63" t="s">
        <v>408</v>
      </c>
      <c r="C238" s="36">
        <v>4301052209</v>
      </c>
      <c r="D238" s="655">
        <v>4680115888692</v>
      </c>
      <c r="E238" s="65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126</v>
      </c>
      <c r="L238" s="37" t="s">
        <v>46</v>
      </c>
      <c r="M238" s="38" t="s">
        <v>96</v>
      </c>
      <c r="N238" s="38"/>
      <c r="O238" s="37">
        <v>35</v>
      </c>
      <c r="P238" s="82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7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409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8">IFERROR(X238*I238/H238,"0")</f>
        <v>0</v>
      </c>
      <c r="BN238" s="78">
        <f t="shared" ref="BN238:BN246" si="39">IFERROR(Y238*I238/H238,"0")</f>
        <v>0</v>
      </c>
      <c r="BO238" s="78">
        <f t="shared" ref="BO238:BO246" si="40">IFERROR(1/J238*(X238/H238),"0")</f>
        <v>0</v>
      </c>
      <c r="BP238" s="78">
        <f t="shared" ref="BP238:BP246" si="41">IFERROR(1/J238*(Y238/H238),"0")</f>
        <v>0</v>
      </c>
    </row>
    <row r="239" spans="1:68" ht="16.5" hidden="1" customHeight="1" x14ac:dyDescent="0.25">
      <c r="A239" s="63" t="s">
        <v>407</v>
      </c>
      <c r="B239" s="63" t="s">
        <v>410</v>
      </c>
      <c r="C239" s="36">
        <v>4301052279</v>
      </c>
      <c r="D239" s="655">
        <v>4680115888692</v>
      </c>
      <c r="E239" s="65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126</v>
      </c>
      <c r="L239" s="37" t="s">
        <v>46</v>
      </c>
      <c r="M239" s="38" t="s">
        <v>96</v>
      </c>
      <c r="N239" s="38"/>
      <c r="O239" s="37">
        <v>40</v>
      </c>
      <c r="P239" s="82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411</v>
      </c>
      <c r="AG239" s="78"/>
      <c r="AJ239" s="84" t="s">
        <v>46</v>
      </c>
      <c r="AK239" s="84">
        <v>0</v>
      </c>
      <c r="BB239" s="327" t="s">
        <v>67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t="27" hidden="1" customHeight="1" x14ac:dyDescent="0.25">
      <c r="A240" s="63" t="s">
        <v>412</v>
      </c>
      <c r="B240" s="63" t="s">
        <v>413</v>
      </c>
      <c r="C240" s="36">
        <v>4301052213</v>
      </c>
      <c r="D240" s="655">
        <v>4680115888722</v>
      </c>
      <c r="E240" s="655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126</v>
      </c>
      <c r="L240" s="37" t="s">
        <v>46</v>
      </c>
      <c r="M240" s="38" t="s">
        <v>96</v>
      </c>
      <c r="N240" s="38"/>
      <c r="O240" s="37">
        <v>35</v>
      </c>
      <c r="P240" s="82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7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414</v>
      </c>
      <c r="AG240" s="78"/>
      <c r="AJ240" s="84" t="s">
        <v>46</v>
      </c>
      <c r="AK240" s="84">
        <v>0</v>
      </c>
      <c r="BB240" s="329" t="s">
        <v>67</v>
      </c>
      <c r="BM240" s="78">
        <f t="shared" si="38"/>
        <v>0</v>
      </c>
      <c r="BN240" s="78">
        <f t="shared" si="39"/>
        <v>0</v>
      </c>
      <c r="BO240" s="78">
        <f t="shared" si="40"/>
        <v>0</v>
      </c>
      <c r="BP240" s="78">
        <f t="shared" si="41"/>
        <v>0</v>
      </c>
    </row>
    <row r="241" spans="1:68" ht="27" hidden="1" customHeight="1" x14ac:dyDescent="0.25">
      <c r="A241" s="63" t="s">
        <v>412</v>
      </c>
      <c r="B241" s="63" t="s">
        <v>415</v>
      </c>
      <c r="C241" s="36">
        <v>4301052280</v>
      </c>
      <c r="D241" s="655">
        <v>4680115888722</v>
      </c>
      <c r="E241" s="655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126</v>
      </c>
      <c r="L241" s="37" t="s">
        <v>46</v>
      </c>
      <c r="M241" s="38" t="s">
        <v>96</v>
      </c>
      <c r="N241" s="38"/>
      <c r="O241" s="37">
        <v>40</v>
      </c>
      <c r="P241" s="82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7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416</v>
      </c>
      <c r="AG241" s="78"/>
      <c r="AJ241" s="84" t="s">
        <v>46</v>
      </c>
      <c r="AK241" s="84">
        <v>0</v>
      </c>
      <c r="BB241" s="331" t="s">
        <v>67</v>
      </c>
      <c r="BM241" s="78">
        <f t="shared" si="38"/>
        <v>0</v>
      </c>
      <c r="BN241" s="78">
        <f t="shared" si="39"/>
        <v>0</v>
      </c>
      <c r="BO241" s="78">
        <f t="shared" si="40"/>
        <v>0</v>
      </c>
      <c r="BP241" s="78">
        <f t="shared" si="41"/>
        <v>0</v>
      </c>
    </row>
    <row r="242" spans="1:68" ht="27" hidden="1" customHeight="1" x14ac:dyDescent="0.25">
      <c r="A242" s="63" t="s">
        <v>417</v>
      </c>
      <c r="B242" s="63" t="s">
        <v>418</v>
      </c>
      <c r="C242" s="36">
        <v>4301052177</v>
      </c>
      <c r="D242" s="655">
        <v>4680115888951</v>
      </c>
      <c r="E242" s="65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133</v>
      </c>
      <c r="L242" s="37" t="s">
        <v>46</v>
      </c>
      <c r="M242" s="38" t="s">
        <v>96</v>
      </c>
      <c r="N242" s="38"/>
      <c r="O242" s="37">
        <v>35</v>
      </c>
      <c r="P242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7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419</v>
      </c>
      <c r="AG242" s="78"/>
      <c r="AJ242" s="84" t="s">
        <v>46</v>
      </c>
      <c r="AK242" s="84">
        <v>0</v>
      </c>
      <c r="BB242" s="333" t="s">
        <v>67</v>
      </c>
      <c r="BM242" s="78">
        <f t="shared" si="38"/>
        <v>0</v>
      </c>
      <c r="BN242" s="78">
        <f t="shared" si="39"/>
        <v>0</v>
      </c>
      <c r="BO242" s="78">
        <f t="shared" si="40"/>
        <v>0</v>
      </c>
      <c r="BP242" s="78">
        <f t="shared" si="41"/>
        <v>0</v>
      </c>
    </row>
    <row r="243" spans="1:68" ht="27" hidden="1" customHeight="1" x14ac:dyDescent="0.25">
      <c r="A243" s="63" t="s">
        <v>417</v>
      </c>
      <c r="B243" s="63" t="s">
        <v>420</v>
      </c>
      <c r="C243" s="36">
        <v>4301052276</v>
      </c>
      <c r="D243" s="655">
        <v>4680115888951</v>
      </c>
      <c r="E243" s="655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133</v>
      </c>
      <c r="L243" s="37" t="s">
        <v>46</v>
      </c>
      <c r="M243" s="38" t="s">
        <v>96</v>
      </c>
      <c r="N243" s="38"/>
      <c r="O243" s="37">
        <v>40</v>
      </c>
      <c r="P243" s="82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7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411</v>
      </c>
      <c r="AG243" s="78"/>
      <c r="AJ243" s="84" t="s">
        <v>46</v>
      </c>
      <c r="AK243" s="84">
        <v>0</v>
      </c>
      <c r="BB243" s="335" t="s">
        <v>67</v>
      </c>
      <c r="BM243" s="78">
        <f t="shared" si="38"/>
        <v>0</v>
      </c>
      <c r="BN243" s="78">
        <f t="shared" si="39"/>
        <v>0</v>
      </c>
      <c r="BO243" s="78">
        <f t="shared" si="40"/>
        <v>0</v>
      </c>
      <c r="BP243" s="78">
        <f t="shared" si="41"/>
        <v>0</v>
      </c>
    </row>
    <row r="244" spans="1:68" ht="27" hidden="1" customHeight="1" x14ac:dyDescent="0.25">
      <c r="A244" s="63" t="s">
        <v>421</v>
      </c>
      <c r="B244" s="63" t="s">
        <v>422</v>
      </c>
      <c r="C244" s="36">
        <v>4301052178</v>
      </c>
      <c r="D244" s="655">
        <v>4680115888975</v>
      </c>
      <c r="E244" s="655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133</v>
      </c>
      <c r="L244" s="37" t="s">
        <v>46</v>
      </c>
      <c r="M244" s="38" t="s">
        <v>96</v>
      </c>
      <c r="N244" s="38"/>
      <c r="O244" s="37">
        <v>35</v>
      </c>
      <c r="P244" s="8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7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423</v>
      </c>
      <c r="AG244" s="78"/>
      <c r="AJ244" s="84" t="s">
        <v>46</v>
      </c>
      <c r="AK244" s="84">
        <v>0</v>
      </c>
      <c r="BB244" s="337" t="s">
        <v>67</v>
      </c>
      <c r="BM244" s="78">
        <f t="shared" si="38"/>
        <v>0</v>
      </c>
      <c r="BN244" s="78">
        <f t="shared" si="39"/>
        <v>0</v>
      </c>
      <c r="BO244" s="78">
        <f t="shared" si="40"/>
        <v>0</v>
      </c>
      <c r="BP244" s="78">
        <f t="shared" si="41"/>
        <v>0</v>
      </c>
    </row>
    <row r="245" spans="1:68" ht="27" hidden="1" customHeight="1" x14ac:dyDescent="0.25">
      <c r="A245" s="63" t="s">
        <v>424</v>
      </c>
      <c r="B245" s="63" t="s">
        <v>425</v>
      </c>
      <c r="C245" s="36">
        <v>4301052176</v>
      </c>
      <c r="D245" s="655">
        <v>4680115888982</v>
      </c>
      <c r="E245" s="65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7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414</v>
      </c>
      <c r="AG245" s="78"/>
      <c r="AJ245" s="84" t="s">
        <v>46</v>
      </c>
      <c r="AK245" s="84">
        <v>0</v>
      </c>
      <c r="BB245" s="339" t="s">
        <v>67</v>
      </c>
      <c r="BM245" s="78">
        <f t="shared" si="38"/>
        <v>0</v>
      </c>
      <c r="BN245" s="78">
        <f t="shared" si="39"/>
        <v>0</v>
      </c>
      <c r="BO245" s="78">
        <f t="shared" si="40"/>
        <v>0</v>
      </c>
      <c r="BP245" s="78">
        <f t="shared" si="41"/>
        <v>0</v>
      </c>
    </row>
    <row r="246" spans="1:68" ht="27" hidden="1" customHeight="1" x14ac:dyDescent="0.25">
      <c r="A246" s="63" t="s">
        <v>424</v>
      </c>
      <c r="B246" s="63" t="s">
        <v>426</v>
      </c>
      <c r="C246" s="36">
        <v>4301052277</v>
      </c>
      <c r="D246" s="655">
        <v>4680115888982</v>
      </c>
      <c r="E246" s="655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40</v>
      </c>
      <c r="P246" s="81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7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416</v>
      </c>
      <c r="AG246" s="78"/>
      <c r="AJ246" s="84" t="s">
        <v>46</v>
      </c>
      <c r="AK246" s="84">
        <v>0</v>
      </c>
      <c r="BB246" s="341" t="s">
        <v>67</v>
      </c>
      <c r="BM246" s="78">
        <f t="shared" si="38"/>
        <v>0</v>
      </c>
      <c r="BN246" s="78">
        <f t="shared" si="39"/>
        <v>0</v>
      </c>
      <c r="BO246" s="78">
        <f t="shared" si="40"/>
        <v>0</v>
      </c>
      <c r="BP246" s="78">
        <f t="shared" si="41"/>
        <v>0</v>
      </c>
    </row>
    <row r="247" spans="1:68" hidden="1" x14ac:dyDescent="0.2">
      <c r="A247" s="663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64"/>
      <c r="P247" s="660" t="s">
        <v>40</v>
      </c>
      <c r="Q247" s="661"/>
      <c r="R247" s="661"/>
      <c r="S247" s="661"/>
      <c r="T247" s="661"/>
      <c r="U247" s="661"/>
      <c r="V247" s="662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4" t="s">
        <v>277</v>
      </c>
      <c r="B249" s="654"/>
      <c r="C249" s="654"/>
      <c r="D249" s="654"/>
      <c r="E249" s="654"/>
      <c r="F249" s="654"/>
      <c r="G249" s="654"/>
      <c r="H249" s="654"/>
      <c r="I249" s="654"/>
      <c r="J249" s="654"/>
      <c r="K249" s="654"/>
      <c r="L249" s="654"/>
      <c r="M249" s="654"/>
      <c r="N249" s="654"/>
      <c r="O249" s="654"/>
      <c r="P249" s="654"/>
      <c r="Q249" s="654"/>
      <c r="R249" s="654"/>
      <c r="S249" s="654"/>
      <c r="T249" s="654"/>
      <c r="U249" s="654"/>
      <c r="V249" s="654"/>
      <c r="W249" s="654"/>
      <c r="X249" s="654"/>
      <c r="Y249" s="654"/>
      <c r="Z249" s="654"/>
      <c r="AA249" s="66"/>
      <c r="AB249" s="66"/>
      <c r="AC249" s="80"/>
    </row>
    <row r="250" spans="1:68" ht="27" hidden="1" customHeight="1" x14ac:dyDescent="0.25">
      <c r="A250" s="63" t="s">
        <v>427</v>
      </c>
      <c r="B250" s="63" t="s">
        <v>428</v>
      </c>
      <c r="C250" s="36">
        <v>4301032053</v>
      </c>
      <c r="D250" s="655">
        <v>4680115886780</v>
      </c>
      <c r="E250" s="65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2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429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430</v>
      </c>
      <c r="B251" s="63" t="s">
        <v>431</v>
      </c>
      <c r="C251" s="36">
        <v>4301032051</v>
      </c>
      <c r="D251" s="655">
        <v>4680115886742</v>
      </c>
      <c r="E251" s="65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2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432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433</v>
      </c>
      <c r="B252" s="63" t="s">
        <v>434</v>
      </c>
      <c r="C252" s="36">
        <v>4301032052</v>
      </c>
      <c r="D252" s="655">
        <v>4680115886766</v>
      </c>
      <c r="E252" s="65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2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432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63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64"/>
      <c r="P253" s="660" t="s">
        <v>40</v>
      </c>
      <c r="Q253" s="661"/>
      <c r="R253" s="661"/>
      <c r="S253" s="661"/>
      <c r="T253" s="661"/>
      <c r="U253" s="661"/>
      <c r="V253" s="662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654" t="s">
        <v>435</v>
      </c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4"/>
      <c r="P255" s="654"/>
      <c r="Q255" s="654"/>
      <c r="R255" s="654"/>
      <c r="S255" s="654"/>
      <c r="T255" s="654"/>
      <c r="U255" s="654"/>
      <c r="V255" s="654"/>
      <c r="W255" s="654"/>
      <c r="X255" s="654"/>
      <c r="Y255" s="654"/>
      <c r="Z255" s="654"/>
      <c r="AA255" s="66"/>
      <c r="AB255" s="66"/>
      <c r="AC255" s="80"/>
    </row>
    <row r="256" spans="1:68" ht="27" hidden="1" customHeight="1" x14ac:dyDescent="0.25">
      <c r="A256" s="63" t="s">
        <v>436</v>
      </c>
      <c r="B256" s="63" t="s">
        <v>437</v>
      </c>
      <c r="C256" s="36">
        <v>4301170013</v>
      </c>
      <c r="D256" s="655">
        <v>4680115886797</v>
      </c>
      <c r="E256" s="655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432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63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64"/>
      <c r="P257" s="660" t="s">
        <v>40</v>
      </c>
      <c r="Q257" s="661"/>
      <c r="R257" s="661"/>
      <c r="S257" s="661"/>
      <c r="T257" s="661"/>
      <c r="U257" s="661"/>
      <c r="V257" s="662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665" t="s">
        <v>438</v>
      </c>
      <c r="B259" s="665"/>
      <c r="C259" s="665"/>
      <c r="D259" s="665"/>
      <c r="E259" s="665"/>
      <c r="F259" s="665"/>
      <c r="G259" s="665"/>
      <c r="H259" s="665"/>
      <c r="I259" s="665"/>
      <c r="J259" s="665"/>
      <c r="K259" s="665"/>
      <c r="L259" s="665"/>
      <c r="M259" s="665"/>
      <c r="N259" s="665"/>
      <c r="O259" s="665"/>
      <c r="P259" s="665"/>
      <c r="Q259" s="665"/>
      <c r="R259" s="665"/>
      <c r="S259" s="665"/>
      <c r="T259" s="665"/>
      <c r="U259" s="665"/>
      <c r="V259" s="665"/>
      <c r="W259" s="665"/>
      <c r="X259" s="665"/>
      <c r="Y259" s="665"/>
      <c r="Z259" s="665"/>
      <c r="AA259" s="65"/>
      <c r="AB259" s="65"/>
      <c r="AC259" s="79"/>
    </row>
    <row r="260" spans="1:68" ht="14.25" hidden="1" customHeight="1" x14ac:dyDescent="0.25">
      <c r="A260" s="654" t="s">
        <v>121</v>
      </c>
      <c r="B260" s="654"/>
      <c r="C260" s="654"/>
      <c r="D260" s="654"/>
      <c r="E260" s="654"/>
      <c r="F260" s="654"/>
      <c r="G260" s="654"/>
      <c r="H260" s="654"/>
      <c r="I260" s="654"/>
      <c r="J260" s="654"/>
      <c r="K260" s="654"/>
      <c r="L260" s="654"/>
      <c r="M260" s="654"/>
      <c r="N260" s="654"/>
      <c r="O260" s="654"/>
      <c r="P260" s="654"/>
      <c r="Q260" s="654"/>
      <c r="R260" s="654"/>
      <c r="S260" s="654"/>
      <c r="T260" s="654"/>
      <c r="U260" s="654"/>
      <c r="V260" s="654"/>
      <c r="W260" s="654"/>
      <c r="X260" s="654"/>
      <c r="Y260" s="654"/>
      <c r="Z260" s="654"/>
      <c r="AA260" s="66"/>
      <c r="AB260" s="66"/>
      <c r="AC260" s="80"/>
    </row>
    <row r="261" spans="1:68" ht="27" hidden="1" customHeight="1" x14ac:dyDescent="0.25">
      <c r="A261" s="63" t="s">
        <v>439</v>
      </c>
      <c r="B261" s="63" t="s">
        <v>440</v>
      </c>
      <c r="C261" s="36">
        <v>4301011450</v>
      </c>
      <c r="D261" s="655">
        <v>4680115881402</v>
      </c>
      <c r="E261" s="655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126</v>
      </c>
      <c r="L261" s="37" t="s">
        <v>46</v>
      </c>
      <c r="M261" s="38" t="s">
        <v>125</v>
      </c>
      <c r="N261" s="38"/>
      <c r="O261" s="37">
        <v>55</v>
      </c>
      <c r="P261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441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442</v>
      </c>
      <c r="B262" s="63" t="s">
        <v>443</v>
      </c>
      <c r="C262" s="36">
        <v>4301011768</v>
      </c>
      <c r="D262" s="655">
        <v>4680115881396</v>
      </c>
      <c r="E262" s="655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90</v>
      </c>
      <c r="L262" s="37" t="s">
        <v>46</v>
      </c>
      <c r="M262" s="38" t="s">
        <v>125</v>
      </c>
      <c r="N262" s="38"/>
      <c r="O262" s="37">
        <v>55</v>
      </c>
      <c r="P262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441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663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64"/>
      <c r="P263" s="660" t="s">
        <v>40</v>
      </c>
      <c r="Q263" s="661"/>
      <c r="R263" s="661"/>
      <c r="S263" s="661"/>
      <c r="T263" s="661"/>
      <c r="U263" s="661"/>
      <c r="V263" s="662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54" t="s">
        <v>158</v>
      </c>
      <c r="B265" s="654"/>
      <c r="C265" s="654"/>
      <c r="D265" s="654"/>
      <c r="E265" s="654"/>
      <c r="F265" s="654"/>
      <c r="G265" s="654"/>
      <c r="H265" s="654"/>
      <c r="I265" s="654"/>
      <c r="J265" s="654"/>
      <c r="K265" s="654"/>
      <c r="L265" s="654"/>
      <c r="M265" s="654"/>
      <c r="N265" s="654"/>
      <c r="O265" s="654"/>
      <c r="P265" s="654"/>
      <c r="Q265" s="654"/>
      <c r="R265" s="654"/>
      <c r="S265" s="654"/>
      <c r="T265" s="654"/>
      <c r="U265" s="654"/>
      <c r="V265" s="654"/>
      <c r="W265" s="654"/>
      <c r="X265" s="654"/>
      <c r="Y265" s="654"/>
      <c r="Z265" s="654"/>
      <c r="AA265" s="66"/>
      <c r="AB265" s="66"/>
      <c r="AC265" s="80"/>
    </row>
    <row r="266" spans="1:68" ht="16.5" hidden="1" customHeight="1" x14ac:dyDescent="0.25">
      <c r="A266" s="63" t="s">
        <v>444</v>
      </c>
      <c r="B266" s="63" t="s">
        <v>445</v>
      </c>
      <c r="C266" s="36">
        <v>4301020261</v>
      </c>
      <c r="D266" s="655">
        <v>4680115882935</v>
      </c>
      <c r="E266" s="655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126</v>
      </c>
      <c r="L266" s="37" t="s">
        <v>46</v>
      </c>
      <c r="M266" s="38" t="s">
        <v>125</v>
      </c>
      <c r="N266" s="38"/>
      <c r="O266" s="37">
        <v>50</v>
      </c>
      <c r="P26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446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447</v>
      </c>
      <c r="B267" s="63" t="s">
        <v>448</v>
      </c>
      <c r="C267" s="36">
        <v>4301020220</v>
      </c>
      <c r="D267" s="655">
        <v>4680115880764</v>
      </c>
      <c r="E267" s="655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90</v>
      </c>
      <c r="L267" s="37" t="s">
        <v>46</v>
      </c>
      <c r="M267" s="38" t="s">
        <v>125</v>
      </c>
      <c r="N267" s="38"/>
      <c r="O267" s="37">
        <v>50</v>
      </c>
      <c r="P267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446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3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64"/>
      <c r="P268" s="660" t="s">
        <v>40</v>
      </c>
      <c r="Q268" s="661"/>
      <c r="R268" s="661"/>
      <c r="S268" s="661"/>
      <c r="T268" s="661"/>
      <c r="U268" s="661"/>
      <c r="V268" s="662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54" t="s">
        <v>76</v>
      </c>
      <c r="B270" s="654"/>
      <c r="C270" s="654"/>
      <c r="D270" s="654"/>
      <c r="E270" s="654"/>
      <c r="F270" s="654"/>
      <c r="G270" s="654"/>
      <c r="H270" s="654"/>
      <c r="I270" s="654"/>
      <c r="J270" s="654"/>
      <c r="K270" s="654"/>
      <c r="L270" s="654"/>
      <c r="M270" s="654"/>
      <c r="N270" s="654"/>
      <c r="O270" s="654"/>
      <c r="P270" s="654"/>
      <c r="Q270" s="654"/>
      <c r="R270" s="654"/>
      <c r="S270" s="654"/>
      <c r="T270" s="654"/>
      <c r="U270" s="654"/>
      <c r="V270" s="654"/>
      <c r="W270" s="654"/>
      <c r="X270" s="654"/>
      <c r="Y270" s="654"/>
      <c r="Z270" s="654"/>
      <c r="AA270" s="66"/>
      <c r="AB270" s="66"/>
      <c r="AC270" s="80"/>
    </row>
    <row r="271" spans="1:68" ht="27" hidden="1" customHeight="1" x14ac:dyDescent="0.25">
      <c r="A271" s="63" t="s">
        <v>449</v>
      </c>
      <c r="B271" s="63" t="s">
        <v>450</v>
      </c>
      <c r="C271" s="36">
        <v>4301031224</v>
      </c>
      <c r="D271" s="655">
        <v>4680115882683</v>
      </c>
      <c r="E271" s="655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133</v>
      </c>
      <c r="L271" s="37" t="s">
        <v>46</v>
      </c>
      <c r="M271" s="38" t="s">
        <v>80</v>
      </c>
      <c r="N271" s="38"/>
      <c r="O271" s="37">
        <v>40</v>
      </c>
      <c r="P271" s="8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78" si="42">IFERROR(IF(X271="",0,CEILING((X271/$H271),1)*$H271),"")</f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451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43">IFERROR(X271*I271/H271,"0")</f>
        <v>0</v>
      </c>
      <c r="BN271" s="78">
        <f t="shared" ref="BN271:BN278" si="44">IFERROR(Y271*I271/H271,"0")</f>
        <v>0</v>
      </c>
      <c r="BO271" s="78">
        <f t="shared" ref="BO271:BO278" si="45">IFERROR(1/J271*(X271/H271),"0")</f>
        <v>0</v>
      </c>
      <c r="BP271" s="78">
        <f t="shared" ref="BP271:BP278" si="46">IFERROR(1/J271*(Y271/H271),"0")</f>
        <v>0</v>
      </c>
    </row>
    <row r="272" spans="1:68" ht="27" hidden="1" customHeight="1" x14ac:dyDescent="0.25">
      <c r="A272" s="63" t="s">
        <v>452</v>
      </c>
      <c r="B272" s="63" t="s">
        <v>453</v>
      </c>
      <c r="C272" s="36">
        <v>4301031230</v>
      </c>
      <c r="D272" s="655">
        <v>4680115882690</v>
      </c>
      <c r="E272" s="65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2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454</v>
      </c>
      <c r="AG272" s="78"/>
      <c r="AJ272" s="84" t="s">
        <v>46</v>
      </c>
      <c r="AK272" s="84">
        <v>0</v>
      </c>
      <c r="BB272" s="361" t="s">
        <v>67</v>
      </c>
      <c r="BM272" s="78">
        <f t="shared" si="43"/>
        <v>0</v>
      </c>
      <c r="BN272" s="78">
        <f t="shared" si="44"/>
        <v>0</v>
      </c>
      <c r="BO272" s="78">
        <f t="shared" si="45"/>
        <v>0</v>
      </c>
      <c r="BP272" s="78">
        <f t="shared" si="46"/>
        <v>0</v>
      </c>
    </row>
    <row r="273" spans="1:68" ht="27" hidden="1" customHeight="1" x14ac:dyDescent="0.25">
      <c r="A273" s="63" t="s">
        <v>455</v>
      </c>
      <c r="B273" s="63" t="s">
        <v>456</v>
      </c>
      <c r="C273" s="36">
        <v>4301031220</v>
      </c>
      <c r="D273" s="655">
        <v>4680115882669</v>
      </c>
      <c r="E273" s="65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2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457</v>
      </c>
      <c r="AG273" s="78"/>
      <c r="AJ273" s="84" t="s">
        <v>46</v>
      </c>
      <c r="AK273" s="84">
        <v>0</v>
      </c>
      <c r="BB273" s="363" t="s">
        <v>67</v>
      </c>
      <c r="BM273" s="78">
        <f t="shared" si="43"/>
        <v>0</v>
      </c>
      <c r="BN273" s="78">
        <f t="shared" si="44"/>
        <v>0</v>
      </c>
      <c r="BO273" s="78">
        <f t="shared" si="45"/>
        <v>0</v>
      </c>
      <c r="BP273" s="78">
        <f t="shared" si="46"/>
        <v>0</v>
      </c>
    </row>
    <row r="274" spans="1:68" ht="27" hidden="1" customHeight="1" x14ac:dyDescent="0.25">
      <c r="A274" s="63" t="s">
        <v>458</v>
      </c>
      <c r="B274" s="63" t="s">
        <v>459</v>
      </c>
      <c r="C274" s="36">
        <v>4301031221</v>
      </c>
      <c r="D274" s="655">
        <v>4680115882676</v>
      </c>
      <c r="E274" s="65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2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460</v>
      </c>
      <c r="AG274" s="78"/>
      <c r="AJ274" s="84" t="s">
        <v>46</v>
      </c>
      <c r="AK274" s="84">
        <v>0</v>
      </c>
      <c r="BB274" s="365" t="s">
        <v>67</v>
      </c>
      <c r="BM274" s="78">
        <f t="shared" si="43"/>
        <v>0</v>
      </c>
      <c r="BN274" s="78">
        <f t="shared" si="44"/>
        <v>0</v>
      </c>
      <c r="BO274" s="78">
        <f t="shared" si="45"/>
        <v>0</v>
      </c>
      <c r="BP274" s="78">
        <f t="shared" si="46"/>
        <v>0</v>
      </c>
    </row>
    <row r="275" spans="1:68" ht="27" hidden="1" customHeight="1" x14ac:dyDescent="0.25">
      <c r="A275" s="63" t="s">
        <v>461</v>
      </c>
      <c r="B275" s="63" t="s">
        <v>462</v>
      </c>
      <c r="C275" s="36">
        <v>4301031223</v>
      </c>
      <c r="D275" s="655">
        <v>4680115884014</v>
      </c>
      <c r="E275" s="655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2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451</v>
      </c>
      <c r="AG275" s="78"/>
      <c r="AJ275" s="84" t="s">
        <v>46</v>
      </c>
      <c r="AK275" s="84">
        <v>0</v>
      </c>
      <c r="BB275" s="367" t="s">
        <v>67</v>
      </c>
      <c r="BM275" s="78">
        <f t="shared" si="43"/>
        <v>0</v>
      </c>
      <c r="BN275" s="78">
        <f t="shared" si="44"/>
        <v>0</v>
      </c>
      <c r="BO275" s="78">
        <f t="shared" si="45"/>
        <v>0</v>
      </c>
      <c r="BP275" s="78">
        <f t="shared" si="46"/>
        <v>0</v>
      </c>
    </row>
    <row r="276" spans="1:68" ht="27" hidden="1" customHeight="1" x14ac:dyDescent="0.25">
      <c r="A276" s="63" t="s">
        <v>463</v>
      </c>
      <c r="B276" s="63" t="s">
        <v>464</v>
      </c>
      <c r="C276" s="36">
        <v>4301031222</v>
      </c>
      <c r="D276" s="655">
        <v>4680115884007</v>
      </c>
      <c r="E276" s="655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2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454</v>
      </c>
      <c r="AG276" s="78"/>
      <c r="AJ276" s="84" t="s">
        <v>46</v>
      </c>
      <c r="AK276" s="84">
        <v>0</v>
      </c>
      <c r="BB276" s="369" t="s">
        <v>67</v>
      </c>
      <c r="BM276" s="78">
        <f t="shared" si="43"/>
        <v>0</v>
      </c>
      <c r="BN276" s="78">
        <f t="shared" si="44"/>
        <v>0</v>
      </c>
      <c r="BO276" s="78">
        <f t="shared" si="45"/>
        <v>0</v>
      </c>
      <c r="BP276" s="78">
        <f t="shared" si="46"/>
        <v>0</v>
      </c>
    </row>
    <row r="277" spans="1:68" ht="27" hidden="1" customHeight="1" x14ac:dyDescent="0.25">
      <c r="A277" s="63" t="s">
        <v>465</v>
      </c>
      <c r="B277" s="63" t="s">
        <v>466</v>
      </c>
      <c r="C277" s="36">
        <v>4301031229</v>
      </c>
      <c r="D277" s="655">
        <v>4680115884038</v>
      </c>
      <c r="E277" s="65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2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457</v>
      </c>
      <c r="AG277" s="78"/>
      <c r="AJ277" s="84" t="s">
        <v>46</v>
      </c>
      <c r="AK277" s="84">
        <v>0</v>
      </c>
      <c r="BB277" s="371" t="s">
        <v>67</v>
      </c>
      <c r="BM277" s="78">
        <f t="shared" si="43"/>
        <v>0</v>
      </c>
      <c r="BN277" s="78">
        <f t="shared" si="44"/>
        <v>0</v>
      </c>
      <c r="BO277" s="78">
        <f t="shared" si="45"/>
        <v>0</v>
      </c>
      <c r="BP277" s="78">
        <f t="shared" si="46"/>
        <v>0</v>
      </c>
    </row>
    <row r="278" spans="1:68" ht="27" hidden="1" customHeight="1" x14ac:dyDescent="0.25">
      <c r="A278" s="63" t="s">
        <v>467</v>
      </c>
      <c r="B278" s="63" t="s">
        <v>468</v>
      </c>
      <c r="C278" s="36">
        <v>4301031225</v>
      </c>
      <c r="D278" s="655">
        <v>4680115884021</v>
      </c>
      <c r="E278" s="65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2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460</v>
      </c>
      <c r="AG278" s="78"/>
      <c r="AJ278" s="84" t="s">
        <v>46</v>
      </c>
      <c r="AK278" s="84">
        <v>0</v>
      </c>
      <c r="BB278" s="373" t="s">
        <v>67</v>
      </c>
      <c r="BM278" s="78">
        <f t="shared" si="43"/>
        <v>0</v>
      </c>
      <c r="BN278" s="78">
        <f t="shared" si="44"/>
        <v>0</v>
      </c>
      <c r="BO278" s="78">
        <f t="shared" si="45"/>
        <v>0</v>
      </c>
      <c r="BP278" s="78">
        <f t="shared" si="46"/>
        <v>0</v>
      </c>
    </row>
    <row r="279" spans="1:68" hidden="1" x14ac:dyDescent="0.2">
      <c r="A279" s="663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64"/>
      <c r="P279" s="660" t="s">
        <v>40</v>
      </c>
      <c r="Q279" s="661"/>
      <c r="R279" s="661"/>
      <c r="S279" s="661"/>
      <c r="T279" s="661"/>
      <c r="U279" s="661"/>
      <c r="V279" s="662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0</v>
      </c>
      <c r="Y279" s="43">
        <f>IFERROR(Y271/H271,"0")+IFERROR(Y272/H272,"0")+IFERROR(Y273/H273,"0")+IFERROR(Y274/H274,"0")+IFERROR(Y275/H275,"0")+IFERROR(Y276/H276,"0")+IFERROR(Y277/H277,"0")+IFERROR(Y278/H278,"0")</f>
        <v>0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7"/>
      <c r="AB279" s="67"/>
      <c r="AC279" s="67"/>
    </row>
    <row r="280" spans="1:68" hidden="1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0</v>
      </c>
      <c r="X280" s="43">
        <f>IFERROR(SUM(X271:X278),"0")</f>
        <v>0</v>
      </c>
      <c r="Y280" s="43">
        <f>IFERROR(SUM(Y271:Y278),"0")</f>
        <v>0</v>
      </c>
      <c r="Z280" s="42"/>
      <c r="AA280" s="67"/>
      <c r="AB280" s="67"/>
      <c r="AC280" s="67"/>
    </row>
    <row r="281" spans="1:68" ht="14.25" hidden="1" customHeight="1" x14ac:dyDescent="0.25">
      <c r="A281" s="654" t="s">
        <v>85</v>
      </c>
      <c r="B281" s="654"/>
      <c r="C281" s="654"/>
      <c r="D281" s="654"/>
      <c r="E281" s="654"/>
      <c r="F281" s="654"/>
      <c r="G281" s="654"/>
      <c r="H281" s="654"/>
      <c r="I281" s="654"/>
      <c r="J281" s="654"/>
      <c r="K281" s="654"/>
      <c r="L281" s="654"/>
      <c r="M281" s="654"/>
      <c r="N281" s="654"/>
      <c r="O281" s="654"/>
      <c r="P281" s="654"/>
      <c r="Q281" s="654"/>
      <c r="R281" s="654"/>
      <c r="S281" s="654"/>
      <c r="T281" s="654"/>
      <c r="U281" s="654"/>
      <c r="V281" s="654"/>
      <c r="W281" s="654"/>
      <c r="X281" s="654"/>
      <c r="Y281" s="654"/>
      <c r="Z281" s="654"/>
      <c r="AA281" s="66"/>
      <c r="AB281" s="66"/>
      <c r="AC281" s="80"/>
    </row>
    <row r="282" spans="1:68" ht="27" hidden="1" customHeight="1" x14ac:dyDescent="0.25">
      <c r="A282" s="63" t="s">
        <v>469</v>
      </c>
      <c r="B282" s="63" t="s">
        <v>470</v>
      </c>
      <c r="C282" s="36">
        <v>4301051408</v>
      </c>
      <c r="D282" s="655">
        <v>4680115881594</v>
      </c>
      <c r="E282" s="655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126</v>
      </c>
      <c r="L282" s="37" t="s">
        <v>46</v>
      </c>
      <c r="M282" s="38" t="s">
        <v>89</v>
      </c>
      <c r="N282" s="38"/>
      <c r="O282" s="37">
        <v>40</v>
      </c>
      <c r="P282" s="80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7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471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8">IFERROR(X282*I282/H282,"0")</f>
        <v>0</v>
      </c>
      <c r="BN282" s="78">
        <f t="shared" ref="BN282:BN293" si="49">IFERROR(Y282*I282/H282,"0")</f>
        <v>0</v>
      </c>
      <c r="BO282" s="78">
        <f t="shared" ref="BO282:BO293" si="50">IFERROR(1/J282*(X282/H282),"0")</f>
        <v>0</v>
      </c>
      <c r="BP282" s="78">
        <f t="shared" ref="BP282:BP293" si="51">IFERROR(1/J282*(Y282/H282),"0")</f>
        <v>0</v>
      </c>
    </row>
    <row r="283" spans="1:68" ht="27" hidden="1" customHeight="1" x14ac:dyDescent="0.25">
      <c r="A283" s="63" t="s">
        <v>472</v>
      </c>
      <c r="B283" s="63" t="s">
        <v>473</v>
      </c>
      <c r="C283" s="36">
        <v>4301051411</v>
      </c>
      <c r="D283" s="655">
        <v>4680115881617</v>
      </c>
      <c r="E283" s="655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7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474</v>
      </c>
      <c r="AG283" s="78"/>
      <c r="AJ283" s="84" t="s">
        <v>46</v>
      </c>
      <c r="AK283" s="84">
        <v>0</v>
      </c>
      <c r="BB283" s="377" t="s">
        <v>67</v>
      </c>
      <c r="BM283" s="78">
        <f t="shared" si="48"/>
        <v>0</v>
      </c>
      <c r="BN283" s="78">
        <f t="shared" si="49"/>
        <v>0</v>
      </c>
      <c r="BO283" s="78">
        <f t="shared" si="50"/>
        <v>0</v>
      </c>
      <c r="BP283" s="78">
        <f t="shared" si="51"/>
        <v>0</v>
      </c>
    </row>
    <row r="284" spans="1:68" ht="27" hidden="1" customHeight="1" x14ac:dyDescent="0.25">
      <c r="A284" s="63" t="s">
        <v>475</v>
      </c>
      <c r="B284" s="63" t="s">
        <v>476</v>
      </c>
      <c r="C284" s="36">
        <v>4301051656</v>
      </c>
      <c r="D284" s="655">
        <v>4680115880573</v>
      </c>
      <c r="E284" s="655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45</v>
      </c>
      <c r="P284" s="80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7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8"/>
        <v>0</v>
      </c>
      <c r="BN284" s="78">
        <f t="shared" si="49"/>
        <v>0</v>
      </c>
      <c r="BO284" s="78">
        <f t="shared" si="50"/>
        <v>0</v>
      </c>
      <c r="BP284" s="78">
        <f t="shared" si="51"/>
        <v>0</v>
      </c>
    </row>
    <row r="285" spans="1:68" ht="27" hidden="1" customHeight="1" x14ac:dyDescent="0.25">
      <c r="A285" s="63" t="s">
        <v>478</v>
      </c>
      <c r="B285" s="63" t="s">
        <v>479</v>
      </c>
      <c r="C285" s="36">
        <v>4301051407</v>
      </c>
      <c r="D285" s="655">
        <v>4680115882195</v>
      </c>
      <c r="E285" s="655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90</v>
      </c>
      <c r="L285" s="37" t="s">
        <v>46</v>
      </c>
      <c r="M285" s="38" t="s">
        <v>89</v>
      </c>
      <c r="N285" s="38"/>
      <c r="O285" s="37">
        <v>40</v>
      </c>
      <c r="P285" s="8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7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471</v>
      </c>
      <c r="AG285" s="78"/>
      <c r="AJ285" s="84" t="s">
        <v>46</v>
      </c>
      <c r="AK285" s="84">
        <v>0</v>
      </c>
      <c r="BB285" s="381" t="s">
        <v>67</v>
      </c>
      <c r="BM285" s="78">
        <f t="shared" si="48"/>
        <v>0</v>
      </c>
      <c r="BN285" s="78">
        <f t="shared" si="49"/>
        <v>0</v>
      </c>
      <c r="BO285" s="78">
        <f t="shared" si="50"/>
        <v>0</v>
      </c>
      <c r="BP285" s="78">
        <f t="shared" si="51"/>
        <v>0</v>
      </c>
    </row>
    <row r="286" spans="1:68" ht="27" hidden="1" customHeight="1" x14ac:dyDescent="0.25">
      <c r="A286" s="63" t="s">
        <v>480</v>
      </c>
      <c r="B286" s="63" t="s">
        <v>481</v>
      </c>
      <c r="C286" s="36">
        <v>4301051752</v>
      </c>
      <c r="D286" s="655">
        <v>4680115882607</v>
      </c>
      <c r="E286" s="655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90</v>
      </c>
      <c r="L286" s="37" t="s">
        <v>46</v>
      </c>
      <c r="M286" s="38" t="s">
        <v>96</v>
      </c>
      <c r="N286" s="38"/>
      <c r="O286" s="37">
        <v>45</v>
      </c>
      <c r="P286" s="80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7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477</v>
      </c>
      <c r="AG286" s="78"/>
      <c r="AJ286" s="84" t="s">
        <v>46</v>
      </c>
      <c r="AK286" s="84">
        <v>0</v>
      </c>
      <c r="BB286" s="383" t="s">
        <v>67</v>
      </c>
      <c r="BM286" s="78">
        <f t="shared" si="48"/>
        <v>0</v>
      </c>
      <c r="BN286" s="78">
        <f t="shared" si="49"/>
        <v>0</v>
      </c>
      <c r="BO286" s="78">
        <f t="shared" si="50"/>
        <v>0</v>
      </c>
      <c r="BP286" s="78">
        <f t="shared" si="51"/>
        <v>0</v>
      </c>
    </row>
    <row r="287" spans="1:68" ht="27" hidden="1" customHeight="1" x14ac:dyDescent="0.25">
      <c r="A287" s="63" t="s">
        <v>482</v>
      </c>
      <c r="B287" s="63" t="s">
        <v>483</v>
      </c>
      <c r="C287" s="36">
        <v>4301052143</v>
      </c>
      <c r="D287" s="655">
        <v>4680115882607</v>
      </c>
      <c r="E287" s="655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133</v>
      </c>
      <c r="L287" s="37" t="s">
        <v>46</v>
      </c>
      <c r="M287" s="38" t="s">
        <v>89</v>
      </c>
      <c r="N287" s="38"/>
      <c r="O287" s="37">
        <v>45</v>
      </c>
      <c r="P287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7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484</v>
      </c>
      <c r="AG287" s="78"/>
      <c r="AJ287" s="84" t="s">
        <v>46</v>
      </c>
      <c r="AK287" s="84">
        <v>0</v>
      </c>
      <c r="BB287" s="385" t="s">
        <v>67</v>
      </c>
      <c r="BM287" s="78">
        <f t="shared" si="48"/>
        <v>0</v>
      </c>
      <c r="BN287" s="78">
        <f t="shared" si="49"/>
        <v>0</v>
      </c>
      <c r="BO287" s="78">
        <f t="shared" si="50"/>
        <v>0</v>
      </c>
      <c r="BP287" s="78">
        <f t="shared" si="51"/>
        <v>0</v>
      </c>
    </row>
    <row r="288" spans="1:68" ht="27" hidden="1" customHeight="1" x14ac:dyDescent="0.25">
      <c r="A288" s="63" t="s">
        <v>485</v>
      </c>
      <c r="B288" s="63" t="s">
        <v>486</v>
      </c>
      <c r="C288" s="36">
        <v>4301051666</v>
      </c>
      <c r="D288" s="655">
        <v>4680115880092</v>
      </c>
      <c r="E288" s="655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7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477</v>
      </c>
      <c r="AG288" s="78"/>
      <c r="AJ288" s="84" t="s">
        <v>46</v>
      </c>
      <c r="AK288" s="84">
        <v>0</v>
      </c>
      <c r="BB288" s="387" t="s">
        <v>67</v>
      </c>
      <c r="BM288" s="78">
        <f t="shared" si="48"/>
        <v>0</v>
      </c>
      <c r="BN288" s="78">
        <f t="shared" si="49"/>
        <v>0</v>
      </c>
      <c r="BO288" s="78">
        <f t="shared" si="50"/>
        <v>0</v>
      </c>
      <c r="BP288" s="78">
        <f t="shared" si="51"/>
        <v>0</v>
      </c>
    </row>
    <row r="289" spans="1:68" ht="27" hidden="1" customHeight="1" x14ac:dyDescent="0.25">
      <c r="A289" s="63" t="s">
        <v>487</v>
      </c>
      <c r="B289" s="63" t="s">
        <v>488</v>
      </c>
      <c r="C289" s="36">
        <v>4301052214</v>
      </c>
      <c r="D289" s="655">
        <v>4680115889064</v>
      </c>
      <c r="E289" s="655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126</v>
      </c>
      <c r="L289" s="37" t="s">
        <v>46</v>
      </c>
      <c r="M289" s="38" t="s">
        <v>89</v>
      </c>
      <c r="N289" s="38"/>
      <c r="O289" s="37">
        <v>45</v>
      </c>
      <c r="P289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7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484</v>
      </c>
      <c r="AG289" s="78"/>
      <c r="AJ289" s="84" t="s">
        <v>46</v>
      </c>
      <c r="AK289" s="84">
        <v>0</v>
      </c>
      <c r="BB289" s="389" t="s">
        <v>67</v>
      </c>
      <c r="BM289" s="78">
        <f t="shared" si="48"/>
        <v>0</v>
      </c>
      <c r="BN289" s="78">
        <f t="shared" si="49"/>
        <v>0</v>
      </c>
      <c r="BO289" s="78">
        <f t="shared" si="50"/>
        <v>0</v>
      </c>
      <c r="BP289" s="78">
        <f t="shared" si="51"/>
        <v>0</v>
      </c>
    </row>
    <row r="290" spans="1:68" ht="27" hidden="1" customHeight="1" x14ac:dyDescent="0.25">
      <c r="A290" s="63" t="s">
        <v>489</v>
      </c>
      <c r="B290" s="63" t="s">
        <v>490</v>
      </c>
      <c r="C290" s="36">
        <v>4301051668</v>
      </c>
      <c r="D290" s="655">
        <v>4680115880221</v>
      </c>
      <c r="E290" s="655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45</v>
      </c>
      <c r="P290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7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477</v>
      </c>
      <c r="AG290" s="78"/>
      <c r="AJ290" s="84" t="s">
        <v>46</v>
      </c>
      <c r="AK290" s="84">
        <v>0</v>
      </c>
      <c r="BB290" s="391" t="s">
        <v>67</v>
      </c>
      <c r="BM290" s="78">
        <f t="shared" si="48"/>
        <v>0</v>
      </c>
      <c r="BN290" s="78">
        <f t="shared" si="49"/>
        <v>0</v>
      </c>
      <c r="BO290" s="78">
        <f t="shared" si="50"/>
        <v>0</v>
      </c>
      <c r="BP290" s="78">
        <f t="shared" si="51"/>
        <v>0</v>
      </c>
    </row>
    <row r="291" spans="1:68" ht="27" hidden="1" customHeight="1" x14ac:dyDescent="0.25">
      <c r="A291" s="63" t="s">
        <v>491</v>
      </c>
      <c r="B291" s="63" t="s">
        <v>492</v>
      </c>
      <c r="C291" s="36">
        <v>4301051945</v>
      </c>
      <c r="D291" s="655">
        <v>4680115880504</v>
      </c>
      <c r="E291" s="65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7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493</v>
      </c>
      <c r="AG291" s="78"/>
      <c r="AJ291" s="84" t="s">
        <v>46</v>
      </c>
      <c r="AK291" s="84">
        <v>0</v>
      </c>
      <c r="BB291" s="393" t="s">
        <v>67</v>
      </c>
      <c r="BM291" s="78">
        <f t="shared" si="48"/>
        <v>0</v>
      </c>
      <c r="BN291" s="78">
        <f t="shared" si="49"/>
        <v>0</v>
      </c>
      <c r="BO291" s="78">
        <f t="shared" si="50"/>
        <v>0</v>
      </c>
      <c r="BP291" s="78">
        <f t="shared" si="51"/>
        <v>0</v>
      </c>
    </row>
    <row r="292" spans="1:68" ht="27" hidden="1" customHeight="1" x14ac:dyDescent="0.25">
      <c r="A292" s="63" t="s">
        <v>494</v>
      </c>
      <c r="B292" s="63" t="s">
        <v>495</v>
      </c>
      <c r="C292" s="36">
        <v>4301051410</v>
      </c>
      <c r="D292" s="655">
        <v>4680115882164</v>
      </c>
      <c r="E292" s="655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7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496</v>
      </c>
      <c r="AG292" s="78"/>
      <c r="AJ292" s="84" t="s">
        <v>46</v>
      </c>
      <c r="AK292" s="84">
        <v>0</v>
      </c>
      <c r="BB292" s="395" t="s">
        <v>67</v>
      </c>
      <c r="BM292" s="78">
        <f t="shared" si="48"/>
        <v>0</v>
      </c>
      <c r="BN292" s="78">
        <f t="shared" si="49"/>
        <v>0</v>
      </c>
      <c r="BO292" s="78">
        <f t="shared" si="50"/>
        <v>0</v>
      </c>
      <c r="BP292" s="78">
        <f t="shared" si="51"/>
        <v>0</v>
      </c>
    </row>
    <row r="293" spans="1:68" ht="27" hidden="1" customHeight="1" x14ac:dyDescent="0.25">
      <c r="A293" s="63" t="s">
        <v>497</v>
      </c>
      <c r="B293" s="63" t="s">
        <v>498</v>
      </c>
      <c r="C293" s="36">
        <v>4301052180</v>
      </c>
      <c r="D293" s="655">
        <v>4680115888340</v>
      </c>
      <c r="E293" s="65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45</v>
      </c>
      <c r="P293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7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499</v>
      </c>
      <c r="AG293" s="78"/>
      <c r="AJ293" s="84" t="s">
        <v>46</v>
      </c>
      <c r="AK293" s="84">
        <v>0</v>
      </c>
      <c r="BB293" s="397" t="s">
        <v>67</v>
      </c>
      <c r="BM293" s="78">
        <f t="shared" si="48"/>
        <v>0</v>
      </c>
      <c r="BN293" s="78">
        <f t="shared" si="49"/>
        <v>0</v>
      </c>
      <c r="BO293" s="78">
        <f t="shared" si="50"/>
        <v>0</v>
      </c>
      <c r="BP293" s="78">
        <f t="shared" si="51"/>
        <v>0</v>
      </c>
    </row>
    <row r="294" spans="1:68" hidden="1" x14ac:dyDescent="0.2">
      <c r="A294" s="663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4"/>
      <c r="P294" s="660" t="s">
        <v>40</v>
      </c>
      <c r="Q294" s="661"/>
      <c r="R294" s="661"/>
      <c r="S294" s="661"/>
      <c r="T294" s="661"/>
      <c r="U294" s="661"/>
      <c r="V294" s="662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54" t="s">
        <v>177</v>
      </c>
      <c r="B296" s="654"/>
      <c r="C296" s="654"/>
      <c r="D296" s="654"/>
      <c r="E296" s="654"/>
      <c r="F296" s="654"/>
      <c r="G296" s="654"/>
      <c r="H296" s="654"/>
      <c r="I296" s="654"/>
      <c r="J296" s="654"/>
      <c r="K296" s="654"/>
      <c r="L296" s="654"/>
      <c r="M296" s="654"/>
      <c r="N296" s="654"/>
      <c r="O296" s="654"/>
      <c r="P296" s="654"/>
      <c r="Q296" s="654"/>
      <c r="R296" s="654"/>
      <c r="S296" s="654"/>
      <c r="T296" s="654"/>
      <c r="U296" s="654"/>
      <c r="V296" s="654"/>
      <c r="W296" s="654"/>
      <c r="X296" s="654"/>
      <c r="Y296" s="654"/>
      <c r="Z296" s="654"/>
      <c r="AA296" s="66"/>
      <c r="AB296" s="66"/>
      <c r="AC296" s="80"/>
    </row>
    <row r="297" spans="1:68" ht="27" hidden="1" customHeight="1" x14ac:dyDescent="0.25">
      <c r="A297" s="63" t="s">
        <v>500</v>
      </c>
      <c r="B297" s="63" t="s">
        <v>501</v>
      </c>
      <c r="C297" s="36">
        <v>4301060463</v>
      </c>
      <c r="D297" s="655">
        <v>4680115880818</v>
      </c>
      <c r="E297" s="655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90</v>
      </c>
      <c r="L297" s="37" t="s">
        <v>46</v>
      </c>
      <c r="M297" s="38" t="s">
        <v>96</v>
      </c>
      <c r="N297" s="38"/>
      <c r="O297" s="37">
        <v>40</v>
      </c>
      <c r="P297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502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503</v>
      </c>
      <c r="B298" s="63" t="s">
        <v>504</v>
      </c>
      <c r="C298" s="36">
        <v>4301060389</v>
      </c>
      <c r="D298" s="655">
        <v>4680115880801</v>
      </c>
      <c r="E298" s="65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89</v>
      </c>
      <c r="N298" s="38"/>
      <c r="O298" s="37">
        <v>40</v>
      </c>
      <c r="P298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505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663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64"/>
      <c r="P299" s="660" t="s">
        <v>40</v>
      </c>
      <c r="Q299" s="661"/>
      <c r="R299" s="661"/>
      <c r="S299" s="661"/>
      <c r="T299" s="661"/>
      <c r="U299" s="661"/>
      <c r="V299" s="662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665" t="s">
        <v>506</v>
      </c>
      <c r="B301" s="665"/>
      <c r="C301" s="665"/>
      <c r="D301" s="665"/>
      <c r="E301" s="665"/>
      <c r="F301" s="665"/>
      <c r="G301" s="665"/>
      <c r="H301" s="665"/>
      <c r="I301" s="665"/>
      <c r="J301" s="665"/>
      <c r="K301" s="665"/>
      <c r="L301" s="665"/>
      <c r="M301" s="665"/>
      <c r="N301" s="665"/>
      <c r="O301" s="665"/>
      <c r="P301" s="665"/>
      <c r="Q301" s="665"/>
      <c r="R301" s="665"/>
      <c r="S301" s="665"/>
      <c r="T301" s="665"/>
      <c r="U301" s="665"/>
      <c r="V301" s="665"/>
      <c r="W301" s="665"/>
      <c r="X301" s="665"/>
      <c r="Y301" s="665"/>
      <c r="Z301" s="665"/>
      <c r="AA301" s="65"/>
      <c r="AB301" s="65"/>
      <c r="AC301" s="79"/>
    </row>
    <row r="302" spans="1:68" ht="14.25" hidden="1" customHeight="1" x14ac:dyDescent="0.25">
      <c r="A302" s="654" t="s">
        <v>121</v>
      </c>
      <c r="B302" s="654"/>
      <c r="C302" s="654"/>
      <c r="D302" s="654"/>
      <c r="E302" s="654"/>
      <c r="F302" s="654"/>
      <c r="G302" s="654"/>
      <c r="H302" s="654"/>
      <c r="I302" s="654"/>
      <c r="J302" s="654"/>
      <c r="K302" s="654"/>
      <c r="L302" s="654"/>
      <c r="M302" s="654"/>
      <c r="N302" s="654"/>
      <c r="O302" s="654"/>
      <c r="P302" s="654"/>
      <c r="Q302" s="654"/>
      <c r="R302" s="654"/>
      <c r="S302" s="654"/>
      <c r="T302" s="654"/>
      <c r="U302" s="654"/>
      <c r="V302" s="654"/>
      <c r="W302" s="654"/>
      <c r="X302" s="654"/>
      <c r="Y302" s="654"/>
      <c r="Z302" s="654"/>
      <c r="AA302" s="66"/>
      <c r="AB302" s="66"/>
      <c r="AC302" s="80"/>
    </row>
    <row r="303" spans="1:68" ht="27" hidden="1" customHeight="1" x14ac:dyDescent="0.25">
      <c r="A303" s="63" t="s">
        <v>507</v>
      </c>
      <c r="B303" s="63" t="s">
        <v>508</v>
      </c>
      <c r="C303" s="36">
        <v>4301011826</v>
      </c>
      <c r="D303" s="655">
        <v>4680115884137</v>
      </c>
      <c r="E303" s="655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126</v>
      </c>
      <c r="L303" s="37" t="s">
        <v>46</v>
      </c>
      <c r="M303" s="38" t="s">
        <v>125</v>
      </c>
      <c r="N303" s="38"/>
      <c r="O303" s="37">
        <v>55</v>
      </c>
      <c r="P303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52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509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53">IFERROR(X303*I303/H303,"0")</f>
        <v>0</v>
      </c>
      <c r="BN303" s="78">
        <f t="shared" ref="BN303:BN309" si="54">IFERROR(Y303*I303/H303,"0")</f>
        <v>0</v>
      </c>
      <c r="BO303" s="78">
        <f t="shared" ref="BO303:BO309" si="55">IFERROR(1/J303*(X303/H303),"0")</f>
        <v>0</v>
      </c>
      <c r="BP303" s="78">
        <f t="shared" ref="BP303:BP309" si="56">IFERROR(1/J303*(Y303/H303),"0")</f>
        <v>0</v>
      </c>
    </row>
    <row r="304" spans="1:68" ht="27" hidden="1" customHeight="1" x14ac:dyDescent="0.25">
      <c r="A304" s="63" t="s">
        <v>510</v>
      </c>
      <c r="B304" s="63" t="s">
        <v>511</v>
      </c>
      <c r="C304" s="36">
        <v>4301011724</v>
      </c>
      <c r="D304" s="655">
        <v>4680115884236</v>
      </c>
      <c r="E304" s="65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2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512</v>
      </c>
      <c r="AG304" s="78"/>
      <c r="AJ304" s="84" t="s">
        <v>46</v>
      </c>
      <c r="AK304" s="84">
        <v>0</v>
      </c>
      <c r="BB304" s="405" t="s">
        <v>67</v>
      </c>
      <c r="BM304" s="78">
        <f t="shared" si="53"/>
        <v>0</v>
      </c>
      <c r="BN304" s="78">
        <f t="shared" si="54"/>
        <v>0</v>
      </c>
      <c r="BO304" s="78">
        <f t="shared" si="55"/>
        <v>0</v>
      </c>
      <c r="BP304" s="78">
        <f t="shared" si="56"/>
        <v>0</v>
      </c>
    </row>
    <row r="305" spans="1:68" ht="27" hidden="1" customHeight="1" x14ac:dyDescent="0.25">
      <c r="A305" s="63" t="s">
        <v>513</v>
      </c>
      <c r="B305" s="63" t="s">
        <v>514</v>
      </c>
      <c r="C305" s="36">
        <v>4301011721</v>
      </c>
      <c r="D305" s="655">
        <v>4680115884175</v>
      </c>
      <c r="E305" s="65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2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53"/>
        <v>0</v>
      </c>
      <c r="BN305" s="78">
        <f t="shared" si="54"/>
        <v>0</v>
      </c>
      <c r="BO305" s="78">
        <f t="shared" si="55"/>
        <v>0</v>
      </c>
      <c r="BP305" s="78">
        <f t="shared" si="56"/>
        <v>0</v>
      </c>
    </row>
    <row r="306" spans="1:68" ht="27" hidden="1" customHeight="1" x14ac:dyDescent="0.25">
      <c r="A306" s="63" t="s">
        <v>515</v>
      </c>
      <c r="B306" s="63" t="s">
        <v>516</v>
      </c>
      <c r="C306" s="36">
        <v>4301011824</v>
      </c>
      <c r="D306" s="655">
        <v>4680115884144</v>
      </c>
      <c r="E306" s="655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133</v>
      </c>
      <c r="L306" s="37" t="s">
        <v>46</v>
      </c>
      <c r="M306" s="38" t="s">
        <v>125</v>
      </c>
      <c r="N306" s="38"/>
      <c r="O306" s="37">
        <v>55</v>
      </c>
      <c r="P306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2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509</v>
      </c>
      <c r="AG306" s="78"/>
      <c r="AJ306" s="84" t="s">
        <v>46</v>
      </c>
      <c r="AK306" s="84">
        <v>0</v>
      </c>
      <c r="BB306" s="409" t="s">
        <v>67</v>
      </c>
      <c r="BM306" s="78">
        <f t="shared" si="53"/>
        <v>0</v>
      </c>
      <c r="BN306" s="78">
        <f t="shared" si="54"/>
        <v>0</v>
      </c>
      <c r="BO306" s="78">
        <f t="shared" si="55"/>
        <v>0</v>
      </c>
      <c r="BP306" s="78">
        <f t="shared" si="56"/>
        <v>0</v>
      </c>
    </row>
    <row r="307" spans="1:68" ht="27" hidden="1" customHeight="1" x14ac:dyDescent="0.25">
      <c r="A307" s="63" t="s">
        <v>517</v>
      </c>
      <c r="B307" s="63" t="s">
        <v>518</v>
      </c>
      <c r="C307" s="36">
        <v>4301012149</v>
      </c>
      <c r="D307" s="655">
        <v>4680115886551</v>
      </c>
      <c r="E307" s="65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2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67</v>
      </c>
      <c r="BM307" s="78">
        <f t="shared" si="53"/>
        <v>0</v>
      </c>
      <c r="BN307" s="78">
        <f t="shared" si="54"/>
        <v>0</v>
      </c>
      <c r="BO307" s="78">
        <f t="shared" si="55"/>
        <v>0</v>
      </c>
      <c r="BP307" s="78">
        <f t="shared" si="56"/>
        <v>0</v>
      </c>
    </row>
    <row r="308" spans="1:68" ht="27" hidden="1" customHeight="1" x14ac:dyDescent="0.25">
      <c r="A308" s="63" t="s">
        <v>520</v>
      </c>
      <c r="B308" s="63" t="s">
        <v>521</v>
      </c>
      <c r="C308" s="36">
        <v>4301012228</v>
      </c>
      <c r="D308" s="655">
        <v>4680115887282</v>
      </c>
      <c r="E308" s="655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90</v>
      </c>
      <c r="L308" s="37" t="s">
        <v>46</v>
      </c>
      <c r="M308" s="38" t="s">
        <v>125</v>
      </c>
      <c r="N308" s="38"/>
      <c r="O308" s="37">
        <v>55</v>
      </c>
      <c r="P308" s="78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2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522</v>
      </c>
      <c r="AG308" s="78"/>
      <c r="AJ308" s="84" t="s">
        <v>46</v>
      </c>
      <c r="AK308" s="84">
        <v>0</v>
      </c>
      <c r="BB308" s="413" t="s">
        <v>67</v>
      </c>
      <c r="BM308" s="78">
        <f t="shared" si="53"/>
        <v>0</v>
      </c>
      <c r="BN308" s="78">
        <f t="shared" si="54"/>
        <v>0</v>
      </c>
      <c r="BO308" s="78">
        <f t="shared" si="55"/>
        <v>0</v>
      </c>
      <c r="BP308" s="78">
        <f t="shared" si="56"/>
        <v>0</v>
      </c>
    </row>
    <row r="309" spans="1:68" ht="27" hidden="1" customHeight="1" x14ac:dyDescent="0.25">
      <c r="A309" s="63" t="s">
        <v>523</v>
      </c>
      <c r="B309" s="63" t="s">
        <v>524</v>
      </c>
      <c r="C309" s="36">
        <v>4301011722</v>
      </c>
      <c r="D309" s="655">
        <v>4680115884205</v>
      </c>
      <c r="E309" s="655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133</v>
      </c>
      <c r="L309" s="37" t="s">
        <v>46</v>
      </c>
      <c r="M309" s="38" t="s">
        <v>125</v>
      </c>
      <c r="N309" s="38"/>
      <c r="O309" s="37">
        <v>55</v>
      </c>
      <c r="P309" s="78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2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53"/>
        <v>0</v>
      </c>
      <c r="BN309" s="78">
        <f t="shared" si="54"/>
        <v>0</v>
      </c>
      <c r="BO309" s="78">
        <f t="shared" si="55"/>
        <v>0</v>
      </c>
      <c r="BP309" s="78">
        <f t="shared" si="56"/>
        <v>0</v>
      </c>
    </row>
    <row r="310" spans="1:68" hidden="1" x14ac:dyDescent="0.2">
      <c r="A310" s="663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64"/>
      <c r="P310" s="660" t="s">
        <v>40</v>
      </c>
      <c r="Q310" s="661"/>
      <c r="R310" s="661"/>
      <c r="S310" s="661"/>
      <c r="T310" s="661"/>
      <c r="U310" s="661"/>
      <c r="V310" s="662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54" t="s">
        <v>158</v>
      </c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4"/>
      <c r="P312" s="654"/>
      <c r="Q312" s="654"/>
      <c r="R312" s="654"/>
      <c r="S312" s="654"/>
      <c r="T312" s="654"/>
      <c r="U312" s="654"/>
      <c r="V312" s="654"/>
      <c r="W312" s="654"/>
      <c r="X312" s="654"/>
      <c r="Y312" s="654"/>
      <c r="Z312" s="654"/>
      <c r="AA312" s="66"/>
      <c r="AB312" s="66"/>
      <c r="AC312" s="80"/>
    </row>
    <row r="313" spans="1:68" ht="27" hidden="1" customHeight="1" x14ac:dyDescent="0.25">
      <c r="A313" s="63" t="s">
        <v>525</v>
      </c>
      <c r="B313" s="63" t="s">
        <v>526</v>
      </c>
      <c r="C313" s="36">
        <v>4301020377</v>
      </c>
      <c r="D313" s="655">
        <v>4680115885981</v>
      </c>
      <c r="E313" s="655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81</v>
      </c>
      <c r="L313" s="37" t="s">
        <v>46</v>
      </c>
      <c r="M313" s="38" t="s">
        <v>89</v>
      </c>
      <c r="N313" s="38"/>
      <c r="O313" s="37">
        <v>50</v>
      </c>
      <c r="P313" s="78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527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63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64"/>
      <c r="P314" s="660" t="s">
        <v>40</v>
      </c>
      <c r="Q314" s="661"/>
      <c r="R314" s="661"/>
      <c r="S314" s="661"/>
      <c r="T314" s="661"/>
      <c r="U314" s="661"/>
      <c r="V314" s="66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54" t="s">
        <v>528</v>
      </c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4"/>
      <c r="P316" s="654"/>
      <c r="Q316" s="654"/>
      <c r="R316" s="654"/>
      <c r="S316" s="654"/>
      <c r="T316" s="654"/>
      <c r="U316" s="654"/>
      <c r="V316" s="654"/>
      <c r="W316" s="654"/>
      <c r="X316" s="654"/>
      <c r="Y316" s="654"/>
      <c r="Z316" s="654"/>
      <c r="AA316" s="66"/>
      <c r="AB316" s="66"/>
      <c r="AC316" s="80"/>
    </row>
    <row r="317" spans="1:68" ht="27" hidden="1" customHeight="1" x14ac:dyDescent="0.25">
      <c r="A317" s="63" t="s">
        <v>529</v>
      </c>
      <c r="B317" s="63" t="s">
        <v>530</v>
      </c>
      <c r="C317" s="36">
        <v>4301040362</v>
      </c>
      <c r="D317" s="655">
        <v>4680115886803</v>
      </c>
      <c r="E317" s="655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7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531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63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64"/>
      <c r="P318" s="660" t="s">
        <v>40</v>
      </c>
      <c r="Q318" s="661"/>
      <c r="R318" s="661"/>
      <c r="S318" s="661"/>
      <c r="T318" s="661"/>
      <c r="U318" s="661"/>
      <c r="V318" s="662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654" t="s">
        <v>341</v>
      </c>
      <c r="B320" s="654"/>
      <c r="C320" s="654"/>
      <c r="D320" s="654"/>
      <c r="E320" s="654"/>
      <c r="F320" s="654"/>
      <c r="G320" s="654"/>
      <c r="H320" s="654"/>
      <c r="I320" s="654"/>
      <c r="J320" s="654"/>
      <c r="K320" s="654"/>
      <c r="L320" s="654"/>
      <c r="M320" s="654"/>
      <c r="N320" s="654"/>
      <c r="O320" s="654"/>
      <c r="P320" s="654"/>
      <c r="Q320" s="654"/>
      <c r="R320" s="654"/>
      <c r="S320" s="654"/>
      <c r="T320" s="654"/>
      <c r="U320" s="654"/>
      <c r="V320" s="654"/>
      <c r="W320" s="654"/>
      <c r="X320" s="654"/>
      <c r="Y320" s="654"/>
      <c r="Z320" s="654"/>
      <c r="AA320" s="66"/>
      <c r="AB320" s="66"/>
      <c r="AC320" s="80"/>
    </row>
    <row r="321" spans="1:68" ht="27" hidden="1" customHeight="1" x14ac:dyDescent="0.25">
      <c r="A321" s="63" t="s">
        <v>532</v>
      </c>
      <c r="B321" s="63" t="s">
        <v>533</v>
      </c>
      <c r="C321" s="36">
        <v>4301041008</v>
      </c>
      <c r="D321" s="655">
        <v>4680115886681</v>
      </c>
      <c r="E321" s="655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534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3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64"/>
      <c r="P322" s="660" t="s">
        <v>40</v>
      </c>
      <c r="Q322" s="661"/>
      <c r="R322" s="661"/>
      <c r="S322" s="661"/>
      <c r="T322" s="661"/>
      <c r="U322" s="661"/>
      <c r="V322" s="662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4"/>
      <c r="P323" s="660" t="s">
        <v>40</v>
      </c>
      <c r="Q323" s="661"/>
      <c r="R323" s="661"/>
      <c r="S323" s="661"/>
      <c r="T323" s="661"/>
      <c r="U323" s="661"/>
      <c r="V323" s="662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65" t="s">
        <v>535</v>
      </c>
      <c r="B324" s="665"/>
      <c r="C324" s="665"/>
      <c r="D324" s="665"/>
      <c r="E324" s="665"/>
      <c r="F324" s="665"/>
      <c r="G324" s="665"/>
      <c r="H324" s="665"/>
      <c r="I324" s="665"/>
      <c r="J324" s="665"/>
      <c r="K324" s="665"/>
      <c r="L324" s="665"/>
      <c r="M324" s="665"/>
      <c r="N324" s="665"/>
      <c r="O324" s="665"/>
      <c r="P324" s="665"/>
      <c r="Q324" s="665"/>
      <c r="R324" s="665"/>
      <c r="S324" s="665"/>
      <c r="T324" s="665"/>
      <c r="U324" s="665"/>
      <c r="V324" s="665"/>
      <c r="W324" s="665"/>
      <c r="X324" s="665"/>
      <c r="Y324" s="665"/>
      <c r="Z324" s="665"/>
      <c r="AA324" s="65"/>
      <c r="AB324" s="65"/>
      <c r="AC324" s="79"/>
    </row>
    <row r="325" spans="1:68" ht="14.25" hidden="1" customHeight="1" x14ac:dyDescent="0.25">
      <c r="A325" s="654" t="s">
        <v>121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hidden="1" customHeight="1" x14ac:dyDescent="0.25">
      <c r="A326" s="63" t="s">
        <v>536</v>
      </c>
      <c r="B326" s="63" t="s">
        <v>537</v>
      </c>
      <c r="C326" s="36">
        <v>4301011855</v>
      </c>
      <c r="D326" s="655">
        <v>4680115885837</v>
      </c>
      <c r="E326" s="65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126</v>
      </c>
      <c r="L326" s="37" t="s">
        <v>46</v>
      </c>
      <c r="M326" s="38" t="s">
        <v>125</v>
      </c>
      <c r="N326" s="38"/>
      <c r="O326" s="37">
        <v>55</v>
      </c>
      <c r="P326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7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538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8">IFERROR(X326*I326/H326,"0")</f>
        <v>0</v>
      </c>
      <c r="BN326" s="78">
        <f t="shared" ref="BN326:BN331" si="59">IFERROR(Y326*I326/H326,"0")</f>
        <v>0</v>
      </c>
      <c r="BO326" s="78">
        <f t="shared" ref="BO326:BO331" si="60">IFERROR(1/J326*(X326/H326),"0")</f>
        <v>0</v>
      </c>
      <c r="BP326" s="78">
        <f t="shared" ref="BP326:BP331" si="61">IFERROR(1/J326*(Y326/H326),"0")</f>
        <v>0</v>
      </c>
    </row>
    <row r="327" spans="1:68" ht="27" hidden="1" customHeight="1" x14ac:dyDescent="0.25">
      <c r="A327" s="63" t="s">
        <v>539</v>
      </c>
      <c r="B327" s="63" t="s">
        <v>540</v>
      </c>
      <c r="C327" s="36">
        <v>4301012390</v>
      </c>
      <c r="D327" s="655">
        <v>4680115889637</v>
      </c>
      <c r="E327" s="65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126</v>
      </c>
      <c r="L327" s="37" t="s">
        <v>46</v>
      </c>
      <c r="M327" s="38" t="s">
        <v>125</v>
      </c>
      <c r="N327" s="38"/>
      <c r="O327" s="37">
        <v>55</v>
      </c>
      <c r="P327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7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541</v>
      </c>
      <c r="AG327" s="78"/>
      <c r="AJ327" s="84" t="s">
        <v>46</v>
      </c>
      <c r="AK327" s="84">
        <v>0</v>
      </c>
      <c r="BB327" s="425" t="s">
        <v>67</v>
      </c>
      <c r="BM327" s="78">
        <f t="shared" si="58"/>
        <v>0</v>
      </c>
      <c r="BN327" s="78">
        <f t="shared" si="59"/>
        <v>0</v>
      </c>
      <c r="BO327" s="78">
        <f t="shared" si="60"/>
        <v>0</v>
      </c>
      <c r="BP327" s="78">
        <f t="shared" si="61"/>
        <v>0</v>
      </c>
    </row>
    <row r="328" spans="1:68" ht="37.5" hidden="1" customHeight="1" x14ac:dyDescent="0.25">
      <c r="A328" s="63" t="s">
        <v>542</v>
      </c>
      <c r="B328" s="63" t="s">
        <v>543</v>
      </c>
      <c r="C328" s="36">
        <v>4301012234</v>
      </c>
      <c r="D328" s="655">
        <v>4680115887237</v>
      </c>
      <c r="E328" s="655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126</v>
      </c>
      <c r="L328" s="37" t="s">
        <v>46</v>
      </c>
      <c r="M328" s="38" t="s">
        <v>125</v>
      </c>
      <c r="N328" s="38"/>
      <c r="O328" s="37">
        <v>55</v>
      </c>
      <c r="P328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7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544</v>
      </c>
      <c r="AG328" s="78"/>
      <c r="AJ328" s="84" t="s">
        <v>46</v>
      </c>
      <c r="AK328" s="84">
        <v>0</v>
      </c>
      <c r="BB328" s="427" t="s">
        <v>67</v>
      </c>
      <c r="BM328" s="78">
        <f t="shared" si="58"/>
        <v>0</v>
      </c>
      <c r="BN328" s="78">
        <f t="shared" si="59"/>
        <v>0</v>
      </c>
      <c r="BO328" s="78">
        <f t="shared" si="60"/>
        <v>0</v>
      </c>
      <c r="BP328" s="78">
        <f t="shared" si="61"/>
        <v>0</v>
      </c>
    </row>
    <row r="329" spans="1:68" ht="27" hidden="1" customHeight="1" x14ac:dyDescent="0.25">
      <c r="A329" s="63" t="s">
        <v>545</v>
      </c>
      <c r="B329" s="63" t="s">
        <v>546</v>
      </c>
      <c r="C329" s="36">
        <v>4301011850</v>
      </c>
      <c r="D329" s="655">
        <v>4680115885806</v>
      </c>
      <c r="E329" s="65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7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547</v>
      </c>
      <c r="AG329" s="78"/>
      <c r="AJ329" s="84" t="s">
        <v>46</v>
      </c>
      <c r="AK329" s="84">
        <v>0</v>
      </c>
      <c r="BB329" s="429" t="s">
        <v>67</v>
      </c>
      <c r="BM329" s="78">
        <f t="shared" si="58"/>
        <v>0</v>
      </c>
      <c r="BN329" s="78">
        <f t="shared" si="59"/>
        <v>0</v>
      </c>
      <c r="BO329" s="78">
        <f t="shared" si="60"/>
        <v>0</v>
      </c>
      <c r="BP329" s="78">
        <f t="shared" si="61"/>
        <v>0</v>
      </c>
    </row>
    <row r="330" spans="1:68" ht="27" hidden="1" customHeight="1" x14ac:dyDescent="0.25">
      <c r="A330" s="63" t="s">
        <v>548</v>
      </c>
      <c r="B330" s="63" t="s">
        <v>549</v>
      </c>
      <c r="C330" s="36">
        <v>4301011852</v>
      </c>
      <c r="D330" s="655">
        <v>4680115885844</v>
      </c>
      <c r="E330" s="655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133</v>
      </c>
      <c r="L330" s="37" t="s">
        <v>46</v>
      </c>
      <c r="M330" s="38" t="s">
        <v>125</v>
      </c>
      <c r="N330" s="38"/>
      <c r="O330" s="37">
        <v>55</v>
      </c>
      <c r="P330" s="7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7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550</v>
      </c>
      <c r="AG330" s="78"/>
      <c r="AJ330" s="84" t="s">
        <v>46</v>
      </c>
      <c r="AK330" s="84">
        <v>0</v>
      </c>
      <c r="BB330" s="431" t="s">
        <v>67</v>
      </c>
      <c r="BM330" s="78">
        <f t="shared" si="58"/>
        <v>0</v>
      </c>
      <c r="BN330" s="78">
        <f t="shared" si="59"/>
        <v>0</v>
      </c>
      <c r="BO330" s="78">
        <f t="shared" si="60"/>
        <v>0</v>
      </c>
      <c r="BP330" s="78">
        <f t="shared" si="61"/>
        <v>0</v>
      </c>
    </row>
    <row r="331" spans="1:68" ht="37.5" hidden="1" customHeight="1" x14ac:dyDescent="0.25">
      <c r="A331" s="63" t="s">
        <v>551</v>
      </c>
      <c r="B331" s="63" t="s">
        <v>552</v>
      </c>
      <c r="C331" s="36">
        <v>4301011851</v>
      </c>
      <c r="D331" s="655">
        <v>4680115885820</v>
      </c>
      <c r="E331" s="655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133</v>
      </c>
      <c r="L331" s="37" t="s">
        <v>46</v>
      </c>
      <c r="M331" s="38" t="s">
        <v>125</v>
      </c>
      <c r="N331" s="38"/>
      <c r="O331" s="37">
        <v>55</v>
      </c>
      <c r="P331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7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553</v>
      </c>
      <c r="AG331" s="78"/>
      <c r="AJ331" s="84" t="s">
        <v>46</v>
      </c>
      <c r="AK331" s="84">
        <v>0</v>
      </c>
      <c r="BB331" s="433" t="s">
        <v>67</v>
      </c>
      <c r="BM331" s="78">
        <f t="shared" si="58"/>
        <v>0</v>
      </c>
      <c r="BN331" s="78">
        <f t="shared" si="59"/>
        <v>0</v>
      </c>
      <c r="BO331" s="78">
        <f t="shared" si="60"/>
        <v>0</v>
      </c>
      <c r="BP331" s="78">
        <f t="shared" si="61"/>
        <v>0</v>
      </c>
    </row>
    <row r="332" spans="1:68" hidden="1" x14ac:dyDescent="0.2">
      <c r="A332" s="663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64"/>
      <c r="P332" s="660" t="s">
        <v>40</v>
      </c>
      <c r="Q332" s="661"/>
      <c r="R332" s="661"/>
      <c r="S332" s="661"/>
      <c r="T332" s="661"/>
      <c r="U332" s="661"/>
      <c r="V332" s="662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64"/>
      <c r="P333" s="660" t="s">
        <v>40</v>
      </c>
      <c r="Q333" s="661"/>
      <c r="R333" s="661"/>
      <c r="S333" s="661"/>
      <c r="T333" s="661"/>
      <c r="U333" s="661"/>
      <c r="V333" s="662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665" t="s">
        <v>554</v>
      </c>
      <c r="B334" s="665"/>
      <c r="C334" s="665"/>
      <c r="D334" s="665"/>
      <c r="E334" s="665"/>
      <c r="F334" s="665"/>
      <c r="G334" s="665"/>
      <c r="H334" s="665"/>
      <c r="I334" s="665"/>
      <c r="J334" s="665"/>
      <c r="K334" s="665"/>
      <c r="L334" s="665"/>
      <c r="M334" s="665"/>
      <c r="N334" s="665"/>
      <c r="O334" s="665"/>
      <c r="P334" s="665"/>
      <c r="Q334" s="665"/>
      <c r="R334" s="665"/>
      <c r="S334" s="665"/>
      <c r="T334" s="665"/>
      <c r="U334" s="665"/>
      <c r="V334" s="665"/>
      <c r="W334" s="665"/>
      <c r="X334" s="665"/>
      <c r="Y334" s="665"/>
      <c r="Z334" s="665"/>
      <c r="AA334" s="65"/>
      <c r="AB334" s="65"/>
      <c r="AC334" s="79"/>
    </row>
    <row r="335" spans="1:68" ht="14.25" hidden="1" customHeight="1" x14ac:dyDescent="0.25">
      <c r="A335" s="654" t="s">
        <v>85</v>
      </c>
      <c r="B335" s="654"/>
      <c r="C335" s="654"/>
      <c r="D335" s="654"/>
      <c r="E335" s="654"/>
      <c r="F335" s="654"/>
      <c r="G335" s="654"/>
      <c r="H335" s="654"/>
      <c r="I335" s="654"/>
      <c r="J335" s="654"/>
      <c r="K335" s="654"/>
      <c r="L335" s="654"/>
      <c r="M335" s="654"/>
      <c r="N335" s="654"/>
      <c r="O335" s="654"/>
      <c r="P335" s="654"/>
      <c r="Q335" s="654"/>
      <c r="R335" s="654"/>
      <c r="S335" s="654"/>
      <c r="T335" s="654"/>
      <c r="U335" s="654"/>
      <c r="V335" s="654"/>
      <c r="W335" s="654"/>
      <c r="X335" s="654"/>
      <c r="Y335" s="654"/>
      <c r="Z335" s="654"/>
      <c r="AA335" s="66"/>
      <c r="AB335" s="66"/>
      <c r="AC335" s="80"/>
    </row>
    <row r="336" spans="1:68" ht="27" hidden="1" customHeight="1" x14ac:dyDescent="0.25">
      <c r="A336" s="63" t="s">
        <v>555</v>
      </c>
      <c r="B336" s="63" t="s">
        <v>556</v>
      </c>
      <c r="C336" s="36">
        <v>4301051893</v>
      </c>
      <c r="D336" s="655">
        <v>4680115886186</v>
      </c>
      <c r="E336" s="655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90</v>
      </c>
      <c r="L336" s="37" t="s">
        <v>46</v>
      </c>
      <c r="M336" s="38" t="s">
        <v>89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557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558</v>
      </c>
      <c r="B337" s="63" t="s">
        <v>559</v>
      </c>
      <c r="C337" s="36">
        <v>4301051795</v>
      </c>
      <c r="D337" s="655">
        <v>4680115881228</v>
      </c>
      <c r="E337" s="655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90</v>
      </c>
      <c r="L337" s="37" t="s">
        <v>46</v>
      </c>
      <c r="M337" s="38" t="s">
        <v>96</v>
      </c>
      <c r="N337" s="38"/>
      <c r="O337" s="37">
        <v>40</v>
      </c>
      <c r="P337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561</v>
      </c>
      <c r="B338" s="63" t="s">
        <v>562</v>
      </c>
      <c r="C338" s="36">
        <v>4301051388</v>
      </c>
      <c r="D338" s="655">
        <v>4680115881211</v>
      </c>
      <c r="E338" s="655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7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557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663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64"/>
      <c r="P339" s="660" t="s">
        <v>40</v>
      </c>
      <c r="Q339" s="661"/>
      <c r="R339" s="661"/>
      <c r="S339" s="661"/>
      <c r="T339" s="661"/>
      <c r="U339" s="661"/>
      <c r="V339" s="662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64"/>
      <c r="P340" s="660" t="s">
        <v>40</v>
      </c>
      <c r="Q340" s="661"/>
      <c r="R340" s="661"/>
      <c r="S340" s="661"/>
      <c r="T340" s="661"/>
      <c r="U340" s="661"/>
      <c r="V340" s="662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665" t="s">
        <v>563</v>
      </c>
      <c r="B341" s="665"/>
      <c r="C341" s="665"/>
      <c r="D341" s="665"/>
      <c r="E341" s="665"/>
      <c r="F341" s="665"/>
      <c r="G341" s="665"/>
      <c r="H341" s="665"/>
      <c r="I341" s="665"/>
      <c r="J341" s="665"/>
      <c r="K341" s="665"/>
      <c r="L341" s="665"/>
      <c r="M341" s="665"/>
      <c r="N341" s="665"/>
      <c r="O341" s="665"/>
      <c r="P341" s="665"/>
      <c r="Q341" s="665"/>
      <c r="R341" s="665"/>
      <c r="S341" s="665"/>
      <c r="T341" s="665"/>
      <c r="U341" s="665"/>
      <c r="V341" s="665"/>
      <c r="W341" s="665"/>
      <c r="X341" s="665"/>
      <c r="Y341" s="665"/>
      <c r="Z341" s="665"/>
      <c r="AA341" s="65"/>
      <c r="AB341" s="65"/>
      <c r="AC341" s="79"/>
    </row>
    <row r="342" spans="1:68" ht="14.25" hidden="1" customHeight="1" x14ac:dyDescent="0.25">
      <c r="A342" s="654" t="s">
        <v>76</v>
      </c>
      <c r="B342" s="654"/>
      <c r="C342" s="654"/>
      <c r="D342" s="654"/>
      <c r="E342" s="654"/>
      <c r="F342" s="654"/>
      <c r="G342" s="654"/>
      <c r="H342" s="654"/>
      <c r="I342" s="654"/>
      <c r="J342" s="654"/>
      <c r="K342" s="654"/>
      <c r="L342" s="654"/>
      <c r="M342" s="654"/>
      <c r="N342" s="654"/>
      <c r="O342" s="654"/>
      <c r="P342" s="654"/>
      <c r="Q342" s="654"/>
      <c r="R342" s="654"/>
      <c r="S342" s="654"/>
      <c r="T342" s="654"/>
      <c r="U342" s="654"/>
      <c r="V342" s="654"/>
      <c r="W342" s="654"/>
      <c r="X342" s="654"/>
      <c r="Y342" s="654"/>
      <c r="Z342" s="654"/>
      <c r="AA342" s="66"/>
      <c r="AB342" s="66"/>
      <c r="AC342" s="80"/>
    </row>
    <row r="343" spans="1:68" ht="27" hidden="1" customHeight="1" x14ac:dyDescent="0.25">
      <c r="A343" s="63" t="s">
        <v>564</v>
      </c>
      <c r="B343" s="63" t="s">
        <v>565</v>
      </c>
      <c r="C343" s="36">
        <v>4301031445</v>
      </c>
      <c r="D343" s="655">
        <v>4680115888319</v>
      </c>
      <c r="E343" s="655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45</v>
      </c>
      <c r="P343" s="76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566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567</v>
      </c>
      <c r="B344" s="63" t="s">
        <v>568</v>
      </c>
      <c r="C344" s="36">
        <v>4301031502</v>
      </c>
      <c r="D344" s="655">
        <v>4680115884700</v>
      </c>
      <c r="E344" s="655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569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570</v>
      </c>
      <c r="B345" s="63" t="s">
        <v>571</v>
      </c>
      <c r="C345" s="36">
        <v>4301031307</v>
      </c>
      <c r="D345" s="655">
        <v>4680115880344</v>
      </c>
      <c r="E345" s="655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40</v>
      </c>
      <c r="P345" s="77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572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573</v>
      </c>
      <c r="B346" s="63" t="s">
        <v>574</v>
      </c>
      <c r="C346" s="36">
        <v>4301031501</v>
      </c>
      <c r="D346" s="655">
        <v>4680115886919</v>
      </c>
      <c r="E346" s="655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90</v>
      </c>
      <c r="L346" s="37" t="s">
        <v>46</v>
      </c>
      <c r="M346" s="38" t="s">
        <v>80</v>
      </c>
      <c r="N346" s="38"/>
      <c r="O346" s="37">
        <v>40</v>
      </c>
      <c r="P346" s="77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575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3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64"/>
      <c r="P347" s="660" t="s">
        <v>40</v>
      </c>
      <c r="Q347" s="661"/>
      <c r="R347" s="661"/>
      <c r="S347" s="661"/>
      <c r="T347" s="661"/>
      <c r="U347" s="661"/>
      <c r="V347" s="662"/>
      <c r="W347" s="42" t="s">
        <v>39</v>
      </c>
      <c r="X347" s="43">
        <f>IFERROR(X343/H343,"0")+IFERROR(X344/H344,"0")+IFERROR(X345/H345,"0")+IFERROR(X346/H346,"0")</f>
        <v>0</v>
      </c>
      <c r="Y347" s="43">
        <f>IFERROR(Y343/H343,"0")+IFERROR(Y344/H344,"0")+IFERROR(Y345/H345,"0")+IFERROR(Y346/H346,"0")</f>
        <v>0</v>
      </c>
      <c r="Z347" s="43">
        <f>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64"/>
      <c r="P348" s="660" t="s">
        <v>40</v>
      </c>
      <c r="Q348" s="661"/>
      <c r="R348" s="661"/>
      <c r="S348" s="661"/>
      <c r="T348" s="661"/>
      <c r="U348" s="661"/>
      <c r="V348" s="662"/>
      <c r="W348" s="42" t="s">
        <v>0</v>
      </c>
      <c r="X348" s="43">
        <f>IFERROR(SUM(X343:X346),"0")</f>
        <v>0</v>
      </c>
      <c r="Y348" s="43">
        <f>IFERROR(SUM(Y343:Y346),"0")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4" t="s">
        <v>85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hidden="1" customHeight="1" x14ac:dyDescent="0.25">
      <c r="A350" s="63" t="s">
        <v>576</v>
      </c>
      <c r="B350" s="63" t="s">
        <v>577</v>
      </c>
      <c r="C350" s="36">
        <v>4301051782</v>
      </c>
      <c r="D350" s="655">
        <v>4680115884618</v>
      </c>
      <c r="E350" s="655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133</v>
      </c>
      <c r="L350" s="37" t="s">
        <v>46</v>
      </c>
      <c r="M350" s="38" t="s">
        <v>89</v>
      </c>
      <c r="N350" s="38"/>
      <c r="O350" s="37">
        <v>45</v>
      </c>
      <c r="P350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578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579</v>
      </c>
      <c r="B351" s="63" t="s">
        <v>580</v>
      </c>
      <c r="C351" s="36">
        <v>4301052057</v>
      </c>
      <c r="D351" s="655">
        <v>4680115887114</v>
      </c>
      <c r="E351" s="655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133</v>
      </c>
      <c r="L351" s="37" t="s">
        <v>46</v>
      </c>
      <c r="M351" s="38" t="s">
        <v>89</v>
      </c>
      <c r="N351" s="38"/>
      <c r="O351" s="37">
        <v>45</v>
      </c>
      <c r="P351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581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3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64"/>
      <c r="P352" s="660" t="s">
        <v>40</v>
      </c>
      <c r="Q352" s="661"/>
      <c r="R352" s="661"/>
      <c r="S352" s="661"/>
      <c r="T352" s="661"/>
      <c r="U352" s="661"/>
      <c r="V352" s="66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4"/>
      <c r="P353" s="660" t="s">
        <v>40</v>
      </c>
      <c r="Q353" s="661"/>
      <c r="R353" s="661"/>
      <c r="S353" s="661"/>
      <c r="T353" s="661"/>
      <c r="U353" s="661"/>
      <c r="V353" s="66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65" t="s">
        <v>582</v>
      </c>
      <c r="B354" s="665"/>
      <c r="C354" s="665"/>
      <c r="D354" s="665"/>
      <c r="E354" s="665"/>
      <c r="F354" s="665"/>
      <c r="G354" s="665"/>
      <c r="H354" s="665"/>
      <c r="I354" s="665"/>
      <c r="J354" s="665"/>
      <c r="K354" s="665"/>
      <c r="L354" s="665"/>
      <c r="M354" s="665"/>
      <c r="N354" s="665"/>
      <c r="O354" s="665"/>
      <c r="P354" s="665"/>
      <c r="Q354" s="665"/>
      <c r="R354" s="665"/>
      <c r="S354" s="665"/>
      <c r="T354" s="665"/>
      <c r="U354" s="665"/>
      <c r="V354" s="665"/>
      <c r="W354" s="665"/>
      <c r="X354" s="665"/>
      <c r="Y354" s="665"/>
      <c r="Z354" s="665"/>
      <c r="AA354" s="65"/>
      <c r="AB354" s="65"/>
      <c r="AC354" s="79"/>
    </row>
    <row r="355" spans="1:68" ht="14.25" hidden="1" customHeight="1" x14ac:dyDescent="0.25">
      <c r="A355" s="654" t="s">
        <v>121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hidden="1" customHeight="1" x14ac:dyDescent="0.25">
      <c r="A356" s="63" t="s">
        <v>583</v>
      </c>
      <c r="B356" s="63" t="s">
        <v>584</v>
      </c>
      <c r="C356" s="36">
        <v>4301012324</v>
      </c>
      <c r="D356" s="655">
        <v>4680115887947</v>
      </c>
      <c r="E356" s="65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126</v>
      </c>
      <c r="L356" s="37" t="s">
        <v>46</v>
      </c>
      <c r="M356" s="38" t="s">
        <v>89</v>
      </c>
      <c r="N356" s="38"/>
      <c r="O356" s="37">
        <v>60</v>
      </c>
      <c r="P356" s="76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354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585</v>
      </c>
      <c r="B357" s="63" t="s">
        <v>586</v>
      </c>
      <c r="C357" s="36">
        <v>4301012325</v>
      </c>
      <c r="D357" s="655">
        <v>4680115887978</v>
      </c>
      <c r="E357" s="655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126</v>
      </c>
      <c r="L357" s="37" t="s">
        <v>46</v>
      </c>
      <c r="M357" s="38" t="s">
        <v>89</v>
      </c>
      <c r="N357" s="38"/>
      <c r="O357" s="37">
        <v>60</v>
      </c>
      <c r="P357" s="76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587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588</v>
      </c>
      <c r="B358" s="63" t="s">
        <v>589</v>
      </c>
      <c r="C358" s="36">
        <v>4301012327</v>
      </c>
      <c r="D358" s="655">
        <v>4680115887992</v>
      </c>
      <c r="E358" s="655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126</v>
      </c>
      <c r="L358" s="37" t="s">
        <v>46</v>
      </c>
      <c r="M358" s="38" t="s">
        <v>89</v>
      </c>
      <c r="N358" s="38"/>
      <c r="O358" s="37">
        <v>60</v>
      </c>
      <c r="P358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590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3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64"/>
      <c r="P359" s="660" t="s">
        <v>40</v>
      </c>
      <c r="Q359" s="661"/>
      <c r="R359" s="661"/>
      <c r="S359" s="661"/>
      <c r="T359" s="661"/>
      <c r="U359" s="661"/>
      <c r="V359" s="66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64"/>
      <c r="P360" s="660" t="s">
        <v>40</v>
      </c>
      <c r="Q360" s="661"/>
      <c r="R360" s="661"/>
      <c r="S360" s="661"/>
      <c r="T360" s="661"/>
      <c r="U360" s="661"/>
      <c r="V360" s="66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65" t="s">
        <v>591</v>
      </c>
      <c r="B361" s="665"/>
      <c r="C361" s="665"/>
      <c r="D361" s="665"/>
      <c r="E361" s="665"/>
      <c r="F361" s="665"/>
      <c r="G361" s="665"/>
      <c r="H361" s="665"/>
      <c r="I361" s="665"/>
      <c r="J361" s="665"/>
      <c r="K361" s="665"/>
      <c r="L361" s="665"/>
      <c r="M361" s="665"/>
      <c r="N361" s="665"/>
      <c r="O361" s="665"/>
      <c r="P361" s="665"/>
      <c r="Q361" s="665"/>
      <c r="R361" s="665"/>
      <c r="S361" s="665"/>
      <c r="T361" s="665"/>
      <c r="U361" s="665"/>
      <c r="V361" s="665"/>
      <c r="W361" s="665"/>
      <c r="X361" s="665"/>
      <c r="Y361" s="665"/>
      <c r="Z361" s="665"/>
      <c r="AA361" s="65"/>
      <c r="AB361" s="65"/>
      <c r="AC361" s="79"/>
    </row>
    <row r="362" spans="1:68" ht="14.25" hidden="1" customHeight="1" x14ac:dyDescent="0.25">
      <c r="A362" s="654" t="s">
        <v>121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hidden="1" customHeight="1" x14ac:dyDescent="0.25">
      <c r="A363" s="63" t="s">
        <v>592</v>
      </c>
      <c r="B363" s="63" t="s">
        <v>593</v>
      </c>
      <c r="C363" s="36">
        <v>4301012360</v>
      </c>
      <c r="D363" s="655">
        <v>4680115889293</v>
      </c>
      <c r="E363" s="65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126</v>
      </c>
      <c r="L363" s="37" t="s">
        <v>46</v>
      </c>
      <c r="M363" s="38" t="s">
        <v>125</v>
      </c>
      <c r="N363" s="38"/>
      <c r="O363" s="37">
        <v>55</v>
      </c>
      <c r="P363" s="76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6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594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9" si="63">IFERROR(X363*I363/H363,"0")</f>
        <v>0</v>
      </c>
      <c r="BN363" s="78">
        <f t="shared" ref="BN363:BN369" si="64">IFERROR(Y363*I363/H363,"0")</f>
        <v>0</v>
      </c>
      <c r="BO363" s="78">
        <f t="shared" ref="BO363:BO369" si="65">IFERROR(1/J363*(X363/H363),"0")</f>
        <v>0</v>
      </c>
      <c r="BP363" s="78">
        <f t="shared" ref="BP363:BP369" si="66">IFERROR(1/J363*(Y363/H363),"0")</f>
        <v>0</v>
      </c>
    </row>
    <row r="364" spans="1:68" ht="27" hidden="1" customHeight="1" x14ac:dyDescent="0.25">
      <c r="A364" s="63" t="s">
        <v>595</v>
      </c>
      <c r="B364" s="63" t="s">
        <v>596</v>
      </c>
      <c r="C364" s="36">
        <v>4301012235</v>
      </c>
      <c r="D364" s="655">
        <v>4680115887190</v>
      </c>
      <c r="E364" s="65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126</v>
      </c>
      <c r="L364" s="37" t="s">
        <v>46</v>
      </c>
      <c r="M364" s="38" t="s">
        <v>125</v>
      </c>
      <c r="N364" s="38"/>
      <c r="O364" s="37">
        <v>55</v>
      </c>
      <c r="P364" s="7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6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597</v>
      </c>
      <c r="AG364" s="78"/>
      <c r="AJ364" s="84" t="s">
        <v>46</v>
      </c>
      <c r="AK364" s="84">
        <v>0</v>
      </c>
      <c r="BB364" s="461" t="s">
        <v>67</v>
      </c>
      <c r="BM364" s="78">
        <f t="shared" si="63"/>
        <v>0</v>
      </c>
      <c r="BN364" s="78">
        <f t="shared" si="64"/>
        <v>0</v>
      </c>
      <c r="BO364" s="78">
        <f t="shared" si="65"/>
        <v>0</v>
      </c>
      <c r="BP364" s="78">
        <f t="shared" si="66"/>
        <v>0</v>
      </c>
    </row>
    <row r="365" spans="1:68" ht="27" hidden="1" customHeight="1" x14ac:dyDescent="0.25">
      <c r="A365" s="63" t="s">
        <v>598</v>
      </c>
      <c r="B365" s="63" t="s">
        <v>599</v>
      </c>
      <c r="C365" s="36">
        <v>4301012400</v>
      </c>
      <c r="D365" s="655">
        <v>4680115889880</v>
      </c>
      <c r="E365" s="655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126</v>
      </c>
      <c r="L365" s="37" t="s">
        <v>46</v>
      </c>
      <c r="M365" s="38" t="s">
        <v>125</v>
      </c>
      <c r="N365" s="38"/>
      <c r="O365" s="37">
        <v>55</v>
      </c>
      <c r="P365" s="75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6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519</v>
      </c>
      <c r="AG365" s="78"/>
      <c r="AJ365" s="84" t="s">
        <v>46</v>
      </c>
      <c r="AK365" s="84">
        <v>0</v>
      </c>
      <c r="BB365" s="463" t="s">
        <v>67</v>
      </c>
      <c r="BM365" s="78">
        <f t="shared" si="63"/>
        <v>0</v>
      </c>
      <c r="BN365" s="78">
        <f t="shared" si="64"/>
        <v>0</v>
      </c>
      <c r="BO365" s="78">
        <f t="shared" si="65"/>
        <v>0</v>
      </c>
      <c r="BP365" s="78">
        <f t="shared" si="66"/>
        <v>0</v>
      </c>
    </row>
    <row r="366" spans="1:68" ht="37.5" hidden="1" customHeight="1" x14ac:dyDescent="0.25">
      <c r="A366" s="63" t="s">
        <v>600</v>
      </c>
      <c r="B366" s="63" t="s">
        <v>601</v>
      </c>
      <c r="C366" s="36">
        <v>4301012233</v>
      </c>
      <c r="D366" s="655">
        <v>4680115887138</v>
      </c>
      <c r="E366" s="65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5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602</v>
      </c>
      <c r="AG366" s="78"/>
      <c r="AJ366" s="84" t="s">
        <v>46</v>
      </c>
      <c r="AK366" s="84">
        <v>0</v>
      </c>
      <c r="BB366" s="465" t="s">
        <v>67</v>
      </c>
      <c r="BM366" s="78">
        <f t="shared" si="63"/>
        <v>0</v>
      </c>
      <c r="BN366" s="78">
        <f t="shared" si="64"/>
        <v>0</v>
      </c>
      <c r="BO366" s="78">
        <f t="shared" si="65"/>
        <v>0</v>
      </c>
      <c r="BP366" s="78">
        <f t="shared" si="66"/>
        <v>0</v>
      </c>
    </row>
    <row r="367" spans="1:68" ht="27" hidden="1" customHeight="1" x14ac:dyDescent="0.25">
      <c r="A367" s="63" t="s">
        <v>603</v>
      </c>
      <c r="B367" s="63" t="s">
        <v>604</v>
      </c>
      <c r="C367" s="36">
        <v>4301012016</v>
      </c>
      <c r="D367" s="655">
        <v>4680115885554</v>
      </c>
      <c r="E367" s="65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89</v>
      </c>
      <c r="N367" s="38"/>
      <c r="O367" s="37">
        <v>55</v>
      </c>
      <c r="P367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2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605</v>
      </c>
      <c r="AG367" s="78"/>
      <c r="AJ367" s="84" t="s">
        <v>46</v>
      </c>
      <c r="AK367" s="84">
        <v>0</v>
      </c>
      <c r="BB367" s="467" t="s">
        <v>67</v>
      </c>
      <c r="BM367" s="78">
        <f t="shared" si="63"/>
        <v>0</v>
      </c>
      <c r="BN367" s="78">
        <f t="shared" si="64"/>
        <v>0</v>
      </c>
      <c r="BO367" s="78">
        <f t="shared" si="65"/>
        <v>0</v>
      </c>
      <c r="BP367" s="78">
        <f t="shared" si="66"/>
        <v>0</v>
      </c>
    </row>
    <row r="368" spans="1:68" ht="27" hidden="1" customHeight="1" x14ac:dyDescent="0.25">
      <c r="A368" s="63" t="s">
        <v>606</v>
      </c>
      <c r="B368" s="63" t="s">
        <v>607</v>
      </c>
      <c r="C368" s="36">
        <v>4301012236</v>
      </c>
      <c r="D368" s="655">
        <v>4680115887220</v>
      </c>
      <c r="E368" s="655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133</v>
      </c>
      <c r="L368" s="37" t="s">
        <v>46</v>
      </c>
      <c r="M368" s="38" t="s">
        <v>125</v>
      </c>
      <c r="N368" s="38"/>
      <c r="O368" s="37">
        <v>55</v>
      </c>
      <c r="P368" s="76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597</v>
      </c>
      <c r="AG368" s="78"/>
      <c r="AJ368" s="84" t="s">
        <v>46</v>
      </c>
      <c r="AK368" s="84">
        <v>0</v>
      </c>
      <c r="BB368" s="469" t="s">
        <v>67</v>
      </c>
      <c r="BM368" s="78">
        <f t="shared" si="63"/>
        <v>0</v>
      </c>
      <c r="BN368" s="78">
        <f t="shared" si="64"/>
        <v>0</v>
      </c>
      <c r="BO368" s="78">
        <f t="shared" si="65"/>
        <v>0</v>
      </c>
      <c r="BP368" s="78">
        <f t="shared" si="66"/>
        <v>0</v>
      </c>
    </row>
    <row r="369" spans="1:68" ht="27" hidden="1" customHeight="1" x14ac:dyDescent="0.25">
      <c r="A369" s="63" t="s">
        <v>608</v>
      </c>
      <c r="B369" s="63" t="s">
        <v>609</v>
      </c>
      <c r="C369" s="36">
        <v>4301011859</v>
      </c>
      <c r="D369" s="655">
        <v>4680115885608</v>
      </c>
      <c r="E369" s="655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133</v>
      </c>
      <c r="L369" s="37" t="s">
        <v>46</v>
      </c>
      <c r="M369" s="38" t="s">
        <v>125</v>
      </c>
      <c r="N369" s="38"/>
      <c r="O369" s="37">
        <v>55</v>
      </c>
      <c r="P369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2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610</v>
      </c>
      <c r="AG369" s="78"/>
      <c r="AJ369" s="84" t="s">
        <v>46</v>
      </c>
      <c r="AK369" s="84">
        <v>0</v>
      </c>
      <c r="BB369" s="471" t="s">
        <v>67</v>
      </c>
      <c r="BM369" s="78">
        <f t="shared" si="63"/>
        <v>0</v>
      </c>
      <c r="BN369" s="78">
        <f t="shared" si="64"/>
        <v>0</v>
      </c>
      <c r="BO369" s="78">
        <f t="shared" si="65"/>
        <v>0</v>
      </c>
      <c r="BP369" s="78">
        <f t="shared" si="66"/>
        <v>0</v>
      </c>
    </row>
    <row r="370" spans="1:68" hidden="1" x14ac:dyDescent="0.2">
      <c r="A370" s="663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4"/>
      <c r="P370" s="660" t="s">
        <v>40</v>
      </c>
      <c r="Q370" s="661"/>
      <c r="R370" s="661"/>
      <c r="S370" s="661"/>
      <c r="T370" s="661"/>
      <c r="U370" s="661"/>
      <c r="V370" s="662"/>
      <c r="W370" s="42" t="s">
        <v>39</v>
      </c>
      <c r="X370" s="43">
        <f>IFERROR(X363/H363,"0")+IFERROR(X364/H364,"0")+IFERROR(X365/H365,"0")+IFERROR(X366/H366,"0")+IFERROR(X367/H367,"0")+IFERROR(X368/H368,"0")+IFERROR(X369/H369,"0")</f>
        <v>0</v>
      </c>
      <c r="Y370" s="43">
        <f>IFERROR(Y363/H363,"0")+IFERROR(Y364/H364,"0")+IFERROR(Y365/H365,"0")+IFERROR(Y366/H366,"0")+IFERROR(Y367/H367,"0")+IFERROR(Y368/H368,"0")+IFERROR(Y369/H369,"0")</f>
        <v>0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7"/>
      <c r="AB370" s="67"/>
      <c r="AC370" s="67"/>
    </row>
    <row r="371" spans="1:68" hidden="1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64"/>
      <c r="P371" s="660" t="s">
        <v>40</v>
      </c>
      <c r="Q371" s="661"/>
      <c r="R371" s="661"/>
      <c r="S371" s="661"/>
      <c r="T371" s="661"/>
      <c r="U371" s="661"/>
      <c r="V371" s="662"/>
      <c r="W371" s="42" t="s">
        <v>0</v>
      </c>
      <c r="X371" s="43">
        <f>IFERROR(SUM(X363:X369),"0")</f>
        <v>0</v>
      </c>
      <c r="Y371" s="43">
        <f>IFERROR(SUM(Y363:Y369),"0")</f>
        <v>0</v>
      </c>
      <c r="Z371" s="42"/>
      <c r="AA371" s="67"/>
      <c r="AB371" s="67"/>
      <c r="AC371" s="67"/>
    </row>
    <row r="372" spans="1:68" ht="14.25" hidden="1" customHeight="1" x14ac:dyDescent="0.25">
      <c r="A372" s="654" t="s">
        <v>76</v>
      </c>
      <c r="B372" s="654"/>
      <c r="C372" s="654"/>
      <c r="D372" s="654"/>
      <c r="E372" s="654"/>
      <c r="F372" s="654"/>
      <c r="G372" s="654"/>
      <c r="H372" s="654"/>
      <c r="I372" s="654"/>
      <c r="J372" s="654"/>
      <c r="K372" s="654"/>
      <c r="L372" s="654"/>
      <c r="M372" s="654"/>
      <c r="N372" s="654"/>
      <c r="O372" s="654"/>
      <c r="P372" s="654"/>
      <c r="Q372" s="654"/>
      <c r="R372" s="654"/>
      <c r="S372" s="654"/>
      <c r="T372" s="654"/>
      <c r="U372" s="654"/>
      <c r="V372" s="654"/>
      <c r="W372" s="654"/>
      <c r="X372" s="654"/>
      <c r="Y372" s="654"/>
      <c r="Z372" s="654"/>
      <c r="AA372" s="66"/>
      <c r="AB372" s="66"/>
      <c r="AC372" s="80"/>
    </row>
    <row r="373" spans="1:68" ht="27" hidden="1" customHeight="1" x14ac:dyDescent="0.25">
      <c r="A373" s="63" t="s">
        <v>611</v>
      </c>
      <c r="B373" s="63" t="s">
        <v>612</v>
      </c>
      <c r="C373" s="36">
        <v>4301030878</v>
      </c>
      <c r="D373" s="655">
        <v>4607091387193</v>
      </c>
      <c r="E373" s="655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133</v>
      </c>
      <c r="L373" s="37" t="s">
        <v>46</v>
      </c>
      <c r="M373" s="38" t="s">
        <v>80</v>
      </c>
      <c r="N373" s="38"/>
      <c r="O373" s="37">
        <v>35</v>
      </c>
      <c r="P373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ref="Y373:Y379" si="67">IFERROR(IF(X373="",0,CEILING((X373/$H373),1)*$H373),"")</f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613</v>
      </c>
      <c r="AG373" s="78"/>
      <c r="AJ373" s="84" t="s">
        <v>46</v>
      </c>
      <c r="AK373" s="84">
        <v>0</v>
      </c>
      <c r="BB373" s="473" t="s">
        <v>67</v>
      </c>
      <c r="BM373" s="78">
        <f t="shared" ref="BM373:BM379" si="68">IFERROR(X373*I373/H373,"0")</f>
        <v>0</v>
      </c>
      <c r="BN373" s="78">
        <f t="shared" ref="BN373:BN379" si="69">IFERROR(Y373*I373/H373,"0")</f>
        <v>0</v>
      </c>
      <c r="BO373" s="78">
        <f t="shared" ref="BO373:BO379" si="70">IFERROR(1/J373*(X373/H373),"0")</f>
        <v>0</v>
      </c>
      <c r="BP373" s="78">
        <f t="shared" ref="BP373:BP379" si="71">IFERROR(1/J373*(Y373/H373),"0")</f>
        <v>0</v>
      </c>
    </row>
    <row r="374" spans="1:68" ht="27" hidden="1" customHeight="1" x14ac:dyDescent="0.25">
      <c r="A374" s="63" t="s">
        <v>614</v>
      </c>
      <c r="B374" s="63" t="s">
        <v>615</v>
      </c>
      <c r="C374" s="36">
        <v>4301031153</v>
      </c>
      <c r="D374" s="655">
        <v>4607091387230</v>
      </c>
      <c r="E374" s="655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133</v>
      </c>
      <c r="L374" s="37" t="s">
        <v>46</v>
      </c>
      <c r="M374" s="38" t="s">
        <v>80</v>
      </c>
      <c r="N374" s="38"/>
      <c r="O374" s="37">
        <v>40</v>
      </c>
      <c r="P374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616</v>
      </c>
      <c r="AG374" s="78"/>
      <c r="AJ374" s="84" t="s">
        <v>46</v>
      </c>
      <c r="AK374" s="84">
        <v>0</v>
      </c>
      <c r="BB374" s="475" t="s">
        <v>67</v>
      </c>
      <c r="BM374" s="78">
        <f t="shared" si="68"/>
        <v>0</v>
      </c>
      <c r="BN374" s="78">
        <f t="shared" si="69"/>
        <v>0</v>
      </c>
      <c r="BO374" s="78">
        <f t="shared" si="70"/>
        <v>0</v>
      </c>
      <c r="BP374" s="78">
        <f t="shared" si="71"/>
        <v>0</v>
      </c>
    </row>
    <row r="375" spans="1:68" ht="27" hidden="1" customHeight="1" x14ac:dyDescent="0.25">
      <c r="A375" s="63" t="s">
        <v>617</v>
      </c>
      <c r="B375" s="63" t="s">
        <v>618</v>
      </c>
      <c r="C375" s="36">
        <v>4301031154</v>
      </c>
      <c r="D375" s="655">
        <v>4607091387292</v>
      </c>
      <c r="E375" s="65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45</v>
      </c>
      <c r="P375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7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8"/>
        <v>0</v>
      </c>
      <c r="BN375" s="78">
        <f t="shared" si="69"/>
        <v>0</v>
      </c>
      <c r="BO375" s="78">
        <f t="shared" si="70"/>
        <v>0</v>
      </c>
      <c r="BP375" s="78">
        <f t="shared" si="71"/>
        <v>0</v>
      </c>
    </row>
    <row r="376" spans="1:68" ht="27" hidden="1" customHeight="1" x14ac:dyDescent="0.25">
      <c r="A376" s="63" t="s">
        <v>620</v>
      </c>
      <c r="B376" s="63" t="s">
        <v>621</v>
      </c>
      <c r="C376" s="36">
        <v>4301031152</v>
      </c>
      <c r="D376" s="655">
        <v>4607091387285</v>
      </c>
      <c r="E376" s="655"/>
      <c r="F376" s="62">
        <v>0.35</v>
      </c>
      <c r="G376" s="37">
        <v>6</v>
      </c>
      <c r="H376" s="62">
        <v>2.1</v>
      </c>
      <c r="I376" s="62">
        <v>2.23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616</v>
      </c>
      <c r="AG376" s="78"/>
      <c r="AJ376" s="84" t="s">
        <v>46</v>
      </c>
      <c r="AK376" s="84">
        <v>0</v>
      </c>
      <c r="BB376" s="479" t="s">
        <v>67</v>
      </c>
      <c r="BM376" s="78">
        <f t="shared" si="68"/>
        <v>0</v>
      </c>
      <c r="BN376" s="78">
        <f t="shared" si="69"/>
        <v>0</v>
      </c>
      <c r="BO376" s="78">
        <f t="shared" si="70"/>
        <v>0</v>
      </c>
      <c r="BP376" s="78">
        <f t="shared" si="71"/>
        <v>0</v>
      </c>
    </row>
    <row r="377" spans="1:68" ht="27" hidden="1" customHeight="1" x14ac:dyDescent="0.25">
      <c r="A377" s="63" t="s">
        <v>622</v>
      </c>
      <c r="B377" s="63" t="s">
        <v>623</v>
      </c>
      <c r="C377" s="36">
        <v>4301031305</v>
      </c>
      <c r="D377" s="655">
        <v>4607091389845</v>
      </c>
      <c r="E377" s="655"/>
      <c r="F377" s="62">
        <v>0.35</v>
      </c>
      <c r="G377" s="37">
        <v>6</v>
      </c>
      <c r="H377" s="62">
        <v>2.1</v>
      </c>
      <c r="I377" s="62">
        <v>2.2000000000000002</v>
      </c>
      <c r="J377" s="37">
        <v>234</v>
      </c>
      <c r="K377" s="37" t="s">
        <v>81</v>
      </c>
      <c r="L377" s="37" t="s">
        <v>46</v>
      </c>
      <c r="M377" s="38" t="s">
        <v>80</v>
      </c>
      <c r="N377" s="38"/>
      <c r="O377" s="37">
        <v>40</v>
      </c>
      <c r="P377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7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624</v>
      </c>
      <c r="AG377" s="78"/>
      <c r="AJ377" s="84" t="s">
        <v>46</v>
      </c>
      <c r="AK377" s="84">
        <v>0</v>
      </c>
      <c r="BB377" s="481" t="s">
        <v>67</v>
      </c>
      <c r="BM377" s="78">
        <f t="shared" si="68"/>
        <v>0</v>
      </c>
      <c r="BN377" s="78">
        <f t="shared" si="69"/>
        <v>0</v>
      </c>
      <c r="BO377" s="78">
        <f t="shared" si="70"/>
        <v>0</v>
      </c>
      <c r="BP377" s="78">
        <f t="shared" si="71"/>
        <v>0</v>
      </c>
    </row>
    <row r="378" spans="1:68" ht="27" hidden="1" customHeight="1" x14ac:dyDescent="0.25">
      <c r="A378" s="63" t="s">
        <v>625</v>
      </c>
      <c r="B378" s="63" t="s">
        <v>626</v>
      </c>
      <c r="C378" s="36">
        <v>4301031460</v>
      </c>
      <c r="D378" s="655">
        <v>4680115887442</v>
      </c>
      <c r="E378" s="655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133</v>
      </c>
      <c r="L378" s="37" t="s">
        <v>46</v>
      </c>
      <c r="M378" s="38" t="s">
        <v>80</v>
      </c>
      <c r="N378" s="38"/>
      <c r="O378" s="37">
        <v>45</v>
      </c>
      <c r="P378" s="75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619</v>
      </c>
      <c r="AG378" s="78"/>
      <c r="AJ378" s="84" t="s">
        <v>46</v>
      </c>
      <c r="AK378" s="84">
        <v>0</v>
      </c>
      <c r="BB378" s="483" t="s">
        <v>67</v>
      </c>
      <c r="BM378" s="78">
        <f t="shared" si="68"/>
        <v>0</v>
      </c>
      <c r="BN378" s="78">
        <f t="shared" si="69"/>
        <v>0</v>
      </c>
      <c r="BO378" s="78">
        <f t="shared" si="70"/>
        <v>0</v>
      </c>
      <c r="BP378" s="78">
        <f t="shared" si="71"/>
        <v>0</v>
      </c>
    </row>
    <row r="379" spans="1:68" ht="27" hidden="1" customHeight="1" x14ac:dyDescent="0.25">
      <c r="A379" s="63" t="s">
        <v>627</v>
      </c>
      <c r="B379" s="63" t="s">
        <v>628</v>
      </c>
      <c r="C379" s="36">
        <v>4301031066</v>
      </c>
      <c r="D379" s="655">
        <v>4607091383836</v>
      </c>
      <c r="E379" s="655"/>
      <c r="F379" s="62">
        <v>0.3</v>
      </c>
      <c r="G379" s="37">
        <v>6</v>
      </c>
      <c r="H379" s="62">
        <v>1.8</v>
      </c>
      <c r="I379" s="62">
        <v>2.028</v>
      </c>
      <c r="J379" s="37">
        <v>182</v>
      </c>
      <c r="K379" s="37" t="s">
        <v>90</v>
      </c>
      <c r="L379" s="37" t="s">
        <v>46</v>
      </c>
      <c r="M379" s="38" t="s">
        <v>80</v>
      </c>
      <c r="N379" s="38"/>
      <c r="O379" s="37">
        <v>40</v>
      </c>
      <c r="P379" s="7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7"/>
        <v>0</v>
      </c>
      <c r="Z379" s="41" t="str">
        <f>IFERROR(IF(Y379=0,"",ROUNDUP(Y379/H379,0)*0.00651),"")</f>
        <v/>
      </c>
      <c r="AA379" s="68" t="s">
        <v>46</v>
      </c>
      <c r="AB379" s="69" t="s">
        <v>46</v>
      </c>
      <c r="AC379" s="484" t="s">
        <v>629</v>
      </c>
      <c r="AG379" s="78"/>
      <c r="AJ379" s="84" t="s">
        <v>46</v>
      </c>
      <c r="AK379" s="84">
        <v>0</v>
      </c>
      <c r="BB379" s="485" t="s">
        <v>67</v>
      </c>
      <c r="BM379" s="78">
        <f t="shared" si="68"/>
        <v>0</v>
      </c>
      <c r="BN379" s="78">
        <f t="shared" si="69"/>
        <v>0</v>
      </c>
      <c r="BO379" s="78">
        <f t="shared" si="70"/>
        <v>0</v>
      </c>
      <c r="BP379" s="78">
        <f t="shared" si="71"/>
        <v>0</v>
      </c>
    </row>
    <row r="380" spans="1:68" hidden="1" x14ac:dyDescent="0.2">
      <c r="A380" s="663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64"/>
      <c r="P380" s="660" t="s">
        <v>40</v>
      </c>
      <c r="Q380" s="661"/>
      <c r="R380" s="661"/>
      <c r="S380" s="661"/>
      <c r="T380" s="661"/>
      <c r="U380" s="661"/>
      <c r="V380" s="662"/>
      <c r="W380" s="42" t="s">
        <v>39</v>
      </c>
      <c r="X380" s="43">
        <f>IFERROR(X373/H373,"0")+IFERROR(X374/H374,"0")+IFERROR(X375/H375,"0")+IFERROR(X376/H376,"0")+IFERROR(X377/H377,"0")+IFERROR(X378/H378,"0")+IFERROR(X379/H379,"0")</f>
        <v>0</v>
      </c>
      <c r="Y380" s="43">
        <f>IFERROR(Y373/H373,"0")+IFERROR(Y374/H374,"0")+IFERROR(Y375/H375,"0")+IFERROR(Y376/H376,"0")+IFERROR(Y377/H377,"0")+IFERROR(Y378/H378,"0")+IFERROR(Y379/H379,"0")</f>
        <v>0</v>
      </c>
      <c r="Z380" s="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7"/>
      <c r="AB380" s="67"/>
      <c r="AC380" s="67"/>
    </row>
    <row r="381" spans="1:68" hidden="1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64"/>
      <c r="P381" s="660" t="s">
        <v>40</v>
      </c>
      <c r="Q381" s="661"/>
      <c r="R381" s="661"/>
      <c r="S381" s="661"/>
      <c r="T381" s="661"/>
      <c r="U381" s="661"/>
      <c r="V381" s="662"/>
      <c r="W381" s="42" t="s">
        <v>0</v>
      </c>
      <c r="X381" s="43">
        <f>IFERROR(SUM(X373:X379),"0")</f>
        <v>0</v>
      </c>
      <c r="Y381" s="43">
        <f>IFERROR(SUM(Y373:Y379),"0")</f>
        <v>0</v>
      </c>
      <c r="Z381" s="42"/>
      <c r="AA381" s="67"/>
      <c r="AB381" s="67"/>
      <c r="AC381" s="67"/>
    </row>
    <row r="382" spans="1:68" ht="14.25" hidden="1" customHeight="1" x14ac:dyDescent="0.25">
      <c r="A382" s="654" t="s">
        <v>85</v>
      </c>
      <c r="B382" s="654"/>
      <c r="C382" s="654"/>
      <c r="D382" s="654"/>
      <c r="E382" s="654"/>
      <c r="F382" s="654"/>
      <c r="G382" s="654"/>
      <c r="H382" s="654"/>
      <c r="I382" s="654"/>
      <c r="J382" s="654"/>
      <c r="K382" s="654"/>
      <c r="L382" s="654"/>
      <c r="M382" s="654"/>
      <c r="N382" s="654"/>
      <c r="O382" s="654"/>
      <c r="P382" s="654"/>
      <c r="Q382" s="654"/>
      <c r="R382" s="654"/>
      <c r="S382" s="654"/>
      <c r="T382" s="654"/>
      <c r="U382" s="654"/>
      <c r="V382" s="654"/>
      <c r="W382" s="654"/>
      <c r="X382" s="654"/>
      <c r="Y382" s="654"/>
      <c r="Z382" s="654"/>
      <c r="AA382" s="66"/>
      <c r="AB382" s="66"/>
      <c r="AC382" s="80"/>
    </row>
    <row r="383" spans="1:68" ht="27" hidden="1" customHeight="1" x14ac:dyDescent="0.25">
      <c r="A383" s="63" t="s">
        <v>630</v>
      </c>
      <c r="B383" s="63" t="s">
        <v>631</v>
      </c>
      <c r="C383" s="36">
        <v>4301051100</v>
      </c>
      <c r="D383" s="655">
        <v>4607091387766</v>
      </c>
      <c r="E383" s="655"/>
      <c r="F383" s="62">
        <v>1.3</v>
      </c>
      <c r="G383" s="37">
        <v>6</v>
      </c>
      <c r="H383" s="62">
        <v>7.8</v>
      </c>
      <c r="I383" s="62">
        <v>8.2880000000000003</v>
      </c>
      <c r="J383" s="37">
        <v>64</v>
      </c>
      <c r="K383" s="37" t="s">
        <v>126</v>
      </c>
      <c r="L383" s="37" t="s">
        <v>46</v>
      </c>
      <c r="M383" s="38" t="s">
        <v>89</v>
      </c>
      <c r="N383" s="38"/>
      <c r="O383" s="37">
        <v>40</v>
      </c>
      <c r="P383" s="7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632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633</v>
      </c>
      <c r="B384" s="63" t="s">
        <v>634</v>
      </c>
      <c r="C384" s="36">
        <v>4301051818</v>
      </c>
      <c r="D384" s="655">
        <v>4607091387957</v>
      </c>
      <c r="E384" s="655"/>
      <c r="F384" s="62">
        <v>1.3</v>
      </c>
      <c r="G384" s="37">
        <v>6</v>
      </c>
      <c r="H384" s="62">
        <v>7.8</v>
      </c>
      <c r="I384" s="62">
        <v>8.2940000000000005</v>
      </c>
      <c r="J384" s="37">
        <v>64</v>
      </c>
      <c r="K384" s="37" t="s">
        <v>126</v>
      </c>
      <c r="L384" s="37" t="s">
        <v>46</v>
      </c>
      <c r="M384" s="38" t="s">
        <v>89</v>
      </c>
      <c r="N384" s="38"/>
      <c r="O384" s="37">
        <v>40</v>
      </c>
      <c r="P384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635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636</v>
      </c>
      <c r="B385" s="63" t="s">
        <v>637</v>
      </c>
      <c r="C385" s="36">
        <v>4301051819</v>
      </c>
      <c r="D385" s="655">
        <v>4607091387964</v>
      </c>
      <c r="E385" s="655"/>
      <c r="F385" s="62">
        <v>1.35</v>
      </c>
      <c r="G385" s="37">
        <v>6</v>
      </c>
      <c r="H385" s="62">
        <v>8.1</v>
      </c>
      <c r="I385" s="62">
        <v>8.5760000000000005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638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639</v>
      </c>
      <c r="B386" s="63" t="s">
        <v>640</v>
      </c>
      <c r="C386" s="36">
        <v>4301051734</v>
      </c>
      <c r="D386" s="655">
        <v>4680115884588</v>
      </c>
      <c r="E386" s="655"/>
      <c r="F386" s="62">
        <v>0.5</v>
      </c>
      <c r="G386" s="37">
        <v>6</v>
      </c>
      <c r="H386" s="62">
        <v>3</v>
      </c>
      <c r="I386" s="62">
        <v>3.246</v>
      </c>
      <c r="J386" s="37">
        <v>182</v>
      </c>
      <c r="K386" s="37" t="s">
        <v>90</v>
      </c>
      <c r="L386" s="37" t="s">
        <v>46</v>
      </c>
      <c r="M386" s="38" t="s">
        <v>89</v>
      </c>
      <c r="N386" s="38"/>
      <c r="O386" s="37">
        <v>40</v>
      </c>
      <c r="P386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IFERROR(IF(Y386=0,"",ROUNDUP(Y386/H386,0)*0.00651),"")</f>
        <v/>
      </c>
      <c r="AA386" s="68" t="s">
        <v>46</v>
      </c>
      <c r="AB386" s="69" t="s">
        <v>46</v>
      </c>
      <c r="AC386" s="492" t="s">
        <v>632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idden="1" x14ac:dyDescent="0.2">
      <c r="A387" s="663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64"/>
      <c r="P387" s="660" t="s">
        <v>40</v>
      </c>
      <c r="Q387" s="661"/>
      <c r="R387" s="661"/>
      <c r="S387" s="661"/>
      <c r="T387" s="661"/>
      <c r="U387" s="661"/>
      <c r="V387" s="662"/>
      <c r="W387" s="42" t="s">
        <v>39</v>
      </c>
      <c r="X387" s="43">
        <f>IFERROR(X383/H383,"0")+IFERROR(X384/H384,"0")+IFERROR(X385/H385,"0")+IFERROR(X386/H386,"0")</f>
        <v>0</v>
      </c>
      <c r="Y387" s="43">
        <f>IFERROR(Y383/H383,"0")+IFERROR(Y384/H384,"0")+IFERROR(Y385/H385,"0")+IFERROR(Y386/H386,"0")</f>
        <v>0</v>
      </c>
      <c r="Z387" s="43">
        <f>IFERROR(IF(Z383="",0,Z383),"0")+IFERROR(IF(Z384="",0,Z384),"0")+IFERROR(IF(Z385="",0,Z385),"0")+IFERROR(IF(Z386="",0,Z386),"0")</f>
        <v>0</v>
      </c>
      <c r="AA387" s="67"/>
      <c r="AB387" s="67"/>
      <c r="AC387" s="67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64"/>
      <c r="P388" s="660" t="s">
        <v>40</v>
      </c>
      <c r="Q388" s="661"/>
      <c r="R388" s="661"/>
      <c r="S388" s="661"/>
      <c r="T388" s="661"/>
      <c r="U388" s="661"/>
      <c r="V388" s="662"/>
      <c r="W388" s="42" t="s">
        <v>0</v>
      </c>
      <c r="X388" s="43">
        <f>IFERROR(SUM(X383:X386),"0")</f>
        <v>0</v>
      </c>
      <c r="Y388" s="43">
        <f>IFERROR(SUM(Y383:Y386),"0")</f>
        <v>0</v>
      </c>
      <c r="Z388" s="42"/>
      <c r="AA388" s="67"/>
      <c r="AB388" s="67"/>
      <c r="AC388" s="67"/>
    </row>
    <row r="389" spans="1:68" ht="14.25" hidden="1" customHeight="1" x14ac:dyDescent="0.25">
      <c r="A389" s="654" t="s">
        <v>177</v>
      </c>
      <c r="B389" s="654"/>
      <c r="C389" s="654"/>
      <c r="D389" s="654"/>
      <c r="E389" s="654"/>
      <c r="F389" s="654"/>
      <c r="G389" s="654"/>
      <c r="H389" s="654"/>
      <c r="I389" s="654"/>
      <c r="J389" s="654"/>
      <c r="K389" s="654"/>
      <c r="L389" s="654"/>
      <c r="M389" s="654"/>
      <c r="N389" s="654"/>
      <c r="O389" s="654"/>
      <c r="P389" s="654"/>
      <c r="Q389" s="654"/>
      <c r="R389" s="654"/>
      <c r="S389" s="654"/>
      <c r="T389" s="654"/>
      <c r="U389" s="654"/>
      <c r="V389" s="654"/>
      <c r="W389" s="654"/>
      <c r="X389" s="654"/>
      <c r="Y389" s="654"/>
      <c r="Z389" s="654"/>
      <c r="AA389" s="66"/>
      <c r="AB389" s="66"/>
      <c r="AC389" s="80"/>
    </row>
    <row r="390" spans="1:68" ht="27" hidden="1" customHeight="1" x14ac:dyDescent="0.25">
      <c r="A390" s="63" t="s">
        <v>641</v>
      </c>
      <c r="B390" s="63" t="s">
        <v>642</v>
      </c>
      <c r="C390" s="36">
        <v>4301060387</v>
      </c>
      <c r="D390" s="655">
        <v>4607091380880</v>
      </c>
      <c r="E390" s="655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126</v>
      </c>
      <c r="L390" s="37" t="s">
        <v>46</v>
      </c>
      <c r="M390" s="38" t="s">
        <v>89</v>
      </c>
      <c r="N390" s="38"/>
      <c r="O390" s="37">
        <v>30</v>
      </c>
      <c r="P390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643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644</v>
      </c>
      <c r="B391" s="63" t="s">
        <v>645</v>
      </c>
      <c r="C391" s="36">
        <v>4301060406</v>
      </c>
      <c r="D391" s="655">
        <v>4607091384482</v>
      </c>
      <c r="E391" s="655"/>
      <c r="F391" s="62">
        <v>1.3</v>
      </c>
      <c r="G391" s="37">
        <v>6</v>
      </c>
      <c r="H391" s="62">
        <v>7.8</v>
      </c>
      <c r="I391" s="62">
        <v>8.2940000000000005</v>
      </c>
      <c r="J391" s="37">
        <v>64</v>
      </c>
      <c r="K391" s="37" t="s">
        <v>126</v>
      </c>
      <c r="L391" s="37" t="s">
        <v>46</v>
      </c>
      <c r="M391" s="38" t="s">
        <v>89</v>
      </c>
      <c r="N391" s="38"/>
      <c r="O391" s="37">
        <v>30</v>
      </c>
      <c r="P391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646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647</v>
      </c>
      <c r="B392" s="63" t="s">
        <v>648</v>
      </c>
      <c r="C392" s="36">
        <v>4301060484</v>
      </c>
      <c r="D392" s="655">
        <v>4607091380897</v>
      </c>
      <c r="E392" s="65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96</v>
      </c>
      <c r="N392" s="38"/>
      <c r="O392" s="37">
        <v>30</v>
      </c>
      <c r="P392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649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3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64"/>
      <c r="P393" s="660" t="s">
        <v>40</v>
      </c>
      <c r="Q393" s="661"/>
      <c r="R393" s="661"/>
      <c r="S393" s="661"/>
      <c r="T393" s="661"/>
      <c r="U393" s="661"/>
      <c r="V393" s="662"/>
      <c r="W393" s="42" t="s">
        <v>39</v>
      </c>
      <c r="X393" s="43">
        <f>IFERROR(X390/H390,"0")+IFERROR(X391/H391,"0")+IFERROR(X392/H392,"0")</f>
        <v>0</v>
      </c>
      <c r="Y393" s="43">
        <f>IFERROR(Y390/H390,"0")+IFERROR(Y391/H391,"0")+IFERROR(Y392/H392,"0")</f>
        <v>0</v>
      </c>
      <c r="Z393" s="43">
        <f>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64"/>
      <c r="P394" s="660" t="s">
        <v>40</v>
      </c>
      <c r="Q394" s="661"/>
      <c r="R394" s="661"/>
      <c r="S394" s="661"/>
      <c r="T394" s="661"/>
      <c r="U394" s="661"/>
      <c r="V394" s="662"/>
      <c r="W394" s="42" t="s">
        <v>0</v>
      </c>
      <c r="X394" s="43">
        <f>IFERROR(SUM(X390:X392),"0")</f>
        <v>0</v>
      </c>
      <c r="Y394" s="43">
        <f>IFERROR(SUM(Y390:Y392),"0")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54" t="s">
        <v>277</v>
      </c>
      <c r="B395" s="654"/>
      <c r="C395" s="654"/>
      <c r="D395" s="654"/>
      <c r="E395" s="654"/>
      <c r="F395" s="654"/>
      <c r="G395" s="654"/>
      <c r="H395" s="654"/>
      <c r="I395" s="654"/>
      <c r="J395" s="654"/>
      <c r="K395" s="654"/>
      <c r="L395" s="654"/>
      <c r="M395" s="654"/>
      <c r="N395" s="654"/>
      <c r="O395" s="654"/>
      <c r="P395" s="654"/>
      <c r="Q395" s="654"/>
      <c r="R395" s="654"/>
      <c r="S395" s="654"/>
      <c r="T395" s="654"/>
      <c r="U395" s="654"/>
      <c r="V395" s="654"/>
      <c r="W395" s="654"/>
      <c r="X395" s="654"/>
      <c r="Y395" s="654"/>
      <c r="Z395" s="654"/>
      <c r="AA395" s="66"/>
      <c r="AB395" s="66"/>
      <c r="AC395" s="80"/>
    </row>
    <row r="396" spans="1:68" ht="27" hidden="1" customHeight="1" x14ac:dyDescent="0.25">
      <c r="A396" s="63" t="s">
        <v>650</v>
      </c>
      <c r="B396" s="63" t="s">
        <v>651</v>
      </c>
      <c r="C396" s="36">
        <v>4301030235</v>
      </c>
      <c r="D396" s="655">
        <v>4607091388381</v>
      </c>
      <c r="E396" s="655"/>
      <c r="F396" s="62">
        <v>0.38</v>
      </c>
      <c r="G396" s="37">
        <v>8</v>
      </c>
      <c r="H396" s="62">
        <v>3.04</v>
      </c>
      <c r="I396" s="62">
        <v>3.31</v>
      </c>
      <c r="J396" s="37">
        <v>132</v>
      </c>
      <c r="K396" s="37" t="s">
        <v>133</v>
      </c>
      <c r="L396" s="37" t="s">
        <v>46</v>
      </c>
      <c r="M396" s="38" t="s">
        <v>253</v>
      </c>
      <c r="N396" s="38"/>
      <c r="O396" s="37">
        <v>180</v>
      </c>
      <c r="P396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652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653</v>
      </c>
      <c r="B397" s="63" t="s">
        <v>654</v>
      </c>
      <c r="C397" s="36">
        <v>4301030232</v>
      </c>
      <c r="D397" s="655">
        <v>4607091388374</v>
      </c>
      <c r="E397" s="655"/>
      <c r="F397" s="62">
        <v>0.38</v>
      </c>
      <c r="G397" s="37">
        <v>8</v>
      </c>
      <c r="H397" s="62">
        <v>3.04</v>
      </c>
      <c r="I397" s="62">
        <v>3.27</v>
      </c>
      <c r="J397" s="37">
        <v>132</v>
      </c>
      <c r="K397" s="37" t="s">
        <v>133</v>
      </c>
      <c r="L397" s="37" t="s">
        <v>46</v>
      </c>
      <c r="M397" s="38" t="s">
        <v>253</v>
      </c>
      <c r="N397" s="38"/>
      <c r="O397" s="37">
        <v>180</v>
      </c>
      <c r="P397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652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655</v>
      </c>
      <c r="B398" s="63" t="s">
        <v>656</v>
      </c>
      <c r="C398" s="36">
        <v>4301032015</v>
      </c>
      <c r="D398" s="655">
        <v>4607091383102</v>
      </c>
      <c r="E398" s="655"/>
      <c r="F398" s="62">
        <v>0.17</v>
      </c>
      <c r="G398" s="37">
        <v>15</v>
      </c>
      <c r="H398" s="62">
        <v>2.5499999999999998</v>
      </c>
      <c r="I398" s="62">
        <v>2.9550000000000001</v>
      </c>
      <c r="J398" s="37">
        <v>182</v>
      </c>
      <c r="K398" s="37" t="s">
        <v>90</v>
      </c>
      <c r="L398" s="37" t="s">
        <v>46</v>
      </c>
      <c r="M398" s="38" t="s">
        <v>253</v>
      </c>
      <c r="N398" s="38"/>
      <c r="O398" s="37">
        <v>180</v>
      </c>
      <c r="P398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652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657</v>
      </c>
      <c r="B399" s="63" t="s">
        <v>658</v>
      </c>
      <c r="C399" s="36">
        <v>4301030233</v>
      </c>
      <c r="D399" s="655">
        <v>4607091388404</v>
      </c>
      <c r="E399" s="655"/>
      <c r="F399" s="62">
        <v>0.17</v>
      </c>
      <c r="G399" s="37">
        <v>15</v>
      </c>
      <c r="H399" s="62">
        <v>2.5499999999999998</v>
      </c>
      <c r="I399" s="62">
        <v>2.88</v>
      </c>
      <c r="J399" s="37">
        <v>182</v>
      </c>
      <c r="K399" s="37" t="s">
        <v>90</v>
      </c>
      <c r="L399" s="37" t="s">
        <v>46</v>
      </c>
      <c r="M399" s="38" t="s">
        <v>253</v>
      </c>
      <c r="N399" s="38"/>
      <c r="O399" s="37">
        <v>180</v>
      </c>
      <c r="P399" s="74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idden="1" x14ac:dyDescent="0.2">
      <c r="A400" s="663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64"/>
      <c r="P400" s="660" t="s">
        <v>40</v>
      </c>
      <c r="Q400" s="661"/>
      <c r="R400" s="661"/>
      <c r="S400" s="661"/>
      <c r="T400" s="661"/>
      <c r="U400" s="661"/>
      <c r="V400" s="662"/>
      <c r="W400" s="42" t="s">
        <v>39</v>
      </c>
      <c r="X400" s="43">
        <f>IFERROR(X396/H396,"0")+IFERROR(X397/H397,"0")+IFERROR(X398/H398,"0")+IFERROR(X399/H399,"0")</f>
        <v>0</v>
      </c>
      <c r="Y400" s="43">
        <f>IFERROR(Y396/H396,"0")+IFERROR(Y397/H397,"0")+IFERROR(Y398/H398,"0")+IFERROR(Y399/H399,"0")</f>
        <v>0</v>
      </c>
      <c r="Z400" s="43">
        <f>IFERROR(IF(Z396="",0,Z396),"0")+IFERROR(IF(Z397="",0,Z397),"0")+IFERROR(IF(Z398="",0,Z398),"0")+IFERROR(IF(Z399="",0,Z399),"0")</f>
        <v>0</v>
      </c>
      <c r="AA400" s="67"/>
      <c r="AB400" s="67"/>
      <c r="AC400" s="67"/>
    </row>
    <row r="401" spans="1:68" hidden="1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64"/>
      <c r="P401" s="660" t="s">
        <v>40</v>
      </c>
      <c r="Q401" s="661"/>
      <c r="R401" s="661"/>
      <c r="S401" s="661"/>
      <c r="T401" s="661"/>
      <c r="U401" s="661"/>
      <c r="V401" s="662"/>
      <c r="W401" s="42" t="s">
        <v>0</v>
      </c>
      <c r="X401" s="43">
        <f>IFERROR(SUM(X396:X399),"0")</f>
        <v>0</v>
      </c>
      <c r="Y401" s="43">
        <f>IFERROR(SUM(Y396:Y399),"0")</f>
        <v>0</v>
      </c>
      <c r="Z401" s="42"/>
      <c r="AA401" s="67"/>
      <c r="AB401" s="67"/>
      <c r="AC401" s="67"/>
    </row>
    <row r="402" spans="1:68" ht="14.25" hidden="1" customHeight="1" x14ac:dyDescent="0.25">
      <c r="A402" s="654" t="s">
        <v>659</v>
      </c>
      <c r="B402" s="654"/>
      <c r="C402" s="654"/>
      <c r="D402" s="654"/>
      <c r="E402" s="654"/>
      <c r="F402" s="654"/>
      <c r="G402" s="654"/>
      <c r="H402" s="654"/>
      <c r="I402" s="654"/>
      <c r="J402" s="654"/>
      <c r="K402" s="654"/>
      <c r="L402" s="654"/>
      <c r="M402" s="654"/>
      <c r="N402" s="654"/>
      <c r="O402" s="654"/>
      <c r="P402" s="654"/>
      <c r="Q402" s="654"/>
      <c r="R402" s="654"/>
      <c r="S402" s="654"/>
      <c r="T402" s="654"/>
      <c r="U402" s="654"/>
      <c r="V402" s="654"/>
      <c r="W402" s="654"/>
      <c r="X402" s="654"/>
      <c r="Y402" s="654"/>
      <c r="Z402" s="654"/>
      <c r="AA402" s="66"/>
      <c r="AB402" s="66"/>
      <c r="AC402" s="80"/>
    </row>
    <row r="403" spans="1:68" ht="16.5" hidden="1" customHeight="1" x14ac:dyDescent="0.25">
      <c r="A403" s="63" t="s">
        <v>660</v>
      </c>
      <c r="B403" s="63" t="s">
        <v>661</v>
      </c>
      <c r="C403" s="36">
        <v>4301180007</v>
      </c>
      <c r="D403" s="655">
        <v>4680115881808</v>
      </c>
      <c r="E403" s="655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663</v>
      </c>
      <c r="N403" s="38"/>
      <c r="O403" s="37">
        <v>731</v>
      </c>
      <c r="P403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662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664</v>
      </c>
      <c r="B404" s="63" t="s">
        <v>665</v>
      </c>
      <c r="C404" s="36">
        <v>4301180006</v>
      </c>
      <c r="D404" s="655">
        <v>4680115881822</v>
      </c>
      <c r="E404" s="655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663</v>
      </c>
      <c r="N404" s="38"/>
      <c r="O404" s="37">
        <v>731</v>
      </c>
      <c r="P404" s="74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662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666</v>
      </c>
      <c r="B405" s="63" t="s">
        <v>667</v>
      </c>
      <c r="C405" s="36">
        <v>4301180001</v>
      </c>
      <c r="D405" s="655">
        <v>4680115880016</v>
      </c>
      <c r="E405" s="65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663</v>
      </c>
      <c r="N405" s="38"/>
      <c r="O405" s="37">
        <v>731</v>
      </c>
      <c r="P405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662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3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64"/>
      <c r="P406" s="660" t="s">
        <v>40</v>
      </c>
      <c r="Q406" s="661"/>
      <c r="R406" s="661"/>
      <c r="S406" s="661"/>
      <c r="T406" s="661"/>
      <c r="U406" s="661"/>
      <c r="V406" s="662"/>
      <c r="W406" s="42" t="s">
        <v>39</v>
      </c>
      <c r="X406" s="43">
        <f>IFERROR(X403/H403,"0")+IFERROR(X404/H404,"0")+IFERROR(X405/H405,"0")</f>
        <v>0</v>
      </c>
      <c r="Y406" s="43">
        <f>IFERROR(Y403/H403,"0")+IFERROR(Y404/H404,"0")+IFERROR(Y405/H405,"0")</f>
        <v>0</v>
      </c>
      <c r="Z406" s="43">
        <f>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64"/>
      <c r="P407" s="660" t="s">
        <v>40</v>
      </c>
      <c r="Q407" s="661"/>
      <c r="R407" s="661"/>
      <c r="S407" s="661"/>
      <c r="T407" s="661"/>
      <c r="U407" s="661"/>
      <c r="V407" s="662"/>
      <c r="W407" s="42" t="s">
        <v>0</v>
      </c>
      <c r="X407" s="43">
        <f>IFERROR(SUM(X403:X405),"0")</f>
        <v>0</v>
      </c>
      <c r="Y407" s="43">
        <f>IFERROR(SUM(Y403:Y405),"0")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54" t="s">
        <v>668</v>
      </c>
      <c r="B408" s="654"/>
      <c r="C408" s="654"/>
      <c r="D408" s="654"/>
      <c r="E408" s="654"/>
      <c r="F408" s="654"/>
      <c r="G408" s="654"/>
      <c r="H408" s="654"/>
      <c r="I408" s="654"/>
      <c r="J408" s="654"/>
      <c r="K408" s="654"/>
      <c r="L408" s="654"/>
      <c r="M408" s="654"/>
      <c r="N408" s="654"/>
      <c r="O408" s="654"/>
      <c r="P408" s="654"/>
      <c r="Q408" s="654"/>
      <c r="R408" s="654"/>
      <c r="S408" s="654"/>
      <c r="T408" s="654"/>
      <c r="U408" s="654"/>
      <c r="V408" s="654"/>
      <c r="W408" s="654"/>
      <c r="X408" s="654"/>
      <c r="Y408" s="654"/>
      <c r="Z408" s="654"/>
      <c r="AA408" s="66"/>
      <c r="AB408" s="66"/>
      <c r="AC408" s="80"/>
    </row>
    <row r="409" spans="1:68" ht="27" hidden="1" customHeight="1" x14ac:dyDescent="0.25">
      <c r="A409" s="63" t="s">
        <v>669</v>
      </c>
      <c r="B409" s="63" t="s">
        <v>670</v>
      </c>
      <c r="C409" s="36">
        <v>4301220003</v>
      </c>
      <c r="D409" s="655">
        <v>4680115888678</v>
      </c>
      <c r="E409" s="655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90</v>
      </c>
      <c r="L409" s="37" t="s">
        <v>46</v>
      </c>
      <c r="M409" s="38" t="s">
        <v>663</v>
      </c>
      <c r="N409" s="38"/>
      <c r="O409" s="37">
        <v>1096</v>
      </c>
      <c r="P409" s="7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46</v>
      </c>
      <c r="AC409" s="514" t="s">
        <v>671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672</v>
      </c>
      <c r="B410" s="63" t="s">
        <v>673</v>
      </c>
      <c r="C410" s="36">
        <v>4301220001</v>
      </c>
      <c r="D410" s="655">
        <v>4680115888654</v>
      </c>
      <c r="E410" s="655"/>
      <c r="F410" s="62">
        <v>0.32500000000000001</v>
      </c>
      <c r="G410" s="37">
        <v>12</v>
      </c>
      <c r="H410" s="62">
        <v>3.9</v>
      </c>
      <c r="I410" s="62">
        <v>4.17</v>
      </c>
      <c r="J410" s="37">
        <v>144</v>
      </c>
      <c r="K410" s="37" t="s">
        <v>133</v>
      </c>
      <c r="L410" s="37" t="s">
        <v>46</v>
      </c>
      <c r="M410" s="38" t="s">
        <v>663</v>
      </c>
      <c r="N410" s="38"/>
      <c r="O410" s="37">
        <v>1096</v>
      </c>
      <c r="P410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IFERROR(IF(Y410=0,"",ROUNDUP(Y410/H410,0)*0.006),"")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675</v>
      </c>
      <c r="B411" s="63" t="s">
        <v>676</v>
      </c>
      <c r="C411" s="36">
        <v>4301220002</v>
      </c>
      <c r="D411" s="655">
        <v>4680115888753</v>
      </c>
      <c r="E411" s="65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663</v>
      </c>
      <c r="N411" s="38"/>
      <c r="O411" s="37">
        <v>1096</v>
      </c>
      <c r="P411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671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3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64"/>
      <c r="P412" s="660" t="s">
        <v>40</v>
      </c>
      <c r="Q412" s="661"/>
      <c r="R412" s="661"/>
      <c r="S412" s="661"/>
      <c r="T412" s="661"/>
      <c r="U412" s="661"/>
      <c r="V412" s="662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64"/>
      <c r="P413" s="660" t="s">
        <v>40</v>
      </c>
      <c r="Q413" s="661"/>
      <c r="R413" s="661"/>
      <c r="S413" s="661"/>
      <c r="T413" s="661"/>
      <c r="U413" s="661"/>
      <c r="V413" s="662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6.5" hidden="1" customHeight="1" x14ac:dyDescent="0.25">
      <c r="A414" s="665" t="s">
        <v>677</v>
      </c>
      <c r="B414" s="665"/>
      <c r="C414" s="665"/>
      <c r="D414" s="665"/>
      <c r="E414" s="665"/>
      <c r="F414" s="665"/>
      <c r="G414" s="665"/>
      <c r="H414" s="665"/>
      <c r="I414" s="665"/>
      <c r="J414" s="665"/>
      <c r="K414" s="665"/>
      <c r="L414" s="665"/>
      <c r="M414" s="665"/>
      <c r="N414" s="665"/>
      <c r="O414" s="665"/>
      <c r="P414" s="665"/>
      <c r="Q414" s="665"/>
      <c r="R414" s="665"/>
      <c r="S414" s="665"/>
      <c r="T414" s="665"/>
      <c r="U414" s="665"/>
      <c r="V414" s="665"/>
      <c r="W414" s="665"/>
      <c r="X414" s="665"/>
      <c r="Y414" s="665"/>
      <c r="Z414" s="665"/>
      <c r="AA414" s="65"/>
      <c r="AB414" s="65"/>
      <c r="AC414" s="79"/>
    </row>
    <row r="415" spans="1:68" ht="14.25" hidden="1" customHeight="1" x14ac:dyDescent="0.25">
      <c r="A415" s="654" t="s">
        <v>85</v>
      </c>
      <c r="B415" s="654"/>
      <c r="C415" s="654"/>
      <c r="D415" s="654"/>
      <c r="E415" s="654"/>
      <c r="F415" s="654"/>
      <c r="G415" s="654"/>
      <c r="H415" s="654"/>
      <c r="I415" s="654"/>
      <c r="J415" s="654"/>
      <c r="K415" s="654"/>
      <c r="L415" s="654"/>
      <c r="M415" s="654"/>
      <c r="N415" s="654"/>
      <c r="O415" s="654"/>
      <c r="P415" s="654"/>
      <c r="Q415" s="654"/>
      <c r="R415" s="654"/>
      <c r="S415" s="654"/>
      <c r="T415" s="654"/>
      <c r="U415" s="654"/>
      <c r="V415" s="654"/>
      <c r="W415" s="654"/>
      <c r="X415" s="654"/>
      <c r="Y415" s="654"/>
      <c r="Z415" s="654"/>
      <c r="AA415" s="66"/>
      <c r="AB415" s="66"/>
      <c r="AC415" s="80"/>
    </row>
    <row r="416" spans="1:68" ht="16.5" hidden="1" customHeight="1" x14ac:dyDescent="0.25">
      <c r="A416" s="63" t="s">
        <v>678</v>
      </c>
      <c r="B416" s="63" t="s">
        <v>679</v>
      </c>
      <c r="C416" s="36">
        <v>4301052235</v>
      </c>
      <c r="D416" s="655">
        <v>4680115889415</v>
      </c>
      <c r="E416" s="655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126</v>
      </c>
      <c r="L416" s="37" t="s">
        <v>46</v>
      </c>
      <c r="M416" s="38" t="s">
        <v>89</v>
      </c>
      <c r="N416" s="38"/>
      <c r="O416" s="37">
        <v>40</v>
      </c>
      <c r="P416" s="72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680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16.5" hidden="1" customHeight="1" x14ac:dyDescent="0.25">
      <c r="A417" s="63" t="s">
        <v>681</v>
      </c>
      <c r="B417" s="63" t="s">
        <v>682</v>
      </c>
      <c r="C417" s="36">
        <v>4301052236</v>
      </c>
      <c r="D417" s="655">
        <v>4680115889422</v>
      </c>
      <c r="E417" s="655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126</v>
      </c>
      <c r="L417" s="37" t="s">
        <v>46</v>
      </c>
      <c r="M417" s="38" t="s">
        <v>89</v>
      </c>
      <c r="N417" s="38"/>
      <c r="O417" s="37">
        <v>40</v>
      </c>
      <c r="P417" s="73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683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3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64"/>
      <c r="P418" s="660" t="s">
        <v>40</v>
      </c>
      <c r="Q418" s="661"/>
      <c r="R418" s="661"/>
      <c r="S418" s="661"/>
      <c r="T418" s="661"/>
      <c r="U418" s="661"/>
      <c r="V418" s="662"/>
      <c r="W418" s="42" t="s">
        <v>39</v>
      </c>
      <c r="X418" s="43">
        <f>IFERROR(X416/H416,"0")+IFERROR(X417/H417,"0")</f>
        <v>0</v>
      </c>
      <c r="Y418" s="43">
        <f>IFERROR(Y416/H416,"0")+IFERROR(Y417/H417,"0")</f>
        <v>0</v>
      </c>
      <c r="Z418" s="43">
        <f>IFERROR(IF(Z416="",0,Z416),"0")+IFERROR(IF(Z417="",0,Z417),"0")</f>
        <v>0</v>
      </c>
      <c r="AA418" s="67"/>
      <c r="AB418" s="67"/>
      <c r="AC418" s="67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64"/>
      <c r="P419" s="660" t="s">
        <v>40</v>
      </c>
      <c r="Q419" s="661"/>
      <c r="R419" s="661"/>
      <c r="S419" s="661"/>
      <c r="T419" s="661"/>
      <c r="U419" s="661"/>
      <c r="V419" s="662"/>
      <c r="W419" s="42" t="s">
        <v>0</v>
      </c>
      <c r="X419" s="43">
        <f>IFERROR(SUM(X416:X417),"0")</f>
        <v>0</v>
      </c>
      <c r="Y419" s="43">
        <f>IFERROR(SUM(Y416:Y417),"0")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65" t="s">
        <v>684</v>
      </c>
      <c r="B420" s="665"/>
      <c r="C420" s="665"/>
      <c r="D420" s="665"/>
      <c r="E420" s="665"/>
      <c r="F420" s="665"/>
      <c r="G420" s="665"/>
      <c r="H420" s="665"/>
      <c r="I420" s="665"/>
      <c r="J420" s="665"/>
      <c r="K420" s="665"/>
      <c r="L420" s="665"/>
      <c r="M420" s="665"/>
      <c r="N420" s="665"/>
      <c r="O420" s="665"/>
      <c r="P420" s="665"/>
      <c r="Q420" s="665"/>
      <c r="R420" s="665"/>
      <c r="S420" s="665"/>
      <c r="T420" s="665"/>
      <c r="U420" s="665"/>
      <c r="V420" s="665"/>
      <c r="W420" s="665"/>
      <c r="X420" s="665"/>
      <c r="Y420" s="665"/>
      <c r="Z420" s="665"/>
      <c r="AA420" s="65"/>
      <c r="AB420" s="65"/>
      <c r="AC420" s="79"/>
    </row>
    <row r="421" spans="1:68" ht="14.25" hidden="1" customHeight="1" x14ac:dyDescent="0.25">
      <c r="A421" s="654" t="s">
        <v>85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hidden="1" customHeight="1" x14ac:dyDescent="0.25">
      <c r="A422" s="63" t="s">
        <v>685</v>
      </c>
      <c r="B422" s="63" t="s">
        <v>686</v>
      </c>
      <c r="C422" s="36">
        <v>4301051489</v>
      </c>
      <c r="D422" s="655">
        <v>4607091387919</v>
      </c>
      <c r="E422" s="655"/>
      <c r="F422" s="62">
        <v>1.35</v>
      </c>
      <c r="G422" s="37">
        <v>6</v>
      </c>
      <c r="H422" s="62">
        <v>8.1</v>
      </c>
      <c r="I422" s="62">
        <v>8.5939999999999994</v>
      </c>
      <c r="J422" s="37">
        <v>64</v>
      </c>
      <c r="K422" s="37" t="s">
        <v>126</v>
      </c>
      <c r="L422" s="37" t="s">
        <v>46</v>
      </c>
      <c r="M422" s="38" t="s">
        <v>96</v>
      </c>
      <c r="N422" s="38"/>
      <c r="O422" s="37">
        <v>45</v>
      </c>
      <c r="P422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24" t="s">
        <v>687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688</v>
      </c>
      <c r="B423" s="63" t="s">
        <v>689</v>
      </c>
      <c r="C423" s="36">
        <v>4301051461</v>
      </c>
      <c r="D423" s="655">
        <v>4680115883604</v>
      </c>
      <c r="E423" s="655"/>
      <c r="F423" s="62">
        <v>0.35</v>
      </c>
      <c r="G423" s="37">
        <v>6</v>
      </c>
      <c r="H423" s="62">
        <v>2.1</v>
      </c>
      <c r="I423" s="62">
        <v>2.3519999999999999</v>
      </c>
      <c r="J423" s="37">
        <v>182</v>
      </c>
      <c r="K423" s="37" t="s">
        <v>90</v>
      </c>
      <c r="L423" s="37" t="s">
        <v>46</v>
      </c>
      <c r="M423" s="38" t="s">
        <v>89</v>
      </c>
      <c r="N423" s="38"/>
      <c r="O423" s="37">
        <v>45</v>
      </c>
      <c r="P423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690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691</v>
      </c>
      <c r="B424" s="63" t="s">
        <v>692</v>
      </c>
      <c r="C424" s="36">
        <v>4301051864</v>
      </c>
      <c r="D424" s="655">
        <v>4680115883567</v>
      </c>
      <c r="E424" s="655"/>
      <c r="F424" s="62">
        <v>0.35</v>
      </c>
      <c r="G424" s="37">
        <v>6</v>
      </c>
      <c r="H424" s="62">
        <v>2.1</v>
      </c>
      <c r="I424" s="62">
        <v>2.34</v>
      </c>
      <c r="J424" s="37">
        <v>182</v>
      </c>
      <c r="K424" s="37" t="s">
        <v>90</v>
      </c>
      <c r="L424" s="37" t="s">
        <v>46</v>
      </c>
      <c r="M424" s="38" t="s">
        <v>96</v>
      </c>
      <c r="N424" s="38"/>
      <c r="O424" s="37">
        <v>40</v>
      </c>
      <c r="P424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693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idden="1" x14ac:dyDescent="0.2">
      <c r="A425" s="663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4"/>
      <c r="P425" s="660" t="s">
        <v>40</v>
      </c>
      <c r="Q425" s="661"/>
      <c r="R425" s="661"/>
      <c r="S425" s="661"/>
      <c r="T425" s="661"/>
      <c r="U425" s="661"/>
      <c r="V425" s="662"/>
      <c r="W425" s="42" t="s">
        <v>39</v>
      </c>
      <c r="X425" s="43">
        <f>IFERROR(X422/H422,"0")+IFERROR(X423/H423,"0")+IFERROR(X424/H424,"0")</f>
        <v>0</v>
      </c>
      <c r="Y425" s="43">
        <f>IFERROR(Y422/H422,"0")+IFERROR(Y423/H423,"0")+IFERROR(Y424/H424,"0")</f>
        <v>0</v>
      </c>
      <c r="Z425" s="43">
        <f>IFERROR(IF(Z422="",0,Z422),"0")+IFERROR(IF(Z423="",0,Z423),"0")+IFERROR(IF(Z424="",0,Z424),"0")</f>
        <v>0</v>
      </c>
      <c r="AA425" s="67"/>
      <c r="AB425" s="67"/>
      <c r="AC425" s="67"/>
    </row>
    <row r="426" spans="1:68" hidden="1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4"/>
      <c r="P426" s="660" t="s">
        <v>40</v>
      </c>
      <c r="Q426" s="661"/>
      <c r="R426" s="661"/>
      <c r="S426" s="661"/>
      <c r="T426" s="661"/>
      <c r="U426" s="661"/>
      <c r="V426" s="662"/>
      <c r="W426" s="42" t="s">
        <v>0</v>
      </c>
      <c r="X426" s="43">
        <f>IFERROR(SUM(X422:X424),"0")</f>
        <v>0</v>
      </c>
      <c r="Y426" s="43">
        <f>IFERROR(SUM(Y422:Y424),"0")</f>
        <v>0</v>
      </c>
      <c r="Z426" s="42"/>
      <c r="AA426" s="67"/>
      <c r="AB426" s="67"/>
      <c r="AC426" s="67"/>
    </row>
    <row r="427" spans="1:68" ht="27.75" hidden="1" customHeight="1" x14ac:dyDescent="0.2">
      <c r="A427" s="678" t="s">
        <v>694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54"/>
      <c r="AB427" s="54"/>
      <c r="AC427" s="54"/>
    </row>
    <row r="428" spans="1:68" ht="16.5" hidden="1" customHeight="1" x14ac:dyDescent="0.25">
      <c r="A428" s="665" t="s">
        <v>695</v>
      </c>
      <c r="B428" s="665"/>
      <c r="C428" s="665"/>
      <c r="D428" s="665"/>
      <c r="E428" s="665"/>
      <c r="F428" s="665"/>
      <c r="G428" s="665"/>
      <c r="H428" s="665"/>
      <c r="I428" s="665"/>
      <c r="J428" s="665"/>
      <c r="K428" s="665"/>
      <c r="L428" s="665"/>
      <c r="M428" s="665"/>
      <c r="N428" s="665"/>
      <c r="O428" s="665"/>
      <c r="P428" s="665"/>
      <c r="Q428" s="665"/>
      <c r="R428" s="665"/>
      <c r="S428" s="665"/>
      <c r="T428" s="665"/>
      <c r="U428" s="665"/>
      <c r="V428" s="665"/>
      <c r="W428" s="665"/>
      <c r="X428" s="665"/>
      <c r="Y428" s="665"/>
      <c r="Z428" s="665"/>
      <c r="AA428" s="65"/>
      <c r="AB428" s="65"/>
      <c r="AC428" s="79"/>
    </row>
    <row r="429" spans="1:68" ht="14.25" hidden="1" customHeight="1" x14ac:dyDescent="0.25">
      <c r="A429" s="654" t="s">
        <v>121</v>
      </c>
      <c r="B429" s="654"/>
      <c r="C429" s="654"/>
      <c r="D429" s="654"/>
      <c r="E429" s="654"/>
      <c r="F429" s="654"/>
      <c r="G429" s="654"/>
      <c r="H429" s="654"/>
      <c r="I429" s="654"/>
      <c r="J429" s="654"/>
      <c r="K429" s="654"/>
      <c r="L429" s="654"/>
      <c r="M429" s="654"/>
      <c r="N429" s="654"/>
      <c r="O429" s="654"/>
      <c r="P429" s="654"/>
      <c r="Q429" s="654"/>
      <c r="R429" s="654"/>
      <c r="S429" s="654"/>
      <c r="T429" s="654"/>
      <c r="U429" s="654"/>
      <c r="V429" s="654"/>
      <c r="W429" s="654"/>
      <c r="X429" s="654"/>
      <c r="Y429" s="654"/>
      <c r="Z429" s="654"/>
      <c r="AA429" s="66"/>
      <c r="AB429" s="66"/>
      <c r="AC429" s="80"/>
    </row>
    <row r="430" spans="1:68" ht="27" hidden="1" customHeight="1" x14ac:dyDescent="0.25">
      <c r="A430" s="63" t="s">
        <v>696</v>
      </c>
      <c r="B430" s="63" t="s">
        <v>697</v>
      </c>
      <c r="C430" s="36">
        <v>4301012332</v>
      </c>
      <c r="D430" s="655">
        <v>4680115888401</v>
      </c>
      <c r="E430" s="65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126</v>
      </c>
      <c r="L430" s="37" t="s">
        <v>46</v>
      </c>
      <c r="M430" s="38" t="s">
        <v>96</v>
      </c>
      <c r="N430" s="38"/>
      <c r="O430" s="37">
        <v>60</v>
      </c>
      <c r="P430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ref="Y430:Y437" si="72">IFERROR(IF(X430="",0,CEILING((X430/$H430),1)*$H430),"")</f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698</v>
      </c>
      <c r="AG430" s="78"/>
      <c r="AJ430" s="84" t="s">
        <v>46</v>
      </c>
      <c r="AK430" s="84">
        <v>0</v>
      </c>
      <c r="BB430" s="531" t="s">
        <v>67</v>
      </c>
      <c r="BM430" s="78">
        <f t="shared" ref="BM430:BM437" si="73">IFERROR(X430*I430/H430,"0")</f>
        <v>0</v>
      </c>
      <c r="BN430" s="78">
        <f t="shared" ref="BN430:BN437" si="74">IFERROR(Y430*I430/H430,"0")</f>
        <v>0</v>
      </c>
      <c r="BO430" s="78">
        <f t="shared" ref="BO430:BO437" si="75">IFERROR(1/J430*(X430/H430),"0")</f>
        <v>0</v>
      </c>
      <c r="BP430" s="78">
        <f t="shared" ref="BP430:BP437" si="76">IFERROR(1/J430*(Y430/H430),"0")</f>
        <v>0</v>
      </c>
    </row>
    <row r="431" spans="1:68" ht="37.5" customHeight="1" x14ac:dyDescent="0.25">
      <c r="A431" s="63" t="s">
        <v>699</v>
      </c>
      <c r="B431" s="63" t="s">
        <v>700</v>
      </c>
      <c r="C431" s="36">
        <v>4301011869</v>
      </c>
      <c r="D431" s="655">
        <v>4680115884847</v>
      </c>
      <c r="E431" s="65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126</v>
      </c>
      <c r="L431" s="37" t="s">
        <v>46</v>
      </c>
      <c r="M431" s="38" t="s">
        <v>80</v>
      </c>
      <c r="N431" s="38"/>
      <c r="O431" s="37">
        <v>60</v>
      </c>
      <c r="P431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9" t="s">
        <v>46</v>
      </c>
      <c r="V431" s="39" t="s">
        <v>46</v>
      </c>
      <c r="W431" s="40" t="s">
        <v>0</v>
      </c>
      <c r="X431" s="58">
        <v>600</v>
      </c>
      <c r="Y431" s="55">
        <f t="shared" si="72"/>
        <v>600</v>
      </c>
      <c r="Z431" s="41">
        <f>IFERROR(IF(Y431=0,"",ROUNDUP(Y431/H431,0)*0.02175),"")</f>
        <v>0.86999999999999988</v>
      </c>
      <c r="AA431" s="68" t="s">
        <v>46</v>
      </c>
      <c r="AB431" s="69" t="s">
        <v>46</v>
      </c>
      <c r="AC431" s="532" t="s">
        <v>701</v>
      </c>
      <c r="AG431" s="78"/>
      <c r="AJ431" s="84" t="s">
        <v>46</v>
      </c>
      <c r="AK431" s="84">
        <v>0</v>
      </c>
      <c r="BB431" s="533" t="s">
        <v>67</v>
      </c>
      <c r="BM431" s="78">
        <f t="shared" si="73"/>
        <v>618.79999999999995</v>
      </c>
      <c r="BN431" s="78">
        <f t="shared" si="74"/>
        <v>618.79999999999995</v>
      </c>
      <c r="BO431" s="78">
        <f t="shared" si="75"/>
        <v>0.83333333333333326</v>
      </c>
      <c r="BP431" s="78">
        <f t="shared" si="76"/>
        <v>0.83333333333333326</v>
      </c>
    </row>
    <row r="432" spans="1:68" ht="27" hidden="1" customHeight="1" x14ac:dyDescent="0.25">
      <c r="A432" s="63" t="s">
        <v>702</v>
      </c>
      <c r="B432" s="63" t="s">
        <v>703</v>
      </c>
      <c r="C432" s="36">
        <v>4301012083</v>
      </c>
      <c r="D432" s="655">
        <v>4680115884854</v>
      </c>
      <c r="E432" s="65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125</v>
      </c>
      <c r="N432" s="38"/>
      <c r="O432" s="37">
        <v>60</v>
      </c>
      <c r="P432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72"/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704</v>
      </c>
      <c r="AG432" s="78"/>
      <c r="AJ432" s="84" t="s">
        <v>46</v>
      </c>
      <c r="AK432" s="84">
        <v>0</v>
      </c>
      <c r="BB432" s="535" t="s">
        <v>67</v>
      </c>
      <c r="BM432" s="78">
        <f t="shared" si="73"/>
        <v>0</v>
      </c>
      <c r="BN432" s="78">
        <f t="shared" si="74"/>
        <v>0</v>
      </c>
      <c r="BO432" s="78">
        <f t="shared" si="75"/>
        <v>0</v>
      </c>
      <c r="BP432" s="78">
        <f t="shared" si="76"/>
        <v>0</v>
      </c>
    </row>
    <row r="433" spans="1:68" ht="27" hidden="1" customHeight="1" x14ac:dyDescent="0.25">
      <c r="A433" s="63" t="s">
        <v>705</v>
      </c>
      <c r="B433" s="63" t="s">
        <v>706</v>
      </c>
      <c r="C433" s="36">
        <v>4301011867</v>
      </c>
      <c r="D433" s="655">
        <v>4680115884830</v>
      </c>
      <c r="E433" s="65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2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707</v>
      </c>
      <c r="AG433" s="78"/>
      <c r="AJ433" s="84" t="s">
        <v>46</v>
      </c>
      <c r="AK433" s="84">
        <v>0</v>
      </c>
      <c r="BB433" s="537" t="s">
        <v>67</v>
      </c>
      <c r="BM433" s="78">
        <f t="shared" si="73"/>
        <v>0</v>
      </c>
      <c r="BN433" s="78">
        <f t="shared" si="74"/>
        <v>0</v>
      </c>
      <c r="BO433" s="78">
        <f t="shared" si="75"/>
        <v>0</v>
      </c>
      <c r="BP433" s="78">
        <f t="shared" si="76"/>
        <v>0</v>
      </c>
    </row>
    <row r="434" spans="1:68" ht="27" hidden="1" customHeight="1" x14ac:dyDescent="0.25">
      <c r="A434" s="63" t="s">
        <v>708</v>
      </c>
      <c r="B434" s="63" t="s">
        <v>709</v>
      </c>
      <c r="C434" s="36">
        <v>4301012356</v>
      </c>
      <c r="D434" s="655">
        <v>4680115889231</v>
      </c>
      <c r="E434" s="65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96</v>
      </c>
      <c r="N434" s="38"/>
      <c r="O434" s="37">
        <v>60</v>
      </c>
      <c r="P434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2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710</v>
      </c>
      <c r="AG434" s="78"/>
      <c r="AJ434" s="84" t="s">
        <v>46</v>
      </c>
      <c r="AK434" s="84">
        <v>0</v>
      </c>
      <c r="BB434" s="539" t="s">
        <v>67</v>
      </c>
      <c r="BM434" s="78">
        <f t="shared" si="73"/>
        <v>0</v>
      </c>
      <c r="BN434" s="78">
        <f t="shared" si="74"/>
        <v>0</v>
      </c>
      <c r="BO434" s="78">
        <f t="shared" si="75"/>
        <v>0</v>
      </c>
      <c r="BP434" s="78">
        <f t="shared" si="76"/>
        <v>0</v>
      </c>
    </row>
    <row r="435" spans="1:68" ht="27" hidden="1" customHeight="1" x14ac:dyDescent="0.25">
      <c r="A435" s="63" t="s">
        <v>711</v>
      </c>
      <c r="B435" s="63" t="s">
        <v>712</v>
      </c>
      <c r="C435" s="36">
        <v>4301011433</v>
      </c>
      <c r="D435" s="655">
        <v>4680115882638</v>
      </c>
      <c r="E435" s="655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133</v>
      </c>
      <c r="L435" s="37" t="s">
        <v>46</v>
      </c>
      <c r="M435" s="38" t="s">
        <v>125</v>
      </c>
      <c r="N435" s="38"/>
      <c r="O435" s="37">
        <v>90</v>
      </c>
      <c r="P435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2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713</v>
      </c>
      <c r="AG435" s="78"/>
      <c r="AJ435" s="84" t="s">
        <v>46</v>
      </c>
      <c r="AK435" s="84">
        <v>0</v>
      </c>
      <c r="BB435" s="541" t="s">
        <v>67</v>
      </c>
      <c r="BM435" s="78">
        <f t="shared" si="73"/>
        <v>0</v>
      </c>
      <c r="BN435" s="78">
        <f t="shared" si="74"/>
        <v>0</v>
      </c>
      <c r="BO435" s="78">
        <f t="shared" si="75"/>
        <v>0</v>
      </c>
      <c r="BP435" s="78">
        <f t="shared" si="76"/>
        <v>0</v>
      </c>
    </row>
    <row r="436" spans="1:68" ht="27" hidden="1" customHeight="1" x14ac:dyDescent="0.25">
      <c r="A436" s="63" t="s">
        <v>714</v>
      </c>
      <c r="B436" s="63" t="s">
        <v>715</v>
      </c>
      <c r="C436" s="36">
        <v>4301011952</v>
      </c>
      <c r="D436" s="655">
        <v>4680115884922</v>
      </c>
      <c r="E436" s="655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133</v>
      </c>
      <c r="L436" s="37" t="s">
        <v>46</v>
      </c>
      <c r="M436" s="38" t="s">
        <v>80</v>
      </c>
      <c r="N436" s="38"/>
      <c r="O436" s="37">
        <v>60</v>
      </c>
      <c r="P436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2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716</v>
      </c>
      <c r="AG436" s="78"/>
      <c r="AJ436" s="84" t="s">
        <v>46</v>
      </c>
      <c r="AK436" s="84">
        <v>0</v>
      </c>
      <c r="BB436" s="543" t="s">
        <v>67</v>
      </c>
      <c r="BM436" s="78">
        <f t="shared" si="73"/>
        <v>0</v>
      </c>
      <c r="BN436" s="78">
        <f t="shared" si="74"/>
        <v>0</v>
      </c>
      <c r="BO436" s="78">
        <f t="shared" si="75"/>
        <v>0</v>
      </c>
      <c r="BP436" s="78">
        <f t="shared" si="76"/>
        <v>0</v>
      </c>
    </row>
    <row r="437" spans="1:68" ht="37.5" hidden="1" customHeight="1" x14ac:dyDescent="0.25">
      <c r="A437" s="63" t="s">
        <v>717</v>
      </c>
      <c r="B437" s="63" t="s">
        <v>718</v>
      </c>
      <c r="C437" s="36">
        <v>4301011868</v>
      </c>
      <c r="D437" s="655">
        <v>4680115884861</v>
      </c>
      <c r="E437" s="655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133</v>
      </c>
      <c r="L437" s="37" t="s">
        <v>46</v>
      </c>
      <c r="M437" s="38" t="s">
        <v>80</v>
      </c>
      <c r="N437" s="38"/>
      <c r="O437" s="37">
        <v>60</v>
      </c>
      <c r="P437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2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719</v>
      </c>
      <c r="AG437" s="78"/>
      <c r="AJ437" s="84" t="s">
        <v>46</v>
      </c>
      <c r="AK437" s="84">
        <v>0</v>
      </c>
      <c r="BB437" s="545" t="s">
        <v>67</v>
      </c>
      <c r="BM437" s="78">
        <f t="shared" si="73"/>
        <v>0</v>
      </c>
      <c r="BN437" s="78">
        <f t="shared" si="74"/>
        <v>0</v>
      </c>
      <c r="BO437" s="78">
        <f t="shared" si="75"/>
        <v>0</v>
      </c>
      <c r="BP437" s="78">
        <f t="shared" si="76"/>
        <v>0</v>
      </c>
    </row>
    <row r="438" spans="1:68" x14ac:dyDescent="0.2">
      <c r="A438" s="663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64"/>
      <c r="P438" s="660" t="s">
        <v>40</v>
      </c>
      <c r="Q438" s="661"/>
      <c r="R438" s="661"/>
      <c r="S438" s="661"/>
      <c r="T438" s="661"/>
      <c r="U438" s="661"/>
      <c r="V438" s="662"/>
      <c r="W438" s="42" t="s">
        <v>39</v>
      </c>
      <c r="X438" s="43">
        <f>IFERROR(X430/H430,"0")+IFERROR(X431/H431,"0")+IFERROR(X432/H432,"0")+IFERROR(X433/H433,"0")+IFERROR(X434/H434,"0")+IFERROR(X435/H435,"0")+IFERROR(X436/H436,"0")+IFERROR(X437/H437,"0")</f>
        <v>40</v>
      </c>
      <c r="Y438" s="43">
        <f>IFERROR(Y430/H430,"0")+IFERROR(Y431/H431,"0")+IFERROR(Y432/H432,"0")+IFERROR(Y433/H433,"0")+IFERROR(Y434/H434,"0")+IFERROR(Y435/H435,"0")+IFERROR(Y436/H436,"0")+IFERROR(Y437/H437,"0")</f>
        <v>40</v>
      </c>
      <c r="Z438" s="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0.86999999999999988</v>
      </c>
      <c r="AA438" s="67"/>
      <c r="AB438" s="67"/>
      <c r="AC438" s="67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64"/>
      <c r="P439" s="660" t="s">
        <v>40</v>
      </c>
      <c r="Q439" s="661"/>
      <c r="R439" s="661"/>
      <c r="S439" s="661"/>
      <c r="T439" s="661"/>
      <c r="U439" s="661"/>
      <c r="V439" s="662"/>
      <c r="W439" s="42" t="s">
        <v>0</v>
      </c>
      <c r="X439" s="43">
        <f>IFERROR(SUM(X430:X437),"0")</f>
        <v>600</v>
      </c>
      <c r="Y439" s="43">
        <f>IFERROR(SUM(Y430:Y437),"0")</f>
        <v>600</v>
      </c>
      <c r="Z439" s="42"/>
      <c r="AA439" s="67"/>
      <c r="AB439" s="67"/>
      <c r="AC439" s="67"/>
    </row>
    <row r="440" spans="1:68" ht="14.25" hidden="1" customHeight="1" x14ac:dyDescent="0.25">
      <c r="A440" s="654" t="s">
        <v>158</v>
      </c>
      <c r="B440" s="654"/>
      <c r="C440" s="654"/>
      <c r="D440" s="654"/>
      <c r="E440" s="654"/>
      <c r="F440" s="654"/>
      <c r="G440" s="654"/>
      <c r="H440" s="654"/>
      <c r="I440" s="654"/>
      <c r="J440" s="654"/>
      <c r="K440" s="654"/>
      <c r="L440" s="654"/>
      <c r="M440" s="654"/>
      <c r="N440" s="654"/>
      <c r="O440" s="654"/>
      <c r="P440" s="654"/>
      <c r="Q440" s="654"/>
      <c r="R440" s="654"/>
      <c r="S440" s="654"/>
      <c r="T440" s="654"/>
      <c r="U440" s="654"/>
      <c r="V440" s="654"/>
      <c r="W440" s="654"/>
      <c r="X440" s="654"/>
      <c r="Y440" s="654"/>
      <c r="Z440" s="654"/>
      <c r="AA440" s="66"/>
      <c r="AB440" s="66"/>
      <c r="AC440" s="80"/>
    </row>
    <row r="441" spans="1:68" ht="27" customHeight="1" x14ac:dyDescent="0.25">
      <c r="A441" s="63" t="s">
        <v>720</v>
      </c>
      <c r="B441" s="63" t="s">
        <v>721</v>
      </c>
      <c r="C441" s="36">
        <v>4301020178</v>
      </c>
      <c r="D441" s="655">
        <v>4607091383980</v>
      </c>
      <c r="E441" s="65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126</v>
      </c>
      <c r="L441" s="37" t="s">
        <v>46</v>
      </c>
      <c r="M441" s="38" t="s">
        <v>125</v>
      </c>
      <c r="N441" s="38"/>
      <c r="O441" s="37">
        <v>50</v>
      </c>
      <c r="P441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9" t="s">
        <v>46</v>
      </c>
      <c r="V441" s="39" t="s">
        <v>46</v>
      </c>
      <c r="W441" s="40" t="s">
        <v>0</v>
      </c>
      <c r="X441" s="58">
        <v>600</v>
      </c>
      <c r="Y441" s="55">
        <f>IFERROR(IF(X441="",0,CEILING((X441/$H441),1)*$H441),"")</f>
        <v>600</v>
      </c>
      <c r="Z441" s="41">
        <f>IFERROR(IF(Y441=0,"",ROUNDUP(Y441/H441,0)*0.02175),"")</f>
        <v>0.86999999999999988</v>
      </c>
      <c r="AA441" s="68" t="s">
        <v>46</v>
      </c>
      <c r="AB441" s="69" t="s">
        <v>46</v>
      </c>
      <c r="AC441" s="546" t="s">
        <v>722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618.79999999999995</v>
      </c>
      <c r="BN441" s="78">
        <f>IFERROR(Y441*I441/H441,"0")</f>
        <v>618.79999999999995</v>
      </c>
      <c r="BO441" s="78">
        <f>IFERROR(1/J441*(X441/H441),"0")</f>
        <v>0.83333333333333326</v>
      </c>
      <c r="BP441" s="78">
        <f>IFERROR(1/J441*(Y441/H441),"0")</f>
        <v>0.83333333333333326</v>
      </c>
    </row>
    <row r="442" spans="1:68" ht="27" hidden="1" customHeight="1" x14ac:dyDescent="0.25">
      <c r="A442" s="63" t="s">
        <v>723</v>
      </c>
      <c r="B442" s="63" t="s">
        <v>724</v>
      </c>
      <c r="C442" s="36">
        <v>4301020355</v>
      </c>
      <c r="D442" s="655">
        <v>4680115888425</v>
      </c>
      <c r="E442" s="65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126</v>
      </c>
      <c r="L442" s="37" t="s">
        <v>46</v>
      </c>
      <c r="M442" s="38" t="s">
        <v>125</v>
      </c>
      <c r="N442" s="38"/>
      <c r="O442" s="37">
        <v>50</v>
      </c>
      <c r="P442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725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726</v>
      </c>
      <c r="B443" s="63" t="s">
        <v>727</v>
      </c>
      <c r="C443" s="36">
        <v>4301020179</v>
      </c>
      <c r="D443" s="655">
        <v>4607091384178</v>
      </c>
      <c r="E443" s="655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133</v>
      </c>
      <c r="L443" s="37" t="s">
        <v>46</v>
      </c>
      <c r="M443" s="38" t="s">
        <v>125</v>
      </c>
      <c r="N443" s="38"/>
      <c r="O443" s="37">
        <v>50</v>
      </c>
      <c r="P443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0" t="s">
        <v>728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x14ac:dyDescent="0.2">
      <c r="A444" s="663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64"/>
      <c r="P444" s="660" t="s">
        <v>40</v>
      </c>
      <c r="Q444" s="661"/>
      <c r="R444" s="661"/>
      <c r="S444" s="661"/>
      <c r="T444" s="661"/>
      <c r="U444" s="661"/>
      <c r="V444" s="662"/>
      <c r="W444" s="42" t="s">
        <v>39</v>
      </c>
      <c r="X444" s="43">
        <f>IFERROR(X441/H441,"0")+IFERROR(X442/H442,"0")+IFERROR(X443/H443,"0")</f>
        <v>40</v>
      </c>
      <c r="Y444" s="43">
        <f>IFERROR(Y441/H441,"0")+IFERROR(Y442/H442,"0")+IFERROR(Y443/H443,"0")</f>
        <v>40</v>
      </c>
      <c r="Z444" s="43">
        <f>IFERROR(IF(Z441="",0,Z441),"0")+IFERROR(IF(Z442="",0,Z442),"0")+IFERROR(IF(Z443="",0,Z443),"0")</f>
        <v>0.86999999999999988</v>
      </c>
      <c r="AA444" s="67"/>
      <c r="AB444" s="67"/>
      <c r="AC444" s="67"/>
    </row>
    <row r="445" spans="1:68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64"/>
      <c r="P445" s="660" t="s">
        <v>40</v>
      </c>
      <c r="Q445" s="661"/>
      <c r="R445" s="661"/>
      <c r="S445" s="661"/>
      <c r="T445" s="661"/>
      <c r="U445" s="661"/>
      <c r="V445" s="662"/>
      <c r="W445" s="42" t="s">
        <v>0</v>
      </c>
      <c r="X445" s="43">
        <f>IFERROR(SUM(X441:X443),"0")</f>
        <v>600</v>
      </c>
      <c r="Y445" s="43">
        <f>IFERROR(SUM(Y441:Y443),"0")</f>
        <v>600</v>
      </c>
      <c r="Z445" s="42"/>
      <c r="AA445" s="67"/>
      <c r="AB445" s="67"/>
      <c r="AC445" s="67"/>
    </row>
    <row r="446" spans="1:68" ht="14.25" hidden="1" customHeight="1" x14ac:dyDescent="0.25">
      <c r="A446" s="654" t="s">
        <v>85</v>
      </c>
      <c r="B446" s="654"/>
      <c r="C446" s="654"/>
      <c r="D446" s="654"/>
      <c r="E446" s="654"/>
      <c r="F446" s="654"/>
      <c r="G446" s="654"/>
      <c r="H446" s="654"/>
      <c r="I446" s="654"/>
      <c r="J446" s="654"/>
      <c r="K446" s="654"/>
      <c r="L446" s="654"/>
      <c r="M446" s="654"/>
      <c r="N446" s="654"/>
      <c r="O446" s="654"/>
      <c r="P446" s="654"/>
      <c r="Q446" s="654"/>
      <c r="R446" s="654"/>
      <c r="S446" s="654"/>
      <c r="T446" s="654"/>
      <c r="U446" s="654"/>
      <c r="V446" s="654"/>
      <c r="W446" s="654"/>
      <c r="X446" s="654"/>
      <c r="Y446" s="654"/>
      <c r="Z446" s="654"/>
      <c r="AA446" s="66"/>
      <c r="AB446" s="66"/>
      <c r="AC446" s="80"/>
    </row>
    <row r="447" spans="1:68" ht="27" hidden="1" customHeight="1" x14ac:dyDescent="0.25">
      <c r="A447" s="63" t="s">
        <v>729</v>
      </c>
      <c r="B447" s="63" t="s">
        <v>730</v>
      </c>
      <c r="C447" s="36">
        <v>4301051903</v>
      </c>
      <c r="D447" s="655">
        <v>4607091383928</v>
      </c>
      <c r="E447" s="655"/>
      <c r="F447" s="62">
        <v>1.5</v>
      </c>
      <c r="G447" s="37">
        <v>6</v>
      </c>
      <c r="H447" s="62">
        <v>9</v>
      </c>
      <c r="I447" s="62">
        <v>9.5</v>
      </c>
      <c r="J447" s="37">
        <v>64</v>
      </c>
      <c r="K447" s="37" t="s">
        <v>126</v>
      </c>
      <c r="L447" s="37" t="s">
        <v>46</v>
      </c>
      <c r="M447" s="38" t="s">
        <v>89</v>
      </c>
      <c r="N447" s="38"/>
      <c r="O447" s="37">
        <v>40</v>
      </c>
      <c r="P447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731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732</v>
      </c>
      <c r="B448" s="63" t="s">
        <v>733</v>
      </c>
      <c r="C448" s="36">
        <v>4301051897</v>
      </c>
      <c r="D448" s="655">
        <v>4607091384260</v>
      </c>
      <c r="E448" s="655"/>
      <c r="F448" s="62">
        <v>1.5</v>
      </c>
      <c r="G448" s="37">
        <v>6</v>
      </c>
      <c r="H448" s="62">
        <v>9</v>
      </c>
      <c r="I448" s="62">
        <v>9.4939999999999998</v>
      </c>
      <c r="J448" s="37">
        <v>64</v>
      </c>
      <c r="K448" s="37" t="s">
        <v>126</v>
      </c>
      <c r="L448" s="37" t="s">
        <v>46</v>
      </c>
      <c r="M448" s="38" t="s">
        <v>89</v>
      </c>
      <c r="N448" s="38"/>
      <c r="O448" s="37">
        <v>40</v>
      </c>
      <c r="P448" s="7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734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735</v>
      </c>
      <c r="B449" s="63" t="s">
        <v>736</v>
      </c>
      <c r="C449" s="36">
        <v>4301052220</v>
      </c>
      <c r="D449" s="655">
        <v>4680115889538</v>
      </c>
      <c r="E449" s="655"/>
      <c r="F449" s="62">
        <v>0.8</v>
      </c>
      <c r="G449" s="37">
        <v>6</v>
      </c>
      <c r="H449" s="62">
        <v>4.8</v>
      </c>
      <c r="I449" s="62">
        <v>5.2160000000000002</v>
      </c>
      <c r="J449" s="37">
        <v>104</v>
      </c>
      <c r="K449" s="37" t="s">
        <v>126</v>
      </c>
      <c r="L449" s="37" t="s">
        <v>46</v>
      </c>
      <c r="M449" s="38" t="s">
        <v>89</v>
      </c>
      <c r="N449" s="38"/>
      <c r="O449" s="37">
        <v>45</v>
      </c>
      <c r="P449" s="71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737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3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64"/>
      <c r="P450" s="660" t="s">
        <v>40</v>
      </c>
      <c r="Q450" s="661"/>
      <c r="R450" s="661"/>
      <c r="S450" s="661"/>
      <c r="T450" s="661"/>
      <c r="U450" s="661"/>
      <c r="V450" s="662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4"/>
      <c r="P451" s="660" t="s">
        <v>40</v>
      </c>
      <c r="Q451" s="661"/>
      <c r="R451" s="661"/>
      <c r="S451" s="661"/>
      <c r="T451" s="661"/>
      <c r="U451" s="661"/>
      <c r="V451" s="662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54" t="s">
        <v>177</v>
      </c>
      <c r="B452" s="654"/>
      <c r="C452" s="654"/>
      <c r="D452" s="654"/>
      <c r="E452" s="654"/>
      <c r="F452" s="654"/>
      <c r="G452" s="654"/>
      <c r="H452" s="654"/>
      <c r="I452" s="654"/>
      <c r="J452" s="654"/>
      <c r="K452" s="654"/>
      <c r="L452" s="654"/>
      <c r="M452" s="654"/>
      <c r="N452" s="654"/>
      <c r="O452" s="654"/>
      <c r="P452" s="654"/>
      <c r="Q452" s="654"/>
      <c r="R452" s="654"/>
      <c r="S452" s="654"/>
      <c r="T452" s="654"/>
      <c r="U452" s="654"/>
      <c r="V452" s="654"/>
      <c r="W452" s="654"/>
      <c r="X452" s="654"/>
      <c r="Y452" s="654"/>
      <c r="Z452" s="654"/>
      <c r="AA452" s="66"/>
      <c r="AB452" s="66"/>
      <c r="AC452" s="80"/>
    </row>
    <row r="453" spans="1:68" ht="27" hidden="1" customHeight="1" x14ac:dyDescent="0.25">
      <c r="A453" s="63" t="s">
        <v>738</v>
      </c>
      <c r="B453" s="63" t="s">
        <v>739</v>
      </c>
      <c r="C453" s="36">
        <v>4301060537</v>
      </c>
      <c r="D453" s="655">
        <v>4680115889545</v>
      </c>
      <c r="E453" s="655"/>
      <c r="F453" s="62">
        <v>0.7</v>
      </c>
      <c r="G453" s="37">
        <v>6</v>
      </c>
      <c r="H453" s="62">
        <v>4.2</v>
      </c>
      <c r="I453" s="62">
        <v>4.6159999999999997</v>
      </c>
      <c r="J453" s="37">
        <v>104</v>
      </c>
      <c r="K453" s="37" t="s">
        <v>126</v>
      </c>
      <c r="L453" s="37" t="s">
        <v>46</v>
      </c>
      <c r="M453" s="38" t="s">
        <v>89</v>
      </c>
      <c r="N453" s="38"/>
      <c r="O453" s="37">
        <v>30</v>
      </c>
      <c r="P453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IFERROR(IF(Y453=0,"",ROUNDUP(Y453/H453,0)*0.01196),"")</f>
        <v/>
      </c>
      <c r="AA453" s="68" t="s">
        <v>46</v>
      </c>
      <c r="AB453" s="69" t="s">
        <v>46</v>
      </c>
      <c r="AC453" s="558" t="s">
        <v>740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16.5" hidden="1" customHeight="1" x14ac:dyDescent="0.25">
      <c r="A454" s="63" t="s">
        <v>741</v>
      </c>
      <c r="B454" s="63" t="s">
        <v>742</v>
      </c>
      <c r="C454" s="36">
        <v>4301060524</v>
      </c>
      <c r="D454" s="655">
        <v>4607091384673</v>
      </c>
      <c r="E454" s="655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126</v>
      </c>
      <c r="L454" s="37" t="s">
        <v>46</v>
      </c>
      <c r="M454" s="38" t="s">
        <v>89</v>
      </c>
      <c r="N454" s="38"/>
      <c r="O454" s="37">
        <v>40</v>
      </c>
      <c r="P454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0" t="s">
        <v>743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63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64"/>
      <c r="P455" s="660" t="s">
        <v>40</v>
      </c>
      <c r="Q455" s="661"/>
      <c r="R455" s="661"/>
      <c r="S455" s="661"/>
      <c r="T455" s="661"/>
      <c r="U455" s="661"/>
      <c r="V455" s="662"/>
      <c r="W455" s="42" t="s">
        <v>39</v>
      </c>
      <c r="X455" s="43">
        <f>IFERROR(X453/H453,"0")+IFERROR(X454/H454,"0")</f>
        <v>0</v>
      </c>
      <c r="Y455" s="43">
        <f>IFERROR(Y453/H453,"0")+IFERROR(Y454/H454,"0")</f>
        <v>0</v>
      </c>
      <c r="Z455" s="43">
        <f>IFERROR(IF(Z453="",0,Z453),"0")+IFERROR(IF(Z454="",0,Z454),"0")</f>
        <v>0</v>
      </c>
      <c r="AA455" s="67"/>
      <c r="AB455" s="67"/>
      <c r="AC455" s="67"/>
    </row>
    <row r="456" spans="1:68" hidden="1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64"/>
      <c r="P456" s="660" t="s">
        <v>40</v>
      </c>
      <c r="Q456" s="661"/>
      <c r="R456" s="661"/>
      <c r="S456" s="661"/>
      <c r="T456" s="661"/>
      <c r="U456" s="661"/>
      <c r="V456" s="662"/>
      <c r="W456" s="42" t="s">
        <v>0</v>
      </c>
      <c r="X456" s="43">
        <f>IFERROR(SUM(X453:X454),"0")</f>
        <v>0</v>
      </c>
      <c r="Y456" s="43">
        <f>IFERROR(SUM(Y453:Y454),"0")</f>
        <v>0</v>
      </c>
      <c r="Z456" s="42"/>
      <c r="AA456" s="67"/>
      <c r="AB456" s="67"/>
      <c r="AC456" s="67"/>
    </row>
    <row r="457" spans="1:68" ht="16.5" hidden="1" customHeight="1" x14ac:dyDescent="0.25">
      <c r="A457" s="665" t="s">
        <v>744</v>
      </c>
      <c r="B457" s="665"/>
      <c r="C457" s="665"/>
      <c r="D457" s="665"/>
      <c r="E457" s="665"/>
      <c r="F457" s="665"/>
      <c r="G457" s="665"/>
      <c r="H457" s="665"/>
      <c r="I457" s="665"/>
      <c r="J457" s="665"/>
      <c r="K457" s="665"/>
      <c r="L457" s="665"/>
      <c r="M457" s="665"/>
      <c r="N457" s="665"/>
      <c r="O457" s="665"/>
      <c r="P457" s="665"/>
      <c r="Q457" s="665"/>
      <c r="R457" s="665"/>
      <c r="S457" s="665"/>
      <c r="T457" s="665"/>
      <c r="U457" s="665"/>
      <c r="V457" s="665"/>
      <c r="W457" s="665"/>
      <c r="X457" s="665"/>
      <c r="Y457" s="665"/>
      <c r="Z457" s="665"/>
      <c r="AA457" s="65"/>
      <c r="AB457" s="65"/>
      <c r="AC457" s="79"/>
    </row>
    <row r="458" spans="1:68" ht="14.25" hidden="1" customHeight="1" x14ac:dyDescent="0.25">
      <c r="A458" s="654" t="s">
        <v>121</v>
      </c>
      <c r="B458" s="654"/>
      <c r="C458" s="654"/>
      <c r="D458" s="654"/>
      <c r="E458" s="654"/>
      <c r="F458" s="654"/>
      <c r="G458" s="654"/>
      <c r="H458" s="654"/>
      <c r="I458" s="654"/>
      <c r="J458" s="654"/>
      <c r="K458" s="654"/>
      <c r="L458" s="654"/>
      <c r="M458" s="654"/>
      <c r="N458" s="654"/>
      <c r="O458" s="654"/>
      <c r="P458" s="654"/>
      <c r="Q458" s="654"/>
      <c r="R458" s="654"/>
      <c r="S458" s="654"/>
      <c r="T458" s="654"/>
      <c r="U458" s="654"/>
      <c r="V458" s="654"/>
      <c r="W458" s="654"/>
      <c r="X458" s="654"/>
      <c r="Y458" s="654"/>
      <c r="Z458" s="654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4301011875</v>
      </c>
      <c r="D459" s="655">
        <v>4680115884885</v>
      </c>
      <c r="E459" s="655"/>
      <c r="F459" s="62">
        <v>0.8</v>
      </c>
      <c r="G459" s="37">
        <v>15</v>
      </c>
      <c r="H459" s="62">
        <v>12</v>
      </c>
      <c r="I459" s="62">
        <v>12.41</v>
      </c>
      <c r="J459" s="37">
        <v>64</v>
      </c>
      <c r="K459" s="37" t="s">
        <v>126</v>
      </c>
      <c r="L459" s="37" t="s">
        <v>46</v>
      </c>
      <c r="M459" s="38" t="s">
        <v>80</v>
      </c>
      <c r="N459" s="38"/>
      <c r="O459" s="37">
        <v>60</v>
      </c>
      <c r="P459" s="7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46</v>
      </c>
      <c r="AB459" s="69" t="s">
        <v>46</v>
      </c>
      <c r="AC459" s="562" t="s">
        <v>747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37.5" hidden="1" customHeight="1" x14ac:dyDescent="0.25">
      <c r="A460" s="63" t="s">
        <v>748</v>
      </c>
      <c r="B460" s="63" t="s">
        <v>749</v>
      </c>
      <c r="C460" s="36">
        <v>4301011871</v>
      </c>
      <c r="D460" s="655">
        <v>4680115884908</v>
      </c>
      <c r="E460" s="655"/>
      <c r="F460" s="62">
        <v>0.4</v>
      </c>
      <c r="G460" s="37">
        <v>10</v>
      </c>
      <c r="H460" s="62">
        <v>4</v>
      </c>
      <c r="I460" s="62">
        <v>4.1900000000000004</v>
      </c>
      <c r="J460" s="37">
        <v>132</v>
      </c>
      <c r="K460" s="37" t="s">
        <v>133</v>
      </c>
      <c r="L460" s="37" t="s">
        <v>46</v>
      </c>
      <c r="M460" s="38" t="s">
        <v>80</v>
      </c>
      <c r="N460" s="38"/>
      <c r="O460" s="37">
        <v>60</v>
      </c>
      <c r="P460" s="7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747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3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4"/>
      <c r="P461" s="660" t="s">
        <v>40</v>
      </c>
      <c r="Q461" s="661"/>
      <c r="R461" s="661"/>
      <c r="S461" s="661"/>
      <c r="T461" s="661"/>
      <c r="U461" s="661"/>
      <c r="V461" s="662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64"/>
      <c r="P462" s="660" t="s">
        <v>40</v>
      </c>
      <c r="Q462" s="661"/>
      <c r="R462" s="661"/>
      <c r="S462" s="661"/>
      <c r="T462" s="661"/>
      <c r="U462" s="661"/>
      <c r="V462" s="662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654" t="s">
        <v>76</v>
      </c>
      <c r="B463" s="654"/>
      <c r="C463" s="654"/>
      <c r="D463" s="654"/>
      <c r="E463" s="654"/>
      <c r="F463" s="654"/>
      <c r="G463" s="654"/>
      <c r="H463" s="654"/>
      <c r="I463" s="654"/>
      <c r="J463" s="654"/>
      <c r="K463" s="654"/>
      <c r="L463" s="654"/>
      <c r="M463" s="654"/>
      <c r="N463" s="654"/>
      <c r="O463" s="654"/>
      <c r="P463" s="654"/>
      <c r="Q463" s="654"/>
      <c r="R463" s="654"/>
      <c r="S463" s="654"/>
      <c r="T463" s="654"/>
      <c r="U463" s="654"/>
      <c r="V463" s="654"/>
      <c r="W463" s="654"/>
      <c r="X463" s="654"/>
      <c r="Y463" s="654"/>
      <c r="Z463" s="654"/>
      <c r="AA463" s="66"/>
      <c r="AB463" s="66"/>
      <c r="AC463" s="80"/>
    </row>
    <row r="464" spans="1:68" ht="27" hidden="1" customHeight="1" x14ac:dyDescent="0.25">
      <c r="A464" s="63" t="s">
        <v>750</v>
      </c>
      <c r="B464" s="63" t="s">
        <v>751</v>
      </c>
      <c r="C464" s="36">
        <v>4301031457</v>
      </c>
      <c r="D464" s="655">
        <v>4607091384802</v>
      </c>
      <c r="E464" s="655"/>
      <c r="F464" s="62">
        <v>0.7</v>
      </c>
      <c r="G464" s="37">
        <v>6</v>
      </c>
      <c r="H464" s="62">
        <v>4.2</v>
      </c>
      <c r="I464" s="62">
        <v>4.45</v>
      </c>
      <c r="J464" s="37">
        <v>132</v>
      </c>
      <c r="K464" s="37" t="s">
        <v>133</v>
      </c>
      <c r="L464" s="37" t="s">
        <v>46</v>
      </c>
      <c r="M464" s="38" t="s">
        <v>80</v>
      </c>
      <c r="N464" s="38"/>
      <c r="O464" s="37">
        <v>50</v>
      </c>
      <c r="P464" s="7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IFERROR(IF(Y464=0,"",ROUNDUP(Y464/H464,0)*0.00902),"")</f>
        <v/>
      </c>
      <c r="AA464" s="68" t="s">
        <v>46</v>
      </c>
      <c r="AB464" s="69" t="s">
        <v>46</v>
      </c>
      <c r="AC464" s="566" t="s">
        <v>752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39</v>
      </c>
      <c r="X465" s="43">
        <f>IFERROR(X464/H464,"0")</f>
        <v>0</v>
      </c>
      <c r="Y465" s="43">
        <f>IFERROR(Y464/H464,"0")</f>
        <v>0</v>
      </c>
      <c r="Z465" s="43">
        <f>IFERROR(IF(Z464="",0,Z464),"0")</f>
        <v>0</v>
      </c>
      <c r="AA465" s="67"/>
      <c r="AB465" s="67"/>
      <c r="AC465" s="67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64"/>
      <c r="P466" s="660" t="s">
        <v>40</v>
      </c>
      <c r="Q466" s="661"/>
      <c r="R466" s="661"/>
      <c r="S466" s="661"/>
      <c r="T466" s="661"/>
      <c r="U466" s="661"/>
      <c r="V466" s="662"/>
      <c r="W466" s="42" t="s">
        <v>0</v>
      </c>
      <c r="X466" s="43">
        <f>IFERROR(SUM(X464:X464),"0")</f>
        <v>0</v>
      </c>
      <c r="Y466" s="43">
        <f>IFERROR(SUM(Y464:Y464),"0")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54" t="s">
        <v>85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hidden="1" customHeight="1" x14ac:dyDescent="0.25">
      <c r="A468" s="63" t="s">
        <v>753</v>
      </c>
      <c r="B468" s="63" t="s">
        <v>754</v>
      </c>
      <c r="C468" s="36">
        <v>4301051899</v>
      </c>
      <c r="D468" s="655">
        <v>4607091384246</v>
      </c>
      <c r="E468" s="655"/>
      <c r="F468" s="62">
        <v>1.5</v>
      </c>
      <c r="G468" s="37">
        <v>6</v>
      </c>
      <c r="H468" s="62">
        <v>9</v>
      </c>
      <c r="I468" s="62">
        <v>9.4939999999999998</v>
      </c>
      <c r="J468" s="37">
        <v>64</v>
      </c>
      <c r="K468" s="37" t="s">
        <v>126</v>
      </c>
      <c r="L468" s="37" t="s">
        <v>46</v>
      </c>
      <c r="M468" s="38" t="s">
        <v>89</v>
      </c>
      <c r="N468" s="38"/>
      <c r="O468" s="37">
        <v>40</v>
      </c>
      <c r="P468" s="7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8" t="s">
        <v>755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756</v>
      </c>
      <c r="B469" s="63" t="s">
        <v>757</v>
      </c>
      <c r="C469" s="36">
        <v>4301051660</v>
      </c>
      <c r="D469" s="655">
        <v>4607091384253</v>
      </c>
      <c r="E469" s="655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90</v>
      </c>
      <c r="L469" s="37" t="s">
        <v>46</v>
      </c>
      <c r="M469" s="38" t="s">
        <v>89</v>
      </c>
      <c r="N469" s="38"/>
      <c r="O469" s="37">
        <v>40</v>
      </c>
      <c r="P469" s="7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755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756</v>
      </c>
      <c r="B470" s="63" t="s">
        <v>758</v>
      </c>
      <c r="C470" s="36">
        <v>4301052069</v>
      </c>
      <c r="D470" s="655">
        <v>4607091384253</v>
      </c>
      <c r="E470" s="655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90</v>
      </c>
      <c r="L470" s="37" t="s">
        <v>46</v>
      </c>
      <c r="M470" s="38" t="s">
        <v>89</v>
      </c>
      <c r="N470" s="38"/>
      <c r="O470" s="37">
        <v>40</v>
      </c>
      <c r="P470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759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3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64"/>
      <c r="P471" s="660" t="s">
        <v>40</v>
      </c>
      <c r="Q471" s="661"/>
      <c r="R471" s="661"/>
      <c r="S471" s="661"/>
      <c r="T471" s="661"/>
      <c r="U471" s="661"/>
      <c r="V471" s="662"/>
      <c r="W471" s="42" t="s">
        <v>39</v>
      </c>
      <c r="X471" s="43">
        <f>IFERROR(X468/H468,"0")+IFERROR(X469/H469,"0")+IFERROR(X470/H470,"0")</f>
        <v>0</v>
      </c>
      <c r="Y471" s="43">
        <f>IFERROR(Y468/H468,"0")+IFERROR(Y469/H469,"0")+IFERROR(Y470/H470,"0")</f>
        <v>0</v>
      </c>
      <c r="Z471" s="43">
        <f>IFERROR(IF(Z468="",0,Z468),"0")+IFERROR(IF(Z469="",0,Z469),"0")+IFERROR(IF(Z470="",0,Z470),"0")</f>
        <v>0</v>
      </c>
      <c r="AA471" s="67"/>
      <c r="AB471" s="67"/>
      <c r="AC471" s="67"/>
    </row>
    <row r="472" spans="1:68" hidden="1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4"/>
      <c r="P472" s="660" t="s">
        <v>40</v>
      </c>
      <c r="Q472" s="661"/>
      <c r="R472" s="661"/>
      <c r="S472" s="661"/>
      <c r="T472" s="661"/>
      <c r="U472" s="661"/>
      <c r="V472" s="662"/>
      <c r="W472" s="42" t="s">
        <v>0</v>
      </c>
      <c r="X472" s="43">
        <f>IFERROR(SUM(X468:X470),"0")</f>
        <v>0</v>
      </c>
      <c r="Y472" s="43">
        <f>IFERROR(SUM(Y468:Y470),"0")</f>
        <v>0</v>
      </c>
      <c r="Z472" s="42"/>
      <c r="AA472" s="67"/>
      <c r="AB472" s="67"/>
      <c r="AC472" s="67"/>
    </row>
    <row r="473" spans="1:68" ht="27.75" hidden="1" customHeight="1" x14ac:dyDescent="0.2">
      <c r="A473" s="678" t="s">
        <v>760</v>
      </c>
      <c r="B473" s="678"/>
      <c r="C473" s="678"/>
      <c r="D473" s="678"/>
      <c r="E473" s="678"/>
      <c r="F473" s="678"/>
      <c r="G473" s="678"/>
      <c r="H473" s="678"/>
      <c r="I473" s="678"/>
      <c r="J473" s="678"/>
      <c r="K473" s="678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  <c r="Y473" s="678"/>
      <c r="Z473" s="678"/>
      <c r="AA473" s="54"/>
      <c r="AB473" s="54"/>
      <c r="AC473" s="54"/>
    </row>
    <row r="474" spans="1:68" ht="16.5" hidden="1" customHeight="1" x14ac:dyDescent="0.25">
      <c r="A474" s="665" t="s">
        <v>761</v>
      </c>
      <c r="B474" s="665"/>
      <c r="C474" s="665"/>
      <c r="D474" s="665"/>
      <c r="E474" s="665"/>
      <c r="F474" s="665"/>
      <c r="G474" s="665"/>
      <c r="H474" s="665"/>
      <c r="I474" s="665"/>
      <c r="J474" s="665"/>
      <c r="K474" s="665"/>
      <c r="L474" s="665"/>
      <c r="M474" s="665"/>
      <c r="N474" s="665"/>
      <c r="O474" s="665"/>
      <c r="P474" s="665"/>
      <c r="Q474" s="665"/>
      <c r="R474" s="665"/>
      <c r="S474" s="665"/>
      <c r="T474" s="665"/>
      <c r="U474" s="665"/>
      <c r="V474" s="665"/>
      <c r="W474" s="665"/>
      <c r="X474" s="665"/>
      <c r="Y474" s="665"/>
      <c r="Z474" s="665"/>
      <c r="AA474" s="65"/>
      <c r="AB474" s="65"/>
      <c r="AC474" s="79"/>
    </row>
    <row r="475" spans="1:68" ht="14.25" hidden="1" customHeight="1" x14ac:dyDescent="0.25">
      <c r="A475" s="654" t="s">
        <v>76</v>
      </c>
      <c r="B475" s="654"/>
      <c r="C475" s="654"/>
      <c r="D475" s="654"/>
      <c r="E475" s="654"/>
      <c r="F475" s="654"/>
      <c r="G475" s="654"/>
      <c r="H475" s="654"/>
      <c r="I475" s="654"/>
      <c r="J475" s="654"/>
      <c r="K475" s="654"/>
      <c r="L475" s="654"/>
      <c r="M475" s="654"/>
      <c r="N475" s="654"/>
      <c r="O475" s="654"/>
      <c r="P475" s="654"/>
      <c r="Q475" s="654"/>
      <c r="R475" s="654"/>
      <c r="S475" s="654"/>
      <c r="T475" s="654"/>
      <c r="U475" s="654"/>
      <c r="V475" s="654"/>
      <c r="W475" s="654"/>
      <c r="X475" s="654"/>
      <c r="Y475" s="654"/>
      <c r="Z475" s="654"/>
      <c r="AA475" s="66"/>
      <c r="AB475" s="66"/>
      <c r="AC475" s="80"/>
    </row>
    <row r="476" spans="1:68" ht="27" hidden="1" customHeight="1" x14ac:dyDescent="0.25">
      <c r="A476" s="63" t="s">
        <v>762</v>
      </c>
      <c r="B476" s="63" t="s">
        <v>763</v>
      </c>
      <c r="C476" s="36">
        <v>4301031405</v>
      </c>
      <c r="D476" s="655">
        <v>4680115886100</v>
      </c>
      <c r="E476" s="655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133</v>
      </c>
      <c r="L476" s="37" t="s">
        <v>46</v>
      </c>
      <c r="M476" s="38" t="s">
        <v>80</v>
      </c>
      <c r="N476" s="38"/>
      <c r="O476" s="37">
        <v>50</v>
      </c>
      <c r="P476" s="70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ref="Y476:Y481" si="77">IFERROR(IF(X476="",0,CEILING((X476/$H476),1)*$H476),"")</f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764</v>
      </c>
      <c r="AG476" s="78"/>
      <c r="AJ476" s="84" t="s">
        <v>46</v>
      </c>
      <c r="AK476" s="84">
        <v>0</v>
      </c>
      <c r="BB476" s="575" t="s">
        <v>67</v>
      </c>
      <c r="BM476" s="78">
        <f t="shared" ref="BM476:BM481" si="78">IFERROR(X476*I476/H476,"0")</f>
        <v>0</v>
      </c>
      <c r="BN476" s="78">
        <f t="shared" ref="BN476:BN481" si="79">IFERROR(Y476*I476/H476,"0")</f>
        <v>0</v>
      </c>
      <c r="BO476" s="78">
        <f t="shared" ref="BO476:BO481" si="80">IFERROR(1/J476*(X476/H476),"0")</f>
        <v>0</v>
      </c>
      <c r="BP476" s="78">
        <f t="shared" ref="BP476:BP481" si="81">IFERROR(1/J476*(Y476/H476),"0")</f>
        <v>0</v>
      </c>
    </row>
    <row r="477" spans="1:68" ht="27" hidden="1" customHeight="1" x14ac:dyDescent="0.25">
      <c r="A477" s="63" t="s">
        <v>765</v>
      </c>
      <c r="B477" s="63" t="s">
        <v>766</v>
      </c>
      <c r="C477" s="36">
        <v>4301031402</v>
      </c>
      <c r="D477" s="655">
        <v>4680115886124</v>
      </c>
      <c r="E477" s="655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133</v>
      </c>
      <c r="L477" s="37" t="s">
        <v>46</v>
      </c>
      <c r="M477" s="38" t="s">
        <v>80</v>
      </c>
      <c r="N477" s="38"/>
      <c r="O477" s="37">
        <v>50</v>
      </c>
      <c r="P477" s="70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7"/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8"/>
        <v>0</v>
      </c>
      <c r="BN477" s="78">
        <f t="shared" si="79"/>
        <v>0</v>
      </c>
      <c r="BO477" s="78">
        <f t="shared" si="80"/>
        <v>0</v>
      </c>
      <c r="BP477" s="78">
        <f t="shared" si="81"/>
        <v>0</v>
      </c>
    </row>
    <row r="478" spans="1:68" ht="27" hidden="1" customHeight="1" x14ac:dyDescent="0.25">
      <c r="A478" s="63" t="s">
        <v>768</v>
      </c>
      <c r="B478" s="63" t="s">
        <v>769</v>
      </c>
      <c r="C478" s="36">
        <v>4301031362</v>
      </c>
      <c r="D478" s="655">
        <v>4607091384338</v>
      </c>
      <c r="E478" s="65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81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7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764</v>
      </c>
      <c r="AG478" s="78"/>
      <c r="AJ478" s="84" t="s">
        <v>46</v>
      </c>
      <c r="AK478" s="84">
        <v>0</v>
      </c>
      <c r="BB478" s="579" t="s">
        <v>67</v>
      </c>
      <c r="BM478" s="78">
        <f t="shared" si="78"/>
        <v>0</v>
      </c>
      <c r="BN478" s="78">
        <f t="shared" si="79"/>
        <v>0</v>
      </c>
      <c r="BO478" s="78">
        <f t="shared" si="80"/>
        <v>0</v>
      </c>
      <c r="BP478" s="78">
        <f t="shared" si="81"/>
        <v>0</v>
      </c>
    </row>
    <row r="479" spans="1:68" ht="27" hidden="1" customHeight="1" x14ac:dyDescent="0.25">
      <c r="A479" s="63" t="s">
        <v>770</v>
      </c>
      <c r="B479" s="63" t="s">
        <v>771</v>
      </c>
      <c r="C479" s="36">
        <v>4301031364</v>
      </c>
      <c r="D479" s="655">
        <v>4680115883161</v>
      </c>
      <c r="E479" s="655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81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7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772</v>
      </c>
      <c r="AG479" s="78"/>
      <c r="AJ479" s="84" t="s">
        <v>46</v>
      </c>
      <c r="AK479" s="84">
        <v>0</v>
      </c>
      <c r="BB479" s="581" t="s">
        <v>67</v>
      </c>
      <c r="BM479" s="78">
        <f t="shared" si="78"/>
        <v>0</v>
      </c>
      <c r="BN479" s="78">
        <f t="shared" si="79"/>
        <v>0</v>
      </c>
      <c r="BO479" s="78">
        <f t="shared" si="80"/>
        <v>0</v>
      </c>
      <c r="BP479" s="78">
        <f t="shared" si="81"/>
        <v>0</v>
      </c>
    </row>
    <row r="480" spans="1:68" ht="27" hidden="1" customHeight="1" x14ac:dyDescent="0.25">
      <c r="A480" s="63" t="s">
        <v>773</v>
      </c>
      <c r="B480" s="63" t="s">
        <v>774</v>
      </c>
      <c r="C480" s="36">
        <v>4301031358</v>
      </c>
      <c r="D480" s="655">
        <v>4607091389531</v>
      </c>
      <c r="E480" s="65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7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8"/>
        <v>0</v>
      </c>
      <c r="BN480" s="78">
        <f t="shared" si="79"/>
        <v>0</v>
      </c>
      <c r="BO480" s="78">
        <f t="shared" si="80"/>
        <v>0</v>
      </c>
      <c r="BP480" s="78">
        <f t="shared" si="81"/>
        <v>0</v>
      </c>
    </row>
    <row r="481" spans="1:68" ht="37.5" hidden="1" customHeight="1" x14ac:dyDescent="0.25">
      <c r="A481" s="63" t="s">
        <v>776</v>
      </c>
      <c r="B481" s="63" t="s">
        <v>777</v>
      </c>
      <c r="C481" s="36">
        <v>4301031360</v>
      </c>
      <c r="D481" s="655">
        <v>4607091384345</v>
      </c>
      <c r="E481" s="655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7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772</v>
      </c>
      <c r="AG481" s="78"/>
      <c r="AJ481" s="84" t="s">
        <v>46</v>
      </c>
      <c r="AK481" s="84">
        <v>0</v>
      </c>
      <c r="BB481" s="585" t="s">
        <v>67</v>
      </c>
      <c r="BM481" s="78">
        <f t="shared" si="78"/>
        <v>0</v>
      </c>
      <c r="BN481" s="78">
        <f t="shared" si="79"/>
        <v>0</v>
      </c>
      <c r="BO481" s="78">
        <f t="shared" si="80"/>
        <v>0</v>
      </c>
      <c r="BP481" s="78">
        <f t="shared" si="81"/>
        <v>0</v>
      </c>
    </row>
    <row r="482" spans="1:68" hidden="1" x14ac:dyDescent="0.2">
      <c r="A482" s="663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64"/>
      <c r="P482" s="660" t="s">
        <v>40</v>
      </c>
      <c r="Q482" s="661"/>
      <c r="R482" s="661"/>
      <c r="S482" s="661"/>
      <c r="T482" s="661"/>
      <c r="U482" s="661"/>
      <c r="V482" s="662"/>
      <c r="W482" s="42" t="s">
        <v>39</v>
      </c>
      <c r="X482" s="43">
        <f>IFERROR(X476/H476,"0")+IFERROR(X477/H477,"0")+IFERROR(X478/H478,"0")+IFERROR(X479/H479,"0")+IFERROR(X480/H480,"0")+IFERROR(X481/H481,"0")</f>
        <v>0</v>
      </c>
      <c r="Y482" s="43">
        <f>IFERROR(Y476/H476,"0")+IFERROR(Y477/H477,"0")+IFERROR(Y478/H478,"0")+IFERROR(Y479/H479,"0")+IFERROR(Y480/H480,"0")+IFERROR(Y481/H481,"0")</f>
        <v>0</v>
      </c>
      <c r="Z482" s="43">
        <f>IFERROR(IF(Z476="",0,Z476),"0")+IFERROR(IF(Z477="",0,Z477),"0")+IFERROR(IF(Z478="",0,Z478),"0")+IFERROR(IF(Z479="",0,Z479),"0")+IFERROR(IF(Z480="",0,Z480),"0")+IFERROR(IF(Z481="",0,Z481),"0")</f>
        <v>0</v>
      </c>
      <c r="AA482" s="67"/>
      <c r="AB482" s="67"/>
      <c r="AC482" s="67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64"/>
      <c r="P483" s="660" t="s">
        <v>40</v>
      </c>
      <c r="Q483" s="661"/>
      <c r="R483" s="661"/>
      <c r="S483" s="661"/>
      <c r="T483" s="661"/>
      <c r="U483" s="661"/>
      <c r="V483" s="662"/>
      <c r="W483" s="42" t="s">
        <v>0</v>
      </c>
      <c r="X483" s="43">
        <f>IFERROR(SUM(X476:X481),"0")</f>
        <v>0</v>
      </c>
      <c r="Y483" s="43">
        <f>IFERROR(SUM(Y476:Y481),"0")</f>
        <v>0</v>
      </c>
      <c r="Z483" s="42"/>
      <c r="AA483" s="67"/>
      <c r="AB483" s="67"/>
      <c r="AC483" s="67"/>
    </row>
    <row r="484" spans="1:68" ht="14.25" hidden="1" customHeight="1" x14ac:dyDescent="0.25">
      <c r="A484" s="654" t="s">
        <v>85</v>
      </c>
      <c r="B484" s="654"/>
      <c r="C484" s="654"/>
      <c r="D484" s="654"/>
      <c r="E484" s="654"/>
      <c r="F484" s="654"/>
      <c r="G484" s="654"/>
      <c r="H484" s="654"/>
      <c r="I484" s="654"/>
      <c r="J484" s="654"/>
      <c r="K484" s="654"/>
      <c r="L484" s="654"/>
      <c r="M484" s="654"/>
      <c r="N484" s="654"/>
      <c r="O484" s="654"/>
      <c r="P484" s="654"/>
      <c r="Q484" s="654"/>
      <c r="R484" s="654"/>
      <c r="S484" s="654"/>
      <c r="T484" s="654"/>
      <c r="U484" s="654"/>
      <c r="V484" s="654"/>
      <c r="W484" s="654"/>
      <c r="X484" s="654"/>
      <c r="Y484" s="654"/>
      <c r="Z484" s="654"/>
      <c r="AA484" s="66"/>
      <c r="AB484" s="66"/>
      <c r="AC484" s="80"/>
    </row>
    <row r="485" spans="1:68" ht="27" hidden="1" customHeight="1" x14ac:dyDescent="0.25">
      <c r="A485" s="63" t="s">
        <v>778</v>
      </c>
      <c r="B485" s="63" t="s">
        <v>779</v>
      </c>
      <c r="C485" s="36">
        <v>4301051284</v>
      </c>
      <c r="D485" s="655">
        <v>4607091384352</v>
      </c>
      <c r="E485" s="655"/>
      <c r="F485" s="62">
        <v>0.6</v>
      </c>
      <c r="G485" s="37">
        <v>4</v>
      </c>
      <c r="H485" s="62">
        <v>2.4</v>
      </c>
      <c r="I485" s="62">
        <v>2.6259999999999999</v>
      </c>
      <c r="J485" s="37">
        <v>132</v>
      </c>
      <c r="K485" s="37" t="s">
        <v>133</v>
      </c>
      <c r="L485" s="37" t="s">
        <v>46</v>
      </c>
      <c r="M485" s="38" t="s">
        <v>89</v>
      </c>
      <c r="N485" s="38"/>
      <c r="O485" s="37">
        <v>45</v>
      </c>
      <c r="P485" s="69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86" t="s">
        <v>780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4301051431</v>
      </c>
      <c r="D486" s="655">
        <v>4607091389654</v>
      </c>
      <c r="E486" s="655"/>
      <c r="F486" s="62">
        <v>0.33</v>
      </c>
      <c r="G486" s="37">
        <v>6</v>
      </c>
      <c r="H486" s="62">
        <v>1.98</v>
      </c>
      <c r="I486" s="62">
        <v>2.238</v>
      </c>
      <c r="J486" s="37">
        <v>182</v>
      </c>
      <c r="K486" s="37" t="s">
        <v>90</v>
      </c>
      <c r="L486" s="37" t="s">
        <v>46</v>
      </c>
      <c r="M486" s="38" t="s">
        <v>89</v>
      </c>
      <c r="N486" s="38"/>
      <c r="O486" s="37">
        <v>45</v>
      </c>
      <c r="P486" s="70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8" t="s">
        <v>783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63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4"/>
      <c r="P487" s="660" t="s">
        <v>40</v>
      </c>
      <c r="Q487" s="661"/>
      <c r="R487" s="661"/>
      <c r="S487" s="661"/>
      <c r="T487" s="661"/>
      <c r="U487" s="661"/>
      <c r="V487" s="662"/>
      <c r="W487" s="42" t="s">
        <v>39</v>
      </c>
      <c r="X487" s="43">
        <f>IFERROR(X485/H485,"0")+IFERROR(X486/H486,"0")</f>
        <v>0</v>
      </c>
      <c r="Y487" s="43">
        <f>IFERROR(Y485/H485,"0")+IFERROR(Y486/H486,"0")</f>
        <v>0</v>
      </c>
      <c r="Z487" s="43">
        <f>IFERROR(IF(Z485="",0,Z485),"0")+IFERROR(IF(Z486="",0,Z486),"0")</f>
        <v>0</v>
      </c>
      <c r="AA487" s="67"/>
      <c r="AB487" s="67"/>
      <c r="AC487" s="67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64"/>
      <c r="P488" s="660" t="s">
        <v>40</v>
      </c>
      <c r="Q488" s="661"/>
      <c r="R488" s="661"/>
      <c r="S488" s="661"/>
      <c r="T488" s="661"/>
      <c r="U488" s="661"/>
      <c r="V488" s="662"/>
      <c r="W488" s="42" t="s">
        <v>0</v>
      </c>
      <c r="X488" s="43">
        <f>IFERROR(SUM(X485:X486),"0")</f>
        <v>0</v>
      </c>
      <c r="Y488" s="43">
        <f>IFERROR(SUM(Y485:Y486),"0")</f>
        <v>0</v>
      </c>
      <c r="Z488" s="42"/>
      <c r="AA488" s="67"/>
      <c r="AB488" s="67"/>
      <c r="AC488" s="67"/>
    </row>
    <row r="489" spans="1:68" ht="16.5" hidden="1" customHeight="1" x14ac:dyDescent="0.25">
      <c r="A489" s="665" t="s">
        <v>784</v>
      </c>
      <c r="B489" s="665"/>
      <c r="C489" s="665"/>
      <c r="D489" s="665"/>
      <c r="E489" s="665"/>
      <c r="F489" s="665"/>
      <c r="G489" s="665"/>
      <c r="H489" s="665"/>
      <c r="I489" s="665"/>
      <c r="J489" s="665"/>
      <c r="K489" s="665"/>
      <c r="L489" s="665"/>
      <c r="M489" s="665"/>
      <c r="N489" s="665"/>
      <c r="O489" s="665"/>
      <c r="P489" s="665"/>
      <c r="Q489" s="665"/>
      <c r="R489" s="665"/>
      <c r="S489" s="665"/>
      <c r="T489" s="665"/>
      <c r="U489" s="665"/>
      <c r="V489" s="665"/>
      <c r="W489" s="665"/>
      <c r="X489" s="665"/>
      <c r="Y489" s="665"/>
      <c r="Z489" s="665"/>
      <c r="AA489" s="65"/>
      <c r="AB489" s="65"/>
      <c r="AC489" s="79"/>
    </row>
    <row r="490" spans="1:68" ht="14.25" hidden="1" customHeight="1" x14ac:dyDescent="0.25">
      <c r="A490" s="654" t="s">
        <v>158</v>
      </c>
      <c r="B490" s="654"/>
      <c r="C490" s="654"/>
      <c r="D490" s="654"/>
      <c r="E490" s="654"/>
      <c r="F490" s="654"/>
      <c r="G490" s="654"/>
      <c r="H490" s="654"/>
      <c r="I490" s="654"/>
      <c r="J490" s="654"/>
      <c r="K490" s="654"/>
      <c r="L490" s="654"/>
      <c r="M490" s="654"/>
      <c r="N490" s="654"/>
      <c r="O490" s="654"/>
      <c r="P490" s="654"/>
      <c r="Q490" s="654"/>
      <c r="R490" s="654"/>
      <c r="S490" s="654"/>
      <c r="T490" s="654"/>
      <c r="U490" s="654"/>
      <c r="V490" s="654"/>
      <c r="W490" s="654"/>
      <c r="X490" s="654"/>
      <c r="Y490" s="654"/>
      <c r="Z490" s="654"/>
      <c r="AA490" s="66"/>
      <c r="AB490" s="66"/>
      <c r="AC490" s="80"/>
    </row>
    <row r="491" spans="1:68" ht="27" hidden="1" customHeight="1" x14ac:dyDescent="0.25">
      <c r="A491" s="63" t="s">
        <v>785</v>
      </c>
      <c r="B491" s="63" t="s">
        <v>786</v>
      </c>
      <c r="C491" s="36">
        <v>4301020416</v>
      </c>
      <c r="D491" s="655">
        <v>4680115885240</v>
      </c>
      <c r="E491" s="655"/>
      <c r="F491" s="62">
        <v>0.35</v>
      </c>
      <c r="G491" s="37">
        <v>6</v>
      </c>
      <c r="H491" s="62">
        <v>2.1</v>
      </c>
      <c r="I491" s="62">
        <v>2.31</v>
      </c>
      <c r="J491" s="37">
        <v>182</v>
      </c>
      <c r="K491" s="37" t="s">
        <v>90</v>
      </c>
      <c r="L491" s="37" t="s">
        <v>46</v>
      </c>
      <c r="M491" s="38" t="s">
        <v>80</v>
      </c>
      <c r="N491" s="38"/>
      <c r="O491" s="37">
        <v>40</v>
      </c>
      <c r="P491" s="70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90" t="s">
        <v>787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63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64"/>
      <c r="P492" s="660" t="s">
        <v>40</v>
      </c>
      <c r="Q492" s="661"/>
      <c r="R492" s="661"/>
      <c r="S492" s="661"/>
      <c r="T492" s="661"/>
      <c r="U492" s="661"/>
      <c r="V492" s="662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64"/>
      <c r="P493" s="660" t="s">
        <v>40</v>
      </c>
      <c r="Q493" s="661"/>
      <c r="R493" s="661"/>
      <c r="S493" s="661"/>
      <c r="T493" s="661"/>
      <c r="U493" s="661"/>
      <c r="V493" s="662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4.25" hidden="1" customHeight="1" x14ac:dyDescent="0.25">
      <c r="A494" s="654" t="s">
        <v>76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hidden="1" customHeight="1" x14ac:dyDescent="0.25">
      <c r="A495" s="63" t="s">
        <v>788</v>
      </c>
      <c r="B495" s="63" t="s">
        <v>789</v>
      </c>
      <c r="C495" s="36">
        <v>4301031407</v>
      </c>
      <c r="D495" s="655">
        <v>4680115886094</v>
      </c>
      <c r="E495" s="655"/>
      <c r="F495" s="62">
        <v>0.9</v>
      </c>
      <c r="G495" s="37">
        <v>6</v>
      </c>
      <c r="H495" s="62">
        <v>5.4</v>
      </c>
      <c r="I495" s="62">
        <v>5.59</v>
      </c>
      <c r="J495" s="37">
        <v>132</v>
      </c>
      <c r="K495" s="37" t="s">
        <v>133</v>
      </c>
      <c r="L495" s="37" t="s">
        <v>46</v>
      </c>
      <c r="M495" s="38" t="s">
        <v>80</v>
      </c>
      <c r="N495" s="38"/>
      <c r="O495" s="37">
        <v>50</v>
      </c>
      <c r="P495" s="6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92" t="s">
        <v>790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791</v>
      </c>
      <c r="B496" s="63" t="s">
        <v>792</v>
      </c>
      <c r="C496" s="36">
        <v>4301031373</v>
      </c>
      <c r="D496" s="655">
        <v>4680115880771</v>
      </c>
      <c r="E496" s="655"/>
      <c r="F496" s="62">
        <v>0.28000000000000003</v>
      </c>
      <c r="G496" s="37">
        <v>6</v>
      </c>
      <c r="H496" s="62">
        <v>1.68</v>
      </c>
      <c r="I496" s="62">
        <v>1.81</v>
      </c>
      <c r="J496" s="37">
        <v>234</v>
      </c>
      <c r="K496" s="37" t="s">
        <v>81</v>
      </c>
      <c r="L496" s="37" t="s">
        <v>46</v>
      </c>
      <c r="M496" s="38" t="s">
        <v>80</v>
      </c>
      <c r="N496" s="38"/>
      <c r="O496" s="37">
        <v>50</v>
      </c>
      <c r="P496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793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t="27" hidden="1" customHeight="1" x14ac:dyDescent="0.25">
      <c r="A497" s="63" t="s">
        <v>794</v>
      </c>
      <c r="B497" s="63" t="s">
        <v>795</v>
      </c>
      <c r="C497" s="36">
        <v>4301031359</v>
      </c>
      <c r="D497" s="655">
        <v>4607091389500</v>
      </c>
      <c r="E497" s="655"/>
      <c r="F497" s="62">
        <v>0.35</v>
      </c>
      <c r="G497" s="37">
        <v>6</v>
      </c>
      <c r="H497" s="62">
        <v>2.1</v>
      </c>
      <c r="I497" s="62">
        <v>2.23</v>
      </c>
      <c r="J497" s="37">
        <v>234</v>
      </c>
      <c r="K497" s="37" t="s">
        <v>81</v>
      </c>
      <c r="L497" s="37" t="s">
        <v>46</v>
      </c>
      <c r="M497" s="38" t="s">
        <v>80</v>
      </c>
      <c r="N497" s="38"/>
      <c r="O497" s="37">
        <v>50</v>
      </c>
      <c r="P497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793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3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64"/>
      <c r="P498" s="660" t="s">
        <v>40</v>
      </c>
      <c r="Q498" s="661"/>
      <c r="R498" s="661"/>
      <c r="S498" s="661"/>
      <c r="T498" s="661"/>
      <c r="U498" s="661"/>
      <c r="V498" s="662"/>
      <c r="W498" s="42" t="s">
        <v>39</v>
      </c>
      <c r="X498" s="43">
        <f>IFERROR(X495/H495,"0")+IFERROR(X496/H496,"0")+IFERROR(X497/H497,"0")</f>
        <v>0</v>
      </c>
      <c r="Y498" s="43">
        <f>IFERROR(Y495/H495,"0")+IFERROR(Y496/H496,"0")+IFERROR(Y497/H497,"0")</f>
        <v>0</v>
      </c>
      <c r="Z498" s="43">
        <f>IFERROR(IF(Z495="",0,Z495),"0")+IFERROR(IF(Z496="",0,Z496),"0")+IFERROR(IF(Z497="",0,Z497),"0")</f>
        <v>0</v>
      </c>
      <c r="AA498" s="67"/>
      <c r="AB498" s="67"/>
      <c r="AC498" s="67"/>
    </row>
    <row r="499" spans="1:68" hidden="1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4"/>
      <c r="P499" s="660" t="s">
        <v>40</v>
      </c>
      <c r="Q499" s="661"/>
      <c r="R499" s="661"/>
      <c r="S499" s="661"/>
      <c r="T499" s="661"/>
      <c r="U499" s="661"/>
      <c r="V499" s="662"/>
      <c r="W499" s="42" t="s">
        <v>0</v>
      </c>
      <c r="X499" s="43">
        <f>IFERROR(SUM(X495:X497),"0")</f>
        <v>0</v>
      </c>
      <c r="Y499" s="43">
        <f>IFERROR(SUM(Y495:Y497),"0")</f>
        <v>0</v>
      </c>
      <c r="Z499" s="42"/>
      <c r="AA499" s="67"/>
      <c r="AB499" s="67"/>
      <c r="AC499" s="67"/>
    </row>
    <row r="500" spans="1:68" ht="27.75" hidden="1" customHeight="1" x14ac:dyDescent="0.2">
      <c r="A500" s="678" t="s">
        <v>796</v>
      </c>
      <c r="B500" s="678"/>
      <c r="C500" s="678"/>
      <c r="D500" s="678"/>
      <c r="E500" s="678"/>
      <c r="F500" s="678"/>
      <c r="G500" s="678"/>
      <c r="H500" s="678"/>
      <c r="I500" s="678"/>
      <c r="J500" s="678"/>
      <c r="K500" s="678"/>
      <c r="L500" s="678"/>
      <c r="M500" s="678"/>
      <c r="N500" s="678"/>
      <c r="O500" s="678"/>
      <c r="P500" s="678"/>
      <c r="Q500" s="678"/>
      <c r="R500" s="678"/>
      <c r="S500" s="678"/>
      <c r="T500" s="678"/>
      <c r="U500" s="678"/>
      <c r="V500" s="678"/>
      <c r="W500" s="678"/>
      <c r="X500" s="678"/>
      <c r="Y500" s="678"/>
      <c r="Z500" s="678"/>
      <c r="AA500" s="54"/>
      <c r="AB500" s="54"/>
      <c r="AC500" s="54"/>
    </row>
    <row r="501" spans="1:68" ht="16.5" hidden="1" customHeight="1" x14ac:dyDescent="0.25">
      <c r="A501" s="665" t="s">
        <v>796</v>
      </c>
      <c r="B501" s="665"/>
      <c r="C501" s="665"/>
      <c r="D501" s="665"/>
      <c r="E501" s="665"/>
      <c r="F501" s="665"/>
      <c r="G501" s="665"/>
      <c r="H501" s="665"/>
      <c r="I501" s="665"/>
      <c r="J501" s="665"/>
      <c r="K501" s="665"/>
      <c r="L501" s="665"/>
      <c r="M501" s="665"/>
      <c r="N501" s="665"/>
      <c r="O501" s="665"/>
      <c r="P501" s="665"/>
      <c r="Q501" s="665"/>
      <c r="R501" s="665"/>
      <c r="S501" s="665"/>
      <c r="T501" s="665"/>
      <c r="U501" s="665"/>
      <c r="V501" s="665"/>
      <c r="W501" s="665"/>
      <c r="X501" s="665"/>
      <c r="Y501" s="665"/>
      <c r="Z501" s="665"/>
      <c r="AA501" s="65"/>
      <c r="AB501" s="65"/>
      <c r="AC501" s="79"/>
    </row>
    <row r="502" spans="1:68" ht="14.25" hidden="1" customHeight="1" x14ac:dyDescent="0.25">
      <c r="A502" s="654" t="s">
        <v>121</v>
      </c>
      <c r="B502" s="654"/>
      <c r="C502" s="654"/>
      <c r="D502" s="654"/>
      <c r="E502" s="654"/>
      <c r="F502" s="654"/>
      <c r="G502" s="654"/>
      <c r="H502" s="654"/>
      <c r="I502" s="654"/>
      <c r="J502" s="654"/>
      <c r="K502" s="654"/>
      <c r="L502" s="654"/>
      <c r="M502" s="654"/>
      <c r="N502" s="654"/>
      <c r="O502" s="654"/>
      <c r="P502" s="654"/>
      <c r="Q502" s="654"/>
      <c r="R502" s="654"/>
      <c r="S502" s="654"/>
      <c r="T502" s="654"/>
      <c r="U502" s="654"/>
      <c r="V502" s="654"/>
      <c r="W502" s="654"/>
      <c r="X502" s="654"/>
      <c r="Y502" s="654"/>
      <c r="Z502" s="654"/>
      <c r="AA502" s="66"/>
      <c r="AB502" s="66"/>
      <c r="AC502" s="80"/>
    </row>
    <row r="503" spans="1:68" ht="27" hidden="1" customHeight="1" x14ac:dyDescent="0.25">
      <c r="A503" s="63" t="s">
        <v>797</v>
      </c>
      <c r="B503" s="63" t="s">
        <v>798</v>
      </c>
      <c r="C503" s="36">
        <v>4301011769</v>
      </c>
      <c r="D503" s="655">
        <v>4607091389067</v>
      </c>
      <c r="E503" s="65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126</v>
      </c>
      <c r="L503" s="37" t="s">
        <v>46</v>
      </c>
      <c r="M503" s="38" t="s">
        <v>89</v>
      </c>
      <c r="N503" s="38"/>
      <c r="O503" s="37">
        <v>60</v>
      </c>
      <c r="P503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ref="Y503:Y511" si="82">IFERROR(IF(X503="",0,CEILING((X503/$H503),1)*$H503),"")</f>
        <v>0</v>
      </c>
      <c r="Z503" s="41" t="str">
        <f t="shared" ref="Z503:Z508" si="83">IFERROR(IF(Y503=0,"",ROUNDUP(Y503/H503,0)*0.01196),"")</f>
        <v/>
      </c>
      <c r="AA503" s="68" t="s">
        <v>46</v>
      </c>
      <c r="AB503" s="69" t="s">
        <v>46</v>
      </c>
      <c r="AC503" s="598" t="s">
        <v>124</v>
      </c>
      <c r="AG503" s="78"/>
      <c r="AJ503" s="84" t="s">
        <v>46</v>
      </c>
      <c r="AK503" s="84">
        <v>0</v>
      </c>
      <c r="BB503" s="599" t="s">
        <v>67</v>
      </c>
      <c r="BM503" s="78">
        <f t="shared" ref="BM503:BM511" si="84">IFERROR(X503*I503/H503,"0")</f>
        <v>0</v>
      </c>
      <c r="BN503" s="78">
        <f t="shared" ref="BN503:BN511" si="85">IFERROR(Y503*I503/H503,"0")</f>
        <v>0</v>
      </c>
      <c r="BO503" s="78">
        <f t="shared" ref="BO503:BO511" si="86">IFERROR(1/J503*(X503/H503),"0")</f>
        <v>0</v>
      </c>
      <c r="BP503" s="78">
        <f t="shared" ref="BP503:BP511" si="87">IFERROR(1/J503*(Y503/H503),"0")</f>
        <v>0</v>
      </c>
    </row>
    <row r="504" spans="1:68" ht="16.5" hidden="1" customHeight="1" x14ac:dyDescent="0.25">
      <c r="A504" s="63" t="s">
        <v>799</v>
      </c>
      <c r="B504" s="63" t="s">
        <v>800</v>
      </c>
      <c r="C504" s="36">
        <v>4301012380</v>
      </c>
      <c r="D504" s="655">
        <v>4680115889576</v>
      </c>
      <c r="E504" s="65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126</v>
      </c>
      <c r="L504" s="37" t="s">
        <v>46</v>
      </c>
      <c r="M504" s="38" t="s">
        <v>125</v>
      </c>
      <c r="N504" s="38"/>
      <c r="O504" s="37">
        <v>60</v>
      </c>
      <c r="P504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82"/>
        <v>0</v>
      </c>
      <c r="Z504" s="41" t="str">
        <f t="shared" si="83"/>
        <v/>
      </c>
      <c r="AA504" s="68" t="s">
        <v>46</v>
      </c>
      <c r="AB504" s="69" t="s">
        <v>46</v>
      </c>
      <c r="AC504" s="600" t="s">
        <v>801</v>
      </c>
      <c r="AG504" s="78"/>
      <c r="AJ504" s="84" t="s">
        <v>46</v>
      </c>
      <c r="AK504" s="84">
        <v>0</v>
      </c>
      <c r="BB504" s="601" t="s">
        <v>67</v>
      </c>
      <c r="BM504" s="78">
        <f t="shared" si="84"/>
        <v>0</v>
      </c>
      <c r="BN504" s="78">
        <f t="shared" si="85"/>
        <v>0</v>
      </c>
      <c r="BO504" s="78">
        <f t="shared" si="86"/>
        <v>0</v>
      </c>
      <c r="BP504" s="78">
        <f t="shared" si="87"/>
        <v>0</v>
      </c>
    </row>
    <row r="505" spans="1:68" ht="27" hidden="1" customHeight="1" x14ac:dyDescent="0.25">
      <c r="A505" s="63" t="s">
        <v>802</v>
      </c>
      <c r="B505" s="63" t="s">
        <v>803</v>
      </c>
      <c r="C505" s="36">
        <v>4301011961</v>
      </c>
      <c r="D505" s="655">
        <v>4680115885271</v>
      </c>
      <c r="E505" s="65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125</v>
      </c>
      <c r="N505" s="38"/>
      <c r="O505" s="37">
        <v>60</v>
      </c>
      <c r="P505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82"/>
        <v>0</v>
      </c>
      <c r="Z505" s="41" t="str">
        <f t="shared" si="83"/>
        <v/>
      </c>
      <c r="AA505" s="68" t="s">
        <v>46</v>
      </c>
      <c r="AB505" s="69" t="s">
        <v>46</v>
      </c>
      <c r="AC505" s="602" t="s">
        <v>804</v>
      </c>
      <c r="AG505" s="78"/>
      <c r="AJ505" s="84" t="s">
        <v>46</v>
      </c>
      <c r="AK505" s="84">
        <v>0</v>
      </c>
      <c r="BB505" s="603" t="s">
        <v>67</v>
      </c>
      <c r="BM505" s="78">
        <f t="shared" si="84"/>
        <v>0</v>
      </c>
      <c r="BN505" s="78">
        <f t="shared" si="85"/>
        <v>0</v>
      </c>
      <c r="BO505" s="78">
        <f t="shared" si="86"/>
        <v>0</v>
      </c>
      <c r="BP505" s="78">
        <f t="shared" si="87"/>
        <v>0</v>
      </c>
    </row>
    <row r="506" spans="1:68" ht="27" customHeight="1" x14ac:dyDescent="0.25">
      <c r="A506" s="63" t="s">
        <v>805</v>
      </c>
      <c r="B506" s="63" t="s">
        <v>806</v>
      </c>
      <c r="C506" s="36">
        <v>4301011369</v>
      </c>
      <c r="D506" s="655">
        <v>4680115885226</v>
      </c>
      <c r="E506" s="65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9" t="s">
        <v>46</v>
      </c>
      <c r="V506" s="39" t="s">
        <v>46</v>
      </c>
      <c r="W506" s="40" t="s">
        <v>0</v>
      </c>
      <c r="X506" s="58">
        <v>700</v>
      </c>
      <c r="Y506" s="55">
        <f t="shared" si="82"/>
        <v>702.24</v>
      </c>
      <c r="Z506" s="41">
        <f t="shared" si="83"/>
        <v>1.5906800000000001</v>
      </c>
      <c r="AA506" s="68" t="s">
        <v>46</v>
      </c>
      <c r="AB506" s="69" t="s">
        <v>46</v>
      </c>
      <c r="AC506" s="604" t="s">
        <v>807</v>
      </c>
      <c r="AG506" s="78"/>
      <c r="AJ506" s="84" t="s">
        <v>46</v>
      </c>
      <c r="AK506" s="84">
        <v>0</v>
      </c>
      <c r="BB506" s="605" t="s">
        <v>67</v>
      </c>
      <c r="BM506" s="78">
        <f t="shared" si="84"/>
        <v>746.40151515151513</v>
      </c>
      <c r="BN506" s="78">
        <f t="shared" si="85"/>
        <v>748.79</v>
      </c>
      <c r="BO506" s="78">
        <f t="shared" si="86"/>
        <v>1.2747668997668997</v>
      </c>
      <c r="BP506" s="78">
        <f t="shared" si="87"/>
        <v>1.278846153846154</v>
      </c>
    </row>
    <row r="507" spans="1:68" ht="16.5" hidden="1" customHeight="1" x14ac:dyDescent="0.25">
      <c r="A507" s="63" t="s">
        <v>808</v>
      </c>
      <c r="B507" s="63" t="s">
        <v>809</v>
      </c>
      <c r="C507" s="36">
        <v>4301011797</v>
      </c>
      <c r="D507" s="655">
        <v>4680115884502</v>
      </c>
      <c r="E507" s="65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89</v>
      </c>
      <c r="N507" s="38"/>
      <c r="O507" s="37">
        <v>60</v>
      </c>
      <c r="P507" s="68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2"/>
        <v>0</v>
      </c>
      <c r="Z507" s="41" t="str">
        <f t="shared" si="83"/>
        <v/>
      </c>
      <c r="AA507" s="68" t="s">
        <v>46</v>
      </c>
      <c r="AB507" s="69" t="s">
        <v>46</v>
      </c>
      <c r="AC507" s="606" t="s">
        <v>810</v>
      </c>
      <c r="AG507" s="78"/>
      <c r="AJ507" s="84" t="s">
        <v>46</v>
      </c>
      <c r="AK507" s="84">
        <v>0</v>
      </c>
      <c r="BB507" s="607" t="s">
        <v>67</v>
      </c>
      <c r="BM507" s="78">
        <f t="shared" si="84"/>
        <v>0</v>
      </c>
      <c r="BN507" s="78">
        <f t="shared" si="85"/>
        <v>0</v>
      </c>
      <c r="BO507" s="78">
        <f t="shared" si="86"/>
        <v>0</v>
      </c>
      <c r="BP507" s="78">
        <f t="shared" si="87"/>
        <v>0</v>
      </c>
    </row>
    <row r="508" spans="1:68" ht="27" hidden="1" customHeight="1" x14ac:dyDescent="0.25">
      <c r="A508" s="63" t="s">
        <v>811</v>
      </c>
      <c r="B508" s="63" t="s">
        <v>812</v>
      </c>
      <c r="C508" s="36">
        <v>4301011771</v>
      </c>
      <c r="D508" s="655">
        <v>4607091389104</v>
      </c>
      <c r="E508" s="65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69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2"/>
        <v>0</v>
      </c>
      <c r="Z508" s="41" t="str">
        <f t="shared" si="83"/>
        <v/>
      </c>
      <c r="AA508" s="68" t="s">
        <v>46</v>
      </c>
      <c r="AB508" s="69" t="s">
        <v>46</v>
      </c>
      <c r="AC508" s="608" t="s">
        <v>813</v>
      </c>
      <c r="AG508" s="78"/>
      <c r="AJ508" s="84" t="s">
        <v>46</v>
      </c>
      <c r="AK508" s="84">
        <v>0</v>
      </c>
      <c r="BB508" s="609" t="s">
        <v>67</v>
      </c>
      <c r="BM508" s="78">
        <f t="shared" si="84"/>
        <v>0</v>
      </c>
      <c r="BN508" s="78">
        <f t="shared" si="85"/>
        <v>0</v>
      </c>
      <c r="BO508" s="78">
        <f t="shared" si="86"/>
        <v>0</v>
      </c>
      <c r="BP508" s="78">
        <f t="shared" si="87"/>
        <v>0</v>
      </c>
    </row>
    <row r="509" spans="1:68" ht="27" hidden="1" customHeight="1" x14ac:dyDescent="0.25">
      <c r="A509" s="63" t="s">
        <v>814</v>
      </c>
      <c r="B509" s="63" t="s">
        <v>815</v>
      </c>
      <c r="C509" s="36">
        <v>4301012125</v>
      </c>
      <c r="D509" s="655">
        <v>4680115886391</v>
      </c>
      <c r="E509" s="655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89</v>
      </c>
      <c r="N509" s="38"/>
      <c r="O509" s="37">
        <v>60</v>
      </c>
      <c r="P509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2"/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10" t="s">
        <v>124</v>
      </c>
      <c r="AG509" s="78"/>
      <c r="AJ509" s="84" t="s">
        <v>46</v>
      </c>
      <c r="AK509" s="84">
        <v>0</v>
      </c>
      <c r="BB509" s="611" t="s">
        <v>67</v>
      </c>
      <c r="BM509" s="78">
        <f t="shared" si="84"/>
        <v>0</v>
      </c>
      <c r="BN509" s="78">
        <f t="shared" si="85"/>
        <v>0</v>
      </c>
      <c r="BO509" s="78">
        <f t="shared" si="86"/>
        <v>0</v>
      </c>
      <c r="BP509" s="78">
        <f t="shared" si="87"/>
        <v>0</v>
      </c>
    </row>
    <row r="510" spans="1:68" ht="27" hidden="1" customHeight="1" x14ac:dyDescent="0.25">
      <c r="A510" s="63" t="s">
        <v>816</v>
      </c>
      <c r="B510" s="63" t="s">
        <v>817</v>
      </c>
      <c r="C510" s="36">
        <v>4301012048</v>
      </c>
      <c r="D510" s="655">
        <v>4680115880603</v>
      </c>
      <c r="E510" s="655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133</v>
      </c>
      <c r="L510" s="37" t="s">
        <v>46</v>
      </c>
      <c r="M510" s="38" t="s">
        <v>89</v>
      </c>
      <c r="N510" s="38"/>
      <c r="O510" s="37">
        <v>60</v>
      </c>
      <c r="P510" s="69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2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124</v>
      </c>
      <c r="AG510" s="78"/>
      <c r="AJ510" s="84" t="s">
        <v>46</v>
      </c>
      <c r="AK510" s="84">
        <v>0</v>
      </c>
      <c r="BB510" s="613" t="s">
        <v>67</v>
      </c>
      <c r="BM510" s="78">
        <f t="shared" si="84"/>
        <v>0</v>
      </c>
      <c r="BN510" s="78">
        <f t="shared" si="85"/>
        <v>0</v>
      </c>
      <c r="BO510" s="78">
        <f t="shared" si="86"/>
        <v>0</v>
      </c>
      <c r="BP510" s="78">
        <f t="shared" si="87"/>
        <v>0</v>
      </c>
    </row>
    <row r="511" spans="1:68" ht="27" hidden="1" customHeight="1" x14ac:dyDescent="0.25">
      <c r="A511" s="63" t="s">
        <v>818</v>
      </c>
      <c r="B511" s="63" t="s">
        <v>819</v>
      </c>
      <c r="C511" s="36">
        <v>4301012034</v>
      </c>
      <c r="D511" s="655">
        <v>4607091389982</v>
      </c>
      <c r="E511" s="655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133</v>
      </c>
      <c r="L511" s="37" t="s">
        <v>46</v>
      </c>
      <c r="M511" s="38" t="s">
        <v>125</v>
      </c>
      <c r="N511" s="38"/>
      <c r="O511" s="37">
        <v>60</v>
      </c>
      <c r="P511" s="69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2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813</v>
      </c>
      <c r="AG511" s="78"/>
      <c r="AJ511" s="84" t="s">
        <v>46</v>
      </c>
      <c r="AK511" s="84">
        <v>0</v>
      </c>
      <c r="BB511" s="615" t="s">
        <v>67</v>
      </c>
      <c r="BM511" s="78">
        <f t="shared" si="84"/>
        <v>0</v>
      </c>
      <c r="BN511" s="78">
        <f t="shared" si="85"/>
        <v>0</v>
      </c>
      <c r="BO511" s="78">
        <f t="shared" si="86"/>
        <v>0</v>
      </c>
      <c r="BP511" s="78">
        <f t="shared" si="87"/>
        <v>0</v>
      </c>
    </row>
    <row r="512" spans="1:68" x14ac:dyDescent="0.2">
      <c r="A512" s="663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64"/>
      <c r="P512" s="660" t="s">
        <v>40</v>
      </c>
      <c r="Q512" s="661"/>
      <c r="R512" s="661"/>
      <c r="S512" s="661"/>
      <c r="T512" s="661"/>
      <c r="U512" s="661"/>
      <c r="V512" s="662"/>
      <c r="W512" s="42" t="s">
        <v>39</v>
      </c>
      <c r="X512" s="43">
        <f>IFERROR(X503/H503,"0")+IFERROR(X504/H504,"0")+IFERROR(X505/H505,"0")+IFERROR(X506/H506,"0")+IFERROR(X507/H507,"0")+IFERROR(X508/H508,"0")+IFERROR(X509/H509,"0")+IFERROR(X510/H510,"0")+IFERROR(X511/H511,"0")</f>
        <v>132.57575757575756</v>
      </c>
      <c r="Y512" s="43">
        <f>IFERROR(Y503/H503,"0")+IFERROR(Y504/H504,"0")+IFERROR(Y505/H505,"0")+IFERROR(Y506/H506,"0")+IFERROR(Y507/H507,"0")+IFERROR(Y508/H508,"0")+IFERROR(Y509/H509,"0")+IFERROR(Y510/H510,"0")+IFERROR(Y511/H511,"0")</f>
        <v>133</v>
      </c>
      <c r="Z512" s="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1.5906800000000001</v>
      </c>
      <c r="AA512" s="67"/>
      <c r="AB512" s="67"/>
      <c r="AC512" s="67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64"/>
      <c r="P513" s="660" t="s">
        <v>40</v>
      </c>
      <c r="Q513" s="661"/>
      <c r="R513" s="661"/>
      <c r="S513" s="661"/>
      <c r="T513" s="661"/>
      <c r="U513" s="661"/>
      <c r="V513" s="662"/>
      <c r="W513" s="42" t="s">
        <v>0</v>
      </c>
      <c r="X513" s="43">
        <f>IFERROR(SUM(X503:X511),"0")</f>
        <v>700</v>
      </c>
      <c r="Y513" s="43">
        <f>IFERROR(SUM(Y503:Y511),"0")</f>
        <v>702.24</v>
      </c>
      <c r="Z513" s="42"/>
      <c r="AA513" s="67"/>
      <c r="AB513" s="67"/>
      <c r="AC513" s="67"/>
    </row>
    <row r="514" spans="1:68" ht="14.25" hidden="1" customHeight="1" x14ac:dyDescent="0.25">
      <c r="A514" s="654" t="s">
        <v>158</v>
      </c>
      <c r="B514" s="654"/>
      <c r="C514" s="654"/>
      <c r="D514" s="654"/>
      <c r="E514" s="654"/>
      <c r="F514" s="654"/>
      <c r="G514" s="654"/>
      <c r="H514" s="654"/>
      <c r="I514" s="654"/>
      <c r="J514" s="654"/>
      <c r="K514" s="654"/>
      <c r="L514" s="654"/>
      <c r="M514" s="654"/>
      <c r="N514" s="654"/>
      <c r="O514" s="654"/>
      <c r="P514" s="654"/>
      <c r="Q514" s="654"/>
      <c r="R514" s="654"/>
      <c r="S514" s="654"/>
      <c r="T514" s="654"/>
      <c r="U514" s="654"/>
      <c r="V514" s="654"/>
      <c r="W514" s="654"/>
      <c r="X514" s="654"/>
      <c r="Y514" s="654"/>
      <c r="Z514" s="654"/>
      <c r="AA514" s="66"/>
      <c r="AB514" s="66"/>
      <c r="AC514" s="80"/>
    </row>
    <row r="515" spans="1:68" ht="16.5" customHeight="1" x14ac:dyDescent="0.25">
      <c r="A515" s="63" t="s">
        <v>820</v>
      </c>
      <c r="B515" s="63" t="s">
        <v>821</v>
      </c>
      <c r="C515" s="36">
        <v>4301020334</v>
      </c>
      <c r="D515" s="655">
        <v>4607091388930</v>
      </c>
      <c r="E515" s="65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126</v>
      </c>
      <c r="L515" s="37" t="s">
        <v>46</v>
      </c>
      <c r="M515" s="38" t="s">
        <v>89</v>
      </c>
      <c r="N515" s="38"/>
      <c r="O515" s="37">
        <v>70</v>
      </c>
      <c r="P515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9" t="s">
        <v>46</v>
      </c>
      <c r="V515" s="39" t="s">
        <v>46</v>
      </c>
      <c r="W515" s="40" t="s">
        <v>0</v>
      </c>
      <c r="X515" s="58">
        <v>600</v>
      </c>
      <c r="Y515" s="55">
        <f>IFERROR(IF(X515="",0,CEILING((X515/$H515),1)*$H515),"")</f>
        <v>601.92000000000007</v>
      </c>
      <c r="Z515" s="41">
        <f>IFERROR(IF(Y515=0,"",ROUNDUP(Y515/H515,0)*0.01196),"")</f>
        <v>1.36344</v>
      </c>
      <c r="AA515" s="68" t="s">
        <v>46</v>
      </c>
      <c r="AB515" s="69" t="s">
        <v>46</v>
      </c>
      <c r="AC515" s="616" t="s">
        <v>822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639.77272727272725</v>
      </c>
      <c r="BN515" s="78">
        <f>IFERROR(Y515*I515/H515,"0")</f>
        <v>641.82000000000005</v>
      </c>
      <c r="BO515" s="78">
        <f>IFERROR(1/J515*(X515/H515),"0")</f>
        <v>1.0926573426573427</v>
      </c>
      <c r="BP515" s="78">
        <f>IFERROR(1/J515*(Y515/H515),"0")</f>
        <v>1.0961538461538463</v>
      </c>
    </row>
    <row r="516" spans="1:68" ht="16.5" hidden="1" customHeight="1" x14ac:dyDescent="0.25">
      <c r="A516" s="63" t="s">
        <v>823</v>
      </c>
      <c r="B516" s="63" t="s">
        <v>824</v>
      </c>
      <c r="C516" s="36">
        <v>4301020374</v>
      </c>
      <c r="D516" s="655">
        <v>4680115886407</v>
      </c>
      <c r="E516" s="65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90</v>
      </c>
      <c r="L516" s="37" t="s">
        <v>46</v>
      </c>
      <c r="M516" s="38" t="s">
        <v>125</v>
      </c>
      <c r="N516" s="38"/>
      <c r="O516" s="37">
        <v>70</v>
      </c>
      <c r="P516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18" t="s">
        <v>822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16.5" hidden="1" customHeight="1" x14ac:dyDescent="0.25">
      <c r="A517" s="63" t="s">
        <v>825</v>
      </c>
      <c r="B517" s="63" t="s">
        <v>826</v>
      </c>
      <c r="C517" s="36">
        <v>4301020385</v>
      </c>
      <c r="D517" s="655">
        <v>4680115880054</v>
      </c>
      <c r="E517" s="65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133</v>
      </c>
      <c r="L517" s="37" t="s">
        <v>46</v>
      </c>
      <c r="M517" s="38" t="s">
        <v>125</v>
      </c>
      <c r="N517" s="38"/>
      <c r="O517" s="37">
        <v>70</v>
      </c>
      <c r="P517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0" t="s">
        <v>822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x14ac:dyDescent="0.2">
      <c r="A518" s="663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64"/>
      <c r="P518" s="660" t="s">
        <v>40</v>
      </c>
      <c r="Q518" s="661"/>
      <c r="R518" s="661"/>
      <c r="S518" s="661"/>
      <c r="T518" s="661"/>
      <c r="U518" s="661"/>
      <c r="V518" s="662"/>
      <c r="W518" s="42" t="s">
        <v>39</v>
      </c>
      <c r="X518" s="43">
        <f>IFERROR(X515/H515,"0")+IFERROR(X516/H516,"0")+IFERROR(X517/H517,"0")</f>
        <v>113.63636363636363</v>
      </c>
      <c r="Y518" s="43">
        <f>IFERROR(Y515/H515,"0")+IFERROR(Y516/H516,"0")+IFERROR(Y517/H517,"0")</f>
        <v>114.00000000000001</v>
      </c>
      <c r="Z518" s="43">
        <f>IFERROR(IF(Z515="",0,Z515),"0")+IFERROR(IF(Z516="",0,Z516),"0")+IFERROR(IF(Z517="",0,Z517),"0")</f>
        <v>1.36344</v>
      </c>
      <c r="AA518" s="67"/>
      <c r="AB518" s="67"/>
      <c r="AC518" s="67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64"/>
      <c r="P519" s="660" t="s">
        <v>40</v>
      </c>
      <c r="Q519" s="661"/>
      <c r="R519" s="661"/>
      <c r="S519" s="661"/>
      <c r="T519" s="661"/>
      <c r="U519" s="661"/>
      <c r="V519" s="662"/>
      <c r="W519" s="42" t="s">
        <v>0</v>
      </c>
      <c r="X519" s="43">
        <f>IFERROR(SUM(X515:X517),"0")</f>
        <v>600</v>
      </c>
      <c r="Y519" s="43">
        <f>IFERROR(SUM(Y515:Y517),"0")</f>
        <v>601.92000000000007</v>
      </c>
      <c r="Z519" s="42"/>
      <c r="AA519" s="67"/>
      <c r="AB519" s="67"/>
      <c r="AC519" s="67"/>
    </row>
    <row r="520" spans="1:68" ht="14.25" hidden="1" customHeight="1" x14ac:dyDescent="0.25">
      <c r="A520" s="654" t="s">
        <v>76</v>
      </c>
      <c r="B520" s="654"/>
      <c r="C520" s="654"/>
      <c r="D520" s="654"/>
      <c r="E520" s="654"/>
      <c r="F520" s="654"/>
      <c r="G520" s="654"/>
      <c r="H520" s="654"/>
      <c r="I520" s="654"/>
      <c r="J520" s="654"/>
      <c r="K520" s="654"/>
      <c r="L520" s="654"/>
      <c r="M520" s="654"/>
      <c r="N520" s="654"/>
      <c r="O520" s="654"/>
      <c r="P520" s="654"/>
      <c r="Q520" s="654"/>
      <c r="R520" s="654"/>
      <c r="S520" s="654"/>
      <c r="T520" s="654"/>
      <c r="U520" s="654"/>
      <c r="V520" s="654"/>
      <c r="W520" s="654"/>
      <c r="X520" s="654"/>
      <c r="Y520" s="654"/>
      <c r="Z520" s="654"/>
      <c r="AA520" s="66"/>
      <c r="AB520" s="66"/>
      <c r="AC520" s="80"/>
    </row>
    <row r="521" spans="1:68" ht="27" hidden="1" customHeight="1" x14ac:dyDescent="0.25">
      <c r="A521" s="63" t="s">
        <v>827</v>
      </c>
      <c r="B521" s="63" t="s">
        <v>828</v>
      </c>
      <c r="C521" s="36">
        <v>4301031349</v>
      </c>
      <c r="D521" s="655">
        <v>4680115883116</v>
      </c>
      <c r="E521" s="655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126</v>
      </c>
      <c r="L521" s="37" t="s">
        <v>46</v>
      </c>
      <c r="M521" s="38" t="s">
        <v>125</v>
      </c>
      <c r="N521" s="38"/>
      <c r="O521" s="37">
        <v>70</v>
      </c>
      <c r="P521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ref="Y521:Y527" si="88"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829</v>
      </c>
      <c r="AG521" s="78"/>
      <c r="AJ521" s="84" t="s">
        <v>46</v>
      </c>
      <c r="AK521" s="84">
        <v>0</v>
      </c>
      <c r="BB521" s="623" t="s">
        <v>67</v>
      </c>
      <c r="BM521" s="78">
        <f t="shared" ref="BM521:BM527" si="89">IFERROR(X521*I521/H521,"0")</f>
        <v>0</v>
      </c>
      <c r="BN521" s="78">
        <f t="shared" ref="BN521:BN527" si="90">IFERROR(Y521*I521/H521,"0")</f>
        <v>0</v>
      </c>
      <c r="BO521" s="78">
        <f t="shared" ref="BO521:BO527" si="91">IFERROR(1/J521*(X521/H521),"0")</f>
        <v>0</v>
      </c>
      <c r="BP521" s="78">
        <f t="shared" ref="BP521:BP527" si="92">IFERROR(1/J521*(Y521/H521),"0")</f>
        <v>0</v>
      </c>
    </row>
    <row r="522" spans="1:68" ht="27" hidden="1" customHeight="1" x14ac:dyDescent="0.25">
      <c r="A522" s="63" t="s">
        <v>830</v>
      </c>
      <c r="B522" s="63" t="s">
        <v>831</v>
      </c>
      <c r="C522" s="36">
        <v>4301031350</v>
      </c>
      <c r="D522" s="655">
        <v>4680115883093</v>
      </c>
      <c r="E522" s="65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126</v>
      </c>
      <c r="L522" s="37" t="s">
        <v>46</v>
      </c>
      <c r="M522" s="38" t="s">
        <v>80</v>
      </c>
      <c r="N522" s="38"/>
      <c r="O522" s="37">
        <v>70</v>
      </c>
      <c r="P522" s="68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8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832</v>
      </c>
      <c r="AG522" s="78"/>
      <c r="AJ522" s="84" t="s">
        <v>46</v>
      </c>
      <c r="AK522" s="84">
        <v>0</v>
      </c>
      <c r="BB522" s="625" t="s">
        <v>67</v>
      </c>
      <c r="BM522" s="78">
        <f t="shared" si="89"/>
        <v>0</v>
      </c>
      <c r="BN522" s="78">
        <f t="shared" si="90"/>
        <v>0</v>
      </c>
      <c r="BO522" s="78">
        <f t="shared" si="91"/>
        <v>0</v>
      </c>
      <c r="BP522" s="78">
        <f t="shared" si="92"/>
        <v>0</v>
      </c>
    </row>
    <row r="523" spans="1:68" ht="27" hidden="1" customHeight="1" x14ac:dyDescent="0.25">
      <c r="A523" s="63" t="s">
        <v>833</v>
      </c>
      <c r="B523" s="63" t="s">
        <v>834</v>
      </c>
      <c r="C523" s="36">
        <v>4301031353</v>
      </c>
      <c r="D523" s="655">
        <v>4680115883109</v>
      </c>
      <c r="E523" s="65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80</v>
      </c>
      <c r="N523" s="38"/>
      <c r="O523" s="37">
        <v>70</v>
      </c>
      <c r="P523" s="6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8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835</v>
      </c>
      <c r="AG523" s="78"/>
      <c r="AJ523" s="84" t="s">
        <v>46</v>
      </c>
      <c r="AK523" s="84">
        <v>0</v>
      </c>
      <c r="BB523" s="627" t="s">
        <v>67</v>
      </c>
      <c r="BM523" s="78">
        <f t="shared" si="89"/>
        <v>0</v>
      </c>
      <c r="BN523" s="78">
        <f t="shared" si="90"/>
        <v>0</v>
      </c>
      <c r="BO523" s="78">
        <f t="shared" si="91"/>
        <v>0</v>
      </c>
      <c r="BP523" s="78">
        <f t="shared" si="92"/>
        <v>0</v>
      </c>
    </row>
    <row r="524" spans="1:68" ht="27" hidden="1" customHeight="1" x14ac:dyDescent="0.25">
      <c r="A524" s="63" t="s">
        <v>836</v>
      </c>
      <c r="B524" s="63" t="s">
        <v>837</v>
      </c>
      <c r="C524" s="36">
        <v>4301031419</v>
      </c>
      <c r="D524" s="655">
        <v>4680115882072</v>
      </c>
      <c r="E524" s="65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133</v>
      </c>
      <c r="L524" s="37" t="s">
        <v>46</v>
      </c>
      <c r="M524" s="38" t="s">
        <v>125</v>
      </c>
      <c r="N524" s="38"/>
      <c r="O524" s="37">
        <v>70</v>
      </c>
      <c r="P524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8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829</v>
      </c>
      <c r="AG524" s="78"/>
      <c r="AJ524" s="84" t="s">
        <v>46</v>
      </c>
      <c r="AK524" s="84">
        <v>0</v>
      </c>
      <c r="BB524" s="629" t="s">
        <v>67</v>
      </c>
      <c r="BM524" s="78">
        <f t="shared" si="89"/>
        <v>0</v>
      </c>
      <c r="BN524" s="78">
        <f t="shared" si="90"/>
        <v>0</v>
      </c>
      <c r="BO524" s="78">
        <f t="shared" si="91"/>
        <v>0</v>
      </c>
      <c r="BP524" s="78">
        <f t="shared" si="92"/>
        <v>0</v>
      </c>
    </row>
    <row r="525" spans="1:68" ht="27" hidden="1" customHeight="1" x14ac:dyDescent="0.25">
      <c r="A525" s="63" t="s">
        <v>838</v>
      </c>
      <c r="B525" s="63" t="s">
        <v>839</v>
      </c>
      <c r="C525" s="36">
        <v>4301031352</v>
      </c>
      <c r="D525" s="655">
        <v>4680115882102</v>
      </c>
      <c r="E525" s="655"/>
      <c r="F525" s="62">
        <v>0.6</v>
      </c>
      <c r="G525" s="37">
        <v>6</v>
      </c>
      <c r="H525" s="62">
        <v>3.6</v>
      </c>
      <c r="I525" s="62">
        <v>3.79</v>
      </c>
      <c r="J525" s="37">
        <v>132</v>
      </c>
      <c r="K525" s="37" t="s">
        <v>133</v>
      </c>
      <c r="L525" s="37" t="s">
        <v>46</v>
      </c>
      <c r="M525" s="38" t="s">
        <v>80</v>
      </c>
      <c r="N525" s="38"/>
      <c r="O525" s="37">
        <v>70</v>
      </c>
      <c r="P525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8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832</v>
      </c>
      <c r="AG525" s="78"/>
      <c r="AJ525" s="84" t="s">
        <v>46</v>
      </c>
      <c r="AK525" s="84">
        <v>0</v>
      </c>
      <c r="BB525" s="631" t="s">
        <v>67</v>
      </c>
      <c r="BM525" s="78">
        <f t="shared" si="89"/>
        <v>0</v>
      </c>
      <c r="BN525" s="78">
        <f t="shared" si="90"/>
        <v>0</v>
      </c>
      <c r="BO525" s="78">
        <f t="shared" si="91"/>
        <v>0</v>
      </c>
      <c r="BP525" s="78">
        <f t="shared" si="92"/>
        <v>0</v>
      </c>
    </row>
    <row r="526" spans="1:68" ht="27" hidden="1" customHeight="1" x14ac:dyDescent="0.25">
      <c r="A526" s="63" t="s">
        <v>838</v>
      </c>
      <c r="B526" s="63" t="s">
        <v>840</v>
      </c>
      <c r="C526" s="36">
        <v>4301031418</v>
      </c>
      <c r="D526" s="655">
        <v>4680115882102</v>
      </c>
      <c r="E526" s="655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133</v>
      </c>
      <c r="L526" s="37" t="s">
        <v>46</v>
      </c>
      <c r="M526" s="38" t="s">
        <v>80</v>
      </c>
      <c r="N526" s="38"/>
      <c r="O526" s="37">
        <v>70</v>
      </c>
      <c r="P526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8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832</v>
      </c>
      <c r="AG526" s="78"/>
      <c r="AJ526" s="84" t="s">
        <v>46</v>
      </c>
      <c r="AK526" s="84">
        <v>0</v>
      </c>
      <c r="BB526" s="633" t="s">
        <v>67</v>
      </c>
      <c r="BM526" s="78">
        <f t="shared" si="89"/>
        <v>0</v>
      </c>
      <c r="BN526" s="78">
        <f t="shared" si="90"/>
        <v>0</v>
      </c>
      <c r="BO526" s="78">
        <f t="shared" si="91"/>
        <v>0</v>
      </c>
      <c r="BP526" s="78">
        <f t="shared" si="92"/>
        <v>0</v>
      </c>
    </row>
    <row r="527" spans="1:68" ht="27" hidden="1" customHeight="1" x14ac:dyDescent="0.25">
      <c r="A527" s="63" t="s">
        <v>841</v>
      </c>
      <c r="B527" s="63" t="s">
        <v>842</v>
      </c>
      <c r="C527" s="36">
        <v>4301031417</v>
      </c>
      <c r="D527" s="655">
        <v>4680115882096</v>
      </c>
      <c r="E527" s="655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8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835</v>
      </c>
      <c r="AG527" s="78"/>
      <c r="AJ527" s="84" t="s">
        <v>46</v>
      </c>
      <c r="AK527" s="84">
        <v>0</v>
      </c>
      <c r="BB527" s="635" t="s">
        <v>67</v>
      </c>
      <c r="BM527" s="78">
        <f t="shared" si="89"/>
        <v>0</v>
      </c>
      <c r="BN527" s="78">
        <f t="shared" si="90"/>
        <v>0</v>
      </c>
      <c r="BO527" s="78">
        <f t="shared" si="91"/>
        <v>0</v>
      </c>
      <c r="BP527" s="78">
        <f t="shared" si="92"/>
        <v>0</v>
      </c>
    </row>
    <row r="528" spans="1:68" hidden="1" x14ac:dyDescent="0.2">
      <c r="A528" s="663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64"/>
      <c r="P528" s="660" t="s">
        <v>40</v>
      </c>
      <c r="Q528" s="661"/>
      <c r="R528" s="661"/>
      <c r="S528" s="661"/>
      <c r="T528" s="661"/>
      <c r="U528" s="661"/>
      <c r="V528" s="662"/>
      <c r="W528" s="42" t="s">
        <v>39</v>
      </c>
      <c r="X528" s="43">
        <f>IFERROR(X521/H521,"0")+IFERROR(X522/H522,"0")+IFERROR(X523/H523,"0")+IFERROR(X524/H524,"0")+IFERROR(X525/H525,"0")+IFERROR(X526/H526,"0")+IFERROR(X527/H527,"0")</f>
        <v>0</v>
      </c>
      <c r="Y528" s="43">
        <f>IFERROR(Y521/H521,"0")+IFERROR(Y522/H522,"0")+IFERROR(Y523/H523,"0")+IFERROR(Y524/H524,"0")+IFERROR(Y525/H525,"0")+IFERROR(Y526/H526,"0")+IFERROR(Y527/H527,"0")</f>
        <v>0</v>
      </c>
      <c r="Z528" s="43">
        <f>IFERROR(IF(Z521="",0,Z521),"0")+IFERROR(IF(Z522="",0,Z522),"0")+IFERROR(IF(Z523="",0,Z523),"0")+IFERROR(IF(Z524="",0,Z524),"0")+IFERROR(IF(Z525="",0,Z525),"0")+IFERROR(IF(Z526="",0,Z526),"0")+IFERROR(IF(Z527="",0,Z527),"0")</f>
        <v>0</v>
      </c>
      <c r="AA528" s="67"/>
      <c r="AB528" s="67"/>
      <c r="AC528" s="67"/>
    </row>
    <row r="529" spans="1:68" hidden="1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4"/>
      <c r="P529" s="660" t="s">
        <v>40</v>
      </c>
      <c r="Q529" s="661"/>
      <c r="R529" s="661"/>
      <c r="S529" s="661"/>
      <c r="T529" s="661"/>
      <c r="U529" s="661"/>
      <c r="V529" s="662"/>
      <c r="W529" s="42" t="s">
        <v>0</v>
      </c>
      <c r="X529" s="43">
        <f>IFERROR(SUM(X521:X527),"0")</f>
        <v>0</v>
      </c>
      <c r="Y529" s="43">
        <f>IFERROR(SUM(Y521:Y527),"0")</f>
        <v>0</v>
      </c>
      <c r="Z529" s="42"/>
      <c r="AA529" s="67"/>
      <c r="AB529" s="67"/>
      <c r="AC529" s="67"/>
    </row>
    <row r="530" spans="1:68" ht="27.75" hidden="1" customHeight="1" x14ac:dyDescent="0.2">
      <c r="A530" s="678" t="s">
        <v>843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54"/>
      <c r="AB530" s="54"/>
      <c r="AC530" s="54"/>
    </row>
    <row r="531" spans="1:68" ht="16.5" hidden="1" customHeight="1" x14ac:dyDescent="0.25">
      <c r="A531" s="665" t="s">
        <v>843</v>
      </c>
      <c r="B531" s="665"/>
      <c r="C531" s="665"/>
      <c r="D531" s="665"/>
      <c r="E531" s="665"/>
      <c r="F531" s="665"/>
      <c r="G531" s="665"/>
      <c r="H531" s="665"/>
      <c r="I531" s="665"/>
      <c r="J531" s="665"/>
      <c r="K531" s="665"/>
      <c r="L531" s="665"/>
      <c r="M531" s="665"/>
      <c r="N531" s="665"/>
      <c r="O531" s="665"/>
      <c r="P531" s="665"/>
      <c r="Q531" s="665"/>
      <c r="R531" s="665"/>
      <c r="S531" s="665"/>
      <c r="T531" s="665"/>
      <c r="U531" s="665"/>
      <c r="V531" s="665"/>
      <c r="W531" s="665"/>
      <c r="X531" s="665"/>
      <c r="Y531" s="665"/>
      <c r="Z531" s="665"/>
      <c r="AA531" s="65"/>
      <c r="AB531" s="65"/>
      <c r="AC531" s="79"/>
    </row>
    <row r="532" spans="1:68" ht="14.25" hidden="1" customHeight="1" x14ac:dyDescent="0.25">
      <c r="A532" s="654" t="s">
        <v>121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hidden="1" customHeight="1" x14ac:dyDescent="0.25">
      <c r="A533" s="63" t="s">
        <v>844</v>
      </c>
      <c r="B533" s="63" t="s">
        <v>845</v>
      </c>
      <c r="C533" s="36">
        <v>4301012386</v>
      </c>
      <c r="D533" s="655">
        <v>4680115889736</v>
      </c>
      <c r="E533" s="655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126</v>
      </c>
      <c r="L533" s="37" t="s">
        <v>46</v>
      </c>
      <c r="M533" s="38" t="s">
        <v>125</v>
      </c>
      <c r="N533" s="38"/>
      <c r="O533" s="37">
        <v>50</v>
      </c>
      <c r="P533" s="67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846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63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64"/>
      <c r="P534" s="660" t="s">
        <v>40</v>
      </c>
      <c r="Q534" s="661"/>
      <c r="R534" s="661"/>
      <c r="S534" s="661"/>
      <c r="T534" s="661"/>
      <c r="U534" s="661"/>
      <c r="V534" s="66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64"/>
      <c r="P535" s="660" t="s">
        <v>40</v>
      </c>
      <c r="Q535" s="661"/>
      <c r="R535" s="661"/>
      <c r="S535" s="661"/>
      <c r="T535" s="661"/>
      <c r="U535" s="661"/>
      <c r="V535" s="66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54" t="s">
        <v>158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hidden="1" customHeight="1" x14ac:dyDescent="0.25">
      <c r="A537" s="63" t="s">
        <v>847</v>
      </c>
      <c r="B537" s="63" t="s">
        <v>848</v>
      </c>
      <c r="C537" s="36">
        <v>4301020444</v>
      </c>
      <c r="D537" s="655">
        <v>4680115889781</v>
      </c>
      <c r="E537" s="655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126</v>
      </c>
      <c r="L537" s="37" t="s">
        <v>46</v>
      </c>
      <c r="M537" s="38" t="s">
        <v>89</v>
      </c>
      <c r="N537" s="38"/>
      <c r="O537" s="37">
        <v>50</v>
      </c>
      <c r="P537" s="671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8" t="s">
        <v>722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64"/>
      <c r="P539" s="660" t="s">
        <v>40</v>
      </c>
      <c r="Q539" s="661"/>
      <c r="R539" s="661"/>
      <c r="S539" s="661"/>
      <c r="T539" s="661"/>
      <c r="U539" s="661"/>
      <c r="V539" s="66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54" t="s">
        <v>76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hidden="1" customHeight="1" x14ac:dyDescent="0.25">
      <c r="A541" s="63" t="s">
        <v>849</v>
      </c>
      <c r="B541" s="63" t="s">
        <v>850</v>
      </c>
      <c r="C541" s="36">
        <v>4301031523</v>
      </c>
      <c r="D541" s="655">
        <v>4680115889774</v>
      </c>
      <c r="E541" s="655"/>
      <c r="F541" s="62">
        <v>0.7</v>
      </c>
      <c r="G541" s="37">
        <v>6</v>
      </c>
      <c r="H541" s="62">
        <v>4.2</v>
      </c>
      <c r="I541" s="62">
        <v>4.45</v>
      </c>
      <c r="J541" s="37">
        <v>132</v>
      </c>
      <c r="K541" s="37" t="s">
        <v>133</v>
      </c>
      <c r="L541" s="37" t="s">
        <v>46</v>
      </c>
      <c r="M541" s="38" t="s">
        <v>80</v>
      </c>
      <c r="N541" s="38"/>
      <c r="O541" s="37">
        <v>40</v>
      </c>
      <c r="P541" s="67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IFERROR(IF(Y541=0,"",ROUNDUP(Y541/H541,0)*0.00902),"")</f>
        <v/>
      </c>
      <c r="AA541" s="68" t="s">
        <v>46</v>
      </c>
      <c r="AB541" s="69" t="s">
        <v>46</v>
      </c>
      <c r="AC541" s="640" t="s">
        <v>851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64"/>
      <c r="P543" s="660" t="s">
        <v>40</v>
      </c>
      <c r="Q543" s="661"/>
      <c r="R543" s="661"/>
      <c r="S543" s="661"/>
      <c r="T543" s="661"/>
      <c r="U543" s="661"/>
      <c r="V543" s="662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54" t="s">
        <v>85</v>
      </c>
      <c r="B544" s="654"/>
      <c r="C544" s="654"/>
      <c r="D544" s="654"/>
      <c r="E544" s="654"/>
      <c r="F544" s="654"/>
      <c r="G544" s="654"/>
      <c r="H544" s="654"/>
      <c r="I544" s="654"/>
      <c r="J544" s="654"/>
      <c r="K544" s="654"/>
      <c r="L544" s="654"/>
      <c r="M544" s="654"/>
      <c r="N544" s="654"/>
      <c r="O544" s="654"/>
      <c r="P544" s="654"/>
      <c r="Q544" s="654"/>
      <c r="R544" s="654"/>
      <c r="S544" s="654"/>
      <c r="T544" s="654"/>
      <c r="U544" s="654"/>
      <c r="V544" s="654"/>
      <c r="W544" s="654"/>
      <c r="X544" s="654"/>
      <c r="Y544" s="654"/>
      <c r="Z544" s="654"/>
      <c r="AA544" s="66"/>
      <c r="AB544" s="66"/>
      <c r="AC544" s="80"/>
    </row>
    <row r="545" spans="1:68" ht="27" hidden="1" customHeight="1" x14ac:dyDescent="0.25">
      <c r="A545" s="63" t="s">
        <v>852</v>
      </c>
      <c r="B545" s="63" t="s">
        <v>853</v>
      </c>
      <c r="C545" s="36">
        <v>4301052282</v>
      </c>
      <c r="D545" s="655">
        <v>4680115889811</v>
      </c>
      <c r="E545" s="655"/>
      <c r="F545" s="62">
        <v>1.5</v>
      </c>
      <c r="G545" s="37">
        <v>6</v>
      </c>
      <c r="H545" s="62">
        <v>9</v>
      </c>
      <c r="I545" s="62">
        <v>9.4939999999999998</v>
      </c>
      <c r="J545" s="37">
        <v>64</v>
      </c>
      <c r="K545" s="37" t="s">
        <v>126</v>
      </c>
      <c r="L545" s="37" t="s">
        <v>46</v>
      </c>
      <c r="M545" s="38" t="s">
        <v>89</v>
      </c>
      <c r="N545" s="38"/>
      <c r="O545" s="37">
        <v>45</v>
      </c>
      <c r="P545" s="67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854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39</v>
      </c>
      <c r="X546" s="43">
        <f>IFERROR(X545/H545,"0")</f>
        <v>0</v>
      </c>
      <c r="Y546" s="43">
        <f>IFERROR(Y545/H545,"0")</f>
        <v>0</v>
      </c>
      <c r="Z546" s="43">
        <f>IFERROR(IF(Z545="",0,Z545),"0")</f>
        <v>0</v>
      </c>
      <c r="AA546" s="67"/>
      <c r="AB546" s="67"/>
      <c r="AC546" s="67"/>
    </row>
    <row r="547" spans="1:68" hidden="1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64"/>
      <c r="P547" s="660" t="s">
        <v>40</v>
      </c>
      <c r="Q547" s="661"/>
      <c r="R547" s="661"/>
      <c r="S547" s="661"/>
      <c r="T547" s="661"/>
      <c r="U547" s="661"/>
      <c r="V547" s="662"/>
      <c r="W547" s="42" t="s">
        <v>0</v>
      </c>
      <c r="X547" s="43">
        <f>IFERROR(SUM(X545:X545),"0")</f>
        <v>0</v>
      </c>
      <c r="Y547" s="43">
        <f>IFERROR(SUM(Y545:Y545),"0")</f>
        <v>0</v>
      </c>
      <c r="Z547" s="42"/>
      <c r="AA547" s="67"/>
      <c r="AB547" s="67"/>
      <c r="AC547" s="67"/>
    </row>
    <row r="548" spans="1:68" ht="14.25" hidden="1" customHeight="1" x14ac:dyDescent="0.25">
      <c r="A548" s="654" t="s">
        <v>177</v>
      </c>
      <c r="B548" s="654"/>
      <c r="C548" s="654"/>
      <c r="D548" s="654"/>
      <c r="E548" s="654"/>
      <c r="F548" s="654"/>
      <c r="G548" s="654"/>
      <c r="H548" s="654"/>
      <c r="I548" s="654"/>
      <c r="J548" s="654"/>
      <c r="K548" s="654"/>
      <c r="L548" s="654"/>
      <c r="M548" s="654"/>
      <c r="N548" s="654"/>
      <c r="O548" s="654"/>
      <c r="P548" s="654"/>
      <c r="Q548" s="654"/>
      <c r="R548" s="654"/>
      <c r="S548" s="654"/>
      <c r="T548" s="654"/>
      <c r="U548" s="654"/>
      <c r="V548" s="654"/>
      <c r="W548" s="654"/>
      <c r="X548" s="654"/>
      <c r="Y548" s="654"/>
      <c r="Z548" s="654"/>
      <c r="AA548" s="66"/>
      <c r="AB548" s="66"/>
      <c r="AC548" s="80"/>
    </row>
    <row r="549" spans="1:68" ht="27" hidden="1" customHeight="1" x14ac:dyDescent="0.25">
      <c r="A549" s="63" t="s">
        <v>855</v>
      </c>
      <c r="B549" s="63" t="s">
        <v>856</v>
      </c>
      <c r="C549" s="36">
        <v>4301060543</v>
      </c>
      <c r="D549" s="655">
        <v>4680115889804</v>
      </c>
      <c r="E549" s="655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126</v>
      </c>
      <c r="L549" s="37" t="s">
        <v>46</v>
      </c>
      <c r="M549" s="38" t="s">
        <v>89</v>
      </c>
      <c r="N549" s="38"/>
      <c r="O549" s="37">
        <v>40</v>
      </c>
      <c r="P549" s="65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857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t="27" hidden="1" customHeight="1" x14ac:dyDescent="0.25">
      <c r="A550" s="63" t="s">
        <v>858</v>
      </c>
      <c r="B550" s="63" t="s">
        <v>859</v>
      </c>
      <c r="C550" s="36">
        <v>4301060544</v>
      </c>
      <c r="D550" s="655">
        <v>4680115889828</v>
      </c>
      <c r="E550" s="655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126</v>
      </c>
      <c r="L550" s="37" t="s">
        <v>46</v>
      </c>
      <c r="M550" s="38" t="s">
        <v>89</v>
      </c>
      <c r="N550" s="38"/>
      <c r="O550" s="37">
        <v>40</v>
      </c>
      <c r="P550" s="659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860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63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64"/>
      <c r="P551" s="660" t="s">
        <v>40</v>
      </c>
      <c r="Q551" s="661"/>
      <c r="R551" s="661"/>
      <c r="S551" s="661"/>
      <c r="T551" s="661"/>
      <c r="U551" s="661"/>
      <c r="V551" s="662"/>
      <c r="W551" s="42" t="s">
        <v>39</v>
      </c>
      <c r="X551" s="43">
        <f>IFERROR(X549/H549,"0")+IFERROR(X550/H550,"0")</f>
        <v>0</v>
      </c>
      <c r="Y551" s="43">
        <f>IFERROR(Y549/H549,"0")+IFERROR(Y550/H550,"0")</f>
        <v>0</v>
      </c>
      <c r="Z551" s="43">
        <f>IFERROR(IF(Z549="",0,Z549),"0")+IFERROR(IF(Z550="",0,Z550),"0")</f>
        <v>0</v>
      </c>
      <c r="AA551" s="67"/>
      <c r="AB551" s="67"/>
      <c r="AC551" s="67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64"/>
      <c r="P552" s="660" t="s">
        <v>40</v>
      </c>
      <c r="Q552" s="661"/>
      <c r="R552" s="661"/>
      <c r="S552" s="661"/>
      <c r="T552" s="661"/>
      <c r="U552" s="661"/>
      <c r="V552" s="662"/>
      <c r="W552" s="42" t="s">
        <v>0</v>
      </c>
      <c r="X552" s="43">
        <f>IFERROR(SUM(X549:X550),"0")</f>
        <v>0</v>
      </c>
      <c r="Y552" s="43">
        <f>IFERROR(SUM(Y549:Y550),"0")</f>
        <v>0</v>
      </c>
      <c r="Z552" s="42"/>
      <c r="AA552" s="67"/>
      <c r="AB552" s="67"/>
      <c r="AC552" s="67"/>
    </row>
    <row r="553" spans="1:68" ht="16.5" hidden="1" customHeight="1" x14ac:dyDescent="0.25">
      <c r="A553" s="665" t="s">
        <v>861</v>
      </c>
      <c r="B553" s="665"/>
      <c r="C553" s="665"/>
      <c r="D553" s="665"/>
      <c r="E553" s="665"/>
      <c r="F553" s="665"/>
      <c r="G553" s="665"/>
      <c r="H553" s="665"/>
      <c r="I553" s="665"/>
      <c r="J553" s="665"/>
      <c r="K553" s="665"/>
      <c r="L553" s="665"/>
      <c r="M553" s="665"/>
      <c r="N553" s="665"/>
      <c r="O553" s="665"/>
      <c r="P553" s="665"/>
      <c r="Q553" s="665"/>
      <c r="R553" s="665"/>
      <c r="S553" s="665"/>
      <c r="T553" s="665"/>
      <c r="U553" s="665"/>
      <c r="V553" s="665"/>
      <c r="W553" s="665"/>
      <c r="X553" s="665"/>
      <c r="Y553" s="665"/>
      <c r="Z553" s="665"/>
      <c r="AA553" s="65"/>
      <c r="AB553" s="65"/>
      <c r="AC553" s="79"/>
    </row>
    <row r="554" spans="1:68" ht="14.25" hidden="1" customHeight="1" x14ac:dyDescent="0.25">
      <c r="A554" s="654" t="s">
        <v>158</v>
      </c>
      <c r="B554" s="654"/>
      <c r="C554" s="654"/>
      <c r="D554" s="654"/>
      <c r="E554" s="654"/>
      <c r="F554" s="654"/>
      <c r="G554" s="654"/>
      <c r="H554" s="654"/>
      <c r="I554" s="654"/>
      <c r="J554" s="654"/>
      <c r="K554" s="654"/>
      <c r="L554" s="654"/>
      <c r="M554" s="654"/>
      <c r="N554" s="654"/>
      <c r="O554" s="654"/>
      <c r="P554" s="654"/>
      <c r="Q554" s="654"/>
      <c r="R554" s="654"/>
      <c r="S554" s="654"/>
      <c r="T554" s="654"/>
      <c r="U554" s="654"/>
      <c r="V554" s="654"/>
      <c r="W554" s="654"/>
      <c r="X554" s="654"/>
      <c r="Y554" s="654"/>
      <c r="Z554" s="654"/>
      <c r="AA554" s="66"/>
      <c r="AB554" s="66"/>
      <c r="AC554" s="80"/>
    </row>
    <row r="555" spans="1:68" ht="27" hidden="1" customHeight="1" x14ac:dyDescent="0.25">
      <c r="A555" s="63" t="s">
        <v>862</v>
      </c>
      <c r="B555" s="63" t="s">
        <v>863</v>
      </c>
      <c r="C555" s="36">
        <v>4301020441</v>
      </c>
      <c r="D555" s="655">
        <v>4680115889798</v>
      </c>
      <c r="E555" s="655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126</v>
      </c>
      <c r="L555" s="37" t="s">
        <v>46</v>
      </c>
      <c r="M555" s="38" t="s">
        <v>125</v>
      </c>
      <c r="N555" s="38"/>
      <c r="O555" s="37">
        <v>50</v>
      </c>
      <c r="P555" s="666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864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3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64"/>
      <c r="P556" s="660" t="s">
        <v>40</v>
      </c>
      <c r="Q556" s="661"/>
      <c r="R556" s="661"/>
      <c r="S556" s="661"/>
      <c r="T556" s="661"/>
      <c r="U556" s="661"/>
      <c r="V556" s="662"/>
      <c r="W556" s="42" t="s">
        <v>39</v>
      </c>
      <c r="X556" s="43">
        <f>IFERROR(X555/H555,"0")</f>
        <v>0</v>
      </c>
      <c r="Y556" s="43">
        <f>IFERROR(Y555/H555,"0")</f>
        <v>0</v>
      </c>
      <c r="Z556" s="43">
        <f>IFERROR(IF(Z555="",0,Z555),"0")</f>
        <v>0</v>
      </c>
      <c r="AA556" s="67"/>
      <c r="AB556" s="67"/>
      <c r="AC556" s="67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64"/>
      <c r="P557" s="660" t="s">
        <v>40</v>
      </c>
      <c r="Q557" s="661"/>
      <c r="R557" s="661"/>
      <c r="S557" s="661"/>
      <c r="T557" s="661"/>
      <c r="U557" s="661"/>
      <c r="V557" s="662"/>
      <c r="W557" s="42" t="s">
        <v>0</v>
      </c>
      <c r="X557" s="43">
        <f>IFERROR(SUM(X555:X555),"0")</f>
        <v>0</v>
      </c>
      <c r="Y557" s="43">
        <f>IFERROR(SUM(Y555:Y555),"0")</f>
        <v>0</v>
      </c>
      <c r="Z557" s="42"/>
      <c r="AA557" s="67"/>
      <c r="AB557" s="67"/>
      <c r="AC557" s="67"/>
    </row>
    <row r="558" spans="1:68" ht="15" customHeight="1" x14ac:dyDescent="0.2">
      <c r="A558" s="663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670"/>
      <c r="P558" s="667" t="s">
        <v>33</v>
      </c>
      <c r="Q558" s="668"/>
      <c r="R558" s="668"/>
      <c r="S558" s="668"/>
      <c r="T558" s="668"/>
      <c r="U558" s="668"/>
      <c r="V558" s="669"/>
      <c r="W558" s="42" t="s">
        <v>0</v>
      </c>
      <c r="X558" s="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3100</v>
      </c>
      <c r="Y558" s="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3111.66</v>
      </c>
      <c r="Z558" s="42"/>
      <c r="AA558" s="67"/>
      <c r="AB558" s="67"/>
      <c r="AC558" s="67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70"/>
      <c r="P559" s="667" t="s">
        <v>34</v>
      </c>
      <c r="Q559" s="668"/>
      <c r="R559" s="668"/>
      <c r="S559" s="668"/>
      <c r="T559" s="668"/>
      <c r="U559" s="668"/>
      <c r="V559" s="669"/>
      <c r="W559" s="42" t="s">
        <v>0</v>
      </c>
      <c r="X559" s="43">
        <f>IFERROR(SUM(BM22:BM555),"0")</f>
        <v>3259.9223905723902</v>
      </c>
      <c r="Y559" s="43">
        <f>IFERROR(SUM(BN22:BN555),"0")</f>
        <v>3272.31</v>
      </c>
      <c r="Z559" s="42"/>
      <c r="AA559" s="67"/>
      <c r="AB559" s="67"/>
      <c r="AC559" s="67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70"/>
      <c r="P560" s="667" t="s">
        <v>35</v>
      </c>
      <c r="Q560" s="668"/>
      <c r="R560" s="668"/>
      <c r="S560" s="668"/>
      <c r="T560" s="668"/>
      <c r="U560" s="668"/>
      <c r="V560" s="669"/>
      <c r="W560" s="42" t="s">
        <v>20</v>
      </c>
      <c r="X560" s="44">
        <f>ROUNDUP(SUM(BO22:BO555),0)</f>
        <v>6</v>
      </c>
      <c r="Y560" s="44">
        <f>ROUNDUP(SUM(BP22:BP555),0)</f>
        <v>6</v>
      </c>
      <c r="Z560" s="42"/>
      <c r="AA560" s="67"/>
      <c r="AB560" s="67"/>
      <c r="AC560" s="67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0"/>
      <c r="P561" s="667" t="s">
        <v>36</v>
      </c>
      <c r="Q561" s="668"/>
      <c r="R561" s="668"/>
      <c r="S561" s="668"/>
      <c r="T561" s="668"/>
      <c r="U561" s="668"/>
      <c r="V561" s="669"/>
      <c r="W561" s="42" t="s">
        <v>0</v>
      </c>
      <c r="X561" s="43">
        <f>GrossWeightTotal+PalletQtyTotal*25</f>
        <v>3409.9223905723902</v>
      </c>
      <c r="Y561" s="43">
        <f>GrossWeightTotalR+PalletQtyTotalR*25</f>
        <v>3422.31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0"/>
      <c r="P562" s="667" t="s">
        <v>37</v>
      </c>
      <c r="Q562" s="668"/>
      <c r="R562" s="668"/>
      <c r="S562" s="668"/>
      <c r="T562" s="668"/>
      <c r="U562" s="668"/>
      <c r="V562" s="669"/>
      <c r="W562" s="42" t="s">
        <v>20</v>
      </c>
      <c r="X562" s="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400.28619528619527</v>
      </c>
      <c r="Y562" s="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402</v>
      </c>
      <c r="Z562" s="42"/>
      <c r="AA562" s="67"/>
      <c r="AB562" s="67"/>
      <c r="AC562" s="67"/>
    </row>
    <row r="563" spans="1:32" ht="14.25" hidden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0"/>
      <c r="P563" s="667" t="s">
        <v>38</v>
      </c>
      <c r="Q563" s="668"/>
      <c r="R563" s="668"/>
      <c r="S563" s="668"/>
      <c r="T563" s="668"/>
      <c r="U563" s="668"/>
      <c r="V563" s="669"/>
      <c r="W563" s="45" t="s">
        <v>52</v>
      </c>
      <c r="X563" s="42"/>
      <c r="Y563" s="42"/>
      <c r="Z563" s="42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6.1176199999999996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75</v>
      </c>
      <c r="C565" s="85" t="s">
        <v>45</v>
      </c>
      <c r="D565" s="650" t="s">
        <v>119</v>
      </c>
      <c r="E565" s="650" t="s">
        <v>119</v>
      </c>
      <c r="F565" s="650" t="s">
        <v>119</v>
      </c>
      <c r="G565" s="650" t="s">
        <v>119</v>
      </c>
      <c r="H565" s="650" t="s">
        <v>119</v>
      </c>
      <c r="I565" s="650" t="s">
        <v>119</v>
      </c>
      <c r="J565" s="650" t="s">
        <v>119</v>
      </c>
      <c r="K565" s="650" t="s">
        <v>345</v>
      </c>
      <c r="L565" s="650" t="s">
        <v>345</v>
      </c>
      <c r="M565" s="650" t="s">
        <v>345</v>
      </c>
      <c r="N565" s="651"/>
      <c r="O565" s="650" t="s">
        <v>345</v>
      </c>
      <c r="P565" s="650" t="s">
        <v>345</v>
      </c>
      <c r="Q565" s="650" t="s">
        <v>345</v>
      </c>
      <c r="R565" s="650" t="s">
        <v>345</v>
      </c>
      <c r="S565" s="650" t="s">
        <v>345</v>
      </c>
      <c r="T565" s="650" t="s">
        <v>345</v>
      </c>
      <c r="U565" s="650" t="s">
        <v>345</v>
      </c>
      <c r="V565" s="650" t="s">
        <v>345</v>
      </c>
      <c r="W565" s="650" t="s">
        <v>694</v>
      </c>
      <c r="X565" s="650" t="s">
        <v>694</v>
      </c>
      <c r="Y565" s="650" t="s">
        <v>760</v>
      </c>
      <c r="Z565" s="650" t="s">
        <v>760</v>
      </c>
      <c r="AA565" s="85" t="s">
        <v>796</v>
      </c>
      <c r="AB565" s="650" t="s">
        <v>843</v>
      </c>
      <c r="AC565" s="650" t="s">
        <v>843</v>
      </c>
      <c r="AF565" s="1"/>
    </row>
    <row r="566" spans="1:32" ht="14.25" customHeight="1" thickTop="1" x14ac:dyDescent="0.2">
      <c r="A566" s="652" t="s">
        <v>10</v>
      </c>
      <c r="B566" s="650" t="s">
        <v>75</v>
      </c>
      <c r="C566" s="650" t="s">
        <v>103</v>
      </c>
      <c r="D566" s="650" t="s">
        <v>120</v>
      </c>
      <c r="E566" s="650" t="s">
        <v>136</v>
      </c>
      <c r="F566" s="650" t="s">
        <v>185</v>
      </c>
      <c r="G566" s="650" t="s">
        <v>209</v>
      </c>
      <c r="H566" s="650" t="s">
        <v>249</v>
      </c>
      <c r="I566" s="650" t="s">
        <v>262</v>
      </c>
      <c r="J566" s="650" t="s">
        <v>119</v>
      </c>
      <c r="K566" s="650" t="s">
        <v>346</v>
      </c>
      <c r="L566" s="650" t="s">
        <v>367</v>
      </c>
      <c r="M566" s="650" t="s">
        <v>438</v>
      </c>
      <c r="N566" s="1"/>
      <c r="O566" s="650" t="s">
        <v>506</v>
      </c>
      <c r="P566" s="650" t="s">
        <v>535</v>
      </c>
      <c r="Q566" s="650" t="s">
        <v>554</v>
      </c>
      <c r="R566" s="650" t="s">
        <v>563</v>
      </c>
      <c r="S566" s="650" t="s">
        <v>582</v>
      </c>
      <c r="T566" s="650" t="s">
        <v>591</v>
      </c>
      <c r="U566" s="650" t="s">
        <v>677</v>
      </c>
      <c r="V566" s="650" t="s">
        <v>684</v>
      </c>
      <c r="W566" s="650" t="s">
        <v>695</v>
      </c>
      <c r="X566" s="650" t="s">
        <v>744</v>
      </c>
      <c r="Y566" s="650" t="s">
        <v>761</v>
      </c>
      <c r="Z566" s="650" t="s">
        <v>784</v>
      </c>
      <c r="AA566" s="650" t="s">
        <v>796</v>
      </c>
      <c r="AB566" s="650" t="s">
        <v>843</v>
      </c>
      <c r="AC566" s="650" t="s">
        <v>861</v>
      </c>
      <c r="AF566" s="1"/>
    </row>
    <row r="567" spans="1:32" ht="13.5" thickBot="1" x14ac:dyDescent="0.25">
      <c r="A567" s="653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8" s="52">
        <f>IFERROR(Y87*1,"0")+IFERROR(Y88*1,"0")+IFERROR(Y89*1,"0")+IFERROR(Y90*1,"0")+IFERROR(Y91*1,"0")+IFERROR(Y92*1,"0")+IFERROR(Y96*1,"0")+IFERROR(Y97*1,"0")+IFERROR(Y98*1,"0")+IFERROR(Y99*1,"0")</f>
        <v>0</v>
      </c>
      <c r="G568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607.5</v>
      </c>
      <c r="H568" s="52">
        <f>IFERROR(Y134*1,"0")+IFERROR(Y135*1,"0")+IFERROR(Y139*1,"0")+IFERROR(Y140*1,"0")+IFERROR(Y144*1,"0")+IFERROR(Y145*1,"0")</f>
        <v>0</v>
      </c>
      <c r="I568" s="52">
        <f>IFERROR(Y150*1,"0")+IFERROR(Y151*1,"0")+IFERROR(Y152*1,"0")+IFERROR(Y153*1,"0")+IFERROR(Y154*1,"0")+IFERROR(Y155*1,"0")+IFERROR(Y159*1,"0")</f>
        <v>0</v>
      </c>
      <c r="J568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8" s="52">
        <f>IFERROR(Y206*1,"0")+IFERROR(Y207*1,"0")+IFERROR(Y208*1,"0")+IFERROR(Y209*1,"0")+IFERROR(Y210*1,"0")+IFERROR(Y211*1,"0")+IFERROR(Y212*1,"0")</f>
        <v>0</v>
      </c>
      <c r="L568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8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8" s="1"/>
      <c r="O568" s="52">
        <f>IFERROR(Y303*1,"0")+IFERROR(Y304*1,"0")+IFERROR(Y305*1,"0")+IFERROR(Y306*1,"0")+IFERROR(Y307*1,"0")+IFERROR(Y308*1,"0")+IFERROR(Y309*1,"0")+IFERROR(Y313*1,"0")+IFERROR(Y317*1,"0")+IFERROR(Y321*1,"0")</f>
        <v>0</v>
      </c>
      <c r="P568" s="52">
        <f>IFERROR(Y326*1,"0")+IFERROR(Y327*1,"0")+IFERROR(Y328*1,"0")+IFERROR(Y329*1,"0")+IFERROR(Y330*1,"0")+IFERROR(Y331*1,"0")</f>
        <v>0</v>
      </c>
      <c r="Q568" s="52">
        <f>IFERROR(Y336*1,"0")+IFERROR(Y337*1,"0")+IFERROR(Y338*1,"0")</f>
        <v>0</v>
      </c>
      <c r="R568" s="52">
        <f>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0</v>
      </c>
      <c r="U568" s="52">
        <f>IFERROR(Y416*1,"0")+IFERROR(Y417*1,"0")</f>
        <v>0</v>
      </c>
      <c r="V568" s="52">
        <f>IFERROR(Y422*1,"0")+IFERROR(Y423*1,"0")+IFERROR(Y424*1,"0")</f>
        <v>0</v>
      </c>
      <c r="W568" s="52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1200</v>
      </c>
      <c r="X568" s="52">
        <f>IFERROR(Y459*1,"0")+IFERROR(Y460*1,"0")+IFERROR(Y464*1,"0")+IFERROR(Y468*1,"0")+IFERROR(Y469*1,"0")+IFERROR(Y470*1,"0")</f>
        <v>0</v>
      </c>
      <c r="Y568" s="52">
        <f>IFERROR(Y476*1,"0")+IFERROR(Y477*1,"0")+IFERROR(Y478*1,"0")+IFERROR(Y479*1,"0")+IFERROR(Y480*1,"0")+IFERROR(Y481*1,"0")+IFERROR(Y485*1,"0")+IFERROR(Y486*1,"0")</f>
        <v>0</v>
      </c>
      <c r="Z568" s="52">
        <f>IFERROR(Y491*1,"0")+IFERROR(Y495*1,"0")+IFERROR(Y496*1,"0")+IFERROR(Y497*1,"0")</f>
        <v>0</v>
      </c>
      <c r="AA568" s="52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1304.1600000000001</v>
      </c>
      <c r="AB568" s="52">
        <f>IFERROR(Y533*1,"0")+IFERROR(Y537*1,"0")+IFERROR(Y541*1,"0")+IFERROR(Y545*1,"0")+IFERROR(Y549*1,"0")+IFERROR(Y550*1,"0")</f>
        <v>0</v>
      </c>
      <c r="AC568" s="52">
        <f>IFERROR(Y555*1,"0")</f>
        <v>0</v>
      </c>
      <c r="AF568" s="1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3,64"/>
        <filter val="132,58"/>
        <filter val="3 100,00"/>
        <filter val="3 259,92"/>
        <filter val="3 409,92"/>
        <filter val="40,00"/>
        <filter val="400,29"/>
        <filter val="6"/>
        <filter val="600,00"/>
        <filter val="700,00"/>
        <filter val="74,07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A382:Z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P400:V400"/>
    <mergeCell ref="A400:O401"/>
    <mergeCell ref="P401:V401"/>
    <mergeCell ref="A402:Z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D470:E470"/>
    <mergeCell ref="P470:T470"/>
    <mergeCell ref="P471:V471"/>
    <mergeCell ref="A471:O472"/>
    <mergeCell ref="P472:V472"/>
    <mergeCell ref="A473:Z473"/>
    <mergeCell ref="A474:Z474"/>
    <mergeCell ref="A475:Z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D491:E491"/>
    <mergeCell ref="P491:T491"/>
    <mergeCell ref="P492:V492"/>
    <mergeCell ref="A492:O493"/>
    <mergeCell ref="P493:V493"/>
    <mergeCell ref="A494:Z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A500:Z500"/>
    <mergeCell ref="A501:Z501"/>
    <mergeCell ref="A502:Z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12:V512"/>
    <mergeCell ref="A512:O513"/>
    <mergeCell ref="P513:V513"/>
    <mergeCell ref="A514:Z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B566:AB567"/>
    <mergeCell ref="A548:Z548"/>
    <mergeCell ref="D549:E549"/>
    <mergeCell ref="P549:T549"/>
    <mergeCell ref="D550:E550"/>
    <mergeCell ref="P550:T550"/>
    <mergeCell ref="P551:V551"/>
    <mergeCell ref="A551:O552"/>
    <mergeCell ref="P552:V552"/>
    <mergeCell ref="A553:Z553"/>
    <mergeCell ref="A554:Z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AC566:AC567"/>
    <mergeCell ref="D565:J565"/>
    <mergeCell ref="K565:V565"/>
    <mergeCell ref="W565:X565"/>
    <mergeCell ref="Y565:Z565"/>
    <mergeCell ref="AB565:AC565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9"/>
    </row>
    <row r="3" spans="2:8" x14ac:dyDescent="0.2">
      <c r="B3" s="53" t="s">
        <v>866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868</v>
      </c>
      <c r="C6" s="53" t="s">
        <v>869</v>
      </c>
      <c r="D6" s="53" t="s">
        <v>870</v>
      </c>
      <c r="E6" s="53" t="s">
        <v>46</v>
      </c>
    </row>
    <row r="7" spans="2:8" x14ac:dyDescent="0.2">
      <c r="B7" s="53" t="s">
        <v>871</v>
      </c>
      <c r="C7" s="53" t="s">
        <v>872</v>
      </c>
      <c r="D7" s="53" t="s">
        <v>873</v>
      </c>
      <c r="E7" s="53" t="s">
        <v>46</v>
      </c>
    </row>
    <row r="8" spans="2:8" x14ac:dyDescent="0.2">
      <c r="B8" s="53" t="s">
        <v>874</v>
      </c>
      <c r="C8" s="53" t="s">
        <v>875</v>
      </c>
      <c r="D8" s="53" t="s">
        <v>876</v>
      </c>
      <c r="E8" s="53" t="s">
        <v>46</v>
      </c>
    </row>
    <row r="9" spans="2:8" x14ac:dyDescent="0.2">
      <c r="B9" s="53" t="s">
        <v>877</v>
      </c>
      <c r="C9" s="53" t="s">
        <v>878</v>
      </c>
      <c r="D9" s="53" t="s">
        <v>879</v>
      </c>
      <c r="E9" s="53" t="s">
        <v>46</v>
      </c>
    </row>
    <row r="10" spans="2:8" x14ac:dyDescent="0.2">
      <c r="B10" s="53" t="s">
        <v>880</v>
      </c>
      <c r="C10" s="53" t="s">
        <v>881</v>
      </c>
      <c r="D10" s="53" t="s">
        <v>882</v>
      </c>
      <c r="E10" s="53" t="s">
        <v>46</v>
      </c>
    </row>
    <row r="11" spans="2:8" x14ac:dyDescent="0.2">
      <c r="B11" s="53" t="s">
        <v>883</v>
      </c>
      <c r="C11" s="53" t="s">
        <v>884</v>
      </c>
      <c r="D11" s="53" t="s">
        <v>885</v>
      </c>
      <c r="E11" s="53" t="s">
        <v>46</v>
      </c>
    </row>
    <row r="12" spans="2:8" x14ac:dyDescent="0.2">
      <c r="B12" s="53" t="s">
        <v>886</v>
      </c>
      <c r="C12" s="53" t="s">
        <v>887</v>
      </c>
      <c r="D12" s="53" t="s">
        <v>888</v>
      </c>
      <c r="E12" s="53" t="s">
        <v>46</v>
      </c>
    </row>
    <row r="13" spans="2:8" x14ac:dyDescent="0.2">
      <c r="B13" s="53" t="s">
        <v>889</v>
      </c>
      <c r="C13" s="53" t="s">
        <v>890</v>
      </c>
      <c r="D13" s="53" t="s">
        <v>126</v>
      </c>
      <c r="E13" s="53" t="s">
        <v>46</v>
      </c>
    </row>
    <row r="15" spans="2:8" x14ac:dyDescent="0.2">
      <c r="B15" s="53" t="s">
        <v>891</v>
      </c>
      <c r="C15" s="53" t="s">
        <v>869</v>
      </c>
      <c r="D15" s="53" t="s">
        <v>46</v>
      </c>
      <c r="E15" s="53" t="s">
        <v>46</v>
      </c>
    </row>
    <row r="17" spans="2:5" x14ac:dyDescent="0.2">
      <c r="B17" s="53" t="s">
        <v>892</v>
      </c>
      <c r="C17" s="53" t="s">
        <v>872</v>
      </c>
      <c r="D17" s="53" t="s">
        <v>46</v>
      </c>
      <c r="E17" s="53" t="s">
        <v>46</v>
      </c>
    </row>
    <row r="19" spans="2:5" x14ac:dyDescent="0.2">
      <c r="B19" s="53" t="s">
        <v>893</v>
      </c>
      <c r="C19" s="53" t="s">
        <v>875</v>
      </c>
      <c r="D19" s="53" t="s">
        <v>46</v>
      </c>
      <c r="E19" s="53" t="s">
        <v>46</v>
      </c>
    </row>
    <row r="21" spans="2:5" x14ac:dyDescent="0.2">
      <c r="B21" s="53" t="s">
        <v>894</v>
      </c>
      <c r="C21" s="53" t="s">
        <v>878</v>
      </c>
      <c r="D21" s="53" t="s">
        <v>46</v>
      </c>
      <c r="E21" s="53" t="s">
        <v>46</v>
      </c>
    </row>
    <row r="23" spans="2:5" x14ac:dyDescent="0.2">
      <c r="B23" s="53" t="s">
        <v>895</v>
      </c>
      <c r="C23" s="53" t="s">
        <v>881</v>
      </c>
      <c r="D23" s="53" t="s">
        <v>46</v>
      </c>
      <c r="E23" s="53" t="s">
        <v>46</v>
      </c>
    </row>
    <row r="25" spans="2:5" x14ac:dyDescent="0.2">
      <c r="B25" s="53" t="s">
        <v>896</v>
      </c>
      <c r="C25" s="53" t="s">
        <v>884</v>
      </c>
      <c r="D25" s="53" t="s">
        <v>46</v>
      </c>
      <c r="E25" s="53" t="s">
        <v>46</v>
      </c>
    </row>
    <row r="27" spans="2:5" x14ac:dyDescent="0.2">
      <c r="B27" s="53" t="s">
        <v>897</v>
      </c>
      <c r="C27" s="53" t="s">
        <v>887</v>
      </c>
      <c r="D27" s="53" t="s">
        <v>46</v>
      </c>
      <c r="E27" s="53" t="s">
        <v>46</v>
      </c>
    </row>
    <row r="29" spans="2:5" x14ac:dyDescent="0.2">
      <c r="B29" s="53" t="s">
        <v>898</v>
      </c>
      <c r="C29" s="53" t="s">
        <v>890</v>
      </c>
      <c r="D29" s="53" t="s">
        <v>46</v>
      </c>
      <c r="E29" s="53" t="s">
        <v>46</v>
      </c>
    </row>
    <row r="31" spans="2:5" x14ac:dyDescent="0.2">
      <c r="B31" s="53" t="s">
        <v>899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903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904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905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906</v>
      </c>
      <c r="C38" s="53" t="s">
        <v>46</v>
      </c>
      <c r="D38" s="53" t="s">
        <v>46</v>
      </c>
      <c r="E38" s="53" t="s">
        <v>46</v>
      </c>
    </row>
    <row r="39" spans="2:5" x14ac:dyDescent="0.2">
      <c r="B39" s="53" t="s">
        <v>907</v>
      </c>
      <c r="C39" s="53" t="s">
        <v>46</v>
      </c>
      <c r="D39" s="53" t="s">
        <v>46</v>
      </c>
      <c r="E39" s="53" t="s">
        <v>46</v>
      </c>
    </row>
    <row r="40" spans="2:5" x14ac:dyDescent="0.2">
      <c r="B40" s="53" t="s">
        <v>908</v>
      </c>
      <c r="C40" s="53" t="s">
        <v>46</v>
      </c>
      <c r="D40" s="53" t="s">
        <v>46</v>
      </c>
      <c r="E40" s="53" t="s">
        <v>46</v>
      </c>
    </row>
    <row r="41" spans="2:5" x14ac:dyDescent="0.2">
      <c r="B41" s="53" t="s">
        <v>909</v>
      </c>
      <c r="C41" s="53" t="s">
        <v>46</v>
      </c>
      <c r="D41" s="53" t="s">
        <v>46</v>
      </c>
      <c r="E41" s="53" t="s">
        <v>46</v>
      </c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