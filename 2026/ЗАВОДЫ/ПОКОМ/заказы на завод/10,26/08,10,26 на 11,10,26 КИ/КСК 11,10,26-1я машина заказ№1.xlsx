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E6D27C2-B1C3-472E-B3AB-B175B61A905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P543" i="2"/>
  <c r="X540" i="2"/>
  <c r="X539" i="2"/>
  <c r="BO538" i="2"/>
  <c r="BM538" i="2"/>
  <c r="Y538" i="2"/>
  <c r="BP538" i="2" s="1"/>
  <c r="P538" i="2"/>
  <c r="BO537" i="2"/>
  <c r="BM537" i="2"/>
  <c r="Y537" i="2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BP499" i="2" s="1"/>
  <c r="P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M492" i="2"/>
  <c r="Y492" i="2"/>
  <c r="BP492" i="2" s="1"/>
  <c r="P492" i="2"/>
  <c r="X488" i="2"/>
  <c r="X487" i="2"/>
  <c r="BO486" i="2"/>
  <c r="BM486" i="2"/>
  <c r="Y486" i="2"/>
  <c r="BN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P480" i="2"/>
  <c r="BO480" i="2"/>
  <c r="BM480" i="2"/>
  <c r="Y480" i="2"/>
  <c r="Y481" i="2" s="1"/>
  <c r="P480" i="2"/>
  <c r="X477" i="2"/>
  <c r="X476" i="2"/>
  <c r="BO475" i="2"/>
  <c r="BM475" i="2"/>
  <c r="Y475" i="2"/>
  <c r="Y477" i="2" s="1"/>
  <c r="P475" i="2"/>
  <c r="X473" i="2"/>
  <c r="X472" i="2"/>
  <c r="BO471" i="2"/>
  <c r="BM471" i="2"/>
  <c r="Y471" i="2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N468" i="2" s="1"/>
  <c r="P468" i="2"/>
  <c r="BO467" i="2"/>
  <c r="BM467" i="2"/>
  <c r="Y467" i="2"/>
  <c r="Z467" i="2" s="1"/>
  <c r="P467" i="2"/>
  <c r="BO466" i="2"/>
  <c r="BM466" i="2"/>
  <c r="Y466" i="2"/>
  <c r="P466" i="2"/>
  <c r="X462" i="2"/>
  <c r="X461" i="2"/>
  <c r="BO460" i="2"/>
  <c r="BM460" i="2"/>
  <c r="Y460" i="2"/>
  <c r="BP460" i="2" s="1"/>
  <c r="P460" i="2"/>
  <c r="BO459" i="2"/>
  <c r="BM459" i="2"/>
  <c r="Y459" i="2"/>
  <c r="Z459" i="2" s="1"/>
  <c r="P459" i="2"/>
  <c r="BO458" i="2"/>
  <c r="BM458" i="2"/>
  <c r="Y458" i="2"/>
  <c r="Z458" i="2" s="1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BP450" i="2" s="1"/>
  <c r="P450" i="2"/>
  <c r="BO449" i="2"/>
  <c r="BM449" i="2"/>
  <c r="Y449" i="2"/>
  <c r="P449" i="2"/>
  <c r="X446" i="2"/>
  <c r="X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BN431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P423" i="2" s="1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P394" i="2"/>
  <c r="BO393" i="2"/>
  <c r="BM393" i="2"/>
  <c r="Y393" i="2"/>
  <c r="Y397" i="2" s="1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Z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P363" i="2"/>
  <c r="X361" i="2"/>
  <c r="X360" i="2"/>
  <c r="BO359" i="2"/>
  <c r="BN359" i="2"/>
  <c r="BM359" i="2"/>
  <c r="Z359" i="2"/>
  <c r="Y359" i="2"/>
  <c r="BP359" i="2" s="1"/>
  <c r="P359" i="2"/>
  <c r="BO358" i="2"/>
  <c r="BM358" i="2"/>
  <c r="Y358" i="2"/>
  <c r="Z358" i="2" s="1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P353" i="2"/>
  <c r="X350" i="2"/>
  <c r="X349" i="2"/>
  <c r="BO348" i="2"/>
  <c r="BM348" i="2"/>
  <c r="Y348" i="2"/>
  <c r="BP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BN339" i="2" s="1"/>
  <c r="P339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BN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N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2" i="2"/>
  <c r="X311" i="2"/>
  <c r="BO310" i="2"/>
  <c r="BM310" i="2"/>
  <c r="Y310" i="2"/>
  <c r="Z310" i="2" s="1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N286" i="2" s="1"/>
  <c r="P286" i="2"/>
  <c r="BO285" i="2"/>
  <c r="BM285" i="2"/>
  <c r="Y285" i="2"/>
  <c r="P285" i="2"/>
  <c r="X283" i="2"/>
  <c r="X282" i="2"/>
  <c r="BO281" i="2"/>
  <c r="BM281" i="2"/>
  <c r="Z281" i="2"/>
  <c r="Y281" i="2"/>
  <c r="BN281" i="2" s="1"/>
  <c r="P281" i="2"/>
  <c r="BO280" i="2"/>
  <c r="BM280" i="2"/>
  <c r="Y280" i="2"/>
  <c r="BN280" i="2" s="1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Z277" i="2" s="1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BN264" i="2" s="1"/>
  <c r="P264" i="2"/>
  <c r="BO263" i="2"/>
  <c r="BM263" i="2"/>
  <c r="Y263" i="2"/>
  <c r="BN263" i="2" s="1"/>
  <c r="P263" i="2"/>
  <c r="BO262" i="2"/>
  <c r="BM262" i="2"/>
  <c r="Y262" i="2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Z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Z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Z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Z201" i="2" s="1"/>
  <c r="P201" i="2"/>
  <c r="BO200" i="2"/>
  <c r="BM200" i="2"/>
  <c r="Z200" i="2"/>
  <c r="Y200" i="2"/>
  <c r="BN200" i="2" s="1"/>
  <c r="P200" i="2"/>
  <c r="BO199" i="2"/>
  <c r="BM199" i="2"/>
  <c r="Y199" i="2"/>
  <c r="P199" i="2"/>
  <c r="X195" i="2"/>
  <c r="Y194" i="2"/>
  <c r="X194" i="2"/>
  <c r="BO193" i="2"/>
  <c r="BM193" i="2"/>
  <c r="Y193" i="2"/>
  <c r="BN193" i="2" s="1"/>
  <c r="P193" i="2"/>
  <c r="X191" i="2"/>
  <c r="Y190" i="2"/>
  <c r="X190" i="2"/>
  <c r="BO189" i="2"/>
  <c r="BM189" i="2"/>
  <c r="Y189" i="2"/>
  <c r="Y191" i="2" s="1"/>
  <c r="P189" i="2"/>
  <c r="X187" i="2"/>
  <c r="X186" i="2"/>
  <c r="BO185" i="2"/>
  <c r="BM185" i="2"/>
  <c r="Y185" i="2"/>
  <c r="BP185" i="2" s="1"/>
  <c r="P185" i="2"/>
  <c r="BO184" i="2"/>
  <c r="BM184" i="2"/>
  <c r="Y184" i="2"/>
  <c r="BP184" i="2" s="1"/>
  <c r="P184" i="2"/>
  <c r="X182" i="2"/>
  <c r="X181" i="2"/>
  <c r="BO180" i="2"/>
  <c r="BM180" i="2"/>
  <c r="Y180" i="2"/>
  <c r="Z180" i="2" s="1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BN167" i="2" s="1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P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Y152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P132" i="2"/>
  <c r="BO131" i="2"/>
  <c r="BM131" i="2"/>
  <c r="Y131" i="2"/>
  <c r="BN131" i="2" s="1"/>
  <c r="P131" i="2"/>
  <c r="X128" i="2"/>
  <c r="X127" i="2"/>
  <c r="BO126" i="2"/>
  <c r="BM126" i="2"/>
  <c r="Y126" i="2"/>
  <c r="Y127" i="2" s="1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Z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P79" i="2" s="1"/>
  <c r="P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BN72" i="2" s="1"/>
  <c r="P72" i="2"/>
  <c r="X70" i="2"/>
  <c r="X69" i="2"/>
  <c r="BO68" i="2"/>
  <c r="BM68" i="2"/>
  <c r="Y68" i="2"/>
  <c r="Z68" i="2" s="1"/>
  <c r="P68" i="2"/>
  <c r="BO67" i="2"/>
  <c r="BM67" i="2"/>
  <c r="Y67" i="2"/>
  <c r="Z67" i="2" s="1"/>
  <c r="P67" i="2"/>
  <c r="BO66" i="2"/>
  <c r="BM66" i="2"/>
  <c r="Y66" i="2"/>
  <c r="BP66" i="2" s="1"/>
  <c r="P66" i="2"/>
  <c r="BP65" i="2"/>
  <c r="BO65" i="2"/>
  <c r="BN65" i="2"/>
  <c r="BM65" i="2"/>
  <c r="Z65" i="2"/>
  <c r="Y65" i="2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BO54" i="2"/>
  <c r="BM54" i="2"/>
  <c r="Y54" i="2"/>
  <c r="P54" i="2"/>
  <c r="X51" i="2"/>
  <c r="X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BO36" i="2"/>
  <c r="BM36" i="2"/>
  <c r="Y36" i="2"/>
  <c r="Z36" i="2" s="1"/>
  <c r="P36" i="2"/>
  <c r="X32" i="2"/>
  <c r="X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Z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BN58" i="2" l="1"/>
  <c r="BN87" i="2"/>
  <c r="BN102" i="2"/>
  <c r="BN142" i="2"/>
  <c r="BN184" i="2"/>
  <c r="BN274" i="2"/>
  <c r="BN292" i="2"/>
  <c r="BN316" i="2"/>
  <c r="BN327" i="2"/>
  <c r="BN354" i="2"/>
  <c r="BN467" i="2"/>
  <c r="BN55" i="2"/>
  <c r="BN89" i="2"/>
  <c r="BN122" i="2"/>
  <c r="BN179" i="2"/>
  <c r="BN189" i="2"/>
  <c r="BP200" i="2"/>
  <c r="BN201" i="2"/>
  <c r="BP222" i="2"/>
  <c r="BN249" i="2"/>
  <c r="BN315" i="2"/>
  <c r="BN341" i="2"/>
  <c r="BN374" i="2"/>
  <c r="Z393" i="2"/>
  <c r="Z396" i="2" s="1"/>
  <c r="BN433" i="2"/>
  <c r="Z485" i="2"/>
  <c r="BN485" i="2"/>
  <c r="Y535" i="2"/>
  <c r="BN439" i="2"/>
  <c r="BN346" i="2"/>
  <c r="BN427" i="2"/>
  <c r="Z280" i="2"/>
  <c r="Z271" i="2"/>
  <c r="BP271" i="2"/>
  <c r="BN458" i="2"/>
  <c r="Y540" i="2"/>
  <c r="Y539" i="2"/>
  <c r="BP537" i="2"/>
  <c r="Z537" i="2"/>
  <c r="Z533" i="2"/>
  <c r="Z534" i="2" s="1"/>
  <c r="Z525" i="2"/>
  <c r="Z526" i="2" s="1"/>
  <c r="BP525" i="2"/>
  <c r="Z521" i="2"/>
  <c r="Z522" i="2" s="1"/>
  <c r="Y523" i="2"/>
  <c r="Y516" i="2"/>
  <c r="BN512" i="2"/>
  <c r="BN509" i="2"/>
  <c r="BN499" i="2"/>
  <c r="Z497" i="2"/>
  <c r="BN492" i="2"/>
  <c r="Y482" i="2"/>
  <c r="Y476" i="2"/>
  <c r="BN475" i="2"/>
  <c r="BN460" i="2"/>
  <c r="Y451" i="2"/>
  <c r="BN450" i="2"/>
  <c r="Z437" i="2"/>
  <c r="Y440" i="2"/>
  <c r="BP431" i="2"/>
  <c r="Z431" i="2"/>
  <c r="Z434" i="2" s="1"/>
  <c r="BN425" i="2"/>
  <c r="BN423" i="2"/>
  <c r="Z423" i="2"/>
  <c r="Y416" i="2"/>
  <c r="Z407" i="2"/>
  <c r="Y409" i="2"/>
  <c r="BP407" i="2"/>
  <c r="BN401" i="2"/>
  <c r="Y402" i="2"/>
  <c r="BN395" i="2"/>
  <c r="BP393" i="2"/>
  <c r="BN387" i="2"/>
  <c r="BN381" i="2"/>
  <c r="BN367" i="2"/>
  <c r="BP366" i="2"/>
  <c r="BN364" i="2"/>
  <c r="BN357" i="2"/>
  <c r="BP356" i="2"/>
  <c r="BN348" i="2"/>
  <c r="Z339" i="2"/>
  <c r="BP339" i="2"/>
  <c r="BN333" i="2"/>
  <c r="Z327" i="2"/>
  <c r="BN318" i="2"/>
  <c r="BN301" i="2"/>
  <c r="BN293" i="2"/>
  <c r="Z292" i="2"/>
  <c r="BP286" i="2"/>
  <c r="BP281" i="2"/>
  <c r="BN277" i="2"/>
  <c r="BP276" i="2"/>
  <c r="BN272" i="2"/>
  <c r="BP266" i="2"/>
  <c r="BP264" i="2"/>
  <c r="Z264" i="2"/>
  <c r="BN261" i="2"/>
  <c r="BN244" i="2"/>
  <c r="Y245" i="2"/>
  <c r="BN238" i="2"/>
  <c r="BN233" i="2"/>
  <c r="BN226" i="2"/>
  <c r="BN223" i="2"/>
  <c r="BP221" i="2"/>
  <c r="Z221" i="2"/>
  <c r="BN219" i="2"/>
  <c r="Z219" i="2"/>
  <c r="BN217" i="2"/>
  <c r="BN202" i="2"/>
  <c r="Z184" i="2"/>
  <c r="BN177" i="2"/>
  <c r="Z174" i="2"/>
  <c r="Y164" i="2"/>
  <c r="BN159" i="2"/>
  <c r="BP150" i="2"/>
  <c r="Z150" i="2"/>
  <c r="Y134" i="2"/>
  <c r="Z126" i="2"/>
  <c r="Z127" i="2" s="1"/>
  <c r="BP126" i="2"/>
  <c r="BP115" i="2"/>
  <c r="BN111" i="2"/>
  <c r="BP95" i="2"/>
  <c r="Z95" i="2"/>
  <c r="Z89" i="2"/>
  <c r="BN85" i="2"/>
  <c r="BP78" i="2"/>
  <c r="Z78" i="2"/>
  <c r="Z73" i="2"/>
  <c r="BP73" i="2"/>
  <c r="BP72" i="2"/>
  <c r="Z72" i="2"/>
  <c r="Z74" i="2" s="1"/>
  <c r="Y74" i="2"/>
  <c r="Y75" i="2"/>
  <c r="BN68" i="2"/>
  <c r="Y50" i="2"/>
  <c r="BN46" i="2"/>
  <c r="BN39" i="2"/>
  <c r="BP29" i="2"/>
  <c r="Z29" i="2"/>
  <c r="BP27" i="2"/>
  <c r="Z27" i="2"/>
  <c r="BN320" i="2"/>
  <c r="BP320" i="2"/>
  <c r="Y384" i="2"/>
  <c r="Y383" i="2"/>
  <c r="BN380" i="2"/>
  <c r="Y456" i="2"/>
  <c r="Y455" i="2"/>
  <c r="BN454" i="2"/>
  <c r="BP454" i="2"/>
  <c r="Z454" i="2"/>
  <c r="Z455" i="2" s="1"/>
  <c r="BP47" i="2"/>
  <c r="BP57" i="2"/>
  <c r="BP101" i="2"/>
  <c r="F10" i="2"/>
  <c r="BP67" i="2"/>
  <c r="Z88" i="2"/>
  <c r="Z106" i="2"/>
  <c r="BP106" i="2"/>
  <c r="Y124" i="2"/>
  <c r="BP119" i="2"/>
  <c r="Y155" i="2"/>
  <c r="BN154" i="2"/>
  <c r="BP154" i="2"/>
  <c r="BN166" i="2"/>
  <c r="Y169" i="2"/>
  <c r="BP166" i="2"/>
  <c r="BP176" i="2"/>
  <c r="BN218" i="2"/>
  <c r="BP218" i="2"/>
  <c r="Z218" i="2"/>
  <c r="Y288" i="2"/>
  <c r="BN285" i="2"/>
  <c r="BP373" i="2"/>
  <c r="Y378" i="2"/>
  <c r="BN382" i="2"/>
  <c r="BP382" i="2"/>
  <c r="Z382" i="2"/>
  <c r="BN510" i="2"/>
  <c r="BP510" i="2"/>
  <c r="Z510" i="2"/>
  <c r="A10" i="2"/>
  <c r="BP112" i="2"/>
  <c r="Z178" i="2"/>
  <c r="BN178" i="2"/>
  <c r="BN262" i="2"/>
  <c r="BP262" i="2"/>
  <c r="Z262" i="2"/>
  <c r="BP279" i="2"/>
  <c r="BN279" i="2"/>
  <c r="Z279" i="2"/>
  <c r="BN295" i="2"/>
  <c r="BP295" i="2"/>
  <c r="Z295" i="2"/>
  <c r="F9" i="2"/>
  <c r="H9" i="2"/>
  <c r="X548" i="2"/>
  <c r="Z39" i="2"/>
  <c r="BP46" i="2"/>
  <c r="BN47" i="2"/>
  <c r="Z55" i="2"/>
  <c r="BN57" i="2"/>
  <c r="BP58" i="2"/>
  <c r="Y70" i="2"/>
  <c r="Z85" i="2"/>
  <c r="Z87" i="2"/>
  <c r="BP102" i="2"/>
  <c r="BP111" i="2"/>
  <c r="BN112" i="2"/>
  <c r="Z119" i="2"/>
  <c r="Z154" i="2"/>
  <c r="Z155" i="2" s="1"/>
  <c r="Z166" i="2"/>
  <c r="BN171" i="2"/>
  <c r="BP171" i="2"/>
  <c r="BP173" i="2"/>
  <c r="Z173" i="2"/>
  <c r="Z176" i="2"/>
  <c r="BN250" i="2"/>
  <c r="Z250" i="2"/>
  <c r="Y328" i="2"/>
  <c r="BN376" i="2"/>
  <c r="BP376" i="2"/>
  <c r="BN421" i="2"/>
  <c r="BP421" i="2"/>
  <c r="Z421" i="2"/>
  <c r="Y228" i="2"/>
  <c r="BN214" i="2"/>
  <c r="BP214" i="2"/>
  <c r="Z214" i="2"/>
  <c r="BN254" i="2"/>
  <c r="BP254" i="2"/>
  <c r="Z254" i="2"/>
  <c r="Y32" i="2"/>
  <c r="BN67" i="2"/>
  <c r="BP68" i="2"/>
  <c r="BN88" i="2"/>
  <c r="Z121" i="2"/>
  <c r="BN121" i="2"/>
  <c r="BP131" i="2"/>
  <c r="Z131" i="2"/>
  <c r="BP174" i="2"/>
  <c r="BP178" i="2"/>
  <c r="BN231" i="2"/>
  <c r="BP231" i="2"/>
  <c r="Z231" i="2"/>
  <c r="Z235" i="2" s="1"/>
  <c r="BN239" i="2"/>
  <c r="BP239" i="2"/>
  <c r="Z239" i="2"/>
  <c r="BP260" i="2"/>
  <c r="BN260" i="2"/>
  <c r="BN309" i="2"/>
  <c r="Y311" i="2"/>
  <c r="BP309" i="2"/>
  <c r="BN326" i="2"/>
  <c r="BP326" i="2"/>
  <c r="Z326" i="2"/>
  <c r="BP369" i="2"/>
  <c r="BN369" i="2"/>
  <c r="Z369" i="2"/>
  <c r="Z399" i="2"/>
  <c r="BN399" i="2"/>
  <c r="BN126" i="2"/>
  <c r="BP175" i="2"/>
  <c r="BP203" i="2"/>
  <c r="BP224" i="2"/>
  <c r="BP234" i="2"/>
  <c r="Y298" i="2"/>
  <c r="Y299" i="2"/>
  <c r="BP310" i="2"/>
  <c r="BP470" i="2"/>
  <c r="BP495" i="2"/>
  <c r="BP505" i="2"/>
  <c r="BP515" i="2"/>
  <c r="BP529" i="2"/>
  <c r="BP122" i="2"/>
  <c r="Y128" i="2"/>
  <c r="Z142" i="2"/>
  <c r="Y168" i="2"/>
  <c r="BP167" i="2"/>
  <c r="BP177" i="2"/>
  <c r="BP179" i="2"/>
  <c r="Z189" i="2"/>
  <c r="Z190" i="2" s="1"/>
  <c r="BP189" i="2"/>
  <c r="BP230" i="2"/>
  <c r="Z238" i="2"/>
  <c r="Z244" i="2"/>
  <c r="Z245" i="2" s="1"/>
  <c r="BP244" i="2"/>
  <c r="Y252" i="2"/>
  <c r="BP259" i="2"/>
  <c r="Z261" i="2"/>
  <c r="Z272" i="2"/>
  <c r="Z274" i="2"/>
  <c r="BP277" i="2"/>
  <c r="Z293" i="2"/>
  <c r="BP297" i="2"/>
  <c r="Z316" i="2"/>
  <c r="Z318" i="2"/>
  <c r="BP367" i="2"/>
  <c r="Z374" i="2"/>
  <c r="Z381" i="2"/>
  <c r="BN393" i="2"/>
  <c r="BN437" i="2"/>
  <c r="Z439" i="2"/>
  <c r="Y452" i="2"/>
  <c r="BP458" i="2"/>
  <c r="Z460" i="2"/>
  <c r="Z461" i="2" s="1"/>
  <c r="BP467" i="2"/>
  <c r="Z475" i="2"/>
  <c r="Z476" i="2" s="1"/>
  <c r="BP475" i="2"/>
  <c r="BN497" i="2"/>
  <c r="Z499" i="2"/>
  <c r="Z509" i="2"/>
  <c r="BP509" i="2"/>
  <c r="BN525" i="2"/>
  <c r="Y526" i="2"/>
  <c r="BN537" i="2"/>
  <c r="BP202" i="2"/>
  <c r="BN203" i="2"/>
  <c r="Z220" i="2"/>
  <c r="BP223" i="2"/>
  <c r="BN224" i="2"/>
  <c r="BP233" i="2"/>
  <c r="BN234" i="2"/>
  <c r="BN270" i="2"/>
  <c r="BN291" i="2"/>
  <c r="BN310" i="2"/>
  <c r="Z315" i="2"/>
  <c r="Y329" i="2"/>
  <c r="Z333" i="2"/>
  <c r="Z341" i="2"/>
  <c r="BP346" i="2"/>
  <c r="Z348" i="2"/>
  <c r="Z349" i="2" s="1"/>
  <c r="Z354" i="2"/>
  <c r="BP357" i="2"/>
  <c r="Z364" i="2"/>
  <c r="Z387" i="2"/>
  <c r="Z395" i="2"/>
  <c r="Z401" i="2"/>
  <c r="BN414" i="2"/>
  <c r="Z425" i="2"/>
  <c r="BN426" i="2"/>
  <c r="Z427" i="2"/>
  <c r="Z433" i="2"/>
  <c r="BN449" i="2"/>
  <c r="Z450" i="2"/>
  <c r="Y461" i="2"/>
  <c r="BN470" i="2"/>
  <c r="BN495" i="2"/>
  <c r="BN505" i="2"/>
  <c r="BP512" i="2"/>
  <c r="BN515" i="2"/>
  <c r="BN529" i="2"/>
  <c r="Y530" i="2"/>
  <c r="Q556" i="2"/>
  <c r="BN199" i="2"/>
  <c r="Y207" i="2"/>
  <c r="K556" i="2"/>
  <c r="BP205" i="2"/>
  <c r="Z205" i="2"/>
  <c r="Z340" i="2"/>
  <c r="BN340" i="2"/>
  <c r="BP368" i="2"/>
  <c r="BN368" i="2"/>
  <c r="BP468" i="2"/>
  <c r="Z468" i="2"/>
  <c r="Y63" i="2"/>
  <c r="Z141" i="2"/>
  <c r="Z162" i="2"/>
  <c r="Z199" i="2"/>
  <c r="BN353" i="2"/>
  <c r="T556" i="2"/>
  <c r="Z353" i="2"/>
  <c r="Y361" i="2"/>
  <c r="Z368" i="2"/>
  <c r="BN205" i="2"/>
  <c r="BP365" i="2"/>
  <c r="Z365" i="2"/>
  <c r="Y507" i="2"/>
  <c r="BP503" i="2"/>
  <c r="Z503" i="2"/>
  <c r="Z84" i="2"/>
  <c r="Z105" i="2"/>
  <c r="BN265" i="2"/>
  <c r="Z335" i="2"/>
  <c r="BP340" i="2"/>
  <c r="Y428" i="2"/>
  <c r="Z420" i="2"/>
  <c r="W556" i="2"/>
  <c r="BN420" i="2"/>
  <c r="Y473" i="2"/>
  <c r="Z486" i="2"/>
  <c r="Y109" i="2"/>
  <c r="BP141" i="2"/>
  <c r="BP199" i="2"/>
  <c r="BP332" i="2"/>
  <c r="Z332" i="2"/>
  <c r="R556" i="2"/>
  <c r="Y336" i="2"/>
  <c r="BP347" i="2"/>
  <c r="BN347" i="2"/>
  <c r="S556" i="2"/>
  <c r="BP353" i="2"/>
  <c r="Y360" i="2"/>
  <c r="BN365" i="2"/>
  <c r="Z394" i="2"/>
  <c r="BN394" i="2"/>
  <c r="Y445" i="2"/>
  <c r="BP443" i="2"/>
  <c r="Z443" i="2"/>
  <c r="BN503" i="2"/>
  <c r="BP162" i="2"/>
  <c r="Y206" i="2"/>
  <c r="BP220" i="2"/>
  <c r="Y235" i="2"/>
  <c r="Y242" i="2"/>
  <c r="Y241" i="2"/>
  <c r="BN240" i="2"/>
  <c r="BP265" i="2"/>
  <c r="BP280" i="2"/>
  <c r="BP319" i="2"/>
  <c r="Z319" i="2"/>
  <c r="BN406" i="2"/>
  <c r="U556" i="2"/>
  <c r="Z406" i="2"/>
  <c r="Z408" i="2" s="1"/>
  <c r="BP432" i="2"/>
  <c r="BN432" i="2"/>
  <c r="Z432" i="2"/>
  <c r="Y434" i="2"/>
  <c r="J556" i="2"/>
  <c r="BP105" i="2"/>
  <c r="Z148" i="2"/>
  <c r="Y227" i="2"/>
  <c r="Z240" i="2"/>
  <c r="BP335" i="2"/>
  <c r="BP420" i="2"/>
  <c r="BN438" i="2"/>
  <c r="Y441" i="2"/>
  <c r="BP486" i="2"/>
  <c r="H556" i="2"/>
  <c r="BP56" i="2"/>
  <c r="BP37" i="2"/>
  <c r="Z37" i="2"/>
  <c r="BN215" i="2"/>
  <c r="Z215" i="2"/>
  <c r="BN232" i="2"/>
  <c r="Z263" i="2"/>
  <c r="BP296" i="2"/>
  <c r="Z296" i="2"/>
  <c r="BN319" i="2"/>
  <c r="Z389" i="2"/>
  <c r="BP394" i="2"/>
  <c r="Z438" i="2"/>
  <c r="Z440" i="2" s="1"/>
  <c r="Z498" i="2"/>
  <c r="F556" i="2"/>
  <c r="Y91" i="2"/>
  <c r="BN84" i="2"/>
  <c r="BN26" i="2"/>
  <c r="Y31" i="2"/>
  <c r="E556" i="2"/>
  <c r="BN54" i="2"/>
  <c r="Y62" i="2"/>
  <c r="Z40" i="2"/>
  <c r="BN40" i="2"/>
  <c r="BP93" i="2"/>
  <c r="Z93" i="2"/>
  <c r="Y97" i="2"/>
  <c r="BP160" i="2"/>
  <c r="BN160" i="2"/>
  <c r="Y187" i="2"/>
  <c r="Y186" i="2"/>
  <c r="BN185" i="2"/>
  <c r="BP278" i="2"/>
  <c r="BN278" i="2"/>
  <c r="BN363" i="2"/>
  <c r="Z363" i="2"/>
  <c r="Y371" i="2"/>
  <c r="BP386" i="2"/>
  <c r="Z386" i="2"/>
  <c r="Y390" i="2"/>
  <c r="BP400" i="2"/>
  <c r="BN400" i="2"/>
  <c r="BP406" i="2"/>
  <c r="Z413" i="2"/>
  <c r="Y556" i="2"/>
  <c r="Y472" i="2"/>
  <c r="BP466" i="2"/>
  <c r="BN466" i="2"/>
  <c r="Z466" i="2"/>
  <c r="AC556" i="2"/>
  <c r="Y545" i="2"/>
  <c r="Y544" i="2"/>
  <c r="BP543" i="2"/>
  <c r="BN543" i="2"/>
  <c r="Z543" i="2"/>
  <c r="Z544" i="2" s="1"/>
  <c r="Z54" i="2"/>
  <c r="BN37" i="2"/>
  <c r="BN93" i="2"/>
  <c r="Z120" i="2"/>
  <c r="Y123" i="2"/>
  <c r="BP137" i="2"/>
  <c r="Z137" i="2"/>
  <c r="BP148" i="2"/>
  <c r="Z160" i="2"/>
  <c r="Z171" i="2"/>
  <c r="Z185" i="2"/>
  <c r="BP193" i="2"/>
  <c r="Z193" i="2"/>
  <c r="Z194" i="2" s="1"/>
  <c r="Y195" i="2"/>
  <c r="Y212" i="2"/>
  <c r="Y211" i="2"/>
  <c r="BN210" i="2"/>
  <c r="L556" i="2"/>
  <c r="BP232" i="2"/>
  <c r="BP240" i="2"/>
  <c r="Y257" i="2"/>
  <c r="Y256" i="2"/>
  <c r="Z255" i="2"/>
  <c r="Z278" i="2"/>
  <c r="BN296" i="2"/>
  <c r="Y337" i="2"/>
  <c r="BP375" i="2"/>
  <c r="Z375" i="2"/>
  <c r="Z400" i="2"/>
  <c r="Y488" i="2"/>
  <c r="BP484" i="2"/>
  <c r="Y487" i="2"/>
  <c r="BN484" i="2"/>
  <c r="BP513" i="2"/>
  <c r="Z513" i="2"/>
  <c r="BP113" i="2"/>
  <c r="BN113" i="2"/>
  <c r="BP60" i="2"/>
  <c r="Z60" i="2"/>
  <c r="BP40" i="2"/>
  <c r="BP48" i="2"/>
  <c r="BN48" i="2"/>
  <c r="BP54" i="2"/>
  <c r="BP103" i="2"/>
  <c r="BN103" i="2"/>
  <c r="BP180" i="2"/>
  <c r="BN180" i="2"/>
  <c r="Z210" i="2"/>
  <c r="Z211" i="2" s="1"/>
  <c r="BP215" i="2"/>
  <c r="BN230" i="2"/>
  <c r="Y236" i="2"/>
  <c r="BP263" i="2"/>
  <c r="BP275" i="2"/>
  <c r="Z275" i="2"/>
  <c r="Z305" i="2"/>
  <c r="Z306" i="2" s="1"/>
  <c r="Y307" i="2"/>
  <c r="Y306" i="2"/>
  <c r="BN305" i="2"/>
  <c r="BN386" i="2"/>
  <c r="BP389" i="2"/>
  <c r="BP438" i="2"/>
  <c r="Z484" i="2"/>
  <c r="Z487" i="2" s="1"/>
  <c r="AA556" i="2"/>
  <c r="BP498" i="2"/>
  <c r="Z113" i="2"/>
  <c r="C556" i="2"/>
  <c r="BP36" i="2"/>
  <c r="BN36" i="2"/>
  <c r="Y41" i="2"/>
  <c r="BP136" i="2"/>
  <c r="BN136" i="2"/>
  <c r="Y139" i="2"/>
  <c r="BP26" i="2"/>
  <c r="Z96" i="2"/>
  <c r="BN96" i="2"/>
  <c r="Z30" i="2"/>
  <c r="X550" i="2"/>
  <c r="Z48" i="2"/>
  <c r="Z66" i="2"/>
  <c r="Z69" i="2" s="1"/>
  <c r="Y69" i="2"/>
  <c r="BN79" i="2"/>
  <c r="Z79" i="2"/>
  <c r="Z103" i="2"/>
  <c r="Z115" i="2"/>
  <c r="BN120" i="2"/>
  <c r="BP149" i="2"/>
  <c r="Z149" i="2"/>
  <c r="Y321" i="2"/>
  <c r="BN317" i="2"/>
  <c r="Z317" i="2"/>
  <c r="BP358" i="2"/>
  <c r="BN358" i="2"/>
  <c r="BP363" i="2"/>
  <c r="Y370" i="2"/>
  <c r="BN375" i="2"/>
  <c r="BP413" i="2"/>
  <c r="BP459" i="2"/>
  <c r="BN459" i="2"/>
  <c r="BN513" i="2"/>
  <c r="X546" i="2"/>
  <c r="Z56" i="2"/>
  <c r="Y90" i="2"/>
  <c r="Y342" i="2"/>
  <c r="BP59" i="2"/>
  <c r="BN59" i="2"/>
  <c r="BP114" i="2"/>
  <c r="Z114" i="2"/>
  <c r="BP132" i="2"/>
  <c r="Y133" i="2"/>
  <c r="X547" i="2"/>
  <c r="BN30" i="2"/>
  <c r="Z38" i="2"/>
  <c r="Z61" i="2"/>
  <c r="BN66" i="2"/>
  <c r="Z94" i="2"/>
  <c r="Z132" i="2"/>
  <c r="Z133" i="2" s="1"/>
  <c r="Y143" i="2"/>
  <c r="BN149" i="2"/>
  <c r="BP161" i="2"/>
  <c r="Z161" i="2"/>
  <c r="BP204" i="2"/>
  <c r="BN204" i="2"/>
  <c r="BP210" i="2"/>
  <c r="Z216" i="2"/>
  <c r="BP255" i="2"/>
  <c r="Y268" i="2"/>
  <c r="BN294" i="2"/>
  <c r="Z294" i="2"/>
  <c r="BP305" i="2"/>
  <c r="BP355" i="2"/>
  <c r="Z355" i="2"/>
  <c r="Y391" i="2"/>
  <c r="BP496" i="2"/>
  <c r="BN496" i="2"/>
  <c r="Y138" i="2"/>
  <c r="BP172" i="2"/>
  <c r="Z172" i="2"/>
  <c r="BP225" i="2"/>
  <c r="BN225" i="2"/>
  <c r="Y282" i="2"/>
  <c r="Y343" i="2"/>
  <c r="Y429" i="2"/>
  <c r="Y446" i="2"/>
  <c r="Z496" i="2"/>
  <c r="Z136" i="2"/>
  <c r="BP104" i="2"/>
  <c r="Z104" i="2"/>
  <c r="Z107" i="2"/>
  <c r="BN107" i="2"/>
  <c r="BN132" i="2"/>
  <c r="Y181" i="2"/>
  <c r="Z225" i="2"/>
  <c r="BP250" i="2"/>
  <c r="P556" i="2"/>
  <c r="Y349" i="2"/>
  <c r="Y377" i="2"/>
  <c r="BN373" i="2"/>
  <c r="Z373" i="2"/>
  <c r="BP422" i="2"/>
  <c r="BN422" i="2"/>
  <c r="Z422" i="2"/>
  <c r="BP471" i="2"/>
  <c r="BN471" i="2"/>
  <c r="Y151" i="2"/>
  <c r="I556" i="2"/>
  <c r="BN147" i="2"/>
  <c r="Z147" i="2"/>
  <c r="BP147" i="2"/>
  <c r="Y24" i="2"/>
  <c r="BN22" i="2"/>
  <c r="B556" i="2"/>
  <c r="Z22" i="2"/>
  <c r="Z23" i="2" s="1"/>
  <c r="Y42" i="2"/>
  <c r="Y98" i="2"/>
  <c r="BP22" i="2"/>
  <c r="BP49" i="2"/>
  <c r="Z49" i="2"/>
  <c r="Z86" i="2"/>
  <c r="BN86" i="2"/>
  <c r="Z28" i="2"/>
  <c r="BN28" i="2"/>
  <c r="BP38" i="2"/>
  <c r="D556" i="2"/>
  <c r="BP61" i="2"/>
  <c r="Y81" i="2"/>
  <c r="BP77" i="2"/>
  <c r="Y80" i="2"/>
  <c r="BP94" i="2"/>
  <c r="G556" i="2"/>
  <c r="Y144" i="2"/>
  <c r="BN172" i="2"/>
  <c r="Z175" i="2"/>
  <c r="BP216" i="2"/>
  <c r="BN222" i="2"/>
  <c r="BN273" i="2"/>
  <c r="Z273" i="2"/>
  <c r="BP294" i="2"/>
  <c r="Y322" i="2"/>
  <c r="Y396" i="2"/>
  <c r="Y435" i="2"/>
  <c r="Z471" i="2"/>
  <c r="Y500" i="2"/>
  <c r="BP493" i="2"/>
  <c r="Z493" i="2"/>
  <c r="Y501" i="2"/>
  <c r="M556" i="2"/>
  <c r="BN49" i="2"/>
  <c r="Z77" i="2"/>
  <c r="BN104" i="2"/>
  <c r="Y117" i="2"/>
  <c r="Z167" i="2"/>
  <c r="Z168" i="2" s="1"/>
  <c r="Y182" i="2"/>
  <c r="BP201" i="2"/>
  <c r="BN259" i="2"/>
  <c r="Y267" i="2"/>
  <c r="Y287" i="2"/>
  <c r="BP285" i="2"/>
  <c r="Z285" i="2"/>
  <c r="Y408" i="2"/>
  <c r="Z556" i="2"/>
  <c r="Y506" i="2"/>
  <c r="Y283" i="2"/>
  <c r="O556" i="2"/>
  <c r="Y51" i="2"/>
  <c r="Y108" i="2"/>
  <c r="Z217" i="2"/>
  <c r="Z260" i="2"/>
  <c r="Z270" i="2"/>
  <c r="Z291" i="2"/>
  <c r="Z301" i="2"/>
  <c r="Z302" i="2" s="1"/>
  <c r="Z325" i="2"/>
  <c r="Z328" i="2" s="1"/>
  <c r="Y350" i="2"/>
  <c r="Z380" i="2"/>
  <c r="Z383" i="2" s="1"/>
  <c r="Y403" i="2"/>
  <c r="Z414" i="2"/>
  <c r="Z426" i="2"/>
  <c r="Z449" i="2"/>
  <c r="Z451" i="2" s="1"/>
  <c r="Y462" i="2"/>
  <c r="Z511" i="2"/>
  <c r="Y116" i="2"/>
  <c r="Y163" i="2"/>
  <c r="Y251" i="2"/>
  <c r="BP291" i="2"/>
  <c r="BP301" i="2"/>
  <c r="Y312" i="2"/>
  <c r="BP325" i="2"/>
  <c r="Z334" i="2"/>
  <c r="BP380" i="2"/>
  <c r="Z388" i="2"/>
  <c r="Z412" i="2"/>
  <c r="Z424" i="2"/>
  <c r="BP449" i="2"/>
  <c r="Y517" i="2"/>
  <c r="Y531" i="2"/>
  <c r="BN511" i="2"/>
  <c r="Z46" i="2"/>
  <c r="Z101" i="2"/>
  <c r="Z266" i="2"/>
  <c r="Z276" i="2"/>
  <c r="Z286" i="2"/>
  <c r="Z297" i="2"/>
  <c r="Y302" i="2"/>
  <c r="Z309" i="2"/>
  <c r="Z311" i="2" s="1"/>
  <c r="Z320" i="2"/>
  <c r="BN334" i="2"/>
  <c r="Z356" i="2"/>
  <c r="Z366" i="2"/>
  <c r="Z376" i="2"/>
  <c r="BN388" i="2"/>
  <c r="BN412" i="2"/>
  <c r="Y415" i="2"/>
  <c r="BN424" i="2"/>
  <c r="Z444" i="2"/>
  <c r="Z469" i="2"/>
  <c r="Z494" i="2"/>
  <c r="Z504" i="2"/>
  <c r="Z514" i="2"/>
  <c r="V556" i="2"/>
  <c r="BP412" i="2"/>
  <c r="BN444" i="2"/>
  <c r="BN469" i="2"/>
  <c r="Z480" i="2"/>
  <c r="Z481" i="2" s="1"/>
  <c r="BN494" i="2"/>
  <c r="BN504" i="2"/>
  <c r="BN514" i="2"/>
  <c r="Z538" i="2"/>
  <c r="X556" i="2"/>
  <c r="Z226" i="2"/>
  <c r="Z249" i="2"/>
  <c r="BN521" i="2"/>
  <c r="BN533" i="2"/>
  <c r="BN480" i="2"/>
  <c r="Z492" i="2"/>
  <c r="BN538" i="2"/>
  <c r="BP521" i="2"/>
  <c r="BP533" i="2"/>
  <c r="AB556" i="2"/>
  <c r="Z159" i="2"/>
  <c r="Z321" i="2" l="1"/>
  <c r="Z251" i="2"/>
  <c r="Z402" i="2"/>
  <c r="Z241" i="2"/>
  <c r="Z108" i="2"/>
  <c r="Z539" i="2"/>
  <c r="Z267" i="2"/>
  <c r="Z256" i="2"/>
  <c r="Z186" i="2"/>
  <c r="Z151" i="2"/>
  <c r="Z123" i="2"/>
  <c r="X549" i="2"/>
  <c r="Z50" i="2"/>
  <c r="Z31" i="2"/>
  <c r="Y547" i="2"/>
  <c r="Z116" i="2"/>
  <c r="Z227" i="2"/>
  <c r="Z336" i="2"/>
  <c r="Z90" i="2"/>
  <c r="Z287" i="2"/>
  <c r="Y550" i="2"/>
  <c r="Z342" i="2"/>
  <c r="Z500" i="2"/>
  <c r="Z41" i="2"/>
  <c r="Z143" i="2"/>
  <c r="Z181" i="2"/>
  <c r="Z506" i="2"/>
  <c r="Z472" i="2"/>
  <c r="Y546" i="2"/>
  <c r="Z97" i="2"/>
  <c r="Z445" i="2"/>
  <c r="Z360" i="2"/>
  <c r="Z62" i="2"/>
  <c r="Z390" i="2"/>
  <c r="Z282" i="2"/>
  <c r="Z428" i="2"/>
  <c r="Z206" i="2"/>
  <c r="Z415" i="2"/>
  <c r="Z377" i="2"/>
  <c r="Z370" i="2"/>
  <c r="Z516" i="2"/>
  <c r="Z163" i="2"/>
  <c r="Z138" i="2"/>
  <c r="Z298" i="2"/>
  <c r="Y548" i="2"/>
  <c r="Z80" i="2"/>
  <c r="Y549" i="2" l="1"/>
  <c r="Z551" i="2"/>
</calcChain>
</file>

<file path=xl/sharedStrings.xml><?xml version="1.0" encoding="utf-8"?>
<sst xmlns="http://schemas.openxmlformats.org/spreadsheetml/2006/main" count="4118" uniqueCount="871">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</sst>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6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67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68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 t="s">
        <v>870</v>
      </c>
      <c r="I5" s="976"/>
      <c r="J5" s="976"/>
      <c r="K5" s="976"/>
      <c r="L5" s="976"/>
      <c r="M5" s="976"/>
      <c r="N5" s="72"/>
      <c r="P5" s="27" t="s">
        <v>4</v>
      </c>
      <c r="Q5" s="978">
        <v>46306</v>
      </c>
      <c r="R5" s="978"/>
      <c r="T5" s="979" t="s">
        <v>3</v>
      </c>
      <c r="U5" s="980"/>
      <c r="V5" s="981" t="s">
        <v>851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852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Воскресенье</v>
      </c>
      <c r="R6" s="956"/>
      <c r="T6" s="957" t="s">
        <v>5</v>
      </c>
      <c r="U6" s="958"/>
      <c r="V6" s="959" t="s">
        <v>70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1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58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4.1666666666666664E-2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71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55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72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73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74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75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61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59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66</v>
      </c>
      <c r="L17" s="915" t="s">
        <v>64</v>
      </c>
      <c r="M17" s="915" t="s">
        <v>2</v>
      </c>
      <c r="N17" s="915" t="s">
        <v>63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56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60</v>
      </c>
      <c r="AB17" s="921" t="s">
        <v>19</v>
      </c>
      <c r="AC17" s="921" t="s">
        <v>65</v>
      </c>
      <c r="AD17" s="923" t="s">
        <v>57</v>
      </c>
      <c r="AE17" s="924"/>
      <c r="AF17" s="925"/>
      <c r="AG17" s="82"/>
      <c r="BD17" s="81" t="s">
        <v>62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hidden="1" customHeight="1" x14ac:dyDescent="0.2">
      <c r="A19" s="650" t="s">
        <v>76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54"/>
      <c r="AB19" s="54"/>
      <c r="AC19" s="54"/>
    </row>
    <row r="20" spans="1:68" ht="16.5" hidden="1" customHeight="1" x14ac:dyDescent="0.25">
      <c r="A20" s="643" t="s">
        <v>76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5"/>
      <c r="AB20" s="65"/>
      <c r="AC20" s="79"/>
    </row>
    <row r="21" spans="1:68" ht="14.25" hidden="1" customHeight="1" x14ac:dyDescent="0.25">
      <c r="A21" s="644" t="s">
        <v>77</v>
      </c>
      <c r="B21" s="644"/>
      <c r="C21" s="644"/>
      <c r="D21" s="644"/>
      <c r="E21" s="644"/>
      <c r="F21" s="644"/>
      <c r="G21" s="644"/>
      <c r="H21" s="644"/>
      <c r="I21" s="644"/>
      <c r="J21" s="644"/>
      <c r="K21" s="644"/>
      <c r="L21" s="644"/>
      <c r="M21" s="644"/>
      <c r="N21" s="644"/>
      <c r="O21" s="644"/>
      <c r="P21" s="644"/>
      <c r="Q21" s="644"/>
      <c r="R21" s="644"/>
      <c r="S21" s="644"/>
      <c r="T21" s="644"/>
      <c r="U21" s="644"/>
      <c r="V21" s="644"/>
      <c r="W21" s="644"/>
      <c r="X21" s="644"/>
      <c r="Y21" s="644"/>
      <c r="Z21" s="64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39">
        <v>4680115889071</v>
      </c>
      <c r="E22" s="639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1"/>
      <c r="R22" s="641"/>
      <c r="S22" s="641"/>
      <c r="T22" s="64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33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0" t="s">
        <v>40</v>
      </c>
      <c r="Q23" s="631"/>
      <c r="R23" s="631"/>
      <c r="S23" s="631"/>
      <c r="T23" s="631"/>
      <c r="U23" s="631"/>
      <c r="V23" s="632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44" t="s">
        <v>83</v>
      </c>
      <c r="B25" s="644"/>
      <c r="C25" s="644"/>
      <c r="D25" s="644"/>
      <c r="E25" s="644"/>
      <c r="F25" s="644"/>
      <c r="G25" s="644"/>
      <c r="H25" s="644"/>
      <c r="I25" s="644"/>
      <c r="J25" s="644"/>
      <c r="K25" s="644"/>
      <c r="L25" s="644"/>
      <c r="M25" s="644"/>
      <c r="N25" s="644"/>
      <c r="O25" s="644"/>
      <c r="P25" s="644"/>
      <c r="Q25" s="644"/>
      <c r="R25" s="644"/>
      <c r="S25" s="644"/>
      <c r="T25" s="644"/>
      <c r="U25" s="644"/>
      <c r="V25" s="644"/>
      <c r="W25" s="644"/>
      <c r="X25" s="644"/>
      <c r="Y25" s="644"/>
      <c r="Z25" s="644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39">
        <v>4680115885912</v>
      </c>
      <c r="E26" s="63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1"/>
      <c r="R26" s="641"/>
      <c r="S26" s="641"/>
      <c r="T26" s="64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39">
        <v>4607091388237</v>
      </c>
      <c r="E27" s="63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1"/>
      <c r="R27" s="641"/>
      <c r="S27" s="641"/>
      <c r="T27" s="64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39">
        <v>4680115887350</v>
      </c>
      <c r="E28" s="63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1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1"/>
      <c r="R28" s="641"/>
      <c r="S28" s="641"/>
      <c r="T28" s="64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39">
        <v>4680115885905</v>
      </c>
      <c r="E29" s="63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1"/>
      <c r="R29" s="641"/>
      <c r="S29" s="641"/>
      <c r="T29" s="64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39">
        <v>4680115887619</v>
      </c>
      <c r="E30" s="639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1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1"/>
      <c r="R30" s="641"/>
      <c r="S30" s="641"/>
      <c r="T30" s="64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33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0" t="s">
        <v>40</v>
      </c>
      <c r="Q31" s="631"/>
      <c r="R31" s="631"/>
      <c r="S31" s="631"/>
      <c r="T31" s="631"/>
      <c r="U31" s="631"/>
      <c r="V31" s="632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hidden="1" customHeight="1" x14ac:dyDescent="0.2">
      <c r="A33" s="650" t="s">
        <v>45</v>
      </c>
      <c r="B33" s="650"/>
      <c r="C33" s="650"/>
      <c r="D33" s="650"/>
      <c r="E33" s="650"/>
      <c r="F33" s="650"/>
      <c r="G33" s="650"/>
      <c r="H33" s="650"/>
      <c r="I33" s="650"/>
      <c r="J33" s="650"/>
      <c r="K33" s="650"/>
      <c r="L33" s="650"/>
      <c r="M33" s="650"/>
      <c r="N33" s="650"/>
      <c r="O33" s="650"/>
      <c r="P33" s="650"/>
      <c r="Q33" s="650"/>
      <c r="R33" s="650"/>
      <c r="S33" s="650"/>
      <c r="T33" s="650"/>
      <c r="U33" s="650"/>
      <c r="V33" s="650"/>
      <c r="W33" s="650"/>
      <c r="X33" s="650"/>
      <c r="Y33" s="650"/>
      <c r="Z33" s="650"/>
      <c r="AA33" s="54"/>
      <c r="AB33" s="54"/>
      <c r="AC33" s="54"/>
    </row>
    <row r="34" spans="1:68" ht="16.5" hidden="1" customHeight="1" x14ac:dyDescent="0.25">
      <c r="A34" s="643" t="s">
        <v>101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5"/>
      <c r="AB34" s="65"/>
      <c r="AC34" s="79"/>
    </row>
    <row r="35" spans="1:68" ht="14.25" hidden="1" customHeight="1" x14ac:dyDescent="0.25">
      <c r="A35" s="644" t="s">
        <v>83</v>
      </c>
      <c r="B35" s="644"/>
      <c r="C35" s="644"/>
      <c r="D35" s="644"/>
      <c r="E35" s="644"/>
      <c r="F35" s="644"/>
      <c r="G35" s="644"/>
      <c r="H35" s="644"/>
      <c r="I35" s="644"/>
      <c r="J35" s="644"/>
      <c r="K35" s="644"/>
      <c r="L35" s="644"/>
      <c r="M35" s="644"/>
      <c r="N35" s="644"/>
      <c r="O35" s="644"/>
      <c r="P35" s="644"/>
      <c r="Q35" s="644"/>
      <c r="R35" s="644"/>
      <c r="S35" s="644"/>
      <c r="T35" s="644"/>
      <c r="U35" s="644"/>
      <c r="V35" s="644"/>
      <c r="W35" s="644"/>
      <c r="X35" s="644"/>
      <c r="Y35" s="644"/>
      <c r="Z35" s="644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39">
        <v>4680115889354</v>
      </c>
      <c r="E36" s="639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41"/>
      <c r="R36" s="641"/>
      <c r="S36" s="641"/>
      <c r="T36" s="642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39">
        <v>4680115888463</v>
      </c>
      <c r="E37" s="63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9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41"/>
      <c r="R37" s="641"/>
      <c r="S37" s="641"/>
      <c r="T37" s="64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39">
        <v>4680115889590</v>
      </c>
      <c r="E38" s="639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90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41"/>
      <c r="R38" s="641"/>
      <c r="S38" s="641"/>
      <c r="T38" s="64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39">
        <v>4680115888272</v>
      </c>
      <c r="E39" s="639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90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41"/>
      <c r="R39" s="641"/>
      <c r="S39" s="641"/>
      <c r="T39" s="64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39">
        <v>4680115888364</v>
      </c>
      <c r="E40" s="63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90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41"/>
      <c r="R40" s="641"/>
      <c r="S40" s="641"/>
      <c r="T40" s="64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633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0" t="s">
        <v>40</v>
      </c>
      <c r="Q41" s="631"/>
      <c r="R41" s="631"/>
      <c r="S41" s="631"/>
      <c r="T41" s="631"/>
      <c r="U41" s="631"/>
      <c r="V41" s="632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0" t="s">
        <v>40</v>
      </c>
      <c r="Q42" s="631"/>
      <c r="R42" s="631"/>
      <c r="S42" s="631"/>
      <c r="T42" s="631"/>
      <c r="U42" s="631"/>
      <c r="V42" s="632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50" t="s">
        <v>117</v>
      </c>
      <c r="B43" s="650"/>
      <c r="C43" s="650"/>
      <c r="D43" s="650"/>
      <c r="E43" s="650"/>
      <c r="F43" s="650"/>
      <c r="G43" s="650"/>
      <c r="H43" s="650"/>
      <c r="I43" s="650"/>
      <c r="J43" s="650"/>
      <c r="K43" s="650"/>
      <c r="L43" s="650"/>
      <c r="M43" s="650"/>
      <c r="N43" s="650"/>
      <c r="O43" s="650"/>
      <c r="P43" s="650"/>
      <c r="Q43" s="650"/>
      <c r="R43" s="650"/>
      <c r="S43" s="650"/>
      <c r="T43" s="650"/>
      <c r="U43" s="650"/>
      <c r="V43" s="650"/>
      <c r="W43" s="650"/>
      <c r="X43" s="650"/>
      <c r="Y43" s="650"/>
      <c r="Z43" s="650"/>
      <c r="AA43" s="54"/>
      <c r="AB43" s="54"/>
      <c r="AC43" s="54"/>
    </row>
    <row r="44" spans="1:68" ht="16.5" hidden="1" customHeight="1" x14ac:dyDescent="0.25">
      <c r="A44" s="643" t="s">
        <v>118</v>
      </c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3"/>
      <c r="P44" s="643"/>
      <c r="Q44" s="643"/>
      <c r="R44" s="643"/>
      <c r="S44" s="643"/>
      <c r="T44" s="643"/>
      <c r="U44" s="643"/>
      <c r="V44" s="643"/>
      <c r="W44" s="643"/>
      <c r="X44" s="643"/>
      <c r="Y44" s="643"/>
      <c r="Z44" s="643"/>
      <c r="AA44" s="65"/>
      <c r="AB44" s="65"/>
      <c r="AC44" s="79"/>
    </row>
    <row r="45" spans="1:68" ht="14.25" hidden="1" customHeight="1" x14ac:dyDescent="0.25">
      <c r="A45" s="644" t="s">
        <v>119</v>
      </c>
      <c r="B45" s="644"/>
      <c r="C45" s="644"/>
      <c r="D45" s="644"/>
      <c r="E45" s="644"/>
      <c r="F45" s="644"/>
      <c r="G45" s="644"/>
      <c r="H45" s="644"/>
      <c r="I45" s="644"/>
      <c r="J45" s="644"/>
      <c r="K45" s="644"/>
      <c r="L45" s="644"/>
      <c r="M45" s="644"/>
      <c r="N45" s="644"/>
      <c r="O45" s="644"/>
      <c r="P45" s="644"/>
      <c r="Q45" s="644"/>
      <c r="R45" s="644"/>
      <c r="S45" s="644"/>
      <c r="T45" s="644"/>
      <c r="U45" s="644"/>
      <c r="V45" s="644"/>
      <c r="W45" s="644"/>
      <c r="X45" s="644"/>
      <c r="Y45" s="644"/>
      <c r="Z45" s="644"/>
      <c r="AA45" s="66"/>
      <c r="AB45" s="66"/>
      <c r="AC45" s="80"/>
    </row>
    <row r="46" spans="1:68" ht="16.5" customHeight="1" x14ac:dyDescent="0.25">
      <c r="A46" s="63" t="s">
        <v>120</v>
      </c>
      <c r="B46" s="63" t="s">
        <v>121</v>
      </c>
      <c r="C46" s="36">
        <v>4301011380</v>
      </c>
      <c r="D46" s="639">
        <v>4607091385670</v>
      </c>
      <c r="E46" s="639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9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41"/>
      <c r="R46" s="641"/>
      <c r="S46" s="641"/>
      <c r="T46" s="642"/>
      <c r="U46" s="39" t="s">
        <v>46</v>
      </c>
      <c r="V46" s="39" t="s">
        <v>46</v>
      </c>
      <c r="W46" s="40" t="s">
        <v>0</v>
      </c>
      <c r="X46" s="58">
        <v>150</v>
      </c>
      <c r="Y46" s="55">
        <f>IFERROR(IF(X46="",0,CEILING((X46/$H46),1)*$H46),"")</f>
        <v>151.20000000000002</v>
      </c>
      <c r="Z46" s="41">
        <f>IFERROR(IF(Y46=0,"",ROUNDUP(Y46/H46,0)*0.01898),"")</f>
        <v>0.26572000000000001</v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155.69444444444446</v>
      </c>
      <c r="BN46" s="78">
        <f>IFERROR(Y46*I46/H46,"0")</f>
        <v>156.94</v>
      </c>
      <c r="BO46" s="78">
        <f>IFERROR(1/J46*(X46/H46),"0")</f>
        <v>0.21701388888888887</v>
      </c>
      <c r="BP46" s="78">
        <f>IFERROR(1/J46*(Y46/H46),"0")</f>
        <v>0.21875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39">
        <v>4680115887725</v>
      </c>
      <c r="E47" s="639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90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41"/>
      <c r="R47" s="641"/>
      <c r="S47" s="641"/>
      <c r="T47" s="64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129</v>
      </c>
      <c r="B48" s="63" t="s">
        <v>130</v>
      </c>
      <c r="C48" s="36">
        <v>4301011382</v>
      </c>
      <c r="D48" s="639">
        <v>4607091385687</v>
      </c>
      <c r="E48" s="639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9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41"/>
      <c r="R48" s="641"/>
      <c r="S48" s="641"/>
      <c r="T48" s="642"/>
      <c r="U48" s="39" t="s">
        <v>46</v>
      </c>
      <c r="V48" s="39" t="s">
        <v>46</v>
      </c>
      <c r="W48" s="40" t="s">
        <v>0</v>
      </c>
      <c r="X48" s="58">
        <v>80</v>
      </c>
      <c r="Y48" s="55">
        <f>IFERROR(IF(X48="",0,CEILING((X48/$H48),1)*$H48),"")</f>
        <v>80</v>
      </c>
      <c r="Z48" s="41">
        <f>IFERROR(IF(Y48=0,"",ROUNDUP(Y48/H48,0)*0.00902),"")</f>
        <v>0.1804</v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83.800000000000011</v>
      </c>
      <c r="BN48" s="78">
        <f>IFERROR(Y48*I48/H48,"0")</f>
        <v>83.800000000000011</v>
      </c>
      <c r="BO48" s="78">
        <f>IFERROR(1/J48*(X48/H48),"0")</f>
        <v>0.15151515151515152</v>
      </c>
      <c r="BP48" s="78">
        <f>IFERROR(1/J48*(Y48/H48),"0")</f>
        <v>0.15151515151515152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39">
        <v>4680115882539</v>
      </c>
      <c r="E49" s="639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90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41"/>
      <c r="R49" s="641"/>
      <c r="S49" s="641"/>
      <c r="T49" s="64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633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0" t="s">
        <v>40</v>
      </c>
      <c r="Q50" s="631"/>
      <c r="R50" s="631"/>
      <c r="S50" s="631"/>
      <c r="T50" s="631"/>
      <c r="U50" s="631"/>
      <c r="V50" s="632"/>
      <c r="W50" s="42" t="s">
        <v>39</v>
      </c>
      <c r="X50" s="43">
        <f>IFERROR(X46/H46,"0")+IFERROR(X47/H47,"0")+IFERROR(X48/H48,"0")+IFERROR(X49/H49,"0")</f>
        <v>33.888888888888886</v>
      </c>
      <c r="Y50" s="43">
        <f>IFERROR(Y46/H46,"0")+IFERROR(Y47/H47,"0")+IFERROR(Y48/H48,"0")+IFERROR(Y49/H49,"0")</f>
        <v>34</v>
      </c>
      <c r="Z50" s="43">
        <f>IFERROR(IF(Z46="",0,Z46),"0")+IFERROR(IF(Z47="",0,Z47),"0")+IFERROR(IF(Z48="",0,Z48),"0")+IFERROR(IF(Z49="",0,Z49),"0")</f>
        <v>0.44612000000000002</v>
      </c>
      <c r="AA50" s="67"/>
      <c r="AB50" s="67"/>
      <c r="AC50" s="67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0" t="s">
        <v>40</v>
      </c>
      <c r="Q51" s="631"/>
      <c r="R51" s="631"/>
      <c r="S51" s="631"/>
      <c r="T51" s="631"/>
      <c r="U51" s="631"/>
      <c r="V51" s="632"/>
      <c r="W51" s="42" t="s">
        <v>0</v>
      </c>
      <c r="X51" s="43">
        <f>IFERROR(SUM(X46:X49),"0")</f>
        <v>230</v>
      </c>
      <c r="Y51" s="43">
        <f>IFERROR(SUM(Y46:Y49),"0")</f>
        <v>231.20000000000002</v>
      </c>
      <c r="Z51" s="42"/>
      <c r="AA51" s="67"/>
      <c r="AB51" s="67"/>
      <c r="AC51" s="67"/>
    </row>
    <row r="52" spans="1:68" ht="16.5" hidden="1" customHeight="1" x14ac:dyDescent="0.25">
      <c r="A52" s="643" t="s">
        <v>134</v>
      </c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3"/>
      <c r="P52" s="643"/>
      <c r="Q52" s="643"/>
      <c r="R52" s="643"/>
      <c r="S52" s="643"/>
      <c r="T52" s="643"/>
      <c r="U52" s="643"/>
      <c r="V52" s="643"/>
      <c r="W52" s="643"/>
      <c r="X52" s="643"/>
      <c r="Y52" s="643"/>
      <c r="Z52" s="643"/>
      <c r="AA52" s="65"/>
      <c r="AB52" s="65"/>
      <c r="AC52" s="79"/>
    </row>
    <row r="53" spans="1:68" ht="14.25" hidden="1" customHeight="1" x14ac:dyDescent="0.25">
      <c r="A53" s="644" t="s">
        <v>119</v>
      </c>
      <c r="B53" s="644"/>
      <c r="C53" s="644"/>
      <c r="D53" s="644"/>
      <c r="E53" s="644"/>
      <c r="F53" s="644"/>
      <c r="G53" s="644"/>
      <c r="H53" s="644"/>
      <c r="I53" s="644"/>
      <c r="J53" s="644"/>
      <c r="K53" s="644"/>
      <c r="L53" s="644"/>
      <c r="M53" s="644"/>
      <c r="N53" s="644"/>
      <c r="O53" s="644"/>
      <c r="P53" s="644"/>
      <c r="Q53" s="644"/>
      <c r="R53" s="644"/>
      <c r="S53" s="644"/>
      <c r="T53" s="644"/>
      <c r="U53" s="644"/>
      <c r="V53" s="644"/>
      <c r="W53" s="644"/>
      <c r="X53" s="644"/>
      <c r="Y53" s="644"/>
      <c r="Z53" s="644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39">
        <v>4680115885882</v>
      </c>
      <c r="E54" s="639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89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41"/>
      <c r="R54" s="641"/>
      <c r="S54" s="641"/>
      <c r="T54" s="642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4301011816</v>
      </c>
      <c r="D55" s="639">
        <v>4680115881426</v>
      </c>
      <c r="E55" s="639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8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41"/>
      <c r="R55" s="641"/>
      <c r="S55" s="641"/>
      <c r="T55" s="642"/>
      <c r="U55" s="39" t="s">
        <v>46</v>
      </c>
      <c r="V55" s="39" t="s">
        <v>46</v>
      </c>
      <c r="W55" s="40" t="s">
        <v>0</v>
      </c>
      <c r="X55" s="58">
        <v>300</v>
      </c>
      <c r="Y55" s="55">
        <f t="shared" si="0"/>
        <v>302.40000000000003</v>
      </c>
      <c r="Z55" s="41">
        <f>IFERROR(IF(Y55=0,"",ROUNDUP(Y55/H55,0)*0.01898),"")</f>
        <v>0.53144000000000002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311.38888888888891</v>
      </c>
      <c r="BN55" s="78">
        <f t="shared" si="2"/>
        <v>313.88</v>
      </c>
      <c r="BO55" s="78">
        <f t="shared" si="3"/>
        <v>0.43402777777777773</v>
      </c>
      <c r="BP55" s="78">
        <f t="shared" si="4"/>
        <v>0.4375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39">
        <v>4680115881426</v>
      </c>
      <c r="E56" s="63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89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41"/>
      <c r="R56" s="641"/>
      <c r="S56" s="641"/>
      <c r="T56" s="64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39">
        <v>4680115880283</v>
      </c>
      <c r="E57" s="63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89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1"/>
      <c r="R57" s="641"/>
      <c r="S57" s="641"/>
      <c r="T57" s="64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39">
        <v>4680115881525</v>
      </c>
      <c r="E58" s="63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89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1"/>
      <c r="R58" s="641"/>
      <c r="S58" s="641"/>
      <c r="T58" s="64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39">
        <v>4680115881525</v>
      </c>
      <c r="E59" s="63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89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1"/>
      <c r="R59" s="641"/>
      <c r="S59" s="641"/>
      <c r="T59" s="64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39">
        <v>4680115885899</v>
      </c>
      <c r="E60" s="63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89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1"/>
      <c r="R60" s="641"/>
      <c r="S60" s="641"/>
      <c r="T60" s="64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152</v>
      </c>
      <c r="B61" s="63" t="s">
        <v>153</v>
      </c>
      <c r="C61" s="36">
        <v>4301012158</v>
      </c>
      <c r="D61" s="639">
        <v>4680115881419</v>
      </c>
      <c r="E61" s="63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41"/>
      <c r="R61" s="641"/>
      <c r="S61" s="641"/>
      <c r="T61" s="642"/>
      <c r="U61" s="39" t="s">
        <v>46</v>
      </c>
      <c r="V61" s="39" t="s">
        <v>46</v>
      </c>
      <c r="W61" s="40" t="s">
        <v>0</v>
      </c>
      <c r="X61" s="58">
        <v>135</v>
      </c>
      <c r="Y61" s="55">
        <f t="shared" si="0"/>
        <v>135</v>
      </c>
      <c r="Z61" s="41">
        <f>IFERROR(IF(Y61=0,"",ROUNDUP(Y61/H61,0)*0.00902),"")</f>
        <v>0.27060000000000001</v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140.70000000000002</v>
      </c>
      <c r="BN61" s="78">
        <f t="shared" si="2"/>
        <v>140.70000000000002</v>
      </c>
      <c r="BO61" s="78">
        <f t="shared" si="3"/>
        <v>0.22727272727272729</v>
      </c>
      <c r="BP61" s="78">
        <f t="shared" si="4"/>
        <v>0.22727272727272729</v>
      </c>
    </row>
    <row r="62" spans="1:68" x14ac:dyDescent="0.2">
      <c r="A62" s="633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0" t="s">
        <v>40</v>
      </c>
      <c r="Q62" s="631"/>
      <c r="R62" s="631"/>
      <c r="S62" s="631"/>
      <c r="T62" s="631"/>
      <c r="U62" s="631"/>
      <c r="V62" s="632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57.777777777777771</v>
      </c>
      <c r="Y62" s="43">
        <f>IFERROR(Y54/H54,"0")+IFERROR(Y55/H55,"0")+IFERROR(Y56/H56,"0")+IFERROR(Y57/H57,"0")+IFERROR(Y58/H58,"0")+IFERROR(Y59/H59,"0")+IFERROR(Y60/H60,"0")+IFERROR(Y61/H61,"0")</f>
        <v>58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0.80204000000000009</v>
      </c>
      <c r="AA62" s="67"/>
      <c r="AB62" s="67"/>
      <c r="AC62" s="67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0" t="s">
        <v>40</v>
      </c>
      <c r="Q63" s="631"/>
      <c r="R63" s="631"/>
      <c r="S63" s="631"/>
      <c r="T63" s="631"/>
      <c r="U63" s="631"/>
      <c r="V63" s="632"/>
      <c r="W63" s="42" t="s">
        <v>0</v>
      </c>
      <c r="X63" s="43">
        <f>IFERROR(SUM(X54:X61),"0")</f>
        <v>435</v>
      </c>
      <c r="Y63" s="43">
        <f>IFERROR(SUM(Y54:Y61),"0")</f>
        <v>437.40000000000003</v>
      </c>
      <c r="Z63" s="42"/>
      <c r="AA63" s="67"/>
      <c r="AB63" s="67"/>
      <c r="AC63" s="67"/>
    </row>
    <row r="64" spans="1:68" ht="14.25" hidden="1" customHeight="1" x14ac:dyDescent="0.25">
      <c r="A64" s="644" t="s">
        <v>154</v>
      </c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4"/>
      <c r="Q64" s="644"/>
      <c r="R64" s="644"/>
      <c r="S64" s="644"/>
      <c r="T64" s="644"/>
      <c r="U64" s="644"/>
      <c r="V64" s="644"/>
      <c r="W64" s="644"/>
      <c r="X64" s="644"/>
      <c r="Y64" s="644"/>
      <c r="Z64" s="644"/>
      <c r="AA64" s="66"/>
      <c r="AB64" s="66"/>
      <c r="AC64" s="80"/>
    </row>
    <row r="65" spans="1:68" ht="27" hidden="1" customHeight="1" x14ac:dyDescent="0.25">
      <c r="A65" s="63" t="s">
        <v>155</v>
      </c>
      <c r="B65" s="63" t="s">
        <v>156</v>
      </c>
      <c r="C65" s="36">
        <v>4301020390</v>
      </c>
      <c r="D65" s="639">
        <v>4680115881440</v>
      </c>
      <c r="E65" s="63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89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41"/>
      <c r="R65" s="641"/>
      <c r="S65" s="641"/>
      <c r="T65" s="64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39">
        <v>4680115885950</v>
      </c>
      <c r="E66" s="63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8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1"/>
      <c r="R66" s="641"/>
      <c r="S66" s="641"/>
      <c r="T66" s="64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39">
        <v>4680115887688</v>
      </c>
      <c r="E67" s="63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88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1"/>
      <c r="R67" s="641"/>
      <c r="S67" s="641"/>
      <c r="T67" s="64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39">
        <v>4680115881433</v>
      </c>
      <c r="E68" s="63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888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41"/>
      <c r="R68" s="641"/>
      <c r="S68" s="641"/>
      <c r="T68" s="642"/>
      <c r="U68" s="39" t="s">
        <v>46</v>
      </c>
      <c r="V68" s="39" t="s">
        <v>46</v>
      </c>
      <c r="W68" s="40" t="s">
        <v>0</v>
      </c>
      <c r="X68" s="58">
        <v>90</v>
      </c>
      <c r="Y68" s="55">
        <f>IFERROR(IF(X68="",0,CEILING((X68/$H68),1)*$H68),"")</f>
        <v>91.800000000000011</v>
      </c>
      <c r="Z68" s="41">
        <f>IFERROR(IF(Y68=0,"",ROUNDUP(Y68/H68,0)*0.00651),"")</f>
        <v>0.22134000000000001</v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95.999999999999986</v>
      </c>
      <c r="BN68" s="78">
        <f>IFERROR(Y68*I68/H68,"0")</f>
        <v>97.92</v>
      </c>
      <c r="BO68" s="78">
        <f>IFERROR(1/J68*(X68/H68),"0")</f>
        <v>0.18315018315018314</v>
      </c>
      <c r="BP68" s="78">
        <f>IFERROR(1/J68*(Y68/H68),"0")</f>
        <v>0.18681318681318682</v>
      </c>
    </row>
    <row r="69" spans="1:68" x14ac:dyDescent="0.2">
      <c r="A69" s="633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0" t="s">
        <v>40</v>
      </c>
      <c r="Q69" s="631"/>
      <c r="R69" s="631"/>
      <c r="S69" s="631"/>
      <c r="T69" s="631"/>
      <c r="U69" s="631"/>
      <c r="V69" s="632"/>
      <c r="W69" s="42" t="s">
        <v>39</v>
      </c>
      <c r="X69" s="43">
        <f>IFERROR(X65/H65,"0")+IFERROR(X66/H66,"0")+IFERROR(X67/H67,"0")+IFERROR(X68/H68,"0")</f>
        <v>33.333333333333329</v>
      </c>
      <c r="Y69" s="43">
        <f>IFERROR(Y65/H65,"0")+IFERROR(Y66/H66,"0")+IFERROR(Y67/H67,"0")+IFERROR(Y68/H68,"0")</f>
        <v>34</v>
      </c>
      <c r="Z69" s="43">
        <f>IFERROR(IF(Z65="",0,Z65),"0")+IFERROR(IF(Z66="",0,Z66),"0")+IFERROR(IF(Z67="",0,Z67),"0")+IFERROR(IF(Z68="",0,Z68),"0")</f>
        <v>0.22134000000000001</v>
      </c>
      <c r="AA69" s="67"/>
      <c r="AB69" s="67"/>
      <c r="AC69" s="67"/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0</v>
      </c>
      <c r="X70" s="43">
        <f>IFERROR(SUM(X65:X68),"0")</f>
        <v>90</v>
      </c>
      <c r="Y70" s="43">
        <f>IFERROR(SUM(Y65:Y68),"0")</f>
        <v>91.800000000000011</v>
      </c>
      <c r="Z70" s="42"/>
      <c r="AA70" s="67"/>
      <c r="AB70" s="67"/>
      <c r="AC70" s="67"/>
    </row>
    <row r="71" spans="1:68" ht="14.25" hidden="1" customHeight="1" x14ac:dyDescent="0.25">
      <c r="A71" s="644" t="s">
        <v>83</v>
      </c>
      <c r="B71" s="644"/>
      <c r="C71" s="644"/>
      <c r="D71" s="644"/>
      <c r="E71" s="644"/>
      <c r="F71" s="644"/>
      <c r="G71" s="644"/>
      <c r="H71" s="644"/>
      <c r="I71" s="644"/>
      <c r="J71" s="644"/>
      <c r="K71" s="644"/>
      <c r="L71" s="644"/>
      <c r="M71" s="644"/>
      <c r="N71" s="644"/>
      <c r="O71" s="644"/>
      <c r="P71" s="644"/>
      <c r="Q71" s="644"/>
      <c r="R71" s="644"/>
      <c r="S71" s="644"/>
      <c r="T71" s="644"/>
      <c r="U71" s="644"/>
      <c r="V71" s="644"/>
      <c r="W71" s="644"/>
      <c r="X71" s="644"/>
      <c r="Y71" s="644"/>
      <c r="Z71" s="644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639">
        <v>4680115884311</v>
      </c>
      <c r="E72" s="63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8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1"/>
      <c r="R72" s="641"/>
      <c r="S72" s="641"/>
      <c r="T72" s="64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39">
        <v>4680115884403</v>
      </c>
      <c r="E73" s="63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88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1"/>
      <c r="R73" s="641"/>
      <c r="S73" s="641"/>
      <c r="T73" s="64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33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0" t="s">
        <v>40</v>
      </c>
      <c r="Q74" s="631"/>
      <c r="R74" s="631"/>
      <c r="S74" s="631"/>
      <c r="T74" s="631"/>
      <c r="U74" s="631"/>
      <c r="V74" s="632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0" t="s">
        <v>40</v>
      </c>
      <c r="Q75" s="631"/>
      <c r="R75" s="631"/>
      <c r="S75" s="631"/>
      <c r="T75" s="631"/>
      <c r="U75" s="631"/>
      <c r="V75" s="632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44" t="s">
        <v>172</v>
      </c>
      <c r="B76" s="644"/>
      <c r="C76" s="644"/>
      <c r="D76" s="644"/>
      <c r="E76" s="644"/>
      <c r="F76" s="644"/>
      <c r="G76" s="644"/>
      <c r="H76" s="644"/>
      <c r="I76" s="644"/>
      <c r="J76" s="644"/>
      <c r="K76" s="644"/>
      <c r="L76" s="644"/>
      <c r="M76" s="644"/>
      <c r="N76" s="644"/>
      <c r="O76" s="644"/>
      <c r="P76" s="644"/>
      <c r="Q76" s="644"/>
      <c r="R76" s="644"/>
      <c r="S76" s="644"/>
      <c r="T76" s="644"/>
      <c r="U76" s="644"/>
      <c r="V76" s="644"/>
      <c r="W76" s="644"/>
      <c r="X76" s="644"/>
      <c r="Y76" s="644"/>
      <c r="Z76" s="644"/>
      <c r="AA76" s="66"/>
      <c r="AB76" s="66"/>
      <c r="AC76" s="80"/>
    </row>
    <row r="77" spans="1:68" ht="27" customHeight="1" x14ac:dyDescent="0.25">
      <c r="A77" s="63" t="s">
        <v>173</v>
      </c>
      <c r="B77" s="63" t="s">
        <v>174</v>
      </c>
      <c r="C77" s="36">
        <v>4301060455</v>
      </c>
      <c r="D77" s="639">
        <v>4680115881532</v>
      </c>
      <c r="E77" s="639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1"/>
      <c r="R77" s="641"/>
      <c r="S77" s="641"/>
      <c r="T77" s="642"/>
      <c r="U77" s="39" t="s">
        <v>46</v>
      </c>
      <c r="V77" s="39" t="s">
        <v>46</v>
      </c>
      <c r="W77" s="40" t="s">
        <v>0</v>
      </c>
      <c r="X77" s="58">
        <v>20</v>
      </c>
      <c r="Y77" s="55">
        <f>IFERROR(IF(X77="",0,CEILING((X77/$H77),1)*$H77),"")</f>
        <v>23.4</v>
      </c>
      <c r="Z77" s="41">
        <f>IFERROR(IF(Y77=0,"",ROUNDUP(Y77/H77,0)*0.01898),"")</f>
        <v>5.6940000000000004E-2</v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21.051282051282055</v>
      </c>
      <c r="BN77" s="78">
        <f>IFERROR(Y77*I77/H77,"0")</f>
        <v>24.630000000000003</v>
      </c>
      <c r="BO77" s="78">
        <f>IFERROR(1/J77*(X77/H77),"0")</f>
        <v>4.0064102564102567E-2</v>
      </c>
      <c r="BP77" s="78">
        <f>IFERROR(1/J77*(Y77/H77),"0")</f>
        <v>4.6875E-2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39">
        <v>4680115881532</v>
      </c>
      <c r="E78" s="63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88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1"/>
      <c r="R78" s="641"/>
      <c r="S78" s="641"/>
      <c r="T78" s="64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39">
        <v>4680115881464</v>
      </c>
      <c r="E79" s="639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41"/>
      <c r="R79" s="641"/>
      <c r="S79" s="641"/>
      <c r="T79" s="64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33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0" t="s">
        <v>40</v>
      </c>
      <c r="Q80" s="631"/>
      <c r="R80" s="631"/>
      <c r="S80" s="631"/>
      <c r="T80" s="631"/>
      <c r="U80" s="631"/>
      <c r="V80" s="632"/>
      <c r="W80" s="42" t="s">
        <v>39</v>
      </c>
      <c r="X80" s="43">
        <f>IFERROR(X77/H77,"0")+IFERROR(X78/H78,"0")+IFERROR(X79/H79,"0")</f>
        <v>2.5641025641025643</v>
      </c>
      <c r="Y80" s="43">
        <f>IFERROR(Y77/H77,"0")+IFERROR(Y78/H78,"0")+IFERROR(Y79/H79,"0")</f>
        <v>3</v>
      </c>
      <c r="Z80" s="43">
        <f>IFERROR(IF(Z77="",0,Z77),"0")+IFERROR(IF(Z78="",0,Z78),"0")+IFERROR(IF(Z79="",0,Z79),"0")</f>
        <v>5.6940000000000004E-2</v>
      </c>
      <c r="AA80" s="67"/>
      <c r="AB80" s="67"/>
      <c r="AC80" s="67"/>
    </row>
    <row r="81" spans="1:68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0" t="s">
        <v>40</v>
      </c>
      <c r="Q81" s="631"/>
      <c r="R81" s="631"/>
      <c r="S81" s="631"/>
      <c r="T81" s="631"/>
      <c r="U81" s="631"/>
      <c r="V81" s="632"/>
      <c r="W81" s="42" t="s">
        <v>0</v>
      </c>
      <c r="X81" s="43">
        <f>IFERROR(SUM(X77:X79),"0")</f>
        <v>20</v>
      </c>
      <c r="Y81" s="43">
        <f>IFERROR(SUM(Y77:Y79),"0")</f>
        <v>23.4</v>
      </c>
      <c r="Z81" s="42"/>
      <c r="AA81" s="67"/>
      <c r="AB81" s="67"/>
      <c r="AC81" s="67"/>
    </row>
    <row r="82" spans="1:68" ht="16.5" hidden="1" customHeight="1" x14ac:dyDescent="0.25">
      <c r="A82" s="643" t="s">
        <v>180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5"/>
      <c r="AB82" s="65"/>
      <c r="AC82" s="79"/>
    </row>
    <row r="83" spans="1:68" ht="14.25" hidden="1" customHeight="1" x14ac:dyDescent="0.25">
      <c r="A83" s="644" t="s">
        <v>119</v>
      </c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4"/>
      <c r="N83" s="644"/>
      <c r="O83" s="644"/>
      <c r="P83" s="644"/>
      <c r="Q83" s="644"/>
      <c r="R83" s="644"/>
      <c r="S83" s="644"/>
      <c r="T83" s="644"/>
      <c r="U83" s="644"/>
      <c r="V83" s="644"/>
      <c r="W83" s="644"/>
      <c r="X83" s="644"/>
      <c r="Y83" s="644"/>
      <c r="Z83" s="644"/>
      <c r="AA83" s="66"/>
      <c r="AB83" s="66"/>
      <c r="AC83" s="80"/>
    </row>
    <row r="84" spans="1:68" ht="27" hidden="1" customHeight="1" x14ac:dyDescent="0.25">
      <c r="A84" s="63" t="s">
        <v>181</v>
      </c>
      <c r="B84" s="63" t="s">
        <v>182</v>
      </c>
      <c r="C84" s="36">
        <v>4301011468</v>
      </c>
      <c r="D84" s="639">
        <v>4680115881327</v>
      </c>
      <c r="E84" s="639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88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1"/>
      <c r="R84" s="641"/>
      <c r="S84" s="641"/>
      <c r="T84" s="642"/>
      <c r="U84" s="39" t="s">
        <v>46</v>
      </c>
      <c r="V84" s="39" t="s">
        <v>46</v>
      </c>
      <c r="W84" s="40" t="s">
        <v>0</v>
      </c>
      <c r="X84" s="58">
        <v>0</v>
      </c>
      <c r="Y84" s="55">
        <f t="shared" ref="Y84:Y89" si="5"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0</v>
      </c>
      <c r="BN84" s="78">
        <f t="shared" ref="BN84:BN89" si="7">IFERROR(Y84*I84/H84,"0")</f>
        <v>0</v>
      </c>
      <c r="BO84" s="78">
        <f t="shared" ref="BO84:BO89" si="8">IFERROR(1/J84*(X84/H84),"0")</f>
        <v>0</v>
      </c>
      <c r="BP84" s="78">
        <f t="shared" ref="BP84:BP89" si="9">IFERROR(1/J84*(Y84/H84),"0")</f>
        <v>0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39">
        <v>4680115881327</v>
      </c>
      <c r="E85" s="63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87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41"/>
      <c r="R85" s="641"/>
      <c r="S85" s="641"/>
      <c r="T85" s="642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39">
        <v>4680115887732</v>
      </c>
      <c r="E86" s="639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87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1"/>
      <c r="R86" s="641"/>
      <c r="S86" s="641"/>
      <c r="T86" s="64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39">
        <v>4680115881518</v>
      </c>
      <c r="E87" s="639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87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41"/>
      <c r="R87" s="641"/>
      <c r="S87" s="641"/>
      <c r="T87" s="64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39">
        <v>4680115881518</v>
      </c>
      <c r="E88" s="63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88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41"/>
      <c r="R88" s="641"/>
      <c r="S88" s="641"/>
      <c r="T88" s="64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4301012250</v>
      </c>
      <c r="D89" s="639">
        <v>4680115881303</v>
      </c>
      <c r="E89" s="63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88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41"/>
      <c r="R89" s="641"/>
      <c r="S89" s="641"/>
      <c r="T89" s="642"/>
      <c r="U89" s="39" t="s">
        <v>46</v>
      </c>
      <c r="V89" s="39" t="s">
        <v>46</v>
      </c>
      <c r="W89" s="40" t="s">
        <v>0</v>
      </c>
      <c r="X89" s="58">
        <v>450</v>
      </c>
      <c r="Y89" s="55">
        <f t="shared" si="5"/>
        <v>450</v>
      </c>
      <c r="Z89" s="41">
        <f>IFERROR(IF(Y89=0,"",ROUNDUP(Y89/H89,0)*0.00902),"")</f>
        <v>0.90200000000000002</v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469</v>
      </c>
      <c r="BN89" s="78">
        <f t="shared" si="7"/>
        <v>469</v>
      </c>
      <c r="BO89" s="78">
        <f t="shared" si="8"/>
        <v>0.75757575757575757</v>
      </c>
      <c r="BP89" s="78">
        <f t="shared" si="9"/>
        <v>0.75757575757575757</v>
      </c>
    </row>
    <row r="90" spans="1:68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IFERROR(X84/H84,"0")+IFERROR(X85/H85,"0")+IFERROR(X86/H86,"0")+IFERROR(X87/H87,"0")+IFERROR(X88/H88,"0")+IFERROR(X89/H89,"0")</f>
        <v>100</v>
      </c>
      <c r="Y90" s="43">
        <f>IFERROR(Y84/H84,"0")+IFERROR(Y85/H85,"0")+IFERROR(Y86/H86,"0")+IFERROR(Y87/H87,"0")+IFERROR(Y88/H88,"0")+IFERROR(Y89/H89,"0")</f>
        <v>100</v>
      </c>
      <c r="Z90" s="43">
        <f>IFERROR(IF(Z84="",0,Z84),"0")+IFERROR(IF(Z85="",0,Z85),"0")+IFERROR(IF(Z86="",0,Z86),"0")+IFERROR(IF(Z87="",0,Z87),"0")+IFERROR(IF(Z88="",0,Z88),"0")+IFERROR(IF(Z89="",0,Z89),"0")</f>
        <v>0.90200000000000002</v>
      </c>
      <c r="AA90" s="67"/>
      <c r="AB90" s="67"/>
      <c r="AC90" s="67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IFERROR(SUM(X84:X89),"0")</f>
        <v>450</v>
      </c>
      <c r="Y91" s="43">
        <f>IFERROR(SUM(Y84:Y89),"0")</f>
        <v>450</v>
      </c>
      <c r="Z91" s="42"/>
      <c r="AA91" s="67"/>
      <c r="AB91" s="67"/>
      <c r="AC91" s="67"/>
    </row>
    <row r="92" spans="1:68" ht="14.25" hidden="1" customHeight="1" x14ac:dyDescent="0.25">
      <c r="A92" s="644" t="s">
        <v>83</v>
      </c>
      <c r="B92" s="644"/>
      <c r="C92" s="644"/>
      <c r="D92" s="644"/>
      <c r="E92" s="644"/>
      <c r="F92" s="644"/>
      <c r="G92" s="644"/>
      <c r="H92" s="644"/>
      <c r="I92" s="644"/>
      <c r="J92" s="644"/>
      <c r="K92" s="644"/>
      <c r="L92" s="644"/>
      <c r="M92" s="644"/>
      <c r="N92" s="644"/>
      <c r="O92" s="644"/>
      <c r="P92" s="644"/>
      <c r="Q92" s="644"/>
      <c r="R92" s="644"/>
      <c r="S92" s="644"/>
      <c r="T92" s="644"/>
      <c r="U92" s="644"/>
      <c r="V92" s="644"/>
      <c r="W92" s="644"/>
      <c r="X92" s="644"/>
      <c r="Y92" s="644"/>
      <c r="Z92" s="644"/>
      <c r="AA92" s="66"/>
      <c r="AB92" s="66"/>
      <c r="AC92" s="80"/>
    </row>
    <row r="93" spans="1:68" ht="27" customHeight="1" x14ac:dyDescent="0.25">
      <c r="A93" s="63" t="s">
        <v>193</v>
      </c>
      <c r="B93" s="63" t="s">
        <v>194</v>
      </c>
      <c r="C93" s="36">
        <v>4301052101</v>
      </c>
      <c r="D93" s="639">
        <v>4607091386967</v>
      </c>
      <c r="E93" s="63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87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41"/>
      <c r="R93" s="641"/>
      <c r="S93" s="641"/>
      <c r="T93" s="642"/>
      <c r="U93" s="39" t="s">
        <v>46</v>
      </c>
      <c r="V93" s="39" t="s">
        <v>46</v>
      </c>
      <c r="W93" s="40" t="s">
        <v>0</v>
      </c>
      <c r="X93" s="58">
        <v>250</v>
      </c>
      <c r="Y93" s="55">
        <f>IFERROR(IF(X93="",0,CEILING((X93/$H93),1)*$H93),"")</f>
        <v>251.1</v>
      </c>
      <c r="Z93" s="41">
        <f>IFERROR(IF(Y93=0,"",ROUNDUP(Y93/H93,0)*0.01898),"")</f>
        <v>0.58838000000000001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265.24691358024694</v>
      </c>
      <c r="BN93" s="78">
        <f>IFERROR(Y93*I93/H93,"0")</f>
        <v>266.41399999999999</v>
      </c>
      <c r="BO93" s="78">
        <f>IFERROR(1/J93*(X93/H93),"0")</f>
        <v>0.48225308641975312</v>
      </c>
      <c r="BP93" s="78">
        <f>IFERROR(1/J93*(Y93/H93),"0")</f>
        <v>0.484375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39">
        <v>4680115884953</v>
      </c>
      <c r="E94" s="63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87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41"/>
      <c r="R94" s="641"/>
      <c r="S94" s="641"/>
      <c r="T94" s="64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4301052094</v>
      </c>
      <c r="D95" s="639">
        <v>4607091385731</v>
      </c>
      <c r="E95" s="63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87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41"/>
      <c r="R95" s="641"/>
      <c r="S95" s="641"/>
      <c r="T95" s="642"/>
      <c r="U95" s="39" t="s">
        <v>46</v>
      </c>
      <c r="V95" s="39" t="s">
        <v>46</v>
      </c>
      <c r="W95" s="40" t="s">
        <v>0</v>
      </c>
      <c r="X95" s="58">
        <v>180</v>
      </c>
      <c r="Y95" s="55">
        <f>IFERROR(IF(X95="",0,CEILING((X95/$H95),1)*$H95),"")</f>
        <v>180.9</v>
      </c>
      <c r="Z95" s="41">
        <f>IFERROR(IF(Y95=0,"",ROUNDUP(Y95/H95,0)*0.00651),"")</f>
        <v>0.43617</v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196.79999999999998</v>
      </c>
      <c r="BN95" s="78">
        <f>IFERROR(Y95*I95/H95,"0")</f>
        <v>197.78399999999999</v>
      </c>
      <c r="BO95" s="78">
        <f>IFERROR(1/J95*(X95/H95),"0")</f>
        <v>0.36630036630036628</v>
      </c>
      <c r="BP95" s="78">
        <f>IFERROR(1/J95*(Y95/H95),"0")</f>
        <v>0.36813186813186816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39">
        <v>4680115880894</v>
      </c>
      <c r="E96" s="63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87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41"/>
      <c r="R96" s="641"/>
      <c r="S96" s="641"/>
      <c r="T96" s="64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97.53086419753086</v>
      </c>
      <c r="Y97" s="43">
        <f>IFERROR(Y93/H93,"0")+IFERROR(Y94/H94,"0")+IFERROR(Y95/H95,"0")+IFERROR(Y96/H96,"0")</f>
        <v>98</v>
      </c>
      <c r="Z97" s="43">
        <f>IFERROR(IF(Z93="",0,Z93),"0")+IFERROR(IF(Z94="",0,Z94),"0")+IFERROR(IF(Z95="",0,Z95),"0")+IFERROR(IF(Z96="",0,Z96),"0")</f>
        <v>1.0245500000000001</v>
      </c>
      <c r="AA97" s="67"/>
      <c r="AB97" s="67"/>
      <c r="AC97" s="67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430</v>
      </c>
      <c r="Y98" s="43">
        <f>IFERROR(SUM(Y93:Y96),"0")</f>
        <v>432</v>
      </c>
      <c r="Z98" s="42"/>
      <c r="AA98" s="67"/>
      <c r="AB98" s="67"/>
      <c r="AC98" s="67"/>
    </row>
    <row r="99" spans="1:68" ht="16.5" hidden="1" customHeight="1" x14ac:dyDescent="0.25">
      <c r="A99" s="643" t="s">
        <v>204</v>
      </c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3"/>
      <c r="P99" s="643"/>
      <c r="Q99" s="643"/>
      <c r="R99" s="643"/>
      <c r="S99" s="643"/>
      <c r="T99" s="643"/>
      <c r="U99" s="643"/>
      <c r="V99" s="643"/>
      <c r="W99" s="643"/>
      <c r="X99" s="643"/>
      <c r="Y99" s="643"/>
      <c r="Z99" s="643"/>
      <c r="AA99" s="65"/>
      <c r="AB99" s="65"/>
      <c r="AC99" s="79"/>
    </row>
    <row r="100" spans="1:68" ht="14.25" hidden="1" customHeight="1" x14ac:dyDescent="0.25">
      <c r="A100" s="644" t="s">
        <v>119</v>
      </c>
      <c r="B100" s="644"/>
      <c r="C100" s="644"/>
      <c r="D100" s="644"/>
      <c r="E100" s="644"/>
      <c r="F100" s="644"/>
      <c r="G100" s="644"/>
      <c r="H100" s="644"/>
      <c r="I100" s="644"/>
      <c r="J100" s="644"/>
      <c r="K100" s="644"/>
      <c r="L100" s="644"/>
      <c r="M100" s="644"/>
      <c r="N100" s="644"/>
      <c r="O100" s="644"/>
      <c r="P100" s="644"/>
      <c r="Q100" s="644"/>
      <c r="R100" s="644"/>
      <c r="S100" s="644"/>
      <c r="T100" s="644"/>
      <c r="U100" s="644"/>
      <c r="V100" s="644"/>
      <c r="W100" s="644"/>
      <c r="X100" s="644"/>
      <c r="Y100" s="644"/>
      <c r="Z100" s="644"/>
      <c r="AA100" s="66"/>
      <c r="AB100" s="66"/>
      <c r="AC100" s="80"/>
    </row>
    <row r="101" spans="1:68" ht="37.5" hidden="1" customHeight="1" x14ac:dyDescent="0.25">
      <c r="A101" s="63" t="s">
        <v>205</v>
      </c>
      <c r="B101" s="63" t="s">
        <v>206</v>
      </c>
      <c r="C101" s="36">
        <v>4301011514</v>
      </c>
      <c r="D101" s="639">
        <v>4680115882133</v>
      </c>
      <c r="E101" s="63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87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41"/>
      <c r="R101" s="641"/>
      <c r="S101" s="641"/>
      <c r="T101" s="64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7" si="10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0</v>
      </c>
      <c r="BN101" s="78">
        <f t="shared" ref="BN101:BN107" si="12">IFERROR(Y101*I101/H101,"0")</f>
        <v>0</v>
      </c>
      <c r="BO101" s="78">
        <f t="shared" ref="BO101:BO107" si="13">IFERROR(1/J101*(X101/H101),"0")</f>
        <v>0</v>
      </c>
      <c r="BP101" s="78">
        <f t="shared" ref="BP101:BP107" si="14">IFERROR(1/J101*(Y101/H101),"0")</f>
        <v>0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39">
        <v>4680115882133</v>
      </c>
      <c r="E102" s="63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8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41"/>
      <c r="R102" s="641"/>
      <c r="S102" s="641"/>
      <c r="T102" s="64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39">
        <v>4680115887718</v>
      </c>
      <c r="E103" s="63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8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1"/>
      <c r="R103" s="641"/>
      <c r="S103" s="641"/>
      <c r="T103" s="64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39">
        <v>4680115880269</v>
      </c>
      <c r="E104" s="63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8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41"/>
      <c r="R104" s="641"/>
      <c r="S104" s="641"/>
      <c r="T104" s="64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215</v>
      </c>
      <c r="B105" s="63" t="s">
        <v>216</v>
      </c>
      <c r="C105" s="36">
        <v>4301012254</v>
      </c>
      <c r="D105" s="639">
        <v>4680115880429</v>
      </c>
      <c r="E105" s="63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8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1"/>
      <c r="R105" s="641"/>
      <c r="S105" s="641"/>
      <c r="T105" s="642"/>
      <c r="U105" s="39" t="s">
        <v>46</v>
      </c>
      <c r="V105" s="39" t="s">
        <v>46</v>
      </c>
      <c r="W105" s="40" t="s">
        <v>0</v>
      </c>
      <c r="X105" s="58">
        <v>180</v>
      </c>
      <c r="Y105" s="55">
        <f t="shared" si="10"/>
        <v>180</v>
      </c>
      <c r="Z105" s="41">
        <f>IFERROR(IF(Y105=0,"",ROUNDUP(Y105/H105,0)*0.00902),"")</f>
        <v>0.36080000000000001</v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187.60000000000002</v>
      </c>
      <c r="BN105" s="78">
        <f t="shared" si="12"/>
        <v>187.60000000000002</v>
      </c>
      <c r="BO105" s="78">
        <f t="shared" si="13"/>
        <v>0.30303030303030304</v>
      </c>
      <c r="BP105" s="78">
        <f t="shared" si="14"/>
        <v>0.30303030303030304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39">
        <v>4680115881457</v>
      </c>
      <c r="E106" s="63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8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41"/>
      <c r="R106" s="641"/>
      <c r="S106" s="641"/>
      <c r="T106" s="64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39">
        <v>4680115889477</v>
      </c>
      <c r="E107" s="639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86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41"/>
      <c r="R107" s="641"/>
      <c r="S107" s="641"/>
      <c r="T107" s="64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633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0" t="s">
        <v>40</v>
      </c>
      <c r="Q108" s="631"/>
      <c r="R108" s="631"/>
      <c r="S108" s="631"/>
      <c r="T108" s="631"/>
      <c r="U108" s="631"/>
      <c r="V108" s="632"/>
      <c r="W108" s="42" t="s">
        <v>39</v>
      </c>
      <c r="X108" s="43">
        <f>IFERROR(X101/H101,"0")+IFERROR(X102/H102,"0")+IFERROR(X103/H103,"0")+IFERROR(X104/H104,"0")+IFERROR(X105/H105,"0")+IFERROR(X106/H106,"0")+IFERROR(X107/H107,"0")</f>
        <v>40</v>
      </c>
      <c r="Y108" s="43">
        <f>IFERROR(Y101/H101,"0")+IFERROR(Y102/H102,"0")+IFERROR(Y103/H103,"0")+IFERROR(Y104/H104,"0")+IFERROR(Y105/H105,"0")+IFERROR(Y106/H106,"0")+IFERROR(Y107/H107,"0")</f>
        <v>40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0.36080000000000001</v>
      </c>
      <c r="AA108" s="67"/>
      <c r="AB108" s="67"/>
      <c r="AC108" s="67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0" t="s">
        <v>40</v>
      </c>
      <c r="Q109" s="631"/>
      <c r="R109" s="631"/>
      <c r="S109" s="631"/>
      <c r="T109" s="631"/>
      <c r="U109" s="631"/>
      <c r="V109" s="632"/>
      <c r="W109" s="42" t="s">
        <v>0</v>
      </c>
      <c r="X109" s="43">
        <f>IFERROR(SUM(X101:X107),"0")</f>
        <v>180</v>
      </c>
      <c r="Y109" s="43">
        <f>IFERROR(SUM(Y101:Y107),"0")</f>
        <v>180</v>
      </c>
      <c r="Z109" s="42"/>
      <c r="AA109" s="67"/>
      <c r="AB109" s="67"/>
      <c r="AC109" s="67"/>
    </row>
    <row r="110" spans="1:68" ht="14.25" hidden="1" customHeight="1" x14ac:dyDescent="0.25">
      <c r="A110" s="644" t="s">
        <v>154</v>
      </c>
      <c r="B110" s="644"/>
      <c r="C110" s="644"/>
      <c r="D110" s="644"/>
      <c r="E110" s="644"/>
      <c r="F110" s="644"/>
      <c r="G110" s="644"/>
      <c r="H110" s="644"/>
      <c r="I110" s="644"/>
      <c r="J110" s="644"/>
      <c r="K110" s="644"/>
      <c r="L110" s="644"/>
      <c r="M110" s="644"/>
      <c r="N110" s="644"/>
      <c r="O110" s="644"/>
      <c r="P110" s="644"/>
      <c r="Q110" s="644"/>
      <c r="R110" s="644"/>
      <c r="S110" s="644"/>
      <c r="T110" s="644"/>
      <c r="U110" s="644"/>
      <c r="V110" s="644"/>
      <c r="W110" s="644"/>
      <c r="X110" s="644"/>
      <c r="Y110" s="644"/>
      <c r="Z110" s="644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39">
        <v>4680115881488</v>
      </c>
      <c r="E111" s="639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8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1"/>
      <c r="R111" s="641"/>
      <c r="S111" s="641"/>
      <c r="T111" s="642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39">
        <v>4680115887664</v>
      </c>
      <c r="E112" s="639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8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1"/>
      <c r="R112" s="641"/>
      <c r="S112" s="641"/>
      <c r="T112" s="642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39">
        <v>4680115887664</v>
      </c>
      <c r="E113" s="639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1"/>
      <c r="R113" s="641"/>
      <c r="S113" s="641"/>
      <c r="T113" s="642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39">
        <v>4680115882775</v>
      </c>
      <c r="E114" s="639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8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1"/>
      <c r="R114" s="641"/>
      <c r="S114" s="641"/>
      <c r="T114" s="64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4301020392</v>
      </c>
      <c r="D115" s="639">
        <v>4680115880658</v>
      </c>
      <c r="E115" s="639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8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1"/>
      <c r="R115" s="641"/>
      <c r="S115" s="641"/>
      <c r="T115" s="64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633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0" t="s">
        <v>40</v>
      </c>
      <c r="Q116" s="631"/>
      <c r="R116" s="631"/>
      <c r="S116" s="631"/>
      <c r="T116" s="631"/>
      <c r="U116" s="631"/>
      <c r="V116" s="632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0" t="s">
        <v>40</v>
      </c>
      <c r="Q117" s="631"/>
      <c r="R117" s="631"/>
      <c r="S117" s="631"/>
      <c r="T117" s="631"/>
      <c r="U117" s="631"/>
      <c r="V117" s="632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44" t="s">
        <v>83</v>
      </c>
      <c r="B118" s="644"/>
      <c r="C118" s="644"/>
      <c r="D118" s="644"/>
      <c r="E118" s="644"/>
      <c r="F118" s="644"/>
      <c r="G118" s="644"/>
      <c r="H118" s="644"/>
      <c r="I118" s="644"/>
      <c r="J118" s="644"/>
      <c r="K118" s="644"/>
      <c r="L118" s="644"/>
      <c r="M118" s="644"/>
      <c r="N118" s="644"/>
      <c r="O118" s="644"/>
      <c r="P118" s="644"/>
      <c r="Q118" s="644"/>
      <c r="R118" s="644"/>
      <c r="S118" s="644"/>
      <c r="T118" s="644"/>
      <c r="U118" s="644"/>
      <c r="V118" s="644"/>
      <c r="W118" s="644"/>
      <c r="X118" s="644"/>
      <c r="Y118" s="644"/>
      <c r="Z118" s="644"/>
      <c r="AA118" s="66"/>
      <c r="AB118" s="66"/>
      <c r="AC118" s="80"/>
    </row>
    <row r="119" spans="1:68" ht="27" customHeight="1" x14ac:dyDescent="0.25">
      <c r="A119" s="63" t="s">
        <v>235</v>
      </c>
      <c r="B119" s="63" t="s">
        <v>236</v>
      </c>
      <c r="C119" s="36">
        <v>4301052088</v>
      </c>
      <c r="D119" s="639">
        <v>4607091385168</v>
      </c>
      <c r="E119" s="639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85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1"/>
      <c r="R119" s="641"/>
      <c r="S119" s="641"/>
      <c r="T119" s="642"/>
      <c r="U119" s="39" t="s">
        <v>46</v>
      </c>
      <c r="V119" s="39" t="s">
        <v>46</v>
      </c>
      <c r="W119" s="40" t="s">
        <v>0</v>
      </c>
      <c r="X119" s="58">
        <v>500</v>
      </c>
      <c r="Y119" s="55">
        <f>IFERROR(IF(X119="",0,CEILING((X119/$H119),1)*$H119),"")</f>
        <v>502.2</v>
      </c>
      <c r="Z119" s="41">
        <f>IFERROR(IF(Y119=0,"",ROUNDUP(Y119/H119,0)*0.01898),"")</f>
        <v>1.17676</v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530.12345679012344</v>
      </c>
      <c r="BN119" s="78">
        <f>IFERROR(Y119*I119/H119,"0")</f>
        <v>532.4559999999999</v>
      </c>
      <c r="BO119" s="78">
        <f>IFERROR(1/J119*(X119/H119),"0")</f>
        <v>0.96450617283950624</v>
      </c>
      <c r="BP119" s="78">
        <f>IFERROR(1/J119*(Y119/H119),"0")</f>
        <v>0.96875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39">
        <v>4607091383256</v>
      </c>
      <c r="E120" s="639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85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1"/>
      <c r="R120" s="641"/>
      <c r="S120" s="641"/>
      <c r="T120" s="64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4301052086</v>
      </c>
      <c r="D121" s="639">
        <v>4607091385748</v>
      </c>
      <c r="E121" s="639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85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1"/>
      <c r="R121" s="641"/>
      <c r="S121" s="641"/>
      <c r="T121" s="64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242</v>
      </c>
      <c r="B122" s="63" t="s">
        <v>243</v>
      </c>
      <c r="C122" s="36">
        <v>4301052085</v>
      </c>
      <c r="D122" s="639">
        <v>4680115884533</v>
      </c>
      <c r="E122" s="639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86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1"/>
      <c r="R122" s="641"/>
      <c r="S122" s="641"/>
      <c r="T122" s="64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33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0" t="s">
        <v>40</v>
      </c>
      <c r="Q123" s="631"/>
      <c r="R123" s="631"/>
      <c r="S123" s="631"/>
      <c r="T123" s="631"/>
      <c r="U123" s="631"/>
      <c r="V123" s="632"/>
      <c r="W123" s="42" t="s">
        <v>39</v>
      </c>
      <c r="X123" s="43">
        <f>IFERROR(X119/H119,"0")+IFERROR(X120/H120,"0")+IFERROR(X121/H121,"0")+IFERROR(X122/H122,"0")</f>
        <v>61.728395061728399</v>
      </c>
      <c r="Y123" s="43">
        <f>IFERROR(Y119/H119,"0")+IFERROR(Y120/H120,"0")+IFERROR(Y121/H121,"0")+IFERROR(Y122/H122,"0")</f>
        <v>62</v>
      </c>
      <c r="Z123" s="43">
        <f>IFERROR(IF(Z119="",0,Z119),"0")+IFERROR(IF(Z120="",0,Z120),"0")+IFERROR(IF(Z121="",0,Z121),"0")+IFERROR(IF(Z122="",0,Z122),"0")</f>
        <v>1.17676</v>
      </c>
      <c r="AA123" s="67"/>
      <c r="AB123" s="67"/>
      <c r="AC123" s="67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0</v>
      </c>
      <c r="X124" s="43">
        <f>IFERROR(SUM(X119:X122),"0")</f>
        <v>500</v>
      </c>
      <c r="Y124" s="43">
        <f>IFERROR(SUM(Y119:Y122),"0")</f>
        <v>502.2</v>
      </c>
      <c r="Z124" s="42"/>
      <c r="AA124" s="67"/>
      <c r="AB124" s="67"/>
      <c r="AC124" s="67"/>
    </row>
    <row r="125" spans="1:68" ht="14.25" hidden="1" customHeight="1" x14ac:dyDescent="0.25">
      <c r="A125" s="644" t="s">
        <v>172</v>
      </c>
      <c r="B125" s="644"/>
      <c r="C125" s="644"/>
      <c r="D125" s="644"/>
      <c r="E125" s="644"/>
      <c r="F125" s="644"/>
      <c r="G125" s="644"/>
      <c r="H125" s="644"/>
      <c r="I125" s="644"/>
      <c r="J125" s="644"/>
      <c r="K125" s="644"/>
      <c r="L125" s="644"/>
      <c r="M125" s="644"/>
      <c r="N125" s="644"/>
      <c r="O125" s="644"/>
      <c r="P125" s="644"/>
      <c r="Q125" s="644"/>
      <c r="R125" s="644"/>
      <c r="S125" s="644"/>
      <c r="T125" s="644"/>
      <c r="U125" s="644"/>
      <c r="V125" s="644"/>
      <c r="W125" s="644"/>
      <c r="X125" s="644"/>
      <c r="Y125" s="644"/>
      <c r="Z125" s="644"/>
      <c r="AA125" s="66"/>
      <c r="AB125" s="66"/>
      <c r="AC125" s="80"/>
    </row>
    <row r="126" spans="1:68" ht="16.5" customHeight="1" x14ac:dyDescent="0.25">
      <c r="A126" s="63" t="s">
        <v>245</v>
      </c>
      <c r="B126" s="63" t="s">
        <v>246</v>
      </c>
      <c r="C126" s="36">
        <v>4301060525</v>
      </c>
      <c r="D126" s="639">
        <v>4680115880238</v>
      </c>
      <c r="E126" s="639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85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1"/>
      <c r="R126" s="641"/>
      <c r="S126" s="641"/>
      <c r="T126" s="642"/>
      <c r="U126" s="39" t="s">
        <v>46</v>
      </c>
      <c r="V126" s="39" t="s">
        <v>46</v>
      </c>
      <c r="W126" s="40" t="s">
        <v>0</v>
      </c>
      <c r="X126" s="58">
        <v>50</v>
      </c>
      <c r="Y126" s="55">
        <f>IFERROR(IF(X126="",0,CEILING((X126/$H126),1)*$H126),"")</f>
        <v>51.48</v>
      </c>
      <c r="Z126" s="41">
        <f>IFERROR(IF(Y126=0,"",ROUNDUP(Y126/H126,0)*0.00651),"")</f>
        <v>0.16925999999999999</v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56.515151515151516</v>
      </c>
      <c r="BN126" s="78">
        <f>IFERROR(Y126*I126/H126,"0")</f>
        <v>58.187999999999995</v>
      </c>
      <c r="BO126" s="78">
        <f>IFERROR(1/J126*(X126/H126),"0")</f>
        <v>0.13875013875013875</v>
      </c>
      <c r="BP126" s="78">
        <f>IFERROR(1/J126*(Y126/H126),"0")</f>
        <v>0.14285714285714288</v>
      </c>
    </row>
    <row r="127" spans="1:68" x14ac:dyDescent="0.2">
      <c r="A127" s="633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0" t="s">
        <v>40</v>
      </c>
      <c r="Q127" s="631"/>
      <c r="R127" s="631"/>
      <c r="S127" s="631"/>
      <c r="T127" s="631"/>
      <c r="U127" s="631"/>
      <c r="V127" s="632"/>
      <c r="W127" s="42" t="s">
        <v>39</v>
      </c>
      <c r="X127" s="43">
        <f>IFERROR(X126/H126,"0")</f>
        <v>25.252525252525253</v>
      </c>
      <c r="Y127" s="43">
        <f>IFERROR(Y126/H126,"0")</f>
        <v>26</v>
      </c>
      <c r="Z127" s="43">
        <f>IFERROR(IF(Z126="",0,Z126),"0")</f>
        <v>0.16925999999999999</v>
      </c>
      <c r="AA127" s="67"/>
      <c r="AB127" s="67"/>
      <c r="AC127" s="67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0" t="s">
        <v>40</v>
      </c>
      <c r="Q128" s="631"/>
      <c r="R128" s="631"/>
      <c r="S128" s="631"/>
      <c r="T128" s="631"/>
      <c r="U128" s="631"/>
      <c r="V128" s="632"/>
      <c r="W128" s="42" t="s">
        <v>0</v>
      </c>
      <c r="X128" s="43">
        <f>IFERROR(SUM(X126:X126),"0")</f>
        <v>50</v>
      </c>
      <c r="Y128" s="43">
        <f>IFERROR(SUM(Y126:Y126),"0")</f>
        <v>51.48</v>
      </c>
      <c r="Z128" s="42"/>
      <c r="AA128" s="67"/>
      <c r="AB128" s="67"/>
      <c r="AC128" s="67"/>
    </row>
    <row r="129" spans="1:68" ht="16.5" hidden="1" customHeight="1" x14ac:dyDescent="0.25">
      <c r="A129" s="643" t="s">
        <v>248</v>
      </c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3"/>
      <c r="P129" s="643"/>
      <c r="Q129" s="643"/>
      <c r="R129" s="643"/>
      <c r="S129" s="643"/>
      <c r="T129" s="643"/>
      <c r="U129" s="643"/>
      <c r="V129" s="643"/>
      <c r="W129" s="643"/>
      <c r="X129" s="643"/>
      <c r="Y129" s="643"/>
      <c r="Z129" s="643"/>
      <c r="AA129" s="65"/>
      <c r="AB129" s="65"/>
      <c r="AC129" s="79"/>
    </row>
    <row r="130" spans="1:68" ht="14.25" hidden="1" customHeight="1" x14ac:dyDescent="0.25">
      <c r="A130" s="644" t="s">
        <v>119</v>
      </c>
      <c r="B130" s="644"/>
      <c r="C130" s="644"/>
      <c r="D130" s="644"/>
      <c r="E130" s="644"/>
      <c r="F130" s="644"/>
      <c r="G130" s="644"/>
      <c r="H130" s="644"/>
      <c r="I130" s="644"/>
      <c r="J130" s="644"/>
      <c r="K130" s="644"/>
      <c r="L130" s="644"/>
      <c r="M130" s="644"/>
      <c r="N130" s="644"/>
      <c r="O130" s="644"/>
      <c r="P130" s="644"/>
      <c r="Q130" s="644"/>
      <c r="R130" s="644"/>
      <c r="S130" s="644"/>
      <c r="T130" s="644"/>
      <c r="U130" s="644"/>
      <c r="V130" s="644"/>
      <c r="W130" s="644"/>
      <c r="X130" s="644"/>
      <c r="Y130" s="644"/>
      <c r="Z130" s="644"/>
      <c r="AA130" s="66"/>
      <c r="AB130" s="66"/>
      <c r="AC130" s="80"/>
    </row>
    <row r="131" spans="1:68" ht="27" hidden="1" customHeight="1" x14ac:dyDescent="0.25">
      <c r="A131" s="63" t="s">
        <v>249</v>
      </c>
      <c r="B131" s="63" t="s">
        <v>250</v>
      </c>
      <c r="C131" s="36">
        <v>4301011562</v>
      </c>
      <c r="D131" s="639">
        <v>4680115882577</v>
      </c>
      <c r="E131" s="63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8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1"/>
      <c r="R131" s="641"/>
      <c r="S131" s="641"/>
      <c r="T131" s="64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249</v>
      </c>
      <c r="B132" s="63" t="s">
        <v>253</v>
      </c>
      <c r="C132" s="36">
        <v>4301011564</v>
      </c>
      <c r="D132" s="639">
        <v>4680115882577</v>
      </c>
      <c r="E132" s="63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8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1"/>
      <c r="R132" s="641"/>
      <c r="S132" s="641"/>
      <c r="T132" s="64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633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0" t="s">
        <v>40</v>
      </c>
      <c r="Q133" s="631"/>
      <c r="R133" s="631"/>
      <c r="S133" s="631"/>
      <c r="T133" s="631"/>
      <c r="U133" s="631"/>
      <c r="V133" s="632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0" t="s">
        <v>40</v>
      </c>
      <c r="Q134" s="631"/>
      <c r="R134" s="631"/>
      <c r="S134" s="631"/>
      <c r="T134" s="631"/>
      <c r="U134" s="631"/>
      <c r="V134" s="632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644" t="s">
        <v>77</v>
      </c>
      <c r="B135" s="644"/>
      <c r="C135" s="644"/>
      <c r="D135" s="644"/>
      <c r="E135" s="644"/>
      <c r="F135" s="644"/>
      <c r="G135" s="644"/>
      <c r="H135" s="644"/>
      <c r="I135" s="644"/>
      <c r="J135" s="644"/>
      <c r="K135" s="644"/>
      <c r="L135" s="644"/>
      <c r="M135" s="644"/>
      <c r="N135" s="644"/>
      <c r="O135" s="644"/>
      <c r="P135" s="644"/>
      <c r="Q135" s="644"/>
      <c r="R135" s="644"/>
      <c r="S135" s="644"/>
      <c r="T135" s="644"/>
      <c r="U135" s="644"/>
      <c r="V135" s="644"/>
      <c r="W135" s="644"/>
      <c r="X135" s="644"/>
      <c r="Y135" s="644"/>
      <c r="Z135" s="644"/>
      <c r="AA135" s="66"/>
      <c r="AB135" s="66"/>
      <c r="AC135" s="80"/>
    </row>
    <row r="136" spans="1:68" ht="27" hidden="1" customHeight="1" x14ac:dyDescent="0.25">
      <c r="A136" s="63" t="s">
        <v>254</v>
      </c>
      <c r="B136" s="63" t="s">
        <v>255</v>
      </c>
      <c r="C136" s="36">
        <v>4301031234</v>
      </c>
      <c r="D136" s="639">
        <v>4680115883444</v>
      </c>
      <c r="E136" s="63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85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1"/>
      <c r="R136" s="641"/>
      <c r="S136" s="641"/>
      <c r="T136" s="64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39">
        <v>4680115883444</v>
      </c>
      <c r="E137" s="63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8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1"/>
      <c r="R137" s="641"/>
      <c r="S137" s="641"/>
      <c r="T137" s="64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33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0" t="s">
        <v>40</v>
      </c>
      <c r="Q138" s="631"/>
      <c r="R138" s="631"/>
      <c r="S138" s="631"/>
      <c r="T138" s="631"/>
      <c r="U138" s="631"/>
      <c r="V138" s="632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0" t="s">
        <v>40</v>
      </c>
      <c r="Q139" s="631"/>
      <c r="R139" s="631"/>
      <c r="S139" s="631"/>
      <c r="T139" s="631"/>
      <c r="U139" s="631"/>
      <c r="V139" s="632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44" t="s">
        <v>83</v>
      </c>
      <c r="B140" s="644"/>
      <c r="C140" s="644"/>
      <c r="D140" s="644"/>
      <c r="E140" s="644"/>
      <c r="F140" s="644"/>
      <c r="G140" s="644"/>
      <c r="H140" s="644"/>
      <c r="I140" s="644"/>
      <c r="J140" s="644"/>
      <c r="K140" s="644"/>
      <c r="L140" s="644"/>
      <c r="M140" s="644"/>
      <c r="N140" s="644"/>
      <c r="O140" s="644"/>
      <c r="P140" s="644"/>
      <c r="Q140" s="644"/>
      <c r="R140" s="644"/>
      <c r="S140" s="644"/>
      <c r="T140" s="644"/>
      <c r="U140" s="644"/>
      <c r="V140" s="644"/>
      <c r="W140" s="644"/>
      <c r="X140" s="644"/>
      <c r="Y140" s="644"/>
      <c r="Z140" s="644"/>
      <c r="AA140" s="66"/>
      <c r="AB140" s="66"/>
      <c r="AC140" s="80"/>
    </row>
    <row r="141" spans="1:68" ht="16.5" hidden="1" customHeight="1" x14ac:dyDescent="0.25">
      <c r="A141" s="63" t="s">
        <v>258</v>
      </c>
      <c r="B141" s="63" t="s">
        <v>259</v>
      </c>
      <c r="C141" s="36">
        <v>4301051476</v>
      </c>
      <c r="D141" s="639">
        <v>4680115882584</v>
      </c>
      <c r="E141" s="63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8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1"/>
      <c r="R141" s="641"/>
      <c r="S141" s="641"/>
      <c r="T141" s="64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39">
        <v>4680115882584</v>
      </c>
      <c r="E142" s="63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8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1"/>
      <c r="R142" s="641"/>
      <c r="S142" s="641"/>
      <c r="T142" s="64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33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0" t="s">
        <v>40</v>
      </c>
      <c r="Q143" s="631"/>
      <c r="R143" s="631"/>
      <c r="S143" s="631"/>
      <c r="T143" s="631"/>
      <c r="U143" s="631"/>
      <c r="V143" s="632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0" t="s">
        <v>40</v>
      </c>
      <c r="Q144" s="631"/>
      <c r="R144" s="631"/>
      <c r="S144" s="631"/>
      <c r="T144" s="631"/>
      <c r="U144" s="631"/>
      <c r="V144" s="632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643" t="s">
        <v>261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5"/>
      <c r="AB145" s="65"/>
      <c r="AC145" s="79"/>
    </row>
    <row r="146" spans="1:68" ht="14.25" hidden="1" customHeight="1" x14ac:dyDescent="0.25">
      <c r="A146" s="644" t="s">
        <v>83</v>
      </c>
      <c r="B146" s="644"/>
      <c r="C146" s="644"/>
      <c r="D146" s="644"/>
      <c r="E146" s="644"/>
      <c r="F146" s="644"/>
      <c r="G146" s="644"/>
      <c r="H146" s="644"/>
      <c r="I146" s="644"/>
      <c r="J146" s="644"/>
      <c r="K146" s="644"/>
      <c r="L146" s="644"/>
      <c r="M146" s="644"/>
      <c r="N146" s="644"/>
      <c r="O146" s="644"/>
      <c r="P146" s="644"/>
      <c r="Q146" s="644"/>
      <c r="R146" s="644"/>
      <c r="S146" s="644"/>
      <c r="T146" s="644"/>
      <c r="U146" s="644"/>
      <c r="V146" s="644"/>
      <c r="W146" s="644"/>
      <c r="X146" s="644"/>
      <c r="Y146" s="644"/>
      <c r="Z146" s="644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39">
        <v>4680115888203</v>
      </c>
      <c r="E147" s="63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84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1"/>
      <c r="R147" s="641"/>
      <c r="S147" s="641"/>
      <c r="T147" s="64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39">
        <v>4680115888180</v>
      </c>
      <c r="E148" s="63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84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1"/>
      <c r="R148" s="641"/>
      <c r="S148" s="641"/>
      <c r="T148" s="64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39">
        <v>4680115888197</v>
      </c>
      <c r="E149" s="63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84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41"/>
      <c r="R149" s="641"/>
      <c r="S149" s="641"/>
      <c r="T149" s="64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39">
        <v>4680115888210</v>
      </c>
      <c r="E150" s="63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84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41"/>
      <c r="R150" s="641"/>
      <c r="S150" s="641"/>
      <c r="T150" s="642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633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0" t="s">
        <v>40</v>
      </c>
      <c r="Q151" s="631"/>
      <c r="R151" s="631"/>
      <c r="S151" s="631"/>
      <c r="T151" s="631"/>
      <c r="U151" s="631"/>
      <c r="V151" s="632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0" t="s">
        <v>40</v>
      </c>
      <c r="Q152" s="631"/>
      <c r="R152" s="631"/>
      <c r="S152" s="631"/>
      <c r="T152" s="631"/>
      <c r="U152" s="631"/>
      <c r="V152" s="632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44" t="s">
        <v>274</v>
      </c>
      <c r="B153" s="644"/>
      <c r="C153" s="644"/>
      <c r="D153" s="644"/>
      <c r="E153" s="644"/>
      <c r="F153" s="644"/>
      <c r="G153" s="644"/>
      <c r="H153" s="644"/>
      <c r="I153" s="644"/>
      <c r="J153" s="644"/>
      <c r="K153" s="644"/>
      <c r="L153" s="644"/>
      <c r="M153" s="644"/>
      <c r="N153" s="644"/>
      <c r="O153" s="644"/>
      <c r="P153" s="644"/>
      <c r="Q153" s="644"/>
      <c r="R153" s="644"/>
      <c r="S153" s="644"/>
      <c r="T153" s="644"/>
      <c r="U153" s="644"/>
      <c r="V153" s="644"/>
      <c r="W153" s="644"/>
      <c r="X153" s="644"/>
      <c r="Y153" s="644"/>
      <c r="Z153" s="644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39">
        <v>4680115889132</v>
      </c>
      <c r="E154" s="639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84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41"/>
      <c r="R154" s="641"/>
      <c r="S154" s="641"/>
      <c r="T154" s="64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33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0" t="s">
        <v>40</v>
      </c>
      <c r="Q155" s="631"/>
      <c r="R155" s="631"/>
      <c r="S155" s="631"/>
      <c r="T155" s="631"/>
      <c r="U155" s="631"/>
      <c r="V155" s="632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0" t="s">
        <v>40</v>
      </c>
      <c r="Q156" s="631"/>
      <c r="R156" s="631"/>
      <c r="S156" s="631"/>
      <c r="T156" s="631"/>
      <c r="U156" s="631"/>
      <c r="V156" s="632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43" t="s">
        <v>117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5"/>
      <c r="AB157" s="65"/>
      <c r="AC157" s="79"/>
    </row>
    <row r="158" spans="1:68" ht="14.25" hidden="1" customHeight="1" x14ac:dyDescent="0.25">
      <c r="A158" s="644" t="s">
        <v>119</v>
      </c>
      <c r="B158" s="644"/>
      <c r="C158" s="644"/>
      <c r="D158" s="644"/>
      <c r="E158" s="644"/>
      <c r="F158" s="644"/>
      <c r="G158" s="644"/>
      <c r="H158" s="644"/>
      <c r="I158" s="644"/>
      <c r="J158" s="644"/>
      <c r="K158" s="644"/>
      <c r="L158" s="644"/>
      <c r="M158" s="644"/>
      <c r="N158" s="644"/>
      <c r="O158" s="644"/>
      <c r="P158" s="644"/>
      <c r="Q158" s="644"/>
      <c r="R158" s="644"/>
      <c r="S158" s="644"/>
      <c r="T158" s="644"/>
      <c r="U158" s="644"/>
      <c r="V158" s="644"/>
      <c r="W158" s="644"/>
      <c r="X158" s="644"/>
      <c r="Y158" s="644"/>
      <c r="Z158" s="644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39">
        <v>4680115887374</v>
      </c>
      <c r="E159" s="639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8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41"/>
      <c r="R159" s="641"/>
      <c r="S159" s="641"/>
      <c r="T159" s="64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39">
        <v>4607091384604</v>
      </c>
      <c r="E160" s="63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84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41"/>
      <c r="R160" s="641"/>
      <c r="S160" s="641"/>
      <c r="T160" s="64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39">
        <v>4607091384604</v>
      </c>
      <c r="E161" s="639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41"/>
      <c r="R161" s="641"/>
      <c r="S161" s="641"/>
      <c r="T161" s="64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39">
        <v>4680115888876</v>
      </c>
      <c r="E162" s="639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84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41"/>
      <c r="R162" s="641"/>
      <c r="S162" s="641"/>
      <c r="T162" s="64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633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0" t="s">
        <v>40</v>
      </c>
      <c r="Q163" s="631"/>
      <c r="R163" s="631"/>
      <c r="S163" s="631"/>
      <c r="T163" s="631"/>
      <c r="U163" s="631"/>
      <c r="V163" s="632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44" t="s">
        <v>154</v>
      </c>
      <c r="B165" s="644"/>
      <c r="C165" s="644"/>
      <c r="D165" s="644"/>
      <c r="E165" s="644"/>
      <c r="F165" s="644"/>
      <c r="G165" s="644"/>
      <c r="H165" s="644"/>
      <c r="I165" s="644"/>
      <c r="J165" s="644"/>
      <c r="K165" s="644"/>
      <c r="L165" s="644"/>
      <c r="M165" s="644"/>
      <c r="N165" s="644"/>
      <c r="O165" s="644"/>
      <c r="P165" s="644"/>
      <c r="Q165" s="644"/>
      <c r="R165" s="644"/>
      <c r="S165" s="644"/>
      <c r="T165" s="644"/>
      <c r="U165" s="644"/>
      <c r="V165" s="644"/>
      <c r="W165" s="644"/>
      <c r="X165" s="644"/>
      <c r="Y165" s="644"/>
      <c r="Z165" s="644"/>
      <c r="AA165" s="66"/>
      <c r="AB165" s="66"/>
      <c r="AC165" s="80"/>
    </row>
    <row r="166" spans="1:68" ht="16.5" hidden="1" customHeight="1" x14ac:dyDescent="0.25">
      <c r="A166" s="63" t="s">
        <v>291</v>
      </c>
      <c r="B166" s="63" t="s">
        <v>292</v>
      </c>
      <c r="C166" s="36">
        <v>4301020410</v>
      </c>
      <c r="D166" s="639">
        <v>4680115887695</v>
      </c>
      <c r="E166" s="639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83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41"/>
      <c r="R166" s="641"/>
      <c r="S166" s="641"/>
      <c r="T166" s="64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39">
        <v>4680115889491</v>
      </c>
      <c r="E167" s="639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84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41"/>
      <c r="R167" s="641"/>
      <c r="S167" s="641"/>
      <c r="T167" s="64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33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0" t="s">
        <v>40</v>
      </c>
      <c r="Q168" s="631"/>
      <c r="R168" s="631"/>
      <c r="S168" s="631"/>
      <c r="T168" s="631"/>
      <c r="U168" s="631"/>
      <c r="V168" s="632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0" t="s">
        <v>40</v>
      </c>
      <c r="Q169" s="631"/>
      <c r="R169" s="631"/>
      <c r="S169" s="631"/>
      <c r="T169" s="631"/>
      <c r="U169" s="631"/>
      <c r="V169" s="632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44" t="s">
        <v>77</v>
      </c>
      <c r="B170" s="644"/>
      <c r="C170" s="644"/>
      <c r="D170" s="644"/>
      <c r="E170" s="644"/>
      <c r="F170" s="644"/>
      <c r="G170" s="644"/>
      <c r="H170" s="644"/>
      <c r="I170" s="644"/>
      <c r="J170" s="644"/>
      <c r="K170" s="644"/>
      <c r="L170" s="644"/>
      <c r="M170" s="644"/>
      <c r="N170" s="644"/>
      <c r="O170" s="644"/>
      <c r="P170" s="644"/>
      <c r="Q170" s="644"/>
      <c r="R170" s="644"/>
      <c r="S170" s="644"/>
      <c r="T170" s="644"/>
      <c r="U170" s="644"/>
      <c r="V170" s="644"/>
      <c r="W170" s="644"/>
      <c r="X170" s="644"/>
      <c r="Y170" s="644"/>
      <c r="Z170" s="644"/>
      <c r="AA170" s="66"/>
      <c r="AB170" s="66"/>
      <c r="AC170" s="80"/>
    </row>
    <row r="171" spans="1:68" ht="27" hidden="1" customHeight="1" x14ac:dyDescent="0.25">
      <c r="A171" s="63" t="s">
        <v>297</v>
      </c>
      <c r="B171" s="63" t="s">
        <v>298</v>
      </c>
      <c r="C171" s="36">
        <v>4301031496</v>
      </c>
      <c r="D171" s="639">
        <v>4680115887428</v>
      </c>
      <c r="E171" s="63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83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1"/>
      <c r="R171" s="641"/>
      <c r="S171" s="641"/>
      <c r="T171" s="64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ref="Y171:Y180" si="15">IFERROR(IF(X171="",0,CEILING((X171/$H171),1)*$H171),"")</f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0</v>
      </c>
      <c r="BN171" s="78">
        <f t="shared" ref="BN171:BN180" si="17">IFERROR(Y171*I171/H171,"0")</f>
        <v>0</v>
      </c>
      <c r="BO171" s="78">
        <f t="shared" ref="BO171:BO180" si="18">IFERROR(1/J171*(X171/H171),"0")</f>
        <v>0</v>
      </c>
      <c r="BP171" s="78">
        <f t="shared" ref="BP171:BP180" si="19">IFERROR(1/J171*(Y171/H171),"0")</f>
        <v>0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4301031509</v>
      </c>
      <c r="D172" s="639">
        <v>4680115889170</v>
      </c>
      <c r="E172" s="63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83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1"/>
      <c r="R172" s="641"/>
      <c r="S172" s="641"/>
      <c r="T172" s="64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4301031522</v>
      </c>
      <c r="D173" s="639">
        <v>4680115887398</v>
      </c>
      <c r="E173" s="63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83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1"/>
      <c r="R173" s="641"/>
      <c r="S173" s="641"/>
      <c r="T173" s="642"/>
      <c r="U173" s="39" t="s">
        <v>46</v>
      </c>
      <c r="V173" s="39" t="s">
        <v>46</v>
      </c>
      <c r="W173" s="40" t="s">
        <v>0</v>
      </c>
      <c r="X173" s="58">
        <v>900</v>
      </c>
      <c r="Y173" s="55">
        <f t="shared" si="15"/>
        <v>903</v>
      </c>
      <c r="Z173" s="41">
        <f>IFERROR(IF(Y173=0,"",ROUNDUP(Y173/H173,0)*0.00902),"")</f>
        <v>2.3271600000000001</v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948.85714285714289</v>
      </c>
      <c r="BN173" s="78">
        <f t="shared" si="17"/>
        <v>952.0200000000001</v>
      </c>
      <c r="BO173" s="78">
        <f t="shared" si="18"/>
        <v>1.9480519480519483</v>
      </c>
      <c r="BP173" s="78">
        <f t="shared" si="19"/>
        <v>1.9545454545454546</v>
      </c>
    </row>
    <row r="174" spans="1:68" ht="27" hidden="1" customHeight="1" x14ac:dyDescent="0.25">
      <c r="A174" s="63" t="s">
        <v>306</v>
      </c>
      <c r="B174" s="63" t="s">
        <v>307</v>
      </c>
      <c r="C174" s="36">
        <v>4301031520</v>
      </c>
      <c r="D174" s="639">
        <v>4680115887336</v>
      </c>
      <c r="E174" s="63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83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1"/>
      <c r="R174" s="641"/>
      <c r="S174" s="641"/>
      <c r="T174" s="64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309</v>
      </c>
      <c r="B175" s="63" t="s">
        <v>310</v>
      </c>
      <c r="C175" s="36">
        <v>4301031528</v>
      </c>
      <c r="D175" s="639">
        <v>4680115887787</v>
      </c>
      <c r="E175" s="63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83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1"/>
      <c r="R175" s="641"/>
      <c r="S175" s="641"/>
      <c r="T175" s="64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4301031448</v>
      </c>
      <c r="D176" s="639">
        <v>4680115887503</v>
      </c>
      <c r="E176" s="63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1"/>
      <c r="R176" s="641"/>
      <c r="S176" s="641"/>
      <c r="T176" s="64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4301031389</v>
      </c>
      <c r="D177" s="639">
        <v>4680115887763</v>
      </c>
      <c r="E177" s="63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83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1"/>
      <c r="R177" s="641"/>
      <c r="S177" s="641"/>
      <c r="T177" s="64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317</v>
      </c>
      <c r="B178" s="63" t="s">
        <v>318</v>
      </c>
      <c r="C178" s="36">
        <v>4301031521</v>
      </c>
      <c r="D178" s="639">
        <v>4680115887480</v>
      </c>
      <c r="E178" s="63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83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1"/>
      <c r="R178" s="641"/>
      <c r="S178" s="641"/>
      <c r="T178" s="64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customHeight="1" x14ac:dyDescent="0.25">
      <c r="A179" s="63" t="s">
        <v>319</v>
      </c>
      <c r="B179" s="63" t="s">
        <v>320</v>
      </c>
      <c r="C179" s="36">
        <v>4301031434</v>
      </c>
      <c r="D179" s="639">
        <v>4680115888067</v>
      </c>
      <c r="E179" s="639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83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1"/>
      <c r="R179" s="641"/>
      <c r="S179" s="641"/>
      <c r="T179" s="642"/>
      <c r="U179" s="39" t="s">
        <v>46</v>
      </c>
      <c r="V179" s="39" t="s">
        <v>46</v>
      </c>
      <c r="W179" s="40" t="s">
        <v>0</v>
      </c>
      <c r="X179" s="58">
        <v>4</v>
      </c>
      <c r="Y179" s="55">
        <f t="shared" si="15"/>
        <v>4.5</v>
      </c>
      <c r="Z179" s="41">
        <f>IFERROR(IF(Y179=0,"",ROUNDUP(Y179/H179,0)*0.00417),"")</f>
        <v>2.085E-2</v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4.4444444444444446</v>
      </c>
      <c r="BN179" s="78">
        <f t="shared" si="17"/>
        <v>5</v>
      </c>
      <c r="BO179" s="78">
        <f t="shared" si="18"/>
        <v>1.3227513227513227E-2</v>
      </c>
      <c r="BP179" s="78">
        <f t="shared" si="19"/>
        <v>1.488095238095238E-2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4301031519</v>
      </c>
      <c r="D180" s="639">
        <v>4680115887435</v>
      </c>
      <c r="E180" s="63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83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1"/>
      <c r="R180" s="641"/>
      <c r="S180" s="641"/>
      <c r="T180" s="64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x14ac:dyDescent="0.2">
      <c r="A181" s="633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0" t="s">
        <v>40</v>
      </c>
      <c r="Q181" s="631"/>
      <c r="R181" s="631"/>
      <c r="S181" s="631"/>
      <c r="T181" s="631"/>
      <c r="U181" s="631"/>
      <c r="V181" s="632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261.58730158730162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263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2.3480099999999999</v>
      </c>
      <c r="AA181" s="67"/>
      <c r="AB181" s="67"/>
      <c r="AC181" s="67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0</v>
      </c>
      <c r="X182" s="43">
        <f>IFERROR(SUM(X171:X180),"0")</f>
        <v>904</v>
      </c>
      <c r="Y182" s="43">
        <f>IFERROR(SUM(Y171:Y180),"0")</f>
        <v>907.5</v>
      </c>
      <c r="Z182" s="42"/>
      <c r="AA182" s="67"/>
      <c r="AB182" s="67"/>
      <c r="AC182" s="67"/>
    </row>
    <row r="183" spans="1:68" ht="14.25" hidden="1" customHeight="1" x14ac:dyDescent="0.25">
      <c r="A183" s="644" t="s">
        <v>83</v>
      </c>
      <c r="B183" s="644"/>
      <c r="C183" s="644"/>
      <c r="D183" s="644"/>
      <c r="E183" s="644"/>
      <c r="F183" s="644"/>
      <c r="G183" s="644"/>
      <c r="H183" s="644"/>
      <c r="I183" s="644"/>
      <c r="J183" s="644"/>
      <c r="K183" s="644"/>
      <c r="L183" s="644"/>
      <c r="M183" s="644"/>
      <c r="N183" s="644"/>
      <c r="O183" s="644"/>
      <c r="P183" s="644"/>
      <c r="Q183" s="644"/>
      <c r="R183" s="644"/>
      <c r="S183" s="644"/>
      <c r="T183" s="644"/>
      <c r="U183" s="644"/>
      <c r="V183" s="644"/>
      <c r="W183" s="644"/>
      <c r="X183" s="644"/>
      <c r="Y183" s="644"/>
      <c r="Z183" s="644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39">
        <v>4680115888395</v>
      </c>
      <c r="E184" s="63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1"/>
      <c r="R184" s="641"/>
      <c r="S184" s="641"/>
      <c r="T184" s="64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39">
        <v>4680115888371</v>
      </c>
      <c r="E185" s="63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1"/>
      <c r="R185" s="641"/>
      <c r="S185" s="641"/>
      <c r="T185" s="64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33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0" t="s">
        <v>40</v>
      </c>
      <c r="Q186" s="631"/>
      <c r="R186" s="631"/>
      <c r="S186" s="631"/>
      <c r="T186" s="631"/>
      <c r="U186" s="631"/>
      <c r="V186" s="632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0" t="s">
        <v>40</v>
      </c>
      <c r="Q187" s="631"/>
      <c r="R187" s="631"/>
      <c r="S187" s="631"/>
      <c r="T187" s="631"/>
      <c r="U187" s="631"/>
      <c r="V187" s="632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4" t="s">
        <v>274</v>
      </c>
      <c r="B188" s="644"/>
      <c r="C188" s="644"/>
      <c r="D188" s="644"/>
      <c r="E188" s="644"/>
      <c r="F188" s="644"/>
      <c r="G188" s="644"/>
      <c r="H188" s="644"/>
      <c r="I188" s="644"/>
      <c r="J188" s="644"/>
      <c r="K188" s="644"/>
      <c r="L188" s="644"/>
      <c r="M188" s="644"/>
      <c r="N188" s="644"/>
      <c r="O188" s="644"/>
      <c r="P188" s="644"/>
      <c r="Q188" s="644"/>
      <c r="R188" s="644"/>
      <c r="S188" s="644"/>
      <c r="T188" s="644"/>
      <c r="U188" s="644"/>
      <c r="V188" s="644"/>
      <c r="W188" s="644"/>
      <c r="X188" s="644"/>
      <c r="Y188" s="644"/>
      <c r="Z188" s="644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39">
        <v>4680115889026</v>
      </c>
      <c r="E189" s="63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1"/>
      <c r="R189" s="641"/>
      <c r="S189" s="641"/>
      <c r="T189" s="64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33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0" t="s">
        <v>40</v>
      </c>
      <c r="Q190" s="631"/>
      <c r="R190" s="631"/>
      <c r="S190" s="631"/>
      <c r="T190" s="631"/>
      <c r="U190" s="631"/>
      <c r="V190" s="632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0" t="s">
        <v>40</v>
      </c>
      <c r="Q191" s="631"/>
      <c r="R191" s="631"/>
      <c r="S191" s="631"/>
      <c r="T191" s="631"/>
      <c r="U191" s="631"/>
      <c r="V191" s="632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4" t="s">
        <v>334</v>
      </c>
      <c r="B192" s="644"/>
      <c r="C192" s="644"/>
      <c r="D192" s="644"/>
      <c r="E192" s="644"/>
      <c r="F192" s="644"/>
      <c r="G192" s="644"/>
      <c r="H192" s="644"/>
      <c r="I192" s="644"/>
      <c r="J192" s="644"/>
      <c r="K192" s="644"/>
      <c r="L192" s="644"/>
      <c r="M192" s="644"/>
      <c r="N192" s="644"/>
      <c r="O192" s="644"/>
      <c r="P192" s="644"/>
      <c r="Q192" s="644"/>
      <c r="R192" s="644"/>
      <c r="S192" s="644"/>
      <c r="T192" s="644"/>
      <c r="U192" s="644"/>
      <c r="V192" s="644"/>
      <c r="W192" s="644"/>
      <c r="X192" s="644"/>
      <c r="Y192" s="644"/>
      <c r="Z192" s="644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39">
        <v>4680115889033</v>
      </c>
      <c r="E193" s="63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1"/>
      <c r="R193" s="641"/>
      <c r="S193" s="641"/>
      <c r="T193" s="64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0" t="s">
        <v>40</v>
      </c>
      <c r="Q195" s="631"/>
      <c r="R195" s="631"/>
      <c r="S195" s="631"/>
      <c r="T195" s="631"/>
      <c r="U195" s="631"/>
      <c r="V195" s="632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50" t="s">
        <v>338</v>
      </c>
      <c r="B196" s="650"/>
      <c r="C196" s="650"/>
      <c r="D196" s="650"/>
      <c r="E196" s="650"/>
      <c r="F196" s="650"/>
      <c r="G196" s="650"/>
      <c r="H196" s="650"/>
      <c r="I196" s="650"/>
      <c r="J196" s="650"/>
      <c r="K196" s="650"/>
      <c r="L196" s="650"/>
      <c r="M196" s="650"/>
      <c r="N196" s="650"/>
      <c r="O196" s="650"/>
      <c r="P196" s="650"/>
      <c r="Q196" s="650"/>
      <c r="R196" s="650"/>
      <c r="S196" s="650"/>
      <c r="T196" s="650"/>
      <c r="U196" s="650"/>
      <c r="V196" s="650"/>
      <c r="W196" s="650"/>
      <c r="X196" s="650"/>
      <c r="Y196" s="650"/>
      <c r="Z196" s="650"/>
      <c r="AA196" s="54"/>
      <c r="AB196" s="54"/>
      <c r="AC196" s="54"/>
    </row>
    <row r="197" spans="1:68" ht="16.5" hidden="1" customHeight="1" x14ac:dyDescent="0.25">
      <c r="A197" s="643" t="s">
        <v>339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5"/>
      <c r="AB197" s="65"/>
      <c r="AC197" s="79"/>
    </row>
    <row r="198" spans="1:68" ht="14.25" hidden="1" customHeight="1" x14ac:dyDescent="0.25">
      <c r="A198" s="644" t="s">
        <v>119</v>
      </c>
      <c r="B198" s="644"/>
      <c r="C198" s="644"/>
      <c r="D198" s="644"/>
      <c r="E198" s="644"/>
      <c r="F198" s="644"/>
      <c r="G198" s="644"/>
      <c r="H198" s="644"/>
      <c r="I198" s="644"/>
      <c r="J198" s="644"/>
      <c r="K198" s="644"/>
      <c r="L198" s="644"/>
      <c r="M198" s="644"/>
      <c r="N198" s="644"/>
      <c r="O198" s="644"/>
      <c r="P198" s="644"/>
      <c r="Q198" s="644"/>
      <c r="R198" s="644"/>
      <c r="S198" s="644"/>
      <c r="T198" s="644"/>
      <c r="U198" s="644"/>
      <c r="V198" s="644"/>
      <c r="W198" s="644"/>
      <c r="X198" s="644"/>
      <c r="Y198" s="644"/>
      <c r="Z198" s="644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39">
        <v>4607091383423</v>
      </c>
      <c r="E199" s="63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1"/>
      <c r="R199" s="641"/>
      <c r="S199" s="641"/>
      <c r="T199" s="64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39">
        <v>4680115888760</v>
      </c>
      <c r="E200" s="63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1"/>
      <c r="R200" s="641"/>
      <c r="S200" s="641"/>
      <c r="T200" s="64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39">
        <v>4680115888807</v>
      </c>
      <c r="E201" s="63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1"/>
      <c r="R201" s="641"/>
      <c r="S201" s="641"/>
      <c r="T201" s="64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39">
        <v>4680115888852</v>
      </c>
      <c r="E202" s="63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1"/>
      <c r="R202" s="641"/>
      <c r="S202" s="641"/>
      <c r="T202" s="64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39">
        <v>4680115886957</v>
      </c>
      <c r="E203" s="63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1"/>
      <c r="R203" s="641"/>
      <c r="S203" s="641"/>
      <c r="T203" s="64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4301012098</v>
      </c>
      <c r="D204" s="639">
        <v>4680115885660</v>
      </c>
      <c r="E204" s="63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1"/>
      <c r="R204" s="641"/>
      <c r="S204" s="641"/>
      <c r="T204" s="64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39">
        <v>4680115886773</v>
      </c>
      <c r="E205" s="63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1"/>
      <c r="R205" s="641"/>
      <c r="S205" s="641"/>
      <c r="T205" s="64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33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0" t="s">
        <v>40</v>
      </c>
      <c r="Q206" s="631"/>
      <c r="R206" s="631"/>
      <c r="S206" s="631"/>
      <c r="T206" s="631"/>
      <c r="U206" s="631"/>
      <c r="V206" s="632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0" t="s">
        <v>40</v>
      </c>
      <c r="Q207" s="631"/>
      <c r="R207" s="631"/>
      <c r="S207" s="631"/>
      <c r="T207" s="631"/>
      <c r="U207" s="631"/>
      <c r="V207" s="632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3" t="s">
        <v>360</v>
      </c>
      <c r="B208" s="643"/>
      <c r="C208" s="643"/>
      <c r="D208" s="643"/>
      <c r="E208" s="643"/>
      <c r="F208" s="643"/>
      <c r="G208" s="643"/>
      <c r="H208" s="643"/>
      <c r="I208" s="643"/>
      <c r="J208" s="643"/>
      <c r="K208" s="643"/>
      <c r="L208" s="643"/>
      <c r="M208" s="643"/>
      <c r="N208" s="643"/>
      <c r="O208" s="643"/>
      <c r="P208" s="643"/>
      <c r="Q208" s="643"/>
      <c r="R208" s="643"/>
      <c r="S208" s="643"/>
      <c r="T208" s="643"/>
      <c r="U208" s="643"/>
      <c r="V208" s="643"/>
      <c r="W208" s="643"/>
      <c r="X208" s="643"/>
      <c r="Y208" s="643"/>
      <c r="Z208" s="643"/>
      <c r="AA208" s="65"/>
      <c r="AB208" s="65"/>
      <c r="AC208" s="79"/>
    </row>
    <row r="209" spans="1:68" ht="14.25" hidden="1" customHeight="1" x14ac:dyDescent="0.25">
      <c r="A209" s="644" t="s">
        <v>154</v>
      </c>
      <c r="B209" s="644"/>
      <c r="C209" s="644"/>
      <c r="D209" s="644"/>
      <c r="E209" s="644"/>
      <c r="F209" s="644"/>
      <c r="G209" s="644"/>
      <c r="H209" s="644"/>
      <c r="I209" s="644"/>
      <c r="J209" s="644"/>
      <c r="K209" s="644"/>
      <c r="L209" s="644"/>
      <c r="M209" s="644"/>
      <c r="N209" s="644"/>
      <c r="O209" s="644"/>
      <c r="P209" s="644"/>
      <c r="Q209" s="644"/>
      <c r="R209" s="644"/>
      <c r="S209" s="644"/>
      <c r="T209" s="644"/>
      <c r="U209" s="644"/>
      <c r="V209" s="644"/>
      <c r="W209" s="644"/>
      <c r="X209" s="644"/>
      <c r="Y209" s="644"/>
      <c r="Z209" s="644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39">
        <v>4680115886223</v>
      </c>
      <c r="E210" s="63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1"/>
      <c r="R210" s="641"/>
      <c r="S210" s="641"/>
      <c r="T210" s="64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33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0" t="s">
        <v>40</v>
      </c>
      <c r="Q211" s="631"/>
      <c r="R211" s="631"/>
      <c r="S211" s="631"/>
      <c r="T211" s="631"/>
      <c r="U211" s="631"/>
      <c r="V211" s="632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0" t="s">
        <v>40</v>
      </c>
      <c r="Q212" s="631"/>
      <c r="R212" s="631"/>
      <c r="S212" s="631"/>
      <c r="T212" s="631"/>
      <c r="U212" s="631"/>
      <c r="V212" s="632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4" t="s">
        <v>77</v>
      </c>
      <c r="B213" s="644"/>
      <c r="C213" s="644"/>
      <c r="D213" s="644"/>
      <c r="E213" s="644"/>
      <c r="F213" s="644"/>
      <c r="G213" s="644"/>
      <c r="H213" s="644"/>
      <c r="I213" s="644"/>
      <c r="J213" s="644"/>
      <c r="K213" s="644"/>
      <c r="L213" s="644"/>
      <c r="M213" s="644"/>
      <c r="N213" s="644"/>
      <c r="O213" s="644"/>
      <c r="P213" s="644"/>
      <c r="Q213" s="644"/>
      <c r="R213" s="644"/>
      <c r="S213" s="644"/>
      <c r="T213" s="644"/>
      <c r="U213" s="644"/>
      <c r="V213" s="644"/>
      <c r="W213" s="644"/>
      <c r="X213" s="644"/>
      <c r="Y213" s="644"/>
      <c r="Z213" s="644"/>
      <c r="AA213" s="66"/>
      <c r="AB213" s="66"/>
      <c r="AC213" s="80"/>
    </row>
    <row r="214" spans="1:68" ht="27" hidden="1" customHeight="1" x14ac:dyDescent="0.25">
      <c r="A214" s="63" t="s">
        <v>364</v>
      </c>
      <c r="B214" s="63" t="s">
        <v>365</v>
      </c>
      <c r="C214" s="36">
        <v>4301031191</v>
      </c>
      <c r="D214" s="639">
        <v>4680115880993</v>
      </c>
      <c r="E214" s="63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1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1"/>
      <c r="R214" s="641"/>
      <c r="S214" s="641"/>
      <c r="T214" s="64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367</v>
      </c>
      <c r="B215" s="63" t="s">
        <v>368</v>
      </c>
      <c r="C215" s="36">
        <v>4301031204</v>
      </c>
      <c r="D215" s="639">
        <v>4680115881761</v>
      </c>
      <c r="E215" s="63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1"/>
      <c r="R215" s="641"/>
      <c r="S215" s="641"/>
      <c r="T215" s="64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370</v>
      </c>
      <c r="B216" s="63" t="s">
        <v>371</v>
      </c>
      <c r="C216" s="36">
        <v>4301031201</v>
      </c>
      <c r="D216" s="639">
        <v>4680115881563</v>
      </c>
      <c r="E216" s="63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1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41"/>
      <c r="R216" s="641"/>
      <c r="S216" s="641"/>
      <c r="T216" s="64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customHeight="1" x14ac:dyDescent="0.25">
      <c r="A217" s="63" t="s">
        <v>373</v>
      </c>
      <c r="B217" s="63" t="s">
        <v>374</v>
      </c>
      <c r="C217" s="36">
        <v>4301031447</v>
      </c>
      <c r="D217" s="639">
        <v>4680115887565</v>
      </c>
      <c r="E217" s="639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1"/>
      <c r="R217" s="641"/>
      <c r="S217" s="641"/>
      <c r="T217" s="642"/>
      <c r="U217" s="39" t="s">
        <v>46</v>
      </c>
      <c r="V217" s="39" t="s">
        <v>46</v>
      </c>
      <c r="W217" s="40" t="s">
        <v>0</v>
      </c>
      <c r="X217" s="58">
        <v>16</v>
      </c>
      <c r="Y217" s="55">
        <f t="shared" si="26"/>
        <v>16</v>
      </c>
      <c r="Z217" s="41">
        <f>IFERROR(IF(Y217=0,"",ROUNDUP(Y217/H217,0)*0.00556),"")</f>
        <v>0.11119999999999999</v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18.600000000000001</v>
      </c>
      <c r="BN217" s="78">
        <f t="shared" si="28"/>
        <v>18.600000000000001</v>
      </c>
      <c r="BO217" s="78">
        <f t="shared" si="29"/>
        <v>7.9365079365079361E-2</v>
      </c>
      <c r="BP217" s="78">
        <f t="shared" si="30"/>
        <v>7.9365079365079361E-2</v>
      </c>
    </row>
    <row r="218" spans="1:68" ht="27" customHeight="1" x14ac:dyDescent="0.25">
      <c r="A218" s="63" t="s">
        <v>376</v>
      </c>
      <c r="B218" s="63" t="s">
        <v>377</v>
      </c>
      <c r="C218" s="36">
        <v>4301031199</v>
      </c>
      <c r="D218" s="639">
        <v>4680115880986</v>
      </c>
      <c r="E218" s="63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1"/>
      <c r="R218" s="641"/>
      <c r="S218" s="641"/>
      <c r="T218" s="642"/>
      <c r="U218" s="39" t="s">
        <v>46</v>
      </c>
      <c r="V218" s="39" t="s">
        <v>46</v>
      </c>
      <c r="W218" s="40" t="s">
        <v>0</v>
      </c>
      <c r="X218" s="58">
        <v>70</v>
      </c>
      <c r="Y218" s="55">
        <f t="shared" si="26"/>
        <v>71.400000000000006</v>
      </c>
      <c r="Z218" s="41">
        <f>IFERROR(IF(Y218=0,"",ROUNDUP(Y218/H218,0)*0.00502),"")</f>
        <v>0.17068</v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74.333333333333329</v>
      </c>
      <c r="BN218" s="78">
        <f t="shared" si="28"/>
        <v>75.820000000000007</v>
      </c>
      <c r="BO218" s="78">
        <f t="shared" si="29"/>
        <v>0.14245014245014245</v>
      </c>
      <c r="BP218" s="78">
        <f t="shared" si="30"/>
        <v>0.14529914529914531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39">
        <v>4680115887213</v>
      </c>
      <c r="E219" s="63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1"/>
      <c r="R219" s="641"/>
      <c r="S219" s="641"/>
      <c r="T219" s="64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4301031205</v>
      </c>
      <c r="D220" s="639">
        <v>4680115881785</v>
      </c>
      <c r="E220" s="63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1"/>
      <c r="R220" s="641"/>
      <c r="S220" s="641"/>
      <c r="T220" s="642"/>
      <c r="U220" s="39" t="s">
        <v>46</v>
      </c>
      <c r="V220" s="39" t="s">
        <v>46</v>
      </c>
      <c r="W220" s="40" t="s">
        <v>0</v>
      </c>
      <c r="X220" s="58">
        <v>105</v>
      </c>
      <c r="Y220" s="55">
        <f t="shared" si="26"/>
        <v>105</v>
      </c>
      <c r="Z220" s="41">
        <f>IFERROR(IF(Y220=0,"",ROUNDUP(Y220/H220,0)*0.00502),"")</f>
        <v>0.251</v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111.5</v>
      </c>
      <c r="BN220" s="78">
        <f t="shared" si="28"/>
        <v>111.5</v>
      </c>
      <c r="BO220" s="78">
        <f t="shared" si="29"/>
        <v>0.21367521367521369</v>
      </c>
      <c r="BP220" s="78">
        <f t="shared" si="30"/>
        <v>0.21367521367521369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39">
        <v>4680115888432</v>
      </c>
      <c r="E221" s="63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1"/>
      <c r="R221" s="641"/>
      <c r="S221" s="641"/>
      <c r="T221" s="64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39">
        <v>4680115886537</v>
      </c>
      <c r="E222" s="63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1"/>
      <c r="R222" s="641"/>
      <c r="S222" s="641"/>
      <c r="T222" s="64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389</v>
      </c>
      <c r="B223" s="63" t="s">
        <v>390</v>
      </c>
      <c r="C223" s="36">
        <v>4301031279</v>
      </c>
      <c r="D223" s="639">
        <v>4680115887596</v>
      </c>
      <c r="E223" s="639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0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1"/>
      <c r="R223" s="641"/>
      <c r="S223" s="641"/>
      <c r="T223" s="64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392</v>
      </c>
      <c r="B224" s="63" t="s">
        <v>393</v>
      </c>
      <c r="C224" s="36">
        <v>4301031530</v>
      </c>
      <c r="D224" s="639">
        <v>4680115881679</v>
      </c>
      <c r="E224" s="63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0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1"/>
      <c r="R224" s="641"/>
      <c r="S224" s="641"/>
      <c r="T224" s="64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39">
        <v>4680115880191</v>
      </c>
      <c r="E225" s="63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0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1"/>
      <c r="R225" s="641"/>
      <c r="S225" s="641"/>
      <c r="T225" s="64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39">
        <v>4680115883963</v>
      </c>
      <c r="E226" s="63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1"/>
      <c r="R226" s="641"/>
      <c r="S226" s="641"/>
      <c r="T226" s="64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103.33333333333333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104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0.53288000000000002</v>
      </c>
      <c r="AA227" s="67"/>
      <c r="AB227" s="67"/>
      <c r="AC227" s="67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0" t="s">
        <v>40</v>
      </c>
      <c r="Q228" s="631"/>
      <c r="R228" s="631"/>
      <c r="S228" s="631"/>
      <c r="T228" s="631"/>
      <c r="U228" s="631"/>
      <c r="V228" s="632"/>
      <c r="W228" s="42" t="s">
        <v>0</v>
      </c>
      <c r="X228" s="43">
        <f>IFERROR(SUM(X214:X226),"0")</f>
        <v>191</v>
      </c>
      <c r="Y228" s="43">
        <f>IFERROR(SUM(Y214:Y226),"0")</f>
        <v>192.4</v>
      </c>
      <c r="Z228" s="42"/>
      <c r="AA228" s="67"/>
      <c r="AB228" s="67"/>
      <c r="AC228" s="67"/>
    </row>
    <row r="229" spans="1:68" ht="14.25" hidden="1" customHeight="1" x14ac:dyDescent="0.25">
      <c r="A229" s="644" t="s">
        <v>83</v>
      </c>
      <c r="B229" s="644"/>
      <c r="C229" s="644"/>
      <c r="D229" s="644"/>
      <c r="E229" s="644"/>
      <c r="F229" s="644"/>
      <c r="G229" s="644"/>
      <c r="H229" s="644"/>
      <c r="I229" s="644"/>
      <c r="J229" s="644"/>
      <c r="K229" s="644"/>
      <c r="L229" s="644"/>
      <c r="M229" s="644"/>
      <c r="N229" s="644"/>
      <c r="O229" s="644"/>
      <c r="P229" s="644"/>
      <c r="Q229" s="644"/>
      <c r="R229" s="644"/>
      <c r="S229" s="644"/>
      <c r="T229" s="644"/>
      <c r="U229" s="644"/>
      <c r="V229" s="644"/>
      <c r="W229" s="644"/>
      <c r="X229" s="644"/>
      <c r="Y229" s="644"/>
      <c r="Z229" s="644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39">
        <v>4680115888692</v>
      </c>
      <c r="E230" s="63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0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1"/>
      <c r="R230" s="641"/>
      <c r="S230" s="641"/>
      <c r="T230" s="64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39">
        <v>4680115888722</v>
      </c>
      <c r="E231" s="63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01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1"/>
      <c r="R231" s="641"/>
      <c r="S231" s="641"/>
      <c r="T231" s="64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4301052276</v>
      </c>
      <c r="D232" s="639">
        <v>4680115888951</v>
      </c>
      <c r="E232" s="63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0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1"/>
      <c r="R232" s="641"/>
      <c r="S232" s="641"/>
      <c r="T232" s="64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39">
        <v>4680115888975</v>
      </c>
      <c r="E233" s="63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03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1"/>
      <c r="R233" s="641"/>
      <c r="S233" s="641"/>
      <c r="T233" s="64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39">
        <v>4680115888982</v>
      </c>
      <c r="E234" s="63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79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1"/>
      <c r="R234" s="641"/>
      <c r="S234" s="641"/>
      <c r="T234" s="64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33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0" t="s">
        <v>40</v>
      </c>
      <c r="Q235" s="631"/>
      <c r="R235" s="631"/>
      <c r="S235" s="631"/>
      <c r="T235" s="631"/>
      <c r="U235" s="631"/>
      <c r="V235" s="632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0" t="s">
        <v>40</v>
      </c>
      <c r="Q236" s="631"/>
      <c r="R236" s="631"/>
      <c r="S236" s="631"/>
      <c r="T236" s="631"/>
      <c r="U236" s="631"/>
      <c r="V236" s="632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44" t="s">
        <v>274</v>
      </c>
      <c r="B237" s="644"/>
      <c r="C237" s="644"/>
      <c r="D237" s="644"/>
      <c r="E237" s="644"/>
      <c r="F237" s="644"/>
      <c r="G237" s="644"/>
      <c r="H237" s="644"/>
      <c r="I237" s="644"/>
      <c r="J237" s="644"/>
      <c r="K237" s="644"/>
      <c r="L237" s="644"/>
      <c r="M237" s="644"/>
      <c r="N237" s="644"/>
      <c r="O237" s="644"/>
      <c r="P237" s="644"/>
      <c r="Q237" s="644"/>
      <c r="R237" s="644"/>
      <c r="S237" s="644"/>
      <c r="T237" s="644"/>
      <c r="U237" s="644"/>
      <c r="V237" s="644"/>
      <c r="W237" s="644"/>
      <c r="X237" s="644"/>
      <c r="Y237" s="644"/>
      <c r="Z237" s="644"/>
      <c r="AA237" s="66"/>
      <c r="AB237" s="66"/>
      <c r="AC237" s="80"/>
    </row>
    <row r="238" spans="1:68" ht="27" customHeight="1" x14ac:dyDescent="0.25">
      <c r="A238" s="63" t="s">
        <v>412</v>
      </c>
      <c r="B238" s="63" t="s">
        <v>413</v>
      </c>
      <c r="C238" s="36">
        <v>4301032053</v>
      </c>
      <c r="D238" s="639">
        <v>4680115886780</v>
      </c>
      <c r="E238" s="63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1"/>
      <c r="R238" s="641"/>
      <c r="S238" s="641"/>
      <c r="T238" s="642"/>
      <c r="U238" s="39" t="s">
        <v>46</v>
      </c>
      <c r="V238" s="39" t="s">
        <v>46</v>
      </c>
      <c r="W238" s="40" t="s">
        <v>0</v>
      </c>
      <c r="X238" s="58">
        <v>7</v>
      </c>
      <c r="Y238" s="55">
        <f>IFERROR(IF(X238="",0,CEILING((X238/$H238),1)*$H238),"")</f>
        <v>7.5600000000000005</v>
      </c>
      <c r="Z238" s="41">
        <f>IFERROR(IF(Y238=0,"",ROUNDUP(Y238/H238,0)*0.0059),"")</f>
        <v>3.5400000000000001E-2</v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8.0555555555555554</v>
      </c>
      <c r="BN238" s="78">
        <f>IFERROR(Y238*I238/H238,"0")</f>
        <v>8.6999999999999993</v>
      </c>
      <c r="BO238" s="78">
        <f>IFERROR(1/J238*(X238/H238),"0")</f>
        <v>2.5720164609053495E-2</v>
      </c>
      <c r="BP238" s="78">
        <f>IFERROR(1/J238*(Y238/H238),"0")</f>
        <v>2.7777777777777776E-2</v>
      </c>
    </row>
    <row r="239" spans="1:68" ht="27" customHeight="1" x14ac:dyDescent="0.25">
      <c r="A239" s="63" t="s">
        <v>415</v>
      </c>
      <c r="B239" s="63" t="s">
        <v>416</v>
      </c>
      <c r="C239" s="36">
        <v>4301032051</v>
      </c>
      <c r="D239" s="639">
        <v>4680115886742</v>
      </c>
      <c r="E239" s="63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1"/>
      <c r="R239" s="641"/>
      <c r="S239" s="641"/>
      <c r="T239" s="642"/>
      <c r="U239" s="39" t="s">
        <v>46</v>
      </c>
      <c r="V239" s="39" t="s">
        <v>46</v>
      </c>
      <c r="W239" s="40" t="s">
        <v>0</v>
      </c>
      <c r="X239" s="58">
        <v>7</v>
      </c>
      <c r="Y239" s="55">
        <f>IFERROR(IF(X239="",0,CEILING((X239/$H239),1)*$H239),"")</f>
        <v>7.5600000000000005</v>
      </c>
      <c r="Z239" s="41">
        <f>IFERROR(IF(Y239=0,"",ROUNDUP(Y239/H239,0)*0.0059),"")</f>
        <v>3.5400000000000001E-2</v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8.0555555555555554</v>
      </c>
      <c r="BN239" s="78">
        <f>IFERROR(Y239*I239/H239,"0")</f>
        <v>8.6999999999999993</v>
      </c>
      <c r="BO239" s="78">
        <f>IFERROR(1/J239*(X239/H239),"0")</f>
        <v>2.5720164609053495E-2</v>
      </c>
      <c r="BP239" s="78">
        <f>IFERROR(1/J239*(Y239/H239),"0")</f>
        <v>2.7777777777777776E-2</v>
      </c>
    </row>
    <row r="240" spans="1:68" ht="27" customHeight="1" x14ac:dyDescent="0.25">
      <c r="A240" s="63" t="s">
        <v>418</v>
      </c>
      <c r="B240" s="63" t="s">
        <v>419</v>
      </c>
      <c r="C240" s="36">
        <v>4301032052</v>
      </c>
      <c r="D240" s="639">
        <v>4680115886766</v>
      </c>
      <c r="E240" s="63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1"/>
      <c r="R240" s="641"/>
      <c r="S240" s="641"/>
      <c r="T240" s="642"/>
      <c r="U240" s="39" t="s">
        <v>46</v>
      </c>
      <c r="V240" s="39" t="s">
        <v>46</v>
      </c>
      <c r="W240" s="40" t="s">
        <v>0</v>
      </c>
      <c r="X240" s="58">
        <v>7</v>
      </c>
      <c r="Y240" s="55">
        <f>IFERROR(IF(X240="",0,CEILING((X240/$H240),1)*$H240),"")</f>
        <v>7.5600000000000005</v>
      </c>
      <c r="Z240" s="41">
        <f>IFERROR(IF(Y240=0,"",ROUNDUP(Y240/H240,0)*0.0059),"")</f>
        <v>3.5400000000000001E-2</v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8.0555555555555554</v>
      </c>
      <c r="BN240" s="78">
        <f>IFERROR(Y240*I240/H240,"0")</f>
        <v>8.6999999999999993</v>
      </c>
      <c r="BO240" s="78">
        <f>IFERROR(1/J240*(X240/H240),"0")</f>
        <v>2.5720164609053495E-2</v>
      </c>
      <c r="BP240" s="78">
        <f>IFERROR(1/J240*(Y240/H240),"0")</f>
        <v>2.7777777777777776E-2</v>
      </c>
    </row>
    <row r="241" spans="1:68" x14ac:dyDescent="0.2">
      <c r="A241" s="633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0" t="s">
        <v>40</v>
      </c>
      <c r="Q241" s="631"/>
      <c r="R241" s="631"/>
      <c r="S241" s="631"/>
      <c r="T241" s="631"/>
      <c r="U241" s="631"/>
      <c r="V241" s="632"/>
      <c r="W241" s="42" t="s">
        <v>39</v>
      </c>
      <c r="X241" s="43">
        <f>IFERROR(X238/H238,"0")+IFERROR(X239/H239,"0")+IFERROR(X240/H240,"0")</f>
        <v>16.666666666666664</v>
      </c>
      <c r="Y241" s="43">
        <f>IFERROR(Y238/H238,"0")+IFERROR(Y239/H239,"0")+IFERROR(Y240/H240,"0")</f>
        <v>18</v>
      </c>
      <c r="Z241" s="43">
        <f>IFERROR(IF(Z238="",0,Z238),"0")+IFERROR(IF(Z239="",0,Z239),"0")+IFERROR(IF(Z240="",0,Z240),"0")</f>
        <v>0.1062</v>
      </c>
      <c r="AA241" s="67"/>
      <c r="AB241" s="67"/>
      <c r="AC241" s="67"/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2" t="s">
        <v>0</v>
      </c>
      <c r="X242" s="43">
        <f>IFERROR(SUM(X238:X240),"0")</f>
        <v>21</v>
      </c>
      <c r="Y242" s="43">
        <f>IFERROR(SUM(Y238:Y240),"0")</f>
        <v>22.68</v>
      </c>
      <c r="Z242" s="42"/>
      <c r="AA242" s="67"/>
      <c r="AB242" s="67"/>
      <c r="AC242" s="67"/>
    </row>
    <row r="243" spans="1:68" ht="14.25" hidden="1" customHeight="1" x14ac:dyDescent="0.25">
      <c r="A243" s="644" t="s">
        <v>420</v>
      </c>
      <c r="B243" s="644"/>
      <c r="C243" s="644"/>
      <c r="D243" s="644"/>
      <c r="E243" s="644"/>
      <c r="F243" s="644"/>
      <c r="G243" s="644"/>
      <c r="H243" s="644"/>
      <c r="I243" s="644"/>
      <c r="J243" s="644"/>
      <c r="K243" s="644"/>
      <c r="L243" s="644"/>
      <c r="M243" s="644"/>
      <c r="N243" s="644"/>
      <c r="O243" s="644"/>
      <c r="P243" s="644"/>
      <c r="Q243" s="644"/>
      <c r="R243" s="644"/>
      <c r="S243" s="644"/>
      <c r="T243" s="644"/>
      <c r="U243" s="644"/>
      <c r="V243" s="644"/>
      <c r="W243" s="644"/>
      <c r="X243" s="644"/>
      <c r="Y243" s="644"/>
      <c r="Z243" s="644"/>
      <c r="AA243" s="66"/>
      <c r="AB243" s="66"/>
      <c r="AC243" s="80"/>
    </row>
    <row r="244" spans="1:68" ht="27" customHeight="1" x14ac:dyDescent="0.25">
      <c r="A244" s="63" t="s">
        <v>421</v>
      </c>
      <c r="B244" s="63" t="s">
        <v>422</v>
      </c>
      <c r="C244" s="36">
        <v>4301170013</v>
      </c>
      <c r="D244" s="639">
        <v>4680115886797</v>
      </c>
      <c r="E244" s="63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1"/>
      <c r="R244" s="641"/>
      <c r="S244" s="641"/>
      <c r="T244" s="642"/>
      <c r="U244" s="39" t="s">
        <v>46</v>
      </c>
      <c r="V244" s="39" t="s">
        <v>46</v>
      </c>
      <c r="W244" s="40" t="s">
        <v>0</v>
      </c>
      <c r="X244" s="58">
        <v>7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2.5720164609053495E-2</v>
      </c>
      <c r="BP244" s="78">
        <f>IFERROR(1/J244*(Y244/H244),"0")</f>
        <v>2.7777777777777776E-2</v>
      </c>
    </row>
    <row r="245" spans="1:68" x14ac:dyDescent="0.2">
      <c r="A245" s="633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0" t="s">
        <v>40</v>
      </c>
      <c r="Q245" s="631"/>
      <c r="R245" s="631"/>
      <c r="S245" s="631"/>
      <c r="T245" s="631"/>
      <c r="U245" s="631"/>
      <c r="V245" s="632"/>
      <c r="W245" s="42" t="s">
        <v>39</v>
      </c>
      <c r="X245" s="43">
        <f>IFERROR(X244/H244,"0")</f>
        <v>5.5555555555555554</v>
      </c>
      <c r="Y245" s="43">
        <f>IFERROR(Y244/H244,"0")</f>
        <v>6</v>
      </c>
      <c r="Z245" s="43">
        <f>IFERROR(IF(Z244="",0,Z244),"0")</f>
        <v>3.5400000000000001E-2</v>
      </c>
      <c r="AA245" s="67"/>
      <c r="AB245" s="67"/>
      <c r="AC245" s="67"/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2" t="s">
        <v>0</v>
      </c>
      <c r="X246" s="43">
        <f>IFERROR(SUM(X244:X244),"0")</f>
        <v>7</v>
      </c>
      <c r="Y246" s="43">
        <f>IFERROR(SUM(Y244:Y244),"0")</f>
        <v>7.5600000000000005</v>
      </c>
      <c r="Z246" s="42"/>
      <c r="AA246" s="67"/>
      <c r="AB246" s="67"/>
      <c r="AC246" s="67"/>
    </row>
    <row r="247" spans="1:68" ht="16.5" hidden="1" customHeight="1" x14ac:dyDescent="0.25">
      <c r="A247" s="643" t="s">
        <v>423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5"/>
      <c r="AB247" s="65"/>
      <c r="AC247" s="79"/>
    </row>
    <row r="248" spans="1:68" ht="14.25" hidden="1" customHeight="1" x14ac:dyDescent="0.25">
      <c r="A248" s="644" t="s">
        <v>119</v>
      </c>
      <c r="B248" s="644"/>
      <c r="C248" s="644"/>
      <c r="D248" s="644"/>
      <c r="E248" s="644"/>
      <c r="F248" s="644"/>
      <c r="G248" s="644"/>
      <c r="H248" s="644"/>
      <c r="I248" s="644"/>
      <c r="J248" s="644"/>
      <c r="K248" s="644"/>
      <c r="L248" s="644"/>
      <c r="M248" s="644"/>
      <c r="N248" s="644"/>
      <c r="O248" s="644"/>
      <c r="P248" s="644"/>
      <c r="Q248" s="644"/>
      <c r="R248" s="644"/>
      <c r="S248" s="644"/>
      <c r="T248" s="644"/>
      <c r="U248" s="644"/>
      <c r="V248" s="644"/>
      <c r="W248" s="644"/>
      <c r="X248" s="644"/>
      <c r="Y248" s="644"/>
      <c r="Z248" s="644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39">
        <v>4680115881402</v>
      </c>
      <c r="E249" s="63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1"/>
      <c r="R249" s="641"/>
      <c r="S249" s="641"/>
      <c r="T249" s="64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39">
        <v>4680115881396</v>
      </c>
      <c r="E250" s="63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1"/>
      <c r="R250" s="641"/>
      <c r="S250" s="641"/>
      <c r="T250" s="64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0" t="s">
        <v>40</v>
      </c>
      <c r="Q252" s="631"/>
      <c r="R252" s="631"/>
      <c r="S252" s="631"/>
      <c r="T252" s="631"/>
      <c r="U252" s="631"/>
      <c r="V252" s="632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44" t="s">
        <v>154</v>
      </c>
      <c r="B253" s="644"/>
      <c r="C253" s="644"/>
      <c r="D253" s="644"/>
      <c r="E253" s="644"/>
      <c r="F253" s="644"/>
      <c r="G253" s="644"/>
      <c r="H253" s="644"/>
      <c r="I253" s="644"/>
      <c r="J253" s="644"/>
      <c r="K253" s="644"/>
      <c r="L253" s="644"/>
      <c r="M253" s="644"/>
      <c r="N253" s="644"/>
      <c r="O253" s="644"/>
      <c r="P253" s="644"/>
      <c r="Q253" s="644"/>
      <c r="R253" s="644"/>
      <c r="S253" s="644"/>
      <c r="T253" s="644"/>
      <c r="U253" s="644"/>
      <c r="V253" s="644"/>
      <c r="W253" s="644"/>
      <c r="X253" s="644"/>
      <c r="Y253" s="644"/>
      <c r="Z253" s="644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39">
        <v>4680115882935</v>
      </c>
      <c r="E254" s="63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41"/>
      <c r="R254" s="641"/>
      <c r="S254" s="641"/>
      <c r="T254" s="64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39">
        <v>4680115880764</v>
      </c>
      <c r="E255" s="639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41"/>
      <c r="R255" s="641"/>
      <c r="S255" s="641"/>
      <c r="T255" s="64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33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0" t="s">
        <v>40</v>
      </c>
      <c r="Q256" s="631"/>
      <c r="R256" s="631"/>
      <c r="S256" s="631"/>
      <c r="T256" s="631"/>
      <c r="U256" s="631"/>
      <c r="V256" s="632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0" t="s">
        <v>40</v>
      </c>
      <c r="Q257" s="631"/>
      <c r="R257" s="631"/>
      <c r="S257" s="631"/>
      <c r="T257" s="631"/>
      <c r="U257" s="631"/>
      <c r="V257" s="632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44" t="s">
        <v>77</v>
      </c>
      <c r="B258" s="644"/>
      <c r="C258" s="644"/>
      <c r="D258" s="644"/>
      <c r="E258" s="644"/>
      <c r="F258" s="644"/>
      <c r="G258" s="644"/>
      <c r="H258" s="644"/>
      <c r="I258" s="644"/>
      <c r="J258" s="644"/>
      <c r="K258" s="644"/>
      <c r="L258" s="644"/>
      <c r="M258" s="644"/>
      <c r="N258" s="644"/>
      <c r="O258" s="644"/>
      <c r="P258" s="644"/>
      <c r="Q258" s="644"/>
      <c r="R258" s="644"/>
      <c r="S258" s="644"/>
      <c r="T258" s="644"/>
      <c r="U258" s="644"/>
      <c r="V258" s="644"/>
      <c r="W258" s="644"/>
      <c r="X258" s="644"/>
      <c r="Y258" s="644"/>
      <c r="Z258" s="644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39">
        <v>4680115882683</v>
      </c>
      <c r="E259" s="639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41"/>
      <c r="R259" s="641"/>
      <c r="S259" s="641"/>
      <c r="T259" s="642"/>
      <c r="U259" s="39" t="s">
        <v>46</v>
      </c>
      <c r="V259" s="39" t="s">
        <v>46</v>
      </c>
      <c r="W259" s="40" t="s">
        <v>0</v>
      </c>
      <c r="X259" s="58">
        <v>300</v>
      </c>
      <c r="Y259" s="55">
        <f t="shared" ref="Y259:Y266" si="31">IFERROR(IF(X259="",0,CEILING((X259/$H259),1)*$H259),"")</f>
        <v>302.40000000000003</v>
      </c>
      <c r="Z259" s="41">
        <f>IFERROR(IF(Y259=0,"",ROUNDUP(Y259/H259,0)*0.00902),"")</f>
        <v>0.50512000000000001</v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310.55555555555554</v>
      </c>
      <c r="BN259" s="78">
        <f t="shared" ref="BN259:BN266" si="33">IFERROR(Y259*I259/H259,"0")</f>
        <v>313.04000000000002</v>
      </c>
      <c r="BO259" s="78">
        <f t="shared" ref="BO259:BO266" si="34">IFERROR(1/J259*(X259/H259),"0")</f>
        <v>0.42087542087542085</v>
      </c>
      <c r="BP259" s="78">
        <f t="shared" ref="BP259:BP266" si="35">IFERROR(1/J259*(Y259/H259),"0")</f>
        <v>0.42424242424242425</v>
      </c>
    </row>
    <row r="260" spans="1:68" ht="27" customHeight="1" x14ac:dyDescent="0.25">
      <c r="A260" s="63" t="s">
        <v>437</v>
      </c>
      <c r="B260" s="63" t="s">
        <v>438</v>
      </c>
      <c r="C260" s="36">
        <v>4301031230</v>
      </c>
      <c r="D260" s="639">
        <v>4680115882690</v>
      </c>
      <c r="E260" s="63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41"/>
      <c r="R260" s="641"/>
      <c r="S260" s="641"/>
      <c r="T260" s="642"/>
      <c r="U260" s="39" t="s">
        <v>46</v>
      </c>
      <c r="V260" s="39" t="s">
        <v>46</v>
      </c>
      <c r="W260" s="40" t="s">
        <v>0</v>
      </c>
      <c r="X260" s="58">
        <v>90</v>
      </c>
      <c r="Y260" s="55">
        <f t="shared" si="31"/>
        <v>91.800000000000011</v>
      </c>
      <c r="Z260" s="41">
        <f>IFERROR(IF(Y260=0,"",ROUNDUP(Y260/H260,0)*0.00902),"")</f>
        <v>0.15334</v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93.166666666666657</v>
      </c>
      <c r="BN260" s="78">
        <f t="shared" si="33"/>
        <v>95.03</v>
      </c>
      <c r="BO260" s="78">
        <f t="shared" si="34"/>
        <v>0.12626262626262624</v>
      </c>
      <c r="BP260" s="78">
        <f t="shared" si="35"/>
        <v>0.12878787878787878</v>
      </c>
    </row>
    <row r="261" spans="1:68" ht="27" hidden="1" customHeight="1" x14ac:dyDescent="0.25">
      <c r="A261" s="63" t="s">
        <v>440</v>
      </c>
      <c r="B261" s="63" t="s">
        <v>441</v>
      </c>
      <c r="C261" s="36">
        <v>4301031220</v>
      </c>
      <c r="D261" s="639">
        <v>4680115882669</v>
      </c>
      <c r="E261" s="63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41"/>
      <c r="R261" s="641"/>
      <c r="S261" s="641"/>
      <c r="T261" s="64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customHeight="1" x14ac:dyDescent="0.25">
      <c r="A262" s="63" t="s">
        <v>443</v>
      </c>
      <c r="B262" s="63" t="s">
        <v>444</v>
      </c>
      <c r="C262" s="36">
        <v>4301031221</v>
      </c>
      <c r="D262" s="639">
        <v>4680115882676</v>
      </c>
      <c r="E262" s="63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41"/>
      <c r="R262" s="641"/>
      <c r="S262" s="641"/>
      <c r="T262" s="642"/>
      <c r="U262" s="39" t="s">
        <v>46</v>
      </c>
      <c r="V262" s="39" t="s">
        <v>46</v>
      </c>
      <c r="W262" s="40" t="s">
        <v>0</v>
      </c>
      <c r="X262" s="58">
        <v>60</v>
      </c>
      <c r="Y262" s="55">
        <f t="shared" si="31"/>
        <v>64.800000000000011</v>
      </c>
      <c r="Z262" s="41">
        <f>IFERROR(IF(Y262=0,"",ROUNDUP(Y262/H262,0)*0.00902),"")</f>
        <v>0.10824</v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62.1111111111111</v>
      </c>
      <c r="BN262" s="78">
        <f t="shared" si="33"/>
        <v>67.08</v>
      </c>
      <c r="BO262" s="78">
        <f t="shared" si="34"/>
        <v>8.4175084175084181E-2</v>
      </c>
      <c r="BP262" s="78">
        <f t="shared" si="35"/>
        <v>9.0909090909090925E-2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4301031223</v>
      </c>
      <c r="D263" s="639">
        <v>4680115884014</v>
      </c>
      <c r="E263" s="639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41"/>
      <c r="R263" s="641"/>
      <c r="S263" s="641"/>
      <c r="T263" s="642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448</v>
      </c>
      <c r="B264" s="63" t="s">
        <v>449</v>
      </c>
      <c r="C264" s="36">
        <v>4301031222</v>
      </c>
      <c r="D264" s="639">
        <v>4680115884007</v>
      </c>
      <c r="E264" s="639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41"/>
      <c r="R264" s="641"/>
      <c r="S264" s="641"/>
      <c r="T264" s="64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450</v>
      </c>
      <c r="B265" s="63" t="s">
        <v>451</v>
      </c>
      <c r="C265" s="36">
        <v>4301031229</v>
      </c>
      <c r="D265" s="639">
        <v>4680115884038</v>
      </c>
      <c r="E265" s="63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41"/>
      <c r="R265" s="641"/>
      <c r="S265" s="641"/>
      <c r="T265" s="64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4301031225</v>
      </c>
      <c r="D266" s="639">
        <v>4680115884021</v>
      </c>
      <c r="E266" s="63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41"/>
      <c r="R266" s="641"/>
      <c r="S266" s="641"/>
      <c r="T266" s="64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83.333333333333329</v>
      </c>
      <c r="Y267" s="43">
        <f>IFERROR(Y259/H259,"0")+IFERROR(Y260/H260,"0")+IFERROR(Y261/H261,"0")+IFERROR(Y262/H262,"0")+IFERROR(Y263/H263,"0")+IFERROR(Y264/H264,"0")+IFERROR(Y265/H265,"0")+IFERROR(Y266/H266,"0")</f>
        <v>85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0.76670000000000005</v>
      </c>
      <c r="AA267" s="67"/>
      <c r="AB267" s="67"/>
      <c r="AC267" s="67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0</v>
      </c>
      <c r="X268" s="43">
        <f>IFERROR(SUM(X259:X266),"0")</f>
        <v>450</v>
      </c>
      <c r="Y268" s="43">
        <f>IFERROR(SUM(Y259:Y266),"0")</f>
        <v>459.00000000000006</v>
      </c>
      <c r="Z268" s="42"/>
      <c r="AA268" s="67"/>
      <c r="AB268" s="67"/>
      <c r="AC268" s="67"/>
    </row>
    <row r="269" spans="1:68" ht="14.25" hidden="1" customHeight="1" x14ac:dyDescent="0.25">
      <c r="A269" s="644" t="s">
        <v>83</v>
      </c>
      <c r="B269" s="644"/>
      <c r="C269" s="644"/>
      <c r="D269" s="644"/>
      <c r="E269" s="644"/>
      <c r="F269" s="644"/>
      <c r="G269" s="644"/>
      <c r="H269" s="644"/>
      <c r="I269" s="644"/>
      <c r="J269" s="644"/>
      <c r="K269" s="644"/>
      <c r="L269" s="644"/>
      <c r="M269" s="644"/>
      <c r="N269" s="644"/>
      <c r="O269" s="644"/>
      <c r="P269" s="644"/>
      <c r="Q269" s="644"/>
      <c r="R269" s="644"/>
      <c r="S269" s="644"/>
      <c r="T269" s="644"/>
      <c r="U269" s="644"/>
      <c r="V269" s="644"/>
      <c r="W269" s="644"/>
      <c r="X269" s="644"/>
      <c r="Y269" s="644"/>
      <c r="Z269" s="644"/>
      <c r="AA269" s="66"/>
      <c r="AB269" s="66"/>
      <c r="AC269" s="80"/>
    </row>
    <row r="270" spans="1:68" ht="27" customHeight="1" x14ac:dyDescent="0.25">
      <c r="A270" s="63" t="s">
        <v>454</v>
      </c>
      <c r="B270" s="63" t="s">
        <v>455</v>
      </c>
      <c r="C270" s="36">
        <v>4301051408</v>
      </c>
      <c r="D270" s="639">
        <v>4680115881594</v>
      </c>
      <c r="E270" s="639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41"/>
      <c r="R270" s="641"/>
      <c r="S270" s="641"/>
      <c r="T270" s="642"/>
      <c r="U270" s="39" t="s">
        <v>46</v>
      </c>
      <c r="V270" s="39" t="s">
        <v>46</v>
      </c>
      <c r="W270" s="40" t="s">
        <v>0</v>
      </c>
      <c r="X270" s="58">
        <v>330</v>
      </c>
      <c r="Y270" s="55">
        <f t="shared" ref="Y270:Y281" si="36">IFERROR(IF(X270="",0,CEILING((X270/$H270),1)*$H270),"")</f>
        <v>332.09999999999997</v>
      </c>
      <c r="Z270" s="41">
        <f>IFERROR(IF(Y270=0,"",ROUNDUP(Y270/H270,0)*0.01898),"")</f>
        <v>0.77817999999999998</v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350.12592592592591</v>
      </c>
      <c r="BN270" s="78">
        <f t="shared" ref="BN270:BN281" si="38">IFERROR(Y270*I270/H270,"0")</f>
        <v>352.35399999999993</v>
      </c>
      <c r="BO270" s="78">
        <f t="shared" ref="BO270:BO281" si="39">IFERROR(1/J270*(X270/H270),"0")</f>
        <v>0.63657407407407407</v>
      </c>
      <c r="BP270" s="78">
        <f t="shared" ref="BP270:BP281" si="40">IFERROR(1/J270*(Y270/H270),"0")</f>
        <v>0.640625</v>
      </c>
    </row>
    <row r="271" spans="1:68" ht="27" customHeight="1" x14ac:dyDescent="0.25">
      <c r="A271" s="63" t="s">
        <v>457</v>
      </c>
      <c r="B271" s="63" t="s">
        <v>458</v>
      </c>
      <c r="C271" s="36">
        <v>4301051411</v>
      </c>
      <c r="D271" s="639">
        <v>4680115881617</v>
      </c>
      <c r="E271" s="639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41"/>
      <c r="R271" s="641"/>
      <c r="S271" s="641"/>
      <c r="T271" s="642"/>
      <c r="U271" s="39" t="s">
        <v>46</v>
      </c>
      <c r="V271" s="39" t="s">
        <v>46</v>
      </c>
      <c r="W271" s="40" t="s">
        <v>0</v>
      </c>
      <c r="X271" s="58">
        <v>400</v>
      </c>
      <c r="Y271" s="55">
        <f t="shared" si="36"/>
        <v>405</v>
      </c>
      <c r="Z271" s="41">
        <f>IFERROR(IF(Y271=0,"",ROUNDUP(Y271/H271,0)*0.01898),"")</f>
        <v>0.94900000000000007</v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423.50617283950618</v>
      </c>
      <c r="BN271" s="78">
        <f t="shared" si="38"/>
        <v>428.80000000000007</v>
      </c>
      <c r="BO271" s="78">
        <f t="shared" si="39"/>
        <v>0.77160493827160492</v>
      </c>
      <c r="BP271" s="78">
        <f t="shared" si="40"/>
        <v>0.78125</v>
      </c>
    </row>
    <row r="272" spans="1:68" ht="27" customHeight="1" x14ac:dyDescent="0.25">
      <c r="A272" s="63" t="s">
        <v>460</v>
      </c>
      <c r="B272" s="63" t="s">
        <v>461</v>
      </c>
      <c r="C272" s="36">
        <v>4301051656</v>
      </c>
      <c r="D272" s="639">
        <v>4680115880573</v>
      </c>
      <c r="E272" s="639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41"/>
      <c r="R272" s="641"/>
      <c r="S272" s="641"/>
      <c r="T272" s="642"/>
      <c r="U272" s="39" t="s">
        <v>46</v>
      </c>
      <c r="V272" s="39" t="s">
        <v>46</v>
      </c>
      <c r="W272" s="40" t="s">
        <v>0</v>
      </c>
      <c r="X272" s="58">
        <v>240</v>
      </c>
      <c r="Y272" s="55">
        <f t="shared" si="36"/>
        <v>243.59999999999997</v>
      </c>
      <c r="Z272" s="41">
        <f>IFERROR(IF(Y272=0,"",ROUNDUP(Y272/H272,0)*0.01898),"")</f>
        <v>0.53144000000000002</v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253.62758620689661</v>
      </c>
      <c r="BN272" s="78">
        <f t="shared" si="38"/>
        <v>257.43200000000002</v>
      </c>
      <c r="BO272" s="78">
        <f t="shared" si="39"/>
        <v>0.43103448275862072</v>
      </c>
      <c r="BP272" s="78">
        <f t="shared" si="40"/>
        <v>0.4375</v>
      </c>
    </row>
    <row r="273" spans="1:68" ht="27" customHeight="1" x14ac:dyDescent="0.25">
      <c r="A273" s="63" t="s">
        <v>463</v>
      </c>
      <c r="B273" s="63" t="s">
        <v>464</v>
      </c>
      <c r="C273" s="36">
        <v>4301051407</v>
      </c>
      <c r="D273" s="639">
        <v>4680115882195</v>
      </c>
      <c r="E273" s="639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41"/>
      <c r="R273" s="641"/>
      <c r="S273" s="641"/>
      <c r="T273" s="642"/>
      <c r="U273" s="39" t="s">
        <v>46</v>
      </c>
      <c r="V273" s="39" t="s">
        <v>46</v>
      </c>
      <c r="W273" s="40" t="s">
        <v>0</v>
      </c>
      <c r="X273" s="58">
        <v>280</v>
      </c>
      <c r="Y273" s="55">
        <f t="shared" si="36"/>
        <v>280.8</v>
      </c>
      <c r="Z273" s="41">
        <f>IFERROR(IF(Y273=0,"",ROUNDUP(Y273/H273,0)*0.00651),"")</f>
        <v>0.76167000000000007</v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311.5</v>
      </c>
      <c r="BN273" s="78">
        <f t="shared" si="38"/>
        <v>312.39</v>
      </c>
      <c r="BO273" s="78">
        <f t="shared" si="39"/>
        <v>0.64102564102564108</v>
      </c>
      <c r="BP273" s="78">
        <f t="shared" si="40"/>
        <v>0.64285714285714302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39">
        <v>4680115882607</v>
      </c>
      <c r="E274" s="639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41"/>
      <c r="R274" s="641"/>
      <c r="S274" s="641"/>
      <c r="T274" s="64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39">
        <v>4680115882607</v>
      </c>
      <c r="E275" s="639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41"/>
      <c r="R275" s="641"/>
      <c r="S275" s="641"/>
      <c r="T275" s="64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39">
        <v>4680115880092</v>
      </c>
      <c r="E276" s="639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41"/>
      <c r="R276" s="641"/>
      <c r="S276" s="641"/>
      <c r="T276" s="642"/>
      <c r="U276" s="39" t="s">
        <v>46</v>
      </c>
      <c r="V276" s="39" t="s">
        <v>46</v>
      </c>
      <c r="W276" s="40" t="s">
        <v>0</v>
      </c>
      <c r="X276" s="58">
        <v>320</v>
      </c>
      <c r="Y276" s="55">
        <f t="shared" si="36"/>
        <v>321.59999999999997</v>
      </c>
      <c r="Z276" s="41">
        <f>IFERROR(IF(Y276=0,"",ROUNDUP(Y276/H276,0)*0.00651),"")</f>
        <v>0.87234</v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353.60000000000008</v>
      </c>
      <c r="BN276" s="78">
        <f t="shared" si="38"/>
        <v>355.36799999999999</v>
      </c>
      <c r="BO276" s="78">
        <f t="shared" si="39"/>
        <v>0.73260073260073266</v>
      </c>
      <c r="BP276" s="78">
        <f t="shared" si="40"/>
        <v>0.73626373626373631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39">
        <v>4680115889064</v>
      </c>
      <c r="E277" s="639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41"/>
      <c r="R277" s="641"/>
      <c r="S277" s="641"/>
      <c r="T277" s="64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4301051668</v>
      </c>
      <c r="D278" s="639">
        <v>4680115880221</v>
      </c>
      <c r="E278" s="639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41"/>
      <c r="R278" s="641"/>
      <c r="S278" s="641"/>
      <c r="T278" s="64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4301051945</v>
      </c>
      <c r="D279" s="639">
        <v>4680115880504</v>
      </c>
      <c r="E279" s="63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41"/>
      <c r="R279" s="641"/>
      <c r="S279" s="641"/>
      <c r="T279" s="64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4301051410</v>
      </c>
      <c r="D280" s="639">
        <v>4680115882164</v>
      </c>
      <c r="E280" s="639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41"/>
      <c r="R280" s="641"/>
      <c r="S280" s="641"/>
      <c r="T280" s="642"/>
      <c r="U280" s="39" t="s">
        <v>46</v>
      </c>
      <c r="V280" s="39" t="s">
        <v>46</v>
      </c>
      <c r="W280" s="40" t="s">
        <v>0</v>
      </c>
      <c r="X280" s="58">
        <v>240</v>
      </c>
      <c r="Y280" s="55">
        <f t="shared" si="36"/>
        <v>240</v>
      </c>
      <c r="Z280" s="41">
        <f>IFERROR(IF(Y280=0,"",ROUNDUP(Y280/H280,0)*0.00651),"")</f>
        <v>0.65100000000000002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265.8</v>
      </c>
      <c r="BN280" s="78">
        <f t="shared" si="38"/>
        <v>265.8</v>
      </c>
      <c r="BO280" s="78">
        <f t="shared" si="39"/>
        <v>0.5494505494505495</v>
      </c>
      <c r="BP280" s="78">
        <f t="shared" si="40"/>
        <v>0.5494505494505495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39">
        <v>4680115888340</v>
      </c>
      <c r="E281" s="63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41"/>
      <c r="R281" s="641"/>
      <c r="S281" s="641"/>
      <c r="T281" s="64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467.70966368667519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470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4.5436300000000003</v>
      </c>
      <c r="AA282" s="67"/>
      <c r="AB282" s="67"/>
      <c r="AC282" s="67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2" t="s">
        <v>0</v>
      </c>
      <c r="X283" s="43">
        <f>IFERROR(SUM(X270:X281),"0")</f>
        <v>1810</v>
      </c>
      <c r="Y283" s="43">
        <f>IFERROR(SUM(Y270:Y281),"0")</f>
        <v>1823.0999999999997</v>
      </c>
      <c r="Z283" s="42"/>
      <c r="AA283" s="67"/>
      <c r="AB283" s="67"/>
      <c r="AC283" s="67"/>
    </row>
    <row r="284" spans="1:68" ht="14.25" hidden="1" customHeight="1" x14ac:dyDescent="0.25">
      <c r="A284" s="644" t="s">
        <v>172</v>
      </c>
      <c r="B284" s="644"/>
      <c r="C284" s="644"/>
      <c r="D284" s="644"/>
      <c r="E284" s="644"/>
      <c r="F284" s="644"/>
      <c r="G284" s="644"/>
      <c r="H284" s="644"/>
      <c r="I284" s="644"/>
      <c r="J284" s="644"/>
      <c r="K284" s="644"/>
      <c r="L284" s="644"/>
      <c r="M284" s="644"/>
      <c r="N284" s="644"/>
      <c r="O284" s="644"/>
      <c r="P284" s="644"/>
      <c r="Q284" s="644"/>
      <c r="R284" s="644"/>
      <c r="S284" s="644"/>
      <c r="T284" s="644"/>
      <c r="U284" s="644"/>
      <c r="V284" s="644"/>
      <c r="W284" s="644"/>
      <c r="X284" s="644"/>
      <c r="Y284" s="644"/>
      <c r="Z284" s="644"/>
      <c r="AA284" s="66"/>
      <c r="AB284" s="66"/>
      <c r="AC284" s="80"/>
    </row>
    <row r="285" spans="1:68" ht="27" hidden="1" customHeight="1" x14ac:dyDescent="0.25">
      <c r="A285" s="63" t="s">
        <v>485</v>
      </c>
      <c r="B285" s="63" t="s">
        <v>486</v>
      </c>
      <c r="C285" s="36">
        <v>4301060463</v>
      </c>
      <c r="D285" s="639">
        <v>4680115880818</v>
      </c>
      <c r="E285" s="63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41"/>
      <c r="R285" s="641"/>
      <c r="S285" s="641"/>
      <c r="T285" s="642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488</v>
      </c>
      <c r="B286" s="63" t="s">
        <v>489</v>
      </c>
      <c r="C286" s="36">
        <v>4301060389</v>
      </c>
      <c r="D286" s="639">
        <v>4680115880801</v>
      </c>
      <c r="E286" s="63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41"/>
      <c r="R286" s="641"/>
      <c r="S286" s="641"/>
      <c r="T286" s="642"/>
      <c r="U286" s="39" t="s">
        <v>46</v>
      </c>
      <c r="V286" s="39" t="s">
        <v>46</v>
      </c>
      <c r="W286" s="40" t="s">
        <v>0</v>
      </c>
      <c r="X286" s="58">
        <v>120</v>
      </c>
      <c r="Y286" s="55">
        <f>IFERROR(IF(X286="",0,CEILING((X286/$H286),1)*$H286),"")</f>
        <v>120</v>
      </c>
      <c r="Z286" s="41">
        <f>IFERROR(IF(Y286=0,"",ROUNDUP(Y286/H286,0)*0.00651),"")</f>
        <v>0.32550000000000001</v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132.60000000000002</v>
      </c>
      <c r="BN286" s="78">
        <f>IFERROR(Y286*I286/H286,"0")</f>
        <v>132.60000000000002</v>
      </c>
      <c r="BO286" s="78">
        <f>IFERROR(1/J286*(X286/H286),"0")</f>
        <v>0.27472527472527475</v>
      </c>
      <c r="BP286" s="78">
        <f>IFERROR(1/J286*(Y286/H286),"0")</f>
        <v>0.27472527472527475</v>
      </c>
    </row>
    <row r="287" spans="1:68" x14ac:dyDescent="0.2">
      <c r="A287" s="633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0" t="s">
        <v>40</v>
      </c>
      <c r="Q287" s="631"/>
      <c r="R287" s="631"/>
      <c r="S287" s="631"/>
      <c r="T287" s="631"/>
      <c r="U287" s="631"/>
      <c r="V287" s="632"/>
      <c r="W287" s="42" t="s">
        <v>39</v>
      </c>
      <c r="X287" s="43">
        <f>IFERROR(X285/H285,"0")+IFERROR(X286/H286,"0")</f>
        <v>50</v>
      </c>
      <c r="Y287" s="43">
        <f>IFERROR(Y285/H285,"0")+IFERROR(Y286/H286,"0")</f>
        <v>50</v>
      </c>
      <c r="Z287" s="43">
        <f>IFERROR(IF(Z285="",0,Z285),"0")+IFERROR(IF(Z286="",0,Z286),"0")</f>
        <v>0.32550000000000001</v>
      </c>
      <c r="AA287" s="67"/>
      <c r="AB287" s="67"/>
      <c r="AC287" s="67"/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2" t="s">
        <v>0</v>
      </c>
      <c r="X288" s="43">
        <f>IFERROR(SUM(X285:X286),"0")</f>
        <v>120</v>
      </c>
      <c r="Y288" s="43">
        <f>IFERROR(SUM(Y285:Y286),"0")</f>
        <v>120</v>
      </c>
      <c r="Z288" s="42"/>
      <c r="AA288" s="67"/>
      <c r="AB288" s="67"/>
      <c r="AC288" s="67"/>
    </row>
    <row r="289" spans="1:68" ht="16.5" hidden="1" customHeight="1" x14ac:dyDescent="0.25">
      <c r="A289" s="643" t="s">
        <v>491</v>
      </c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3"/>
      <c r="P289" s="643"/>
      <c r="Q289" s="643"/>
      <c r="R289" s="643"/>
      <c r="S289" s="643"/>
      <c r="T289" s="643"/>
      <c r="U289" s="643"/>
      <c r="V289" s="643"/>
      <c r="W289" s="643"/>
      <c r="X289" s="643"/>
      <c r="Y289" s="643"/>
      <c r="Z289" s="643"/>
      <c r="AA289" s="65"/>
      <c r="AB289" s="65"/>
      <c r="AC289" s="79"/>
    </row>
    <row r="290" spans="1:68" ht="14.25" hidden="1" customHeight="1" x14ac:dyDescent="0.25">
      <c r="A290" s="644" t="s">
        <v>119</v>
      </c>
      <c r="B290" s="644"/>
      <c r="C290" s="644"/>
      <c r="D290" s="644"/>
      <c r="E290" s="644"/>
      <c r="F290" s="644"/>
      <c r="G290" s="644"/>
      <c r="H290" s="644"/>
      <c r="I290" s="644"/>
      <c r="J290" s="644"/>
      <c r="K290" s="644"/>
      <c r="L290" s="644"/>
      <c r="M290" s="644"/>
      <c r="N290" s="644"/>
      <c r="O290" s="644"/>
      <c r="P290" s="644"/>
      <c r="Q290" s="644"/>
      <c r="R290" s="644"/>
      <c r="S290" s="644"/>
      <c r="T290" s="644"/>
      <c r="U290" s="644"/>
      <c r="V290" s="644"/>
      <c r="W290" s="644"/>
      <c r="X290" s="644"/>
      <c r="Y290" s="644"/>
      <c r="Z290" s="644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39">
        <v>4680115884137</v>
      </c>
      <c r="E291" s="639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41"/>
      <c r="R291" s="641"/>
      <c r="S291" s="641"/>
      <c r="T291" s="64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39">
        <v>4680115884236</v>
      </c>
      <c r="E292" s="63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41"/>
      <c r="R292" s="641"/>
      <c r="S292" s="641"/>
      <c r="T292" s="64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4301011721</v>
      </c>
      <c r="D293" s="639">
        <v>4680115884175</v>
      </c>
      <c r="E293" s="63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41"/>
      <c r="R293" s="641"/>
      <c r="S293" s="641"/>
      <c r="T293" s="64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customHeight="1" x14ac:dyDescent="0.25">
      <c r="A294" s="63" t="s">
        <v>500</v>
      </c>
      <c r="B294" s="63" t="s">
        <v>501</v>
      </c>
      <c r="C294" s="36">
        <v>4301011824</v>
      </c>
      <c r="D294" s="639">
        <v>4680115884144</v>
      </c>
      <c r="E294" s="639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41"/>
      <c r="R294" s="641"/>
      <c r="S294" s="641"/>
      <c r="T294" s="642"/>
      <c r="U294" s="39" t="s">
        <v>46</v>
      </c>
      <c r="V294" s="39" t="s">
        <v>46</v>
      </c>
      <c r="W294" s="40" t="s">
        <v>0</v>
      </c>
      <c r="X294" s="58">
        <v>40</v>
      </c>
      <c r="Y294" s="55">
        <f t="shared" si="41"/>
        <v>40</v>
      </c>
      <c r="Z294" s="41">
        <f>IFERROR(IF(Y294=0,"",ROUNDUP(Y294/H294,0)*0.00902),"")</f>
        <v>9.0200000000000002E-2</v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41.900000000000006</v>
      </c>
      <c r="BN294" s="78">
        <f t="shared" si="43"/>
        <v>41.900000000000006</v>
      </c>
      <c r="BO294" s="78">
        <f t="shared" si="44"/>
        <v>7.575757575757576E-2</v>
      </c>
      <c r="BP294" s="78">
        <f t="shared" si="45"/>
        <v>7.575757575757576E-2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39">
        <v>4680115886551</v>
      </c>
      <c r="E295" s="63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41"/>
      <c r="R295" s="641"/>
      <c r="S295" s="641"/>
      <c r="T295" s="64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39">
        <v>4680115887282</v>
      </c>
      <c r="E296" s="639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41"/>
      <c r="R296" s="641"/>
      <c r="S296" s="641"/>
      <c r="T296" s="64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508</v>
      </c>
      <c r="B297" s="63" t="s">
        <v>509</v>
      </c>
      <c r="C297" s="36">
        <v>4301011722</v>
      </c>
      <c r="D297" s="639">
        <v>4680115884205</v>
      </c>
      <c r="E297" s="639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41"/>
      <c r="R297" s="641"/>
      <c r="S297" s="641"/>
      <c r="T297" s="64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x14ac:dyDescent="0.2">
      <c r="A298" s="633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0" t="s">
        <v>40</v>
      </c>
      <c r="Q298" s="631"/>
      <c r="R298" s="631"/>
      <c r="S298" s="631"/>
      <c r="T298" s="631"/>
      <c r="U298" s="631"/>
      <c r="V298" s="632"/>
      <c r="W298" s="42" t="s">
        <v>39</v>
      </c>
      <c r="X298" s="43">
        <f>IFERROR(X291/H291,"0")+IFERROR(X292/H292,"0")+IFERROR(X293/H293,"0")+IFERROR(X294/H294,"0")+IFERROR(X295/H295,"0")+IFERROR(X296/H296,"0")+IFERROR(X297/H297,"0")</f>
        <v>10</v>
      </c>
      <c r="Y298" s="43">
        <f>IFERROR(Y291/H291,"0")+IFERROR(Y292/H292,"0")+IFERROR(Y293/H293,"0")+IFERROR(Y294/H294,"0")+IFERROR(Y295/H295,"0")+IFERROR(Y296/H296,"0")+IFERROR(Y297/H297,"0")</f>
        <v>10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9.0200000000000002E-2</v>
      </c>
      <c r="AA298" s="67"/>
      <c r="AB298" s="67"/>
      <c r="AC298" s="67"/>
    </row>
    <row r="299" spans="1:68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0" t="s">
        <v>40</v>
      </c>
      <c r="Q299" s="631"/>
      <c r="R299" s="631"/>
      <c r="S299" s="631"/>
      <c r="T299" s="631"/>
      <c r="U299" s="631"/>
      <c r="V299" s="632"/>
      <c r="W299" s="42" t="s">
        <v>0</v>
      </c>
      <c r="X299" s="43">
        <f>IFERROR(SUM(X291:X297),"0")</f>
        <v>40</v>
      </c>
      <c r="Y299" s="43">
        <f>IFERROR(SUM(Y291:Y297),"0")</f>
        <v>40</v>
      </c>
      <c r="Z299" s="42"/>
      <c r="AA299" s="67"/>
      <c r="AB299" s="67"/>
      <c r="AC299" s="67"/>
    </row>
    <row r="300" spans="1:68" ht="14.25" hidden="1" customHeight="1" x14ac:dyDescent="0.25">
      <c r="A300" s="644" t="s">
        <v>154</v>
      </c>
      <c r="B300" s="644"/>
      <c r="C300" s="644"/>
      <c r="D300" s="644"/>
      <c r="E300" s="644"/>
      <c r="F300" s="644"/>
      <c r="G300" s="644"/>
      <c r="H300" s="644"/>
      <c r="I300" s="644"/>
      <c r="J300" s="644"/>
      <c r="K300" s="644"/>
      <c r="L300" s="644"/>
      <c r="M300" s="644"/>
      <c r="N300" s="644"/>
      <c r="O300" s="644"/>
      <c r="P300" s="644"/>
      <c r="Q300" s="644"/>
      <c r="R300" s="644"/>
      <c r="S300" s="644"/>
      <c r="T300" s="644"/>
      <c r="U300" s="644"/>
      <c r="V300" s="644"/>
      <c r="W300" s="644"/>
      <c r="X300" s="644"/>
      <c r="Y300" s="644"/>
      <c r="Z300" s="644"/>
      <c r="AA300" s="66"/>
      <c r="AB300" s="66"/>
      <c r="AC300" s="80"/>
    </row>
    <row r="301" spans="1:68" ht="27" hidden="1" customHeight="1" x14ac:dyDescent="0.25">
      <c r="A301" s="63" t="s">
        <v>510</v>
      </c>
      <c r="B301" s="63" t="s">
        <v>511</v>
      </c>
      <c r="C301" s="36">
        <v>4301020377</v>
      </c>
      <c r="D301" s="639">
        <v>4680115885981</v>
      </c>
      <c r="E301" s="639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41"/>
      <c r="R301" s="641"/>
      <c r="S301" s="641"/>
      <c r="T301" s="642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44" t="s">
        <v>513</v>
      </c>
      <c r="B304" s="644"/>
      <c r="C304" s="644"/>
      <c r="D304" s="644"/>
      <c r="E304" s="644"/>
      <c r="F304" s="644"/>
      <c r="G304" s="644"/>
      <c r="H304" s="644"/>
      <c r="I304" s="644"/>
      <c r="J304" s="644"/>
      <c r="K304" s="644"/>
      <c r="L304" s="644"/>
      <c r="M304" s="644"/>
      <c r="N304" s="644"/>
      <c r="O304" s="644"/>
      <c r="P304" s="644"/>
      <c r="Q304" s="644"/>
      <c r="R304" s="644"/>
      <c r="S304" s="644"/>
      <c r="T304" s="644"/>
      <c r="U304" s="644"/>
      <c r="V304" s="644"/>
      <c r="W304" s="644"/>
      <c r="X304" s="644"/>
      <c r="Y304" s="644"/>
      <c r="Z304" s="644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4301040362</v>
      </c>
      <c r="D305" s="639">
        <v>4680115886803</v>
      </c>
      <c r="E305" s="639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41"/>
      <c r="R305" s="641"/>
      <c r="S305" s="641"/>
      <c r="T305" s="642"/>
      <c r="U305" s="39" t="s">
        <v>46</v>
      </c>
      <c r="V305" s="39" t="s">
        <v>46</v>
      </c>
      <c r="W305" s="40" t="s">
        <v>0</v>
      </c>
      <c r="X305" s="58">
        <v>12</v>
      </c>
      <c r="Y305" s="55">
        <f>IFERROR(IF(X305="",0,CEILING((X305/$H305),1)*$H305),"")</f>
        <v>12.6</v>
      </c>
      <c r="Z305" s="41">
        <f>IFERROR(IF(Y305=0,"",ROUNDUP(Y305/H305,0)*0.0059),"")</f>
        <v>4.1299999999999996E-2</v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13.166666666666668</v>
      </c>
      <c r="BN305" s="78">
        <f>IFERROR(Y305*I305/H305,"0")</f>
        <v>13.825000000000001</v>
      </c>
      <c r="BO305" s="78">
        <f>IFERROR(1/J305*(X305/H305),"0")</f>
        <v>3.0864197530864192E-2</v>
      </c>
      <c r="BP305" s="78">
        <f>IFERROR(1/J305*(Y305/H305),"0")</f>
        <v>3.2407407407407406E-2</v>
      </c>
    </row>
    <row r="306" spans="1:68" x14ac:dyDescent="0.2">
      <c r="A306" s="633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0" t="s">
        <v>40</v>
      </c>
      <c r="Q306" s="631"/>
      <c r="R306" s="631"/>
      <c r="S306" s="631"/>
      <c r="T306" s="631"/>
      <c r="U306" s="631"/>
      <c r="V306" s="632"/>
      <c r="W306" s="42" t="s">
        <v>39</v>
      </c>
      <c r="X306" s="43">
        <f>IFERROR(X305/H305,"0")</f>
        <v>6.6666666666666661</v>
      </c>
      <c r="Y306" s="43">
        <f>IFERROR(Y305/H305,"0")</f>
        <v>7</v>
      </c>
      <c r="Z306" s="43">
        <f>IFERROR(IF(Z305="",0,Z305),"0")</f>
        <v>4.1299999999999996E-2</v>
      </c>
      <c r="AA306" s="67"/>
      <c r="AB306" s="67"/>
      <c r="AC306" s="67"/>
    </row>
    <row r="307" spans="1:68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0" t="s">
        <v>40</v>
      </c>
      <c r="Q307" s="631"/>
      <c r="R307" s="631"/>
      <c r="S307" s="631"/>
      <c r="T307" s="631"/>
      <c r="U307" s="631"/>
      <c r="V307" s="632"/>
      <c r="W307" s="42" t="s">
        <v>0</v>
      </c>
      <c r="X307" s="43">
        <f>IFERROR(SUM(X305:X305),"0")</f>
        <v>12</v>
      </c>
      <c r="Y307" s="43">
        <f>IFERROR(SUM(Y305:Y305),"0")</f>
        <v>12.6</v>
      </c>
      <c r="Z307" s="42"/>
      <c r="AA307" s="67"/>
      <c r="AB307" s="67"/>
      <c r="AC307" s="67"/>
    </row>
    <row r="308" spans="1:68" ht="14.25" hidden="1" customHeight="1" x14ac:dyDescent="0.25">
      <c r="A308" s="644" t="s">
        <v>334</v>
      </c>
      <c r="B308" s="644"/>
      <c r="C308" s="644"/>
      <c r="D308" s="644"/>
      <c r="E308" s="644"/>
      <c r="F308" s="644"/>
      <c r="G308" s="644"/>
      <c r="H308" s="644"/>
      <c r="I308" s="644"/>
      <c r="J308" s="644"/>
      <c r="K308" s="644"/>
      <c r="L308" s="644"/>
      <c r="M308" s="644"/>
      <c r="N308" s="644"/>
      <c r="O308" s="644"/>
      <c r="P308" s="644"/>
      <c r="Q308" s="644"/>
      <c r="R308" s="644"/>
      <c r="S308" s="644"/>
      <c r="T308" s="644"/>
      <c r="U308" s="644"/>
      <c r="V308" s="644"/>
      <c r="W308" s="644"/>
      <c r="X308" s="644"/>
      <c r="Y308" s="644"/>
      <c r="Z308" s="644"/>
      <c r="AA308" s="66"/>
      <c r="AB308" s="66"/>
      <c r="AC308" s="80"/>
    </row>
    <row r="309" spans="1:68" ht="27" customHeight="1" x14ac:dyDescent="0.25">
      <c r="A309" s="63" t="s">
        <v>517</v>
      </c>
      <c r="B309" s="63" t="s">
        <v>518</v>
      </c>
      <c r="C309" s="36">
        <v>4301041008</v>
      </c>
      <c r="D309" s="639">
        <v>4680115886681</v>
      </c>
      <c r="E309" s="639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41"/>
      <c r="R309" s="641"/>
      <c r="S309" s="641"/>
      <c r="T309" s="642"/>
      <c r="U309" s="39" t="s">
        <v>46</v>
      </c>
      <c r="V309" s="39" t="s">
        <v>46</v>
      </c>
      <c r="W309" s="40" t="s">
        <v>0</v>
      </c>
      <c r="X309" s="58">
        <v>36</v>
      </c>
      <c r="Y309" s="55">
        <f>IFERROR(IF(X309="",0,CEILING((X309/$H309),1)*$H309),"")</f>
        <v>36</v>
      </c>
      <c r="Z309" s="41">
        <f>IFERROR(IF(Y309=0,"",ROUNDUP(Y309/H309,0)*0.0059),"")</f>
        <v>0.11799999999999999</v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39.500000000000007</v>
      </c>
      <c r="BN309" s="78">
        <f>IFERROR(Y309*I309/H309,"0")</f>
        <v>39.500000000000007</v>
      </c>
      <c r="BO309" s="78">
        <f>IFERROR(1/J309*(X309/H309),"0")</f>
        <v>9.2592592592592587E-2</v>
      </c>
      <c r="BP309" s="78">
        <f>IFERROR(1/J309*(Y309/H309),"0")</f>
        <v>9.2592592592592587E-2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39">
        <v>4680115886735</v>
      </c>
      <c r="E310" s="639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41"/>
      <c r="R310" s="641"/>
      <c r="S310" s="641"/>
      <c r="T310" s="64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33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0" t="s">
        <v>40</v>
      </c>
      <c r="Q311" s="631"/>
      <c r="R311" s="631"/>
      <c r="S311" s="631"/>
      <c r="T311" s="631"/>
      <c r="U311" s="631"/>
      <c r="V311" s="632"/>
      <c r="W311" s="42" t="s">
        <v>39</v>
      </c>
      <c r="X311" s="43">
        <f>IFERROR(X309/H309,"0")+IFERROR(X310/H310,"0")</f>
        <v>20</v>
      </c>
      <c r="Y311" s="43">
        <f>IFERROR(Y309/H309,"0")+IFERROR(Y310/H310,"0")</f>
        <v>20</v>
      </c>
      <c r="Z311" s="43">
        <f>IFERROR(IF(Z309="",0,Z309),"0")+IFERROR(IF(Z310="",0,Z310),"0")</f>
        <v>0.11799999999999999</v>
      </c>
      <c r="AA311" s="67"/>
      <c r="AB311" s="67"/>
      <c r="AC311" s="67"/>
    </row>
    <row r="312" spans="1:68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0</v>
      </c>
      <c r="X312" s="43">
        <f>IFERROR(SUM(X309:X310),"0")</f>
        <v>36</v>
      </c>
      <c r="Y312" s="43">
        <f>IFERROR(SUM(Y309:Y310),"0")</f>
        <v>36</v>
      </c>
      <c r="Z312" s="42"/>
      <c r="AA312" s="67"/>
      <c r="AB312" s="67"/>
      <c r="AC312" s="67"/>
    </row>
    <row r="313" spans="1:68" ht="16.5" hidden="1" customHeight="1" x14ac:dyDescent="0.25">
      <c r="A313" s="643" t="s">
        <v>522</v>
      </c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3"/>
      <c r="P313" s="643"/>
      <c r="Q313" s="643"/>
      <c r="R313" s="643"/>
      <c r="S313" s="643"/>
      <c r="T313" s="643"/>
      <c r="U313" s="643"/>
      <c r="V313" s="643"/>
      <c r="W313" s="643"/>
      <c r="X313" s="643"/>
      <c r="Y313" s="643"/>
      <c r="Z313" s="643"/>
      <c r="AA313" s="65"/>
      <c r="AB313" s="65"/>
      <c r="AC313" s="79"/>
    </row>
    <row r="314" spans="1:68" ht="14.25" hidden="1" customHeight="1" x14ac:dyDescent="0.25">
      <c r="A314" s="644" t="s">
        <v>119</v>
      </c>
      <c r="B314" s="644"/>
      <c r="C314" s="644"/>
      <c r="D314" s="644"/>
      <c r="E314" s="644"/>
      <c r="F314" s="644"/>
      <c r="G314" s="644"/>
      <c r="H314" s="644"/>
      <c r="I314" s="644"/>
      <c r="J314" s="644"/>
      <c r="K314" s="644"/>
      <c r="L314" s="644"/>
      <c r="M314" s="644"/>
      <c r="N314" s="644"/>
      <c r="O314" s="644"/>
      <c r="P314" s="644"/>
      <c r="Q314" s="644"/>
      <c r="R314" s="644"/>
      <c r="S314" s="644"/>
      <c r="T314" s="644"/>
      <c r="U314" s="644"/>
      <c r="V314" s="644"/>
      <c r="W314" s="644"/>
      <c r="X314" s="644"/>
      <c r="Y314" s="644"/>
      <c r="Z314" s="644"/>
      <c r="AA314" s="66"/>
      <c r="AB314" s="66"/>
      <c r="AC314" s="80"/>
    </row>
    <row r="315" spans="1:68" ht="27" hidden="1" customHeight="1" x14ac:dyDescent="0.25">
      <c r="A315" s="63" t="s">
        <v>523</v>
      </c>
      <c r="B315" s="63" t="s">
        <v>524</v>
      </c>
      <c r="C315" s="36">
        <v>4301011855</v>
      </c>
      <c r="D315" s="639">
        <v>4680115885837</v>
      </c>
      <c r="E315" s="639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7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41"/>
      <c r="R315" s="641"/>
      <c r="S315" s="641"/>
      <c r="T315" s="642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39">
        <v>4680115889637</v>
      </c>
      <c r="E316" s="639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41"/>
      <c r="R316" s="641"/>
      <c r="S316" s="641"/>
      <c r="T316" s="642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39">
        <v>4680115887237</v>
      </c>
      <c r="E317" s="639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41"/>
      <c r="R317" s="641"/>
      <c r="S317" s="641"/>
      <c r="T317" s="642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39">
        <v>4680115885806</v>
      </c>
      <c r="E318" s="63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7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41"/>
      <c r="R318" s="641"/>
      <c r="S318" s="641"/>
      <c r="T318" s="64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39">
        <v>4680115885844</v>
      </c>
      <c r="E319" s="639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7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41"/>
      <c r="R319" s="641"/>
      <c r="S319" s="641"/>
      <c r="T319" s="64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39">
        <v>4680115885820</v>
      </c>
      <c r="E320" s="639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41"/>
      <c r="R320" s="641"/>
      <c r="S320" s="641"/>
      <c r="T320" s="64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hidden="1" x14ac:dyDescent="0.2">
      <c r="A321" s="633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0" t="s">
        <v>40</v>
      </c>
      <c r="Q321" s="631"/>
      <c r="R321" s="631"/>
      <c r="S321" s="631"/>
      <c r="T321" s="631"/>
      <c r="U321" s="631"/>
      <c r="V321" s="632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0" t="s">
        <v>40</v>
      </c>
      <c r="Q322" s="631"/>
      <c r="R322" s="631"/>
      <c r="S322" s="631"/>
      <c r="T322" s="631"/>
      <c r="U322" s="631"/>
      <c r="V322" s="632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43" t="s">
        <v>541</v>
      </c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3"/>
      <c r="P323" s="643"/>
      <c r="Q323" s="643"/>
      <c r="R323" s="643"/>
      <c r="S323" s="643"/>
      <c r="T323" s="643"/>
      <c r="U323" s="643"/>
      <c r="V323" s="643"/>
      <c r="W323" s="643"/>
      <c r="X323" s="643"/>
      <c r="Y323" s="643"/>
      <c r="Z323" s="643"/>
      <c r="AA323" s="65"/>
      <c r="AB323" s="65"/>
      <c r="AC323" s="79"/>
    </row>
    <row r="324" spans="1:68" ht="14.25" hidden="1" customHeight="1" x14ac:dyDescent="0.25">
      <c r="A324" s="644" t="s">
        <v>83</v>
      </c>
      <c r="B324" s="644"/>
      <c r="C324" s="644"/>
      <c r="D324" s="644"/>
      <c r="E324" s="644"/>
      <c r="F324" s="644"/>
      <c r="G324" s="644"/>
      <c r="H324" s="644"/>
      <c r="I324" s="644"/>
      <c r="J324" s="644"/>
      <c r="K324" s="644"/>
      <c r="L324" s="644"/>
      <c r="M324" s="644"/>
      <c r="N324" s="644"/>
      <c r="O324" s="644"/>
      <c r="P324" s="644"/>
      <c r="Q324" s="644"/>
      <c r="R324" s="644"/>
      <c r="S324" s="644"/>
      <c r="T324" s="644"/>
      <c r="U324" s="644"/>
      <c r="V324" s="644"/>
      <c r="W324" s="644"/>
      <c r="X324" s="644"/>
      <c r="Y324" s="644"/>
      <c r="Z324" s="644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39">
        <v>4680115886186</v>
      </c>
      <c r="E325" s="639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41"/>
      <c r="R325" s="641"/>
      <c r="S325" s="641"/>
      <c r="T325" s="642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545</v>
      </c>
      <c r="B326" s="63" t="s">
        <v>546</v>
      </c>
      <c r="C326" s="36">
        <v>4301051795</v>
      </c>
      <c r="D326" s="639">
        <v>4680115881228</v>
      </c>
      <c r="E326" s="639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41"/>
      <c r="R326" s="641"/>
      <c r="S326" s="641"/>
      <c r="T326" s="642"/>
      <c r="U326" s="39" t="s">
        <v>46</v>
      </c>
      <c r="V326" s="39" t="s">
        <v>46</v>
      </c>
      <c r="W326" s="40" t="s">
        <v>0</v>
      </c>
      <c r="X326" s="58">
        <v>80</v>
      </c>
      <c r="Y326" s="55">
        <f>IFERROR(IF(X326="",0,CEILING((X326/$H326),1)*$H326),"")</f>
        <v>81.599999999999994</v>
      </c>
      <c r="Z326" s="41">
        <f>IFERROR(IF(Y326=0,"",ROUNDUP(Y326/H326,0)*0.00651),"")</f>
        <v>0.22134000000000001</v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88.40000000000002</v>
      </c>
      <c r="BN326" s="78">
        <f>IFERROR(Y326*I326/H326,"0")</f>
        <v>90.168000000000006</v>
      </c>
      <c r="BO326" s="78">
        <f>IFERROR(1/J326*(X326/H326),"0")</f>
        <v>0.18315018315018317</v>
      </c>
      <c r="BP326" s="78">
        <f>IFERROR(1/J326*(Y326/H326),"0")</f>
        <v>0.18681318681318682</v>
      </c>
    </row>
    <row r="327" spans="1:68" ht="27" hidden="1" customHeight="1" x14ac:dyDescent="0.25">
      <c r="A327" s="63" t="s">
        <v>548</v>
      </c>
      <c r="B327" s="63" t="s">
        <v>549</v>
      </c>
      <c r="C327" s="36">
        <v>4301051388</v>
      </c>
      <c r="D327" s="639">
        <v>4680115881211</v>
      </c>
      <c r="E327" s="639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41"/>
      <c r="R327" s="641"/>
      <c r="S327" s="641"/>
      <c r="T327" s="64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33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0" t="s">
        <v>40</v>
      </c>
      <c r="Q328" s="631"/>
      <c r="R328" s="631"/>
      <c r="S328" s="631"/>
      <c r="T328" s="631"/>
      <c r="U328" s="631"/>
      <c r="V328" s="632"/>
      <c r="W328" s="42" t="s">
        <v>39</v>
      </c>
      <c r="X328" s="43">
        <f>IFERROR(X325/H325,"0")+IFERROR(X326/H326,"0")+IFERROR(X327/H327,"0")</f>
        <v>33.333333333333336</v>
      </c>
      <c r="Y328" s="43">
        <f>IFERROR(Y325/H325,"0")+IFERROR(Y326/H326,"0")+IFERROR(Y327/H327,"0")</f>
        <v>34</v>
      </c>
      <c r="Z328" s="43">
        <f>IFERROR(IF(Z325="",0,Z325),"0")+IFERROR(IF(Z326="",0,Z326),"0")+IFERROR(IF(Z327="",0,Z327),"0")</f>
        <v>0.22134000000000001</v>
      </c>
      <c r="AA328" s="67"/>
      <c r="AB328" s="67"/>
      <c r="AC328" s="67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0" t="s">
        <v>40</v>
      </c>
      <c r="Q329" s="631"/>
      <c r="R329" s="631"/>
      <c r="S329" s="631"/>
      <c r="T329" s="631"/>
      <c r="U329" s="631"/>
      <c r="V329" s="632"/>
      <c r="W329" s="42" t="s">
        <v>0</v>
      </c>
      <c r="X329" s="43">
        <f>IFERROR(SUM(X325:X327),"0")</f>
        <v>80</v>
      </c>
      <c r="Y329" s="43">
        <f>IFERROR(SUM(Y325:Y327),"0")</f>
        <v>81.599999999999994</v>
      </c>
      <c r="Z329" s="42"/>
      <c r="AA329" s="67"/>
      <c r="AB329" s="67"/>
      <c r="AC329" s="67"/>
    </row>
    <row r="330" spans="1:68" ht="16.5" hidden="1" customHeight="1" x14ac:dyDescent="0.25">
      <c r="A330" s="643" t="s">
        <v>550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5"/>
      <c r="AB330" s="65"/>
      <c r="AC330" s="79"/>
    </row>
    <row r="331" spans="1:68" ht="14.25" hidden="1" customHeight="1" x14ac:dyDescent="0.25">
      <c r="A331" s="644" t="s">
        <v>77</v>
      </c>
      <c r="B331" s="644"/>
      <c r="C331" s="644"/>
      <c r="D331" s="644"/>
      <c r="E331" s="644"/>
      <c r="F331" s="644"/>
      <c r="G331" s="644"/>
      <c r="H331" s="644"/>
      <c r="I331" s="644"/>
      <c r="J331" s="644"/>
      <c r="K331" s="644"/>
      <c r="L331" s="644"/>
      <c r="M331" s="644"/>
      <c r="N331" s="644"/>
      <c r="O331" s="644"/>
      <c r="P331" s="644"/>
      <c r="Q331" s="644"/>
      <c r="R331" s="644"/>
      <c r="S331" s="644"/>
      <c r="T331" s="644"/>
      <c r="U331" s="644"/>
      <c r="V331" s="644"/>
      <c r="W331" s="644"/>
      <c r="X331" s="644"/>
      <c r="Y331" s="644"/>
      <c r="Z331" s="644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39">
        <v>4680115888319</v>
      </c>
      <c r="E332" s="639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41"/>
      <c r="R332" s="641"/>
      <c r="S332" s="641"/>
      <c r="T332" s="64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39">
        <v>4680115884700</v>
      </c>
      <c r="E333" s="639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41"/>
      <c r="R333" s="641"/>
      <c r="S333" s="641"/>
      <c r="T333" s="64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39">
        <v>4680115880344</v>
      </c>
      <c r="E334" s="639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41"/>
      <c r="R334" s="641"/>
      <c r="S334" s="641"/>
      <c r="T334" s="642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39">
        <v>4680115886919</v>
      </c>
      <c r="E335" s="639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41"/>
      <c r="R335" s="641"/>
      <c r="S335" s="641"/>
      <c r="T335" s="64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33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0" t="s">
        <v>40</v>
      </c>
      <c r="Q336" s="631"/>
      <c r="R336" s="631"/>
      <c r="S336" s="631"/>
      <c r="T336" s="631"/>
      <c r="U336" s="631"/>
      <c r="V336" s="632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0" t="s">
        <v>40</v>
      </c>
      <c r="Q337" s="631"/>
      <c r="R337" s="631"/>
      <c r="S337" s="631"/>
      <c r="T337" s="631"/>
      <c r="U337" s="631"/>
      <c r="V337" s="632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44" t="s">
        <v>83</v>
      </c>
      <c r="B338" s="644"/>
      <c r="C338" s="644"/>
      <c r="D338" s="644"/>
      <c r="E338" s="644"/>
      <c r="F338" s="644"/>
      <c r="G338" s="644"/>
      <c r="H338" s="644"/>
      <c r="I338" s="644"/>
      <c r="J338" s="644"/>
      <c r="K338" s="644"/>
      <c r="L338" s="644"/>
      <c r="M338" s="644"/>
      <c r="N338" s="644"/>
      <c r="O338" s="644"/>
      <c r="P338" s="644"/>
      <c r="Q338" s="644"/>
      <c r="R338" s="644"/>
      <c r="S338" s="644"/>
      <c r="T338" s="644"/>
      <c r="U338" s="644"/>
      <c r="V338" s="644"/>
      <c r="W338" s="644"/>
      <c r="X338" s="644"/>
      <c r="Y338" s="644"/>
      <c r="Z338" s="644"/>
      <c r="AA338" s="66"/>
      <c r="AB338" s="66"/>
      <c r="AC338" s="80"/>
    </row>
    <row r="339" spans="1:68" ht="27" hidden="1" customHeight="1" x14ac:dyDescent="0.25">
      <c r="A339" s="63" t="s">
        <v>563</v>
      </c>
      <c r="B339" s="63" t="s">
        <v>564</v>
      </c>
      <c r="C339" s="36">
        <v>4301051782</v>
      </c>
      <c r="D339" s="639">
        <v>4680115884618</v>
      </c>
      <c r="E339" s="639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7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41"/>
      <c r="R339" s="641"/>
      <c r="S339" s="641"/>
      <c r="T339" s="64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39">
        <v>4680115887114</v>
      </c>
      <c r="E340" s="639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41"/>
      <c r="R340" s="641"/>
      <c r="S340" s="641"/>
      <c r="T340" s="64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39">
        <v>4680115887466</v>
      </c>
      <c r="E341" s="639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41"/>
      <c r="R341" s="641"/>
      <c r="S341" s="641"/>
      <c r="T341" s="64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33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0" t="s">
        <v>40</v>
      </c>
      <c r="Q342" s="631"/>
      <c r="R342" s="631"/>
      <c r="S342" s="631"/>
      <c r="T342" s="631"/>
      <c r="U342" s="631"/>
      <c r="V342" s="632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0" t="s">
        <v>40</v>
      </c>
      <c r="Q343" s="631"/>
      <c r="R343" s="631"/>
      <c r="S343" s="631"/>
      <c r="T343" s="631"/>
      <c r="U343" s="631"/>
      <c r="V343" s="632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43" t="s">
        <v>572</v>
      </c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3"/>
      <c r="P344" s="643"/>
      <c r="Q344" s="643"/>
      <c r="R344" s="643"/>
      <c r="S344" s="643"/>
      <c r="T344" s="643"/>
      <c r="U344" s="643"/>
      <c r="V344" s="643"/>
      <c r="W344" s="643"/>
      <c r="X344" s="643"/>
      <c r="Y344" s="643"/>
      <c r="Z344" s="643"/>
      <c r="AA344" s="65"/>
      <c r="AB344" s="65"/>
      <c r="AC344" s="79"/>
    </row>
    <row r="345" spans="1:68" ht="14.25" hidden="1" customHeight="1" x14ac:dyDescent="0.25">
      <c r="A345" s="644" t="s">
        <v>119</v>
      </c>
      <c r="B345" s="644"/>
      <c r="C345" s="644"/>
      <c r="D345" s="644"/>
      <c r="E345" s="644"/>
      <c r="F345" s="644"/>
      <c r="G345" s="644"/>
      <c r="H345" s="644"/>
      <c r="I345" s="644"/>
      <c r="J345" s="644"/>
      <c r="K345" s="644"/>
      <c r="L345" s="644"/>
      <c r="M345" s="644"/>
      <c r="N345" s="644"/>
      <c r="O345" s="644"/>
      <c r="P345" s="644"/>
      <c r="Q345" s="644"/>
      <c r="R345" s="644"/>
      <c r="S345" s="644"/>
      <c r="T345" s="644"/>
      <c r="U345" s="644"/>
      <c r="V345" s="644"/>
      <c r="W345" s="644"/>
      <c r="X345" s="644"/>
      <c r="Y345" s="644"/>
      <c r="Z345" s="644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39">
        <v>4680115887947</v>
      </c>
      <c r="E346" s="639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41"/>
      <c r="R346" s="641"/>
      <c r="S346" s="641"/>
      <c r="T346" s="642"/>
      <c r="U346" s="39" t="s">
        <v>46</v>
      </c>
      <c r="V346" s="39" t="s">
        <v>46</v>
      </c>
      <c r="W346" s="40" t="s">
        <v>0</v>
      </c>
      <c r="X346" s="58">
        <v>400</v>
      </c>
      <c r="Y346" s="55">
        <f>IFERROR(IF(X346="",0,CEILING((X346/$H346),1)*$H346),"")</f>
        <v>405.59999999999997</v>
      </c>
      <c r="Z346" s="41">
        <f>IFERROR(IF(Y346=0,"",ROUNDUP(Y346/H346,0)*0.01898),"")</f>
        <v>0.98696000000000006</v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421.02564102564111</v>
      </c>
      <c r="BN346" s="78">
        <f>IFERROR(Y346*I346/H346,"0")</f>
        <v>426.92</v>
      </c>
      <c r="BO346" s="78">
        <f>IFERROR(1/J346*(X346/H346),"0")</f>
        <v>0.80128205128205132</v>
      </c>
      <c r="BP346" s="78">
        <f>IFERROR(1/J346*(Y346/H346),"0")</f>
        <v>0.8125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39">
        <v>4680115887978</v>
      </c>
      <c r="E347" s="639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41"/>
      <c r="R347" s="641"/>
      <c r="S347" s="641"/>
      <c r="T347" s="642"/>
      <c r="U347" s="39" t="s">
        <v>46</v>
      </c>
      <c r="V347" s="39" t="s">
        <v>46</v>
      </c>
      <c r="W347" s="40" t="s">
        <v>0</v>
      </c>
      <c r="X347" s="58">
        <v>550</v>
      </c>
      <c r="Y347" s="55">
        <f>IFERROR(IF(X347="",0,CEILING((X347/$H347),1)*$H347),"")</f>
        <v>553.79999999999995</v>
      </c>
      <c r="Z347" s="41">
        <f>IFERROR(IF(Y347=0,"",ROUNDUP(Y347/H347,0)*0.01898),"")</f>
        <v>1.34758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578.91025641025658</v>
      </c>
      <c r="BN347" s="78">
        <f>IFERROR(Y347*I347/H347,"0")</f>
        <v>582.91000000000008</v>
      </c>
      <c r="BO347" s="78">
        <f>IFERROR(1/J347*(X347/H347),"0")</f>
        <v>1.1017628205128205</v>
      </c>
      <c r="BP347" s="78">
        <f>IFERROR(1/J347*(Y347/H347),"0")</f>
        <v>1.109375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39">
        <v>4680115887992</v>
      </c>
      <c r="E348" s="639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41"/>
      <c r="R348" s="641"/>
      <c r="S348" s="641"/>
      <c r="T348" s="642"/>
      <c r="U348" s="39" t="s">
        <v>46</v>
      </c>
      <c r="V348" s="39" t="s">
        <v>46</v>
      </c>
      <c r="W348" s="40" t="s">
        <v>0</v>
      </c>
      <c r="X348" s="58">
        <v>300</v>
      </c>
      <c r="Y348" s="55">
        <f>IFERROR(IF(X348="",0,CEILING((X348/$H348),1)*$H348),"")</f>
        <v>304.2</v>
      </c>
      <c r="Z348" s="41">
        <f>IFERROR(IF(Y348=0,"",ROUNDUP(Y348/H348,0)*0.01898),"")</f>
        <v>0.74021999999999999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315.76923076923083</v>
      </c>
      <c r="BN348" s="78">
        <f>IFERROR(Y348*I348/H348,"0")</f>
        <v>320.19</v>
      </c>
      <c r="BO348" s="78">
        <f>IFERROR(1/J348*(X348/H348),"0")</f>
        <v>0.60096153846153844</v>
      </c>
      <c r="BP348" s="78">
        <f>IFERROR(1/J348*(Y348/H348),"0")</f>
        <v>0.609375</v>
      </c>
    </row>
    <row r="349" spans="1:68" x14ac:dyDescent="0.2">
      <c r="A349" s="633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0" t="s">
        <v>40</v>
      </c>
      <c r="Q349" s="631"/>
      <c r="R349" s="631"/>
      <c r="S349" s="631"/>
      <c r="T349" s="631"/>
      <c r="U349" s="631"/>
      <c r="V349" s="632"/>
      <c r="W349" s="42" t="s">
        <v>39</v>
      </c>
      <c r="X349" s="43">
        <f>IFERROR(X346/H346,"0")+IFERROR(X347/H347,"0")+IFERROR(X348/H348,"0")</f>
        <v>160.25641025641025</v>
      </c>
      <c r="Y349" s="43">
        <f>IFERROR(Y346/H346,"0")+IFERROR(Y347/H347,"0")+IFERROR(Y348/H348,"0")</f>
        <v>162</v>
      </c>
      <c r="Z349" s="43">
        <f>IFERROR(IF(Z346="",0,Z346),"0")+IFERROR(IF(Z347="",0,Z347),"0")+IFERROR(IF(Z348="",0,Z348),"0")</f>
        <v>3.0747599999999999</v>
      </c>
      <c r="AA349" s="67"/>
      <c r="AB349" s="67"/>
      <c r="AC349" s="67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0" t="s">
        <v>40</v>
      </c>
      <c r="Q350" s="631"/>
      <c r="R350" s="631"/>
      <c r="S350" s="631"/>
      <c r="T350" s="631"/>
      <c r="U350" s="631"/>
      <c r="V350" s="632"/>
      <c r="W350" s="42" t="s">
        <v>0</v>
      </c>
      <c r="X350" s="43">
        <f>IFERROR(SUM(X346:X348),"0")</f>
        <v>1250</v>
      </c>
      <c r="Y350" s="43">
        <f>IFERROR(SUM(Y346:Y348),"0")</f>
        <v>1263.5999999999999</v>
      </c>
      <c r="Z350" s="42"/>
      <c r="AA350" s="67"/>
      <c r="AB350" s="67"/>
      <c r="AC350" s="67"/>
    </row>
    <row r="351" spans="1:68" ht="16.5" hidden="1" customHeight="1" x14ac:dyDescent="0.25">
      <c r="A351" s="643" t="s">
        <v>581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5"/>
      <c r="AB351" s="65"/>
      <c r="AC351" s="79"/>
    </row>
    <row r="352" spans="1:68" ht="14.25" hidden="1" customHeight="1" x14ac:dyDescent="0.25">
      <c r="A352" s="644" t="s">
        <v>119</v>
      </c>
      <c r="B352" s="644"/>
      <c r="C352" s="644"/>
      <c r="D352" s="644"/>
      <c r="E352" s="644"/>
      <c r="F352" s="644"/>
      <c r="G352" s="644"/>
      <c r="H352" s="644"/>
      <c r="I352" s="644"/>
      <c r="J352" s="644"/>
      <c r="K352" s="644"/>
      <c r="L352" s="644"/>
      <c r="M352" s="644"/>
      <c r="N352" s="644"/>
      <c r="O352" s="644"/>
      <c r="P352" s="644"/>
      <c r="Q352" s="644"/>
      <c r="R352" s="644"/>
      <c r="S352" s="644"/>
      <c r="T352" s="644"/>
      <c r="U352" s="644"/>
      <c r="V352" s="644"/>
      <c r="W352" s="644"/>
      <c r="X352" s="644"/>
      <c r="Y352" s="644"/>
      <c r="Z352" s="644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4301012360</v>
      </c>
      <c r="D353" s="639">
        <v>4680115889293</v>
      </c>
      <c r="E353" s="639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73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41"/>
      <c r="R353" s="641"/>
      <c r="S353" s="641"/>
      <c r="T353" s="642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9" si="51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0</v>
      </c>
      <c r="BN353" s="78">
        <f t="shared" ref="BN353:BN359" si="53">IFERROR(Y353*I353/H353,"0")</f>
        <v>0</v>
      </c>
      <c r="BO353" s="78">
        <f t="shared" ref="BO353:BO359" si="54">IFERROR(1/J353*(X353/H353),"0")</f>
        <v>0</v>
      </c>
      <c r="BP353" s="78">
        <f t="shared" ref="BP353:BP359" si="55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39">
        <v>4680115887190</v>
      </c>
      <c r="E354" s="639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41"/>
      <c r="R354" s="641"/>
      <c r="S354" s="641"/>
      <c r="T354" s="642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39">
        <v>4680115889880</v>
      </c>
      <c r="E355" s="639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73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41"/>
      <c r="R355" s="641"/>
      <c r="S355" s="641"/>
      <c r="T355" s="642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hidden="1" customHeight="1" x14ac:dyDescent="0.25">
      <c r="A356" s="63" t="s">
        <v>590</v>
      </c>
      <c r="B356" s="63" t="s">
        <v>591</v>
      </c>
      <c r="C356" s="36">
        <v>4301012233</v>
      </c>
      <c r="D356" s="639">
        <v>4680115887138</v>
      </c>
      <c r="E356" s="639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7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41"/>
      <c r="R356" s="641"/>
      <c r="S356" s="641"/>
      <c r="T356" s="642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39">
        <v>4680115885554</v>
      </c>
      <c r="E357" s="639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7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41"/>
      <c r="R357" s="641"/>
      <c r="S357" s="641"/>
      <c r="T357" s="642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39">
        <v>4680115887220</v>
      </c>
      <c r="E358" s="639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73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41"/>
      <c r="R358" s="641"/>
      <c r="S358" s="641"/>
      <c r="T358" s="642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hidden="1" customHeight="1" x14ac:dyDescent="0.25">
      <c r="A359" s="63" t="s">
        <v>598</v>
      </c>
      <c r="B359" s="63" t="s">
        <v>599</v>
      </c>
      <c r="C359" s="36">
        <v>4301011859</v>
      </c>
      <c r="D359" s="639">
        <v>4680115885608</v>
      </c>
      <c r="E359" s="639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7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41"/>
      <c r="R359" s="641"/>
      <c r="S359" s="641"/>
      <c r="T359" s="64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hidden="1" x14ac:dyDescent="0.2">
      <c r="A360" s="633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0" t="s">
        <v>40</v>
      </c>
      <c r="Q360" s="631"/>
      <c r="R360" s="631"/>
      <c r="S360" s="631"/>
      <c r="T360" s="631"/>
      <c r="U360" s="631"/>
      <c r="V360" s="632"/>
      <c r="W360" s="42" t="s">
        <v>39</v>
      </c>
      <c r="X360" s="43">
        <f>IFERROR(X353/H353,"0")+IFERROR(X354/H354,"0")+IFERROR(X355/H355,"0")+IFERROR(X356/H356,"0")+IFERROR(X357/H357,"0")+IFERROR(X358/H358,"0")+IFERROR(X359/H359,"0")</f>
        <v>0</v>
      </c>
      <c r="Y360" s="43">
        <f>IFERROR(Y353/H353,"0")+IFERROR(Y354/H354,"0")+IFERROR(Y355/H355,"0")+IFERROR(Y356/H356,"0")+IFERROR(Y357/H357,"0")+IFERROR(Y358/H358,"0")+IFERROR(Y359/H359,"0")</f>
        <v>0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0" t="s">
        <v>40</v>
      </c>
      <c r="Q361" s="631"/>
      <c r="R361" s="631"/>
      <c r="S361" s="631"/>
      <c r="T361" s="631"/>
      <c r="U361" s="631"/>
      <c r="V361" s="632"/>
      <c r="W361" s="42" t="s">
        <v>0</v>
      </c>
      <c r="X361" s="43">
        <f>IFERROR(SUM(X353:X359),"0")</f>
        <v>0</v>
      </c>
      <c r="Y361" s="43">
        <f>IFERROR(SUM(Y353:Y359),"0")</f>
        <v>0</v>
      </c>
      <c r="Z361" s="42"/>
      <c r="AA361" s="67"/>
      <c r="AB361" s="67"/>
      <c r="AC361" s="67"/>
    </row>
    <row r="362" spans="1:68" ht="14.25" hidden="1" customHeight="1" x14ac:dyDescent="0.25">
      <c r="A362" s="644" t="s">
        <v>77</v>
      </c>
      <c r="B362" s="644"/>
      <c r="C362" s="644"/>
      <c r="D362" s="644"/>
      <c r="E362" s="644"/>
      <c r="F362" s="644"/>
      <c r="G362" s="644"/>
      <c r="H362" s="644"/>
      <c r="I362" s="644"/>
      <c r="J362" s="644"/>
      <c r="K362" s="644"/>
      <c r="L362" s="644"/>
      <c r="M362" s="644"/>
      <c r="N362" s="644"/>
      <c r="O362" s="644"/>
      <c r="P362" s="644"/>
      <c r="Q362" s="644"/>
      <c r="R362" s="644"/>
      <c r="S362" s="644"/>
      <c r="T362" s="644"/>
      <c r="U362" s="644"/>
      <c r="V362" s="644"/>
      <c r="W362" s="644"/>
      <c r="X362" s="644"/>
      <c r="Y362" s="644"/>
      <c r="Z362" s="644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39">
        <v>4607091387193</v>
      </c>
      <c r="E363" s="639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7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41"/>
      <c r="R363" s="641"/>
      <c r="S363" s="641"/>
      <c r="T363" s="64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hidden="1" customHeight="1" x14ac:dyDescent="0.25">
      <c r="A364" s="63" t="s">
        <v>604</v>
      </c>
      <c r="B364" s="63" t="s">
        <v>605</v>
      </c>
      <c r="C364" s="36">
        <v>4301031153</v>
      </c>
      <c r="D364" s="639">
        <v>4607091387230</v>
      </c>
      <c r="E364" s="639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7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41"/>
      <c r="R364" s="641"/>
      <c r="S364" s="641"/>
      <c r="T364" s="64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39">
        <v>4607091387292</v>
      </c>
      <c r="E365" s="639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72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41"/>
      <c r="R365" s="641"/>
      <c r="S365" s="641"/>
      <c r="T365" s="64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4301031152</v>
      </c>
      <c r="D366" s="639">
        <v>4607091387285</v>
      </c>
      <c r="E366" s="639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41"/>
      <c r="R366" s="641"/>
      <c r="S366" s="641"/>
      <c r="T366" s="64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customHeight="1" x14ac:dyDescent="0.25">
      <c r="A367" s="63" t="s">
        <v>612</v>
      </c>
      <c r="B367" s="63" t="s">
        <v>613</v>
      </c>
      <c r="C367" s="36">
        <v>4301031305</v>
      </c>
      <c r="D367" s="639">
        <v>4607091389845</v>
      </c>
      <c r="E367" s="639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41"/>
      <c r="R367" s="641"/>
      <c r="S367" s="641"/>
      <c r="T367" s="642"/>
      <c r="U367" s="39" t="s">
        <v>46</v>
      </c>
      <c r="V367" s="39" t="s">
        <v>46</v>
      </c>
      <c r="W367" s="40" t="s">
        <v>0</v>
      </c>
      <c r="X367" s="58">
        <v>105</v>
      </c>
      <c r="Y367" s="55">
        <f t="shared" si="56"/>
        <v>105</v>
      </c>
      <c r="Z367" s="41">
        <f>IFERROR(IF(Y367=0,"",ROUNDUP(Y367/H367,0)*0.00502),"")</f>
        <v>0.251</v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110.00000000000001</v>
      </c>
      <c r="BN367" s="78">
        <f t="shared" si="58"/>
        <v>110.00000000000001</v>
      </c>
      <c r="BO367" s="78">
        <f t="shared" si="59"/>
        <v>0.21367521367521369</v>
      </c>
      <c r="BP367" s="78">
        <f t="shared" si="60"/>
        <v>0.21367521367521369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39">
        <v>4680115887442</v>
      </c>
      <c r="E368" s="639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41"/>
      <c r="R368" s="641"/>
      <c r="S368" s="641"/>
      <c r="T368" s="64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4301031066</v>
      </c>
      <c r="D369" s="639">
        <v>4607091383836</v>
      </c>
      <c r="E369" s="639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41"/>
      <c r="R369" s="641"/>
      <c r="S369" s="641"/>
      <c r="T369" s="642"/>
      <c r="U369" s="39" t="s">
        <v>46</v>
      </c>
      <c r="V369" s="39" t="s">
        <v>46</v>
      </c>
      <c r="W369" s="40" t="s">
        <v>0</v>
      </c>
      <c r="X369" s="58">
        <v>63</v>
      </c>
      <c r="Y369" s="55">
        <f t="shared" si="56"/>
        <v>63</v>
      </c>
      <c r="Z369" s="41">
        <f>IFERROR(IF(Y369=0,"",ROUNDUP(Y369/H369,0)*0.00651),"")</f>
        <v>0.22785</v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70.97999999999999</v>
      </c>
      <c r="BN369" s="78">
        <f t="shared" si="58"/>
        <v>70.97999999999999</v>
      </c>
      <c r="BO369" s="78">
        <f t="shared" si="59"/>
        <v>0.19230769230769232</v>
      </c>
      <c r="BP369" s="78">
        <f t="shared" si="60"/>
        <v>0.19230769230769232</v>
      </c>
    </row>
    <row r="370" spans="1:68" x14ac:dyDescent="0.2">
      <c r="A370" s="633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0" t="s">
        <v>40</v>
      </c>
      <c r="Q370" s="631"/>
      <c r="R370" s="631"/>
      <c r="S370" s="631"/>
      <c r="T370" s="631"/>
      <c r="U370" s="631"/>
      <c r="V370" s="632"/>
      <c r="W370" s="42" t="s">
        <v>39</v>
      </c>
      <c r="X370" s="43">
        <f>IFERROR(X363/H363,"0")+IFERROR(X364/H364,"0")+IFERROR(X365/H365,"0")+IFERROR(X366/H366,"0")+IFERROR(X367/H367,"0")+IFERROR(X368/H368,"0")+IFERROR(X369/H369,"0")</f>
        <v>85</v>
      </c>
      <c r="Y370" s="43">
        <f>IFERROR(Y363/H363,"0")+IFERROR(Y364/H364,"0")+IFERROR(Y365/H365,"0")+IFERROR(Y366/H366,"0")+IFERROR(Y367/H367,"0")+IFERROR(Y368/H368,"0")+IFERROR(Y369/H369,"0")</f>
        <v>85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0.47885</v>
      </c>
      <c r="AA370" s="67"/>
      <c r="AB370" s="67"/>
      <c r="AC370" s="67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0</v>
      </c>
      <c r="X371" s="43">
        <f>IFERROR(SUM(X363:X369),"0")</f>
        <v>168</v>
      </c>
      <c r="Y371" s="43">
        <f>IFERROR(SUM(Y363:Y369),"0")</f>
        <v>168</v>
      </c>
      <c r="Z371" s="42"/>
      <c r="AA371" s="67"/>
      <c r="AB371" s="67"/>
      <c r="AC371" s="67"/>
    </row>
    <row r="372" spans="1:68" ht="14.25" hidden="1" customHeight="1" x14ac:dyDescent="0.25">
      <c r="A372" s="644" t="s">
        <v>83</v>
      </c>
      <c r="B372" s="644"/>
      <c r="C372" s="644"/>
      <c r="D372" s="644"/>
      <c r="E372" s="644"/>
      <c r="F372" s="644"/>
      <c r="G372" s="644"/>
      <c r="H372" s="644"/>
      <c r="I372" s="644"/>
      <c r="J372" s="644"/>
      <c r="K372" s="644"/>
      <c r="L372" s="644"/>
      <c r="M372" s="644"/>
      <c r="N372" s="644"/>
      <c r="O372" s="644"/>
      <c r="P372" s="644"/>
      <c r="Q372" s="644"/>
      <c r="R372" s="644"/>
      <c r="S372" s="644"/>
      <c r="T372" s="644"/>
      <c r="U372" s="644"/>
      <c r="V372" s="644"/>
      <c r="W372" s="644"/>
      <c r="X372" s="644"/>
      <c r="Y372" s="644"/>
      <c r="Z372" s="644"/>
      <c r="AA372" s="66"/>
      <c r="AB372" s="66"/>
      <c r="AC372" s="80"/>
    </row>
    <row r="373" spans="1:68" ht="27" hidden="1" customHeight="1" x14ac:dyDescent="0.25">
      <c r="A373" s="63" t="s">
        <v>620</v>
      </c>
      <c r="B373" s="63" t="s">
        <v>621</v>
      </c>
      <c r="C373" s="36">
        <v>4301051100</v>
      </c>
      <c r="D373" s="639">
        <v>4607091387766</v>
      </c>
      <c r="E373" s="639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41"/>
      <c r="R373" s="641"/>
      <c r="S373" s="641"/>
      <c r="T373" s="642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39">
        <v>4607091387957</v>
      </c>
      <c r="E374" s="639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41"/>
      <c r="R374" s="641"/>
      <c r="S374" s="641"/>
      <c r="T374" s="642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39">
        <v>4607091387964</v>
      </c>
      <c r="E375" s="639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41"/>
      <c r="R375" s="641"/>
      <c r="S375" s="641"/>
      <c r="T375" s="642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629</v>
      </c>
      <c r="B376" s="63" t="s">
        <v>630</v>
      </c>
      <c r="C376" s="36">
        <v>4301051734</v>
      </c>
      <c r="D376" s="639">
        <v>4680115884588</v>
      </c>
      <c r="E376" s="639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7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41"/>
      <c r="R376" s="641"/>
      <c r="S376" s="641"/>
      <c r="T376" s="642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44" t="s">
        <v>172</v>
      </c>
      <c r="B379" s="644"/>
      <c r="C379" s="644"/>
      <c r="D379" s="644"/>
      <c r="E379" s="644"/>
      <c r="F379" s="644"/>
      <c r="G379" s="644"/>
      <c r="H379" s="644"/>
      <c r="I379" s="644"/>
      <c r="J379" s="644"/>
      <c r="K379" s="644"/>
      <c r="L379" s="644"/>
      <c r="M379" s="644"/>
      <c r="N379" s="644"/>
      <c r="O379" s="644"/>
      <c r="P379" s="644"/>
      <c r="Q379" s="644"/>
      <c r="R379" s="644"/>
      <c r="S379" s="644"/>
      <c r="T379" s="644"/>
      <c r="U379" s="644"/>
      <c r="V379" s="644"/>
      <c r="W379" s="644"/>
      <c r="X379" s="644"/>
      <c r="Y379" s="644"/>
      <c r="Z379" s="644"/>
      <c r="AA379" s="66"/>
      <c r="AB379" s="66"/>
      <c r="AC379" s="80"/>
    </row>
    <row r="380" spans="1:68" ht="27" customHeight="1" x14ac:dyDescent="0.25">
      <c r="A380" s="63" t="s">
        <v>631</v>
      </c>
      <c r="B380" s="63" t="s">
        <v>632</v>
      </c>
      <c r="C380" s="36">
        <v>4301060387</v>
      </c>
      <c r="D380" s="639">
        <v>4607091380880</v>
      </c>
      <c r="E380" s="639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7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41"/>
      <c r="R380" s="641"/>
      <c r="S380" s="641"/>
      <c r="T380" s="642"/>
      <c r="U380" s="39" t="s">
        <v>46</v>
      </c>
      <c r="V380" s="39" t="s">
        <v>46</v>
      </c>
      <c r="W380" s="40" t="s">
        <v>0</v>
      </c>
      <c r="X380" s="58">
        <v>600</v>
      </c>
      <c r="Y380" s="55">
        <f>IFERROR(IF(X380="",0,CEILING((X380/$H380),1)*$H380),"")</f>
        <v>604.80000000000007</v>
      </c>
      <c r="Z380" s="41">
        <f>IFERROR(IF(Y380=0,"",ROUNDUP(Y380/H380,0)*0.01898),"")</f>
        <v>1.36656</v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635.28571428571422</v>
      </c>
      <c r="BN380" s="78">
        <f>IFERROR(Y380*I380/H380,"0")</f>
        <v>640.36800000000005</v>
      </c>
      <c r="BO380" s="78">
        <f>IFERROR(1/J380*(X380/H380),"0")</f>
        <v>1.1160714285714286</v>
      </c>
      <c r="BP380" s="78">
        <f>IFERROR(1/J380*(Y380/H380),"0")</f>
        <v>1.125</v>
      </c>
    </row>
    <row r="381" spans="1:68" ht="27" customHeight="1" x14ac:dyDescent="0.25">
      <c r="A381" s="63" t="s">
        <v>634</v>
      </c>
      <c r="B381" s="63" t="s">
        <v>635</v>
      </c>
      <c r="C381" s="36">
        <v>4301060406</v>
      </c>
      <c r="D381" s="639">
        <v>4607091384482</v>
      </c>
      <c r="E381" s="639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72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41"/>
      <c r="R381" s="641"/>
      <c r="S381" s="641"/>
      <c r="T381" s="642"/>
      <c r="U381" s="39" t="s">
        <v>46</v>
      </c>
      <c r="V381" s="39" t="s">
        <v>46</v>
      </c>
      <c r="W381" s="40" t="s">
        <v>0</v>
      </c>
      <c r="X381" s="58">
        <v>300</v>
      </c>
      <c r="Y381" s="55">
        <f>IFERROR(IF(X381="",0,CEILING((X381/$H381),1)*$H381),"")</f>
        <v>304.2</v>
      </c>
      <c r="Z381" s="41">
        <f>IFERROR(IF(Y381=0,"",ROUNDUP(Y381/H381,0)*0.01898),"")</f>
        <v>0.74021999999999999</v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319.00000000000006</v>
      </c>
      <c r="BN381" s="78">
        <f>IFERROR(Y381*I381/H381,"0")</f>
        <v>323.46600000000001</v>
      </c>
      <c r="BO381" s="78">
        <f>IFERROR(1/J381*(X381/H381),"0")</f>
        <v>0.60096153846153844</v>
      </c>
      <c r="BP381" s="78">
        <f>IFERROR(1/J381*(Y381/H381),"0")</f>
        <v>0.609375</v>
      </c>
    </row>
    <row r="382" spans="1:68" ht="27" customHeight="1" x14ac:dyDescent="0.25">
      <c r="A382" s="63" t="s">
        <v>637</v>
      </c>
      <c r="B382" s="63" t="s">
        <v>638</v>
      </c>
      <c r="C382" s="36">
        <v>4301060484</v>
      </c>
      <c r="D382" s="639">
        <v>4607091380897</v>
      </c>
      <c r="E382" s="639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7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41"/>
      <c r="R382" s="641"/>
      <c r="S382" s="641"/>
      <c r="T382" s="642"/>
      <c r="U382" s="39" t="s">
        <v>46</v>
      </c>
      <c r="V382" s="39" t="s">
        <v>46</v>
      </c>
      <c r="W382" s="40" t="s">
        <v>0</v>
      </c>
      <c r="X382" s="58">
        <v>120</v>
      </c>
      <c r="Y382" s="55">
        <f>IFERROR(IF(X382="",0,CEILING((X382/$H382),1)*$H382),"")</f>
        <v>126</v>
      </c>
      <c r="Z382" s="41">
        <f>IFERROR(IF(Y382=0,"",ROUNDUP(Y382/H382,0)*0.01898),"")</f>
        <v>0.28470000000000001</v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127.05714285714285</v>
      </c>
      <c r="BN382" s="78">
        <f>IFERROR(Y382*I382/H382,"0")</f>
        <v>133.41</v>
      </c>
      <c r="BO382" s="78">
        <f>IFERROR(1/J382*(X382/H382),"0")</f>
        <v>0.2232142857142857</v>
      </c>
      <c r="BP382" s="78">
        <f>IFERROR(1/J382*(Y382/H382),"0")</f>
        <v>0.234375</v>
      </c>
    </row>
    <row r="383" spans="1:68" x14ac:dyDescent="0.2">
      <c r="A383" s="633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0" t="s">
        <v>40</v>
      </c>
      <c r="Q383" s="631"/>
      <c r="R383" s="631"/>
      <c r="S383" s="631"/>
      <c r="T383" s="631"/>
      <c r="U383" s="631"/>
      <c r="V383" s="632"/>
      <c r="W383" s="42" t="s">
        <v>39</v>
      </c>
      <c r="X383" s="43">
        <f>IFERROR(X380/H380,"0")+IFERROR(X381/H381,"0")+IFERROR(X382/H382,"0")</f>
        <v>124.17582417582418</v>
      </c>
      <c r="Y383" s="43">
        <f>IFERROR(Y380/H380,"0")+IFERROR(Y381/H381,"0")+IFERROR(Y382/H382,"0")</f>
        <v>126</v>
      </c>
      <c r="Z383" s="43">
        <f>IFERROR(IF(Z380="",0,Z380),"0")+IFERROR(IF(Z381="",0,Z381),"0")+IFERROR(IF(Z382="",0,Z382),"0")</f>
        <v>2.3914800000000001</v>
      </c>
      <c r="AA383" s="67"/>
      <c r="AB383" s="67"/>
      <c r="AC383" s="67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0" t="s">
        <v>40</v>
      </c>
      <c r="Q384" s="631"/>
      <c r="R384" s="631"/>
      <c r="S384" s="631"/>
      <c r="T384" s="631"/>
      <c r="U384" s="631"/>
      <c r="V384" s="632"/>
      <c r="W384" s="42" t="s">
        <v>0</v>
      </c>
      <c r="X384" s="43">
        <f>IFERROR(SUM(X380:X382),"0")</f>
        <v>1020</v>
      </c>
      <c r="Y384" s="43">
        <f>IFERROR(SUM(Y380:Y382),"0")</f>
        <v>1035</v>
      </c>
      <c r="Z384" s="42"/>
      <c r="AA384" s="67"/>
      <c r="AB384" s="67"/>
      <c r="AC384" s="67"/>
    </row>
    <row r="385" spans="1:68" ht="14.25" hidden="1" customHeight="1" x14ac:dyDescent="0.25">
      <c r="A385" s="644" t="s">
        <v>274</v>
      </c>
      <c r="B385" s="644"/>
      <c r="C385" s="644"/>
      <c r="D385" s="644"/>
      <c r="E385" s="644"/>
      <c r="F385" s="644"/>
      <c r="G385" s="644"/>
      <c r="H385" s="644"/>
      <c r="I385" s="644"/>
      <c r="J385" s="644"/>
      <c r="K385" s="644"/>
      <c r="L385" s="644"/>
      <c r="M385" s="644"/>
      <c r="N385" s="644"/>
      <c r="O385" s="644"/>
      <c r="P385" s="644"/>
      <c r="Q385" s="644"/>
      <c r="R385" s="644"/>
      <c r="S385" s="644"/>
      <c r="T385" s="644"/>
      <c r="U385" s="644"/>
      <c r="V385" s="644"/>
      <c r="W385" s="644"/>
      <c r="X385" s="644"/>
      <c r="Y385" s="644"/>
      <c r="Z385" s="644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39">
        <v>4607091388381</v>
      </c>
      <c r="E386" s="639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41"/>
      <c r="R386" s="641"/>
      <c r="S386" s="641"/>
      <c r="T386" s="64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39">
        <v>4607091388374</v>
      </c>
      <c r="E387" s="639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41"/>
      <c r="R387" s="641"/>
      <c r="S387" s="641"/>
      <c r="T387" s="64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4301032015</v>
      </c>
      <c r="D388" s="639">
        <v>4607091383102</v>
      </c>
      <c r="E388" s="639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41"/>
      <c r="R388" s="641"/>
      <c r="S388" s="641"/>
      <c r="T388" s="64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647</v>
      </c>
      <c r="B389" s="63" t="s">
        <v>648</v>
      </c>
      <c r="C389" s="36">
        <v>4301030233</v>
      </c>
      <c r="D389" s="639">
        <v>4607091388404</v>
      </c>
      <c r="E389" s="639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7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41"/>
      <c r="R389" s="641"/>
      <c r="S389" s="641"/>
      <c r="T389" s="64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33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0" t="s">
        <v>40</v>
      </c>
      <c r="Q390" s="631"/>
      <c r="R390" s="631"/>
      <c r="S390" s="631"/>
      <c r="T390" s="631"/>
      <c r="U390" s="631"/>
      <c r="V390" s="632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0" t="s">
        <v>40</v>
      </c>
      <c r="Q391" s="631"/>
      <c r="R391" s="631"/>
      <c r="S391" s="631"/>
      <c r="T391" s="631"/>
      <c r="U391" s="631"/>
      <c r="V391" s="632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44" t="s">
        <v>649</v>
      </c>
      <c r="B392" s="644"/>
      <c r="C392" s="644"/>
      <c r="D392" s="644"/>
      <c r="E392" s="644"/>
      <c r="F392" s="644"/>
      <c r="G392" s="644"/>
      <c r="H392" s="644"/>
      <c r="I392" s="644"/>
      <c r="J392" s="644"/>
      <c r="K392" s="644"/>
      <c r="L392" s="644"/>
      <c r="M392" s="644"/>
      <c r="N392" s="644"/>
      <c r="O392" s="644"/>
      <c r="P392" s="644"/>
      <c r="Q392" s="644"/>
      <c r="R392" s="644"/>
      <c r="S392" s="644"/>
      <c r="T392" s="644"/>
      <c r="U392" s="644"/>
      <c r="V392" s="644"/>
      <c r="W392" s="644"/>
      <c r="X392" s="644"/>
      <c r="Y392" s="644"/>
      <c r="Z392" s="644"/>
      <c r="AA392" s="66"/>
      <c r="AB392" s="66"/>
      <c r="AC392" s="80"/>
    </row>
    <row r="393" spans="1:68" ht="16.5" hidden="1" customHeight="1" x14ac:dyDescent="0.25">
      <c r="A393" s="63" t="s">
        <v>650</v>
      </c>
      <c r="B393" s="63" t="s">
        <v>651</v>
      </c>
      <c r="C393" s="36">
        <v>4301180007</v>
      </c>
      <c r="D393" s="639">
        <v>4680115881808</v>
      </c>
      <c r="E393" s="639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7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41"/>
      <c r="R393" s="641"/>
      <c r="S393" s="641"/>
      <c r="T393" s="64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4301180006</v>
      </c>
      <c r="D394" s="639">
        <v>4680115881822</v>
      </c>
      <c r="E394" s="639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7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41"/>
      <c r="R394" s="641"/>
      <c r="S394" s="641"/>
      <c r="T394" s="64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4301180001</v>
      </c>
      <c r="D395" s="639">
        <v>4680115880016</v>
      </c>
      <c r="E395" s="639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7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41"/>
      <c r="R395" s="641"/>
      <c r="S395" s="641"/>
      <c r="T395" s="64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IFERROR(IF(Y395=0,"",ROUNDUP(Y395/H395,0)*0.00474),"")</f>
        <v/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33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0" t="s">
        <v>40</v>
      </c>
      <c r="Q396" s="631"/>
      <c r="R396" s="631"/>
      <c r="S396" s="631"/>
      <c r="T396" s="631"/>
      <c r="U396" s="631"/>
      <c r="V396" s="632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0" t="s">
        <v>40</v>
      </c>
      <c r="Q397" s="631"/>
      <c r="R397" s="631"/>
      <c r="S397" s="631"/>
      <c r="T397" s="631"/>
      <c r="U397" s="631"/>
      <c r="V397" s="632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44" t="s">
        <v>658</v>
      </c>
      <c r="B398" s="644"/>
      <c r="C398" s="644"/>
      <c r="D398" s="644"/>
      <c r="E398" s="644"/>
      <c r="F398" s="644"/>
      <c r="G398" s="644"/>
      <c r="H398" s="644"/>
      <c r="I398" s="644"/>
      <c r="J398" s="644"/>
      <c r="K398" s="644"/>
      <c r="L398" s="644"/>
      <c r="M398" s="644"/>
      <c r="N398" s="644"/>
      <c r="O398" s="644"/>
      <c r="P398" s="644"/>
      <c r="Q398" s="644"/>
      <c r="R398" s="644"/>
      <c r="S398" s="644"/>
      <c r="T398" s="644"/>
      <c r="U398" s="644"/>
      <c r="V398" s="644"/>
      <c r="W398" s="644"/>
      <c r="X398" s="644"/>
      <c r="Y398" s="644"/>
      <c r="Z398" s="644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4301220003</v>
      </c>
      <c r="D399" s="639">
        <v>4680115888678</v>
      </c>
      <c r="E399" s="639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71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41"/>
      <c r="R399" s="641"/>
      <c r="S399" s="641"/>
      <c r="T399" s="64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39">
        <v>4680115888654</v>
      </c>
      <c r="E400" s="639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41"/>
      <c r="R400" s="641"/>
      <c r="S400" s="641"/>
      <c r="T400" s="64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4301220002</v>
      </c>
      <c r="D401" s="639">
        <v>4680115888753</v>
      </c>
      <c r="E401" s="639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70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41"/>
      <c r="R401" s="641"/>
      <c r="S401" s="641"/>
      <c r="T401" s="64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0" t="s">
        <v>40</v>
      </c>
      <c r="Q403" s="631"/>
      <c r="R403" s="631"/>
      <c r="S403" s="631"/>
      <c r="T403" s="631"/>
      <c r="U403" s="631"/>
      <c r="V403" s="632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hidden="1" customHeight="1" x14ac:dyDescent="0.25">
      <c r="A404" s="643" t="s">
        <v>667</v>
      </c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3"/>
      <c r="P404" s="643"/>
      <c r="Q404" s="643"/>
      <c r="R404" s="643"/>
      <c r="S404" s="643"/>
      <c r="T404" s="643"/>
      <c r="U404" s="643"/>
      <c r="V404" s="643"/>
      <c r="W404" s="643"/>
      <c r="X404" s="643"/>
      <c r="Y404" s="643"/>
      <c r="Z404" s="643"/>
      <c r="AA404" s="65"/>
      <c r="AB404" s="65"/>
      <c r="AC404" s="79"/>
    </row>
    <row r="405" spans="1:68" ht="14.25" hidden="1" customHeight="1" x14ac:dyDescent="0.25">
      <c r="A405" s="644" t="s">
        <v>83</v>
      </c>
      <c r="B405" s="644"/>
      <c r="C405" s="644"/>
      <c r="D405" s="644"/>
      <c r="E405" s="644"/>
      <c r="F405" s="644"/>
      <c r="G405" s="644"/>
      <c r="H405" s="644"/>
      <c r="I405" s="644"/>
      <c r="J405" s="644"/>
      <c r="K405" s="644"/>
      <c r="L405" s="644"/>
      <c r="M405" s="644"/>
      <c r="N405" s="644"/>
      <c r="O405" s="644"/>
      <c r="P405" s="644"/>
      <c r="Q405" s="644"/>
      <c r="R405" s="644"/>
      <c r="S405" s="644"/>
      <c r="T405" s="644"/>
      <c r="U405" s="644"/>
      <c r="V405" s="644"/>
      <c r="W405" s="644"/>
      <c r="X405" s="644"/>
      <c r="Y405" s="644"/>
      <c r="Z405" s="644"/>
      <c r="AA405" s="66"/>
      <c r="AB405" s="66"/>
      <c r="AC405" s="80"/>
    </row>
    <row r="406" spans="1:68" ht="16.5" hidden="1" customHeight="1" x14ac:dyDescent="0.25">
      <c r="A406" s="63" t="s">
        <v>668</v>
      </c>
      <c r="B406" s="63" t="s">
        <v>669</v>
      </c>
      <c r="C406" s="36">
        <v>4301052235</v>
      </c>
      <c r="D406" s="639">
        <v>4680115889415</v>
      </c>
      <c r="E406" s="639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70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41"/>
      <c r="R406" s="641"/>
      <c r="S406" s="641"/>
      <c r="T406" s="64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39">
        <v>4680115889422</v>
      </c>
      <c r="E407" s="639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70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41"/>
      <c r="R407" s="641"/>
      <c r="S407" s="641"/>
      <c r="T407" s="64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33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0" t="s">
        <v>40</v>
      </c>
      <c r="Q408" s="631"/>
      <c r="R408" s="631"/>
      <c r="S408" s="631"/>
      <c r="T408" s="631"/>
      <c r="U408" s="631"/>
      <c r="V408" s="632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0" t="s">
        <v>40</v>
      </c>
      <c r="Q409" s="631"/>
      <c r="R409" s="631"/>
      <c r="S409" s="631"/>
      <c r="T409" s="631"/>
      <c r="U409" s="631"/>
      <c r="V409" s="632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43" t="s">
        <v>674</v>
      </c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3"/>
      <c r="P410" s="643"/>
      <c r="Q410" s="643"/>
      <c r="R410" s="643"/>
      <c r="S410" s="643"/>
      <c r="T410" s="643"/>
      <c r="U410" s="643"/>
      <c r="V410" s="643"/>
      <c r="W410" s="643"/>
      <c r="X410" s="643"/>
      <c r="Y410" s="643"/>
      <c r="Z410" s="643"/>
      <c r="AA410" s="65"/>
      <c r="AB410" s="65"/>
      <c r="AC410" s="79"/>
    </row>
    <row r="411" spans="1:68" ht="14.25" hidden="1" customHeight="1" x14ac:dyDescent="0.25">
      <c r="A411" s="644" t="s">
        <v>83</v>
      </c>
      <c r="B411" s="644"/>
      <c r="C411" s="644"/>
      <c r="D411" s="644"/>
      <c r="E411" s="644"/>
      <c r="F411" s="644"/>
      <c r="G411" s="644"/>
      <c r="H411" s="644"/>
      <c r="I411" s="644"/>
      <c r="J411" s="644"/>
      <c r="K411" s="644"/>
      <c r="L411" s="644"/>
      <c r="M411" s="644"/>
      <c r="N411" s="644"/>
      <c r="O411" s="644"/>
      <c r="P411" s="644"/>
      <c r="Q411" s="644"/>
      <c r="R411" s="644"/>
      <c r="S411" s="644"/>
      <c r="T411" s="644"/>
      <c r="U411" s="644"/>
      <c r="V411" s="644"/>
      <c r="W411" s="644"/>
      <c r="X411" s="644"/>
      <c r="Y411" s="644"/>
      <c r="Z411" s="644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39">
        <v>4607091387919</v>
      </c>
      <c r="E412" s="639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70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41"/>
      <c r="R412" s="641"/>
      <c r="S412" s="641"/>
      <c r="T412" s="64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678</v>
      </c>
      <c r="B413" s="63" t="s">
        <v>679</v>
      </c>
      <c r="C413" s="36">
        <v>4301051461</v>
      </c>
      <c r="D413" s="639">
        <v>4680115883604</v>
      </c>
      <c r="E413" s="639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7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41"/>
      <c r="R413" s="641"/>
      <c r="S413" s="641"/>
      <c r="T413" s="642"/>
      <c r="U413" s="39" t="s">
        <v>46</v>
      </c>
      <c r="V413" s="39" t="s">
        <v>46</v>
      </c>
      <c r="W413" s="40" t="s">
        <v>0</v>
      </c>
      <c r="X413" s="58">
        <v>700</v>
      </c>
      <c r="Y413" s="55">
        <f>IFERROR(IF(X413="",0,CEILING((X413/$H413),1)*$H413),"")</f>
        <v>701.4</v>
      </c>
      <c r="Z413" s="41">
        <f>IFERROR(IF(Y413=0,"",ROUNDUP(Y413/H413,0)*0.00651),"")</f>
        <v>2.1743399999999999</v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783.99999999999989</v>
      </c>
      <c r="BN413" s="78">
        <f>IFERROR(Y413*I413/H413,"0")</f>
        <v>785.56799999999987</v>
      </c>
      <c r="BO413" s="78">
        <f>IFERROR(1/J413*(X413/H413),"0")</f>
        <v>1.8315018315018314</v>
      </c>
      <c r="BP413" s="78">
        <f>IFERROR(1/J413*(Y413/H413),"0")</f>
        <v>1.8351648351648353</v>
      </c>
    </row>
    <row r="414" spans="1:68" ht="27" hidden="1" customHeight="1" x14ac:dyDescent="0.25">
      <c r="A414" s="63" t="s">
        <v>681</v>
      </c>
      <c r="B414" s="63" t="s">
        <v>682</v>
      </c>
      <c r="C414" s="36">
        <v>4301051864</v>
      </c>
      <c r="D414" s="639">
        <v>4680115883567</v>
      </c>
      <c r="E414" s="639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7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41"/>
      <c r="R414" s="641"/>
      <c r="S414" s="641"/>
      <c r="T414" s="64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33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0" t="s">
        <v>40</v>
      </c>
      <c r="Q415" s="631"/>
      <c r="R415" s="631"/>
      <c r="S415" s="631"/>
      <c r="T415" s="631"/>
      <c r="U415" s="631"/>
      <c r="V415" s="632"/>
      <c r="W415" s="42" t="s">
        <v>39</v>
      </c>
      <c r="X415" s="43">
        <f>IFERROR(X412/H412,"0")+IFERROR(X413/H413,"0")+IFERROR(X414/H414,"0")</f>
        <v>333.33333333333331</v>
      </c>
      <c r="Y415" s="43">
        <f>IFERROR(Y412/H412,"0")+IFERROR(Y413/H413,"0")+IFERROR(Y414/H414,"0")</f>
        <v>334</v>
      </c>
      <c r="Z415" s="43">
        <f>IFERROR(IF(Z412="",0,Z412),"0")+IFERROR(IF(Z413="",0,Z413),"0")+IFERROR(IF(Z414="",0,Z414),"0")</f>
        <v>2.1743399999999999</v>
      </c>
      <c r="AA415" s="67"/>
      <c r="AB415" s="67"/>
      <c r="AC415" s="67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0" t="s">
        <v>40</v>
      </c>
      <c r="Q416" s="631"/>
      <c r="R416" s="631"/>
      <c r="S416" s="631"/>
      <c r="T416" s="631"/>
      <c r="U416" s="631"/>
      <c r="V416" s="632"/>
      <c r="W416" s="42" t="s">
        <v>0</v>
      </c>
      <c r="X416" s="43">
        <f>IFERROR(SUM(X412:X414),"0")</f>
        <v>700</v>
      </c>
      <c r="Y416" s="43">
        <f>IFERROR(SUM(Y412:Y414),"0")</f>
        <v>701.4</v>
      </c>
      <c r="Z416" s="42"/>
      <c r="AA416" s="67"/>
      <c r="AB416" s="67"/>
      <c r="AC416" s="67"/>
    </row>
    <row r="417" spans="1:68" ht="27.75" hidden="1" customHeight="1" x14ac:dyDescent="0.2">
      <c r="A417" s="650" t="s">
        <v>684</v>
      </c>
      <c r="B417" s="650"/>
      <c r="C417" s="650"/>
      <c r="D417" s="650"/>
      <c r="E417" s="650"/>
      <c r="F417" s="650"/>
      <c r="G417" s="650"/>
      <c r="H417" s="650"/>
      <c r="I417" s="650"/>
      <c r="J417" s="650"/>
      <c r="K417" s="650"/>
      <c r="L417" s="650"/>
      <c r="M417" s="650"/>
      <c r="N417" s="650"/>
      <c r="O417" s="650"/>
      <c r="P417" s="650"/>
      <c r="Q417" s="650"/>
      <c r="R417" s="650"/>
      <c r="S417" s="650"/>
      <c r="T417" s="650"/>
      <c r="U417" s="650"/>
      <c r="V417" s="650"/>
      <c r="W417" s="650"/>
      <c r="X417" s="650"/>
      <c r="Y417" s="650"/>
      <c r="Z417" s="650"/>
      <c r="AA417" s="54"/>
      <c r="AB417" s="54"/>
      <c r="AC417" s="54"/>
    </row>
    <row r="418" spans="1:68" ht="16.5" hidden="1" customHeight="1" x14ac:dyDescent="0.25">
      <c r="A418" s="643" t="s">
        <v>685</v>
      </c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3"/>
      <c r="P418" s="643"/>
      <c r="Q418" s="643"/>
      <c r="R418" s="643"/>
      <c r="S418" s="643"/>
      <c r="T418" s="643"/>
      <c r="U418" s="643"/>
      <c r="V418" s="643"/>
      <c r="W418" s="643"/>
      <c r="X418" s="643"/>
      <c r="Y418" s="643"/>
      <c r="Z418" s="643"/>
      <c r="AA418" s="65"/>
      <c r="AB418" s="65"/>
      <c r="AC418" s="79"/>
    </row>
    <row r="419" spans="1:68" ht="14.25" hidden="1" customHeight="1" x14ac:dyDescent="0.25">
      <c r="A419" s="644" t="s">
        <v>119</v>
      </c>
      <c r="B419" s="644"/>
      <c r="C419" s="644"/>
      <c r="D419" s="644"/>
      <c r="E419" s="644"/>
      <c r="F419" s="644"/>
      <c r="G419" s="644"/>
      <c r="H419" s="644"/>
      <c r="I419" s="644"/>
      <c r="J419" s="644"/>
      <c r="K419" s="644"/>
      <c r="L419" s="644"/>
      <c r="M419" s="644"/>
      <c r="N419" s="644"/>
      <c r="O419" s="644"/>
      <c r="P419" s="644"/>
      <c r="Q419" s="644"/>
      <c r="R419" s="644"/>
      <c r="S419" s="644"/>
      <c r="T419" s="644"/>
      <c r="U419" s="644"/>
      <c r="V419" s="644"/>
      <c r="W419" s="644"/>
      <c r="X419" s="644"/>
      <c r="Y419" s="644"/>
      <c r="Z419" s="644"/>
      <c r="AA419" s="66"/>
      <c r="AB419" s="66"/>
      <c r="AC419" s="80"/>
    </row>
    <row r="420" spans="1:68" ht="27" customHeight="1" x14ac:dyDescent="0.25">
      <c r="A420" s="63" t="s">
        <v>686</v>
      </c>
      <c r="B420" s="63" t="s">
        <v>687</v>
      </c>
      <c r="C420" s="36">
        <v>4301012332</v>
      </c>
      <c r="D420" s="639">
        <v>4680115888401</v>
      </c>
      <c r="E420" s="639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70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41"/>
      <c r="R420" s="641"/>
      <c r="S420" s="641"/>
      <c r="T420" s="642"/>
      <c r="U420" s="39" t="s">
        <v>46</v>
      </c>
      <c r="V420" s="39" t="s">
        <v>46</v>
      </c>
      <c r="W420" s="40" t="s">
        <v>0</v>
      </c>
      <c r="X420" s="58">
        <v>150</v>
      </c>
      <c r="Y420" s="55">
        <f t="shared" ref="Y420:Y427" si="61">IFERROR(IF(X420="",0,CEILING((X420/$H420),1)*$H420),"")</f>
        <v>150</v>
      </c>
      <c r="Z420" s="41">
        <f>IFERROR(IF(Y420=0,"",ROUNDUP(Y420/H420,0)*0.02175),"")</f>
        <v>0.21749999999999997</v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154.69999999999999</v>
      </c>
      <c r="BN420" s="78">
        <f t="shared" ref="BN420:BN427" si="63">IFERROR(Y420*I420/H420,"0")</f>
        <v>154.69999999999999</v>
      </c>
      <c r="BO420" s="78">
        <f t="shared" ref="BO420:BO427" si="64">IFERROR(1/J420*(X420/H420),"0")</f>
        <v>0.20833333333333331</v>
      </c>
      <c r="BP420" s="78">
        <f t="shared" ref="BP420:BP427" si="65">IFERROR(1/J420*(Y420/H420),"0")</f>
        <v>0.20833333333333331</v>
      </c>
    </row>
    <row r="421" spans="1:68" ht="37.5" hidden="1" customHeight="1" x14ac:dyDescent="0.25">
      <c r="A421" s="63" t="s">
        <v>689</v>
      </c>
      <c r="B421" s="63" t="s">
        <v>690</v>
      </c>
      <c r="C421" s="36">
        <v>4301011869</v>
      </c>
      <c r="D421" s="639">
        <v>4680115884847</v>
      </c>
      <c r="E421" s="639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7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41"/>
      <c r="R421" s="641"/>
      <c r="S421" s="641"/>
      <c r="T421" s="642"/>
      <c r="U421" s="39" t="s">
        <v>46</v>
      </c>
      <c r="V421" s="39" t="s">
        <v>46</v>
      </c>
      <c r="W421" s="40" t="s">
        <v>0</v>
      </c>
      <c r="X421" s="58">
        <v>0</v>
      </c>
      <c r="Y421" s="55">
        <f t="shared" si="61"/>
        <v>0</v>
      </c>
      <c r="Z421" s="41" t="str">
        <f>IFERROR(IF(Y421=0,"",ROUNDUP(Y421/H421,0)*0.02175),"")</f>
        <v/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0</v>
      </c>
      <c r="BN421" s="78">
        <f t="shared" si="63"/>
        <v>0</v>
      </c>
      <c r="BO421" s="78">
        <f t="shared" si="64"/>
        <v>0</v>
      </c>
      <c r="BP421" s="78">
        <f t="shared" si="65"/>
        <v>0</v>
      </c>
    </row>
    <row r="422" spans="1:68" ht="27" customHeight="1" x14ac:dyDescent="0.25">
      <c r="A422" s="63" t="s">
        <v>692</v>
      </c>
      <c r="B422" s="63" t="s">
        <v>693</v>
      </c>
      <c r="C422" s="36">
        <v>4301012083</v>
      </c>
      <c r="D422" s="639">
        <v>4680115884854</v>
      </c>
      <c r="E422" s="639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41"/>
      <c r="R422" s="641"/>
      <c r="S422" s="641"/>
      <c r="T422" s="642"/>
      <c r="U422" s="39" t="s">
        <v>46</v>
      </c>
      <c r="V422" s="39" t="s">
        <v>46</v>
      </c>
      <c r="W422" s="40" t="s">
        <v>0</v>
      </c>
      <c r="X422" s="58">
        <v>460</v>
      </c>
      <c r="Y422" s="55">
        <f t="shared" si="61"/>
        <v>465</v>
      </c>
      <c r="Z422" s="41">
        <f>IFERROR(IF(Y422=0,"",ROUNDUP(Y422/H422,0)*0.02175),"")</f>
        <v>0.6742499999999999</v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474.41333333333336</v>
      </c>
      <c r="BN422" s="78">
        <f t="shared" si="63"/>
        <v>479.57</v>
      </c>
      <c r="BO422" s="78">
        <f t="shared" si="64"/>
        <v>0.63888888888888884</v>
      </c>
      <c r="BP422" s="78">
        <f t="shared" si="65"/>
        <v>0.64583333333333326</v>
      </c>
    </row>
    <row r="423" spans="1:68" ht="27" hidden="1" customHeight="1" x14ac:dyDescent="0.25">
      <c r="A423" s="63" t="s">
        <v>695</v>
      </c>
      <c r="B423" s="63" t="s">
        <v>696</v>
      </c>
      <c r="C423" s="36">
        <v>4301011867</v>
      </c>
      <c r="D423" s="639">
        <v>4680115884830</v>
      </c>
      <c r="E423" s="63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6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41"/>
      <c r="R423" s="641"/>
      <c r="S423" s="641"/>
      <c r="T423" s="64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si="61"/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0</v>
      </c>
      <c r="BN423" s="78">
        <f t="shared" si="63"/>
        <v>0</v>
      </c>
      <c r="BO423" s="78">
        <f t="shared" si="64"/>
        <v>0</v>
      </c>
      <c r="BP423" s="78">
        <f t="shared" si="65"/>
        <v>0</v>
      </c>
    </row>
    <row r="424" spans="1:68" ht="27" customHeight="1" x14ac:dyDescent="0.25">
      <c r="A424" s="63" t="s">
        <v>698</v>
      </c>
      <c r="B424" s="63" t="s">
        <v>699</v>
      </c>
      <c r="C424" s="36">
        <v>4301012356</v>
      </c>
      <c r="D424" s="639">
        <v>4680115889231</v>
      </c>
      <c r="E424" s="63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69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41"/>
      <c r="R424" s="641"/>
      <c r="S424" s="641"/>
      <c r="T424" s="642"/>
      <c r="U424" s="39" t="s">
        <v>46</v>
      </c>
      <c r="V424" s="39" t="s">
        <v>46</v>
      </c>
      <c r="W424" s="40" t="s">
        <v>0</v>
      </c>
      <c r="X424" s="58">
        <v>1600</v>
      </c>
      <c r="Y424" s="55">
        <f t="shared" si="61"/>
        <v>1605</v>
      </c>
      <c r="Z424" s="41">
        <f>IFERROR(IF(Y424=0,"",ROUNDUP(Y424/H424,0)*0.02175),"")</f>
        <v>2.3272499999999998</v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1650.1333333333334</v>
      </c>
      <c r="BN424" s="78">
        <f t="shared" si="63"/>
        <v>1655.2900000000002</v>
      </c>
      <c r="BO424" s="78">
        <f t="shared" si="64"/>
        <v>2.2222222222222223</v>
      </c>
      <c r="BP424" s="78">
        <f t="shared" si="65"/>
        <v>2.2291666666666665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39">
        <v>4680115882638</v>
      </c>
      <c r="E425" s="639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41"/>
      <c r="R425" s="641"/>
      <c r="S425" s="641"/>
      <c r="T425" s="64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39">
        <v>4680115884922</v>
      </c>
      <c r="E426" s="639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41"/>
      <c r="R426" s="641"/>
      <c r="S426" s="641"/>
      <c r="T426" s="64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customHeight="1" x14ac:dyDescent="0.25">
      <c r="A427" s="63" t="s">
        <v>707</v>
      </c>
      <c r="B427" s="63" t="s">
        <v>708</v>
      </c>
      <c r="C427" s="36">
        <v>4301011868</v>
      </c>
      <c r="D427" s="639">
        <v>4680115884861</v>
      </c>
      <c r="E427" s="639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6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41"/>
      <c r="R427" s="641"/>
      <c r="S427" s="641"/>
      <c r="T427" s="642"/>
      <c r="U427" s="39" t="s">
        <v>46</v>
      </c>
      <c r="V427" s="39" t="s">
        <v>46</v>
      </c>
      <c r="W427" s="40" t="s">
        <v>0</v>
      </c>
      <c r="X427" s="58">
        <v>25</v>
      </c>
      <c r="Y427" s="55">
        <f t="shared" si="61"/>
        <v>25</v>
      </c>
      <c r="Z427" s="41">
        <f>IFERROR(IF(Y427=0,"",ROUNDUP(Y427/H427,0)*0.00902),"")</f>
        <v>4.5100000000000001E-2</v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25.95</v>
      </c>
      <c r="BN427" s="78">
        <f t="shared" si="63"/>
        <v>25.95</v>
      </c>
      <c r="BO427" s="78">
        <f t="shared" si="64"/>
        <v>3.787878787878788E-2</v>
      </c>
      <c r="BP427" s="78">
        <f t="shared" si="65"/>
        <v>3.787878787878788E-2</v>
      </c>
    </row>
    <row r="428" spans="1:68" x14ac:dyDescent="0.2">
      <c r="A428" s="633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0" t="s">
        <v>40</v>
      </c>
      <c r="Q428" s="631"/>
      <c r="R428" s="631"/>
      <c r="S428" s="631"/>
      <c r="T428" s="631"/>
      <c r="U428" s="631"/>
      <c r="V428" s="632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152.33333333333334</v>
      </c>
      <c r="Y428" s="43">
        <f>IFERROR(Y420/H420,"0")+IFERROR(Y421/H421,"0")+IFERROR(Y422/H422,"0")+IFERROR(Y423/H423,"0")+IFERROR(Y424/H424,"0")+IFERROR(Y425/H425,"0")+IFERROR(Y426/H426,"0")+IFERROR(Y427/H427,"0")</f>
        <v>153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3.2640999999999996</v>
      </c>
      <c r="AA428" s="67"/>
      <c r="AB428" s="67"/>
      <c r="AC428" s="67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0" t="s">
        <v>40</v>
      </c>
      <c r="Q429" s="631"/>
      <c r="R429" s="631"/>
      <c r="S429" s="631"/>
      <c r="T429" s="631"/>
      <c r="U429" s="631"/>
      <c r="V429" s="632"/>
      <c r="W429" s="42" t="s">
        <v>0</v>
      </c>
      <c r="X429" s="43">
        <f>IFERROR(SUM(X420:X427),"0")</f>
        <v>2235</v>
      </c>
      <c r="Y429" s="43">
        <f>IFERROR(SUM(Y420:Y427),"0")</f>
        <v>2245</v>
      </c>
      <c r="Z429" s="42"/>
      <c r="AA429" s="67"/>
      <c r="AB429" s="67"/>
      <c r="AC429" s="67"/>
    </row>
    <row r="430" spans="1:68" ht="14.25" hidden="1" customHeight="1" x14ac:dyDescent="0.25">
      <c r="A430" s="644" t="s">
        <v>154</v>
      </c>
      <c r="B430" s="644"/>
      <c r="C430" s="644"/>
      <c r="D430" s="644"/>
      <c r="E430" s="644"/>
      <c r="F430" s="644"/>
      <c r="G430" s="644"/>
      <c r="H430" s="644"/>
      <c r="I430" s="644"/>
      <c r="J430" s="644"/>
      <c r="K430" s="644"/>
      <c r="L430" s="644"/>
      <c r="M430" s="644"/>
      <c r="N430" s="644"/>
      <c r="O430" s="644"/>
      <c r="P430" s="644"/>
      <c r="Q430" s="644"/>
      <c r="R430" s="644"/>
      <c r="S430" s="644"/>
      <c r="T430" s="644"/>
      <c r="U430" s="644"/>
      <c r="V430" s="644"/>
      <c r="W430" s="644"/>
      <c r="X430" s="644"/>
      <c r="Y430" s="644"/>
      <c r="Z430" s="644"/>
      <c r="AA430" s="66"/>
      <c r="AB430" s="66"/>
      <c r="AC430" s="80"/>
    </row>
    <row r="431" spans="1:68" ht="27" customHeight="1" x14ac:dyDescent="0.25">
      <c r="A431" s="63" t="s">
        <v>710</v>
      </c>
      <c r="B431" s="63" t="s">
        <v>711</v>
      </c>
      <c r="C431" s="36">
        <v>4301020178</v>
      </c>
      <c r="D431" s="639">
        <v>4607091383980</v>
      </c>
      <c r="E431" s="639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41"/>
      <c r="R431" s="641"/>
      <c r="S431" s="641"/>
      <c r="T431" s="642"/>
      <c r="U431" s="39" t="s">
        <v>46</v>
      </c>
      <c r="V431" s="39" t="s">
        <v>46</v>
      </c>
      <c r="W431" s="40" t="s">
        <v>0</v>
      </c>
      <c r="X431" s="58">
        <v>1900</v>
      </c>
      <c r="Y431" s="55">
        <f>IFERROR(IF(X431="",0,CEILING((X431/$H431),1)*$H431),"")</f>
        <v>1905</v>
      </c>
      <c r="Z431" s="41">
        <f>IFERROR(IF(Y431=0,"",ROUNDUP(Y431/H431,0)*0.02175),"")</f>
        <v>2.7622499999999999</v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1959.5333333333333</v>
      </c>
      <c r="BN431" s="78">
        <f>IFERROR(Y431*I431/H431,"0")</f>
        <v>1964.69</v>
      </c>
      <c r="BO431" s="78">
        <f>IFERROR(1/J431*(X431/H431),"0")</f>
        <v>2.6388888888888888</v>
      </c>
      <c r="BP431" s="78">
        <f>IFERROR(1/J431*(Y431/H431),"0")</f>
        <v>2.645833333333333</v>
      </c>
    </row>
    <row r="432" spans="1:68" ht="27" customHeight="1" x14ac:dyDescent="0.25">
      <c r="A432" s="63" t="s">
        <v>713</v>
      </c>
      <c r="B432" s="63" t="s">
        <v>714</v>
      </c>
      <c r="C432" s="36">
        <v>4301020355</v>
      </c>
      <c r="D432" s="639">
        <v>4680115888425</v>
      </c>
      <c r="E432" s="639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69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41"/>
      <c r="R432" s="641"/>
      <c r="S432" s="641"/>
      <c r="T432" s="642"/>
      <c r="U432" s="39" t="s">
        <v>46</v>
      </c>
      <c r="V432" s="39" t="s">
        <v>46</v>
      </c>
      <c r="W432" s="40" t="s">
        <v>0</v>
      </c>
      <c r="X432" s="58">
        <v>200</v>
      </c>
      <c r="Y432" s="55">
        <f>IFERROR(IF(X432="",0,CEILING((X432/$H432),1)*$H432),"")</f>
        <v>210</v>
      </c>
      <c r="Z432" s="41">
        <f>IFERROR(IF(Y432=0,"",ROUNDUP(Y432/H432,0)*0.02175),"")</f>
        <v>0.30449999999999999</v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206.26666666666668</v>
      </c>
      <c r="BN432" s="78">
        <f>IFERROR(Y432*I432/H432,"0")</f>
        <v>216.58</v>
      </c>
      <c r="BO432" s="78">
        <f>IFERROR(1/J432*(X432/H432),"0")</f>
        <v>0.27777777777777779</v>
      </c>
      <c r="BP432" s="78">
        <f>IFERROR(1/J432*(Y432/H432),"0")</f>
        <v>0.29166666666666663</v>
      </c>
    </row>
    <row r="433" spans="1:68" ht="27" hidden="1" customHeight="1" x14ac:dyDescent="0.25">
      <c r="A433" s="63" t="s">
        <v>716</v>
      </c>
      <c r="B433" s="63" t="s">
        <v>717</v>
      </c>
      <c r="C433" s="36">
        <v>4301020179</v>
      </c>
      <c r="D433" s="639">
        <v>4607091384178</v>
      </c>
      <c r="E433" s="639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69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41"/>
      <c r="R433" s="641"/>
      <c r="S433" s="641"/>
      <c r="T433" s="642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633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0" t="s">
        <v>40</v>
      </c>
      <c r="Q434" s="631"/>
      <c r="R434" s="631"/>
      <c r="S434" s="631"/>
      <c r="T434" s="631"/>
      <c r="U434" s="631"/>
      <c r="V434" s="632"/>
      <c r="W434" s="42" t="s">
        <v>39</v>
      </c>
      <c r="X434" s="43">
        <f>IFERROR(X431/H431,"0")+IFERROR(X432/H432,"0")+IFERROR(X433/H433,"0")</f>
        <v>140</v>
      </c>
      <c r="Y434" s="43">
        <f>IFERROR(Y431/H431,"0")+IFERROR(Y432/H432,"0")+IFERROR(Y433/H433,"0")</f>
        <v>141</v>
      </c>
      <c r="Z434" s="43">
        <f>IFERROR(IF(Z431="",0,Z431),"0")+IFERROR(IF(Z432="",0,Z432),"0")+IFERROR(IF(Z433="",0,Z433),"0")</f>
        <v>3.0667499999999999</v>
      </c>
      <c r="AA434" s="67"/>
      <c r="AB434" s="67"/>
      <c r="AC434" s="67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0" t="s">
        <v>40</v>
      </c>
      <c r="Q435" s="631"/>
      <c r="R435" s="631"/>
      <c r="S435" s="631"/>
      <c r="T435" s="631"/>
      <c r="U435" s="631"/>
      <c r="V435" s="632"/>
      <c r="W435" s="42" t="s">
        <v>0</v>
      </c>
      <c r="X435" s="43">
        <f>IFERROR(SUM(X431:X433),"0")</f>
        <v>2100</v>
      </c>
      <c r="Y435" s="43">
        <f>IFERROR(SUM(Y431:Y433),"0")</f>
        <v>2115</v>
      </c>
      <c r="Z435" s="42"/>
      <c r="AA435" s="67"/>
      <c r="AB435" s="67"/>
      <c r="AC435" s="67"/>
    </row>
    <row r="436" spans="1:68" ht="14.25" hidden="1" customHeight="1" x14ac:dyDescent="0.25">
      <c r="A436" s="644" t="s">
        <v>83</v>
      </c>
      <c r="B436" s="644"/>
      <c r="C436" s="644"/>
      <c r="D436" s="644"/>
      <c r="E436" s="644"/>
      <c r="F436" s="644"/>
      <c r="G436" s="644"/>
      <c r="H436" s="644"/>
      <c r="I436" s="644"/>
      <c r="J436" s="644"/>
      <c r="K436" s="644"/>
      <c r="L436" s="644"/>
      <c r="M436" s="644"/>
      <c r="N436" s="644"/>
      <c r="O436" s="644"/>
      <c r="P436" s="644"/>
      <c r="Q436" s="644"/>
      <c r="R436" s="644"/>
      <c r="S436" s="644"/>
      <c r="T436" s="644"/>
      <c r="U436" s="644"/>
      <c r="V436" s="644"/>
      <c r="W436" s="644"/>
      <c r="X436" s="644"/>
      <c r="Y436" s="644"/>
      <c r="Z436" s="644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39">
        <v>4607091383928</v>
      </c>
      <c r="E437" s="639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41"/>
      <c r="R437" s="641"/>
      <c r="S437" s="641"/>
      <c r="T437" s="64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39">
        <v>4607091384260</v>
      </c>
      <c r="E438" s="639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6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41"/>
      <c r="R438" s="641"/>
      <c r="S438" s="641"/>
      <c r="T438" s="64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725</v>
      </c>
      <c r="B439" s="63" t="s">
        <v>726</v>
      </c>
      <c r="C439" s="36">
        <v>4301052220</v>
      </c>
      <c r="D439" s="639">
        <v>4680115889538</v>
      </c>
      <c r="E439" s="639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69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41"/>
      <c r="R439" s="641"/>
      <c r="S439" s="641"/>
      <c r="T439" s="642"/>
      <c r="U439" s="39" t="s">
        <v>46</v>
      </c>
      <c r="V439" s="39" t="s">
        <v>46</v>
      </c>
      <c r="W439" s="40" t="s">
        <v>0</v>
      </c>
      <c r="X439" s="58">
        <v>100</v>
      </c>
      <c r="Y439" s="55">
        <f>IFERROR(IF(X439="",0,CEILING((X439/$H439),1)*$H439),"")</f>
        <v>100.8</v>
      </c>
      <c r="Z439" s="41">
        <f>IFERROR(IF(Y439=0,"",ROUNDUP(Y439/H439,0)*0.01196),"")</f>
        <v>0.25115999999999999</v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108.66666666666667</v>
      </c>
      <c r="BN439" s="78">
        <f>IFERROR(Y439*I439/H439,"0")</f>
        <v>109.536</v>
      </c>
      <c r="BO439" s="78">
        <f>IFERROR(1/J439*(X439/H439),"0")</f>
        <v>0.20032051282051286</v>
      </c>
      <c r="BP439" s="78">
        <f>IFERROR(1/J439*(Y439/H439),"0")</f>
        <v>0.20192307692307693</v>
      </c>
    </row>
    <row r="440" spans="1:68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39</v>
      </c>
      <c r="X440" s="43">
        <f>IFERROR(X437/H437,"0")+IFERROR(X438/H438,"0")+IFERROR(X439/H439,"0")</f>
        <v>20.833333333333336</v>
      </c>
      <c r="Y440" s="43">
        <f>IFERROR(Y437/H437,"0")+IFERROR(Y438/H438,"0")+IFERROR(Y439/H439,"0")</f>
        <v>21</v>
      </c>
      <c r="Z440" s="43">
        <f>IFERROR(IF(Z437="",0,Z437),"0")+IFERROR(IF(Z438="",0,Z438),"0")+IFERROR(IF(Z439="",0,Z439),"0")</f>
        <v>0.25115999999999999</v>
      </c>
      <c r="AA440" s="67"/>
      <c r="AB440" s="67"/>
      <c r="AC440" s="67"/>
    </row>
    <row r="441" spans="1:68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0" t="s">
        <v>40</v>
      </c>
      <c r="Q441" s="631"/>
      <c r="R441" s="631"/>
      <c r="S441" s="631"/>
      <c r="T441" s="631"/>
      <c r="U441" s="631"/>
      <c r="V441" s="632"/>
      <c r="W441" s="42" t="s">
        <v>0</v>
      </c>
      <c r="X441" s="43">
        <f>IFERROR(SUM(X437:X439),"0")</f>
        <v>100</v>
      </c>
      <c r="Y441" s="43">
        <f>IFERROR(SUM(Y437:Y439),"0")</f>
        <v>100.8</v>
      </c>
      <c r="Z441" s="42"/>
      <c r="AA441" s="67"/>
      <c r="AB441" s="67"/>
      <c r="AC441" s="67"/>
    </row>
    <row r="442" spans="1:68" ht="14.25" hidden="1" customHeight="1" x14ac:dyDescent="0.25">
      <c r="A442" s="644" t="s">
        <v>172</v>
      </c>
      <c r="B442" s="644"/>
      <c r="C442" s="644"/>
      <c r="D442" s="644"/>
      <c r="E442" s="644"/>
      <c r="F442" s="644"/>
      <c r="G442" s="644"/>
      <c r="H442" s="644"/>
      <c r="I442" s="644"/>
      <c r="J442" s="644"/>
      <c r="K442" s="644"/>
      <c r="L442" s="644"/>
      <c r="M442" s="644"/>
      <c r="N442" s="644"/>
      <c r="O442" s="644"/>
      <c r="P442" s="644"/>
      <c r="Q442" s="644"/>
      <c r="R442" s="644"/>
      <c r="S442" s="644"/>
      <c r="T442" s="644"/>
      <c r="U442" s="644"/>
      <c r="V442" s="644"/>
      <c r="W442" s="644"/>
      <c r="X442" s="644"/>
      <c r="Y442" s="644"/>
      <c r="Z442" s="644"/>
      <c r="AA442" s="66"/>
      <c r="AB442" s="66"/>
      <c r="AC442" s="80"/>
    </row>
    <row r="443" spans="1:68" ht="27" customHeight="1" x14ac:dyDescent="0.25">
      <c r="A443" s="63" t="s">
        <v>728</v>
      </c>
      <c r="B443" s="63" t="s">
        <v>729</v>
      </c>
      <c r="C443" s="36">
        <v>4301060537</v>
      </c>
      <c r="D443" s="639">
        <v>4680115889545</v>
      </c>
      <c r="E443" s="639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68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41"/>
      <c r="R443" s="641"/>
      <c r="S443" s="641"/>
      <c r="T443" s="642"/>
      <c r="U443" s="39" t="s">
        <v>46</v>
      </c>
      <c r="V443" s="39" t="s">
        <v>46</v>
      </c>
      <c r="W443" s="40" t="s">
        <v>0</v>
      </c>
      <c r="X443" s="58">
        <v>100</v>
      </c>
      <c r="Y443" s="55">
        <f>IFERROR(IF(X443="",0,CEILING((X443/$H443),1)*$H443),"")</f>
        <v>100.80000000000001</v>
      </c>
      <c r="Z443" s="41">
        <f>IFERROR(IF(Y443=0,"",ROUNDUP(Y443/H443,0)*0.01196),"")</f>
        <v>0.28704000000000002</v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109.9047619047619</v>
      </c>
      <c r="BN443" s="78">
        <f>IFERROR(Y443*I443/H443,"0")</f>
        <v>110.78399999999999</v>
      </c>
      <c r="BO443" s="78">
        <f>IFERROR(1/J443*(X443/H443),"0")</f>
        <v>0.22893772893772896</v>
      </c>
      <c r="BP443" s="78">
        <f>IFERROR(1/J443*(Y443/H443),"0")</f>
        <v>0.23076923076923078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39">
        <v>4607091384673</v>
      </c>
      <c r="E444" s="63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6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41"/>
      <c r="R444" s="641"/>
      <c r="S444" s="641"/>
      <c r="T444" s="64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2" t="s">
        <v>39</v>
      </c>
      <c r="X445" s="43">
        <f>IFERROR(X443/H443,"0")+IFERROR(X444/H444,"0")</f>
        <v>23.80952380952381</v>
      </c>
      <c r="Y445" s="43">
        <f>IFERROR(Y443/H443,"0")+IFERROR(Y444/H444,"0")</f>
        <v>24</v>
      </c>
      <c r="Z445" s="43">
        <f>IFERROR(IF(Z443="",0,Z443),"0")+IFERROR(IF(Z444="",0,Z444),"0")</f>
        <v>0.28704000000000002</v>
      </c>
      <c r="AA445" s="67"/>
      <c r="AB445" s="67"/>
      <c r="AC445" s="67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0" t="s">
        <v>40</v>
      </c>
      <c r="Q446" s="631"/>
      <c r="R446" s="631"/>
      <c r="S446" s="631"/>
      <c r="T446" s="631"/>
      <c r="U446" s="631"/>
      <c r="V446" s="632"/>
      <c r="W446" s="42" t="s">
        <v>0</v>
      </c>
      <c r="X446" s="43">
        <f>IFERROR(SUM(X443:X444),"0")</f>
        <v>100</v>
      </c>
      <c r="Y446" s="43">
        <f>IFERROR(SUM(Y443:Y444),"0")</f>
        <v>100.80000000000001</v>
      </c>
      <c r="Z446" s="42"/>
      <c r="AA446" s="67"/>
      <c r="AB446" s="67"/>
      <c r="AC446" s="67"/>
    </row>
    <row r="447" spans="1:68" ht="16.5" hidden="1" customHeight="1" x14ac:dyDescent="0.25">
      <c r="A447" s="643" t="s">
        <v>734</v>
      </c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3"/>
      <c r="P447" s="643"/>
      <c r="Q447" s="643"/>
      <c r="R447" s="643"/>
      <c r="S447" s="643"/>
      <c r="T447" s="643"/>
      <c r="U447" s="643"/>
      <c r="V447" s="643"/>
      <c r="W447" s="643"/>
      <c r="X447" s="643"/>
      <c r="Y447" s="643"/>
      <c r="Z447" s="643"/>
      <c r="AA447" s="65"/>
      <c r="AB447" s="65"/>
      <c r="AC447" s="79"/>
    </row>
    <row r="448" spans="1:68" ht="14.25" hidden="1" customHeight="1" x14ac:dyDescent="0.25">
      <c r="A448" s="644" t="s">
        <v>119</v>
      </c>
      <c r="B448" s="644"/>
      <c r="C448" s="644"/>
      <c r="D448" s="644"/>
      <c r="E448" s="644"/>
      <c r="F448" s="644"/>
      <c r="G448" s="644"/>
      <c r="H448" s="644"/>
      <c r="I448" s="644"/>
      <c r="J448" s="644"/>
      <c r="K448" s="644"/>
      <c r="L448" s="644"/>
      <c r="M448" s="644"/>
      <c r="N448" s="644"/>
      <c r="O448" s="644"/>
      <c r="P448" s="644"/>
      <c r="Q448" s="644"/>
      <c r="R448" s="644"/>
      <c r="S448" s="644"/>
      <c r="T448" s="644"/>
      <c r="U448" s="644"/>
      <c r="V448" s="644"/>
      <c r="W448" s="644"/>
      <c r="X448" s="644"/>
      <c r="Y448" s="644"/>
      <c r="Z448" s="644"/>
      <c r="AA448" s="66"/>
      <c r="AB448" s="66"/>
      <c r="AC448" s="80"/>
    </row>
    <row r="449" spans="1:68" ht="27" customHeight="1" x14ac:dyDescent="0.25">
      <c r="A449" s="63" t="s">
        <v>735</v>
      </c>
      <c r="B449" s="63" t="s">
        <v>736</v>
      </c>
      <c r="C449" s="36">
        <v>4301011875</v>
      </c>
      <c r="D449" s="639">
        <v>4680115884885</v>
      </c>
      <c r="E449" s="639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6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41"/>
      <c r="R449" s="641"/>
      <c r="S449" s="641"/>
      <c r="T449" s="642"/>
      <c r="U449" s="39" t="s">
        <v>46</v>
      </c>
      <c r="V449" s="39" t="s">
        <v>46</v>
      </c>
      <c r="W449" s="40" t="s">
        <v>0</v>
      </c>
      <c r="X449" s="58">
        <v>60</v>
      </c>
      <c r="Y449" s="55">
        <f>IFERROR(IF(X449="",0,CEILING((X449/$H449),1)*$H449),"")</f>
        <v>60</v>
      </c>
      <c r="Z449" s="41">
        <f>IFERROR(IF(Y449=0,"",ROUNDUP(Y449/H449,0)*0.01898),"")</f>
        <v>9.4899999999999998E-2</v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62.050000000000004</v>
      </c>
      <c r="BN449" s="78">
        <f>IFERROR(Y449*I449/H449,"0")</f>
        <v>62.050000000000004</v>
      </c>
      <c r="BO449" s="78">
        <f>IFERROR(1/J449*(X449/H449),"0")</f>
        <v>7.8125E-2</v>
      </c>
      <c r="BP449" s="78">
        <f>IFERROR(1/J449*(Y449/H449),"0")</f>
        <v>7.8125E-2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39">
        <v>4680115884908</v>
      </c>
      <c r="E450" s="639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6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41"/>
      <c r="R450" s="641"/>
      <c r="S450" s="641"/>
      <c r="T450" s="64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33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0" t="s">
        <v>40</v>
      </c>
      <c r="Q451" s="631"/>
      <c r="R451" s="631"/>
      <c r="S451" s="631"/>
      <c r="T451" s="631"/>
      <c r="U451" s="631"/>
      <c r="V451" s="632"/>
      <c r="W451" s="42" t="s">
        <v>39</v>
      </c>
      <c r="X451" s="43">
        <f>IFERROR(X449/H449,"0")+IFERROR(X450/H450,"0")</f>
        <v>5</v>
      </c>
      <c r="Y451" s="43">
        <f>IFERROR(Y449/H449,"0")+IFERROR(Y450/H450,"0")</f>
        <v>5</v>
      </c>
      <c r="Z451" s="43">
        <f>IFERROR(IF(Z449="",0,Z449),"0")+IFERROR(IF(Z450="",0,Z450),"0")</f>
        <v>9.4899999999999998E-2</v>
      </c>
      <c r="AA451" s="67"/>
      <c r="AB451" s="67"/>
      <c r="AC451" s="67"/>
    </row>
    <row r="452" spans="1:68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0" t="s">
        <v>40</v>
      </c>
      <c r="Q452" s="631"/>
      <c r="R452" s="631"/>
      <c r="S452" s="631"/>
      <c r="T452" s="631"/>
      <c r="U452" s="631"/>
      <c r="V452" s="632"/>
      <c r="W452" s="42" t="s">
        <v>0</v>
      </c>
      <c r="X452" s="43">
        <f>IFERROR(SUM(X449:X450),"0")</f>
        <v>60</v>
      </c>
      <c r="Y452" s="43">
        <f>IFERROR(SUM(Y449:Y450),"0")</f>
        <v>60</v>
      </c>
      <c r="Z452" s="42"/>
      <c r="AA452" s="67"/>
      <c r="AB452" s="67"/>
      <c r="AC452" s="67"/>
    </row>
    <row r="453" spans="1:68" ht="14.25" hidden="1" customHeight="1" x14ac:dyDescent="0.25">
      <c r="A453" s="644" t="s">
        <v>77</v>
      </c>
      <c r="B453" s="644"/>
      <c r="C453" s="644"/>
      <c r="D453" s="644"/>
      <c r="E453" s="644"/>
      <c r="F453" s="644"/>
      <c r="G453" s="644"/>
      <c r="H453" s="644"/>
      <c r="I453" s="644"/>
      <c r="J453" s="644"/>
      <c r="K453" s="644"/>
      <c r="L453" s="644"/>
      <c r="M453" s="644"/>
      <c r="N453" s="644"/>
      <c r="O453" s="644"/>
      <c r="P453" s="644"/>
      <c r="Q453" s="644"/>
      <c r="R453" s="644"/>
      <c r="S453" s="644"/>
      <c r="T453" s="644"/>
      <c r="U453" s="644"/>
      <c r="V453" s="644"/>
      <c r="W453" s="644"/>
      <c r="X453" s="644"/>
      <c r="Y453" s="644"/>
      <c r="Z453" s="644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39">
        <v>4607091384802</v>
      </c>
      <c r="E454" s="639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68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41"/>
      <c r="R454" s="641"/>
      <c r="S454" s="641"/>
      <c r="T454" s="64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44" t="s">
        <v>83</v>
      </c>
      <c r="B457" s="644"/>
      <c r="C457" s="644"/>
      <c r="D457" s="644"/>
      <c r="E457" s="644"/>
      <c r="F457" s="644"/>
      <c r="G457" s="644"/>
      <c r="H457" s="644"/>
      <c r="I457" s="644"/>
      <c r="J457" s="644"/>
      <c r="K457" s="644"/>
      <c r="L457" s="644"/>
      <c r="M457" s="644"/>
      <c r="N457" s="644"/>
      <c r="O457" s="644"/>
      <c r="P457" s="644"/>
      <c r="Q457" s="644"/>
      <c r="R457" s="644"/>
      <c r="S457" s="644"/>
      <c r="T457" s="644"/>
      <c r="U457" s="644"/>
      <c r="V457" s="644"/>
      <c r="W457" s="644"/>
      <c r="X457" s="644"/>
      <c r="Y457" s="644"/>
      <c r="Z457" s="644"/>
      <c r="AA457" s="66"/>
      <c r="AB457" s="66"/>
      <c r="AC457" s="80"/>
    </row>
    <row r="458" spans="1:68" ht="27" customHeight="1" x14ac:dyDescent="0.25">
      <c r="A458" s="63" t="s">
        <v>743</v>
      </c>
      <c r="B458" s="63" t="s">
        <v>744</v>
      </c>
      <c r="C458" s="36">
        <v>4301051899</v>
      </c>
      <c r="D458" s="639">
        <v>4607091384246</v>
      </c>
      <c r="E458" s="639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68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41"/>
      <c r="R458" s="641"/>
      <c r="S458" s="641"/>
      <c r="T458" s="642"/>
      <c r="U458" s="39" t="s">
        <v>46</v>
      </c>
      <c r="V458" s="39" t="s">
        <v>46</v>
      </c>
      <c r="W458" s="40" t="s">
        <v>0</v>
      </c>
      <c r="X458" s="58">
        <v>30</v>
      </c>
      <c r="Y458" s="55">
        <f>IFERROR(IF(X458="",0,CEILING((X458/$H458),1)*$H458),"")</f>
        <v>36</v>
      </c>
      <c r="Z458" s="41">
        <f>IFERROR(IF(Y458=0,"",ROUNDUP(Y458/H458,0)*0.01898),"")</f>
        <v>7.5920000000000001E-2</v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31.646666666666665</v>
      </c>
      <c r="BN458" s="78">
        <f>IFERROR(Y458*I458/H458,"0")</f>
        <v>37.975999999999999</v>
      </c>
      <c r="BO458" s="78">
        <f>IFERROR(1/J458*(X458/H458),"0")</f>
        <v>5.2083333333333336E-2</v>
      </c>
      <c r="BP458" s="78">
        <f>IFERROR(1/J458*(Y458/H458),"0")</f>
        <v>6.25E-2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39">
        <v>4607091384253</v>
      </c>
      <c r="E459" s="639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68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41"/>
      <c r="R459" s="641"/>
      <c r="S459" s="641"/>
      <c r="T459" s="64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39">
        <v>4607091384253</v>
      </c>
      <c r="E460" s="639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68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41"/>
      <c r="R460" s="641"/>
      <c r="S460" s="641"/>
      <c r="T460" s="64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33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0" t="s">
        <v>40</v>
      </c>
      <c r="Q461" s="631"/>
      <c r="R461" s="631"/>
      <c r="S461" s="631"/>
      <c r="T461" s="631"/>
      <c r="U461" s="631"/>
      <c r="V461" s="632"/>
      <c r="W461" s="42" t="s">
        <v>39</v>
      </c>
      <c r="X461" s="43">
        <f>IFERROR(X458/H458,"0")+IFERROR(X459/H459,"0")+IFERROR(X460/H460,"0")</f>
        <v>3.3333333333333335</v>
      </c>
      <c r="Y461" s="43">
        <f>IFERROR(Y458/H458,"0")+IFERROR(Y459/H459,"0")+IFERROR(Y460/H460,"0")</f>
        <v>4</v>
      </c>
      <c r="Z461" s="43">
        <f>IFERROR(IF(Z458="",0,Z458),"0")+IFERROR(IF(Z459="",0,Z459),"0")+IFERROR(IF(Z460="",0,Z460),"0")</f>
        <v>7.5920000000000001E-2</v>
      </c>
      <c r="AA461" s="67"/>
      <c r="AB461" s="67"/>
      <c r="AC461" s="67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0" t="s">
        <v>40</v>
      </c>
      <c r="Q462" s="631"/>
      <c r="R462" s="631"/>
      <c r="S462" s="631"/>
      <c r="T462" s="631"/>
      <c r="U462" s="631"/>
      <c r="V462" s="632"/>
      <c r="W462" s="42" t="s">
        <v>0</v>
      </c>
      <c r="X462" s="43">
        <f>IFERROR(SUM(X458:X460),"0")</f>
        <v>30</v>
      </c>
      <c r="Y462" s="43">
        <f>IFERROR(SUM(Y458:Y460),"0")</f>
        <v>36</v>
      </c>
      <c r="Z462" s="42"/>
      <c r="AA462" s="67"/>
      <c r="AB462" s="67"/>
      <c r="AC462" s="67"/>
    </row>
    <row r="463" spans="1:68" ht="27.75" hidden="1" customHeight="1" x14ac:dyDescent="0.2">
      <c r="A463" s="650" t="s">
        <v>750</v>
      </c>
      <c r="B463" s="650"/>
      <c r="C463" s="650"/>
      <c r="D463" s="650"/>
      <c r="E463" s="650"/>
      <c r="F463" s="650"/>
      <c r="G463" s="650"/>
      <c r="H463" s="650"/>
      <c r="I463" s="650"/>
      <c r="J463" s="650"/>
      <c r="K463" s="650"/>
      <c r="L463" s="650"/>
      <c r="M463" s="650"/>
      <c r="N463" s="650"/>
      <c r="O463" s="650"/>
      <c r="P463" s="650"/>
      <c r="Q463" s="650"/>
      <c r="R463" s="650"/>
      <c r="S463" s="650"/>
      <c r="T463" s="650"/>
      <c r="U463" s="650"/>
      <c r="V463" s="650"/>
      <c r="W463" s="650"/>
      <c r="X463" s="650"/>
      <c r="Y463" s="650"/>
      <c r="Z463" s="650"/>
      <c r="AA463" s="54"/>
      <c r="AB463" s="54"/>
      <c r="AC463" s="54"/>
    </row>
    <row r="464" spans="1:68" ht="16.5" hidden="1" customHeight="1" x14ac:dyDescent="0.25">
      <c r="A464" s="643" t="s">
        <v>751</v>
      </c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3"/>
      <c r="P464" s="643"/>
      <c r="Q464" s="643"/>
      <c r="R464" s="643"/>
      <c r="S464" s="643"/>
      <c r="T464" s="643"/>
      <c r="U464" s="643"/>
      <c r="V464" s="643"/>
      <c r="W464" s="643"/>
      <c r="X464" s="643"/>
      <c r="Y464" s="643"/>
      <c r="Z464" s="643"/>
      <c r="AA464" s="65"/>
      <c r="AB464" s="65"/>
      <c r="AC464" s="79"/>
    </row>
    <row r="465" spans="1:68" ht="14.25" hidden="1" customHeight="1" x14ac:dyDescent="0.25">
      <c r="A465" s="644" t="s">
        <v>77</v>
      </c>
      <c r="B465" s="644"/>
      <c r="C465" s="644"/>
      <c r="D465" s="644"/>
      <c r="E465" s="644"/>
      <c r="F465" s="644"/>
      <c r="G465" s="644"/>
      <c r="H465" s="644"/>
      <c r="I465" s="644"/>
      <c r="J465" s="644"/>
      <c r="K465" s="644"/>
      <c r="L465" s="644"/>
      <c r="M465" s="644"/>
      <c r="N465" s="644"/>
      <c r="O465" s="644"/>
      <c r="P465" s="644"/>
      <c r="Q465" s="644"/>
      <c r="R465" s="644"/>
      <c r="S465" s="644"/>
      <c r="T465" s="644"/>
      <c r="U465" s="644"/>
      <c r="V465" s="644"/>
      <c r="W465" s="644"/>
      <c r="X465" s="644"/>
      <c r="Y465" s="644"/>
      <c r="Z465" s="644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39">
        <v>4680115886100</v>
      </c>
      <c r="E466" s="639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41"/>
      <c r="R466" s="641"/>
      <c r="S466" s="641"/>
      <c r="T466" s="642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hidden="1" customHeight="1" x14ac:dyDescent="0.25">
      <c r="A467" s="63" t="s">
        <v>755</v>
      </c>
      <c r="B467" s="63" t="s">
        <v>756</v>
      </c>
      <c r="C467" s="36">
        <v>4301031402</v>
      </c>
      <c r="D467" s="639">
        <v>4680115886124</v>
      </c>
      <c r="E467" s="639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41"/>
      <c r="R467" s="641"/>
      <c r="S467" s="641"/>
      <c r="T467" s="642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hidden="1" customHeight="1" x14ac:dyDescent="0.25">
      <c r="A468" s="63" t="s">
        <v>758</v>
      </c>
      <c r="B468" s="63" t="s">
        <v>759</v>
      </c>
      <c r="C468" s="36">
        <v>4301031362</v>
      </c>
      <c r="D468" s="639">
        <v>4607091384338</v>
      </c>
      <c r="E468" s="639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41"/>
      <c r="R468" s="641"/>
      <c r="S468" s="641"/>
      <c r="T468" s="642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39">
        <v>4680115883161</v>
      </c>
      <c r="E469" s="639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41"/>
      <c r="R469" s="641"/>
      <c r="S469" s="641"/>
      <c r="T469" s="64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hidden="1" customHeight="1" x14ac:dyDescent="0.25">
      <c r="A470" s="63" t="s">
        <v>763</v>
      </c>
      <c r="B470" s="63" t="s">
        <v>764</v>
      </c>
      <c r="C470" s="36">
        <v>4301031358</v>
      </c>
      <c r="D470" s="639">
        <v>4607091389531</v>
      </c>
      <c r="E470" s="639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41"/>
      <c r="R470" s="641"/>
      <c r="S470" s="641"/>
      <c r="T470" s="64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hidden="1" customHeight="1" x14ac:dyDescent="0.25">
      <c r="A471" s="63" t="s">
        <v>766</v>
      </c>
      <c r="B471" s="63" t="s">
        <v>767</v>
      </c>
      <c r="C471" s="36">
        <v>4301031360</v>
      </c>
      <c r="D471" s="639">
        <v>4607091384345</v>
      </c>
      <c r="E471" s="63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41"/>
      <c r="R471" s="641"/>
      <c r="S471" s="641"/>
      <c r="T471" s="64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hidden="1" x14ac:dyDescent="0.2">
      <c r="A472" s="633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0" t="s">
        <v>40</v>
      </c>
      <c r="Q472" s="631"/>
      <c r="R472" s="631"/>
      <c r="S472" s="631"/>
      <c r="T472" s="631"/>
      <c r="U472" s="631"/>
      <c r="V472" s="632"/>
      <c r="W472" s="42" t="s">
        <v>39</v>
      </c>
      <c r="X472" s="43">
        <f>IFERROR(X466/H466,"0")+IFERROR(X467/H467,"0")+IFERROR(X468/H468,"0")+IFERROR(X469/H469,"0")+IFERROR(X470/H470,"0")+IFERROR(X471/H471,"0")</f>
        <v>0</v>
      </c>
      <c r="Y472" s="43">
        <f>IFERROR(Y466/H466,"0")+IFERROR(Y467/H467,"0")+IFERROR(Y468/H468,"0")+IFERROR(Y469/H469,"0")+IFERROR(Y470/H470,"0")+IFERROR(Y471/H471,"0")</f>
        <v>0</v>
      </c>
      <c r="Z472" s="43">
        <f>IFERROR(IF(Z466="",0,Z466),"0")+IFERROR(IF(Z467="",0,Z467),"0")+IFERROR(IF(Z468="",0,Z468),"0")+IFERROR(IF(Z469="",0,Z469),"0")+IFERROR(IF(Z470="",0,Z470),"0")+IFERROR(IF(Z471="",0,Z471),"0")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0" t="s">
        <v>40</v>
      </c>
      <c r="Q473" s="631"/>
      <c r="R473" s="631"/>
      <c r="S473" s="631"/>
      <c r="T473" s="631"/>
      <c r="U473" s="631"/>
      <c r="V473" s="632"/>
      <c r="W473" s="42" t="s">
        <v>0</v>
      </c>
      <c r="X473" s="43">
        <f>IFERROR(SUM(X466:X471),"0")</f>
        <v>0</v>
      </c>
      <c r="Y473" s="43">
        <f>IFERROR(SUM(Y466:Y471),"0")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44" t="s">
        <v>83</v>
      </c>
      <c r="B474" s="644"/>
      <c r="C474" s="644"/>
      <c r="D474" s="644"/>
      <c r="E474" s="644"/>
      <c r="F474" s="644"/>
      <c r="G474" s="644"/>
      <c r="H474" s="644"/>
      <c r="I474" s="644"/>
      <c r="J474" s="644"/>
      <c r="K474" s="644"/>
      <c r="L474" s="644"/>
      <c r="M474" s="644"/>
      <c r="N474" s="644"/>
      <c r="O474" s="644"/>
      <c r="P474" s="644"/>
      <c r="Q474" s="644"/>
      <c r="R474" s="644"/>
      <c r="S474" s="644"/>
      <c r="T474" s="644"/>
      <c r="U474" s="644"/>
      <c r="V474" s="644"/>
      <c r="W474" s="644"/>
      <c r="X474" s="644"/>
      <c r="Y474" s="644"/>
      <c r="Z474" s="644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39">
        <v>4607091384352</v>
      </c>
      <c r="E475" s="639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41"/>
      <c r="R475" s="641"/>
      <c r="S475" s="641"/>
      <c r="T475" s="64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0" t="s">
        <v>40</v>
      </c>
      <c r="Q477" s="631"/>
      <c r="R477" s="631"/>
      <c r="S477" s="631"/>
      <c r="T477" s="631"/>
      <c r="U477" s="631"/>
      <c r="V477" s="632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43" t="s">
        <v>771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5"/>
      <c r="AB478" s="65"/>
      <c r="AC478" s="79"/>
    </row>
    <row r="479" spans="1:68" ht="14.25" hidden="1" customHeight="1" x14ac:dyDescent="0.25">
      <c r="A479" s="644" t="s">
        <v>154</v>
      </c>
      <c r="B479" s="644"/>
      <c r="C479" s="644"/>
      <c r="D479" s="644"/>
      <c r="E479" s="644"/>
      <c r="F479" s="644"/>
      <c r="G479" s="644"/>
      <c r="H479" s="644"/>
      <c r="I479" s="644"/>
      <c r="J479" s="644"/>
      <c r="K479" s="644"/>
      <c r="L479" s="644"/>
      <c r="M479" s="644"/>
      <c r="N479" s="644"/>
      <c r="O479" s="644"/>
      <c r="P479" s="644"/>
      <c r="Q479" s="644"/>
      <c r="R479" s="644"/>
      <c r="S479" s="644"/>
      <c r="T479" s="644"/>
      <c r="U479" s="644"/>
      <c r="V479" s="644"/>
      <c r="W479" s="644"/>
      <c r="X479" s="644"/>
      <c r="Y479" s="644"/>
      <c r="Z479" s="644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39">
        <v>4680115885240</v>
      </c>
      <c r="E480" s="639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6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41"/>
      <c r="R480" s="641"/>
      <c r="S480" s="641"/>
      <c r="T480" s="642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44" t="s">
        <v>77</v>
      </c>
      <c r="B483" s="644"/>
      <c r="C483" s="644"/>
      <c r="D483" s="644"/>
      <c r="E483" s="644"/>
      <c r="F483" s="644"/>
      <c r="G483" s="644"/>
      <c r="H483" s="644"/>
      <c r="I483" s="644"/>
      <c r="J483" s="644"/>
      <c r="K483" s="644"/>
      <c r="L483" s="644"/>
      <c r="M483" s="644"/>
      <c r="N483" s="644"/>
      <c r="O483" s="644"/>
      <c r="P483" s="644"/>
      <c r="Q483" s="644"/>
      <c r="R483" s="644"/>
      <c r="S483" s="644"/>
      <c r="T483" s="644"/>
      <c r="U483" s="644"/>
      <c r="V483" s="644"/>
      <c r="W483" s="644"/>
      <c r="X483" s="644"/>
      <c r="Y483" s="644"/>
      <c r="Z483" s="644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4301031407</v>
      </c>
      <c r="D484" s="639">
        <v>4680115886094</v>
      </c>
      <c r="E484" s="639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6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41"/>
      <c r="R484" s="641"/>
      <c r="S484" s="641"/>
      <c r="T484" s="64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39">
        <v>4680115880771</v>
      </c>
      <c r="E485" s="63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6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41"/>
      <c r="R485" s="641"/>
      <c r="S485" s="641"/>
      <c r="T485" s="642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39">
        <v>4607091389500</v>
      </c>
      <c r="E486" s="63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41"/>
      <c r="R486" s="641"/>
      <c r="S486" s="641"/>
      <c r="T486" s="642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33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0" t="s">
        <v>40</v>
      </c>
      <c r="Q487" s="631"/>
      <c r="R487" s="631"/>
      <c r="S487" s="631"/>
      <c r="T487" s="631"/>
      <c r="U487" s="631"/>
      <c r="V487" s="632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0" t="s">
        <v>40</v>
      </c>
      <c r="Q488" s="631"/>
      <c r="R488" s="631"/>
      <c r="S488" s="631"/>
      <c r="T488" s="631"/>
      <c r="U488" s="631"/>
      <c r="V488" s="632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hidden="1" customHeight="1" x14ac:dyDescent="0.2">
      <c r="A489" s="650" t="s">
        <v>783</v>
      </c>
      <c r="B489" s="650"/>
      <c r="C489" s="650"/>
      <c r="D489" s="650"/>
      <c r="E489" s="650"/>
      <c r="F489" s="650"/>
      <c r="G489" s="650"/>
      <c r="H489" s="650"/>
      <c r="I489" s="650"/>
      <c r="J489" s="650"/>
      <c r="K489" s="650"/>
      <c r="L489" s="650"/>
      <c r="M489" s="650"/>
      <c r="N489" s="650"/>
      <c r="O489" s="650"/>
      <c r="P489" s="650"/>
      <c r="Q489" s="650"/>
      <c r="R489" s="650"/>
      <c r="S489" s="650"/>
      <c r="T489" s="650"/>
      <c r="U489" s="650"/>
      <c r="V489" s="650"/>
      <c r="W489" s="650"/>
      <c r="X489" s="650"/>
      <c r="Y489" s="650"/>
      <c r="Z489" s="650"/>
      <c r="AA489" s="54"/>
      <c r="AB489" s="54"/>
      <c r="AC489" s="54"/>
    </row>
    <row r="490" spans="1:68" ht="16.5" hidden="1" customHeight="1" x14ac:dyDescent="0.25">
      <c r="A490" s="643" t="s">
        <v>783</v>
      </c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3"/>
      <c r="P490" s="643"/>
      <c r="Q490" s="643"/>
      <c r="R490" s="643"/>
      <c r="S490" s="643"/>
      <c r="T490" s="643"/>
      <c r="U490" s="643"/>
      <c r="V490" s="643"/>
      <c r="W490" s="643"/>
      <c r="X490" s="643"/>
      <c r="Y490" s="643"/>
      <c r="Z490" s="643"/>
      <c r="AA490" s="65"/>
      <c r="AB490" s="65"/>
      <c r="AC490" s="79"/>
    </row>
    <row r="491" spans="1:68" ht="14.25" hidden="1" customHeight="1" x14ac:dyDescent="0.25">
      <c r="A491" s="644" t="s">
        <v>119</v>
      </c>
      <c r="B491" s="644"/>
      <c r="C491" s="644"/>
      <c r="D491" s="644"/>
      <c r="E491" s="644"/>
      <c r="F491" s="644"/>
      <c r="G491" s="644"/>
      <c r="H491" s="644"/>
      <c r="I491" s="644"/>
      <c r="J491" s="644"/>
      <c r="K491" s="644"/>
      <c r="L491" s="644"/>
      <c r="M491" s="644"/>
      <c r="N491" s="644"/>
      <c r="O491" s="644"/>
      <c r="P491" s="644"/>
      <c r="Q491" s="644"/>
      <c r="R491" s="644"/>
      <c r="S491" s="644"/>
      <c r="T491" s="644"/>
      <c r="U491" s="644"/>
      <c r="V491" s="644"/>
      <c r="W491" s="644"/>
      <c r="X491" s="644"/>
      <c r="Y491" s="644"/>
      <c r="Z491" s="644"/>
      <c r="AA491" s="66"/>
      <c r="AB491" s="66"/>
      <c r="AC491" s="80"/>
    </row>
    <row r="492" spans="1:68" ht="27" customHeight="1" x14ac:dyDescent="0.25">
      <c r="A492" s="63" t="s">
        <v>784</v>
      </c>
      <c r="B492" s="63" t="s">
        <v>785</v>
      </c>
      <c r="C492" s="36">
        <v>4301011769</v>
      </c>
      <c r="D492" s="639">
        <v>4607091389067</v>
      </c>
      <c r="E492" s="639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6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41"/>
      <c r="R492" s="641"/>
      <c r="S492" s="641"/>
      <c r="T492" s="642"/>
      <c r="U492" s="39" t="s">
        <v>46</v>
      </c>
      <c r="V492" s="39" t="s">
        <v>46</v>
      </c>
      <c r="W492" s="40" t="s">
        <v>0</v>
      </c>
      <c r="X492" s="58">
        <v>50</v>
      </c>
      <c r="Y492" s="55">
        <f t="shared" ref="Y492:Y499" si="71">IFERROR(IF(X492="",0,CEILING((X492/$H492),1)*$H492),"")</f>
        <v>52.800000000000004</v>
      </c>
      <c r="Z492" s="41">
        <f>IFERROR(IF(Y492=0,"",ROUNDUP(Y492/H492,0)*0.01196),"")</f>
        <v>0.1196</v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53.314393939393938</v>
      </c>
      <c r="BN492" s="78">
        <f t="shared" ref="BN492:BN499" si="73">IFERROR(Y492*I492/H492,"0")</f>
        <v>56.3</v>
      </c>
      <c r="BO492" s="78">
        <f t="shared" ref="BO492:BO499" si="74">IFERROR(1/J492*(X492/H492),"0")</f>
        <v>9.1054778554778545E-2</v>
      </c>
      <c r="BP492" s="78">
        <f t="shared" ref="BP492:BP499" si="75">IFERROR(1/J492*(Y492/H492),"0")</f>
        <v>9.6153846153846159E-2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39">
        <v>4680115889576</v>
      </c>
      <c r="E493" s="639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6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41"/>
      <c r="R493" s="641"/>
      <c r="S493" s="641"/>
      <c r="T493" s="642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39">
        <v>4680115885271</v>
      </c>
      <c r="E494" s="639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6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41"/>
      <c r="R494" s="641"/>
      <c r="S494" s="641"/>
      <c r="T494" s="642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customHeight="1" x14ac:dyDescent="0.25">
      <c r="A495" s="63" t="s">
        <v>792</v>
      </c>
      <c r="B495" s="63" t="s">
        <v>793</v>
      </c>
      <c r="C495" s="36">
        <v>4301011369</v>
      </c>
      <c r="D495" s="639">
        <v>4680115885226</v>
      </c>
      <c r="E495" s="63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66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41"/>
      <c r="R495" s="641"/>
      <c r="S495" s="641"/>
      <c r="T495" s="642"/>
      <c r="U495" s="39" t="s">
        <v>46</v>
      </c>
      <c r="V495" s="39" t="s">
        <v>46</v>
      </c>
      <c r="W495" s="40" t="s">
        <v>0</v>
      </c>
      <c r="X495" s="58">
        <v>50</v>
      </c>
      <c r="Y495" s="55">
        <f t="shared" si="71"/>
        <v>52.800000000000004</v>
      </c>
      <c r="Z495" s="41">
        <f>IFERROR(IF(Y495=0,"",ROUNDUP(Y495/H495,0)*0.01196),"")</f>
        <v>0.1196</v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53.314393939393938</v>
      </c>
      <c r="BN495" s="78">
        <f t="shared" si="73"/>
        <v>56.3</v>
      </c>
      <c r="BO495" s="78">
        <f t="shared" si="74"/>
        <v>9.1054778554778545E-2</v>
      </c>
      <c r="BP495" s="78">
        <f t="shared" si="75"/>
        <v>9.6153846153846159E-2</v>
      </c>
    </row>
    <row r="496" spans="1:68" ht="27" customHeight="1" x14ac:dyDescent="0.25">
      <c r="A496" s="63" t="s">
        <v>795</v>
      </c>
      <c r="B496" s="63" t="s">
        <v>796</v>
      </c>
      <c r="C496" s="36">
        <v>4301011771</v>
      </c>
      <c r="D496" s="639">
        <v>4607091389104</v>
      </c>
      <c r="E496" s="63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6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41"/>
      <c r="R496" s="641"/>
      <c r="S496" s="641"/>
      <c r="T496" s="642"/>
      <c r="U496" s="39" t="s">
        <v>46</v>
      </c>
      <c r="V496" s="39" t="s">
        <v>46</v>
      </c>
      <c r="W496" s="40" t="s">
        <v>0</v>
      </c>
      <c r="X496" s="58">
        <v>300</v>
      </c>
      <c r="Y496" s="55">
        <f t="shared" si="71"/>
        <v>300.96000000000004</v>
      </c>
      <c r="Z496" s="41">
        <f>IFERROR(IF(Y496=0,"",ROUNDUP(Y496/H496,0)*0.01196),"")</f>
        <v>0.68171999999999999</v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319.88636363636363</v>
      </c>
      <c r="BN496" s="78">
        <f t="shared" si="73"/>
        <v>320.91000000000003</v>
      </c>
      <c r="BO496" s="78">
        <f t="shared" si="74"/>
        <v>0.54632867132867136</v>
      </c>
      <c r="BP496" s="78">
        <f t="shared" si="75"/>
        <v>0.54807692307692313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39">
        <v>4680115886391</v>
      </c>
      <c r="E497" s="639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6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41"/>
      <c r="R497" s="641"/>
      <c r="S497" s="641"/>
      <c r="T497" s="64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4301012048</v>
      </c>
      <c r="D498" s="639">
        <v>4680115880603</v>
      </c>
      <c r="E498" s="639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66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41"/>
      <c r="R498" s="641"/>
      <c r="S498" s="641"/>
      <c r="T498" s="642"/>
      <c r="U498" s="39" t="s">
        <v>46</v>
      </c>
      <c r="V498" s="39" t="s">
        <v>46</v>
      </c>
      <c r="W498" s="40" t="s">
        <v>0</v>
      </c>
      <c r="X498" s="58">
        <v>60</v>
      </c>
      <c r="Y498" s="55">
        <f t="shared" si="71"/>
        <v>62.4</v>
      </c>
      <c r="Z498" s="41">
        <f>IFERROR(IF(Y498=0,"",ROUNDUP(Y498/H498,0)*0.00902),"")</f>
        <v>0.11726</v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86.375000000000014</v>
      </c>
      <c r="BN498" s="78">
        <f t="shared" si="73"/>
        <v>89.830000000000013</v>
      </c>
      <c r="BO498" s="78">
        <f t="shared" si="74"/>
        <v>9.4696969696969696E-2</v>
      </c>
      <c r="BP498" s="78">
        <f t="shared" si="75"/>
        <v>9.8484848484848481E-2</v>
      </c>
    </row>
    <row r="499" spans="1:68" ht="27" customHeight="1" x14ac:dyDescent="0.25">
      <c r="A499" s="63" t="s">
        <v>802</v>
      </c>
      <c r="B499" s="63" t="s">
        <v>803</v>
      </c>
      <c r="C499" s="36">
        <v>4301012034</v>
      </c>
      <c r="D499" s="639">
        <v>4607091389982</v>
      </c>
      <c r="E499" s="639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6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41"/>
      <c r="R499" s="641"/>
      <c r="S499" s="641"/>
      <c r="T499" s="642"/>
      <c r="U499" s="39" t="s">
        <v>46</v>
      </c>
      <c r="V499" s="39" t="s">
        <v>46</v>
      </c>
      <c r="W499" s="40" t="s">
        <v>0</v>
      </c>
      <c r="X499" s="58">
        <v>330</v>
      </c>
      <c r="Y499" s="55">
        <f t="shared" si="71"/>
        <v>331.2</v>
      </c>
      <c r="Z499" s="41">
        <f>IFERROR(IF(Y499=0,"",ROUNDUP(Y499/H499,0)*0.00902),"")</f>
        <v>0.62238000000000004</v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475.06250000000006</v>
      </c>
      <c r="BN499" s="78">
        <f t="shared" si="73"/>
        <v>476.79</v>
      </c>
      <c r="BO499" s="78">
        <f t="shared" si="74"/>
        <v>0.52083333333333337</v>
      </c>
      <c r="BP499" s="78">
        <f t="shared" si="75"/>
        <v>0.52272727272727271</v>
      </c>
    </row>
    <row r="500" spans="1:68" x14ac:dyDescent="0.2">
      <c r="A500" s="633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0" t="s">
        <v>40</v>
      </c>
      <c r="Q500" s="631"/>
      <c r="R500" s="631"/>
      <c r="S500" s="631"/>
      <c r="T500" s="631"/>
      <c r="U500" s="631"/>
      <c r="V500" s="632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157.00757575757575</v>
      </c>
      <c r="Y500" s="43">
        <f>IFERROR(Y492/H492,"0")+IFERROR(Y493/H493,"0")+IFERROR(Y494/H494,"0")+IFERROR(Y495/H495,"0")+IFERROR(Y496/H496,"0")+IFERROR(Y497/H497,"0")+IFERROR(Y498/H498,"0")+IFERROR(Y499/H499,"0")</f>
        <v>159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1.6605599999999998</v>
      </c>
      <c r="AA500" s="67"/>
      <c r="AB500" s="67"/>
      <c r="AC500" s="67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0" t="s">
        <v>40</v>
      </c>
      <c r="Q501" s="631"/>
      <c r="R501" s="631"/>
      <c r="S501" s="631"/>
      <c r="T501" s="631"/>
      <c r="U501" s="631"/>
      <c r="V501" s="632"/>
      <c r="W501" s="42" t="s">
        <v>0</v>
      </c>
      <c r="X501" s="43">
        <f>IFERROR(SUM(X492:X499),"0")</f>
        <v>790</v>
      </c>
      <c r="Y501" s="43">
        <f>IFERROR(SUM(Y492:Y499),"0")</f>
        <v>800.16000000000008</v>
      </c>
      <c r="Z501" s="42"/>
      <c r="AA501" s="67"/>
      <c r="AB501" s="67"/>
      <c r="AC501" s="67"/>
    </row>
    <row r="502" spans="1:68" ht="14.25" hidden="1" customHeight="1" x14ac:dyDescent="0.25">
      <c r="A502" s="644" t="s">
        <v>154</v>
      </c>
      <c r="B502" s="644"/>
      <c r="C502" s="644"/>
      <c r="D502" s="644"/>
      <c r="E502" s="644"/>
      <c r="F502" s="644"/>
      <c r="G502" s="644"/>
      <c r="H502" s="644"/>
      <c r="I502" s="644"/>
      <c r="J502" s="644"/>
      <c r="K502" s="644"/>
      <c r="L502" s="644"/>
      <c r="M502" s="644"/>
      <c r="N502" s="644"/>
      <c r="O502" s="644"/>
      <c r="P502" s="644"/>
      <c r="Q502" s="644"/>
      <c r="R502" s="644"/>
      <c r="S502" s="644"/>
      <c r="T502" s="644"/>
      <c r="U502" s="644"/>
      <c r="V502" s="644"/>
      <c r="W502" s="644"/>
      <c r="X502" s="644"/>
      <c r="Y502" s="644"/>
      <c r="Z502" s="644"/>
      <c r="AA502" s="66"/>
      <c r="AB502" s="66"/>
      <c r="AC502" s="80"/>
    </row>
    <row r="503" spans="1:68" ht="16.5" hidden="1" customHeight="1" x14ac:dyDescent="0.25">
      <c r="A503" s="63" t="s">
        <v>804</v>
      </c>
      <c r="B503" s="63" t="s">
        <v>805</v>
      </c>
      <c r="C503" s="36">
        <v>4301020334</v>
      </c>
      <c r="D503" s="639">
        <v>4607091388930</v>
      </c>
      <c r="E503" s="63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6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41"/>
      <c r="R503" s="641"/>
      <c r="S503" s="641"/>
      <c r="T503" s="642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IFERROR(IF(Y503=0,"",ROUNDUP(Y503/H503,0)*0.01196),"")</f>
        <v/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39">
        <v>4680115886407</v>
      </c>
      <c r="E504" s="639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6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41"/>
      <c r="R504" s="641"/>
      <c r="S504" s="641"/>
      <c r="T504" s="642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customHeight="1" x14ac:dyDescent="0.25">
      <c r="A505" s="63" t="s">
        <v>809</v>
      </c>
      <c r="B505" s="63" t="s">
        <v>810</v>
      </c>
      <c r="C505" s="36">
        <v>4301020385</v>
      </c>
      <c r="D505" s="639">
        <v>4680115880054</v>
      </c>
      <c r="E505" s="639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6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41"/>
      <c r="R505" s="641"/>
      <c r="S505" s="641"/>
      <c r="T505" s="642"/>
      <c r="U505" s="39" t="s">
        <v>46</v>
      </c>
      <c r="V505" s="39" t="s">
        <v>46</v>
      </c>
      <c r="W505" s="40" t="s">
        <v>0</v>
      </c>
      <c r="X505" s="58">
        <v>210</v>
      </c>
      <c r="Y505" s="55">
        <f>IFERROR(IF(X505="",0,CEILING((X505/$H505),1)*$H505),"")</f>
        <v>211.2</v>
      </c>
      <c r="Z505" s="41">
        <f>IFERROR(IF(Y505=0,"",ROUNDUP(Y505/H505,0)*0.00902),"")</f>
        <v>0.39688000000000001</v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302.31250000000006</v>
      </c>
      <c r="BN505" s="78">
        <f>IFERROR(Y505*I505/H505,"0")</f>
        <v>304.04000000000002</v>
      </c>
      <c r="BO505" s="78">
        <f>IFERROR(1/J505*(X505/H505),"0")</f>
        <v>0.33143939393939392</v>
      </c>
      <c r="BP505" s="78">
        <f>IFERROR(1/J505*(Y505/H505),"0")</f>
        <v>0.33333333333333337</v>
      </c>
    </row>
    <row r="506" spans="1:68" x14ac:dyDescent="0.2">
      <c r="A506" s="633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0" t="s">
        <v>40</v>
      </c>
      <c r="Q506" s="631"/>
      <c r="R506" s="631"/>
      <c r="S506" s="631"/>
      <c r="T506" s="631"/>
      <c r="U506" s="631"/>
      <c r="V506" s="632"/>
      <c r="W506" s="42" t="s">
        <v>39</v>
      </c>
      <c r="X506" s="43">
        <f>IFERROR(X503/H503,"0")+IFERROR(X504/H504,"0")+IFERROR(X505/H505,"0")</f>
        <v>43.75</v>
      </c>
      <c r="Y506" s="43">
        <f>IFERROR(Y503/H503,"0")+IFERROR(Y504/H504,"0")+IFERROR(Y505/H505,"0")</f>
        <v>44</v>
      </c>
      <c r="Z506" s="43">
        <f>IFERROR(IF(Z503="",0,Z503),"0")+IFERROR(IF(Z504="",0,Z504),"0")+IFERROR(IF(Z505="",0,Z505),"0")</f>
        <v>0.39688000000000001</v>
      </c>
      <c r="AA506" s="67"/>
      <c r="AB506" s="67"/>
      <c r="AC506" s="67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0" t="s">
        <v>40</v>
      </c>
      <c r="Q507" s="631"/>
      <c r="R507" s="631"/>
      <c r="S507" s="631"/>
      <c r="T507" s="631"/>
      <c r="U507" s="631"/>
      <c r="V507" s="632"/>
      <c r="W507" s="42" t="s">
        <v>0</v>
      </c>
      <c r="X507" s="43">
        <f>IFERROR(SUM(X503:X505),"0")</f>
        <v>210</v>
      </c>
      <c r="Y507" s="43">
        <f>IFERROR(SUM(Y503:Y505),"0")</f>
        <v>211.2</v>
      </c>
      <c r="Z507" s="42"/>
      <c r="AA507" s="67"/>
      <c r="AB507" s="67"/>
      <c r="AC507" s="67"/>
    </row>
    <row r="508" spans="1:68" ht="14.25" hidden="1" customHeight="1" x14ac:dyDescent="0.25">
      <c r="A508" s="644" t="s">
        <v>77</v>
      </c>
      <c r="B508" s="644"/>
      <c r="C508" s="644"/>
      <c r="D508" s="644"/>
      <c r="E508" s="644"/>
      <c r="F508" s="644"/>
      <c r="G508" s="644"/>
      <c r="H508" s="644"/>
      <c r="I508" s="644"/>
      <c r="J508" s="644"/>
      <c r="K508" s="644"/>
      <c r="L508" s="644"/>
      <c r="M508" s="644"/>
      <c r="N508" s="644"/>
      <c r="O508" s="644"/>
      <c r="P508" s="644"/>
      <c r="Q508" s="644"/>
      <c r="R508" s="644"/>
      <c r="S508" s="644"/>
      <c r="T508" s="644"/>
      <c r="U508" s="644"/>
      <c r="V508" s="644"/>
      <c r="W508" s="644"/>
      <c r="X508" s="644"/>
      <c r="Y508" s="644"/>
      <c r="Z508" s="644"/>
      <c r="AA508" s="66"/>
      <c r="AB508" s="66"/>
      <c r="AC508" s="80"/>
    </row>
    <row r="509" spans="1:68" ht="27" hidden="1" customHeight="1" x14ac:dyDescent="0.25">
      <c r="A509" s="63" t="s">
        <v>811</v>
      </c>
      <c r="B509" s="63" t="s">
        <v>812</v>
      </c>
      <c r="C509" s="36">
        <v>4301031349</v>
      </c>
      <c r="D509" s="639">
        <v>4680115883116</v>
      </c>
      <c r="E509" s="63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65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41"/>
      <c r="R509" s="641"/>
      <c r="S509" s="641"/>
      <c r="T509" s="64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customHeight="1" x14ac:dyDescent="0.25">
      <c r="A510" s="63" t="s">
        <v>814</v>
      </c>
      <c r="B510" s="63" t="s">
        <v>815</v>
      </c>
      <c r="C510" s="36">
        <v>4301031350</v>
      </c>
      <c r="D510" s="639">
        <v>4680115883093</v>
      </c>
      <c r="E510" s="63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65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41"/>
      <c r="R510" s="641"/>
      <c r="S510" s="641"/>
      <c r="T510" s="642"/>
      <c r="U510" s="39" t="s">
        <v>46</v>
      </c>
      <c r="V510" s="39" t="s">
        <v>46</v>
      </c>
      <c r="W510" s="40" t="s">
        <v>0</v>
      </c>
      <c r="X510" s="58">
        <v>50</v>
      </c>
      <c r="Y510" s="55">
        <f t="shared" si="76"/>
        <v>52.800000000000004</v>
      </c>
      <c r="Z510" s="41">
        <f>IFERROR(IF(Y510=0,"",ROUNDUP(Y510/H510,0)*0.01196),"")</f>
        <v>0.1196</v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53.314393939393938</v>
      </c>
      <c r="BN510" s="78">
        <f t="shared" si="78"/>
        <v>56.3</v>
      </c>
      <c r="BO510" s="78">
        <f t="shared" si="79"/>
        <v>9.1054778554778545E-2</v>
      </c>
      <c r="BP510" s="78">
        <f t="shared" si="80"/>
        <v>9.6153846153846159E-2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39">
        <v>4680115883109</v>
      </c>
      <c r="E511" s="63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6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41"/>
      <c r="R511" s="641"/>
      <c r="S511" s="641"/>
      <c r="T511" s="642"/>
      <c r="U511" s="39" t="s">
        <v>46</v>
      </c>
      <c r="V511" s="39" t="s">
        <v>46</v>
      </c>
      <c r="W511" s="40" t="s">
        <v>0</v>
      </c>
      <c r="X511" s="58">
        <v>250</v>
      </c>
      <c r="Y511" s="55">
        <f t="shared" si="76"/>
        <v>253.44</v>
      </c>
      <c r="Z511" s="41">
        <f>IFERROR(IF(Y511=0,"",ROUNDUP(Y511/H511,0)*0.01196),"")</f>
        <v>0.57408000000000003</v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266.57196969696969</v>
      </c>
      <c r="BN511" s="78">
        <f t="shared" si="78"/>
        <v>270.23999999999995</v>
      </c>
      <c r="BO511" s="78">
        <f t="shared" si="79"/>
        <v>0.45527389277389274</v>
      </c>
      <c r="BP511" s="78">
        <f t="shared" si="80"/>
        <v>0.46153846153846156</v>
      </c>
    </row>
    <row r="512" spans="1:68" ht="27" customHeight="1" x14ac:dyDescent="0.25">
      <c r="A512" s="63" t="s">
        <v>820</v>
      </c>
      <c r="B512" s="63" t="s">
        <v>821</v>
      </c>
      <c r="C512" s="36">
        <v>4301031419</v>
      </c>
      <c r="D512" s="639">
        <v>4680115882072</v>
      </c>
      <c r="E512" s="639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65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41"/>
      <c r="R512" s="641"/>
      <c r="S512" s="641"/>
      <c r="T512" s="642"/>
      <c r="U512" s="39" t="s">
        <v>46</v>
      </c>
      <c r="V512" s="39" t="s">
        <v>46</v>
      </c>
      <c r="W512" s="40" t="s">
        <v>0</v>
      </c>
      <c r="X512" s="58">
        <v>42</v>
      </c>
      <c r="Y512" s="55">
        <f t="shared" si="76"/>
        <v>43.199999999999996</v>
      </c>
      <c r="Z512" s="41">
        <f>IFERROR(IF(Y512=0,"",ROUNDUP(Y512/H512,0)*0.00902),"")</f>
        <v>8.1180000000000002E-2</v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60.462500000000006</v>
      </c>
      <c r="BN512" s="78">
        <f t="shared" si="78"/>
        <v>62.190000000000005</v>
      </c>
      <c r="BO512" s="78">
        <f t="shared" si="79"/>
        <v>6.6287878787878785E-2</v>
      </c>
      <c r="BP512" s="78">
        <f t="shared" si="80"/>
        <v>6.8181818181818177E-2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39">
        <v>4680115882102</v>
      </c>
      <c r="E513" s="639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6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41"/>
      <c r="R513" s="641"/>
      <c r="S513" s="641"/>
      <c r="T513" s="64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customHeight="1" x14ac:dyDescent="0.25">
      <c r="A514" s="63" t="s">
        <v>822</v>
      </c>
      <c r="B514" s="63" t="s">
        <v>824</v>
      </c>
      <c r="C514" s="36">
        <v>4301031418</v>
      </c>
      <c r="D514" s="639">
        <v>4680115882102</v>
      </c>
      <c r="E514" s="639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6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41"/>
      <c r="R514" s="641"/>
      <c r="S514" s="641"/>
      <c r="T514" s="642"/>
      <c r="U514" s="39" t="s">
        <v>46</v>
      </c>
      <c r="V514" s="39" t="s">
        <v>46</v>
      </c>
      <c r="W514" s="40" t="s">
        <v>0</v>
      </c>
      <c r="X514" s="58">
        <v>30</v>
      </c>
      <c r="Y514" s="55">
        <f t="shared" si="76"/>
        <v>33.6</v>
      </c>
      <c r="Z514" s="41">
        <f>IFERROR(IF(Y514=0,"",ROUNDUP(Y514/H514,0)*0.00902),"")</f>
        <v>6.3140000000000002E-2</v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41.6875</v>
      </c>
      <c r="BN514" s="78">
        <f t="shared" si="78"/>
        <v>46.69</v>
      </c>
      <c r="BO514" s="78">
        <f t="shared" si="79"/>
        <v>4.7348484848484848E-2</v>
      </c>
      <c r="BP514" s="78">
        <f t="shared" si="80"/>
        <v>5.3030303030303039E-2</v>
      </c>
    </row>
    <row r="515" spans="1:68" ht="27" customHeight="1" x14ac:dyDescent="0.25">
      <c r="A515" s="63" t="s">
        <v>825</v>
      </c>
      <c r="B515" s="63" t="s">
        <v>826</v>
      </c>
      <c r="C515" s="36">
        <v>4301031417</v>
      </c>
      <c r="D515" s="639">
        <v>4680115882096</v>
      </c>
      <c r="E515" s="639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6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41"/>
      <c r="R515" s="641"/>
      <c r="S515" s="641"/>
      <c r="T515" s="642"/>
      <c r="U515" s="39" t="s">
        <v>46</v>
      </c>
      <c r="V515" s="39" t="s">
        <v>46</v>
      </c>
      <c r="W515" s="40" t="s">
        <v>0</v>
      </c>
      <c r="X515" s="58">
        <v>210</v>
      </c>
      <c r="Y515" s="55">
        <f t="shared" si="76"/>
        <v>211.2</v>
      </c>
      <c r="Z515" s="41">
        <f>IFERROR(IF(Y515=0,"",ROUNDUP(Y515/H515,0)*0.00902),"")</f>
        <v>0.39688000000000001</v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291.8125</v>
      </c>
      <c r="BN515" s="78">
        <f t="shared" si="78"/>
        <v>293.48</v>
      </c>
      <c r="BO515" s="78">
        <f t="shared" si="79"/>
        <v>0.33143939393939392</v>
      </c>
      <c r="BP515" s="78">
        <f t="shared" si="80"/>
        <v>0.33333333333333337</v>
      </c>
    </row>
    <row r="516" spans="1:68" x14ac:dyDescent="0.2">
      <c r="A516" s="633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0" t="s">
        <v>40</v>
      </c>
      <c r="Q516" s="631"/>
      <c r="R516" s="631"/>
      <c r="S516" s="631"/>
      <c r="T516" s="631"/>
      <c r="U516" s="631"/>
      <c r="V516" s="632"/>
      <c r="W516" s="42" t="s">
        <v>39</v>
      </c>
      <c r="X516" s="43">
        <f>IFERROR(X509/H509,"0")+IFERROR(X510/H510,"0")+IFERROR(X511/H511,"0")+IFERROR(X512/H512,"0")+IFERROR(X513/H513,"0")+IFERROR(X514/H514,"0")+IFERROR(X515/H515,"0")</f>
        <v>115.56818181818181</v>
      </c>
      <c r="Y516" s="43">
        <f>IFERROR(Y509/H509,"0")+IFERROR(Y510/H510,"0")+IFERROR(Y511/H511,"0")+IFERROR(Y512/H512,"0")+IFERROR(Y513/H513,"0")+IFERROR(Y514/H514,"0")+IFERROR(Y515/H515,"0")</f>
        <v>118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1.23488</v>
      </c>
      <c r="AA516" s="67"/>
      <c r="AB516" s="67"/>
      <c r="AC516" s="67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0" t="s">
        <v>40</v>
      </c>
      <c r="Q517" s="631"/>
      <c r="R517" s="631"/>
      <c r="S517" s="631"/>
      <c r="T517" s="631"/>
      <c r="U517" s="631"/>
      <c r="V517" s="632"/>
      <c r="W517" s="42" t="s">
        <v>0</v>
      </c>
      <c r="X517" s="43">
        <f>IFERROR(SUM(X509:X515),"0")</f>
        <v>582</v>
      </c>
      <c r="Y517" s="43">
        <f>IFERROR(SUM(Y509:Y515),"0")</f>
        <v>594.24</v>
      </c>
      <c r="Z517" s="42"/>
      <c r="AA517" s="67"/>
      <c r="AB517" s="67"/>
      <c r="AC517" s="67"/>
    </row>
    <row r="518" spans="1:68" ht="27.75" hidden="1" customHeight="1" x14ac:dyDescent="0.2">
      <c r="A518" s="650" t="s">
        <v>827</v>
      </c>
      <c r="B518" s="650"/>
      <c r="C518" s="650"/>
      <c r="D518" s="650"/>
      <c r="E518" s="650"/>
      <c r="F518" s="650"/>
      <c r="G518" s="650"/>
      <c r="H518" s="650"/>
      <c r="I518" s="650"/>
      <c r="J518" s="650"/>
      <c r="K518" s="650"/>
      <c r="L518" s="650"/>
      <c r="M518" s="650"/>
      <c r="N518" s="650"/>
      <c r="O518" s="650"/>
      <c r="P518" s="650"/>
      <c r="Q518" s="650"/>
      <c r="R518" s="650"/>
      <c r="S518" s="650"/>
      <c r="T518" s="650"/>
      <c r="U518" s="650"/>
      <c r="V518" s="650"/>
      <c r="W518" s="650"/>
      <c r="X518" s="650"/>
      <c r="Y518" s="650"/>
      <c r="Z518" s="650"/>
      <c r="AA518" s="54"/>
      <c r="AB518" s="54"/>
      <c r="AC518" s="54"/>
    </row>
    <row r="519" spans="1:68" ht="16.5" hidden="1" customHeight="1" x14ac:dyDescent="0.25">
      <c r="A519" s="643" t="s">
        <v>827</v>
      </c>
      <c r="B519" s="643"/>
      <c r="C519" s="643"/>
      <c r="D519" s="643"/>
      <c r="E519" s="643"/>
      <c r="F519" s="643"/>
      <c r="G519" s="643"/>
      <c r="H519" s="643"/>
      <c r="I519" s="643"/>
      <c r="J519" s="643"/>
      <c r="K519" s="643"/>
      <c r="L519" s="643"/>
      <c r="M519" s="643"/>
      <c r="N519" s="643"/>
      <c r="O519" s="643"/>
      <c r="P519" s="643"/>
      <c r="Q519" s="643"/>
      <c r="R519" s="643"/>
      <c r="S519" s="643"/>
      <c r="T519" s="643"/>
      <c r="U519" s="643"/>
      <c r="V519" s="643"/>
      <c r="W519" s="643"/>
      <c r="X519" s="643"/>
      <c r="Y519" s="643"/>
      <c r="Z519" s="643"/>
      <c r="AA519" s="65"/>
      <c r="AB519" s="65"/>
      <c r="AC519" s="79"/>
    </row>
    <row r="520" spans="1:68" ht="14.25" hidden="1" customHeight="1" x14ac:dyDescent="0.25">
      <c r="A520" s="644" t="s">
        <v>119</v>
      </c>
      <c r="B520" s="644"/>
      <c r="C520" s="644"/>
      <c r="D520" s="644"/>
      <c r="E520" s="644"/>
      <c r="F520" s="644"/>
      <c r="G520" s="644"/>
      <c r="H520" s="644"/>
      <c r="I520" s="644"/>
      <c r="J520" s="644"/>
      <c r="K520" s="644"/>
      <c r="L520" s="644"/>
      <c r="M520" s="644"/>
      <c r="N520" s="644"/>
      <c r="O520" s="644"/>
      <c r="P520" s="644"/>
      <c r="Q520" s="644"/>
      <c r="R520" s="644"/>
      <c r="S520" s="644"/>
      <c r="T520" s="644"/>
      <c r="U520" s="644"/>
      <c r="V520" s="644"/>
      <c r="W520" s="644"/>
      <c r="X520" s="644"/>
      <c r="Y520" s="644"/>
      <c r="Z520" s="644"/>
      <c r="AA520" s="66"/>
      <c r="AB520" s="66"/>
      <c r="AC520" s="80"/>
    </row>
    <row r="521" spans="1:68" ht="27" customHeight="1" x14ac:dyDescent="0.25">
      <c r="A521" s="63" t="s">
        <v>828</v>
      </c>
      <c r="B521" s="63" t="s">
        <v>829</v>
      </c>
      <c r="C521" s="36">
        <v>4301012386</v>
      </c>
      <c r="D521" s="639">
        <v>4680115889736</v>
      </c>
      <c r="E521" s="639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65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41"/>
      <c r="R521" s="641"/>
      <c r="S521" s="641"/>
      <c r="T521" s="642"/>
      <c r="U521" s="39" t="s">
        <v>46</v>
      </c>
      <c r="V521" s="39" t="s">
        <v>46</v>
      </c>
      <c r="W521" s="40" t="s">
        <v>0</v>
      </c>
      <c r="X521" s="58">
        <v>60</v>
      </c>
      <c r="Y521" s="55">
        <f>IFERROR(IF(X521="",0,CEILING((X521/$H521),1)*$H521),"")</f>
        <v>60</v>
      </c>
      <c r="Z521" s="41">
        <f>IFERROR(IF(Y521=0,"",ROUNDUP(Y521/H521,0)*0.01898),"")</f>
        <v>9.4899999999999998E-2</v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62.050000000000004</v>
      </c>
      <c r="BN521" s="78">
        <f>IFERROR(Y521*I521/H521,"0")</f>
        <v>62.050000000000004</v>
      </c>
      <c r="BO521" s="78">
        <f>IFERROR(1/J521*(X521/H521),"0")</f>
        <v>7.8125E-2</v>
      </c>
      <c r="BP521" s="78">
        <f>IFERROR(1/J521*(Y521/H521),"0")</f>
        <v>7.8125E-2</v>
      </c>
    </row>
    <row r="522" spans="1:68" x14ac:dyDescent="0.2">
      <c r="A522" s="633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0" t="s">
        <v>40</v>
      </c>
      <c r="Q522" s="631"/>
      <c r="R522" s="631"/>
      <c r="S522" s="631"/>
      <c r="T522" s="631"/>
      <c r="U522" s="631"/>
      <c r="V522" s="632"/>
      <c r="W522" s="42" t="s">
        <v>39</v>
      </c>
      <c r="X522" s="43">
        <f>IFERROR(X521/H521,"0")</f>
        <v>5</v>
      </c>
      <c r="Y522" s="43">
        <f>IFERROR(Y521/H521,"0")</f>
        <v>5</v>
      </c>
      <c r="Z522" s="43">
        <f>IFERROR(IF(Z521="",0,Z521),"0")</f>
        <v>9.4899999999999998E-2</v>
      </c>
      <c r="AA522" s="67"/>
      <c r="AB522" s="67"/>
      <c r="AC522" s="67"/>
    </row>
    <row r="523" spans="1:68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0" t="s">
        <v>40</v>
      </c>
      <c r="Q523" s="631"/>
      <c r="R523" s="631"/>
      <c r="S523" s="631"/>
      <c r="T523" s="631"/>
      <c r="U523" s="631"/>
      <c r="V523" s="632"/>
      <c r="W523" s="42" t="s">
        <v>0</v>
      </c>
      <c r="X523" s="43">
        <f>IFERROR(SUM(X521:X521),"0")</f>
        <v>60</v>
      </c>
      <c r="Y523" s="43">
        <f>IFERROR(SUM(Y521:Y521),"0")</f>
        <v>60</v>
      </c>
      <c r="Z523" s="42"/>
      <c r="AA523" s="67"/>
      <c r="AB523" s="67"/>
      <c r="AC523" s="67"/>
    </row>
    <row r="524" spans="1:68" ht="14.25" hidden="1" customHeight="1" x14ac:dyDescent="0.25">
      <c r="A524" s="644" t="s">
        <v>154</v>
      </c>
      <c r="B524" s="644"/>
      <c r="C524" s="644"/>
      <c r="D524" s="644"/>
      <c r="E524" s="644"/>
      <c r="F524" s="644"/>
      <c r="G524" s="644"/>
      <c r="H524" s="644"/>
      <c r="I524" s="644"/>
      <c r="J524" s="644"/>
      <c r="K524" s="644"/>
      <c r="L524" s="644"/>
      <c r="M524" s="644"/>
      <c r="N524" s="644"/>
      <c r="O524" s="644"/>
      <c r="P524" s="644"/>
      <c r="Q524" s="644"/>
      <c r="R524" s="644"/>
      <c r="S524" s="644"/>
      <c r="T524" s="644"/>
      <c r="U524" s="644"/>
      <c r="V524" s="644"/>
      <c r="W524" s="644"/>
      <c r="X524" s="644"/>
      <c r="Y524" s="644"/>
      <c r="Z524" s="644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39">
        <v>4680115889781</v>
      </c>
      <c r="E525" s="639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64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41"/>
      <c r="R525" s="641"/>
      <c r="S525" s="641"/>
      <c r="T525" s="64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633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0" t="s">
        <v>40</v>
      </c>
      <c r="Q526" s="631"/>
      <c r="R526" s="631"/>
      <c r="S526" s="631"/>
      <c r="T526" s="631"/>
      <c r="U526" s="631"/>
      <c r="V526" s="632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0" t="s">
        <v>40</v>
      </c>
      <c r="Q527" s="631"/>
      <c r="R527" s="631"/>
      <c r="S527" s="631"/>
      <c r="T527" s="631"/>
      <c r="U527" s="631"/>
      <c r="V527" s="632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44" t="s">
        <v>77</v>
      </c>
      <c r="B528" s="644"/>
      <c r="C528" s="644"/>
      <c r="D528" s="644"/>
      <c r="E528" s="644"/>
      <c r="F528" s="644"/>
      <c r="G528" s="644"/>
      <c r="H528" s="644"/>
      <c r="I528" s="644"/>
      <c r="J528" s="644"/>
      <c r="K528" s="644"/>
      <c r="L528" s="644"/>
      <c r="M528" s="644"/>
      <c r="N528" s="644"/>
      <c r="O528" s="644"/>
      <c r="P528" s="644"/>
      <c r="Q528" s="644"/>
      <c r="R528" s="644"/>
      <c r="S528" s="644"/>
      <c r="T528" s="644"/>
      <c r="U528" s="644"/>
      <c r="V528" s="644"/>
      <c r="W528" s="644"/>
      <c r="X528" s="644"/>
      <c r="Y528" s="644"/>
      <c r="Z528" s="644"/>
      <c r="AA528" s="66"/>
      <c r="AB528" s="66"/>
      <c r="AC528" s="80"/>
    </row>
    <row r="529" spans="1:68" ht="27" hidden="1" customHeight="1" x14ac:dyDescent="0.25">
      <c r="A529" s="63" t="s">
        <v>833</v>
      </c>
      <c r="B529" s="63" t="s">
        <v>834</v>
      </c>
      <c r="C529" s="36">
        <v>4301031523</v>
      </c>
      <c r="D529" s="639">
        <v>4680115889774</v>
      </c>
      <c r="E529" s="639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64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41"/>
      <c r="R529" s="641"/>
      <c r="S529" s="641"/>
      <c r="T529" s="64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33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0" t="s">
        <v>40</v>
      </c>
      <c r="Q530" s="631"/>
      <c r="R530" s="631"/>
      <c r="S530" s="631"/>
      <c r="T530" s="631"/>
      <c r="U530" s="631"/>
      <c r="V530" s="632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0" t="s">
        <v>40</v>
      </c>
      <c r="Q531" s="631"/>
      <c r="R531" s="631"/>
      <c r="S531" s="631"/>
      <c r="T531" s="631"/>
      <c r="U531" s="631"/>
      <c r="V531" s="632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44" t="s">
        <v>83</v>
      </c>
      <c r="B532" s="644"/>
      <c r="C532" s="644"/>
      <c r="D532" s="644"/>
      <c r="E532" s="644"/>
      <c r="F532" s="644"/>
      <c r="G532" s="644"/>
      <c r="H532" s="644"/>
      <c r="I532" s="644"/>
      <c r="J532" s="644"/>
      <c r="K532" s="644"/>
      <c r="L532" s="644"/>
      <c r="M532" s="644"/>
      <c r="N532" s="644"/>
      <c r="O532" s="644"/>
      <c r="P532" s="644"/>
      <c r="Q532" s="644"/>
      <c r="R532" s="644"/>
      <c r="S532" s="644"/>
      <c r="T532" s="644"/>
      <c r="U532" s="644"/>
      <c r="V532" s="644"/>
      <c r="W532" s="644"/>
      <c r="X532" s="644"/>
      <c r="Y532" s="644"/>
      <c r="Z532" s="644"/>
      <c r="AA532" s="66"/>
      <c r="AB532" s="66"/>
      <c r="AC532" s="80"/>
    </row>
    <row r="533" spans="1:68" ht="27" hidden="1" customHeight="1" x14ac:dyDescent="0.25">
      <c r="A533" s="63" t="s">
        <v>836</v>
      </c>
      <c r="B533" s="63" t="s">
        <v>837</v>
      </c>
      <c r="C533" s="36">
        <v>4301052282</v>
      </c>
      <c r="D533" s="639">
        <v>4680115889811</v>
      </c>
      <c r="E533" s="639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64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41"/>
      <c r="R533" s="641"/>
      <c r="S533" s="641"/>
      <c r="T533" s="64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33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0" t="s">
        <v>40</v>
      </c>
      <c r="Q534" s="631"/>
      <c r="R534" s="631"/>
      <c r="S534" s="631"/>
      <c r="T534" s="631"/>
      <c r="U534" s="631"/>
      <c r="V534" s="63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0" t="s">
        <v>40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44" t="s">
        <v>172</v>
      </c>
      <c r="B536" s="644"/>
      <c r="C536" s="644"/>
      <c r="D536" s="644"/>
      <c r="E536" s="644"/>
      <c r="F536" s="644"/>
      <c r="G536" s="644"/>
      <c r="H536" s="644"/>
      <c r="I536" s="644"/>
      <c r="J536" s="644"/>
      <c r="K536" s="644"/>
      <c r="L536" s="644"/>
      <c r="M536" s="644"/>
      <c r="N536" s="644"/>
      <c r="O536" s="644"/>
      <c r="P536" s="644"/>
      <c r="Q536" s="644"/>
      <c r="R536" s="644"/>
      <c r="S536" s="644"/>
      <c r="T536" s="644"/>
      <c r="U536" s="644"/>
      <c r="V536" s="644"/>
      <c r="W536" s="644"/>
      <c r="X536" s="644"/>
      <c r="Y536" s="644"/>
      <c r="Z536" s="644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39">
        <v>4680115889804</v>
      </c>
      <c r="E537" s="639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64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41"/>
      <c r="R537" s="641"/>
      <c r="S537" s="641"/>
      <c r="T537" s="64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39">
        <v>4680115889828</v>
      </c>
      <c r="E538" s="639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64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41"/>
      <c r="R538" s="641"/>
      <c r="S538" s="641"/>
      <c r="T538" s="64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33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0" t="s">
        <v>40</v>
      </c>
      <c r="Q539" s="631"/>
      <c r="R539" s="631"/>
      <c r="S539" s="631"/>
      <c r="T539" s="631"/>
      <c r="U539" s="631"/>
      <c r="V539" s="632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0" t="s">
        <v>40</v>
      </c>
      <c r="Q540" s="631"/>
      <c r="R540" s="631"/>
      <c r="S540" s="631"/>
      <c r="T540" s="631"/>
      <c r="U540" s="631"/>
      <c r="V540" s="632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43" t="s">
        <v>845</v>
      </c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3"/>
      <c r="P541" s="643"/>
      <c r="Q541" s="643"/>
      <c r="R541" s="643"/>
      <c r="S541" s="643"/>
      <c r="T541" s="643"/>
      <c r="U541" s="643"/>
      <c r="V541" s="643"/>
      <c r="W541" s="643"/>
      <c r="X541" s="643"/>
      <c r="Y541" s="643"/>
      <c r="Z541" s="643"/>
      <c r="AA541" s="65"/>
      <c r="AB541" s="65"/>
      <c r="AC541" s="79"/>
    </row>
    <row r="542" spans="1:68" ht="14.25" hidden="1" customHeight="1" x14ac:dyDescent="0.25">
      <c r="A542" s="644" t="s">
        <v>154</v>
      </c>
      <c r="B542" s="644"/>
      <c r="C542" s="644"/>
      <c r="D542" s="644"/>
      <c r="E542" s="644"/>
      <c r="F542" s="644"/>
      <c r="G542" s="644"/>
      <c r="H542" s="644"/>
      <c r="I542" s="644"/>
      <c r="J542" s="644"/>
      <c r="K542" s="644"/>
      <c r="L542" s="644"/>
      <c r="M542" s="644"/>
      <c r="N542" s="644"/>
      <c r="O542" s="644"/>
      <c r="P542" s="644"/>
      <c r="Q542" s="644"/>
      <c r="R542" s="644"/>
      <c r="S542" s="644"/>
      <c r="T542" s="644"/>
      <c r="U542" s="644"/>
      <c r="V542" s="644"/>
      <c r="W542" s="644"/>
      <c r="X542" s="644"/>
      <c r="Y542" s="644"/>
      <c r="Z542" s="644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39">
        <v>4680115889798</v>
      </c>
      <c r="E543" s="639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64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41"/>
      <c r="R543" s="641"/>
      <c r="S543" s="641"/>
      <c r="T543" s="64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33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0" t="s">
        <v>40</v>
      </c>
      <c r="Q544" s="631"/>
      <c r="R544" s="631"/>
      <c r="S544" s="631"/>
      <c r="T544" s="631"/>
      <c r="U544" s="631"/>
      <c r="V544" s="6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0" t="s">
        <v>40</v>
      </c>
      <c r="Q545" s="631"/>
      <c r="R545" s="631"/>
      <c r="S545" s="631"/>
      <c r="T545" s="631"/>
      <c r="U545" s="631"/>
      <c r="V545" s="6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633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638"/>
      <c r="P546" s="635" t="s">
        <v>33</v>
      </c>
      <c r="Q546" s="636"/>
      <c r="R546" s="636"/>
      <c r="S546" s="636"/>
      <c r="T546" s="636"/>
      <c r="U546" s="636"/>
      <c r="V546" s="63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15461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15593.119999999999</v>
      </c>
      <c r="Z546" s="42"/>
      <c r="AA546" s="67"/>
      <c r="AB546" s="67"/>
      <c r="AC546" s="67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638"/>
      <c r="P547" s="635" t="s">
        <v>34</v>
      </c>
      <c r="Q547" s="636"/>
      <c r="R547" s="636"/>
      <c r="S547" s="636"/>
      <c r="T547" s="636"/>
      <c r="U547" s="636"/>
      <c r="V547" s="637"/>
      <c r="W547" s="42" t="s">
        <v>0</v>
      </c>
      <c r="X547" s="43">
        <f>IFERROR(SUM(BM22:BM543),"0")</f>
        <v>16654.893727503873</v>
      </c>
      <c r="Y547" s="43">
        <f>IFERROR(SUM(BN22:BN543),"0")</f>
        <v>16798.396999999997</v>
      </c>
      <c r="Z547" s="42"/>
      <c r="AA547" s="67"/>
      <c r="AB547" s="67"/>
      <c r="AC547" s="67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638"/>
      <c r="P548" s="635" t="s">
        <v>35</v>
      </c>
      <c r="Q548" s="636"/>
      <c r="R548" s="636"/>
      <c r="S548" s="636"/>
      <c r="T548" s="636"/>
      <c r="U548" s="636"/>
      <c r="V548" s="637"/>
      <c r="W548" s="42" t="s">
        <v>20</v>
      </c>
      <c r="X548" s="44">
        <f>ROUNDUP(SUM(BO22:BO543),0)</f>
        <v>28</v>
      </c>
      <c r="Y548" s="44">
        <f>ROUNDUP(SUM(BP22:BP543),0)</f>
        <v>29</v>
      </c>
      <c r="Z548" s="42"/>
      <c r="AA548" s="67"/>
      <c r="AB548" s="67"/>
      <c r="AC548" s="67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638"/>
      <c r="P549" s="635" t="s">
        <v>36</v>
      </c>
      <c r="Q549" s="636"/>
      <c r="R549" s="636"/>
      <c r="S549" s="636"/>
      <c r="T549" s="636"/>
      <c r="U549" s="636"/>
      <c r="V549" s="637"/>
      <c r="W549" s="42" t="s">
        <v>0</v>
      </c>
      <c r="X549" s="43">
        <f>GrossWeightTotal+PalletQtyTotal*25</f>
        <v>17354.893727503873</v>
      </c>
      <c r="Y549" s="43">
        <f>GrossWeightTotalR+PalletQtyTotalR*25</f>
        <v>17523.396999999997</v>
      </c>
      <c r="Z549" s="42"/>
      <c r="AA549" s="67"/>
      <c r="AB549" s="67"/>
      <c r="AC549" s="67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638"/>
      <c r="P550" s="635" t="s">
        <v>37</v>
      </c>
      <c r="Q550" s="636"/>
      <c r="R550" s="636"/>
      <c r="S550" s="636"/>
      <c r="T550" s="636"/>
      <c r="U550" s="636"/>
      <c r="V550" s="63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2879.662590389602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2903</v>
      </c>
      <c r="Z550" s="42"/>
      <c r="AA550" s="67"/>
      <c r="AB550" s="67"/>
      <c r="AC550" s="67"/>
    </row>
    <row r="551" spans="1:32" ht="14.25" hidden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638"/>
      <c r="P551" s="635" t="s">
        <v>38</v>
      </c>
      <c r="Q551" s="636"/>
      <c r="R551" s="636"/>
      <c r="S551" s="636"/>
      <c r="T551" s="636"/>
      <c r="U551" s="636"/>
      <c r="V551" s="63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32.83549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626" t="s">
        <v>117</v>
      </c>
      <c r="E553" s="626" t="s">
        <v>117</v>
      </c>
      <c r="F553" s="626" t="s">
        <v>117</v>
      </c>
      <c r="G553" s="626" t="s">
        <v>117</v>
      </c>
      <c r="H553" s="626" t="s">
        <v>117</v>
      </c>
      <c r="I553" s="626" t="s">
        <v>117</v>
      </c>
      <c r="J553" s="626" t="s">
        <v>117</v>
      </c>
      <c r="K553" s="626" t="s">
        <v>338</v>
      </c>
      <c r="L553" s="626" t="s">
        <v>338</v>
      </c>
      <c r="M553" s="626" t="s">
        <v>338</v>
      </c>
      <c r="N553" s="627"/>
      <c r="O553" s="626" t="s">
        <v>338</v>
      </c>
      <c r="P553" s="626" t="s">
        <v>338</v>
      </c>
      <c r="Q553" s="626" t="s">
        <v>338</v>
      </c>
      <c r="R553" s="626" t="s">
        <v>338</v>
      </c>
      <c r="S553" s="626" t="s">
        <v>338</v>
      </c>
      <c r="T553" s="626" t="s">
        <v>338</v>
      </c>
      <c r="U553" s="626" t="s">
        <v>338</v>
      </c>
      <c r="V553" s="626" t="s">
        <v>338</v>
      </c>
      <c r="W553" s="626" t="s">
        <v>684</v>
      </c>
      <c r="X553" s="626" t="s">
        <v>684</v>
      </c>
      <c r="Y553" s="626" t="s">
        <v>750</v>
      </c>
      <c r="Z553" s="626" t="s">
        <v>750</v>
      </c>
      <c r="AA553" s="85" t="s">
        <v>783</v>
      </c>
      <c r="AB553" s="626" t="s">
        <v>827</v>
      </c>
      <c r="AC553" s="626" t="s">
        <v>827</v>
      </c>
      <c r="AF553" s="1"/>
    </row>
    <row r="554" spans="1:32" ht="14.25" customHeight="1" thickTop="1" x14ac:dyDescent="0.2">
      <c r="A554" s="628" t="s">
        <v>10</v>
      </c>
      <c r="B554" s="626" t="s">
        <v>76</v>
      </c>
      <c r="C554" s="626" t="s">
        <v>101</v>
      </c>
      <c r="D554" s="626" t="s">
        <v>118</v>
      </c>
      <c r="E554" s="626" t="s">
        <v>134</v>
      </c>
      <c r="F554" s="626" t="s">
        <v>180</v>
      </c>
      <c r="G554" s="626" t="s">
        <v>204</v>
      </c>
      <c r="H554" s="626" t="s">
        <v>248</v>
      </c>
      <c r="I554" s="626" t="s">
        <v>261</v>
      </c>
      <c r="J554" s="626" t="s">
        <v>117</v>
      </c>
      <c r="K554" s="626" t="s">
        <v>339</v>
      </c>
      <c r="L554" s="626" t="s">
        <v>360</v>
      </c>
      <c r="M554" s="626" t="s">
        <v>423</v>
      </c>
      <c r="N554" s="1"/>
      <c r="O554" s="626" t="s">
        <v>491</v>
      </c>
      <c r="P554" s="626" t="s">
        <v>522</v>
      </c>
      <c r="Q554" s="626" t="s">
        <v>541</v>
      </c>
      <c r="R554" s="626" t="s">
        <v>550</v>
      </c>
      <c r="S554" s="626" t="s">
        <v>572</v>
      </c>
      <c r="T554" s="626" t="s">
        <v>581</v>
      </c>
      <c r="U554" s="626" t="s">
        <v>667</v>
      </c>
      <c r="V554" s="626" t="s">
        <v>674</v>
      </c>
      <c r="W554" s="626" t="s">
        <v>685</v>
      </c>
      <c r="X554" s="626" t="s">
        <v>734</v>
      </c>
      <c r="Y554" s="626" t="s">
        <v>751</v>
      </c>
      <c r="Z554" s="626" t="s">
        <v>771</v>
      </c>
      <c r="AA554" s="626" t="s">
        <v>783</v>
      </c>
      <c r="AB554" s="626" t="s">
        <v>827</v>
      </c>
      <c r="AC554" s="626" t="s">
        <v>845</v>
      </c>
      <c r="AF554" s="1"/>
    </row>
    <row r="555" spans="1:32" ht="13.5" thickBot="1" x14ac:dyDescent="0.25">
      <c r="A555" s="629"/>
      <c r="B555" s="626"/>
      <c r="C555" s="626"/>
      <c r="D555" s="626"/>
      <c r="E555" s="626"/>
      <c r="F555" s="626"/>
      <c r="G555" s="626"/>
      <c r="H555" s="626"/>
      <c r="I555" s="626"/>
      <c r="J555" s="626"/>
      <c r="K555" s="626"/>
      <c r="L555" s="626"/>
      <c r="M555" s="626"/>
      <c r="N555" s="1"/>
      <c r="O555" s="626"/>
      <c r="P555" s="626"/>
      <c r="Q555" s="626"/>
      <c r="R555" s="626"/>
      <c r="S555" s="626"/>
      <c r="T555" s="626"/>
      <c r="U555" s="626"/>
      <c r="V555" s="626"/>
      <c r="W555" s="626"/>
      <c r="X555" s="626"/>
      <c r="Y555" s="626"/>
      <c r="Z555" s="626"/>
      <c r="AA555" s="626"/>
      <c r="AB555" s="626"/>
      <c r="AC555" s="626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231.20000000000002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552.6</v>
      </c>
      <c r="F556" s="52">
        <f>IFERROR(Y84*1,"0")+IFERROR(Y85*1,"0")+IFERROR(Y86*1,"0")+IFERROR(Y87*1,"0")+IFERROR(Y88*1,"0")+IFERROR(Y89*1,"0")+IFERROR(Y93*1,"0")+IFERROR(Y94*1,"0")+IFERROR(Y95*1,"0")+IFERROR(Y96*1,"0")</f>
        <v>882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733.68000000000006</v>
      </c>
      <c r="H556" s="52">
        <f>IFERROR(Y131*1,"0")+IFERROR(Y132*1,"0")+IFERROR(Y136*1,"0")+IFERROR(Y137*1,"0")+IFERROR(Y141*1,"0")+IFERROR(Y142*1,"0")</f>
        <v>0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907.5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222.64000000000001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2402.0999999999995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88.6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81.599999999999994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1263.5999999999999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1203</v>
      </c>
      <c r="U556" s="52">
        <f>IFERROR(Y406*1,"0")+IFERROR(Y407*1,"0")</f>
        <v>0</v>
      </c>
      <c r="V556" s="52">
        <f>IFERROR(Y412*1,"0")+IFERROR(Y413*1,"0")+IFERROR(Y414*1,"0")</f>
        <v>701.4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4561.6000000000004</v>
      </c>
      <c r="X556" s="52">
        <f>IFERROR(Y449*1,"0")+IFERROR(Y450*1,"0")+IFERROR(Y454*1,"0")+IFERROR(Y458*1,"0")+IFERROR(Y459*1,"0")+IFERROR(Y460*1,"0")</f>
        <v>96</v>
      </c>
      <c r="Y556" s="52">
        <f>IFERROR(Y466*1,"0")+IFERROR(Y467*1,"0")+IFERROR(Y468*1,"0")+IFERROR(Y469*1,"0")+IFERROR(Y470*1,"0")+IFERROR(Y471*1,"0")+IFERROR(Y475*1,"0")</f>
        <v>0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1605.6000000000001</v>
      </c>
      <c r="AB556" s="52">
        <f>IFERROR(Y521*1,"0")+IFERROR(Y525*1,"0")+IFERROR(Y529*1,"0")+IFERROR(Y533*1,"0")+IFERROR(Y537*1,"0")+IFERROR(Y538*1,"0")</f>
        <v>60</v>
      </c>
      <c r="AC556" s="52">
        <f>IFERROR(Y543*1,"0")</f>
        <v>0</v>
      </c>
      <c r="AF556" s="1"/>
    </row>
  </sheetData>
  <sheetProtection algorithmName="SHA-512" hashValue="XwtGQvBDgkamz2fK5g+Q4jYMWN6YYT5w1Fyd+QbGvp6bDOUSWyy16PB7a1fdYGRCTOTjU9aVeKus9dSvQ/83mg==" saltValue="BqpICxC4lHYJcL/ZsQWtyQ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250,00"/>
        <filter val="1 600,00"/>
        <filter val="1 810,00"/>
        <filter val="1 900,00"/>
        <filter val="10,00"/>
        <filter val="100,00"/>
        <filter val="103,33"/>
        <filter val="105,00"/>
        <filter val="115,57"/>
        <filter val="12,00"/>
        <filter val="120,00"/>
        <filter val="124,18"/>
        <filter val="135,00"/>
        <filter val="140,00"/>
        <filter val="15 461,00"/>
        <filter val="150,00"/>
        <filter val="152,33"/>
        <filter val="157,01"/>
        <filter val="16 654,89"/>
        <filter val="16,00"/>
        <filter val="16,67"/>
        <filter val="160,26"/>
        <filter val="168,00"/>
        <filter val="17 354,89"/>
        <filter val="180,00"/>
        <filter val="191,00"/>
        <filter val="2 100,00"/>
        <filter val="2 235,00"/>
        <filter val="2 879,66"/>
        <filter val="2,56"/>
        <filter val="20,00"/>
        <filter val="20,83"/>
        <filter val="200,00"/>
        <filter val="21,00"/>
        <filter val="210,00"/>
        <filter val="23,81"/>
        <filter val="230,00"/>
        <filter val="240,00"/>
        <filter val="25,00"/>
        <filter val="25,25"/>
        <filter val="250,00"/>
        <filter val="261,59"/>
        <filter val="28"/>
        <filter val="280,00"/>
        <filter val="3,33"/>
        <filter val="30,00"/>
        <filter val="300,00"/>
        <filter val="320,00"/>
        <filter val="33,33"/>
        <filter val="33,89"/>
        <filter val="330,00"/>
        <filter val="333,33"/>
        <filter val="36,00"/>
        <filter val="4,00"/>
        <filter val="40,00"/>
        <filter val="400,00"/>
        <filter val="42,00"/>
        <filter val="43,75"/>
        <filter val="430,00"/>
        <filter val="435,00"/>
        <filter val="450,00"/>
        <filter val="460,00"/>
        <filter val="467,71"/>
        <filter val="5,00"/>
        <filter val="5,56"/>
        <filter val="50,00"/>
        <filter val="500,00"/>
        <filter val="550,00"/>
        <filter val="57,78"/>
        <filter val="582,00"/>
        <filter val="6,67"/>
        <filter val="60,00"/>
        <filter val="600,00"/>
        <filter val="61,73"/>
        <filter val="63,00"/>
        <filter val="7,00"/>
        <filter val="70,00"/>
        <filter val="700,00"/>
        <filter val="790,00"/>
        <filter val="80,00"/>
        <filter val="83,33"/>
        <filter val="85,00"/>
        <filter val="90,00"/>
        <filter val="900,00"/>
        <filter val="904,00"/>
        <filter val="97,53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9" spans="2:8" x14ac:dyDescent="0.2">
      <c r="B9" s="53" t="s">
        <v>858</v>
      </c>
      <c r="C9" s="53" t="s">
        <v>853</v>
      </c>
      <c r="D9" s="53" t="s">
        <v>46</v>
      </c>
      <c r="E9" s="53" t="s">
        <v>46</v>
      </c>
    </row>
    <row r="11" spans="2:8" x14ac:dyDescent="0.2">
      <c r="B11" s="53" t="s">
        <v>858</v>
      </c>
      <c r="C11" s="53" t="s">
        <v>856</v>
      </c>
      <c r="D11" s="53" t="s">
        <v>46</v>
      </c>
      <c r="E11" s="53" t="s">
        <v>46</v>
      </c>
    </row>
    <row r="13" spans="2:8" x14ac:dyDescent="0.2">
      <c r="B13" s="53" t="s">
        <v>859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868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869</v>
      </c>
      <c r="C23" s="53" t="s">
        <v>46</v>
      </c>
      <c r="D23" s="53" t="s">
        <v>46</v>
      </c>
      <c r="E23" s="53" t="s">
        <v>46</v>
      </c>
    </row>
  </sheetData>
  <sheetProtection algorithmName="SHA-512" hashValue="+bCzvZF5rUMDw89kfkYhpZDkO246RsrlIAa2e4fVL+hDKpqNsot5AF71b/GJY8lXPTxv2IU9T3XVtAl4h+x1cw==" saltValue="Frq4ZsUUiySd8pwD/4Mf2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2026-10-08T11:21:24Z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