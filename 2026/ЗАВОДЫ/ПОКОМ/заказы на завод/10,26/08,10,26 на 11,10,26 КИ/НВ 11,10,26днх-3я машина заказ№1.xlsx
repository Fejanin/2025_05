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D9B11A-BCA6-49AF-9FB7-05F986F09A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M426" i="1"/>
  <c r="Z426" i="1"/>
  <c r="Y426" i="1"/>
  <c r="BN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M413" i="1"/>
  <c r="Z413" i="1"/>
  <c r="Y413" i="1"/>
  <c r="BN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M231" i="1"/>
  <c r="Z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M219" i="1"/>
  <c r="Z219" i="1"/>
  <c r="Y219" i="1"/>
  <c r="BN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M147" i="1"/>
  <c r="Z147" i="1"/>
  <c r="Y147" i="1"/>
  <c r="BN147" i="1" s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M111" i="1"/>
  <c r="Z111" i="1"/>
  <c r="Y111" i="1"/>
  <c r="BN111" i="1" s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M73" i="1"/>
  <c r="Z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Z136" i="1" l="1"/>
  <c r="BP174" i="1"/>
  <c r="Z184" i="1"/>
  <c r="BP184" i="1"/>
  <c r="Z215" i="1"/>
  <c r="BP215" i="1"/>
  <c r="Z239" i="1"/>
  <c r="BP239" i="1"/>
  <c r="Z310" i="1"/>
  <c r="BP310" i="1"/>
  <c r="Y321" i="1"/>
  <c r="Z399" i="1"/>
  <c r="BP399" i="1"/>
  <c r="Z422" i="1"/>
  <c r="BP422" i="1"/>
  <c r="Z512" i="1"/>
  <c r="BP512" i="1"/>
  <c r="F9" i="1"/>
  <c r="Z26" i="1"/>
  <c r="BP26" i="1"/>
  <c r="Z38" i="1"/>
  <c r="BP38" i="1"/>
  <c r="Z79" i="1"/>
  <c r="BP79" i="1"/>
  <c r="BP136" i="1"/>
  <c r="Z174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N543" i="1"/>
  <c r="Y544" i="1"/>
  <c r="F10" i="1"/>
  <c r="Z65" i="1"/>
  <c r="Z94" i="1"/>
  <c r="Z105" i="1"/>
  <c r="Z115" i="1"/>
  <c r="Z160" i="1"/>
  <c r="Z262" i="1"/>
  <c r="Z285" i="1"/>
  <c r="Z326" i="1"/>
  <c r="Z346" i="1"/>
  <c r="BP346" i="1"/>
  <c r="Z359" i="1"/>
  <c r="Z369" i="1"/>
  <c r="Z387" i="1"/>
  <c r="Z438" i="1"/>
  <c r="Z46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41" i="1"/>
  <c r="Y62" i="1"/>
  <c r="Y70" i="1"/>
  <c r="Y97" i="1"/>
  <c r="Y108" i="1"/>
  <c r="Y116" i="1"/>
  <c r="BP177" i="1"/>
  <c r="BN177" i="1"/>
  <c r="Z177" i="1"/>
  <c r="Y190" i="1"/>
  <c r="BP189" i="1"/>
  <c r="BN189" i="1"/>
  <c r="Z189" i="1"/>
  <c r="Z190" i="1" s="1"/>
  <c r="Y194" i="1"/>
  <c r="BP193" i="1"/>
  <c r="BN193" i="1"/>
  <c r="Z193" i="1"/>
  <c r="Z194" i="1" s="1"/>
  <c r="Y195" i="1"/>
  <c r="BP216" i="1"/>
  <c r="BN216" i="1"/>
  <c r="Z216" i="1"/>
  <c r="BP240" i="1"/>
  <c r="BN240" i="1"/>
  <c r="Z240" i="1"/>
  <c r="Y242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302" i="1"/>
  <c r="BP301" i="1"/>
  <c r="BN301" i="1"/>
  <c r="Z301" i="1"/>
  <c r="Z302" i="1" s="1"/>
  <c r="Y303" i="1"/>
  <c r="BP358" i="1"/>
  <c r="BN358" i="1"/>
  <c r="Z358" i="1"/>
  <c r="Y31" i="1"/>
  <c r="Y51" i="1"/>
  <c r="Y74" i="1"/>
  <c r="Y80" i="1"/>
  <c r="Y91" i="1"/>
  <c r="Y124" i="1"/>
  <c r="Y128" i="1"/>
  <c r="Y133" i="1"/>
  <c r="Y139" i="1"/>
  <c r="Y143" i="1"/>
  <c r="BP161" i="1"/>
  <c r="BN161" i="1"/>
  <c r="Z161" i="1"/>
  <c r="BP173" i="1"/>
  <c r="BN173" i="1"/>
  <c r="Z173" i="1"/>
  <c r="Y181" i="1"/>
  <c r="BP185" i="1"/>
  <c r="BN185" i="1"/>
  <c r="Z185" i="1"/>
  <c r="Z186" i="1" s="1"/>
  <c r="Y187" i="1"/>
  <c r="Y191" i="1"/>
  <c r="K556" i="1"/>
  <c r="Y206" i="1"/>
  <c r="BP199" i="1"/>
  <c r="BN199" i="1"/>
  <c r="Z199" i="1"/>
  <c r="BP203" i="1"/>
  <c r="BN203" i="1"/>
  <c r="Z203" i="1"/>
  <c r="BP220" i="1"/>
  <c r="BN220" i="1"/>
  <c r="Z220" i="1"/>
  <c r="BP224" i="1"/>
  <c r="BN224" i="1"/>
  <c r="Z224" i="1"/>
  <c r="BP232" i="1"/>
  <c r="BN232" i="1"/>
  <c r="Z232" i="1"/>
  <c r="Y245" i="1"/>
  <c r="BP244" i="1"/>
  <c r="BN244" i="1"/>
  <c r="Z244" i="1"/>
  <c r="Z245" i="1" s="1"/>
  <c r="Y246" i="1"/>
  <c r="Y299" i="1"/>
  <c r="Y306" i="1"/>
  <c r="BP305" i="1"/>
  <c r="BN305" i="1"/>
  <c r="Z305" i="1"/>
  <c r="Z306" i="1" s="1"/>
  <c r="Y312" i="1"/>
  <c r="BP309" i="1"/>
  <c r="BN309" i="1"/>
  <c r="Z309" i="1"/>
  <c r="Z311" i="1" s="1"/>
  <c r="Y311" i="1"/>
  <c r="BP354" i="1"/>
  <c r="BN354" i="1"/>
  <c r="Z354" i="1"/>
  <c r="Y360" i="1"/>
  <c r="BP407" i="1"/>
  <c r="BN407" i="1"/>
  <c r="Z407" i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X549" i="1" l="1"/>
  <c r="Z408" i="1"/>
  <c r="Z360" i="1"/>
  <c r="Z298" i="1"/>
  <c r="Z97" i="1"/>
  <c r="Z108" i="1"/>
  <c r="Z50" i="1"/>
  <c r="Z41" i="1"/>
  <c r="Y547" i="1"/>
  <c r="Y550" i="1"/>
  <c r="Z500" i="1"/>
  <c r="Z440" i="1"/>
  <c r="Z383" i="1"/>
  <c r="Z370" i="1"/>
  <c r="Z328" i="1"/>
  <c r="Z377" i="1"/>
  <c r="Z163" i="1"/>
  <c r="Z151" i="1"/>
  <c r="Z123" i="1"/>
  <c r="Z116" i="1"/>
  <c r="Z90" i="1"/>
  <c r="Z69" i="1"/>
  <c r="Y548" i="1"/>
  <c r="Z31" i="1"/>
  <c r="Z251" i="1"/>
  <c r="Z428" i="1"/>
  <c r="Z516" i="1"/>
  <c r="Z390" i="1"/>
  <c r="Z267" i="1"/>
  <c r="Z235" i="1"/>
  <c r="Z227" i="1"/>
  <c r="Z181" i="1"/>
  <c r="Y546" i="1"/>
  <c r="Z415" i="1"/>
  <c r="Z206" i="1"/>
  <c r="Z434" i="1"/>
  <c r="Z282" i="1"/>
  <c r="Z336" i="1"/>
  <c r="Z62" i="1"/>
  <c r="Z551" i="1" s="1"/>
  <c r="Z472" i="1"/>
  <c r="Y549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<sst xmlns="http://schemas.openxmlformats.org/spreadsheetml/2006/main" count="2464" uniqueCount="894">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</sst>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46306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863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Воскресенье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5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0.45833333333333331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1803</v>
      </c>
      <c r="Y46" s="618">
        <f>IFERROR(IF(X46="",0,CEILING((X46/$H46),1)*$H46),"")</f>
        <v>1803.6000000000001</v>
      </c>
      <c r="Z46" s="36">
        <f>IFERROR(IF(Y46=0,"",ROUNDUP(Y46/H46,0)*0.01898),"")</f>
        <v>3.1696599999999999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1871.4472222222221</v>
      </c>
      <c r="BN46" s="64">
        <f>IFERROR(Y46*I46/H46,"0")</f>
        <v>1872.0700000000002</v>
      </c>
      <c r="BO46" s="64">
        <f>IFERROR(1/J46*(X46/H46),"0")</f>
        <v>2.6085069444444442</v>
      </c>
      <c r="BP46" s="64">
        <f>IFERROR(1/J46*(Y46/H46),"0")</f>
        <v>2.609375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166.94444444444443</v>
      </c>
      <c r="Y50" s="619">
        <f>IFERROR(Y46/H46,"0")+IFERROR(Y47/H47,"0")+IFERROR(Y48/H48,"0")+IFERROR(Y49/H49,"0")</f>
        <v>167</v>
      </c>
      <c r="Z50" s="619">
        <f>IFERROR(IF(Z46="",0,Z46),"0")+IFERROR(IF(Z47="",0,Z47),"0")+IFERROR(IF(Z48="",0,Z48),"0")+IFERROR(IF(Z49="",0,Z49),"0")</f>
        <v>3.1696599999999999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1803</v>
      </c>
      <c r="Y51" s="619">
        <f>IFERROR(SUM(Y46:Y49),"0")</f>
        <v>1803.6000000000001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129</v>
      </c>
      <c r="Y55" s="618">
        <f t="shared" si="0"/>
        <v>129.60000000000002</v>
      </c>
      <c r="Z55" s="36">
        <f>IFERROR(IF(Y55=0,"",ROUNDUP(Y55/H55,0)*0.01898),"")</f>
        <v>0.22776000000000002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133.89722222222224</v>
      </c>
      <c r="BN55" s="64">
        <f t="shared" si="2"/>
        <v>134.52000000000001</v>
      </c>
      <c r="BO55" s="64">
        <f t="shared" si="3"/>
        <v>0.18663194444444442</v>
      </c>
      <c r="BP55" s="64">
        <f t="shared" si="4"/>
        <v>0.18750000000000003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46</v>
      </c>
      <c r="Y61" s="618">
        <f t="shared" si="0"/>
        <v>49.5</v>
      </c>
      <c r="Z61" s="36">
        <f>IFERROR(IF(Y61=0,"",ROUNDUP(Y61/H61,0)*0.00902),"")</f>
        <v>9.9220000000000003E-2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47.942222222222227</v>
      </c>
      <c r="BN61" s="64">
        <f t="shared" si="2"/>
        <v>51.59</v>
      </c>
      <c r="BO61" s="64">
        <f t="shared" si="3"/>
        <v>7.7441077441077436E-2</v>
      </c>
      <c r="BP61" s="64">
        <f t="shared" si="4"/>
        <v>8.3333333333333343E-2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22.166666666666664</v>
      </c>
      <c r="Y62" s="619">
        <f>IFERROR(Y54/H54,"0")+IFERROR(Y55/H55,"0")+IFERROR(Y56/H56,"0")+IFERROR(Y57/H57,"0")+IFERROR(Y58/H58,"0")+IFERROR(Y59/H59,"0")+IFERROR(Y60/H60,"0")+IFERROR(Y61/H61,"0")</f>
        <v>23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0.32698000000000005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175</v>
      </c>
      <c r="Y63" s="619">
        <f>IFERROR(SUM(Y54:Y61),"0")</f>
        <v>179.10000000000002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361</v>
      </c>
      <c r="Y93" s="618">
        <f>IFERROR(IF(X93="",0,CEILING((X93/$H93),1)*$H93),"")</f>
        <v>364.5</v>
      </c>
      <c r="Z93" s="36">
        <f>IFERROR(IF(Y93=0,"",ROUNDUP(Y93/H93,0)*0.01898),"")</f>
        <v>0.85409999999999997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383.01654320987655</v>
      </c>
      <c r="BN93" s="64">
        <f>IFERROR(Y93*I93/H93,"0")</f>
        <v>386.73</v>
      </c>
      <c r="BO93" s="64">
        <f>IFERROR(1/J93*(X93/H93),"0")</f>
        <v>0.69637345679012352</v>
      </c>
      <c r="BP93" s="64">
        <f>IFERROR(1/J93*(Y93/H93),"0")</f>
        <v>0.703125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44.567901234567906</v>
      </c>
      <c r="Y97" s="619">
        <f>IFERROR(Y93/H93,"0")+IFERROR(Y94/H94,"0")+IFERROR(Y95/H95,"0")+IFERROR(Y96/H96,"0")</f>
        <v>45</v>
      </c>
      <c r="Z97" s="619">
        <f>IFERROR(IF(Z93="",0,Z93),"0")+IFERROR(IF(Z94="",0,Z94),"0")+IFERROR(IF(Z95="",0,Z95),"0")+IFERROR(IF(Z96="",0,Z96),"0")</f>
        <v>0.85409999999999997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361</v>
      </c>
      <c r="Y98" s="619">
        <f>IFERROR(SUM(Y93:Y96),"0")</f>
        <v>364.5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206</v>
      </c>
      <c r="Y101" s="618">
        <f t="shared" ref="Y101:Y107" si="10">IFERROR(IF(X101="",0,CEILING((X101/$H101),1)*$H101),"")</f>
        <v>216</v>
      </c>
      <c r="Z101" s="36">
        <f>IFERROR(IF(Y101=0,"",ROUNDUP(Y101/H101,0)*0.01898),"")</f>
        <v>0.37959999999999999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213.82037037037037</v>
      </c>
      <c r="BN101" s="64">
        <f t="shared" ref="BN101:BN107" si="12">IFERROR(Y101*I101/H101,"0")</f>
        <v>224.2</v>
      </c>
      <c r="BO101" s="64">
        <f t="shared" ref="BO101:BO107" si="13">IFERROR(1/J101*(X101/H101),"0")</f>
        <v>0.29803240740740738</v>
      </c>
      <c r="BP101" s="64">
        <f t="shared" ref="BP101:BP107" si="14">IFERROR(1/J101*(Y101/H101),"0")</f>
        <v>0.3125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158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164.67111111111114</v>
      </c>
      <c r="BN105" s="64">
        <f t="shared" si="12"/>
        <v>168.84000000000003</v>
      </c>
      <c r="BO105" s="64">
        <f t="shared" si="13"/>
        <v>0.265993265993266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54.18518518518519</v>
      </c>
      <c r="Y108" s="619">
        <f>IFERROR(Y101/H101,"0")+IFERROR(Y102/H102,"0")+IFERROR(Y103/H103,"0")+IFERROR(Y104/H104,"0")+IFERROR(Y105/H105,"0")+IFERROR(Y106/H106,"0")+IFERROR(Y107/H107,"0")</f>
        <v>56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0.70432000000000006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364</v>
      </c>
      <c r="Y109" s="619">
        <f>IFERROR(SUM(Y101:Y107),"0")</f>
        <v>378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541</v>
      </c>
      <c r="Y119" s="618">
        <f>IFERROR(IF(X119="",0,CEILING((X119/$H119),1)*$H119),"")</f>
        <v>542.69999999999993</v>
      </c>
      <c r="Z119" s="36">
        <f>IFERROR(IF(Y119=0,"",ROUNDUP(Y119/H119,0)*0.01898),"")</f>
        <v>1.27166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573.59358024691346</v>
      </c>
      <c r="BN119" s="64">
        <f>IFERROR(Y119*I119/H119,"0")</f>
        <v>575.39599999999984</v>
      </c>
      <c r="BO119" s="64">
        <f>IFERROR(1/J119*(X119/H119),"0")</f>
        <v>1.0435956790123457</v>
      </c>
      <c r="BP119" s="64">
        <f>IFERROR(1/J119*(Y119/H119),"0")</f>
        <v>1.046875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66.790123456790127</v>
      </c>
      <c r="Y123" s="619">
        <f>IFERROR(Y119/H119,"0")+IFERROR(Y120/H120,"0")+IFERROR(Y121/H121,"0")+IFERROR(Y122/H122,"0")</f>
        <v>67</v>
      </c>
      <c r="Z123" s="619">
        <f>IFERROR(IF(Z119="",0,Z119),"0")+IFERROR(IF(Z120="",0,Z120),"0")+IFERROR(IF(Z121="",0,Z121),"0")+IFERROR(IF(Z122="",0,Z122),"0")</f>
        <v>1.27166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541</v>
      </c>
      <c r="Y124" s="619">
        <f>IFERROR(SUM(Y119:Y122),"0")</f>
        <v>542.69999999999993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50</v>
      </c>
      <c r="Y126" s="618">
        <f>IFERROR(IF(X126="",0,CEILING((X126/$H126),1)*$H126),"")</f>
        <v>51.48</v>
      </c>
      <c r="Z126" s="36">
        <f>IFERROR(IF(Y126=0,"",ROUNDUP(Y126/H126,0)*0.00651),"")</f>
        <v>0.16925999999999999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56.515151515151516</v>
      </c>
      <c r="BN126" s="64">
        <f>IFERROR(Y126*I126/H126,"0")</f>
        <v>58.187999999999995</v>
      </c>
      <c r="BO126" s="64">
        <f>IFERROR(1/J126*(X126/H126),"0")</f>
        <v>0.13875013875013875</v>
      </c>
      <c r="BP126" s="64">
        <f>IFERROR(1/J126*(Y126/H126),"0")</f>
        <v>0.14285714285714288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25.252525252525253</v>
      </c>
      <c r="Y127" s="619">
        <f>IFERROR(Y126/H126,"0")</f>
        <v>26</v>
      </c>
      <c r="Z127" s="619">
        <f>IFERROR(IF(Z126="",0,Z126),"0")</f>
        <v>0.16925999999999999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50</v>
      </c>
      <c r="Y128" s="619">
        <f>IFERROR(SUM(Y126:Y126),"0")</f>
        <v>51.48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8.3333333333333339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9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4.5179999999999998E-2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14</v>
      </c>
      <c r="Y182" s="619">
        <f>IFERROR(SUM(Y171:Y180),"0")</f>
        <v>15.12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20"/>
      <c r="AB227" s="620"/>
      <c r="AC227" s="620"/>
    </row>
    <row r="228" spans="1:68" hidden="1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0</v>
      </c>
      <c r="Y228" s="619">
        <f>IFERROR(SUM(Y214:Y226),"0")</f>
        <v>0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129</v>
      </c>
      <c r="Y261" s="618">
        <f t="shared" si="31"/>
        <v>129.60000000000002</v>
      </c>
      <c r="Z261" s="36">
        <f>IFERROR(IF(Y261=0,"",ROUNDUP(Y261/H261,0)*0.00902),"")</f>
        <v>0.21648000000000001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133.53888888888889</v>
      </c>
      <c r="BN261" s="64">
        <f t="shared" si="33"/>
        <v>134.16</v>
      </c>
      <c r="BO261" s="64">
        <f t="shared" si="34"/>
        <v>0.18097643097643096</v>
      </c>
      <c r="BP261" s="64">
        <f t="shared" si="35"/>
        <v>0.18181818181818185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23.888888888888886</v>
      </c>
      <c r="Y267" s="619">
        <f>IFERROR(Y259/H259,"0")+IFERROR(Y260/H260,"0")+IFERROR(Y261/H261,"0")+IFERROR(Y262/H262,"0")+IFERROR(Y263/H263,"0")+IFERROR(Y264/H264,"0")+IFERROR(Y265/H265,"0")+IFERROR(Y266/H266,"0")</f>
        <v>24.000000000000004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0.21648000000000001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129</v>
      </c>
      <c r="Y268" s="619">
        <f>IFERROR(SUM(Y259:Y266),"0")</f>
        <v>129.60000000000002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103</v>
      </c>
      <c r="Y271" s="618">
        <f t="shared" si="36"/>
        <v>105.3</v>
      </c>
      <c r="Z271" s="36">
        <f>IFERROR(IF(Y271=0,"",ROUNDUP(Y271/H271,0)*0.01898),"")</f>
        <v>0.24674000000000001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109.05283950617286</v>
      </c>
      <c r="BN271" s="64">
        <f t="shared" si="38"/>
        <v>111.48800000000001</v>
      </c>
      <c r="BO271" s="64">
        <f t="shared" si="39"/>
        <v>0.19868827160493829</v>
      </c>
      <c r="BP271" s="64">
        <f t="shared" si="40"/>
        <v>0.203125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83</v>
      </c>
      <c r="Y273" s="618">
        <f t="shared" si="36"/>
        <v>84</v>
      </c>
      <c r="Z273" s="36">
        <f>IFERROR(IF(Y273=0,"",ROUNDUP(Y273/H273,0)*0.00651),"")</f>
        <v>0.22785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92.337499999999991</v>
      </c>
      <c r="BN273" s="64">
        <f t="shared" si="38"/>
        <v>93.45</v>
      </c>
      <c r="BO273" s="64">
        <f t="shared" si="39"/>
        <v>0.19001831501831504</v>
      </c>
      <c r="BP273" s="64">
        <f t="shared" si="40"/>
        <v>0.19230769230769232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485</v>
      </c>
      <c r="Y276" s="618">
        <f t="shared" si="36"/>
        <v>487.2</v>
      </c>
      <c r="Z276" s="36">
        <f>IFERROR(IF(Y276=0,"",ROUNDUP(Y276/H276,0)*0.00651),"")</f>
        <v>1.3215300000000001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535.92500000000007</v>
      </c>
      <c r="BN276" s="64">
        <f t="shared" si="38"/>
        <v>538.35599999999999</v>
      </c>
      <c r="BO276" s="64">
        <f t="shared" si="39"/>
        <v>1.1103479853479854</v>
      </c>
      <c r="BP276" s="64">
        <f t="shared" si="40"/>
        <v>1.1153846153846154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187</v>
      </c>
      <c r="Y278" s="618">
        <f t="shared" si="36"/>
        <v>187.2</v>
      </c>
      <c r="Z278" s="36">
        <f>IFERROR(IF(Y278=0,"",ROUNDUP(Y278/H278,0)*0.00651),"")</f>
        <v>0.50778000000000001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206.63500000000002</v>
      </c>
      <c r="BN278" s="64">
        <f t="shared" si="38"/>
        <v>206.85600000000002</v>
      </c>
      <c r="BO278" s="64">
        <f t="shared" si="39"/>
        <v>0.42811355311355315</v>
      </c>
      <c r="BP278" s="64">
        <f t="shared" si="40"/>
        <v>0.4285714285714286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92</v>
      </c>
      <c r="Y280" s="618">
        <f t="shared" si="36"/>
        <v>93.6</v>
      </c>
      <c r="Z280" s="36">
        <f>IFERROR(IF(Y280=0,"",ROUNDUP(Y280/H280,0)*0.00651),"")</f>
        <v>0.25389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101.89</v>
      </c>
      <c r="BN280" s="64">
        <f t="shared" si="38"/>
        <v>103.66199999999999</v>
      </c>
      <c r="BO280" s="64">
        <f t="shared" si="39"/>
        <v>0.21062271062271065</v>
      </c>
      <c r="BP280" s="64">
        <f t="shared" si="40"/>
        <v>0.2142857142857143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365.63271604938274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2.5577900000000002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950</v>
      </c>
      <c r="Y283" s="619">
        <f>IFERROR(SUM(Y270:Y281),"0")</f>
        <v>957.30000000000007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166</v>
      </c>
      <c r="Y347" s="618">
        <f>IFERROR(IF(X347="",0,CEILING((X347/$H347),1)*$H347),"")</f>
        <v>171.6</v>
      </c>
      <c r="Z347" s="36">
        <f>IFERROR(IF(Y347=0,"",ROUNDUP(Y347/H347,0)*0.01898),"")</f>
        <v>0.41755999999999999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174.72564102564104</v>
      </c>
      <c r="BN347" s="64">
        <f>IFERROR(Y347*I347/H347,"0")</f>
        <v>180.62</v>
      </c>
      <c r="BO347" s="64">
        <f>IFERROR(1/J347*(X347/H347),"0")</f>
        <v>0.33253205128205127</v>
      </c>
      <c r="BP347" s="64">
        <f>IFERROR(1/J347*(Y347/H347),"0")</f>
        <v>0.34375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21.282051282051281</v>
      </c>
      <c r="Y349" s="619">
        <f>IFERROR(Y346/H346,"0")+IFERROR(Y347/H347,"0")+IFERROR(Y348/H348,"0")</f>
        <v>22</v>
      </c>
      <c r="Z349" s="619">
        <f>IFERROR(IF(Z346="",0,Z346),"0")+IFERROR(IF(Z347="",0,Z347),"0")+IFERROR(IF(Z348="",0,Z348),"0")</f>
        <v>0.41755999999999999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166</v>
      </c>
      <c r="Y350" s="619">
        <f>IFERROR(SUM(Y346:Y348),"0")</f>
        <v>171.6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258</v>
      </c>
      <c r="Y381" s="618">
        <f>IFERROR(IF(X381="",0,CEILING((X381/$H381),1)*$H381),"")</f>
        <v>265.2</v>
      </c>
      <c r="Z381" s="36">
        <f>IFERROR(IF(Y381=0,"",ROUNDUP(Y381/H381,0)*0.01898),"")</f>
        <v>0.64532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274.34000000000003</v>
      </c>
      <c r="BN381" s="64">
        <f>IFERROR(Y381*I381/H381,"0")</f>
        <v>281.99599999999998</v>
      </c>
      <c r="BO381" s="64">
        <f>IFERROR(1/J381*(X381/H381),"0")</f>
        <v>0.51682692307692313</v>
      </c>
      <c r="BP381" s="64">
        <f>IFERROR(1/J381*(Y381/H381),"0")</f>
        <v>0.53125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33.07692307692308</v>
      </c>
      <c r="Y383" s="619">
        <f>IFERROR(Y380/H380,"0")+IFERROR(Y381/H381,"0")+IFERROR(Y382/H382,"0")</f>
        <v>34</v>
      </c>
      <c r="Z383" s="619">
        <f>IFERROR(IF(Z380="",0,Z380),"0")+IFERROR(IF(Z381="",0,Z381),"0")+IFERROR(IF(Z382="",0,Z382),"0")</f>
        <v>0.64532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258</v>
      </c>
      <c r="Y384" s="619">
        <f>IFERROR(SUM(Y380:Y382),"0")</f>
        <v>265.2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7</v>
      </c>
      <c r="Y389" s="618">
        <f>IFERROR(IF(X389="",0,CEILING((X389/$H389),1)*$H389),"")</f>
        <v>7.6499999999999995</v>
      </c>
      <c r="Z389" s="36">
        <f>IFERROR(IF(Y389=0,"",ROUNDUP(Y389/H389,0)*0.00651),"")</f>
        <v>1.9529999999999999E-2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7.9058823529411768</v>
      </c>
      <c r="BN389" s="64">
        <f>IFERROR(Y389*I389/H389,"0")</f>
        <v>8.6399999999999988</v>
      </c>
      <c r="BO389" s="64">
        <f>IFERROR(1/J389*(X389/H389),"0")</f>
        <v>1.508295625942685E-2</v>
      </c>
      <c r="BP389" s="64">
        <f>IFERROR(1/J389*(Y389/H389),"0")</f>
        <v>1.6483516483516484E-2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2.7450980392156863</v>
      </c>
      <c r="Y390" s="619">
        <f>IFERROR(Y386/H386,"0")+IFERROR(Y387/H387,"0")+IFERROR(Y388/H388,"0")+IFERROR(Y389/H389,"0")</f>
        <v>3</v>
      </c>
      <c r="Z390" s="619">
        <f>IFERROR(IF(Z386="",0,Z386),"0")+IFERROR(IF(Z387="",0,Z387),"0")+IFERROR(IF(Z388="",0,Z388),"0")+IFERROR(IF(Z389="",0,Z389),"0")</f>
        <v>1.9529999999999999E-2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7</v>
      </c>
      <c r="Y391" s="619">
        <f>IFERROR(SUM(Y386:Y389),"0")</f>
        <v>7.6499999999999995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5</v>
      </c>
      <c r="Y396" s="619">
        <f>IFERROR(Y393/H393,"0")+IFERROR(Y394/H394,"0")+IFERROR(Y395/H395,"0")</f>
        <v>5</v>
      </c>
      <c r="Z396" s="619">
        <f>IFERROR(IF(Z393="",0,Z393),"0")+IFERROR(IF(Z394="",0,Z394),"0")+IFERROR(IF(Z395="",0,Z395),"0")</f>
        <v>2.3700000000000002E-2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10</v>
      </c>
      <c r="Y397" s="619">
        <f>IFERROR(SUM(Y393:Y395),"0")</f>
        <v>10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72</v>
      </c>
      <c r="Y413" s="618">
        <f>IFERROR(IF(X413="",0,CEILING((X413/$H413),1)*$H413),"")</f>
        <v>73.5</v>
      </c>
      <c r="Z413" s="36">
        <f>IFERROR(IF(Y413=0,"",ROUNDUP(Y413/H413,0)*0.00651),"")</f>
        <v>0.22785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80.64</v>
      </c>
      <c r="BN413" s="64">
        <f>IFERROR(Y413*I413/H413,"0")</f>
        <v>82.32</v>
      </c>
      <c r="BO413" s="64">
        <f>IFERROR(1/J413*(X413/H413),"0")</f>
        <v>0.18838304552590268</v>
      </c>
      <c r="BP413" s="64">
        <f>IFERROR(1/J413*(Y413/H413),"0")</f>
        <v>0.19230769230769232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34.285714285714285</v>
      </c>
      <c r="Y415" s="619">
        <f>IFERROR(Y412/H412,"0")+IFERROR(Y413/H413,"0")+IFERROR(Y414/H414,"0")</f>
        <v>35</v>
      </c>
      <c r="Z415" s="619">
        <f>IFERROR(IF(Z412="",0,Z412),"0")+IFERROR(IF(Z413="",0,Z413),"0")+IFERROR(IF(Z414="",0,Z414),"0")</f>
        <v>0.22785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72</v>
      </c>
      <c r="Y416" s="619">
        <f>IFERROR(SUM(Y412:Y414),"0")</f>
        <v>73.5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1030</v>
      </c>
      <c r="Y421" s="618">
        <f t="shared" si="61"/>
        <v>1035</v>
      </c>
      <c r="Z421" s="36">
        <f>IFERROR(IF(Y421=0,"",ROUNDUP(Y421/H421,0)*0.02175),"")</f>
        <v>1.5007499999999998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1062.2733333333333</v>
      </c>
      <c r="BN421" s="64">
        <f t="shared" si="63"/>
        <v>1067.43</v>
      </c>
      <c r="BO421" s="64">
        <f t="shared" si="64"/>
        <v>1.4305555555555556</v>
      </c>
      <c r="BP421" s="64">
        <f t="shared" si="65"/>
        <v>1.4375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690</v>
      </c>
      <c r="Y422" s="618">
        <f t="shared" si="61"/>
        <v>690</v>
      </c>
      <c r="Z422" s="36">
        <f>IFERROR(IF(Y422=0,"",ROUNDUP(Y422/H422,0)*0.02175),"")</f>
        <v>1.0004999999999999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711.62000000000012</v>
      </c>
      <c r="BN422" s="64">
        <f t="shared" si="63"/>
        <v>711.62000000000012</v>
      </c>
      <c r="BO422" s="64">
        <f t="shared" si="64"/>
        <v>0.95833333333333326</v>
      </c>
      <c r="BP422" s="64">
        <f t="shared" si="65"/>
        <v>0.95833333333333326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618</v>
      </c>
      <c r="Y423" s="618">
        <f t="shared" si="61"/>
        <v>630</v>
      </c>
      <c r="Z423" s="36">
        <f>IFERROR(IF(Y423=0,"",ROUNDUP(Y423/H423,0)*0.02175),"")</f>
        <v>0.91349999999999998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637.36400000000003</v>
      </c>
      <c r="BN423" s="64">
        <f t="shared" si="63"/>
        <v>649.74</v>
      </c>
      <c r="BO423" s="64">
        <f t="shared" si="64"/>
        <v>0.85833333333333339</v>
      </c>
      <c r="BP423" s="64">
        <f t="shared" si="65"/>
        <v>0.875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998</v>
      </c>
      <c r="Y424" s="618">
        <f t="shared" si="61"/>
        <v>1005</v>
      </c>
      <c r="Z424" s="36">
        <f>IFERROR(IF(Y424=0,"",ROUNDUP(Y424/H424,0)*0.02175),"")</f>
        <v>1.4572499999999999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1029.2706666666668</v>
      </c>
      <c r="BN424" s="64">
        <f t="shared" si="63"/>
        <v>1036.49</v>
      </c>
      <c r="BO424" s="64">
        <f t="shared" si="64"/>
        <v>1.3861111111111111</v>
      </c>
      <c r="BP424" s="64">
        <f t="shared" si="65"/>
        <v>1.3958333333333333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222.4</v>
      </c>
      <c r="Y428" s="619">
        <f>IFERROR(Y420/H420,"0")+IFERROR(Y421/H421,"0")+IFERROR(Y422/H422,"0")+IFERROR(Y423/H423,"0")+IFERROR(Y424/H424,"0")+IFERROR(Y425/H425,"0")+IFERROR(Y426/H426,"0")+IFERROR(Y427/H427,"0")</f>
        <v>224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4.8719999999999999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3336</v>
      </c>
      <c r="Y429" s="619">
        <f>IFERROR(SUM(Y420:Y427),"0")</f>
        <v>3360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1288</v>
      </c>
      <c r="Y431" s="618">
        <f>IFERROR(IF(X431="",0,CEILING((X431/$H431),1)*$H431),"")</f>
        <v>1290</v>
      </c>
      <c r="Z431" s="36">
        <f>IFERROR(IF(Y431=0,"",ROUNDUP(Y431/H431,0)*0.02175),"")</f>
        <v>1.8704999999999998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1328.3573333333334</v>
      </c>
      <c r="BN431" s="64">
        <f>IFERROR(Y431*I431/H431,"0")</f>
        <v>1330.4199999999998</v>
      </c>
      <c r="BO431" s="64">
        <f>IFERROR(1/J431*(X431/H431),"0")</f>
        <v>1.7888888888888888</v>
      </c>
      <c r="BP431" s="64">
        <f>IFERROR(1/J431*(Y431/H431),"0")</f>
        <v>1.7916666666666665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85.86666666666666</v>
      </c>
      <c r="Y434" s="619">
        <f>IFERROR(Y431/H431,"0")+IFERROR(Y432/H432,"0")+IFERROR(Y433/H433,"0")</f>
        <v>86</v>
      </c>
      <c r="Z434" s="619">
        <f>IFERROR(IF(Z431="",0,Z431),"0")+IFERROR(IF(Z432="",0,Z432),"0")+IFERROR(IF(Z433="",0,Z433),"0")</f>
        <v>1.8704999999999998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1288</v>
      </c>
      <c r="Y435" s="619">
        <f>IFERROR(SUM(Y431:Y433),"0")</f>
        <v>1290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1030</v>
      </c>
      <c r="Y495" s="618">
        <f t="shared" si="71"/>
        <v>1034.8800000000001</v>
      </c>
      <c r="Z495" s="36">
        <f>IFERROR(IF(Y495=0,"",ROUNDUP(Y495/H495,0)*0.01196),"")</f>
        <v>2.34416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1098.276515151515</v>
      </c>
      <c r="BN495" s="64">
        <f t="shared" si="73"/>
        <v>1103.48</v>
      </c>
      <c r="BO495" s="64">
        <f t="shared" si="74"/>
        <v>1.8757284382284383</v>
      </c>
      <c r="BP495" s="64">
        <f t="shared" si="75"/>
        <v>1.8846153846153848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2092</v>
      </c>
      <c r="Y496" s="618">
        <f t="shared" si="71"/>
        <v>2096.1600000000003</v>
      </c>
      <c r="Z496" s="36">
        <f>IFERROR(IF(Y496=0,"",ROUNDUP(Y496/H496,0)*0.01196),"")</f>
        <v>4.7481200000000001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2230.674242424242</v>
      </c>
      <c r="BN496" s="64">
        <f t="shared" si="73"/>
        <v>2235.11</v>
      </c>
      <c r="BO496" s="64">
        <f t="shared" si="74"/>
        <v>3.8097319347319347</v>
      </c>
      <c r="BP496" s="64">
        <f t="shared" si="75"/>
        <v>3.817307692307693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591.28787878787875</v>
      </c>
      <c r="Y500" s="619">
        <f>IFERROR(Y492/H492,"0")+IFERROR(Y493/H493,"0")+IFERROR(Y494/H494,"0")+IFERROR(Y495/H495,"0")+IFERROR(Y496/H496,"0")+IFERROR(Y497/H497,"0")+IFERROR(Y498/H498,"0")+IFERROR(Y499/H499,"0")</f>
        <v>593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7.0922800000000006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3122</v>
      </c>
      <c r="Y501" s="619">
        <f>IFERROR(SUM(Y492:Y499),"0")</f>
        <v>3131.0400000000004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1030</v>
      </c>
      <c r="Y503" s="618">
        <f>IFERROR(IF(X503="",0,CEILING((X503/$H503),1)*$H503),"")</f>
        <v>1034.8800000000001</v>
      </c>
      <c r="Z503" s="36">
        <f>IFERROR(IF(Y503=0,"",ROUNDUP(Y503/H503,0)*0.01196),"")</f>
        <v>2.34416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1098.276515151515</v>
      </c>
      <c r="BN503" s="64">
        <f>IFERROR(Y503*I503/H503,"0")</f>
        <v>1103.48</v>
      </c>
      <c r="BO503" s="64">
        <f>IFERROR(1/J503*(X503/H503),"0")</f>
        <v>1.8757284382284383</v>
      </c>
      <c r="BP503" s="64">
        <f>IFERROR(1/J503*(Y503/H503),"0")</f>
        <v>1.8846153846153848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124</v>
      </c>
      <c r="Y505" s="618">
        <f>IFERROR(IF(X505="",0,CEILING((X505/$H505),1)*$H505),"")</f>
        <v>124.8</v>
      </c>
      <c r="Z505" s="36">
        <f>IFERROR(IF(Y505=0,"",ROUNDUP(Y505/H505,0)*0.00902),"")</f>
        <v>0.23452000000000001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178.50833333333335</v>
      </c>
      <c r="BN505" s="64">
        <f>IFERROR(Y505*I505/H505,"0")</f>
        <v>179.66000000000003</v>
      </c>
      <c r="BO505" s="64">
        <f>IFERROR(1/J505*(X505/H505),"0")</f>
        <v>0.19570707070707072</v>
      </c>
      <c r="BP505" s="64">
        <f>IFERROR(1/J505*(Y505/H505),"0")</f>
        <v>0.19696969696969696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220.90909090909091</v>
      </c>
      <c r="Y506" s="619">
        <f>IFERROR(Y503/H503,"0")+IFERROR(Y504/H504,"0")+IFERROR(Y505/H505,"0")</f>
        <v>222</v>
      </c>
      <c r="Z506" s="619">
        <f>IFERROR(IF(Z503="",0,Z503),"0")+IFERROR(IF(Z504="",0,Z504),"0")+IFERROR(IF(Z505="",0,Z505),"0")</f>
        <v>2.5786799999999999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1154</v>
      </c>
      <c r="Y507" s="619">
        <f>IFERROR(SUM(Y503:Y505),"0")</f>
        <v>1159.68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386</v>
      </c>
      <c r="Y510" s="618">
        <f t="shared" si="76"/>
        <v>390.72</v>
      </c>
      <c r="Z510" s="36">
        <f>IFERROR(IF(Y510=0,"",ROUNDUP(Y510/H510,0)*0.01196),"")</f>
        <v>0.88504000000000005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411.58712121212119</v>
      </c>
      <c r="BN510" s="64">
        <f t="shared" si="78"/>
        <v>416.62</v>
      </c>
      <c r="BO510" s="64">
        <f t="shared" si="79"/>
        <v>0.70294289044289049</v>
      </c>
      <c r="BP510" s="64">
        <f t="shared" si="80"/>
        <v>0.71153846153846156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258</v>
      </c>
      <c r="Y511" s="618">
        <f t="shared" si="76"/>
        <v>258.72000000000003</v>
      </c>
      <c r="Z511" s="36">
        <f>IFERROR(IF(Y511=0,"",ROUNDUP(Y511/H511,0)*0.01196),"")</f>
        <v>0.58604000000000001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275.10227272727269</v>
      </c>
      <c r="BN511" s="64">
        <f t="shared" si="78"/>
        <v>275.87</v>
      </c>
      <c r="BO511" s="64">
        <f t="shared" si="79"/>
        <v>0.46984265734265734</v>
      </c>
      <c r="BP511" s="64">
        <f t="shared" si="80"/>
        <v>0.4711538461538462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121.96969696969697</v>
      </c>
      <c r="Y516" s="619">
        <f>IFERROR(Y509/H509,"0")+IFERROR(Y510/H510,"0")+IFERROR(Y511/H511,"0")+IFERROR(Y512/H512,"0")+IFERROR(Y513/H513,"0")+IFERROR(Y514/H514,"0")+IFERROR(Y515/H515,"0")</f>
        <v>123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1.4710800000000002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644</v>
      </c>
      <c r="Y517" s="619">
        <f>IFERROR(SUM(Y509:Y515),"0")</f>
        <v>649.44000000000005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14444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14539.51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15249.2378415604</v>
      </c>
      <c r="Y547" s="619">
        <f>IFERROR(SUM(BN22:BN543),"0")</f>
        <v>15350.222000000002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25</v>
      </c>
      <c r="Y548" s="38">
        <f>ROUNDUP(SUM(BP22:BP543),0)</f>
        <v>25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15874.2378415604</v>
      </c>
      <c r="Y549" s="619">
        <f>GrossWeightTotalR+PalletQtyTotalR*25</f>
        <v>15975.222000000002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2116.584904529022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2132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28.533929999999998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1803.6000000000001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179.10000000000002</v>
      </c>
      <c r="F556" s="46">
        <f>IFERROR(Y84*1,"0")+IFERROR(Y85*1,"0")+IFERROR(Y86*1,"0")+IFERROR(Y87*1,"0")+IFERROR(Y88*1,"0")+IFERROR(Y89*1,"0")+IFERROR(Y93*1,"0")+IFERROR(Y94*1,"0")+IFERROR(Y95*1,"0")+IFERROR(Y96*1,"0")</f>
        <v>364.5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972.18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15.12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1086.8999999999999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171.6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282.84999999999997</v>
      </c>
      <c r="U556" s="46">
        <f>IFERROR(Y406*1,"0")+IFERROR(Y407*1,"0")</f>
        <v>0</v>
      </c>
      <c r="V556" s="46">
        <f>IFERROR(Y412*1,"0")+IFERROR(Y413*1,"0")+IFERROR(Y414*1,"0")</f>
        <v>73.5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4650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4940.1600000000008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154,00"/>
        <filter val="1 288,00"/>
        <filter val="1 803,00"/>
        <filter val="10,00"/>
        <filter val="103,00"/>
        <filter val="121,97"/>
        <filter val="124,00"/>
        <filter val="129,00"/>
        <filter val="14 444,00"/>
        <filter val="14,00"/>
        <filter val="15 249,24"/>
        <filter val="15 874,24"/>
        <filter val="158,00"/>
        <filter val="166,00"/>
        <filter val="166,94"/>
        <filter val="175,00"/>
        <filter val="187,00"/>
        <filter val="2 092,00"/>
        <filter val="2 116,58"/>
        <filter val="2,75"/>
        <filter val="206,00"/>
        <filter val="21,28"/>
        <filter val="22,17"/>
        <filter val="220,91"/>
        <filter val="222,40"/>
        <filter val="23,89"/>
        <filter val="25"/>
        <filter val="25,25"/>
        <filter val="258,00"/>
        <filter val="3 122,00"/>
        <filter val="3 336,00"/>
        <filter val="33,08"/>
        <filter val="34,29"/>
        <filter val="361,00"/>
        <filter val="364,00"/>
        <filter val="365,63"/>
        <filter val="386,00"/>
        <filter val="44,57"/>
        <filter val="46,00"/>
        <filter val="485,00"/>
        <filter val="5,00"/>
        <filter val="50,00"/>
        <filter val="54,19"/>
        <filter val="541,00"/>
        <filter val="591,29"/>
        <filter val="618,00"/>
        <filter val="644,00"/>
        <filter val="66,79"/>
        <filter val="690,00"/>
        <filter val="7,00"/>
        <filter val="72,00"/>
        <filter val="8,33"/>
        <filter val="83,00"/>
        <filter val="85,87"/>
        <filter val="92,00"/>
        <filter val="950,00"/>
        <filter val="998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