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8067802-2E23-4D88-90A3-2A7751EF7F7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Z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X475" i="2"/>
  <c r="X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P462" i="2"/>
  <c r="X459" i="2"/>
  <c r="X458" i="2"/>
  <c r="BO457" i="2"/>
  <c r="BM457" i="2"/>
  <c r="Y457" i="2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Y427" i="2"/>
  <c r="BN427" i="2" s="1"/>
  <c r="P427" i="2"/>
  <c r="BO426" i="2"/>
  <c r="BM426" i="2"/>
  <c r="Y426" i="2"/>
  <c r="P426" i="2"/>
  <c r="BO425" i="2"/>
  <c r="BM425" i="2"/>
  <c r="Y425" i="2"/>
  <c r="BP425" i="2" s="1"/>
  <c r="P425" i="2"/>
  <c r="X422" i="2"/>
  <c r="X421" i="2"/>
  <c r="BO420" i="2"/>
  <c r="BM420" i="2"/>
  <c r="Y420" i="2"/>
  <c r="Z420" i="2" s="1"/>
  <c r="P420" i="2"/>
  <c r="BO419" i="2"/>
  <c r="BM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O412" i="2"/>
  <c r="BM412" i="2"/>
  <c r="Y412" i="2"/>
  <c r="BP412" i="2" s="1"/>
  <c r="P412" i="2"/>
  <c r="X410" i="2"/>
  <c r="X409" i="2"/>
  <c r="BO408" i="2"/>
  <c r="BM408" i="2"/>
  <c r="Y408" i="2"/>
  <c r="BP408" i="2" s="1"/>
  <c r="P408" i="2"/>
  <c r="BO407" i="2"/>
  <c r="BM407" i="2"/>
  <c r="Y407" i="2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Y384" i="2" s="1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Y341" i="2" s="1"/>
  <c r="P338" i="2"/>
  <c r="X335" i="2"/>
  <c r="X334" i="2"/>
  <c r="BO333" i="2"/>
  <c r="BM333" i="2"/>
  <c r="Y333" i="2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BP299" i="2" s="1"/>
  <c r="P299" i="2"/>
  <c r="BO298" i="2"/>
  <c r="BM298" i="2"/>
  <c r="Y298" i="2"/>
  <c r="Z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P253" i="2"/>
  <c r="BO252" i="2"/>
  <c r="BM252" i="2"/>
  <c r="Y252" i="2"/>
  <c r="BP252" i="2" s="1"/>
  <c r="P252" i="2"/>
  <c r="BO251" i="2"/>
  <c r="BM251" i="2"/>
  <c r="Y251" i="2"/>
  <c r="Y255" i="2" s="1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Y202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P192" i="2"/>
  <c r="BO191" i="2"/>
  <c r="BM191" i="2"/>
  <c r="Y191" i="2"/>
  <c r="P191" i="2"/>
  <c r="BO190" i="2"/>
  <c r="BM190" i="2"/>
  <c r="Y190" i="2"/>
  <c r="Y194" i="2" s="1"/>
  <c r="P190" i="2"/>
  <c r="X188" i="2"/>
  <c r="X187" i="2"/>
  <c r="BO186" i="2"/>
  <c r="BM186" i="2"/>
  <c r="Y186" i="2"/>
  <c r="Z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P123" i="2"/>
  <c r="BO122" i="2"/>
  <c r="BM122" i="2"/>
  <c r="Y122" i="2"/>
  <c r="BP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BN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P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P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F10" i="2" s="1"/>
  <c r="D7" i="2"/>
  <c r="Q6" i="2"/>
  <c r="P2" i="2"/>
  <c r="Z286" i="2" l="1"/>
  <c r="BN286" i="2"/>
  <c r="Z207" i="2"/>
  <c r="BN207" i="2"/>
  <c r="Y416" i="2"/>
  <c r="Z58" i="2"/>
  <c r="BN58" i="2"/>
  <c r="Z145" i="2"/>
  <c r="BN145" i="2"/>
  <c r="Y146" i="2"/>
  <c r="Z150" i="2"/>
  <c r="Z239" i="2"/>
  <c r="BN239" i="2"/>
  <c r="Z348" i="2"/>
  <c r="BN348" i="2"/>
  <c r="Z479" i="2"/>
  <c r="BN479" i="2"/>
  <c r="Z82" i="2"/>
  <c r="BN82" i="2"/>
  <c r="Z182" i="2"/>
  <c r="Z227" i="2"/>
  <c r="Z272" i="2"/>
  <c r="BN272" i="2"/>
  <c r="Z330" i="2"/>
  <c r="BN330" i="2"/>
  <c r="Z386" i="2"/>
  <c r="BN386" i="2"/>
  <c r="Z436" i="2"/>
  <c r="Z513" i="2"/>
  <c r="BN513" i="2"/>
  <c r="X562" i="2"/>
  <c r="X565" i="2"/>
  <c r="Z27" i="2"/>
  <c r="BN27" i="2"/>
  <c r="Z68" i="2"/>
  <c r="BN68" i="2"/>
  <c r="Z96" i="2"/>
  <c r="BN96" i="2"/>
  <c r="Z111" i="2"/>
  <c r="BN111" i="2"/>
  <c r="Z134" i="2"/>
  <c r="Z136" i="2" s="1"/>
  <c r="BN134" i="2"/>
  <c r="Z211" i="2"/>
  <c r="BN211" i="2"/>
  <c r="Z243" i="2"/>
  <c r="BN243" i="2"/>
  <c r="Z276" i="2"/>
  <c r="BN276" i="2"/>
  <c r="Z306" i="2"/>
  <c r="BN306" i="2"/>
  <c r="Z338" i="2"/>
  <c r="Z366" i="2"/>
  <c r="BN366" i="2"/>
  <c r="Z400" i="2"/>
  <c r="Z427" i="2"/>
  <c r="Z489" i="2"/>
  <c r="BN489" i="2"/>
  <c r="Z536" i="2"/>
  <c r="Z537" i="2" s="1"/>
  <c r="BN536" i="2"/>
  <c r="BP536" i="2"/>
  <c r="Y77" i="2"/>
  <c r="Z279" i="2"/>
  <c r="BN279" i="2"/>
  <c r="Z299" i="2"/>
  <c r="Z300" i="2" s="1"/>
  <c r="BN299" i="2"/>
  <c r="Z304" i="2"/>
  <c r="Z310" i="2"/>
  <c r="BN310" i="2"/>
  <c r="Z322" i="2"/>
  <c r="BN322" i="2"/>
  <c r="Z340" i="2"/>
  <c r="BN340" i="2"/>
  <c r="Z524" i="2"/>
  <c r="BN524" i="2"/>
  <c r="Z540" i="2"/>
  <c r="Z541" i="2" s="1"/>
  <c r="Y264" i="2"/>
  <c r="B571" i="2"/>
  <c r="X563" i="2"/>
  <c r="X561" i="2"/>
  <c r="Z29" i="2"/>
  <c r="Z40" i="2"/>
  <c r="BN40" i="2"/>
  <c r="BP49" i="2"/>
  <c r="Z62" i="2"/>
  <c r="BN62" i="2"/>
  <c r="Z89" i="2"/>
  <c r="BN89" i="2"/>
  <c r="Z107" i="2"/>
  <c r="BN107" i="2"/>
  <c r="Z117" i="2"/>
  <c r="BN117" i="2"/>
  <c r="Z122" i="2"/>
  <c r="BN122" i="2"/>
  <c r="Y127" i="2"/>
  <c r="Z140" i="2"/>
  <c r="BN140" i="2"/>
  <c r="Z167" i="2"/>
  <c r="BN167" i="2"/>
  <c r="Z181" i="2"/>
  <c r="Z184" i="2"/>
  <c r="BN184" i="2"/>
  <c r="Z200" i="2"/>
  <c r="Z201" i="2" s="1"/>
  <c r="BN200" i="2"/>
  <c r="BP200" i="2"/>
  <c r="Y201" i="2"/>
  <c r="Z209" i="2"/>
  <c r="Z226" i="2"/>
  <c r="Z229" i="2"/>
  <c r="BN229" i="2"/>
  <c r="Z233" i="2"/>
  <c r="BN233" i="2"/>
  <c r="Z246" i="2"/>
  <c r="BN246" i="2"/>
  <c r="Z252" i="2"/>
  <c r="BN252" i="2"/>
  <c r="Z353" i="2"/>
  <c r="BN353" i="2"/>
  <c r="Y355" i="2"/>
  <c r="Z376" i="2"/>
  <c r="BN376" i="2"/>
  <c r="BP376" i="2"/>
  <c r="Z402" i="2"/>
  <c r="BN402" i="2"/>
  <c r="Z425" i="2"/>
  <c r="BN425" i="2"/>
  <c r="Z435" i="2"/>
  <c r="Z438" i="2"/>
  <c r="BN438" i="2"/>
  <c r="Y542" i="2"/>
  <c r="BP39" i="2"/>
  <c r="BN39" i="2"/>
  <c r="Z39" i="2"/>
  <c r="D571" i="2"/>
  <c r="BP47" i="2"/>
  <c r="BN47" i="2"/>
  <c r="Z47" i="2"/>
  <c r="BP63" i="2"/>
  <c r="BN63" i="2"/>
  <c r="Z63" i="2"/>
  <c r="BP90" i="2"/>
  <c r="BN90" i="2"/>
  <c r="Z90" i="2"/>
  <c r="BP99" i="2"/>
  <c r="BN99" i="2"/>
  <c r="Z99" i="2"/>
  <c r="BN108" i="2"/>
  <c r="Z108" i="2"/>
  <c r="BP108" i="2"/>
  <c r="BP206" i="2"/>
  <c r="Z206" i="2"/>
  <c r="Y214" i="2"/>
  <c r="Y218" i="2"/>
  <c r="Y219" i="2"/>
  <c r="Z217" i="2"/>
  <c r="Z218" i="2" s="1"/>
  <c r="BP224" i="2"/>
  <c r="BN224" i="2"/>
  <c r="Z224" i="2"/>
  <c r="BP228" i="2"/>
  <c r="BN228" i="2"/>
  <c r="Z228" i="2"/>
  <c r="BP232" i="2"/>
  <c r="BN232" i="2"/>
  <c r="Z232" i="2"/>
  <c r="Y258" i="2"/>
  <c r="Y259" i="2"/>
  <c r="Z257" i="2"/>
  <c r="Z258" i="2" s="1"/>
  <c r="BN273" i="2"/>
  <c r="Z273" i="2"/>
  <c r="BP273" i="2"/>
  <c r="BP307" i="2"/>
  <c r="BN307" i="2"/>
  <c r="Z307" i="2"/>
  <c r="BN314" i="2"/>
  <c r="Z314" i="2"/>
  <c r="Z315" i="2" s="1"/>
  <c r="Y316" i="2"/>
  <c r="Y315" i="2"/>
  <c r="BP314" i="2"/>
  <c r="Z22" i="2"/>
  <c r="Z24" i="2" s="1"/>
  <c r="BN22" i="2"/>
  <c r="BP22" i="2"/>
  <c r="BN23" i="2"/>
  <c r="BP23" i="2"/>
  <c r="Y24" i="2"/>
  <c r="Y25" i="2"/>
  <c r="Y33" i="2"/>
  <c r="Z28" i="2"/>
  <c r="BN28" i="2"/>
  <c r="BP29" i="2"/>
  <c r="BP31" i="2"/>
  <c r="BN31" i="2"/>
  <c r="Z31" i="2"/>
  <c r="BN41" i="2"/>
  <c r="Z41" i="2"/>
  <c r="E571" i="2"/>
  <c r="BN56" i="2"/>
  <c r="Z60" i="2"/>
  <c r="BP60" i="2"/>
  <c r="Z70" i="2"/>
  <c r="BP70" i="2"/>
  <c r="BN112" i="2"/>
  <c r="BP112" i="2"/>
  <c r="Y120" i="2"/>
  <c r="BP116" i="2"/>
  <c r="BN116" i="2"/>
  <c r="Z116" i="2"/>
  <c r="Y119" i="2"/>
  <c r="Z124" i="2"/>
  <c r="BP124" i="2"/>
  <c r="BP179" i="2"/>
  <c r="BN179" i="2"/>
  <c r="Z179" i="2"/>
  <c r="BP183" i="2"/>
  <c r="BN183" i="2"/>
  <c r="Z183" i="2"/>
  <c r="BN191" i="2"/>
  <c r="Z191" i="2"/>
  <c r="BP191" i="2"/>
  <c r="BP242" i="2"/>
  <c r="BN242" i="2"/>
  <c r="Z242" i="2"/>
  <c r="BN277" i="2"/>
  <c r="BP277" i="2"/>
  <c r="BN278" i="2"/>
  <c r="BP285" i="2"/>
  <c r="BN285" i="2"/>
  <c r="Z285" i="2"/>
  <c r="BN331" i="2"/>
  <c r="BP331" i="2"/>
  <c r="BN332" i="2"/>
  <c r="BP332" i="2"/>
  <c r="BP333" i="2"/>
  <c r="BN333" i="2"/>
  <c r="Z333" i="2"/>
  <c r="Y334" i="2"/>
  <c r="BN346" i="2"/>
  <c r="Z346" i="2"/>
  <c r="BP346" i="2"/>
  <c r="BP407" i="2"/>
  <c r="BN407" i="2"/>
  <c r="Z407" i="2"/>
  <c r="BP426" i="2"/>
  <c r="BN426" i="2"/>
  <c r="Z426" i="2"/>
  <c r="BN439" i="2"/>
  <c r="Z439" i="2"/>
  <c r="BP439" i="2"/>
  <c r="BN480" i="2"/>
  <c r="BP480" i="2"/>
  <c r="BN481" i="2"/>
  <c r="BP481" i="2"/>
  <c r="BP482" i="2"/>
  <c r="BN482" i="2"/>
  <c r="Z482" i="2"/>
  <c r="Y485" i="2"/>
  <c r="BN484" i="2"/>
  <c r="BP484" i="2"/>
  <c r="BP488" i="2"/>
  <c r="BN488" i="2"/>
  <c r="Z488" i="2"/>
  <c r="Y491" i="2"/>
  <c r="Y490" i="2"/>
  <c r="C571" i="2"/>
  <c r="Y52" i="2"/>
  <c r="Y78" i="2"/>
  <c r="BN76" i="2"/>
  <c r="Z80" i="2"/>
  <c r="Z83" i="2" s="1"/>
  <c r="Y84" i="2"/>
  <c r="Y83" i="2"/>
  <c r="BP80" i="2"/>
  <c r="BN80" i="2"/>
  <c r="Y100" i="2"/>
  <c r="Z97" i="2"/>
  <c r="BP106" i="2"/>
  <c r="BN106" i="2"/>
  <c r="Z106" i="2"/>
  <c r="BP110" i="2"/>
  <c r="BN110" i="2"/>
  <c r="Z110" i="2"/>
  <c r="BN118" i="2"/>
  <c r="Z118" i="2"/>
  <c r="BN135" i="2"/>
  <c r="BP135" i="2"/>
  <c r="Y136" i="2"/>
  <c r="Y137" i="2"/>
  <c r="Y142" i="2"/>
  <c r="BP139" i="2"/>
  <c r="BN139" i="2"/>
  <c r="Z139" i="2"/>
  <c r="BN159" i="2"/>
  <c r="Y161" i="2"/>
  <c r="J571" i="2"/>
  <c r="BP164" i="2"/>
  <c r="BN164" i="2"/>
  <c r="Z164" i="2"/>
  <c r="Y173" i="2"/>
  <c r="Y174" i="2"/>
  <c r="Z171" i="2"/>
  <c r="BN185" i="2"/>
  <c r="Z185" i="2"/>
  <c r="BP192" i="2"/>
  <c r="Z192" i="2"/>
  <c r="BP208" i="2"/>
  <c r="BN208" i="2"/>
  <c r="Z208" i="2"/>
  <c r="BP212" i="2"/>
  <c r="BN212" i="2"/>
  <c r="Z212" i="2"/>
  <c r="BN230" i="2"/>
  <c r="Z230" i="2"/>
  <c r="BN234" i="2"/>
  <c r="BP234" i="2"/>
  <c r="BN235" i="2"/>
  <c r="BN240" i="2"/>
  <c r="Z240" i="2"/>
  <c r="BN244" i="2"/>
  <c r="BP244" i="2"/>
  <c r="BN245" i="2"/>
  <c r="BP253" i="2"/>
  <c r="BN253" i="2"/>
  <c r="Z253" i="2"/>
  <c r="Y280" i="2"/>
  <c r="BP275" i="2"/>
  <c r="BN275" i="2"/>
  <c r="Z275" i="2"/>
  <c r="BN283" i="2"/>
  <c r="Z283" i="2"/>
  <c r="BN287" i="2"/>
  <c r="BP287" i="2"/>
  <c r="BN288" i="2"/>
  <c r="BP288" i="2"/>
  <c r="BP289" i="2"/>
  <c r="BN289" i="2"/>
  <c r="Z289" i="2"/>
  <c r="BN291" i="2"/>
  <c r="BP291" i="2"/>
  <c r="BN293" i="2"/>
  <c r="Y320" i="2"/>
  <c r="Y319" i="2"/>
  <c r="BP318" i="2"/>
  <c r="BN318" i="2"/>
  <c r="Z318" i="2"/>
  <c r="Z319" i="2" s="1"/>
  <c r="BN349" i="2"/>
  <c r="Z349" i="2"/>
  <c r="BP349" i="2"/>
  <c r="BN367" i="2"/>
  <c r="BP367" i="2"/>
  <c r="BN368" i="2"/>
  <c r="BP368" i="2"/>
  <c r="BP369" i="2"/>
  <c r="BN369" i="2"/>
  <c r="Z369" i="2"/>
  <c r="T571" i="2"/>
  <c r="BN371" i="2"/>
  <c r="BP371" i="2"/>
  <c r="BN387" i="2"/>
  <c r="BP387" i="2"/>
  <c r="BN388" i="2"/>
  <c r="BP388" i="2"/>
  <c r="BP389" i="2"/>
  <c r="BN389" i="2"/>
  <c r="Z389" i="2"/>
  <c r="Y390" i="2"/>
  <c r="Y391" i="2"/>
  <c r="Y397" i="2"/>
  <c r="Z393" i="2"/>
  <c r="BP393" i="2"/>
  <c r="BP446" i="2"/>
  <c r="Z446" i="2"/>
  <c r="BN456" i="2"/>
  <c r="BP456" i="2"/>
  <c r="BP457" i="2"/>
  <c r="BN457" i="2"/>
  <c r="Z457" i="2"/>
  <c r="Z458" i="2" s="1"/>
  <c r="Y458" i="2"/>
  <c r="Y459" i="2"/>
  <c r="X571" i="2"/>
  <c r="Z462" i="2"/>
  <c r="BP462" i="2"/>
  <c r="BN525" i="2"/>
  <c r="BP525" i="2"/>
  <c r="BN526" i="2"/>
  <c r="BP526" i="2"/>
  <c r="BP527" i="2"/>
  <c r="BN527" i="2"/>
  <c r="Z527" i="2"/>
  <c r="BN529" i="2"/>
  <c r="BP529" i="2"/>
  <c r="Y545" i="2"/>
  <c r="Y546" i="2"/>
  <c r="Y549" i="2"/>
  <c r="BN548" i="2"/>
  <c r="Z548" i="2"/>
  <c r="Z549" i="2" s="1"/>
  <c r="BP552" i="2"/>
  <c r="Z552" i="2"/>
  <c r="BN558" i="2"/>
  <c r="BN81" i="2"/>
  <c r="BP81" i="2"/>
  <c r="F571" i="2"/>
  <c r="BP87" i="2"/>
  <c r="BN91" i="2"/>
  <c r="BP91" i="2"/>
  <c r="BN92" i="2"/>
  <c r="BP92" i="2"/>
  <c r="G571" i="2"/>
  <c r="Y130" i="2"/>
  <c r="Y131" i="2"/>
  <c r="H571" i="2"/>
  <c r="I571" i="2"/>
  <c r="BN152" i="2"/>
  <c r="BP152" i="2"/>
  <c r="BN154" i="2"/>
  <c r="Y168" i="2"/>
  <c r="BP165" i="2"/>
  <c r="Y188" i="2"/>
  <c r="BN177" i="2"/>
  <c r="BP181" i="2"/>
  <c r="Y197" i="2"/>
  <c r="Y198" i="2"/>
  <c r="BP209" i="2"/>
  <c r="BN222" i="2"/>
  <c r="BP226" i="2"/>
  <c r="Y249" i="2"/>
  <c r="Y254" i="2"/>
  <c r="BN263" i="2"/>
  <c r="BN267" i="2"/>
  <c r="BP267" i="2"/>
  <c r="Y269" i="2"/>
  <c r="BN268" i="2"/>
  <c r="Y270" i="2"/>
  <c r="BN298" i="2"/>
  <c r="BP298" i="2"/>
  <c r="Y300" i="2"/>
  <c r="Y301" i="2"/>
  <c r="BP304" i="2"/>
  <c r="BN308" i="2"/>
  <c r="BP308" i="2"/>
  <c r="BN309" i="2"/>
  <c r="BP309" i="2"/>
  <c r="Y311" i="2"/>
  <c r="Y325" i="2"/>
  <c r="BP329" i="2"/>
  <c r="BN329" i="2"/>
  <c r="Z329" i="2"/>
  <c r="Y351" i="2"/>
  <c r="Z345" i="2"/>
  <c r="BP347" i="2"/>
  <c r="BN347" i="2"/>
  <c r="Z347" i="2"/>
  <c r="Y350" i="2"/>
  <c r="S571" i="2"/>
  <c r="Y363" i="2"/>
  <c r="BN360" i="2"/>
  <c r="BP360" i="2"/>
  <c r="Y374" i="2"/>
  <c r="BN377" i="2"/>
  <c r="BP377" i="2"/>
  <c r="BN378" i="2"/>
  <c r="BP378" i="2"/>
  <c r="BP379" i="2"/>
  <c r="BN379" i="2"/>
  <c r="Z379" i="2"/>
  <c r="BN381" i="2"/>
  <c r="BP381" i="2"/>
  <c r="BP395" i="2"/>
  <c r="BN395" i="2"/>
  <c r="Z395" i="2"/>
  <c r="BP401" i="2"/>
  <c r="BN401" i="2"/>
  <c r="Z401" i="2"/>
  <c r="U571" i="2"/>
  <c r="Y422" i="2"/>
  <c r="Y421" i="2"/>
  <c r="BP419" i="2"/>
  <c r="BN419" i="2"/>
  <c r="Z419" i="2"/>
  <c r="Z421" i="2" s="1"/>
  <c r="W571" i="2"/>
  <c r="BP433" i="2"/>
  <c r="BN433" i="2"/>
  <c r="Z433" i="2"/>
  <c r="BP437" i="2"/>
  <c r="BN437" i="2"/>
  <c r="Z437" i="2"/>
  <c r="Y448" i="2"/>
  <c r="BN445" i="2"/>
  <c r="Z445" i="2"/>
  <c r="BP471" i="2"/>
  <c r="Y475" i="2"/>
  <c r="BN472" i="2"/>
  <c r="BP472" i="2"/>
  <c r="Z571" i="2"/>
  <c r="Y496" i="2"/>
  <c r="Z494" i="2"/>
  <c r="Z495" i="2" s="1"/>
  <c r="AA571" i="2"/>
  <c r="BN506" i="2"/>
  <c r="BP506" i="2"/>
  <c r="BP507" i="2"/>
  <c r="BN507" i="2"/>
  <c r="Z507" i="2"/>
  <c r="Y515" i="2"/>
  <c r="BN509" i="2"/>
  <c r="BP509" i="2"/>
  <c r="BN511" i="2"/>
  <c r="BP518" i="2"/>
  <c r="Y522" i="2"/>
  <c r="BN519" i="2"/>
  <c r="BP519" i="2"/>
  <c r="Y532" i="2"/>
  <c r="BP338" i="2"/>
  <c r="Y356" i="2"/>
  <c r="Y404" i="2"/>
  <c r="BP399" i="2"/>
  <c r="BN413" i="2"/>
  <c r="BP413" i="2"/>
  <c r="BN420" i="2"/>
  <c r="BP420" i="2"/>
  <c r="Y429" i="2"/>
  <c r="BP427" i="2"/>
  <c r="Y428" i="2"/>
  <c r="BP435" i="2"/>
  <c r="BN451" i="2"/>
  <c r="Y571" i="2"/>
  <c r="BN499" i="2"/>
  <c r="Y538" i="2"/>
  <c r="BN553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24" i="2" s="1"/>
  <c r="Z359" i="2"/>
  <c r="Z362" i="2" s="1"/>
  <c r="BP361" i="2"/>
  <c r="Z370" i="2"/>
  <c r="BP372" i="2"/>
  <c r="Z380" i="2"/>
  <c r="BP382" i="2"/>
  <c r="Z412" i="2"/>
  <c r="Z415" i="2" s="1"/>
  <c r="BP414" i="2"/>
  <c r="Y441" i="2"/>
  <c r="BP450" i="2"/>
  <c r="Y464" i="2"/>
  <c r="Z471" i="2"/>
  <c r="Z474" i="2" s="1"/>
  <c r="BP473" i="2"/>
  <c r="Z483" i="2"/>
  <c r="BP498" i="2"/>
  <c r="Z508" i="2"/>
  <c r="BP510" i="2"/>
  <c r="Z518" i="2"/>
  <c r="Z521" i="2" s="1"/>
  <c r="BP520" i="2"/>
  <c r="Z528" i="2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64" i="2" s="1"/>
  <c r="Z293" i="2"/>
  <c r="Y442" i="2"/>
  <c r="Z451" i="2"/>
  <c r="Y465" i="2"/>
  <c r="Z499" i="2"/>
  <c r="Z511" i="2"/>
  <c r="Z558" i="2"/>
  <c r="Z559" i="2" s="1"/>
  <c r="R571" i="2"/>
  <c r="J9" i="2"/>
  <c r="Z71" i="2"/>
  <c r="Z172" i="2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69" i="2" s="1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408" i="2"/>
  <c r="Z434" i="2"/>
  <c r="Z444" i="2"/>
  <c r="Z467" i="2"/>
  <c r="Z468" i="2" s="1"/>
  <c r="BP494" i="2"/>
  <c r="Z514" i="2"/>
  <c r="BP540" i="2"/>
  <c r="Z48" i="2"/>
  <c r="Z59" i="2"/>
  <c r="Y114" i="2"/>
  <c r="Z180" i="2"/>
  <c r="Z190" i="2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Y559" i="2"/>
  <c r="BP48" i="2"/>
  <c r="Z57" i="2"/>
  <c r="Y93" i="2"/>
  <c r="Y101" i="2"/>
  <c r="BP123" i="2"/>
  <c r="Z144" i="2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8" i="2"/>
  <c r="Z109" i="2"/>
  <c r="BN144" i="2"/>
  <c r="BN155" i="2"/>
  <c r="Z166" i="2"/>
  <c r="Z210" i="2"/>
  <c r="Z231" i="2"/>
  <c r="Z241" i="2"/>
  <c r="Z251" i="2"/>
  <c r="Y265" i="2"/>
  <c r="Z274" i="2"/>
  <c r="BN294" i="2"/>
  <c r="Z305" i="2"/>
  <c r="Z328" i="2"/>
  <c r="Z339" i="2"/>
  <c r="Z394" i="2"/>
  <c r="BN406" i="2"/>
  <c r="Y409" i="2"/>
  <c r="Z440" i="2"/>
  <c r="BN452" i="2"/>
  <c r="Z463" i="2"/>
  <c r="BN500" i="2"/>
  <c r="BN512" i="2"/>
  <c r="BP548" i="2"/>
  <c r="Y560" i="2"/>
  <c r="AB571" i="2"/>
  <c r="BN57" i="2"/>
  <c r="Y94" i="2"/>
  <c r="Y237" i="2"/>
  <c r="BN251" i="2"/>
  <c r="Z334" i="2" l="1"/>
  <c r="Z146" i="2"/>
  <c r="Z485" i="2"/>
  <c r="Z390" i="2"/>
  <c r="Z464" i="2"/>
  <c r="Z341" i="2"/>
  <c r="Z383" i="2"/>
  <c r="Z141" i="2"/>
  <c r="Z428" i="2"/>
  <c r="X564" i="2"/>
  <c r="Z311" i="2"/>
  <c r="Z396" i="2"/>
  <c r="Z248" i="2"/>
  <c r="Z213" i="2"/>
  <c r="Z93" i="2"/>
  <c r="Z193" i="2"/>
  <c r="Z51" i="2"/>
  <c r="Z441" i="2"/>
  <c r="Z355" i="2"/>
  <c r="Z72" i="2"/>
  <c r="Z531" i="2"/>
  <c r="Z295" i="2"/>
  <c r="Z403" i="2"/>
  <c r="Z350" i="2"/>
  <c r="Z490" i="2"/>
  <c r="Z280" i="2"/>
  <c r="Z173" i="2"/>
  <c r="Z373" i="2"/>
  <c r="Z32" i="2"/>
  <c r="Y565" i="2"/>
  <c r="Z126" i="2"/>
  <c r="Y561" i="2"/>
  <c r="Z119" i="2"/>
  <c r="Z254" i="2"/>
  <c r="Z168" i="2"/>
  <c r="Z100" i="2"/>
  <c r="Z554" i="2"/>
  <c r="Z447" i="2"/>
  <c r="Z501" i="2"/>
  <c r="Z453" i="2"/>
  <c r="Z236" i="2"/>
  <c r="Y563" i="2"/>
  <c r="Z42" i="2"/>
  <c r="Y562" i="2"/>
  <c r="Z113" i="2"/>
  <c r="Z156" i="2"/>
  <c r="Z187" i="2"/>
  <c r="Z409" i="2"/>
  <c r="Z64" i="2"/>
  <c r="Z515" i="2"/>
  <c r="Y564" i="2" l="1"/>
  <c r="Z566" i="2"/>
</calcChain>
</file>

<file path=xl/sharedStrings.xml><?xml version="1.0" encoding="utf-8"?>
<sst xmlns="http://schemas.openxmlformats.org/spreadsheetml/2006/main" count="4313" uniqueCount="897">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</sst>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87" sqref="AA8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67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68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896</v>
      </c>
      <c r="I5" s="661"/>
      <c r="J5" s="661"/>
      <c r="K5" s="661"/>
      <c r="L5" s="661"/>
      <c r="M5" s="661"/>
      <c r="N5" s="72"/>
      <c r="P5" s="27" t="s">
        <v>4</v>
      </c>
      <c r="Q5" s="663">
        <v>46306</v>
      </c>
      <c r="R5" s="663"/>
      <c r="T5" s="664" t="s">
        <v>3</v>
      </c>
      <c r="U5" s="665"/>
      <c r="V5" s="666" t="s">
        <v>877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878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Воскресенье</v>
      </c>
      <c r="R6" s="669"/>
      <c r="T6" s="670" t="s">
        <v>5</v>
      </c>
      <c r="U6" s="671"/>
      <c r="V6" s="672" t="s">
        <v>70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58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0.41666666666666669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71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55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72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73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74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75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61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59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66</v>
      </c>
      <c r="L17" s="702" t="s">
        <v>64</v>
      </c>
      <c r="M17" s="702" t="s">
        <v>2</v>
      </c>
      <c r="N17" s="702" t="s">
        <v>63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56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60</v>
      </c>
      <c r="AB17" s="716" t="s">
        <v>19</v>
      </c>
      <c r="AC17" s="716" t="s">
        <v>65</v>
      </c>
      <c r="AD17" s="718" t="s">
        <v>57</v>
      </c>
      <c r="AE17" s="719"/>
      <c r="AF17" s="720"/>
      <c r="AG17" s="82"/>
      <c r="BD17" s="81" t="s">
        <v>62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76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76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77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86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104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86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120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121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122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5" t="s">
        <v>137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122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6" t="s">
        <v>159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726" t="s">
        <v>86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178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186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122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120</v>
      </c>
      <c r="Y87" s="55">
        <f t="shared" ref="Y87:Y92" si="5">IFERROR(IF(X87="",0,CEILING((X87/$H87),1)*$H87),"")</f>
        <v>129.60000000000002</v>
      </c>
      <c r="Z87" s="41">
        <f>IFERROR(IF(Y87=0,"",ROUNDUP(Y87/H87,0)*0.01898),"")</f>
        <v>0.22776000000000002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124.55555555555556</v>
      </c>
      <c r="BN87" s="78">
        <f t="shared" ref="BN87:BN92" si="7">IFERROR(Y87*I87/H87,"0")</f>
        <v>134.52000000000001</v>
      </c>
      <c r="BO87" s="78">
        <f t="shared" ref="BO87:BO92" si="8">IFERROR(1/J87*(X87/H87),"0")</f>
        <v>0.1736111111111111</v>
      </c>
      <c r="BP87" s="78">
        <f t="shared" ref="BP87:BP92" si="9">IFERROR(1/J87*(Y87/H87),"0")</f>
        <v>0.18750000000000003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727">
        <v>4680115881327</v>
      </c>
      <c r="E88" s="72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77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727">
        <v>4680115887732</v>
      </c>
      <c r="E89" s="72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7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727">
        <v>4680115881518</v>
      </c>
      <c r="E91" s="72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727">
        <v>4680115881303</v>
      </c>
      <c r="E92" s="72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9"/>
      <c r="R92" s="729"/>
      <c r="S92" s="729"/>
      <c r="T92" s="73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39</v>
      </c>
      <c r="X93" s="43">
        <f>IFERROR(X87/H87,"0")+IFERROR(X88/H88,"0")+IFERROR(X89/H89,"0")+IFERROR(X90/H90,"0")+IFERROR(X91/H91,"0")+IFERROR(X92/H92,"0")</f>
        <v>11.111111111111111</v>
      </c>
      <c r="Y93" s="43">
        <f>IFERROR(Y87/H87,"0")+IFERROR(Y88/H88,"0")+IFERROR(Y89/H89,"0")+IFERROR(Y90/H90,"0")+IFERROR(Y91/H91,"0")+IFERROR(Y92/H92,"0")</f>
        <v>12.000000000000002</v>
      </c>
      <c r="Z93" s="43">
        <f>IFERROR(IF(Z87="",0,Z87),"0")+IFERROR(IF(Z88="",0,Z88),"0")+IFERROR(IF(Z89="",0,Z89),"0")+IFERROR(IF(Z90="",0,Z90),"0")+IFERROR(IF(Z91="",0,Z91),"0")+IFERROR(IF(Z92="",0,Z92),"0")</f>
        <v>0.22776000000000002</v>
      </c>
      <c r="AA93" s="67"/>
      <c r="AB93" s="67"/>
      <c r="AC93" s="67"/>
    </row>
    <row r="94" spans="1:68" x14ac:dyDescent="0.2">
      <c r="A94" s="735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35"/>
      <c r="O94" s="736"/>
      <c r="P94" s="732" t="s">
        <v>40</v>
      </c>
      <c r="Q94" s="733"/>
      <c r="R94" s="733"/>
      <c r="S94" s="733"/>
      <c r="T94" s="733"/>
      <c r="U94" s="733"/>
      <c r="V94" s="734"/>
      <c r="W94" s="42" t="s">
        <v>0</v>
      </c>
      <c r="X94" s="43">
        <f>IFERROR(SUM(X87:X92),"0")</f>
        <v>120</v>
      </c>
      <c r="Y94" s="43">
        <f>IFERROR(SUM(Y87:Y92),"0")</f>
        <v>129.60000000000002</v>
      </c>
      <c r="Z94" s="42"/>
      <c r="AA94" s="67"/>
      <c r="AB94" s="67"/>
      <c r="AC94" s="67"/>
    </row>
    <row r="95" spans="1:68" ht="14.25" hidden="1" customHeight="1" x14ac:dyDescent="0.25">
      <c r="A95" s="726" t="s">
        <v>86</v>
      </c>
      <c r="B95" s="726"/>
      <c r="C95" s="726"/>
      <c r="D95" s="726"/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727">
        <v>4607091386967</v>
      </c>
      <c r="E96" s="72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727">
        <v>4680115884953</v>
      </c>
      <c r="E97" s="72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727">
        <v>4607091385731</v>
      </c>
      <c r="E98" s="72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81</v>
      </c>
      <c r="Y98" s="55">
        <f>IFERROR(IF(X98="",0,CEILING((X98/$H98),1)*$H98),"")</f>
        <v>81</v>
      </c>
      <c r="Z98" s="41">
        <f>IFERROR(IF(Y98=0,"",ROUNDUP(Y98/H98,0)*0.00651),"")</f>
        <v>0.1953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88.559999999999988</v>
      </c>
      <c r="BN98" s="78">
        <f>IFERROR(Y98*I98/H98,"0")</f>
        <v>88.559999999999988</v>
      </c>
      <c r="BO98" s="78">
        <f>IFERROR(1/J98*(X98/H98),"0")</f>
        <v>0.16483516483516483</v>
      </c>
      <c r="BP98" s="78">
        <f>IFERROR(1/J98*(Y98/H98),"0")</f>
        <v>0.16483516483516483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727">
        <v>4680115880894</v>
      </c>
      <c r="E99" s="72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9"/>
      <c r="R99" s="729"/>
      <c r="S99" s="729"/>
      <c r="T99" s="73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39</v>
      </c>
      <c r="X100" s="43">
        <f>IFERROR(X96/H96,"0")+IFERROR(X97/H97,"0")+IFERROR(X98/H98,"0")+IFERROR(X99/H99,"0")</f>
        <v>29.999999999999996</v>
      </c>
      <c r="Y100" s="43">
        <f>IFERROR(Y96/H96,"0")+IFERROR(Y97/H97,"0")+IFERROR(Y98/H98,"0")+IFERROR(Y99/H99,"0")</f>
        <v>29.999999999999996</v>
      </c>
      <c r="Z100" s="43">
        <f>IFERROR(IF(Z96="",0,Z96),"0")+IFERROR(IF(Z97="",0,Z97),"0")+IFERROR(IF(Z98="",0,Z98),"0")+IFERROR(IF(Z99="",0,Z99),"0")</f>
        <v>0.1953</v>
      </c>
      <c r="AA100" s="67"/>
      <c r="AB100" s="67"/>
      <c r="AC100" s="67"/>
    </row>
    <row r="101" spans="1:68" x14ac:dyDescent="0.2">
      <c r="A101" s="735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35"/>
      <c r="O101" s="736"/>
      <c r="P101" s="732" t="s">
        <v>40</v>
      </c>
      <c r="Q101" s="733"/>
      <c r="R101" s="733"/>
      <c r="S101" s="733"/>
      <c r="T101" s="733"/>
      <c r="U101" s="733"/>
      <c r="V101" s="734"/>
      <c r="W101" s="42" t="s">
        <v>0</v>
      </c>
      <c r="X101" s="43">
        <f>IFERROR(SUM(X96:X99),"0")</f>
        <v>81</v>
      </c>
      <c r="Y101" s="43">
        <f>IFERROR(SUM(Y96:Y99),"0")</f>
        <v>81</v>
      </c>
      <c r="Z101" s="42"/>
      <c r="AA101" s="67"/>
      <c r="AB101" s="67"/>
      <c r="AC101" s="67"/>
    </row>
    <row r="102" spans="1:68" ht="16.5" hidden="1" customHeight="1" x14ac:dyDescent="0.25">
      <c r="A102" s="725" t="s">
        <v>210</v>
      </c>
      <c r="B102" s="725"/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  <c r="S102" s="725"/>
      <c r="T102" s="725"/>
      <c r="U102" s="725"/>
      <c r="V102" s="725"/>
      <c r="W102" s="725"/>
      <c r="X102" s="725"/>
      <c r="Y102" s="725"/>
      <c r="Z102" s="725"/>
      <c r="AA102" s="65"/>
      <c r="AB102" s="65"/>
      <c r="AC102" s="79"/>
    </row>
    <row r="103" spans="1:68" ht="14.25" hidden="1" customHeight="1" x14ac:dyDescent="0.25">
      <c r="A103" s="726" t="s">
        <v>122</v>
      </c>
      <c r="B103" s="726"/>
      <c r="C103" s="726"/>
      <c r="D103" s="726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120</v>
      </c>
      <c r="Y104" s="55">
        <f t="shared" ref="Y104:Y112" si="10">IFERROR(IF(X104="",0,CEILING((X104/$H104),1)*$H104),"")</f>
        <v>129.60000000000002</v>
      </c>
      <c r="Z104" s="41">
        <f>IFERROR(IF(Y104=0,"",ROUNDUP(Y104/H104,0)*0.01898),"")</f>
        <v>0.22776000000000002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124.55555555555556</v>
      </c>
      <c r="BN104" s="78">
        <f t="shared" ref="BN104:BN112" si="12">IFERROR(Y104*I104/H104,"0")</f>
        <v>134.52000000000001</v>
      </c>
      <c r="BO104" s="78">
        <f t="shared" ref="BO104:BO112" si="13">IFERROR(1/J104*(X104/H104),"0")</f>
        <v>0.1736111111111111</v>
      </c>
      <c r="BP104" s="78">
        <f t="shared" ref="BP104:BP112" si="14">IFERROR(1/J104*(Y104/H104),"0")</f>
        <v>0.18750000000000003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727">
        <v>4680115882133</v>
      </c>
      <c r="E105" s="72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8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727">
        <v>4680115887718</v>
      </c>
      <c r="E106" s="72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727">
        <v>4680115880269</v>
      </c>
      <c r="E108" s="72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727">
        <v>4680115880429</v>
      </c>
      <c r="E109" s="72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727">
        <v>4680115881457</v>
      </c>
      <c r="E111" s="72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727">
        <v>4680115889477</v>
      </c>
      <c r="E112" s="7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9"/>
      <c r="R112" s="729"/>
      <c r="S112" s="729"/>
      <c r="T112" s="73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11.111111111111111</v>
      </c>
      <c r="Y113" s="43">
        <f>IFERROR(Y104/H104,"0")+IFERROR(Y105/H105,"0")+IFERROR(Y106/H106,"0")+IFERROR(Y107/H107,"0")+IFERROR(Y108/H108,"0")+IFERROR(Y109/H109,"0")+IFERROR(Y110/H110,"0")+IFERROR(Y111/H111,"0")+IFERROR(Y112/H112,"0")</f>
        <v>12.000000000000002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0.22776000000000002</v>
      </c>
      <c r="AA113" s="67"/>
      <c r="AB113" s="67"/>
      <c r="AC113" s="67"/>
    </row>
    <row r="114" spans="1:68" x14ac:dyDescent="0.2">
      <c r="A114" s="735"/>
      <c r="B114" s="735"/>
      <c r="C114" s="735"/>
      <c r="D114" s="735"/>
      <c r="E114" s="735"/>
      <c r="F114" s="735"/>
      <c r="G114" s="735"/>
      <c r="H114" s="735"/>
      <c r="I114" s="735"/>
      <c r="J114" s="735"/>
      <c r="K114" s="735"/>
      <c r="L114" s="735"/>
      <c r="M114" s="735"/>
      <c r="N114" s="735"/>
      <c r="O114" s="736"/>
      <c r="P114" s="732" t="s">
        <v>40</v>
      </c>
      <c r="Q114" s="733"/>
      <c r="R114" s="733"/>
      <c r="S114" s="733"/>
      <c r="T114" s="733"/>
      <c r="U114" s="733"/>
      <c r="V114" s="734"/>
      <c r="W114" s="42" t="s">
        <v>0</v>
      </c>
      <c r="X114" s="43">
        <f>IFERROR(SUM(X104:X112),"0")</f>
        <v>120</v>
      </c>
      <c r="Y114" s="43">
        <f>IFERROR(SUM(Y104:Y112),"0")</f>
        <v>129.60000000000002</v>
      </c>
      <c r="Z114" s="42"/>
      <c r="AA114" s="67"/>
      <c r="AB114" s="67"/>
      <c r="AC114" s="67"/>
    </row>
    <row r="115" spans="1:68" ht="14.25" hidden="1" customHeight="1" x14ac:dyDescent="0.25">
      <c r="A115" s="726" t="s">
        <v>159</v>
      </c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727">
        <v>4680115881488</v>
      </c>
      <c r="E116" s="72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9"/>
      <c r="R116" s="729"/>
      <c r="S116" s="729"/>
      <c r="T116" s="73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727">
        <v>4680115882775</v>
      </c>
      <c r="E117" s="72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9"/>
      <c r="R117" s="729"/>
      <c r="S117" s="729"/>
      <c r="T117" s="73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727">
        <v>4680115880658</v>
      </c>
      <c r="E118" s="72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5"/>
      <c r="B119" s="735"/>
      <c r="C119" s="735"/>
      <c r="D119" s="735"/>
      <c r="E119" s="735"/>
      <c r="F119" s="735"/>
      <c r="G119" s="735"/>
      <c r="H119" s="735"/>
      <c r="I119" s="735"/>
      <c r="J119" s="735"/>
      <c r="K119" s="735"/>
      <c r="L119" s="735"/>
      <c r="M119" s="735"/>
      <c r="N119" s="735"/>
      <c r="O119" s="736"/>
      <c r="P119" s="732" t="s">
        <v>40</v>
      </c>
      <c r="Q119" s="733"/>
      <c r="R119" s="733"/>
      <c r="S119" s="733"/>
      <c r="T119" s="733"/>
      <c r="U119" s="733"/>
      <c r="V119" s="734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6" t="s">
        <v>86</v>
      </c>
      <c r="B121" s="726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727">
        <v>4607091385168</v>
      </c>
      <c r="E122" s="72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9"/>
      <c r="R122" s="729"/>
      <c r="S122" s="729"/>
      <c r="T122" s="73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727">
        <v>4607091383256</v>
      </c>
      <c r="E123" s="72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727">
        <v>4607091385748</v>
      </c>
      <c r="E124" s="72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67.5</v>
      </c>
      <c r="Y124" s="55">
        <f>IFERROR(IF(X124="",0,CEILING((X124/$H124),1)*$H124),"")</f>
        <v>67.5</v>
      </c>
      <c r="Z124" s="41">
        <f>IFERROR(IF(Y124=0,"",ROUNDUP(Y124/H124,0)*0.00651),"")</f>
        <v>0.16275000000000001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73.8</v>
      </c>
      <c r="BN124" s="78">
        <f>IFERROR(Y124*I124/H124,"0")</f>
        <v>73.8</v>
      </c>
      <c r="BO124" s="78">
        <f>IFERROR(1/J124*(X124/H124),"0")</f>
        <v>0.13736263736263737</v>
      </c>
      <c r="BP124" s="78">
        <f>IFERROR(1/J124*(Y124/H124),"0")</f>
        <v>0.13736263736263737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727">
        <v>4680115884533</v>
      </c>
      <c r="E125" s="72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735"/>
      <c r="B126" s="735"/>
      <c r="C126" s="735"/>
      <c r="D126" s="735"/>
      <c r="E126" s="735"/>
      <c r="F126" s="735"/>
      <c r="G126" s="735"/>
      <c r="H126" s="735"/>
      <c r="I126" s="735"/>
      <c r="J126" s="735"/>
      <c r="K126" s="735"/>
      <c r="L126" s="735"/>
      <c r="M126" s="735"/>
      <c r="N126" s="735"/>
      <c r="O126" s="736"/>
      <c r="P126" s="732" t="s">
        <v>40</v>
      </c>
      <c r="Q126" s="733"/>
      <c r="R126" s="733"/>
      <c r="S126" s="733"/>
      <c r="T126" s="733"/>
      <c r="U126" s="733"/>
      <c r="V126" s="734"/>
      <c r="W126" s="42" t="s">
        <v>39</v>
      </c>
      <c r="X126" s="43">
        <f>IFERROR(X122/H122,"0")+IFERROR(X123/H123,"0")+IFERROR(X124/H124,"0")+IFERROR(X125/H125,"0")</f>
        <v>25</v>
      </c>
      <c r="Y126" s="43">
        <f>IFERROR(Y122/H122,"0")+IFERROR(Y123/H123,"0")+IFERROR(Y124/H124,"0")+IFERROR(Y125/H125,"0")</f>
        <v>25</v>
      </c>
      <c r="Z126" s="43">
        <f>IFERROR(IF(Z122="",0,Z122),"0")+IFERROR(IF(Z123="",0,Z123),"0")+IFERROR(IF(Z124="",0,Z124),"0")+IFERROR(IF(Z125="",0,Z125),"0")</f>
        <v>0.16275000000000001</v>
      </c>
      <c r="AA126" s="67"/>
      <c r="AB126" s="67"/>
      <c r="AC126" s="67"/>
    </row>
    <row r="127" spans="1:68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0</v>
      </c>
      <c r="X127" s="43">
        <f>IFERROR(SUM(X122:X125),"0")</f>
        <v>67.5</v>
      </c>
      <c r="Y127" s="43">
        <f>IFERROR(SUM(Y122:Y125),"0")</f>
        <v>67.5</v>
      </c>
      <c r="Z127" s="42"/>
      <c r="AA127" s="67"/>
      <c r="AB127" s="67"/>
      <c r="AC127" s="67"/>
    </row>
    <row r="128" spans="1:68" ht="14.25" hidden="1" customHeight="1" x14ac:dyDescent="0.25">
      <c r="A128" s="726" t="s">
        <v>178</v>
      </c>
      <c r="B128" s="726"/>
      <c r="C128" s="726"/>
      <c r="D128" s="726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727">
        <v>4680115880238</v>
      </c>
      <c r="E129" s="72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9"/>
      <c r="R129" s="729"/>
      <c r="S129" s="729"/>
      <c r="T129" s="73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735"/>
      <c r="B130" s="735"/>
      <c r="C130" s="735"/>
      <c r="D130" s="735"/>
      <c r="E130" s="735"/>
      <c r="F130" s="735"/>
      <c r="G130" s="735"/>
      <c r="H130" s="735"/>
      <c r="I130" s="735"/>
      <c r="J130" s="735"/>
      <c r="K130" s="735"/>
      <c r="L130" s="735"/>
      <c r="M130" s="735"/>
      <c r="N130" s="735"/>
      <c r="O130" s="736"/>
      <c r="P130" s="732" t="s">
        <v>40</v>
      </c>
      <c r="Q130" s="733"/>
      <c r="R130" s="733"/>
      <c r="S130" s="733"/>
      <c r="T130" s="733"/>
      <c r="U130" s="733"/>
      <c r="V130" s="73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725" t="s">
        <v>250</v>
      </c>
      <c r="B132" s="725"/>
      <c r="C132" s="725"/>
      <c r="D132" s="725"/>
      <c r="E132" s="725"/>
      <c r="F132" s="725"/>
      <c r="G132" s="725"/>
      <c r="H132" s="725"/>
      <c r="I132" s="725"/>
      <c r="J132" s="725"/>
      <c r="K132" s="725"/>
      <c r="L132" s="725"/>
      <c r="M132" s="725"/>
      <c r="N132" s="725"/>
      <c r="O132" s="725"/>
      <c r="P132" s="725"/>
      <c r="Q132" s="725"/>
      <c r="R132" s="725"/>
      <c r="S132" s="725"/>
      <c r="T132" s="725"/>
      <c r="U132" s="725"/>
      <c r="V132" s="725"/>
      <c r="W132" s="725"/>
      <c r="X132" s="725"/>
      <c r="Y132" s="725"/>
      <c r="Z132" s="725"/>
      <c r="AA132" s="65"/>
      <c r="AB132" s="65"/>
      <c r="AC132" s="79"/>
    </row>
    <row r="133" spans="1:68" ht="14.25" hidden="1" customHeight="1" x14ac:dyDescent="0.25">
      <c r="A133" s="726" t="s">
        <v>122</v>
      </c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727">
        <v>4680115882577</v>
      </c>
      <c r="E134" s="72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9"/>
      <c r="R134" s="729"/>
      <c r="S134" s="729"/>
      <c r="T134" s="73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35"/>
      <c r="B136" s="735"/>
      <c r="C136" s="735"/>
      <c r="D136" s="735"/>
      <c r="E136" s="735"/>
      <c r="F136" s="735"/>
      <c r="G136" s="735"/>
      <c r="H136" s="735"/>
      <c r="I136" s="735"/>
      <c r="J136" s="735"/>
      <c r="K136" s="735"/>
      <c r="L136" s="735"/>
      <c r="M136" s="735"/>
      <c r="N136" s="735"/>
      <c r="O136" s="736"/>
      <c r="P136" s="732" t="s">
        <v>40</v>
      </c>
      <c r="Q136" s="733"/>
      <c r="R136" s="733"/>
      <c r="S136" s="733"/>
      <c r="T136" s="733"/>
      <c r="U136" s="733"/>
      <c r="V136" s="73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26" t="s">
        <v>77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727">
        <v>4680115883444</v>
      </c>
      <c r="E139" s="72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9"/>
      <c r="R139" s="729"/>
      <c r="S139" s="729"/>
      <c r="T139" s="73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735"/>
      <c r="B141" s="735"/>
      <c r="C141" s="735"/>
      <c r="D141" s="735"/>
      <c r="E141" s="735"/>
      <c r="F141" s="735"/>
      <c r="G141" s="735"/>
      <c r="H141" s="735"/>
      <c r="I141" s="735"/>
      <c r="J141" s="735"/>
      <c r="K141" s="735"/>
      <c r="L141" s="735"/>
      <c r="M141" s="735"/>
      <c r="N141" s="735"/>
      <c r="O141" s="736"/>
      <c r="P141" s="732" t="s">
        <v>40</v>
      </c>
      <c r="Q141" s="733"/>
      <c r="R141" s="733"/>
      <c r="S141" s="733"/>
      <c r="T141" s="733"/>
      <c r="U141" s="733"/>
      <c r="V141" s="73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726" t="s">
        <v>86</v>
      </c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727">
        <v>4680115882584</v>
      </c>
      <c r="E144" s="72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9"/>
      <c r="R144" s="729"/>
      <c r="S144" s="729"/>
      <c r="T144" s="73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735"/>
      <c r="B146" s="735"/>
      <c r="C146" s="735"/>
      <c r="D146" s="735"/>
      <c r="E146" s="735"/>
      <c r="F146" s="735"/>
      <c r="G146" s="735"/>
      <c r="H146" s="735"/>
      <c r="I146" s="735"/>
      <c r="J146" s="735"/>
      <c r="K146" s="735"/>
      <c r="L146" s="735"/>
      <c r="M146" s="735"/>
      <c r="N146" s="735"/>
      <c r="O146" s="736"/>
      <c r="P146" s="732" t="s">
        <v>40</v>
      </c>
      <c r="Q146" s="733"/>
      <c r="R146" s="733"/>
      <c r="S146" s="733"/>
      <c r="T146" s="733"/>
      <c r="U146" s="733"/>
      <c r="V146" s="7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725" t="s">
        <v>263</v>
      </c>
      <c r="B148" s="725"/>
      <c r="C148" s="725"/>
      <c r="D148" s="725"/>
      <c r="E148" s="725"/>
      <c r="F148" s="725"/>
      <c r="G148" s="725"/>
      <c r="H148" s="725"/>
      <c r="I148" s="725"/>
      <c r="J148" s="725"/>
      <c r="K148" s="725"/>
      <c r="L148" s="725"/>
      <c r="M148" s="725"/>
      <c r="N148" s="725"/>
      <c r="O148" s="725"/>
      <c r="P148" s="725"/>
      <c r="Q148" s="725"/>
      <c r="R148" s="725"/>
      <c r="S148" s="725"/>
      <c r="T148" s="725"/>
      <c r="U148" s="725"/>
      <c r="V148" s="725"/>
      <c r="W148" s="725"/>
      <c r="X148" s="725"/>
      <c r="Y148" s="725"/>
      <c r="Z148" s="725"/>
      <c r="AA148" s="65"/>
      <c r="AB148" s="65"/>
      <c r="AC148" s="79"/>
    </row>
    <row r="149" spans="1:68" ht="14.25" hidden="1" customHeight="1" x14ac:dyDescent="0.25">
      <c r="A149" s="726" t="s">
        <v>86</v>
      </c>
      <c r="B149" s="726"/>
      <c r="C149" s="726"/>
      <c r="D149" s="726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727">
        <v>4680115888203</v>
      </c>
      <c r="E150" s="72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9"/>
      <c r="R150" s="729"/>
      <c r="S150" s="729"/>
      <c r="T150" s="73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727">
        <v>4680115888180</v>
      </c>
      <c r="E151" s="72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727">
        <v>4680115888180</v>
      </c>
      <c r="E152" s="72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727">
        <v>4680115888197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727">
        <v>4680115888210</v>
      </c>
      <c r="E154" s="72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727">
        <v>4680115888210</v>
      </c>
      <c r="E155" s="72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735"/>
      <c r="B156" s="735"/>
      <c r="C156" s="735"/>
      <c r="D156" s="735"/>
      <c r="E156" s="735"/>
      <c r="F156" s="735"/>
      <c r="G156" s="735"/>
      <c r="H156" s="735"/>
      <c r="I156" s="735"/>
      <c r="J156" s="735"/>
      <c r="K156" s="735"/>
      <c r="L156" s="735"/>
      <c r="M156" s="735"/>
      <c r="N156" s="735"/>
      <c r="O156" s="736"/>
      <c r="P156" s="732" t="s">
        <v>40</v>
      </c>
      <c r="Q156" s="733"/>
      <c r="R156" s="733"/>
      <c r="S156" s="733"/>
      <c r="T156" s="733"/>
      <c r="U156" s="733"/>
      <c r="V156" s="734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26" t="s">
        <v>278</v>
      </c>
      <c r="B158" s="726"/>
      <c r="C158" s="726"/>
      <c r="D158" s="726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727">
        <v>4680115889132</v>
      </c>
      <c r="E159" s="72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9"/>
      <c r="R159" s="729"/>
      <c r="S159" s="729"/>
      <c r="T159" s="73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5"/>
      <c r="B160" s="735"/>
      <c r="C160" s="735"/>
      <c r="D160" s="735"/>
      <c r="E160" s="735"/>
      <c r="F160" s="735"/>
      <c r="G160" s="735"/>
      <c r="H160" s="735"/>
      <c r="I160" s="735"/>
      <c r="J160" s="735"/>
      <c r="K160" s="735"/>
      <c r="L160" s="735"/>
      <c r="M160" s="735"/>
      <c r="N160" s="735"/>
      <c r="O160" s="736"/>
      <c r="P160" s="732" t="s">
        <v>40</v>
      </c>
      <c r="Q160" s="733"/>
      <c r="R160" s="733"/>
      <c r="S160" s="733"/>
      <c r="T160" s="733"/>
      <c r="U160" s="733"/>
      <c r="V160" s="734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5" t="s">
        <v>120</v>
      </c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  <c r="S162" s="725"/>
      <c r="T162" s="725"/>
      <c r="U162" s="725"/>
      <c r="V162" s="725"/>
      <c r="W162" s="725"/>
      <c r="X162" s="725"/>
      <c r="Y162" s="725"/>
      <c r="Z162" s="725"/>
      <c r="AA162" s="65"/>
      <c r="AB162" s="65"/>
      <c r="AC162" s="79"/>
    </row>
    <row r="163" spans="1:68" ht="14.25" hidden="1" customHeight="1" x14ac:dyDescent="0.25">
      <c r="A163" s="726" t="s">
        <v>122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727">
        <v>4680115887374</v>
      </c>
      <c r="E164" s="72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1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9"/>
      <c r="R164" s="729"/>
      <c r="S164" s="729"/>
      <c r="T164" s="73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727">
        <v>4607091384604</v>
      </c>
      <c r="E165" s="72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1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1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727">
        <v>4680115888876</v>
      </c>
      <c r="E167" s="72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5"/>
      <c r="B168" s="735"/>
      <c r="C168" s="735"/>
      <c r="D168" s="735"/>
      <c r="E168" s="735"/>
      <c r="F168" s="735"/>
      <c r="G168" s="735"/>
      <c r="H168" s="735"/>
      <c r="I168" s="735"/>
      <c r="J168" s="735"/>
      <c r="K168" s="735"/>
      <c r="L168" s="735"/>
      <c r="M168" s="735"/>
      <c r="N168" s="735"/>
      <c r="O168" s="736"/>
      <c r="P168" s="732" t="s">
        <v>40</v>
      </c>
      <c r="Q168" s="733"/>
      <c r="R168" s="733"/>
      <c r="S168" s="733"/>
      <c r="T168" s="733"/>
      <c r="U168" s="733"/>
      <c r="V168" s="734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6" t="s">
        <v>159</v>
      </c>
      <c r="B170" s="726"/>
      <c r="C170" s="726"/>
      <c r="D170" s="726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727">
        <v>4680115887695</v>
      </c>
      <c r="E171" s="72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9"/>
      <c r="R171" s="729"/>
      <c r="S171" s="729"/>
      <c r="T171" s="73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727">
        <v>4680115889491</v>
      </c>
      <c r="E172" s="72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5"/>
      <c r="B173" s="735"/>
      <c r="C173" s="735"/>
      <c r="D173" s="735"/>
      <c r="E173" s="735"/>
      <c r="F173" s="735"/>
      <c r="G173" s="735"/>
      <c r="H173" s="735"/>
      <c r="I173" s="735"/>
      <c r="J173" s="735"/>
      <c r="K173" s="735"/>
      <c r="L173" s="735"/>
      <c r="M173" s="735"/>
      <c r="N173" s="735"/>
      <c r="O173" s="736"/>
      <c r="P173" s="732" t="s">
        <v>40</v>
      </c>
      <c r="Q173" s="733"/>
      <c r="R173" s="733"/>
      <c r="S173" s="733"/>
      <c r="T173" s="733"/>
      <c r="U173" s="733"/>
      <c r="V173" s="734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6" t="s">
        <v>77</v>
      </c>
      <c r="B175" s="726"/>
      <c r="C175" s="726"/>
      <c r="D175" s="726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727">
        <v>4680115887428</v>
      </c>
      <c r="E176" s="72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9"/>
      <c r="R176" s="729"/>
      <c r="S176" s="729"/>
      <c r="T176" s="73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727">
        <v>4680115889170</v>
      </c>
      <c r="E177" s="72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727">
        <v>4680115887398</v>
      </c>
      <c r="E178" s="72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727">
        <v>4680115887336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727">
        <v>4680115887787</v>
      </c>
      <c r="E180" s="72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2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2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727">
        <v>4680115887503</v>
      </c>
      <c r="E182" s="72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2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727">
        <v>4680115887763</v>
      </c>
      <c r="E183" s="72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2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727">
        <v>4680115887480</v>
      </c>
      <c r="E184" s="72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727">
        <v>4680115888067</v>
      </c>
      <c r="E185" s="72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727">
        <v>4680115887435</v>
      </c>
      <c r="E186" s="72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735"/>
      <c r="B187" s="735"/>
      <c r="C187" s="735"/>
      <c r="D187" s="735"/>
      <c r="E187" s="735"/>
      <c r="F187" s="735"/>
      <c r="G187" s="735"/>
      <c r="H187" s="735"/>
      <c r="I187" s="735"/>
      <c r="J187" s="735"/>
      <c r="K187" s="735"/>
      <c r="L187" s="735"/>
      <c r="M187" s="735"/>
      <c r="N187" s="735"/>
      <c r="O187" s="736"/>
      <c r="P187" s="732" t="s">
        <v>40</v>
      </c>
      <c r="Q187" s="733"/>
      <c r="R187" s="733"/>
      <c r="S187" s="733"/>
      <c r="T187" s="733"/>
      <c r="U187" s="733"/>
      <c r="V187" s="734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26" t="s">
        <v>86</v>
      </c>
      <c r="B189" s="726"/>
      <c r="C189" s="726"/>
      <c r="D189" s="726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727">
        <v>4680115888395</v>
      </c>
      <c r="E190" s="72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9"/>
      <c r="R190" s="729"/>
      <c r="S190" s="729"/>
      <c r="T190" s="73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727">
        <v>4680115888371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727">
        <v>4680115887459</v>
      </c>
      <c r="E192" s="72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5"/>
      <c r="B193" s="735"/>
      <c r="C193" s="735"/>
      <c r="D193" s="735"/>
      <c r="E193" s="735"/>
      <c r="F193" s="735"/>
      <c r="G193" s="735"/>
      <c r="H193" s="735"/>
      <c r="I193" s="735"/>
      <c r="J193" s="735"/>
      <c r="K193" s="735"/>
      <c r="L193" s="735"/>
      <c r="M193" s="735"/>
      <c r="N193" s="735"/>
      <c r="O193" s="736"/>
      <c r="P193" s="732" t="s">
        <v>40</v>
      </c>
      <c r="Q193" s="733"/>
      <c r="R193" s="733"/>
      <c r="S193" s="733"/>
      <c r="T193" s="733"/>
      <c r="U193" s="733"/>
      <c r="V193" s="734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6" t="s">
        <v>278</v>
      </c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727">
        <v>4680115889026</v>
      </c>
      <c r="E196" s="72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9"/>
      <c r="R196" s="729"/>
      <c r="S196" s="729"/>
      <c r="T196" s="73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5"/>
      <c r="B197" s="735"/>
      <c r="C197" s="735"/>
      <c r="D197" s="735"/>
      <c r="E197" s="735"/>
      <c r="F197" s="735"/>
      <c r="G197" s="735"/>
      <c r="H197" s="735"/>
      <c r="I197" s="735"/>
      <c r="J197" s="735"/>
      <c r="K197" s="735"/>
      <c r="L197" s="735"/>
      <c r="M197" s="735"/>
      <c r="N197" s="735"/>
      <c r="O197" s="736"/>
      <c r="P197" s="732" t="s">
        <v>40</v>
      </c>
      <c r="Q197" s="733"/>
      <c r="R197" s="733"/>
      <c r="S197" s="733"/>
      <c r="T197" s="733"/>
      <c r="U197" s="733"/>
      <c r="V197" s="734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6" t="s">
        <v>342</v>
      </c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727">
        <v>4680115889033</v>
      </c>
      <c r="E200" s="72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9"/>
      <c r="R200" s="729"/>
      <c r="S200" s="729"/>
      <c r="T200" s="73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5"/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6"/>
      <c r="P201" s="732" t="s">
        <v>40</v>
      </c>
      <c r="Q201" s="733"/>
      <c r="R201" s="733"/>
      <c r="S201" s="733"/>
      <c r="T201" s="733"/>
      <c r="U201" s="733"/>
      <c r="V201" s="734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4" t="s">
        <v>346</v>
      </c>
      <c r="B203" s="724"/>
      <c r="C203" s="724"/>
      <c r="D203" s="724"/>
      <c r="E203" s="724"/>
      <c r="F203" s="724"/>
      <c r="G203" s="724"/>
      <c r="H203" s="724"/>
      <c r="I203" s="724"/>
      <c r="J203" s="724"/>
      <c r="K203" s="724"/>
      <c r="L203" s="724"/>
      <c r="M203" s="724"/>
      <c r="N203" s="724"/>
      <c r="O203" s="724"/>
      <c r="P203" s="724"/>
      <c r="Q203" s="724"/>
      <c r="R203" s="724"/>
      <c r="S203" s="724"/>
      <c r="T203" s="724"/>
      <c r="U203" s="724"/>
      <c r="V203" s="724"/>
      <c r="W203" s="724"/>
      <c r="X203" s="724"/>
      <c r="Y203" s="724"/>
      <c r="Z203" s="724"/>
      <c r="AA203" s="54"/>
      <c r="AB203" s="54"/>
      <c r="AC203" s="54"/>
    </row>
    <row r="204" spans="1:68" ht="16.5" hidden="1" customHeight="1" x14ac:dyDescent="0.25">
      <c r="A204" s="725" t="s">
        <v>347</v>
      </c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  <c r="S204" s="725"/>
      <c r="T204" s="725"/>
      <c r="U204" s="725"/>
      <c r="V204" s="725"/>
      <c r="W204" s="725"/>
      <c r="X204" s="725"/>
      <c r="Y204" s="725"/>
      <c r="Z204" s="725"/>
      <c r="AA204" s="65"/>
      <c r="AB204" s="65"/>
      <c r="AC204" s="79"/>
    </row>
    <row r="205" spans="1:68" ht="14.25" hidden="1" customHeight="1" x14ac:dyDescent="0.25">
      <c r="A205" s="726" t="s">
        <v>122</v>
      </c>
      <c r="B205" s="726"/>
      <c r="C205" s="726"/>
      <c r="D205" s="726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727">
        <v>4607091383423</v>
      </c>
      <c r="E206" s="72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9"/>
      <c r="R206" s="729"/>
      <c r="S206" s="729"/>
      <c r="T206" s="73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727">
        <v>4680115888760</v>
      </c>
      <c r="E207" s="72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727">
        <v>4680115888807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727">
        <v>4680115888852</v>
      </c>
      <c r="E209" s="72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727">
        <v>4680115886957</v>
      </c>
      <c r="E210" s="72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727">
        <v>4680115885660</v>
      </c>
      <c r="E211" s="72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727">
        <v>4680115886773</v>
      </c>
      <c r="E212" s="72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5"/>
      <c r="B213" s="735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6"/>
      <c r="P213" s="732" t="s">
        <v>40</v>
      </c>
      <c r="Q213" s="733"/>
      <c r="R213" s="733"/>
      <c r="S213" s="733"/>
      <c r="T213" s="733"/>
      <c r="U213" s="733"/>
      <c r="V213" s="734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5" t="s">
        <v>368</v>
      </c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  <c r="S215" s="725"/>
      <c r="T215" s="725"/>
      <c r="U215" s="725"/>
      <c r="V215" s="725"/>
      <c r="W215" s="725"/>
      <c r="X215" s="725"/>
      <c r="Y215" s="725"/>
      <c r="Z215" s="725"/>
      <c r="AA215" s="65"/>
      <c r="AB215" s="65"/>
      <c r="AC215" s="79"/>
    </row>
    <row r="216" spans="1:68" ht="14.25" hidden="1" customHeight="1" x14ac:dyDescent="0.25">
      <c r="A216" s="726" t="s">
        <v>159</v>
      </c>
      <c r="B216" s="726"/>
      <c r="C216" s="726"/>
      <c r="D216" s="726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727">
        <v>4680115886223</v>
      </c>
      <c r="E217" s="72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9"/>
      <c r="R217" s="729"/>
      <c r="S217" s="729"/>
      <c r="T217" s="73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5"/>
      <c r="B218" s="735"/>
      <c r="C218" s="735"/>
      <c r="D218" s="735"/>
      <c r="E218" s="735"/>
      <c r="F218" s="735"/>
      <c r="G218" s="735"/>
      <c r="H218" s="735"/>
      <c r="I218" s="735"/>
      <c r="J218" s="735"/>
      <c r="K218" s="735"/>
      <c r="L218" s="735"/>
      <c r="M218" s="735"/>
      <c r="N218" s="735"/>
      <c r="O218" s="736"/>
      <c r="P218" s="732" t="s">
        <v>40</v>
      </c>
      <c r="Q218" s="733"/>
      <c r="R218" s="733"/>
      <c r="S218" s="733"/>
      <c r="T218" s="733"/>
      <c r="U218" s="733"/>
      <c r="V218" s="734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6" t="s">
        <v>77</v>
      </c>
      <c r="B220" s="726"/>
      <c r="C220" s="726"/>
      <c r="D220" s="726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727">
        <v>4680115880993</v>
      </c>
      <c r="E221" s="72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9"/>
      <c r="R221" s="729"/>
      <c r="S221" s="729"/>
      <c r="T221" s="730"/>
      <c r="U221" s="39" t="s">
        <v>46</v>
      </c>
      <c r="V221" s="39" t="s">
        <v>46</v>
      </c>
      <c r="W221" s="40" t="s">
        <v>0</v>
      </c>
      <c r="X221" s="58">
        <v>200</v>
      </c>
      <c r="Y221" s="55">
        <f t="shared" ref="Y221:Y235" si="32">IFERROR(IF(X221="",0,CEILING((X221/$H221),1)*$H221),"")</f>
        <v>201.60000000000002</v>
      </c>
      <c r="Z221" s="41">
        <f>IFERROR(IF(Y221=0,"",ROUNDUP(Y221/H221,0)*0.00902),"")</f>
        <v>0.43296000000000001</v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211.9047619047619</v>
      </c>
      <c r="BN221" s="78">
        <f t="shared" ref="BN221:BN235" si="34">IFERROR(Y221*I221/H221,"0")</f>
        <v>213.60000000000002</v>
      </c>
      <c r="BO221" s="78">
        <f t="shared" ref="BO221:BO235" si="35">IFERROR(1/J221*(X221/H221),"0")</f>
        <v>0.36075036075036077</v>
      </c>
      <c r="BP221" s="78">
        <f t="shared" ref="BP221:BP235" si="36">IFERROR(1/J221*(Y221/H221),"0")</f>
        <v>0.36363636363636365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727">
        <v>4680115881761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727">
        <v>4680115881563</v>
      </c>
      <c r="E223" s="72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727">
        <v>4680115887565</v>
      </c>
      <c r="E224" s="72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727">
        <v>4680115880986</v>
      </c>
      <c r="E225" s="72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727">
        <v>4680115887213</v>
      </c>
      <c r="E226" s="72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727">
        <v>4680115881785</v>
      </c>
      <c r="E227" s="72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727">
        <v>4680115888432</v>
      </c>
      <c r="E228" s="72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727">
        <v>4680115888104</v>
      </c>
      <c r="E229" s="72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727">
        <v>4680115886537</v>
      </c>
      <c r="E230" s="72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727">
        <v>4680115887596</v>
      </c>
      <c r="E231" s="72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727">
        <v>4680115881679</v>
      </c>
      <c r="E232" s="72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727">
        <v>4680115880191</v>
      </c>
      <c r="E233" s="72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727">
        <v>4680115883963</v>
      </c>
      <c r="E235" s="72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735"/>
      <c r="B236" s="735"/>
      <c r="C236" s="735"/>
      <c r="D236" s="735"/>
      <c r="E236" s="735"/>
      <c r="F236" s="735"/>
      <c r="G236" s="735"/>
      <c r="H236" s="735"/>
      <c r="I236" s="735"/>
      <c r="J236" s="735"/>
      <c r="K236" s="735"/>
      <c r="L236" s="735"/>
      <c r="M236" s="735"/>
      <c r="N236" s="735"/>
      <c r="O236" s="736"/>
      <c r="P236" s="732" t="s">
        <v>40</v>
      </c>
      <c r="Q236" s="733"/>
      <c r="R236" s="733"/>
      <c r="S236" s="733"/>
      <c r="T236" s="733"/>
      <c r="U236" s="733"/>
      <c r="V236" s="734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47.61904761904762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48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0.43296000000000001</v>
      </c>
      <c r="AA236" s="67"/>
      <c r="AB236" s="67"/>
      <c r="AC236" s="67"/>
    </row>
    <row r="237" spans="1:68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0</v>
      </c>
      <c r="X237" s="43">
        <f>IFERROR(SUM(X221:X235),"0")</f>
        <v>200</v>
      </c>
      <c r="Y237" s="43">
        <f>IFERROR(SUM(Y221:Y235),"0")</f>
        <v>201.60000000000002</v>
      </c>
      <c r="Z237" s="42"/>
      <c r="AA237" s="67"/>
      <c r="AB237" s="67"/>
      <c r="AC237" s="67"/>
    </row>
    <row r="238" spans="1:68" ht="14.25" hidden="1" customHeight="1" x14ac:dyDescent="0.25">
      <c r="A238" s="726" t="s">
        <v>86</v>
      </c>
      <c r="B238" s="726"/>
      <c r="C238" s="726"/>
      <c r="D238" s="726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727">
        <v>4680115888692</v>
      </c>
      <c r="E239" s="72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9"/>
      <c r="R239" s="729"/>
      <c r="S239" s="729"/>
      <c r="T239" s="73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727">
        <v>4680115888722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727">
        <v>4680115888951</v>
      </c>
      <c r="E243" s="72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6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727">
        <v>4680115888975</v>
      </c>
      <c r="E245" s="72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6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727">
        <v>4680115888982</v>
      </c>
      <c r="E246" s="72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6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5"/>
      <c r="B248" s="735"/>
      <c r="C248" s="735"/>
      <c r="D248" s="735"/>
      <c r="E248" s="735"/>
      <c r="F248" s="735"/>
      <c r="G248" s="735"/>
      <c r="H248" s="735"/>
      <c r="I248" s="735"/>
      <c r="J248" s="735"/>
      <c r="K248" s="735"/>
      <c r="L248" s="735"/>
      <c r="M248" s="735"/>
      <c r="N248" s="735"/>
      <c r="O248" s="736"/>
      <c r="P248" s="732" t="s">
        <v>40</v>
      </c>
      <c r="Q248" s="733"/>
      <c r="R248" s="733"/>
      <c r="S248" s="733"/>
      <c r="T248" s="733"/>
      <c r="U248" s="733"/>
      <c r="V248" s="734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6" t="s">
        <v>278</v>
      </c>
      <c r="B250" s="726"/>
      <c r="C250" s="726"/>
      <c r="D250" s="726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727">
        <v>4680115886780</v>
      </c>
      <c r="E251" s="72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9"/>
      <c r="R251" s="729"/>
      <c r="S251" s="729"/>
      <c r="T251" s="73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727">
        <v>4680115886742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727">
        <v>4680115886766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5"/>
      <c r="B254" s="735"/>
      <c r="C254" s="735"/>
      <c r="D254" s="735"/>
      <c r="E254" s="735"/>
      <c r="F254" s="735"/>
      <c r="G254" s="735"/>
      <c r="H254" s="735"/>
      <c r="I254" s="735"/>
      <c r="J254" s="735"/>
      <c r="K254" s="735"/>
      <c r="L254" s="735"/>
      <c r="M254" s="735"/>
      <c r="N254" s="735"/>
      <c r="O254" s="736"/>
      <c r="P254" s="732" t="s">
        <v>40</v>
      </c>
      <c r="Q254" s="733"/>
      <c r="R254" s="733"/>
      <c r="S254" s="733"/>
      <c r="T254" s="733"/>
      <c r="U254" s="733"/>
      <c r="V254" s="734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6" t="s">
        <v>439</v>
      </c>
      <c r="B256" s="726"/>
      <c r="C256" s="726"/>
      <c r="D256" s="726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727">
        <v>4680115886797</v>
      </c>
      <c r="E257" s="72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9"/>
      <c r="R257" s="729"/>
      <c r="S257" s="729"/>
      <c r="T257" s="73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5"/>
      <c r="B258" s="735"/>
      <c r="C258" s="735"/>
      <c r="D258" s="735"/>
      <c r="E258" s="735"/>
      <c r="F258" s="735"/>
      <c r="G258" s="735"/>
      <c r="H258" s="735"/>
      <c r="I258" s="735"/>
      <c r="J258" s="735"/>
      <c r="K258" s="735"/>
      <c r="L258" s="735"/>
      <c r="M258" s="735"/>
      <c r="N258" s="735"/>
      <c r="O258" s="736"/>
      <c r="P258" s="732" t="s">
        <v>40</v>
      </c>
      <c r="Q258" s="733"/>
      <c r="R258" s="733"/>
      <c r="S258" s="733"/>
      <c r="T258" s="733"/>
      <c r="U258" s="733"/>
      <c r="V258" s="734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5" t="s">
        <v>442</v>
      </c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  <c r="S260" s="725"/>
      <c r="T260" s="725"/>
      <c r="U260" s="725"/>
      <c r="V260" s="725"/>
      <c r="W260" s="725"/>
      <c r="X260" s="725"/>
      <c r="Y260" s="725"/>
      <c r="Z260" s="725"/>
      <c r="AA260" s="65"/>
      <c r="AB260" s="65"/>
      <c r="AC260" s="79"/>
    </row>
    <row r="261" spans="1:68" ht="14.25" hidden="1" customHeight="1" x14ac:dyDescent="0.25">
      <c r="A261" s="726" t="s">
        <v>122</v>
      </c>
      <c r="B261" s="726"/>
      <c r="C261" s="726"/>
      <c r="D261" s="726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727">
        <v>4680115881402</v>
      </c>
      <c r="E262" s="7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9"/>
      <c r="R262" s="729"/>
      <c r="S262" s="729"/>
      <c r="T262" s="73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727">
        <v>4680115881396</v>
      </c>
      <c r="E263" s="72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5"/>
      <c r="B264" s="735"/>
      <c r="C264" s="735"/>
      <c r="D264" s="735"/>
      <c r="E264" s="735"/>
      <c r="F264" s="735"/>
      <c r="G264" s="735"/>
      <c r="H264" s="735"/>
      <c r="I264" s="735"/>
      <c r="J264" s="735"/>
      <c r="K264" s="735"/>
      <c r="L264" s="735"/>
      <c r="M264" s="735"/>
      <c r="N264" s="735"/>
      <c r="O264" s="736"/>
      <c r="P264" s="732" t="s">
        <v>40</v>
      </c>
      <c r="Q264" s="733"/>
      <c r="R264" s="733"/>
      <c r="S264" s="733"/>
      <c r="T264" s="733"/>
      <c r="U264" s="733"/>
      <c r="V264" s="734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6" t="s">
        <v>159</v>
      </c>
      <c r="B266" s="726"/>
      <c r="C266" s="726"/>
      <c r="D266" s="726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727">
        <v>4680115882935</v>
      </c>
      <c r="E267" s="72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9"/>
      <c r="R267" s="729"/>
      <c r="S267" s="729"/>
      <c r="T267" s="73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727">
        <v>4680115880764</v>
      </c>
      <c r="E268" s="72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7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5"/>
      <c r="B269" s="735"/>
      <c r="C269" s="735"/>
      <c r="D269" s="735"/>
      <c r="E269" s="735"/>
      <c r="F269" s="735"/>
      <c r="G269" s="735"/>
      <c r="H269" s="735"/>
      <c r="I269" s="735"/>
      <c r="J269" s="735"/>
      <c r="K269" s="735"/>
      <c r="L269" s="735"/>
      <c r="M269" s="735"/>
      <c r="N269" s="735"/>
      <c r="O269" s="736"/>
      <c r="P269" s="732" t="s">
        <v>40</v>
      </c>
      <c r="Q269" s="733"/>
      <c r="R269" s="733"/>
      <c r="S269" s="733"/>
      <c r="T269" s="733"/>
      <c r="U269" s="733"/>
      <c r="V269" s="734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6" t="s">
        <v>77</v>
      </c>
      <c r="B271" s="726"/>
      <c r="C271" s="726"/>
      <c r="D271" s="726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727">
        <v>4680115882683</v>
      </c>
      <c r="E272" s="72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9"/>
      <c r="R272" s="729"/>
      <c r="S272" s="729"/>
      <c r="T272" s="73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727">
        <v>4680115882690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727">
        <v>4680115882669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727">
        <v>4680115882676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727">
        <v>4680115884014</v>
      </c>
      <c r="E276" s="72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727">
        <v>4680115884007</v>
      </c>
      <c r="E277" s="72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727">
        <v>4680115884038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727">
        <v>4680115884021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5"/>
      <c r="B280" s="735"/>
      <c r="C280" s="735"/>
      <c r="D280" s="735"/>
      <c r="E280" s="735"/>
      <c r="F280" s="735"/>
      <c r="G280" s="735"/>
      <c r="H280" s="735"/>
      <c r="I280" s="735"/>
      <c r="J280" s="735"/>
      <c r="K280" s="735"/>
      <c r="L280" s="735"/>
      <c r="M280" s="735"/>
      <c r="N280" s="735"/>
      <c r="O280" s="736"/>
      <c r="P280" s="732" t="s">
        <v>40</v>
      </c>
      <c r="Q280" s="733"/>
      <c r="R280" s="733"/>
      <c r="S280" s="733"/>
      <c r="T280" s="733"/>
      <c r="U280" s="733"/>
      <c r="V280" s="734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6" t="s">
        <v>86</v>
      </c>
      <c r="B282" s="726"/>
      <c r="C282" s="726"/>
      <c r="D282" s="726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727">
        <v>4680115881594</v>
      </c>
      <c r="E283" s="72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9"/>
      <c r="R283" s="729"/>
      <c r="S283" s="729"/>
      <c r="T283" s="73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476</v>
      </c>
      <c r="B284" s="63" t="s">
        <v>477</v>
      </c>
      <c r="C284" s="36">
        <v>4301051411</v>
      </c>
      <c r="D284" s="727">
        <v>4680115881617</v>
      </c>
      <c r="E284" s="72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50</v>
      </c>
      <c r="Y284" s="55">
        <f t="shared" si="48"/>
        <v>56.699999999999996</v>
      </c>
      <c r="Z284" s="41">
        <f>IFERROR(IF(Y284=0,"",ROUNDUP(Y284/H284,0)*0.01898),"")</f>
        <v>0.13286000000000001</v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52.938271604938272</v>
      </c>
      <c r="BN284" s="78">
        <f t="shared" si="50"/>
        <v>60.031999999999996</v>
      </c>
      <c r="BO284" s="78">
        <f t="shared" si="51"/>
        <v>9.6450617283950615E-2</v>
      </c>
      <c r="BP284" s="78">
        <f t="shared" si="52"/>
        <v>0.109375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727">
        <v>4680115880573</v>
      </c>
      <c r="E285" s="72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727">
        <v>4680115882195</v>
      </c>
      <c r="E286" s="72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240</v>
      </c>
      <c r="Y286" s="55">
        <f t="shared" si="48"/>
        <v>240</v>
      </c>
      <c r="Z286" s="41">
        <f>IFERROR(IF(Y286=0,"",ROUNDUP(Y286/H286,0)*0.00651),"")</f>
        <v>0.65100000000000002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267</v>
      </c>
      <c r="BN286" s="78">
        <f t="shared" si="50"/>
        <v>267</v>
      </c>
      <c r="BO286" s="78">
        <f t="shared" si="51"/>
        <v>0.5494505494505495</v>
      </c>
      <c r="BP286" s="78">
        <f t="shared" si="52"/>
        <v>0.5494505494505495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727">
        <v>4680115882607</v>
      </c>
      <c r="E287" s="72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727">
        <v>4680115880092</v>
      </c>
      <c r="E289" s="72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240</v>
      </c>
      <c r="Y289" s="55">
        <f t="shared" si="48"/>
        <v>240</v>
      </c>
      <c r="Z289" s="41">
        <f>IFERROR(IF(Y289=0,"",ROUNDUP(Y289/H289,0)*0.00651),"")</f>
        <v>0.65100000000000002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265.20000000000005</v>
      </c>
      <c r="BN289" s="78">
        <f t="shared" si="50"/>
        <v>265.20000000000005</v>
      </c>
      <c r="BO289" s="78">
        <f t="shared" si="51"/>
        <v>0.5494505494505495</v>
      </c>
      <c r="BP289" s="78">
        <f t="shared" si="52"/>
        <v>0.5494505494505495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727">
        <v>4680115889064</v>
      </c>
      <c r="E290" s="72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727">
        <v>4680115880221</v>
      </c>
      <c r="E291" s="72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240</v>
      </c>
      <c r="Y291" s="55">
        <f t="shared" si="48"/>
        <v>240</v>
      </c>
      <c r="Z291" s="41">
        <f>IFERROR(IF(Y291=0,"",ROUNDUP(Y291/H291,0)*0.00651),"")</f>
        <v>0.65100000000000002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265.20000000000005</v>
      </c>
      <c r="BN291" s="78">
        <f t="shared" si="50"/>
        <v>265.20000000000005</v>
      </c>
      <c r="BO291" s="78">
        <f t="shared" si="51"/>
        <v>0.5494505494505495</v>
      </c>
      <c r="BP291" s="78">
        <f t="shared" si="52"/>
        <v>0.5494505494505495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727">
        <v>4680115880504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727">
        <v>4680115882164</v>
      </c>
      <c r="E293" s="72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240</v>
      </c>
      <c r="Y293" s="55">
        <f t="shared" si="48"/>
        <v>240</v>
      </c>
      <c r="Z293" s="41">
        <f>IFERROR(IF(Y293=0,"",ROUNDUP(Y293/H293,0)*0.00651),"")</f>
        <v>0.65100000000000002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265.8</v>
      </c>
      <c r="BN293" s="78">
        <f t="shared" si="50"/>
        <v>265.8</v>
      </c>
      <c r="BO293" s="78">
        <f t="shared" si="51"/>
        <v>0.5494505494505495</v>
      </c>
      <c r="BP293" s="78">
        <f t="shared" si="52"/>
        <v>0.5494505494505495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727">
        <v>4680115888340</v>
      </c>
      <c r="E294" s="72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5"/>
      <c r="B295" s="735"/>
      <c r="C295" s="735"/>
      <c r="D295" s="735"/>
      <c r="E295" s="735"/>
      <c r="F295" s="735"/>
      <c r="G295" s="735"/>
      <c r="H295" s="735"/>
      <c r="I295" s="735"/>
      <c r="J295" s="735"/>
      <c r="K295" s="735"/>
      <c r="L295" s="735"/>
      <c r="M295" s="735"/>
      <c r="N295" s="735"/>
      <c r="O295" s="736"/>
      <c r="P295" s="732" t="s">
        <v>40</v>
      </c>
      <c r="Q295" s="733"/>
      <c r="R295" s="733"/>
      <c r="S295" s="733"/>
      <c r="T295" s="733"/>
      <c r="U295" s="733"/>
      <c r="V295" s="734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406.17283950617286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407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2.7368600000000001</v>
      </c>
      <c r="AA295" s="67"/>
      <c r="AB295" s="67"/>
      <c r="AC295" s="67"/>
    </row>
    <row r="296" spans="1:68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0</v>
      </c>
      <c r="X296" s="43">
        <f>IFERROR(SUM(X283:X294),"0")</f>
        <v>1010</v>
      </c>
      <c r="Y296" s="43">
        <f>IFERROR(SUM(Y283:Y294),"0")</f>
        <v>1016.7</v>
      </c>
      <c r="Z296" s="42"/>
      <c r="AA296" s="67"/>
      <c r="AB296" s="67"/>
      <c r="AC296" s="67"/>
    </row>
    <row r="297" spans="1:68" ht="14.25" hidden="1" customHeight="1" x14ac:dyDescent="0.25">
      <c r="A297" s="726" t="s">
        <v>178</v>
      </c>
      <c r="B297" s="726"/>
      <c r="C297" s="726"/>
      <c r="D297" s="726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66"/>
      <c r="AB297" s="66"/>
      <c r="AC297" s="80"/>
    </row>
    <row r="298" spans="1:68" ht="27" customHeight="1" x14ac:dyDescent="0.25">
      <c r="A298" s="63" t="s">
        <v>504</v>
      </c>
      <c r="B298" s="63" t="s">
        <v>505</v>
      </c>
      <c r="C298" s="36">
        <v>4301060463</v>
      </c>
      <c r="D298" s="727">
        <v>4680115880818</v>
      </c>
      <c r="E298" s="72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9"/>
      <c r="R298" s="729"/>
      <c r="S298" s="729"/>
      <c r="T298" s="730"/>
      <c r="U298" s="39" t="s">
        <v>46</v>
      </c>
      <c r="V298" s="39" t="s">
        <v>46</v>
      </c>
      <c r="W298" s="40" t="s">
        <v>0</v>
      </c>
      <c r="X298" s="58">
        <v>240</v>
      </c>
      <c r="Y298" s="55">
        <f>IFERROR(IF(X298="",0,CEILING((X298/$H298),1)*$H298),"")</f>
        <v>240</v>
      </c>
      <c r="Z298" s="41">
        <f>IFERROR(IF(Y298=0,"",ROUNDUP(Y298/H298,0)*0.00651),"")</f>
        <v>0.65100000000000002</v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265.20000000000005</v>
      </c>
      <c r="BN298" s="78">
        <f>IFERROR(Y298*I298/H298,"0")</f>
        <v>265.20000000000005</v>
      </c>
      <c r="BO298" s="78">
        <f>IFERROR(1/J298*(X298/H298),"0")</f>
        <v>0.5494505494505495</v>
      </c>
      <c r="BP298" s="78">
        <f>IFERROR(1/J298*(Y298/H298),"0")</f>
        <v>0.5494505494505495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727">
        <v>4680115880801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x14ac:dyDescent="0.2">
      <c r="A300" s="735"/>
      <c r="B300" s="735"/>
      <c r="C300" s="735"/>
      <c r="D300" s="735"/>
      <c r="E300" s="735"/>
      <c r="F300" s="735"/>
      <c r="G300" s="735"/>
      <c r="H300" s="735"/>
      <c r="I300" s="735"/>
      <c r="J300" s="735"/>
      <c r="K300" s="735"/>
      <c r="L300" s="735"/>
      <c r="M300" s="735"/>
      <c r="N300" s="735"/>
      <c r="O300" s="736"/>
      <c r="P300" s="732" t="s">
        <v>40</v>
      </c>
      <c r="Q300" s="733"/>
      <c r="R300" s="733"/>
      <c r="S300" s="733"/>
      <c r="T300" s="733"/>
      <c r="U300" s="733"/>
      <c r="V300" s="734"/>
      <c r="W300" s="42" t="s">
        <v>39</v>
      </c>
      <c r="X300" s="43">
        <f>IFERROR(X298/H298,"0")+IFERROR(X299/H299,"0")</f>
        <v>100</v>
      </c>
      <c r="Y300" s="43">
        <f>IFERROR(Y298/H298,"0")+IFERROR(Y299/H299,"0")</f>
        <v>100</v>
      </c>
      <c r="Z300" s="43">
        <f>IFERROR(IF(Z298="",0,Z298),"0")+IFERROR(IF(Z299="",0,Z299),"0")</f>
        <v>0.65100000000000002</v>
      </c>
      <c r="AA300" s="67"/>
      <c r="AB300" s="67"/>
      <c r="AC300" s="67"/>
    </row>
    <row r="301" spans="1:68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0</v>
      </c>
      <c r="X301" s="43">
        <f>IFERROR(SUM(X298:X299),"0")</f>
        <v>240</v>
      </c>
      <c r="Y301" s="43">
        <f>IFERROR(SUM(Y298:Y299),"0")</f>
        <v>240</v>
      </c>
      <c r="Z301" s="42"/>
      <c r="AA301" s="67"/>
      <c r="AB301" s="67"/>
      <c r="AC301" s="67"/>
    </row>
    <row r="302" spans="1:68" ht="16.5" hidden="1" customHeight="1" x14ac:dyDescent="0.25">
      <c r="A302" s="725" t="s">
        <v>510</v>
      </c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  <c r="S302" s="725"/>
      <c r="T302" s="725"/>
      <c r="U302" s="725"/>
      <c r="V302" s="725"/>
      <c r="W302" s="725"/>
      <c r="X302" s="725"/>
      <c r="Y302" s="725"/>
      <c r="Z302" s="725"/>
      <c r="AA302" s="65"/>
      <c r="AB302" s="65"/>
      <c r="AC302" s="79"/>
    </row>
    <row r="303" spans="1:68" ht="14.25" hidden="1" customHeight="1" x14ac:dyDescent="0.25">
      <c r="A303" s="726" t="s">
        <v>122</v>
      </c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727">
        <v>4680115884137</v>
      </c>
      <c r="E304" s="72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9"/>
      <c r="R304" s="729"/>
      <c r="S304" s="729"/>
      <c r="T304" s="73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727">
        <v>4680115884236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727">
        <v>4680115884175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727">
        <v>4680115884144</v>
      </c>
      <c r="E307" s="72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727">
        <v>4680115886551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727">
        <v>4680115887282</v>
      </c>
      <c r="E309" s="72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727">
        <v>4680115884205</v>
      </c>
      <c r="E310" s="72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5"/>
      <c r="B311" s="735"/>
      <c r="C311" s="735"/>
      <c r="D311" s="735"/>
      <c r="E311" s="735"/>
      <c r="F311" s="735"/>
      <c r="G311" s="735"/>
      <c r="H311" s="735"/>
      <c r="I311" s="735"/>
      <c r="J311" s="735"/>
      <c r="K311" s="735"/>
      <c r="L311" s="735"/>
      <c r="M311" s="735"/>
      <c r="N311" s="735"/>
      <c r="O311" s="736"/>
      <c r="P311" s="732" t="s">
        <v>40</v>
      </c>
      <c r="Q311" s="733"/>
      <c r="R311" s="733"/>
      <c r="S311" s="733"/>
      <c r="T311" s="733"/>
      <c r="U311" s="733"/>
      <c r="V311" s="734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6" t="s">
        <v>159</v>
      </c>
      <c r="B313" s="726"/>
      <c r="C313" s="726"/>
      <c r="D313" s="726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727">
        <v>4680115885981</v>
      </c>
      <c r="E314" s="72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9"/>
      <c r="R314" s="729"/>
      <c r="S314" s="729"/>
      <c r="T314" s="73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5"/>
      <c r="B315" s="735"/>
      <c r="C315" s="735"/>
      <c r="D315" s="735"/>
      <c r="E315" s="735"/>
      <c r="F315" s="735"/>
      <c r="G315" s="735"/>
      <c r="H315" s="735"/>
      <c r="I315" s="735"/>
      <c r="J315" s="735"/>
      <c r="K315" s="735"/>
      <c r="L315" s="735"/>
      <c r="M315" s="735"/>
      <c r="N315" s="735"/>
      <c r="O315" s="736"/>
      <c r="P315" s="732" t="s">
        <v>40</v>
      </c>
      <c r="Q315" s="733"/>
      <c r="R315" s="733"/>
      <c r="S315" s="733"/>
      <c r="T315" s="733"/>
      <c r="U315" s="733"/>
      <c r="V315" s="73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6" t="s">
        <v>532</v>
      </c>
      <c r="B317" s="726"/>
      <c r="C317" s="726"/>
      <c r="D317" s="726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727">
        <v>4680115886803</v>
      </c>
      <c r="E318" s="72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9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9"/>
      <c r="R318" s="729"/>
      <c r="S318" s="729"/>
      <c r="T318" s="73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5"/>
      <c r="B319" s="735"/>
      <c r="C319" s="735"/>
      <c r="D319" s="735"/>
      <c r="E319" s="735"/>
      <c r="F319" s="735"/>
      <c r="G319" s="735"/>
      <c r="H319" s="735"/>
      <c r="I319" s="735"/>
      <c r="J319" s="735"/>
      <c r="K319" s="735"/>
      <c r="L319" s="735"/>
      <c r="M319" s="735"/>
      <c r="N319" s="735"/>
      <c r="O319" s="736"/>
      <c r="P319" s="732" t="s">
        <v>40</v>
      </c>
      <c r="Q319" s="733"/>
      <c r="R319" s="733"/>
      <c r="S319" s="733"/>
      <c r="T319" s="733"/>
      <c r="U319" s="733"/>
      <c r="V319" s="734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6" t="s">
        <v>342</v>
      </c>
      <c r="B321" s="726"/>
      <c r="C321" s="726"/>
      <c r="D321" s="726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727">
        <v>4680115886681</v>
      </c>
      <c r="E322" s="72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9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9"/>
      <c r="R322" s="729"/>
      <c r="S322" s="729"/>
      <c r="T322" s="73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727">
        <v>4680115886735</v>
      </c>
      <c r="E323" s="72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729"/>
      <c r="R323" s="729"/>
      <c r="S323" s="729"/>
      <c r="T323" s="73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542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122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562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86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571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77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86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592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122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5" t="s">
        <v>601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122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77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customHeight="1" x14ac:dyDescent="0.25">
      <c r="A376" s="63" t="s">
        <v>621</v>
      </c>
      <c r="B376" s="63" t="s">
        <v>622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100</v>
      </c>
      <c r="Y376" s="55">
        <f t="shared" ref="Y376:Y382" si="68">IFERROR(IF(X376="",0,CEILING((X376/$H376),1)*$H376),"")</f>
        <v>100.80000000000001</v>
      </c>
      <c r="Z376" s="41">
        <f>IFERROR(IF(Y376=0,"",ROUNDUP(Y376/H376,0)*0.00902),"")</f>
        <v>0.21648000000000001</v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105.95238095238095</v>
      </c>
      <c r="BN376" s="78">
        <f t="shared" ref="BN376:BN382" si="70">IFERROR(Y376*I376/H376,"0")</f>
        <v>106.80000000000001</v>
      </c>
      <c r="BO376" s="78">
        <f t="shared" ref="BO376:BO382" si="71">IFERROR(1/J376*(X376/H376),"0")</f>
        <v>0.18037518037518038</v>
      </c>
      <c r="BP376" s="78">
        <f t="shared" ref="BP376:BP382" si="72">IFERROR(1/J376*(Y376/H376),"0")</f>
        <v>0.18181818181818182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23.80952380952381</v>
      </c>
      <c r="Y383" s="43">
        <f>IFERROR(Y376/H376,"0")+IFERROR(Y377/H377,"0")+IFERROR(Y378/H378,"0")+IFERROR(Y379/H379,"0")+IFERROR(Y380/H380,"0")+IFERROR(Y381/H381,"0")+IFERROR(Y382/H382,"0")</f>
        <v>24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0.21648000000000001</v>
      </c>
      <c r="AA383" s="67"/>
      <c r="AB383" s="67"/>
      <c r="AC383" s="67"/>
    </row>
    <row r="384" spans="1:68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100</v>
      </c>
      <c r="Y384" s="43">
        <f>IFERROR(SUM(Y376:Y382),"0")</f>
        <v>100.80000000000001</v>
      </c>
      <c r="Z384" s="42"/>
      <c r="AA384" s="67"/>
      <c r="AB384" s="67"/>
      <c r="AC384" s="67"/>
    </row>
    <row r="385" spans="1:68" ht="14.25" hidden="1" customHeight="1" x14ac:dyDescent="0.25">
      <c r="A385" s="726" t="s">
        <v>86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178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200</v>
      </c>
      <c r="Y393" s="55">
        <f>IFERROR(IF(X393="",0,CEILING((X393/$H393),1)*$H393),"")</f>
        <v>201.60000000000002</v>
      </c>
      <c r="Z393" s="41">
        <f>IFERROR(IF(Y393=0,"",ROUNDUP(Y393/H393,0)*0.01898),"")</f>
        <v>0.45552000000000004</v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211.76190476190476</v>
      </c>
      <c r="BN393" s="78">
        <f>IFERROR(Y393*I393/H393,"0")</f>
        <v>213.45600000000002</v>
      </c>
      <c r="BO393" s="78">
        <f>IFERROR(1/J393*(X393/H393),"0")</f>
        <v>0.37202380952380953</v>
      </c>
      <c r="BP393" s="78">
        <f>IFERROR(1/J393*(Y393/H393),"0")</f>
        <v>0.375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101.39999999999999</v>
      </c>
      <c r="Z394" s="41">
        <f>IFERROR(IF(Y394=0,"",ROUNDUP(Y394/H394,0)*0.01898),"")</f>
        <v>0.24674000000000001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106.33333333333334</v>
      </c>
      <c r="BN394" s="78">
        <f>IFERROR(Y394*I394/H394,"0")</f>
        <v>107.82199999999999</v>
      </c>
      <c r="BO394" s="78">
        <f>IFERROR(1/J394*(X394/H394),"0")</f>
        <v>0.20032051282051283</v>
      </c>
      <c r="BP394" s="78">
        <f>IFERROR(1/J394*(Y394/H394),"0")</f>
        <v>0.203125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50</v>
      </c>
      <c r="Y395" s="55">
        <f>IFERROR(IF(X395="",0,CEILING((X395/$H395),1)*$H395),"")</f>
        <v>50.400000000000006</v>
      </c>
      <c r="Z395" s="41">
        <f>IFERROR(IF(Y395=0,"",ROUNDUP(Y395/H395,0)*0.01898),"")</f>
        <v>0.11388000000000001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52.94047619047619</v>
      </c>
      <c r="BN395" s="78">
        <f>IFERROR(Y395*I395/H395,"0")</f>
        <v>53.364000000000004</v>
      </c>
      <c r="BO395" s="78">
        <f>IFERROR(1/J395*(X395/H395),"0")</f>
        <v>9.3005952380952384E-2</v>
      </c>
      <c r="BP395" s="78">
        <f>IFERROR(1/J395*(Y395/H395),"0")</f>
        <v>9.375E-2</v>
      </c>
    </row>
    <row r="396" spans="1:68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42.582417582417577</v>
      </c>
      <c r="Y396" s="43">
        <f>IFERROR(Y393/H393,"0")+IFERROR(Y394/H394,"0")+IFERROR(Y395/H395,"0")</f>
        <v>43</v>
      </c>
      <c r="Z396" s="43">
        <f>IFERROR(IF(Z393="",0,Z393),"0")+IFERROR(IF(Z394="",0,Z394),"0")+IFERROR(IF(Z395="",0,Z395),"0")</f>
        <v>0.81614000000000009</v>
      </c>
      <c r="AA396" s="67"/>
      <c r="AB396" s="67"/>
      <c r="AC396" s="67"/>
    </row>
    <row r="397" spans="1:68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350</v>
      </c>
      <c r="Y397" s="43">
        <f>IFERROR(SUM(Y393:Y395),"0")</f>
        <v>353.4</v>
      </c>
      <c r="Z397" s="42"/>
      <c r="AA397" s="67"/>
      <c r="AB397" s="67"/>
      <c r="AC397" s="67"/>
    </row>
    <row r="398" spans="1:68" ht="14.25" hidden="1" customHeight="1" x14ac:dyDescent="0.25">
      <c r="A398" s="726" t="s">
        <v>278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0</v>
      </c>
      <c r="Y403" s="43">
        <f>IFERROR(Y399/H399,"0")+IFERROR(Y400/H400,"0")+IFERROR(Y401/H401,"0")+IFERROR(Y402/H402,"0")</f>
        <v>0</v>
      </c>
      <c r="Z403" s="43">
        <f>IFERROR(IF(Z399="",0,Z399),"0")+IFERROR(IF(Z400="",0,Z400),"0")+IFERROR(IF(Z401="",0,Z401),"0")+IFERROR(IF(Z402="",0,Z402),"0")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0</v>
      </c>
      <c r="Y404" s="43">
        <f>IFERROR(SUM(Y399:Y402),"0")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26" t="s">
        <v>669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678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25" t="s">
        <v>687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86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694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86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idden="1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0</v>
      </c>
      <c r="Y428" s="43">
        <f>IFERROR(Y425/H425,"0")+IFERROR(Y426/H426,"0")+IFERROR(Y427/H427,"0")</f>
        <v>0</v>
      </c>
      <c r="Z428" s="43">
        <f>IFERROR(IF(Z425="",0,Z425),"0")+IFERROR(IF(Z426="",0,Z426),"0")+IFERROR(IF(Z427="",0,Z427),"0")</f>
        <v>0</v>
      </c>
      <c r="AA428" s="67"/>
      <c r="AB428" s="67"/>
      <c r="AC428" s="67"/>
    </row>
    <row r="429" spans="1:68" hidden="1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0</v>
      </c>
      <c r="Y429" s="43">
        <f>IFERROR(SUM(Y425:Y427),"0")</f>
        <v>0</v>
      </c>
      <c r="Z429" s="42"/>
      <c r="AA429" s="67"/>
      <c r="AB429" s="67"/>
      <c r="AC429" s="67"/>
    </row>
    <row r="430" spans="1:68" ht="27.75" hidden="1" customHeight="1" x14ac:dyDescent="0.2">
      <c r="A430" s="724" t="s">
        <v>704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705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122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hidden="1" customHeight="1" x14ac:dyDescent="0.25">
      <c r="A433" s="63" t="s">
        <v>706</v>
      </c>
      <c r="B433" s="63" t="s">
        <v>707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hidden="1" customHeight="1" x14ac:dyDescent="0.25">
      <c r="A434" s="63" t="s">
        <v>709</v>
      </c>
      <c r="B434" s="63" t="s">
        <v>710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hidden="1" customHeight="1" x14ac:dyDescent="0.25">
      <c r="A435" s="63" t="s">
        <v>712</v>
      </c>
      <c r="B435" s="63" t="s">
        <v>713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hidden="1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0</v>
      </c>
      <c r="Y441" s="43">
        <f>IFERROR(Y433/H433,"0")+IFERROR(Y434/H434,"0")+IFERROR(Y435/H435,"0")+IFERROR(Y436/H436,"0")+IFERROR(Y437/H437,"0")+IFERROR(Y438/H438,"0")+IFERROR(Y439/H439,"0")+IFERROR(Y440/H440,"0")</f>
        <v>0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0</v>
      </c>
      <c r="Y442" s="43">
        <f>IFERROR(SUM(Y433:Y440),"0")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726" t="s">
        <v>159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hidden="1" customHeight="1" x14ac:dyDescent="0.25">
      <c r="A444" s="63" t="s">
        <v>730</v>
      </c>
      <c r="B444" s="63" t="s">
        <v>731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26" t="s">
        <v>86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742</v>
      </c>
      <c r="B451" s="63" t="s">
        <v>743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250</v>
      </c>
      <c r="Y451" s="55">
        <f>IFERROR(IF(X451="",0,CEILING((X451/$H451),1)*$H451),"")</f>
        <v>252</v>
      </c>
      <c r="Z451" s="41">
        <f>IFERROR(IF(Y451=0,"",ROUNDUP(Y451/H451,0)*0.01898),"")</f>
        <v>0.53144000000000002</v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263.72222222222223</v>
      </c>
      <c r="BN451" s="78">
        <f>IFERROR(Y451*I451/H451,"0")</f>
        <v>265.83199999999999</v>
      </c>
      <c r="BO451" s="78">
        <f>IFERROR(1/J451*(X451/H451),"0")</f>
        <v>0.43402777777777779</v>
      </c>
      <c r="BP451" s="78">
        <f>IFERROR(1/J451*(Y451/H451),"0")</f>
        <v>0.4375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27.777777777777779</v>
      </c>
      <c r="Y453" s="43">
        <f>IFERROR(Y450/H450,"0")+IFERROR(Y451/H451,"0")+IFERROR(Y452/H452,"0")</f>
        <v>28</v>
      </c>
      <c r="Z453" s="43">
        <f>IFERROR(IF(Z450="",0,Z450),"0")+IFERROR(IF(Z451="",0,Z451),"0")+IFERROR(IF(Z452="",0,Z452),"0")</f>
        <v>0.53144000000000002</v>
      </c>
      <c r="AA453" s="67"/>
      <c r="AB453" s="67"/>
      <c r="AC453" s="67"/>
    </row>
    <row r="454" spans="1:68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250</v>
      </c>
      <c r="Y454" s="43">
        <f>IFERROR(SUM(Y450:Y452),"0")</f>
        <v>252</v>
      </c>
      <c r="Z454" s="42"/>
      <c r="AA454" s="67"/>
      <c r="AB454" s="67"/>
      <c r="AC454" s="67"/>
    </row>
    <row r="455" spans="1:68" ht="14.25" hidden="1" customHeight="1" x14ac:dyDescent="0.25">
      <c r="A455" s="726" t="s">
        <v>178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751</v>
      </c>
      <c r="B457" s="63" t="s">
        <v>752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400</v>
      </c>
      <c r="Y457" s="55">
        <f>IFERROR(IF(X457="",0,CEILING((X457/$H457),1)*$H457),"")</f>
        <v>405</v>
      </c>
      <c r="Z457" s="41">
        <f>IFERROR(IF(Y457=0,"",ROUNDUP(Y457/H457,0)*0.01898),"")</f>
        <v>0.85409999999999997</v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421.95555555555552</v>
      </c>
      <c r="BN457" s="78">
        <f>IFERROR(Y457*I457/H457,"0")</f>
        <v>427.22999999999996</v>
      </c>
      <c r="BO457" s="78">
        <f>IFERROR(1/J457*(X457/H457),"0")</f>
        <v>0.69444444444444442</v>
      </c>
      <c r="BP457" s="78">
        <f>IFERROR(1/J457*(Y457/H457),"0")</f>
        <v>0.703125</v>
      </c>
    </row>
    <row r="458" spans="1:68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44.444444444444443</v>
      </c>
      <c r="Y458" s="43">
        <f>IFERROR(Y456/H456,"0")+IFERROR(Y457/H457,"0")</f>
        <v>45</v>
      </c>
      <c r="Z458" s="43">
        <f>IFERROR(IF(Z456="",0,Z456),"0")+IFERROR(IF(Z457="",0,Z457),"0")</f>
        <v>0.85409999999999997</v>
      </c>
      <c r="AA458" s="67"/>
      <c r="AB458" s="67"/>
      <c r="AC458" s="67"/>
    </row>
    <row r="459" spans="1:68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400</v>
      </c>
      <c r="Y459" s="43">
        <f>IFERROR(SUM(Y456:Y457),"0")</f>
        <v>405</v>
      </c>
      <c r="Z459" s="42"/>
      <c r="AA459" s="67"/>
      <c r="AB459" s="67"/>
      <c r="AC459" s="67"/>
    </row>
    <row r="460" spans="1:68" ht="16.5" hidden="1" customHeight="1" x14ac:dyDescent="0.25">
      <c r="A460" s="725" t="s">
        <v>754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122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77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86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724" t="s">
        <v>770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771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77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customHeight="1" x14ac:dyDescent="0.25">
      <c r="A479" s="63" t="s">
        <v>772</v>
      </c>
      <c r="B479" s="63" t="s">
        <v>773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150</v>
      </c>
      <c r="Y479" s="55">
        <f t="shared" ref="Y479:Y484" si="78">IFERROR(IF(X479="",0,CEILING((X479/$H479),1)*$H479),"")</f>
        <v>151.20000000000002</v>
      </c>
      <c r="Z479" s="41">
        <f>IFERROR(IF(Y479=0,"",ROUNDUP(Y479/H479,0)*0.00902),"")</f>
        <v>0.25256000000000001</v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155.27777777777777</v>
      </c>
      <c r="BN479" s="78">
        <f t="shared" ref="BN479:BN484" si="80">IFERROR(Y479*I479/H479,"0")</f>
        <v>156.52000000000001</v>
      </c>
      <c r="BO479" s="78">
        <f t="shared" ref="BO479:BO484" si="81">IFERROR(1/J479*(X479/H479),"0")</f>
        <v>0.21043771043771042</v>
      </c>
      <c r="BP479" s="78">
        <f t="shared" ref="BP479:BP484" si="82">IFERROR(1/J479*(Y479/H479),"0")</f>
        <v>0.21212121212121213</v>
      </c>
    </row>
    <row r="480" spans="1:68" ht="27" customHeight="1" x14ac:dyDescent="0.25">
      <c r="A480" s="63" t="s">
        <v>775</v>
      </c>
      <c r="B480" s="63" t="s">
        <v>776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300</v>
      </c>
      <c r="Y480" s="55">
        <f t="shared" si="78"/>
        <v>302.40000000000003</v>
      </c>
      <c r="Z480" s="41">
        <f>IFERROR(IF(Y480=0,"",ROUNDUP(Y480/H480,0)*0.00902),"")</f>
        <v>0.50512000000000001</v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310.55555555555554</v>
      </c>
      <c r="BN480" s="78">
        <f t="shared" si="80"/>
        <v>313.04000000000002</v>
      </c>
      <c r="BO480" s="78">
        <f t="shared" si="81"/>
        <v>0.42087542087542085</v>
      </c>
      <c r="BP480" s="78">
        <f t="shared" si="82"/>
        <v>0.42424242424242425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customHeight="1" x14ac:dyDescent="0.25">
      <c r="A484" s="63" t="s">
        <v>786</v>
      </c>
      <c r="B484" s="63" t="s">
        <v>787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21</v>
      </c>
      <c r="Y484" s="55">
        <f t="shared" si="78"/>
        <v>21</v>
      </c>
      <c r="Z484" s="41">
        <f>IFERROR(IF(Y484=0,"",ROUNDUP(Y484/H484,0)*0.00502),"")</f>
        <v>5.0200000000000002E-2</v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22.299999999999997</v>
      </c>
      <c r="BN484" s="78">
        <f t="shared" si="80"/>
        <v>22.299999999999997</v>
      </c>
      <c r="BO484" s="78">
        <f t="shared" si="81"/>
        <v>4.2735042735042736E-2</v>
      </c>
      <c r="BP484" s="78">
        <f t="shared" si="82"/>
        <v>4.2735042735042736E-2</v>
      </c>
    </row>
    <row r="485" spans="1:68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93.333333333333329</v>
      </c>
      <c r="Y485" s="43">
        <f>IFERROR(Y479/H479,"0")+IFERROR(Y480/H480,"0")+IFERROR(Y481/H481,"0")+IFERROR(Y482/H482,"0")+IFERROR(Y483/H483,"0")+IFERROR(Y484/H484,"0")</f>
        <v>94</v>
      </c>
      <c r="Z485" s="43">
        <f>IFERROR(IF(Z479="",0,Z479),"0")+IFERROR(IF(Z480="",0,Z480),"0")+IFERROR(IF(Z481="",0,Z481),"0")+IFERROR(IF(Z482="",0,Z482),"0")+IFERROR(IF(Z483="",0,Z483),"0")+IFERROR(IF(Z484="",0,Z484),"0")</f>
        <v>0.80788000000000004</v>
      </c>
      <c r="AA485" s="67"/>
      <c r="AB485" s="67"/>
      <c r="AC485" s="67"/>
    </row>
    <row r="486" spans="1:68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471</v>
      </c>
      <c r="Y486" s="43">
        <f>IFERROR(SUM(Y479:Y484),"0")</f>
        <v>474.6</v>
      </c>
      <c r="Z486" s="42"/>
      <c r="AA486" s="67"/>
      <c r="AB486" s="67"/>
      <c r="AC486" s="67"/>
    </row>
    <row r="487" spans="1:68" ht="14.25" hidden="1" customHeight="1" x14ac:dyDescent="0.25">
      <c r="A487" s="726" t="s">
        <v>86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794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159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customHeight="1" x14ac:dyDescent="0.25">
      <c r="A494" s="63" t="s">
        <v>795</v>
      </c>
      <c r="B494" s="63" t="s">
        <v>796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21</v>
      </c>
      <c r="Y494" s="55">
        <f>IFERROR(IF(X494="",0,CEILING((X494/$H494),1)*$H494),"")</f>
        <v>21</v>
      </c>
      <c r="Z494" s="41">
        <f>IFERROR(IF(Y494=0,"",ROUNDUP(Y494/H494,0)*0.00651),"")</f>
        <v>6.5100000000000005E-2</v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23.099999999999998</v>
      </c>
      <c r="BN494" s="78">
        <f>IFERROR(Y494*I494/H494,"0")</f>
        <v>23.099999999999998</v>
      </c>
      <c r="BO494" s="78">
        <f>IFERROR(1/J494*(X494/H494),"0")</f>
        <v>5.4945054945054951E-2</v>
      </c>
      <c r="BP494" s="78">
        <f>IFERROR(1/J494*(Y494/H494),"0")</f>
        <v>5.4945054945054951E-2</v>
      </c>
    </row>
    <row r="495" spans="1:68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10</v>
      </c>
      <c r="Y495" s="43">
        <f>IFERROR(Y494/H494,"0")</f>
        <v>10</v>
      </c>
      <c r="Z495" s="43">
        <f>IFERROR(IF(Z494="",0,Z494),"0")</f>
        <v>6.5100000000000005E-2</v>
      </c>
      <c r="AA495" s="67"/>
      <c r="AB495" s="67"/>
      <c r="AC495" s="67"/>
    </row>
    <row r="496" spans="1:68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21</v>
      </c>
      <c r="Y496" s="43">
        <f>IFERROR(SUM(Y494:Y494),"0")</f>
        <v>21</v>
      </c>
      <c r="Z496" s="42"/>
      <c r="AA496" s="67"/>
      <c r="AB496" s="67"/>
      <c r="AC496" s="67"/>
    </row>
    <row r="497" spans="1:68" ht="14.25" hidden="1" customHeight="1" x14ac:dyDescent="0.25">
      <c r="A497" s="726" t="s">
        <v>77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200</v>
      </c>
      <c r="Y498" s="55">
        <f>IFERROR(IF(X498="",0,CEILING((X498/$H498),1)*$H498),"")</f>
        <v>205.20000000000002</v>
      </c>
      <c r="Z498" s="41">
        <f>IFERROR(IF(Y498=0,"",ROUNDUP(Y498/H498,0)*0.00902),"")</f>
        <v>0.34276000000000001</v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207.03703703703701</v>
      </c>
      <c r="BN498" s="78">
        <f>IFERROR(Y498*I498/H498,"0")</f>
        <v>212.42</v>
      </c>
      <c r="BO498" s="78">
        <f>IFERROR(1/J498*(X498/H498),"0")</f>
        <v>0.28058361391694725</v>
      </c>
      <c r="BP498" s="78">
        <f>IFERROR(1/J498*(Y498/H498),"0")</f>
        <v>0.2878787878787879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37.037037037037038</v>
      </c>
      <c r="Y501" s="43">
        <f>IFERROR(Y498/H498,"0")+IFERROR(Y499/H499,"0")+IFERROR(Y500/H500,"0")</f>
        <v>38</v>
      </c>
      <c r="Z501" s="43">
        <f>IFERROR(IF(Z498="",0,Z498),"0")+IFERROR(IF(Z499="",0,Z499),"0")+IFERROR(IF(Z500="",0,Z500),"0")</f>
        <v>0.34276000000000001</v>
      </c>
      <c r="AA501" s="67"/>
      <c r="AB501" s="67"/>
      <c r="AC501" s="67"/>
    </row>
    <row r="502" spans="1:68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200</v>
      </c>
      <c r="Y502" s="43">
        <f>IFERROR(SUM(Y498:Y500),"0")</f>
        <v>205.20000000000002</v>
      </c>
      <c r="Z502" s="42"/>
      <c r="AA502" s="67"/>
      <c r="AB502" s="67"/>
      <c r="AC502" s="67"/>
    </row>
    <row r="503" spans="1:68" ht="27.75" hidden="1" customHeight="1" x14ac:dyDescent="0.2">
      <c r="A503" s="724" t="s">
        <v>806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806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122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50</v>
      </c>
      <c r="Y511" s="55">
        <f t="shared" si="83"/>
        <v>52.800000000000004</v>
      </c>
      <c r="Z511" s="41">
        <f t="shared" si="84"/>
        <v>0.1196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53.314393939393938</v>
      </c>
      <c r="BN511" s="78">
        <f t="shared" si="86"/>
        <v>56.3</v>
      </c>
      <c r="BO511" s="78">
        <f t="shared" si="87"/>
        <v>9.1054778554778545E-2</v>
      </c>
      <c r="BP511" s="78">
        <f t="shared" si="88"/>
        <v>9.6153846153846159E-2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9.4696969696969688</v>
      </c>
      <c r="Y515" s="43">
        <f>IFERROR(Y506/H506,"0")+IFERROR(Y507/H507,"0")+IFERROR(Y508/H508,"0")+IFERROR(Y509/H509,"0")+IFERROR(Y510/H510,"0")+IFERROR(Y511/H511,"0")+IFERROR(Y512/H512,"0")+IFERROR(Y513/H513,"0")+IFERROR(Y514/H514,"0")</f>
        <v>10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0.1196</v>
      </c>
      <c r="AA515" s="67"/>
      <c r="AB515" s="67"/>
      <c r="AC515" s="67"/>
    </row>
    <row r="516" spans="1:68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50</v>
      </c>
      <c r="Y516" s="43">
        <f>IFERROR(SUM(Y506:Y514),"0")</f>
        <v>52.800000000000004</v>
      </c>
      <c r="Z516" s="42"/>
      <c r="AA516" s="67"/>
      <c r="AB516" s="67"/>
      <c r="AC516" s="67"/>
    </row>
    <row r="517" spans="1:68" ht="14.25" hidden="1" customHeight="1" x14ac:dyDescent="0.25">
      <c r="A517" s="726" t="s">
        <v>159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150</v>
      </c>
      <c r="Y518" s="55">
        <f>IFERROR(IF(X518="",0,CEILING((X518/$H518),1)*$H518),"")</f>
        <v>153.12</v>
      </c>
      <c r="Z518" s="41">
        <f>IFERROR(IF(Y518=0,"",ROUNDUP(Y518/H518,0)*0.01196),"")</f>
        <v>0.34683999999999998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159.94318181818181</v>
      </c>
      <c r="BN518" s="78">
        <f>IFERROR(Y518*I518/H518,"0")</f>
        <v>163.26999999999998</v>
      </c>
      <c r="BO518" s="78">
        <f>IFERROR(1/J518*(X518/H518),"0")</f>
        <v>0.27316433566433568</v>
      </c>
      <c r="BP518" s="78">
        <f>IFERROR(1/J518*(Y518/H518),"0")</f>
        <v>0.27884615384615385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28.409090909090907</v>
      </c>
      <c r="Y521" s="43">
        <f>IFERROR(Y518/H518,"0")+IFERROR(Y519/H519,"0")+IFERROR(Y520/H520,"0")</f>
        <v>29</v>
      </c>
      <c r="Z521" s="43">
        <f>IFERROR(IF(Z518="",0,Z518),"0")+IFERROR(IF(Z519="",0,Z519),"0")+IFERROR(IF(Z520="",0,Z520),"0")</f>
        <v>0.34683999999999998</v>
      </c>
      <c r="AA521" s="67"/>
      <c r="AB521" s="67"/>
      <c r="AC521" s="67"/>
    </row>
    <row r="522" spans="1:68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150</v>
      </c>
      <c r="Y522" s="43">
        <f>IFERROR(SUM(Y518:Y520),"0")</f>
        <v>153.12</v>
      </c>
      <c r="Z522" s="42"/>
      <c r="AA522" s="67"/>
      <c r="AB522" s="67"/>
      <c r="AC522" s="67"/>
    </row>
    <row r="523" spans="1:68" ht="14.25" hidden="1" customHeight="1" x14ac:dyDescent="0.25">
      <c r="A523" s="726" t="s">
        <v>77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120</v>
      </c>
      <c r="Y524" s="55">
        <f t="shared" ref="Y524:Y530" si="89">IFERROR(IF(X524="",0,CEILING((X524/$H524),1)*$H524),"")</f>
        <v>121.44000000000001</v>
      </c>
      <c r="Z524" s="41">
        <f>IFERROR(IF(Y524=0,"",ROUNDUP(Y524/H524,0)*0.01196),"")</f>
        <v>0.27507999999999999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127.95454545454545</v>
      </c>
      <c r="BN524" s="78">
        <f t="shared" ref="BN524:BN530" si="91">IFERROR(Y524*I524/H524,"0")</f>
        <v>129.49</v>
      </c>
      <c r="BO524" s="78">
        <f t="shared" ref="BO524:BO530" si="92">IFERROR(1/J524*(X524/H524),"0")</f>
        <v>0.21853146853146854</v>
      </c>
      <c r="BP524" s="78">
        <f t="shared" ref="BP524:BP530" si="93">IFERROR(1/J524*(Y524/H524),"0")</f>
        <v>0.22115384615384617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50</v>
      </c>
      <c r="Y525" s="55">
        <f t="shared" si="89"/>
        <v>52.800000000000004</v>
      </c>
      <c r="Z525" s="41">
        <f>IFERROR(IF(Y525=0,"",ROUNDUP(Y525/H525,0)*0.01196),"")</f>
        <v>0.1196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53.314393939393938</v>
      </c>
      <c r="BN525" s="78">
        <f t="shared" si="91"/>
        <v>56.3</v>
      </c>
      <c r="BO525" s="78">
        <f t="shared" si="92"/>
        <v>9.1054778554778545E-2</v>
      </c>
      <c r="BP525" s="78">
        <f t="shared" si="93"/>
        <v>9.6153846153846159E-2</v>
      </c>
    </row>
    <row r="526" spans="1:68" ht="27" hidden="1" customHeight="1" x14ac:dyDescent="0.25">
      <c r="A526" s="63" t="s">
        <v>843</v>
      </c>
      <c r="B526" s="63" t="s">
        <v>844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32.196969696969695</v>
      </c>
      <c r="Y531" s="43">
        <f>IFERROR(Y524/H524,"0")+IFERROR(Y525/H525,"0")+IFERROR(Y526/H526,"0")+IFERROR(Y527/H527,"0")+IFERROR(Y528/H528,"0")+IFERROR(Y529/H529,"0")+IFERROR(Y530/H530,"0")</f>
        <v>33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0.39467999999999998</v>
      </c>
      <c r="AA531" s="67"/>
      <c r="AB531" s="67"/>
      <c r="AC531" s="67"/>
    </row>
    <row r="532" spans="1:68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170</v>
      </c>
      <c r="Y532" s="43">
        <f>IFERROR(SUM(Y524:Y530),"0")</f>
        <v>174.24</v>
      </c>
      <c r="Z532" s="42"/>
      <c r="AA532" s="67"/>
      <c r="AB532" s="67"/>
      <c r="AC532" s="67"/>
    </row>
    <row r="533" spans="1:68" ht="27.75" hidden="1" customHeight="1" x14ac:dyDescent="0.2">
      <c r="A533" s="724" t="s">
        <v>853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853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122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hidden="1" customHeight="1" x14ac:dyDescent="0.25">
      <c r="A536" s="63" t="s">
        <v>854</v>
      </c>
      <c r="B536" s="63" t="s">
        <v>855</v>
      </c>
      <c r="C536" s="36">
        <v>4301012386</v>
      </c>
      <c r="D536" s="727">
        <v>4680115889736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6" t="s">
        <v>159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77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100</v>
      </c>
      <c r="Y544" s="55">
        <f>IFERROR(IF(X544="",0,CEILING((X544/$H544),1)*$H544),"")</f>
        <v>100.80000000000001</v>
      </c>
      <c r="Z544" s="41">
        <f>IFERROR(IF(Y544=0,"",ROUNDUP(Y544/H544,0)*0.00902),"")</f>
        <v>0.21648000000000001</v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105.95238095238095</v>
      </c>
      <c r="BN544" s="78">
        <f>IFERROR(Y544*I544/H544,"0")</f>
        <v>106.80000000000001</v>
      </c>
      <c r="BO544" s="78">
        <f>IFERROR(1/J544*(X544/H544),"0")</f>
        <v>0.18037518037518038</v>
      </c>
      <c r="BP544" s="78">
        <f>IFERROR(1/J544*(Y544/H544),"0")</f>
        <v>0.18181818181818182</v>
      </c>
    </row>
    <row r="545" spans="1:68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23.80952380952381</v>
      </c>
      <c r="Y545" s="43">
        <f>IFERROR(Y544/H544,"0")</f>
        <v>24</v>
      </c>
      <c r="Z545" s="43">
        <f>IFERROR(IF(Z544="",0,Z544),"0")</f>
        <v>0.21648000000000001</v>
      </c>
      <c r="AA545" s="67"/>
      <c r="AB545" s="67"/>
      <c r="AC545" s="67"/>
    </row>
    <row r="546" spans="1:68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100</v>
      </c>
      <c r="Y546" s="43">
        <f>IFERROR(SUM(Y544:Y544),"0")</f>
        <v>100.80000000000001</v>
      </c>
      <c r="Z546" s="42"/>
      <c r="AA546" s="67"/>
      <c r="AB546" s="67"/>
      <c r="AC546" s="67"/>
    </row>
    <row r="547" spans="1:68" ht="14.25" hidden="1" customHeight="1" x14ac:dyDescent="0.25">
      <c r="A547" s="726" t="s">
        <v>86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101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178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10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871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159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4100.5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4158.96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4386.1292841109498</v>
      </c>
      <c r="Y562" s="43">
        <f>IFERROR(SUM(BN22:BN558),"0")</f>
        <v>4447.4760000000006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8</v>
      </c>
      <c r="Y563" s="44">
        <f>ROUNDUP(SUM(BP22:BP558),0)</f>
        <v>8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4586.1292841109498</v>
      </c>
      <c r="Y564" s="43">
        <f>GrossWeightTotalR+PalletQtyTotalR*25</f>
        <v>4647.4760000000006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1003.8839247172584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1012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9.3458899999999989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1019" t="s">
        <v>120</v>
      </c>
      <c r="E568" s="1019" t="s">
        <v>120</v>
      </c>
      <c r="F568" s="1019" t="s">
        <v>120</v>
      </c>
      <c r="G568" s="1019" t="s">
        <v>120</v>
      </c>
      <c r="H568" s="1019" t="s">
        <v>120</v>
      </c>
      <c r="I568" s="1019" t="s">
        <v>120</v>
      </c>
      <c r="J568" s="1019" t="s">
        <v>120</v>
      </c>
      <c r="K568" s="1019" t="s">
        <v>346</v>
      </c>
      <c r="L568" s="1019" t="s">
        <v>346</v>
      </c>
      <c r="M568" s="1019" t="s">
        <v>346</v>
      </c>
      <c r="N568" s="1025"/>
      <c r="O568" s="1019" t="s">
        <v>346</v>
      </c>
      <c r="P568" s="1019" t="s">
        <v>346</v>
      </c>
      <c r="Q568" s="1019" t="s">
        <v>346</v>
      </c>
      <c r="R568" s="1019" t="s">
        <v>346</v>
      </c>
      <c r="S568" s="1019" t="s">
        <v>346</v>
      </c>
      <c r="T568" s="1019" t="s">
        <v>346</v>
      </c>
      <c r="U568" s="1019" t="s">
        <v>346</v>
      </c>
      <c r="V568" s="1019" t="s">
        <v>346</v>
      </c>
      <c r="W568" s="1019" t="s">
        <v>704</v>
      </c>
      <c r="X568" s="1019" t="s">
        <v>704</v>
      </c>
      <c r="Y568" s="1019" t="s">
        <v>770</v>
      </c>
      <c r="Z568" s="1019" t="s">
        <v>770</v>
      </c>
      <c r="AA568" s="85" t="s">
        <v>806</v>
      </c>
      <c r="AB568" s="1019" t="s">
        <v>853</v>
      </c>
      <c r="AC568" s="1019" t="s">
        <v>853</v>
      </c>
      <c r="AF568" s="1"/>
    </row>
    <row r="569" spans="1:32" ht="14.25" customHeight="1" thickTop="1" x14ac:dyDescent="0.2">
      <c r="A569" s="1026" t="s">
        <v>10</v>
      </c>
      <c r="B569" s="1019" t="s">
        <v>76</v>
      </c>
      <c r="C569" s="1019" t="s">
        <v>104</v>
      </c>
      <c r="D569" s="1019" t="s">
        <v>121</v>
      </c>
      <c r="E569" s="1019" t="s">
        <v>137</v>
      </c>
      <c r="F569" s="1019" t="s">
        <v>186</v>
      </c>
      <c r="G569" s="1019" t="s">
        <v>210</v>
      </c>
      <c r="H569" s="1019" t="s">
        <v>250</v>
      </c>
      <c r="I569" s="1019" t="s">
        <v>263</v>
      </c>
      <c r="J569" s="1019" t="s">
        <v>120</v>
      </c>
      <c r="K569" s="1019" t="s">
        <v>347</v>
      </c>
      <c r="L569" s="1019" t="s">
        <v>368</v>
      </c>
      <c r="M569" s="1019" t="s">
        <v>442</v>
      </c>
      <c r="N569" s="1"/>
      <c r="O569" s="1019" t="s">
        <v>510</v>
      </c>
      <c r="P569" s="1019" t="s">
        <v>542</v>
      </c>
      <c r="Q569" s="1019" t="s">
        <v>562</v>
      </c>
      <c r="R569" s="1019" t="s">
        <v>571</v>
      </c>
      <c r="S569" s="1019" t="s">
        <v>592</v>
      </c>
      <c r="T569" s="1019" t="s">
        <v>601</v>
      </c>
      <c r="U569" s="1019" t="s">
        <v>687</v>
      </c>
      <c r="V569" s="1019" t="s">
        <v>694</v>
      </c>
      <c r="W569" s="1019" t="s">
        <v>705</v>
      </c>
      <c r="X569" s="1019" t="s">
        <v>754</v>
      </c>
      <c r="Y569" s="1019" t="s">
        <v>771</v>
      </c>
      <c r="Z569" s="1019" t="s">
        <v>794</v>
      </c>
      <c r="AA569" s="1019" t="s">
        <v>806</v>
      </c>
      <c r="AB569" s="1019" t="s">
        <v>853</v>
      </c>
      <c r="AC569" s="1019" t="s">
        <v>871</v>
      </c>
      <c r="AF569" s="1"/>
    </row>
    <row r="570" spans="1:32" ht="13.5" thickBot="1" x14ac:dyDescent="0.25">
      <c r="A570" s="1027"/>
      <c r="B570" s="1019"/>
      <c r="C570" s="1019"/>
      <c r="D570" s="1019"/>
      <c r="E570" s="1019"/>
      <c r="F570" s="1019"/>
      <c r="G570" s="1019"/>
      <c r="H570" s="1019"/>
      <c r="I570" s="1019"/>
      <c r="J570" s="1019"/>
      <c r="K570" s="1019"/>
      <c r="L570" s="1019"/>
      <c r="M570" s="1019"/>
      <c r="N570" s="1"/>
      <c r="O570" s="1019"/>
      <c r="P570" s="1019"/>
      <c r="Q570" s="1019"/>
      <c r="R570" s="1019"/>
      <c r="S570" s="1019"/>
      <c r="T570" s="1019"/>
      <c r="U570" s="1019"/>
      <c r="V570" s="1019"/>
      <c r="W570" s="1019"/>
      <c r="X570" s="1019"/>
      <c r="Y570" s="1019"/>
      <c r="Z570" s="1019"/>
      <c r="AA570" s="1019"/>
      <c r="AB570" s="1019"/>
      <c r="AC570" s="1019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71" s="52">
        <f>IFERROR(Y87*1,"0")+IFERROR(Y88*1,"0")+IFERROR(Y89*1,"0")+IFERROR(Y90*1,"0")+IFERROR(Y91*1,"0")+IFERROR(Y92*1,"0")+IFERROR(Y96*1,"0")+IFERROR(Y97*1,"0")+IFERROR(Y98*1,"0")+IFERROR(Y99*1,"0")</f>
        <v>210.60000000000002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197.10000000000002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201.60000000000002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1256.7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454.20000000000005</v>
      </c>
      <c r="U571" s="52">
        <f>IFERROR(Y419*1,"0")+IFERROR(Y420*1,"0")</f>
        <v>0</v>
      </c>
      <c r="V571" s="52">
        <f>IFERROR(Y425*1,"0")+IFERROR(Y426*1,"0")+IFERROR(Y427*1,"0")</f>
        <v>0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657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474.6</v>
      </c>
      <c r="Z571" s="52">
        <f>IFERROR(Y494*1,"0")+IFERROR(Y498*1,"0")+IFERROR(Y499*1,"0")+IFERROR(Y500*1,"0")</f>
        <v>226.20000000000002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380.16</v>
      </c>
      <c r="AB571" s="52">
        <f>IFERROR(Y536*1,"0")+IFERROR(Y540*1,"0")+IFERROR(Y544*1,"0")+IFERROR(Y548*1,"0")+IFERROR(Y552*1,"0")+IFERROR(Y553*1,"0")</f>
        <v>100.80000000000001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3,88"/>
        <filter val="1 010,00"/>
        <filter val="10,00"/>
        <filter val="100,00"/>
        <filter val="11,11"/>
        <filter val="120,00"/>
        <filter val="150,00"/>
        <filter val="170,00"/>
        <filter val="200,00"/>
        <filter val="21,00"/>
        <filter val="23,81"/>
        <filter val="240,00"/>
        <filter val="25,00"/>
        <filter val="250,00"/>
        <filter val="27,78"/>
        <filter val="28,41"/>
        <filter val="30,00"/>
        <filter val="300,00"/>
        <filter val="32,20"/>
        <filter val="350,00"/>
        <filter val="37,04"/>
        <filter val="4 100,50"/>
        <filter val="4 386,13"/>
        <filter val="4 586,13"/>
        <filter val="400,00"/>
        <filter val="406,17"/>
        <filter val="42,58"/>
        <filter val="44,44"/>
        <filter val="47,62"/>
        <filter val="471,00"/>
        <filter val="50,00"/>
        <filter val="67,50"/>
        <filter val="8"/>
        <filter val="81,00"/>
        <filter val="9,47"/>
        <filter val="93,33"/>
      </filters>
    </filterColumn>
    <filterColumn colId="29" showButton="0"/>
    <filterColumn colId="30" showButton="0"/>
  </autoFilter>
  <dataConsolidate/>
  <mergeCells count="1007"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9" spans="2:8" x14ac:dyDescent="0.2">
      <c r="B9" s="53" t="s">
        <v>884</v>
      </c>
      <c r="C9" s="53" t="s">
        <v>879</v>
      </c>
      <c r="D9" s="53" t="s">
        <v>46</v>
      </c>
      <c r="E9" s="53" t="s">
        <v>46</v>
      </c>
    </row>
    <row r="11" spans="2:8" x14ac:dyDescent="0.2">
      <c r="B11" s="53" t="s">
        <v>884</v>
      </c>
      <c r="C11" s="53" t="s">
        <v>882</v>
      </c>
      <c r="D11" s="53" t="s">
        <v>46</v>
      </c>
      <c r="E11" s="53" t="s">
        <v>46</v>
      </c>
    </row>
    <row r="13" spans="2:8" x14ac:dyDescent="0.2">
      <c r="B13" s="53" t="s">
        <v>885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2026-10-08T11:23:43Z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