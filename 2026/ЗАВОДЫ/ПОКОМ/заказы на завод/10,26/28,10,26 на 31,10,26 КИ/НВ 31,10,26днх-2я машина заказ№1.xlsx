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E1D1B2-B543-443F-941E-F0833F4916F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O534" i="1"/>
  <c r="BM534" i="1"/>
  <c r="Y534" i="1"/>
  <c r="BN534" i="1" s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O530" i="1"/>
  <c r="BN530" i="1"/>
  <c r="BM530" i="1"/>
  <c r="Y530" i="1"/>
  <c r="BP530" i="1" s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P523" i="1"/>
  <c r="BO522" i="1"/>
  <c r="BM522" i="1"/>
  <c r="Y522" i="1"/>
  <c r="BN522" i="1" s="1"/>
  <c r="P522" i="1"/>
  <c r="X520" i="1"/>
  <c r="X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N489" i="1"/>
  <c r="BM489" i="1"/>
  <c r="Y489" i="1"/>
  <c r="BP489" i="1" s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N485" i="1"/>
  <c r="BM485" i="1"/>
  <c r="Y485" i="1"/>
  <c r="BP485" i="1" s="1"/>
  <c r="P485" i="1"/>
  <c r="X481" i="1"/>
  <c r="X480" i="1"/>
  <c r="BO479" i="1"/>
  <c r="BM479" i="1"/>
  <c r="Y479" i="1"/>
  <c r="BN479" i="1" s="1"/>
  <c r="P479" i="1"/>
  <c r="BO478" i="1"/>
  <c r="BM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P473" i="1"/>
  <c r="X471" i="1"/>
  <c r="X470" i="1"/>
  <c r="BO469" i="1"/>
  <c r="BN469" i="1"/>
  <c r="BM469" i="1"/>
  <c r="Y469" i="1"/>
  <c r="BP469" i="1" s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BO457" i="1"/>
  <c r="BM457" i="1"/>
  <c r="Y457" i="1"/>
  <c r="P457" i="1"/>
  <c r="BO456" i="1"/>
  <c r="BN456" i="1"/>
  <c r="BM456" i="1"/>
  <c r="Y456" i="1"/>
  <c r="BP456" i="1" s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N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BN444" i="1" s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N440" i="1"/>
  <c r="BM440" i="1"/>
  <c r="Y440" i="1"/>
  <c r="BP440" i="1" s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N425" i="1"/>
  <c r="BM425" i="1"/>
  <c r="Y425" i="1"/>
  <c r="BP425" i="1" s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O417" i="1"/>
  <c r="BN417" i="1"/>
  <c r="BM417" i="1"/>
  <c r="Y417" i="1"/>
  <c r="BP417" i="1" s="1"/>
  <c r="P417" i="1"/>
  <c r="X415" i="1"/>
  <c r="X414" i="1"/>
  <c r="BO413" i="1"/>
  <c r="BM413" i="1"/>
  <c r="Y413" i="1"/>
  <c r="BN413" i="1" s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N399" i="1"/>
  <c r="BM399" i="1"/>
  <c r="Y399" i="1"/>
  <c r="BP399" i="1" s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N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N381" i="1"/>
  <c r="BM381" i="1"/>
  <c r="Y381" i="1"/>
  <c r="BP381" i="1" s="1"/>
  <c r="P381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N371" i="1"/>
  <c r="BM371" i="1"/>
  <c r="Y371" i="1"/>
  <c r="BP371" i="1" s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BN364" i="1" s="1"/>
  <c r="P364" i="1"/>
  <c r="X361" i="1"/>
  <c r="Y360" i="1"/>
  <c r="X360" i="1"/>
  <c r="BO359" i="1"/>
  <c r="BN359" i="1"/>
  <c r="BM359" i="1"/>
  <c r="Y359" i="1"/>
  <c r="Y361" i="1" s="1"/>
  <c r="P359" i="1"/>
  <c r="X357" i="1"/>
  <c r="X356" i="1"/>
  <c r="BO355" i="1"/>
  <c r="BM355" i="1"/>
  <c r="Y355" i="1"/>
  <c r="S575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X346" i="1"/>
  <c r="X345" i="1"/>
  <c r="BO344" i="1"/>
  <c r="BN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N335" i="1"/>
  <c r="BM335" i="1"/>
  <c r="Y335" i="1"/>
  <c r="BP335" i="1" s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BN326" i="1" s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O303" i="1"/>
  <c r="BN303" i="1"/>
  <c r="BM303" i="1"/>
  <c r="Y303" i="1"/>
  <c r="BP303" i="1" s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N292" i="1"/>
  <c r="BM292" i="1"/>
  <c r="Y292" i="1"/>
  <c r="BP292" i="1" s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O271" i="1"/>
  <c r="BM271" i="1"/>
  <c r="Y271" i="1"/>
  <c r="P271" i="1"/>
  <c r="BO270" i="1"/>
  <c r="BN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Z267" i="1" s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O255" i="1"/>
  <c r="BN255" i="1"/>
  <c r="BM255" i="1"/>
  <c r="Y255" i="1"/>
  <c r="BP255" i="1" s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N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X234" i="1"/>
  <c r="X233" i="1"/>
  <c r="BO232" i="1"/>
  <c r="BN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N228" i="1"/>
  <c r="BM228" i="1"/>
  <c r="Y228" i="1"/>
  <c r="BP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BN220" i="1" s="1"/>
  <c r="P220" i="1"/>
  <c r="X218" i="1"/>
  <c r="Y217" i="1"/>
  <c r="X217" i="1"/>
  <c r="BO216" i="1"/>
  <c r="BN216" i="1"/>
  <c r="BM216" i="1"/>
  <c r="Y216" i="1"/>
  <c r="BP216" i="1" s="1"/>
  <c r="P216" i="1"/>
  <c r="X213" i="1"/>
  <c r="X212" i="1"/>
  <c r="BO211" i="1"/>
  <c r="BM211" i="1"/>
  <c r="Y211" i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N205" i="1"/>
  <c r="BM205" i="1"/>
  <c r="Y205" i="1"/>
  <c r="BP205" i="1" s="1"/>
  <c r="P205" i="1"/>
  <c r="X201" i="1"/>
  <c r="X200" i="1"/>
  <c r="BO199" i="1"/>
  <c r="BM199" i="1"/>
  <c r="Y199" i="1"/>
  <c r="Y201" i="1" s="1"/>
  <c r="P199" i="1"/>
  <c r="X197" i="1"/>
  <c r="Y196" i="1"/>
  <c r="X196" i="1"/>
  <c r="BO195" i="1"/>
  <c r="BN195" i="1"/>
  <c r="BM195" i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N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P171" i="1"/>
  <c r="X169" i="1"/>
  <c r="X168" i="1"/>
  <c r="BO167" i="1"/>
  <c r="BN167" i="1"/>
  <c r="BM167" i="1"/>
  <c r="Y167" i="1"/>
  <c r="BP167" i="1" s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O141" i="1"/>
  <c r="BM141" i="1"/>
  <c r="Y141" i="1"/>
  <c r="BN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P131" i="1"/>
  <c r="X129" i="1"/>
  <c r="X128" i="1"/>
  <c r="BP127" i="1"/>
  <c r="BO127" i="1"/>
  <c r="BM127" i="1"/>
  <c r="Z127" i="1"/>
  <c r="Y127" i="1"/>
  <c r="BN127" i="1" s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O119" i="1"/>
  <c r="BN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N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N98" i="1"/>
  <c r="BM98" i="1"/>
  <c r="Y98" i="1"/>
  <c r="BP98" i="1" s="1"/>
  <c r="P98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BN92" i="1" s="1"/>
  <c r="P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P83" i="1"/>
  <c r="BO83" i="1"/>
  <c r="BM83" i="1"/>
  <c r="Z83" i="1"/>
  <c r="Y83" i="1"/>
  <c r="BN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N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P54" i="1"/>
  <c r="BO54" i="1"/>
  <c r="BM54" i="1"/>
  <c r="Z54" i="1"/>
  <c r="Y54" i="1"/>
  <c r="BN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N34" i="1"/>
  <c r="BM34" i="1"/>
  <c r="Y34" i="1"/>
  <c r="BP34" i="1" s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BN22" i="1" s="1"/>
  <c r="P22" i="1"/>
  <c r="H10" i="1"/>
  <c r="A9" i="1"/>
  <c r="A10" i="1" s="1"/>
  <c r="D7" i="1"/>
  <c r="Q6" i="1"/>
  <c r="P2" i="1"/>
  <c r="J9" i="1" l="1"/>
  <c r="F10" i="1"/>
  <c r="Z28" i="1"/>
  <c r="Z61" i="1"/>
  <c r="BP61" i="1"/>
  <c r="Z73" i="1"/>
  <c r="BP73" i="1"/>
  <c r="Z92" i="1"/>
  <c r="BP92" i="1"/>
  <c r="Z141" i="1"/>
  <c r="BP141" i="1"/>
  <c r="Z181" i="1"/>
  <c r="BP181" i="1"/>
  <c r="Z199" i="1"/>
  <c r="Z200" i="1" s="1"/>
  <c r="BP199" i="1"/>
  <c r="Z220" i="1"/>
  <c r="BP220" i="1"/>
  <c r="Z250" i="1"/>
  <c r="Z251" i="1" s="1"/>
  <c r="BP250" i="1"/>
  <c r="Z326" i="1"/>
  <c r="BP326" i="1"/>
  <c r="Q575" i="1"/>
  <c r="Z355" i="1"/>
  <c r="Z356" i="1" s="1"/>
  <c r="BP355" i="1"/>
  <c r="Z364" i="1"/>
  <c r="BP364" i="1"/>
  <c r="Z375" i="1"/>
  <c r="BP375" i="1"/>
  <c r="Z385" i="1"/>
  <c r="BP385" i="1"/>
  <c r="Z413" i="1"/>
  <c r="BP413" i="1"/>
  <c r="Z444" i="1"/>
  <c r="BP444" i="1"/>
  <c r="Z479" i="1"/>
  <c r="BP479" i="1"/>
  <c r="Z512" i="1"/>
  <c r="BP512" i="1"/>
  <c r="Z522" i="1"/>
  <c r="BP522" i="1"/>
  <c r="Z534" i="1"/>
  <c r="BP534" i="1"/>
  <c r="Z34" i="1"/>
  <c r="Z98" i="1"/>
  <c r="Z111" i="1"/>
  <c r="Z177" i="1"/>
  <c r="Z209" i="1"/>
  <c r="Z232" i="1"/>
  <c r="Z284" i="1"/>
  <c r="Z335" i="1"/>
  <c r="Z371" i="1"/>
  <c r="Z381" i="1"/>
  <c r="Z391" i="1"/>
  <c r="Z417" i="1"/>
  <c r="Z440" i="1"/>
  <c r="Z450" i="1"/>
  <c r="Z469" i="1"/>
  <c r="Z489" i="1"/>
  <c r="Z530" i="1"/>
  <c r="Z22" i="1"/>
  <c r="Z23" i="1" s="1"/>
  <c r="BP28" i="1"/>
  <c r="F9" i="1"/>
  <c r="Z119" i="1"/>
  <c r="Z167" i="1"/>
  <c r="Z195" i="1"/>
  <c r="Z196" i="1" s="1"/>
  <c r="BP195" i="1"/>
  <c r="BN199" i="1"/>
  <c r="Y200" i="1"/>
  <c r="Z205" i="1"/>
  <c r="Z216" i="1"/>
  <c r="Z217" i="1" s="1"/>
  <c r="Z228" i="1"/>
  <c r="Z238" i="1"/>
  <c r="BN250" i="1"/>
  <c r="Y251" i="1"/>
  <c r="Z255" i="1"/>
  <c r="Z270" i="1"/>
  <c r="Z280" i="1"/>
  <c r="Z292" i="1"/>
  <c r="Z303" i="1"/>
  <c r="Z344" i="1"/>
  <c r="BN355" i="1"/>
  <c r="Y356" i="1"/>
  <c r="Z359" i="1"/>
  <c r="Z360" i="1" s="1"/>
  <c r="BP359" i="1"/>
  <c r="Z399" i="1"/>
  <c r="Z425" i="1"/>
  <c r="Z456" i="1"/>
  <c r="Z485" i="1"/>
  <c r="BP30" i="1"/>
  <c r="BN30" i="1"/>
  <c r="Z30" i="1"/>
  <c r="BP52" i="1"/>
  <c r="BN52" i="1"/>
  <c r="Z52" i="1"/>
  <c r="BP63" i="1"/>
  <c r="BN63" i="1"/>
  <c r="Z63" i="1"/>
  <c r="Y79" i="1"/>
  <c r="BP77" i="1"/>
  <c r="BN77" i="1"/>
  <c r="Z77" i="1"/>
  <c r="BP94" i="1"/>
  <c r="BN94" i="1"/>
  <c r="Z94" i="1"/>
  <c r="BP109" i="1"/>
  <c r="BN109" i="1"/>
  <c r="Z109" i="1"/>
  <c r="BP125" i="1"/>
  <c r="BN125" i="1"/>
  <c r="Z125" i="1"/>
  <c r="BP147" i="1"/>
  <c r="BN147" i="1"/>
  <c r="Z147" i="1"/>
  <c r="BP152" i="1"/>
  <c r="BN152" i="1"/>
  <c r="Z152" i="1"/>
  <c r="Y173" i="1"/>
  <c r="BP171" i="1"/>
  <c r="BN171" i="1"/>
  <c r="Z171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BP261" i="1"/>
  <c r="BN261" i="1"/>
  <c r="Z261" i="1"/>
  <c r="BP265" i="1"/>
  <c r="BN265" i="1"/>
  <c r="Z265" i="1"/>
  <c r="BP272" i="1"/>
  <c r="BN272" i="1"/>
  <c r="Z272" i="1"/>
  <c r="BP282" i="1"/>
  <c r="BN282" i="1"/>
  <c r="Z28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BP315" i="1"/>
  <c r="BN315" i="1"/>
  <c r="Z315" i="1"/>
  <c r="BP328" i="1"/>
  <c r="BN328" i="1"/>
  <c r="Z328" i="1"/>
  <c r="Y352" i="1"/>
  <c r="BP348" i="1"/>
  <c r="BN348" i="1"/>
  <c r="Z348" i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Y414" i="1"/>
  <c r="Y23" i="1"/>
  <c r="BP22" i="1"/>
  <c r="X565" i="1"/>
  <c r="Y32" i="1"/>
  <c r="BP26" i="1"/>
  <c r="BN26" i="1"/>
  <c r="Z26" i="1"/>
  <c r="C575" i="1"/>
  <c r="BP42" i="1"/>
  <c r="BN42" i="1"/>
  <c r="Z42" i="1"/>
  <c r="BP59" i="1"/>
  <c r="BN59" i="1"/>
  <c r="Z59" i="1"/>
  <c r="BP71" i="1"/>
  <c r="BN71" i="1"/>
  <c r="Z71" i="1"/>
  <c r="F575" i="1"/>
  <c r="BP90" i="1"/>
  <c r="BN90" i="1"/>
  <c r="Z90" i="1"/>
  <c r="BP100" i="1"/>
  <c r="BN100" i="1"/>
  <c r="Z100" i="1"/>
  <c r="Y121" i="1"/>
  <c r="BP117" i="1"/>
  <c r="BN117" i="1"/>
  <c r="Z117" i="1"/>
  <c r="Y133" i="1"/>
  <c r="Y132" i="1"/>
  <c r="BP131" i="1"/>
  <c r="BN131" i="1"/>
  <c r="Z131" i="1"/>
  <c r="Z132" i="1" s="1"/>
  <c r="BP136" i="1"/>
  <c r="BN136" i="1"/>
  <c r="Z136" i="1"/>
  <c r="BP165" i="1"/>
  <c r="BN165" i="1"/>
  <c r="Z165" i="1"/>
  <c r="BP179" i="1"/>
  <c r="BN179" i="1"/>
  <c r="Z179" i="1"/>
  <c r="BP191" i="1"/>
  <c r="BN191" i="1"/>
  <c r="Z191" i="1"/>
  <c r="BP211" i="1"/>
  <c r="BN211" i="1"/>
  <c r="Z211" i="1"/>
  <c r="BP226" i="1"/>
  <c r="BN226" i="1"/>
  <c r="Z226" i="1"/>
  <c r="BP236" i="1"/>
  <c r="BN236" i="1"/>
  <c r="Z236" i="1"/>
  <c r="BP246" i="1"/>
  <c r="BN246" i="1"/>
  <c r="Z246" i="1"/>
  <c r="BP268" i="1"/>
  <c r="BN268" i="1"/>
  <c r="Z268" i="1"/>
  <c r="BP278" i="1"/>
  <c r="BN278" i="1"/>
  <c r="Z278" i="1"/>
  <c r="BP286" i="1"/>
  <c r="BN286" i="1"/>
  <c r="Z286" i="1"/>
  <c r="BP301" i="1"/>
  <c r="BN301" i="1"/>
  <c r="Z301" i="1"/>
  <c r="BP324" i="1"/>
  <c r="BN324" i="1"/>
  <c r="Z324" i="1"/>
  <c r="BP342" i="1"/>
  <c r="BN342" i="1"/>
  <c r="Z342" i="1"/>
  <c r="Y351" i="1"/>
  <c r="BP366" i="1"/>
  <c r="BN366" i="1"/>
  <c r="Z366" i="1"/>
  <c r="BP377" i="1"/>
  <c r="BN377" i="1"/>
  <c r="Z377" i="1"/>
  <c r="BP432" i="1"/>
  <c r="BN432" i="1"/>
  <c r="Z432" i="1"/>
  <c r="BP446" i="1"/>
  <c r="BN446" i="1"/>
  <c r="Z446" i="1"/>
  <c r="BP458" i="1"/>
  <c r="BN458" i="1"/>
  <c r="Z458" i="1"/>
  <c r="BP462" i="1"/>
  <c r="BN462" i="1"/>
  <c r="Z462" i="1"/>
  <c r="BP487" i="1"/>
  <c r="BN487" i="1"/>
  <c r="Z487" i="1"/>
  <c r="BP514" i="1"/>
  <c r="BN514" i="1"/>
  <c r="Z514" i="1"/>
  <c r="BP524" i="1"/>
  <c r="BN524" i="1"/>
  <c r="Z524" i="1"/>
  <c r="BP528" i="1"/>
  <c r="BN528" i="1"/>
  <c r="Z528" i="1"/>
  <c r="Y542" i="1"/>
  <c r="AC575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Y558" i="1"/>
  <c r="BP556" i="1"/>
  <c r="BN556" i="1"/>
  <c r="Z556" i="1"/>
  <c r="Y36" i="1"/>
  <c r="Y85" i="1"/>
  <c r="Y102" i="1"/>
  <c r="G575" i="1"/>
  <c r="Y143" i="1"/>
  <c r="Y288" i="1"/>
  <c r="BP387" i="1"/>
  <c r="BN387" i="1"/>
  <c r="Z387" i="1"/>
  <c r="BP405" i="1"/>
  <c r="BN405" i="1"/>
  <c r="Z405" i="1"/>
  <c r="BP442" i="1"/>
  <c r="BN442" i="1"/>
  <c r="Z442" i="1"/>
  <c r="BP452" i="1"/>
  <c r="BN452" i="1"/>
  <c r="Z452" i="1"/>
  <c r="Y475" i="1"/>
  <c r="Y474" i="1"/>
  <c r="BP473" i="1"/>
  <c r="BN473" i="1"/>
  <c r="Z473" i="1"/>
  <c r="Z474" i="1" s="1"/>
  <c r="Y481" i="1"/>
  <c r="BP477" i="1"/>
  <c r="BN477" i="1"/>
  <c r="Z477" i="1"/>
  <c r="BP504" i="1"/>
  <c r="BN504" i="1"/>
  <c r="Z504" i="1"/>
  <c r="BP518" i="1"/>
  <c r="BN518" i="1"/>
  <c r="Z518" i="1"/>
  <c r="BP532" i="1"/>
  <c r="BN532" i="1"/>
  <c r="Z532" i="1"/>
  <c r="Y395" i="1"/>
  <c r="Y460" i="1"/>
  <c r="Y459" i="1"/>
  <c r="Y526" i="1"/>
  <c r="Y525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BP153" i="1"/>
  <c r="BN153" i="1"/>
  <c r="Z153" i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Z247" i="1" s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BP365" i="1"/>
  <c r="BN365" i="1"/>
  <c r="Z365" i="1"/>
  <c r="Z367" i="1" s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Z464" i="1" s="1"/>
  <c r="Y465" i="1"/>
  <c r="Y471" i="1"/>
  <c r="BP468" i="1"/>
  <c r="BN468" i="1"/>
  <c r="Z468" i="1"/>
  <c r="Z470" i="1" s="1"/>
  <c r="Y470" i="1"/>
  <c r="Y575" i="1"/>
  <c r="H9" i="1"/>
  <c r="B575" i="1"/>
  <c r="X566" i="1"/>
  <c r="X568" i="1" s="1"/>
  <c r="X567" i="1"/>
  <c r="X569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Z121" i="1" s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Z138" i="1" s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Z168" i="1" s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Y192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Y247" i="1"/>
  <c r="BP256" i="1"/>
  <c r="BN256" i="1"/>
  <c r="Z256" i="1"/>
  <c r="Z257" i="1" s="1"/>
  <c r="Y258" i="1"/>
  <c r="Y263" i="1"/>
  <c r="BP260" i="1"/>
  <c r="BN260" i="1"/>
  <c r="Z260" i="1"/>
  <c r="Z262" i="1" s="1"/>
  <c r="BP271" i="1"/>
  <c r="BN271" i="1"/>
  <c r="Z271" i="1"/>
  <c r="BP300" i="1"/>
  <c r="BN300" i="1"/>
  <c r="Z300" i="1"/>
  <c r="Y304" i="1"/>
  <c r="BP316" i="1"/>
  <c r="BN316" i="1"/>
  <c r="Z316" i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Y338" i="1"/>
  <c r="BP343" i="1"/>
  <c r="BN343" i="1"/>
  <c r="Z343" i="1"/>
  <c r="U575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BP372" i="1"/>
  <c r="BN372" i="1"/>
  <c r="Z372" i="1"/>
  <c r="BP376" i="1"/>
  <c r="BN376" i="1"/>
  <c r="Z376" i="1"/>
  <c r="Y389" i="1"/>
  <c r="BP384" i="1"/>
  <c r="BN384" i="1"/>
  <c r="Z384" i="1"/>
  <c r="Z388" i="1" s="1"/>
  <c r="BP392" i="1"/>
  <c r="BN392" i="1"/>
  <c r="Z392" i="1"/>
  <c r="BP400" i="1"/>
  <c r="BN400" i="1"/>
  <c r="Z400" i="1"/>
  <c r="Y409" i="1"/>
  <c r="BP404" i="1"/>
  <c r="BN404" i="1"/>
  <c r="Z404" i="1"/>
  <c r="Z408" i="1" s="1"/>
  <c r="Y408" i="1"/>
  <c r="Z414" i="1"/>
  <c r="BP412" i="1"/>
  <c r="BN412" i="1"/>
  <c r="Z412" i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Z480" i="1"/>
  <c r="BP478" i="1"/>
  <c r="BN478" i="1"/>
  <c r="Z478" i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Z525" i="1"/>
  <c r="BP523" i="1"/>
  <c r="BN523" i="1"/>
  <c r="Z523" i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351" i="1" l="1"/>
  <c r="Z378" i="1"/>
  <c r="Z319" i="1"/>
  <c r="Z113" i="1"/>
  <c r="Z95" i="1"/>
  <c r="Z74" i="1"/>
  <c r="Z55" i="1"/>
  <c r="Z46" i="1"/>
  <c r="Z156" i="1"/>
  <c r="Z337" i="1"/>
  <c r="Z102" i="1"/>
  <c r="Y566" i="1"/>
  <c r="Y567" i="1"/>
  <c r="Z31" i="1"/>
  <c r="Z241" i="1"/>
  <c r="Z535" i="1"/>
  <c r="Z491" i="1"/>
  <c r="Z345" i="1"/>
  <c r="Z304" i="1"/>
  <c r="Z273" i="1"/>
  <c r="Z212" i="1"/>
  <c r="Z67" i="1"/>
  <c r="Z233" i="1"/>
  <c r="Y569" i="1"/>
  <c r="Z447" i="1"/>
  <c r="Z427" i="1"/>
  <c r="Z519" i="1"/>
  <c r="Z434" i="1"/>
  <c r="Z506" i="1"/>
  <c r="Z395" i="1"/>
  <c r="Z330" i="1"/>
  <c r="Z288" i="1"/>
  <c r="Z187" i="1"/>
  <c r="Z128" i="1"/>
  <c r="Z85" i="1"/>
  <c r="Y565" i="1"/>
  <c r="Z401" i="1"/>
  <c r="Z570" i="1" l="1"/>
  <c r="Y568" i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<sst xmlns="http://schemas.openxmlformats.org/spreadsheetml/2006/main" count="2537" uniqueCount="914">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</sst>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0" t="s">
        <v>0</v>
      </c>
      <c r="E1" s="672"/>
      <c r="F1" s="672"/>
      <c r="G1" s="12" t="s">
        <v>1</v>
      </c>
      <c r="H1" s="720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7"/>
      <c r="Q3" s="647"/>
      <c r="R3" s="647"/>
      <c r="S3" s="647"/>
      <c r="T3" s="647"/>
      <c r="U3" s="647"/>
      <c r="V3" s="647"/>
      <c r="W3" s="647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24" t="s">
        <v>8</v>
      </c>
      <c r="B5" s="690"/>
      <c r="C5" s="691"/>
      <c r="D5" s="726"/>
      <c r="E5" s="727"/>
      <c r="F5" s="971" t="s">
        <v>9</v>
      </c>
      <c r="G5" s="691"/>
      <c r="H5" s="726" t="s">
        <v>913</v>
      </c>
      <c r="I5" s="911"/>
      <c r="J5" s="911"/>
      <c r="K5" s="911"/>
      <c r="L5" s="911"/>
      <c r="M5" s="727"/>
      <c r="N5" s="58"/>
      <c r="P5" s="24" t="s">
        <v>10</v>
      </c>
      <c r="Q5" s="978">
        <v>46326</v>
      </c>
      <c r="R5" s="763"/>
      <c r="T5" s="822" t="s">
        <v>11</v>
      </c>
      <c r="U5" s="805"/>
      <c r="V5" s="823" t="s">
        <v>12</v>
      </c>
      <c r="W5" s="763"/>
      <c r="AB5" s="51"/>
      <c r="AC5" s="51"/>
      <c r="AD5" s="51"/>
      <c r="AE5" s="51"/>
    </row>
    <row r="6" spans="1:32" s="629" customFormat="1" ht="24" customHeight="1" x14ac:dyDescent="0.2">
      <c r="A6" s="724" t="s">
        <v>13</v>
      </c>
      <c r="B6" s="690"/>
      <c r="C6" s="691"/>
      <c r="D6" s="914" t="s">
        <v>884</v>
      </c>
      <c r="E6" s="915"/>
      <c r="F6" s="915"/>
      <c r="G6" s="915"/>
      <c r="H6" s="915"/>
      <c r="I6" s="915"/>
      <c r="J6" s="915"/>
      <c r="K6" s="915"/>
      <c r="L6" s="915"/>
      <c r="M6" s="763"/>
      <c r="N6" s="59"/>
      <c r="P6" s="24" t="s">
        <v>14</v>
      </c>
      <c r="Q6" s="988" t="str">
        <f>IF(Q5=0," ",CHOOSE(WEEKDAY(Q5,2),"Понедельник","Вторник","Среда","Четверг","Пятница","Суббота","Воскресенье"))</f>
        <v>Суббота</v>
      </c>
      <c r="R6" s="642"/>
      <c r="T6" s="828" t="s">
        <v>15</v>
      </c>
      <c r="U6" s="805"/>
      <c r="V6" s="894" t="s">
        <v>16</v>
      </c>
      <c r="W6" s="655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5" t="str">
        <f>IFERROR(VLOOKUP(DeliveryAddress,Table,3,0),1)</f>
        <v>3</v>
      </c>
      <c r="E7" s="696"/>
      <c r="F7" s="696"/>
      <c r="G7" s="696"/>
      <c r="H7" s="696"/>
      <c r="I7" s="696"/>
      <c r="J7" s="696"/>
      <c r="K7" s="696"/>
      <c r="L7" s="696"/>
      <c r="M7" s="697"/>
      <c r="N7" s="60"/>
      <c r="P7" s="24"/>
      <c r="Q7" s="42"/>
      <c r="R7" s="42"/>
      <c r="T7" s="647"/>
      <c r="U7" s="805"/>
      <c r="V7" s="895"/>
      <c r="W7" s="896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44"/>
      <c r="C8" s="64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73">
        <v>0.41666666666666669</v>
      </c>
      <c r="R8" s="697"/>
      <c r="T8" s="647"/>
      <c r="U8" s="805"/>
      <c r="V8" s="895"/>
      <c r="W8" s="896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7"/>
      <c r="C9" s="647"/>
      <c r="D9" s="793"/>
      <c r="E9" s="640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7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27"/>
      <c r="P9" s="26" t="s">
        <v>19</v>
      </c>
      <c r="Q9" s="759"/>
      <c r="R9" s="760"/>
      <c r="T9" s="647"/>
      <c r="U9" s="805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7"/>
      <c r="C10" s="647"/>
      <c r="D10" s="793"/>
      <c r="E10" s="640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7"/>
      <c r="H10" s="881" t="str">
        <f>IFERROR(VLOOKUP($D$10,Proxy,2,FALSE),"")</f>
        <v/>
      </c>
      <c r="I10" s="647"/>
      <c r="J10" s="647"/>
      <c r="K10" s="647"/>
      <c r="L10" s="647"/>
      <c r="M10" s="647"/>
      <c r="N10" s="628"/>
      <c r="P10" s="26" t="s">
        <v>20</v>
      </c>
      <c r="Q10" s="829"/>
      <c r="R10" s="830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2"/>
      <c r="R11" s="763"/>
      <c r="U11" s="24" t="s">
        <v>25</v>
      </c>
      <c r="V11" s="892" t="s">
        <v>26</v>
      </c>
      <c r="W11" s="760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9" t="s">
        <v>27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28</v>
      </c>
      <c r="Q12" s="773"/>
      <c r="R12" s="697"/>
      <c r="S12" s="23"/>
      <c r="U12" s="24"/>
      <c r="V12" s="672"/>
      <c r="W12" s="647"/>
      <c r="AB12" s="51"/>
      <c r="AC12" s="51"/>
      <c r="AD12" s="51"/>
      <c r="AE12" s="51"/>
    </row>
    <row r="13" spans="1:32" s="629" customFormat="1" ht="23.25" customHeight="1" x14ac:dyDescent="0.2">
      <c r="A13" s="819" t="s">
        <v>29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30</v>
      </c>
      <c r="Q13" s="892"/>
      <c r="R13" s="7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9" t="s">
        <v>31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7" t="s">
        <v>32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779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789" t="s">
        <v>36</v>
      </c>
      <c r="D17" s="659" t="s">
        <v>37</v>
      </c>
      <c r="E17" s="742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741"/>
      <c r="R17" s="741"/>
      <c r="S17" s="741"/>
      <c r="T17" s="742"/>
      <c r="U17" s="994" t="s">
        <v>49</v>
      </c>
      <c r="V17" s="691"/>
      <c r="W17" s="659" t="s">
        <v>50</v>
      </c>
      <c r="X17" s="659" t="s">
        <v>51</v>
      </c>
      <c r="Y17" s="995" t="s">
        <v>52</v>
      </c>
      <c r="Z17" s="903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6"/>
      <c r="AF17" s="967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743"/>
      <c r="E18" s="745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743"/>
      <c r="Q18" s="744"/>
      <c r="R18" s="744"/>
      <c r="S18" s="744"/>
      <c r="T18" s="745"/>
      <c r="U18" s="67" t="s">
        <v>59</v>
      </c>
      <c r="V18" s="67" t="s">
        <v>60</v>
      </c>
      <c r="W18" s="660"/>
      <c r="X18" s="660"/>
      <c r="Y18" s="996"/>
      <c r="Z18" s="904"/>
      <c r="AA18" s="880"/>
      <c r="AB18" s="880"/>
      <c r="AC18" s="880"/>
      <c r="AD18" s="968"/>
      <c r="AE18" s="969"/>
      <c r="AF18" s="970"/>
      <c r="AG18" s="66"/>
      <c r="BD18" s="65"/>
    </row>
    <row r="19" spans="1:68" ht="27.75" hidden="1" customHeight="1" x14ac:dyDescent="0.2">
      <c r="A19" s="682" t="s">
        <v>61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hidden="1" customHeight="1" x14ac:dyDescent="0.25">
      <c r="A20" s="646" t="s">
        <v>61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30"/>
      <c r="AB20" s="630"/>
      <c r="AC20" s="630"/>
    </row>
    <row r="21" spans="1:68" ht="14.25" hidden="1" customHeight="1" x14ac:dyDescent="0.25">
      <c r="A21" s="648" t="s">
        <v>62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1">
        <v>4680115889071</v>
      </c>
      <c r="E22" s="642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9"/>
      <c r="B23" s="647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50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50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8" t="s">
        <v>71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1">
        <v>4680115885912</v>
      </c>
      <c r="E26" s="642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7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2"/>
      <c r="R26" s="652"/>
      <c r="S26" s="652"/>
      <c r="T26" s="653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1">
        <v>4607091388237</v>
      </c>
      <c r="E27" s="642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2"/>
      <c r="R27" s="652"/>
      <c r="S27" s="652"/>
      <c r="T27" s="653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41">
        <v>4680115887350</v>
      </c>
      <c r="E28" s="642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2"/>
      <c r="R28" s="652"/>
      <c r="S28" s="652"/>
      <c r="T28" s="653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41">
        <v>4680115885905</v>
      </c>
      <c r="E29" s="642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35">
        <v>6</v>
      </c>
      <c r="Y29" s="636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1">
        <v>4680115887619</v>
      </c>
      <c r="E30" s="642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9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50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7">
        <f>IFERROR(X26/H26,"0")+IFERROR(X27/H27,"0")+IFERROR(X28/H28,"0")+IFERROR(X29/H29,"0")+IFERROR(X30/H30,"0")</f>
        <v>3.333333333333333</v>
      </c>
      <c r="Y31" s="637">
        <f>IFERROR(Y26/H26,"0")+IFERROR(Y27/H27,"0")+IFERROR(Y28/H28,"0")+IFERROR(Y29/H29,"0")+IFERROR(Y30/H30,"0")</f>
        <v>4</v>
      </c>
      <c r="Z31" s="637">
        <f>IFERROR(IF(Z26="",0,Z26),"0")+IFERROR(IF(Z27="",0,Z27),"0")+IFERROR(IF(Z28="",0,Z28),"0")+IFERROR(IF(Z29="",0,Z29),"0")+IFERROR(IF(Z30="",0,Z30),"0")</f>
        <v>2.6040000000000001E-2</v>
      </c>
      <c r="AA31" s="638"/>
      <c r="AB31" s="638"/>
      <c r="AC31" s="638"/>
    </row>
    <row r="32" spans="1:68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50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7">
        <f>IFERROR(SUM(X26:X30),"0")</f>
        <v>6</v>
      </c>
      <c r="Y32" s="637">
        <f>IFERROR(SUM(Y26:Y30),"0")</f>
        <v>7.2</v>
      </c>
      <c r="Z32" s="37"/>
      <c r="AA32" s="638"/>
      <c r="AB32" s="638"/>
      <c r="AC32" s="638"/>
    </row>
    <row r="33" spans="1:68" ht="14.25" hidden="1" customHeight="1" x14ac:dyDescent="0.25">
      <c r="A33" s="648" t="s">
        <v>89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1">
        <v>4680115889262</v>
      </c>
      <c r="E34" s="642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7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2"/>
      <c r="R34" s="652"/>
      <c r="S34" s="652"/>
      <c r="T34" s="653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1">
        <v>4680115889040</v>
      </c>
      <c r="E35" s="642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2"/>
      <c r="R35" s="652"/>
      <c r="S35" s="652"/>
      <c r="T35" s="653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9"/>
      <c r="B36" s="647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50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50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82" t="s">
        <v>100</v>
      </c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683"/>
      <c r="Z38" s="683"/>
      <c r="AA38" s="48"/>
      <c r="AB38" s="48"/>
      <c r="AC38" s="48"/>
    </row>
    <row r="39" spans="1:68" ht="16.5" hidden="1" customHeight="1" x14ac:dyDescent="0.25">
      <c r="A39" s="646" t="s">
        <v>101</v>
      </c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30"/>
      <c r="AB39" s="630"/>
      <c r="AC39" s="630"/>
    </row>
    <row r="40" spans="1:68" ht="14.25" hidden="1" customHeight="1" x14ac:dyDescent="0.25">
      <c r="A40" s="648" t="s">
        <v>71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1">
        <v>4680115889354</v>
      </c>
      <c r="E41" s="642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1">
        <v>4680115888463</v>
      </c>
      <c r="E42" s="642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2"/>
      <c r="R42" s="652"/>
      <c r="S42" s="652"/>
      <c r="T42" s="653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1">
        <v>4680115889590</v>
      </c>
      <c r="E43" s="642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2"/>
      <c r="R43" s="652"/>
      <c r="S43" s="652"/>
      <c r="T43" s="653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1">
        <v>4680115888272</v>
      </c>
      <c r="E44" s="642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2"/>
      <c r="R44" s="652"/>
      <c r="S44" s="652"/>
      <c r="T44" s="653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1">
        <v>4680115888364</v>
      </c>
      <c r="E45" s="642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2"/>
      <c r="R45" s="652"/>
      <c r="S45" s="652"/>
      <c r="T45" s="653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9"/>
      <c r="B46" s="647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50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7"/>
      <c r="B47" s="647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50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82" t="s">
        <v>117</v>
      </c>
      <c r="B48" s="683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48"/>
      <c r="AB48" s="48"/>
      <c r="AC48" s="48"/>
    </row>
    <row r="49" spans="1:68" ht="16.5" hidden="1" customHeight="1" x14ac:dyDescent="0.25">
      <c r="A49" s="646" t="s">
        <v>118</v>
      </c>
      <c r="B49" s="647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30"/>
      <c r="AB49" s="630"/>
      <c r="AC49" s="630"/>
    </row>
    <row r="50" spans="1:68" ht="14.25" hidden="1" customHeight="1" x14ac:dyDescent="0.25">
      <c r="A50" s="648" t="s">
        <v>119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1">
        <v>4607091385670</v>
      </c>
      <c r="E51" s="642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2"/>
      <c r="R51" s="652"/>
      <c r="S51" s="652"/>
      <c r="T51" s="653"/>
      <c r="U51" s="34"/>
      <c r="V51" s="34"/>
      <c r="W51" s="35" t="s">
        <v>67</v>
      </c>
      <c r="X51" s="635">
        <v>725</v>
      </c>
      <c r="Y51" s="636">
        <f>IFERROR(IF(X51="",0,CEILING((X51/$H51),1)*$H51),"")</f>
        <v>734.40000000000009</v>
      </c>
      <c r="Z51" s="36">
        <f>IFERROR(IF(Y51=0,"",ROUNDUP(Y51/H51,0)*0.01898),"")</f>
        <v>1.29064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752.52314814814815</v>
      </c>
      <c r="BN51" s="64">
        <f>IFERROR(Y51*I51/H51,"0")</f>
        <v>762.28000000000009</v>
      </c>
      <c r="BO51" s="64">
        <f>IFERROR(1/J51*(X51/H51),"0")</f>
        <v>1.0489004629629628</v>
      </c>
      <c r="BP51" s="64">
        <f>IFERROR(1/J51*(Y51/H51),"0")</f>
        <v>1.0625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1">
        <v>4680115887725</v>
      </c>
      <c r="E52" s="642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2"/>
      <c r="R52" s="652"/>
      <c r="S52" s="652"/>
      <c r="T52" s="653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1">
        <v>4607091385687</v>
      </c>
      <c r="E53" s="642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2"/>
      <c r="R53" s="652"/>
      <c r="S53" s="652"/>
      <c r="T53" s="653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41">
        <v>4680115882539</v>
      </c>
      <c r="E54" s="642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2"/>
      <c r="R54" s="652"/>
      <c r="S54" s="652"/>
      <c r="T54" s="653"/>
      <c r="U54" s="34"/>
      <c r="V54" s="34"/>
      <c r="W54" s="35" t="s">
        <v>67</v>
      </c>
      <c r="X54" s="635">
        <v>13</v>
      </c>
      <c r="Y54" s="636">
        <f>IFERROR(IF(X54="",0,CEILING((X54/$H54),1)*$H54),"")</f>
        <v>14.8</v>
      </c>
      <c r="Z54" s="36">
        <f>IFERROR(IF(Y54=0,"",ROUNDUP(Y54/H54,0)*0.00902),"")</f>
        <v>3.6080000000000001E-2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13.667567567567566</v>
      </c>
      <c r="BN54" s="64">
        <f>IFERROR(Y54*I54/H54,"0")</f>
        <v>15.56</v>
      </c>
      <c r="BO54" s="64">
        <f>IFERROR(1/J54*(X54/H54),"0")</f>
        <v>2.6617526617526616E-2</v>
      </c>
      <c r="BP54" s="64">
        <f>IFERROR(1/J54*(Y54/H54),"0")</f>
        <v>3.0303030303030304E-2</v>
      </c>
    </row>
    <row r="55" spans="1:68" x14ac:dyDescent="0.2">
      <c r="A55" s="649"/>
      <c r="B55" s="647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50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7">
        <f>IFERROR(X51/H51,"0")+IFERROR(X52/H52,"0")+IFERROR(X53/H53,"0")+IFERROR(X54/H54,"0")</f>
        <v>70.643143143143135</v>
      </c>
      <c r="Y55" s="637">
        <f>IFERROR(Y51/H51,"0")+IFERROR(Y52/H52,"0")+IFERROR(Y53/H53,"0")+IFERROR(Y54/H54,"0")</f>
        <v>72</v>
      </c>
      <c r="Z55" s="637">
        <f>IFERROR(IF(Z51="",0,Z51),"0")+IFERROR(IF(Z52="",0,Z52),"0")+IFERROR(IF(Z53="",0,Z53),"0")+IFERROR(IF(Z54="",0,Z54),"0")</f>
        <v>1.3267199999999999</v>
      </c>
      <c r="AA55" s="638"/>
      <c r="AB55" s="638"/>
      <c r="AC55" s="638"/>
    </row>
    <row r="56" spans="1:68" x14ac:dyDescent="0.2">
      <c r="A56" s="647"/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50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7">
        <f>IFERROR(SUM(X51:X54),"0")</f>
        <v>738</v>
      </c>
      <c r="Y56" s="637">
        <f>IFERROR(SUM(Y51:Y54),"0")</f>
        <v>749.2</v>
      </c>
      <c r="Z56" s="37"/>
      <c r="AA56" s="638"/>
      <c r="AB56" s="638"/>
      <c r="AC56" s="638"/>
    </row>
    <row r="57" spans="1:68" ht="16.5" hidden="1" customHeight="1" x14ac:dyDescent="0.25">
      <c r="A57" s="646" t="s">
        <v>134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30"/>
      <c r="AB57" s="630"/>
      <c r="AC57" s="630"/>
    </row>
    <row r="58" spans="1:68" ht="14.25" hidden="1" customHeight="1" x14ac:dyDescent="0.25">
      <c r="A58" s="648" t="s">
        <v>119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1">
        <v>4680115885882</v>
      </c>
      <c r="E59" s="642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41">
        <v>4680115881426</v>
      </c>
      <c r="E60" s="642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35">
        <v>183</v>
      </c>
      <c r="Y60" s="636">
        <f t="shared" si="0"/>
        <v>183.60000000000002</v>
      </c>
      <c r="Z60" s="36">
        <f>IFERROR(IF(Y60=0,"",ROUNDUP(Y60/H60,0)*0.01898),"")</f>
        <v>0.32266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189.94722222222222</v>
      </c>
      <c r="BN60" s="64">
        <f t="shared" si="2"/>
        <v>190.57000000000002</v>
      </c>
      <c r="BO60" s="64">
        <f t="shared" si="3"/>
        <v>0.26475694444444442</v>
      </c>
      <c r="BP60" s="64">
        <f t="shared" si="4"/>
        <v>0.265625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1">
        <v>4680115881426</v>
      </c>
      <c r="E61" s="642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2"/>
      <c r="R61" s="652"/>
      <c r="S61" s="652"/>
      <c r="T61" s="653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1">
        <v>4680115880283</v>
      </c>
      <c r="E62" s="642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2"/>
      <c r="R62" s="652"/>
      <c r="S62" s="652"/>
      <c r="T62" s="653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41">
        <v>4680115881525</v>
      </c>
      <c r="E63" s="642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2"/>
      <c r="R63" s="652"/>
      <c r="S63" s="652"/>
      <c r="T63" s="653"/>
      <c r="U63" s="34"/>
      <c r="V63" s="34"/>
      <c r="W63" s="35" t="s">
        <v>67</v>
      </c>
      <c r="X63" s="635">
        <v>2</v>
      </c>
      <c r="Y63" s="636">
        <f t="shared" si="0"/>
        <v>4</v>
      </c>
      <c r="Z63" s="36">
        <f>IFERROR(IF(Y63=0,"",ROUNDUP(Y63/H63,0)*0.00902),"")</f>
        <v>9.0200000000000002E-3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2.0950000000000002</v>
      </c>
      <c r="BN63" s="64">
        <f t="shared" si="2"/>
        <v>4.1900000000000004</v>
      </c>
      <c r="BO63" s="64">
        <f t="shared" si="3"/>
        <v>3.787878787878788E-3</v>
      </c>
      <c r="BP63" s="64">
        <f t="shared" si="4"/>
        <v>7.575757575757576E-3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1">
        <v>4680115881525</v>
      </c>
      <c r="E64" s="642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1">
        <v>4680115885899</v>
      </c>
      <c r="E65" s="642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41">
        <v>4680115881419</v>
      </c>
      <c r="E66" s="642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35">
        <v>115</v>
      </c>
      <c r="Y66" s="636">
        <f t="shared" si="0"/>
        <v>117</v>
      </c>
      <c r="Z66" s="36">
        <f>IFERROR(IF(Y66=0,"",ROUNDUP(Y66/H66,0)*0.00902),"")</f>
        <v>0.23452000000000001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119.85555555555555</v>
      </c>
      <c r="BN66" s="64">
        <f t="shared" si="2"/>
        <v>121.94</v>
      </c>
      <c r="BO66" s="64">
        <f t="shared" si="3"/>
        <v>0.19360269360269361</v>
      </c>
      <c r="BP66" s="64">
        <f t="shared" si="4"/>
        <v>0.19696969696969696</v>
      </c>
    </row>
    <row r="67" spans="1:68" x14ac:dyDescent="0.2">
      <c r="A67" s="649"/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50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43</v>
      </c>
      <c r="Y67" s="637">
        <f>IFERROR(Y59/H59,"0")+IFERROR(Y60/H60,"0")+IFERROR(Y61/H61,"0")+IFERROR(Y62/H62,"0")+IFERROR(Y63/H63,"0")+IFERROR(Y64/H64,"0")+IFERROR(Y65/H65,"0")+IFERROR(Y66/H66,"0")</f>
        <v>44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0.56620000000000004</v>
      </c>
      <c r="AA67" s="638"/>
      <c r="AB67" s="638"/>
      <c r="AC67" s="638"/>
    </row>
    <row r="68" spans="1:68" x14ac:dyDescent="0.2">
      <c r="A68" s="647"/>
      <c r="B68" s="647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50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7">
        <f>IFERROR(SUM(X59:X66),"0")</f>
        <v>300</v>
      </c>
      <c r="Y68" s="637">
        <f>IFERROR(SUM(Y59:Y66),"0")</f>
        <v>304.60000000000002</v>
      </c>
      <c r="Z68" s="37"/>
      <c r="AA68" s="638"/>
      <c r="AB68" s="638"/>
      <c r="AC68" s="638"/>
    </row>
    <row r="69" spans="1:68" ht="14.25" hidden="1" customHeight="1" x14ac:dyDescent="0.25">
      <c r="A69" s="648" t="s">
        <v>155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41">
        <v>4680115881440</v>
      </c>
      <c r="E70" s="642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2"/>
      <c r="R70" s="652"/>
      <c r="S70" s="652"/>
      <c r="T70" s="653"/>
      <c r="U70" s="34"/>
      <c r="V70" s="34"/>
      <c r="W70" s="35" t="s">
        <v>67</v>
      </c>
      <c r="X70" s="635">
        <v>70</v>
      </c>
      <c r="Y70" s="636">
        <f>IFERROR(IF(X70="",0,CEILING((X70/$H70),1)*$H70),"")</f>
        <v>75.600000000000009</v>
      </c>
      <c r="Z70" s="36">
        <f>IFERROR(IF(Y70=0,"",ROUNDUP(Y70/H70,0)*0.01898),"")</f>
        <v>0.13286000000000001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72.657407407407405</v>
      </c>
      <c r="BN70" s="64">
        <f>IFERROR(Y70*I70/H70,"0")</f>
        <v>78.47</v>
      </c>
      <c r="BO70" s="64">
        <f>IFERROR(1/J70*(X70/H70),"0")</f>
        <v>0.10127314814814814</v>
      </c>
      <c r="BP70" s="64">
        <f>IFERROR(1/J70*(Y70/H70),"0")</f>
        <v>0.109375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1">
        <v>4680115885950</v>
      </c>
      <c r="E71" s="642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1">
        <v>4680115887688</v>
      </c>
      <c r="E72" s="642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10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1">
        <v>4680115881433</v>
      </c>
      <c r="E73" s="642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75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9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50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7">
        <f>IFERROR(X70/H70,"0")+IFERROR(X71/H71,"0")+IFERROR(X72/H72,"0")+IFERROR(X73/H73,"0")</f>
        <v>6.481481481481481</v>
      </c>
      <c r="Y74" s="637">
        <f>IFERROR(Y70/H70,"0")+IFERROR(Y71/H71,"0")+IFERROR(Y72/H72,"0")+IFERROR(Y73/H73,"0")</f>
        <v>7</v>
      </c>
      <c r="Z74" s="637">
        <f>IFERROR(IF(Z70="",0,Z70),"0")+IFERROR(IF(Z71="",0,Z71),"0")+IFERROR(IF(Z72="",0,Z72),"0")+IFERROR(IF(Z73="",0,Z73),"0")</f>
        <v>0.13286000000000001</v>
      </c>
      <c r="AA74" s="638"/>
      <c r="AB74" s="638"/>
      <c r="AC74" s="638"/>
    </row>
    <row r="75" spans="1:68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50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7">
        <f>IFERROR(SUM(X70:X73),"0")</f>
        <v>70</v>
      </c>
      <c r="Y75" s="637">
        <f>IFERROR(SUM(Y70:Y73),"0")</f>
        <v>75.600000000000009</v>
      </c>
      <c r="Z75" s="37"/>
      <c r="AA75" s="638"/>
      <c r="AB75" s="638"/>
      <c r="AC75" s="638"/>
    </row>
    <row r="76" spans="1:68" ht="14.25" hidden="1" customHeight="1" x14ac:dyDescent="0.25">
      <c r="A76" s="648" t="s">
        <v>71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1"/>
      <c r="AB76" s="631"/>
      <c r="AC76" s="631"/>
    </row>
    <row r="77" spans="1:68" ht="16.5" customHeight="1" x14ac:dyDescent="0.25">
      <c r="A77" s="54" t="s">
        <v>167</v>
      </c>
      <c r="B77" s="54" t="s">
        <v>168</v>
      </c>
      <c r="C77" s="31">
        <v>4301051837</v>
      </c>
      <c r="D77" s="641">
        <v>4680115884311</v>
      </c>
      <c r="E77" s="642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35">
        <v>13</v>
      </c>
      <c r="Y77" s="636">
        <f>IFERROR(IF(X77="",0,CEILING((X77/$H77),1)*$H77),"")</f>
        <v>14.4</v>
      </c>
      <c r="Z77" s="36">
        <f>IFERROR(IF(Y77=0,"",ROUNDUP(Y77/H77,0)*0.00651),"")</f>
        <v>5.2080000000000001E-2</v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14.776666666666666</v>
      </c>
      <c r="BN77" s="64">
        <f>IFERROR(Y77*I77/H77,"0")</f>
        <v>16.367999999999999</v>
      </c>
      <c r="BO77" s="64">
        <f>IFERROR(1/J77*(X77/H77),"0")</f>
        <v>3.9682539682539687E-2</v>
      </c>
      <c r="BP77" s="64">
        <f>IFERROR(1/J77*(Y77/H77),"0")</f>
        <v>4.3956043956043959E-2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1">
        <v>4680115884403</v>
      </c>
      <c r="E78" s="642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9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50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7">
        <f>IFERROR(X77/H77,"0")+IFERROR(X78/H78,"0")</f>
        <v>7.2222222222222223</v>
      </c>
      <c r="Y79" s="637">
        <f>IFERROR(Y77/H77,"0")+IFERROR(Y78/H78,"0")</f>
        <v>8</v>
      </c>
      <c r="Z79" s="637">
        <f>IFERROR(IF(Z77="",0,Z77),"0")+IFERROR(IF(Z78="",0,Z78),"0")</f>
        <v>5.2080000000000001E-2</v>
      </c>
      <c r="AA79" s="638"/>
      <c r="AB79" s="638"/>
      <c r="AC79" s="638"/>
    </row>
    <row r="80" spans="1:68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50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7">
        <f>IFERROR(SUM(X77:X78),"0")</f>
        <v>13</v>
      </c>
      <c r="Y80" s="637">
        <f>IFERROR(SUM(Y77:Y78),"0")</f>
        <v>14.4</v>
      </c>
      <c r="Z80" s="37"/>
      <c r="AA80" s="638"/>
      <c r="AB80" s="638"/>
      <c r="AC80" s="638"/>
    </row>
    <row r="81" spans="1:68" ht="14.25" hidden="1" customHeight="1" x14ac:dyDescent="0.25">
      <c r="A81" s="648" t="s">
        <v>173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41">
        <v>4680115881532</v>
      </c>
      <c r="E82" s="642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2"/>
      <c r="R82" s="652"/>
      <c r="S82" s="652"/>
      <c r="T82" s="653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1">
        <v>4680115881532</v>
      </c>
      <c r="E83" s="642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2"/>
      <c r="R83" s="652"/>
      <c r="S83" s="652"/>
      <c r="T83" s="653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1">
        <v>4680115881464</v>
      </c>
      <c r="E84" s="642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2"/>
      <c r="R84" s="652"/>
      <c r="S84" s="652"/>
      <c r="T84" s="653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9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50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7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50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46" t="s">
        <v>181</v>
      </c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30"/>
      <c r="AB87" s="630"/>
      <c r="AC87" s="630"/>
    </row>
    <row r="88" spans="1:68" ht="14.25" hidden="1" customHeight="1" x14ac:dyDescent="0.25">
      <c r="A88" s="648" t="s">
        <v>119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41">
        <v>4680115881327</v>
      </c>
      <c r="E89" s="642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2"/>
      <c r="R89" s="652"/>
      <c r="S89" s="652"/>
      <c r="T89" s="653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1">
        <v>4680115881327</v>
      </c>
      <c r="E90" s="642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0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2"/>
      <c r="R90" s="652"/>
      <c r="S90" s="652"/>
      <c r="T90" s="653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4301012392</v>
      </c>
      <c r="D91" s="641">
        <v>4680115887732</v>
      </c>
      <c r="E91" s="642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2"/>
      <c r="R91" s="652"/>
      <c r="S91" s="652"/>
      <c r="T91" s="653"/>
      <c r="U91" s="34"/>
      <c r="V91" s="34"/>
      <c r="W91" s="35" t="s">
        <v>67</v>
      </c>
      <c r="X91" s="635">
        <v>4</v>
      </c>
      <c r="Y91" s="636">
        <f t="shared" si="5"/>
        <v>4.08</v>
      </c>
      <c r="Z91" s="36">
        <f>IFERROR(IF(Y91=0,"",ROUNDUP(Y91/H91,0)*0.00726),"")</f>
        <v>2.1780000000000001E-2</v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4.5294117647058822</v>
      </c>
      <c r="BN91" s="64">
        <f t="shared" si="7"/>
        <v>4.6199999999999992</v>
      </c>
      <c r="BO91" s="64">
        <f t="shared" si="8"/>
        <v>1.531862745098039E-2</v>
      </c>
      <c r="BP91" s="64">
        <f t="shared" si="9"/>
        <v>1.5625E-2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1">
        <v>4680115881518</v>
      </c>
      <c r="E92" s="642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2"/>
      <c r="R92" s="652"/>
      <c r="S92" s="652"/>
      <c r="T92" s="653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1">
        <v>4680115881518</v>
      </c>
      <c r="E93" s="642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2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41">
        <v>4680115881303</v>
      </c>
      <c r="E94" s="642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2"/>
      <c r="R94" s="652"/>
      <c r="S94" s="652"/>
      <c r="T94" s="653"/>
      <c r="U94" s="34"/>
      <c r="V94" s="34"/>
      <c r="W94" s="35" t="s">
        <v>67</v>
      </c>
      <c r="X94" s="635">
        <v>83</v>
      </c>
      <c r="Y94" s="636">
        <f t="shared" si="5"/>
        <v>85.5</v>
      </c>
      <c r="Z94" s="36">
        <f>IFERROR(IF(Y94=0,"",ROUNDUP(Y94/H94,0)*0.00902),"")</f>
        <v>0.17138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86.504444444444459</v>
      </c>
      <c r="BN94" s="64">
        <f t="shared" si="7"/>
        <v>89.110000000000014</v>
      </c>
      <c r="BO94" s="64">
        <f t="shared" si="8"/>
        <v>0.13973063973063973</v>
      </c>
      <c r="BP94" s="64">
        <f t="shared" si="9"/>
        <v>0.14393939393939395</v>
      </c>
    </row>
    <row r="95" spans="1:68" x14ac:dyDescent="0.2">
      <c r="A95" s="649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50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7">
        <f>IFERROR(X89/H89,"0")+IFERROR(X90/H90,"0")+IFERROR(X91/H91,"0")+IFERROR(X92/H92,"0")+IFERROR(X93/H93,"0")+IFERROR(X94/H94,"0")</f>
        <v>21.385620915032678</v>
      </c>
      <c r="Y95" s="637">
        <f>IFERROR(Y89/H89,"0")+IFERROR(Y90/H90,"0")+IFERROR(Y91/H91,"0")+IFERROR(Y92/H92,"0")+IFERROR(Y93/H93,"0")+IFERROR(Y94/H94,"0")</f>
        <v>22</v>
      </c>
      <c r="Z95" s="637">
        <f>IFERROR(IF(Z89="",0,Z89),"0")+IFERROR(IF(Z90="",0,Z90),"0")+IFERROR(IF(Z91="",0,Z91),"0")+IFERROR(IF(Z92="",0,Z92),"0")+IFERROR(IF(Z93="",0,Z93),"0")+IFERROR(IF(Z94="",0,Z94),"0")</f>
        <v>0.19316</v>
      </c>
      <c r="AA95" s="638"/>
      <c r="AB95" s="638"/>
      <c r="AC95" s="638"/>
    </row>
    <row r="96" spans="1:68" x14ac:dyDescent="0.2">
      <c r="A96" s="647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50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7">
        <f>IFERROR(SUM(X89:X94),"0")</f>
        <v>87</v>
      </c>
      <c r="Y96" s="637">
        <f>IFERROR(SUM(Y89:Y94),"0")</f>
        <v>89.58</v>
      </c>
      <c r="Z96" s="37"/>
      <c r="AA96" s="638"/>
      <c r="AB96" s="638"/>
      <c r="AC96" s="638"/>
    </row>
    <row r="97" spans="1:68" ht="14.25" hidden="1" customHeight="1" x14ac:dyDescent="0.25">
      <c r="A97" s="648" t="s">
        <v>71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41">
        <v>4607091386967</v>
      </c>
      <c r="E98" s="642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35">
        <v>526</v>
      </c>
      <c r="Y98" s="636">
        <f>IFERROR(IF(X98="",0,CEILING((X98/$H98),1)*$H98),"")</f>
        <v>526.5</v>
      </c>
      <c r="Z98" s="36">
        <f>IFERROR(IF(Y98=0,"",ROUNDUP(Y98/H98,0)*0.01898),"")</f>
        <v>1.2337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558.0795061728395</v>
      </c>
      <c r="BN98" s="64">
        <f>IFERROR(Y98*I98/H98,"0")</f>
        <v>558.61</v>
      </c>
      <c r="BO98" s="64">
        <f>IFERROR(1/J98*(X98/H98),"0")</f>
        <v>1.0146604938271606</v>
      </c>
      <c r="BP98" s="64">
        <f>IFERROR(1/J98*(Y98/H98),"0")</f>
        <v>1.015625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1">
        <v>4680115884953</v>
      </c>
      <c r="E99" s="642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5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2"/>
      <c r="R99" s="652"/>
      <c r="S99" s="652"/>
      <c r="T99" s="653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41">
        <v>4607091385731</v>
      </c>
      <c r="E100" s="642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2"/>
      <c r="R100" s="652"/>
      <c r="S100" s="652"/>
      <c r="T100" s="653"/>
      <c r="U100" s="34"/>
      <c r="V100" s="34"/>
      <c r="W100" s="35" t="s">
        <v>67</v>
      </c>
      <c r="X100" s="635">
        <v>162</v>
      </c>
      <c r="Y100" s="636">
        <f>IFERROR(IF(X100="",0,CEILING((X100/$H100),1)*$H100),"")</f>
        <v>162</v>
      </c>
      <c r="Z100" s="36">
        <f>IFERROR(IF(Y100=0,"",ROUNDUP(Y100/H100,0)*0.00651),"")</f>
        <v>0.3906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177.11999999999998</v>
      </c>
      <c r="BN100" s="64">
        <f>IFERROR(Y100*I100/H100,"0")</f>
        <v>177.11999999999998</v>
      </c>
      <c r="BO100" s="64">
        <f>IFERROR(1/J100*(X100/H100),"0")</f>
        <v>0.32967032967032966</v>
      </c>
      <c r="BP100" s="64">
        <f>IFERROR(1/J100*(Y100/H100),"0")</f>
        <v>0.32967032967032966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1">
        <v>4680115880894</v>
      </c>
      <c r="E101" s="642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2"/>
      <c r="R101" s="652"/>
      <c r="S101" s="652"/>
      <c r="T101" s="653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9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50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7">
        <f>IFERROR(X98/H98,"0")+IFERROR(X99/H99,"0")+IFERROR(X100/H100,"0")+IFERROR(X101/H101,"0")</f>
        <v>124.93827160493828</v>
      </c>
      <c r="Y102" s="637">
        <f>IFERROR(Y98/H98,"0")+IFERROR(Y99/H99,"0")+IFERROR(Y100/H100,"0")+IFERROR(Y101/H101,"0")</f>
        <v>125</v>
      </c>
      <c r="Z102" s="637">
        <f>IFERROR(IF(Z98="",0,Z98),"0")+IFERROR(IF(Z99="",0,Z99),"0")+IFERROR(IF(Z100="",0,Z100),"0")+IFERROR(IF(Z101="",0,Z101),"0")</f>
        <v>1.6243000000000001</v>
      </c>
      <c r="AA102" s="638"/>
      <c r="AB102" s="638"/>
      <c r="AC102" s="638"/>
    </row>
    <row r="103" spans="1:68" x14ac:dyDescent="0.2">
      <c r="A103" s="647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50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7">
        <f>IFERROR(SUM(X98:X101),"0")</f>
        <v>688</v>
      </c>
      <c r="Y103" s="637">
        <f>IFERROR(SUM(Y98:Y101),"0")</f>
        <v>688.5</v>
      </c>
      <c r="Z103" s="37"/>
      <c r="AA103" s="638"/>
      <c r="AB103" s="638"/>
      <c r="AC103" s="638"/>
    </row>
    <row r="104" spans="1:68" ht="16.5" hidden="1" customHeight="1" x14ac:dyDescent="0.25">
      <c r="A104" s="646" t="s">
        <v>205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30"/>
      <c r="AB104" s="630"/>
      <c r="AC104" s="630"/>
    </row>
    <row r="105" spans="1:68" ht="14.25" hidden="1" customHeight="1" x14ac:dyDescent="0.25">
      <c r="A105" s="648" t="s">
        <v>119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41">
        <v>4680115882133</v>
      </c>
      <c r="E106" s="642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1">
        <v>4680115882133</v>
      </c>
      <c r="E107" s="642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5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2"/>
      <c r="R107" s="652"/>
      <c r="S107" s="652"/>
      <c r="T107" s="653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1">
        <v>4680115887718</v>
      </c>
      <c r="E108" s="642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2"/>
      <c r="R108" s="652"/>
      <c r="S108" s="652"/>
      <c r="T108" s="653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1">
        <v>4680115880269</v>
      </c>
      <c r="E109" s="642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2"/>
      <c r="R109" s="652"/>
      <c r="S109" s="652"/>
      <c r="T109" s="653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41">
        <v>4680115880429</v>
      </c>
      <c r="E110" s="642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2"/>
      <c r="R110" s="652"/>
      <c r="S110" s="652"/>
      <c r="T110" s="653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1">
        <v>4680115881457</v>
      </c>
      <c r="E111" s="642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2"/>
      <c r="R111" s="652"/>
      <c r="S111" s="652"/>
      <c r="T111" s="653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1">
        <v>4680115889477</v>
      </c>
      <c r="E112" s="642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2"/>
      <c r="R112" s="652"/>
      <c r="S112" s="652"/>
      <c r="T112" s="653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49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50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7">
        <f>IFERROR(X106/H106,"0")+IFERROR(X107/H107,"0")+IFERROR(X108/H108,"0")+IFERROR(X109/H109,"0")+IFERROR(X110/H110,"0")+IFERROR(X111/H111,"0")+IFERROR(X112/H112,"0")</f>
        <v>0</v>
      </c>
      <c r="Y113" s="637">
        <f>IFERROR(Y106/H106,"0")+IFERROR(Y107/H107,"0")+IFERROR(Y108/H108,"0")+IFERROR(Y109/H109,"0")+IFERROR(Y110/H110,"0")+IFERROR(Y111/H111,"0")+IFERROR(Y112/H112,"0")</f>
        <v>0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8"/>
      <c r="AB113" s="638"/>
      <c r="AC113" s="638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50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7">
        <f>IFERROR(SUM(X106:X112),"0")</f>
        <v>0</v>
      </c>
      <c r="Y114" s="637">
        <f>IFERROR(SUM(Y106:Y112),"0")</f>
        <v>0</v>
      </c>
      <c r="Z114" s="37"/>
      <c r="AA114" s="638"/>
      <c r="AB114" s="638"/>
      <c r="AC114" s="638"/>
    </row>
    <row r="115" spans="1:68" ht="14.25" hidden="1" customHeight="1" x14ac:dyDescent="0.25">
      <c r="A115" s="648" t="s">
        <v>155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41">
        <v>4680115881488</v>
      </c>
      <c r="E116" s="642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35">
        <v>53</v>
      </c>
      <c r="Y116" s="636">
        <f>IFERROR(IF(X116="",0,CEILING((X116/$H116),1)*$H116),"")</f>
        <v>54</v>
      </c>
      <c r="Z116" s="36">
        <f>IFERROR(IF(Y116=0,"",ROUNDUP(Y116/H116,0)*0.01898),"")</f>
        <v>9.4899999999999998E-2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55.012037037037032</v>
      </c>
      <c r="BN116" s="64">
        <f>IFERROR(Y116*I116/H116,"0")</f>
        <v>56.05</v>
      </c>
      <c r="BO116" s="64">
        <f>IFERROR(1/J116*(X116/H116),"0")</f>
        <v>7.6678240740740741E-2</v>
      </c>
      <c r="BP116" s="64">
        <f>IFERROR(1/J116*(Y116/H116),"0")</f>
        <v>7.8125E-2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1">
        <v>4680115887664</v>
      </c>
      <c r="E117" s="642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1">
        <v>4680115887664</v>
      </c>
      <c r="E118" s="642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1">
        <v>4680115882775</v>
      </c>
      <c r="E119" s="642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2"/>
      <c r="R119" s="652"/>
      <c r="S119" s="652"/>
      <c r="T119" s="653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41">
        <v>4680115880658</v>
      </c>
      <c r="E120" s="642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2"/>
      <c r="R120" s="652"/>
      <c r="S120" s="652"/>
      <c r="T120" s="653"/>
      <c r="U120" s="34"/>
      <c r="V120" s="34"/>
      <c r="W120" s="35" t="s">
        <v>67</v>
      </c>
      <c r="X120" s="635">
        <v>6</v>
      </c>
      <c r="Y120" s="636">
        <f>IFERROR(IF(X120="",0,CEILING((X120/$H120),1)*$H120),"")</f>
        <v>7.1999999999999993</v>
      </c>
      <c r="Z120" s="36">
        <f>IFERROR(IF(Y120=0,"",ROUNDUP(Y120/H120,0)*0.00651),"")</f>
        <v>1.9529999999999999E-2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6.45</v>
      </c>
      <c r="BN120" s="64">
        <f>IFERROR(Y120*I120/H120,"0")</f>
        <v>7.7399999999999993</v>
      </c>
      <c r="BO120" s="64">
        <f>IFERROR(1/J120*(X120/H120),"0")</f>
        <v>1.3736263736263738E-2</v>
      </c>
      <c r="BP120" s="64">
        <f>IFERROR(1/J120*(Y120/H120),"0")</f>
        <v>1.6483516483516484E-2</v>
      </c>
    </row>
    <row r="121" spans="1:68" x14ac:dyDescent="0.2">
      <c r="A121" s="649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50"/>
      <c r="P121" s="643" t="s">
        <v>69</v>
      </c>
      <c r="Q121" s="644"/>
      <c r="R121" s="644"/>
      <c r="S121" s="644"/>
      <c r="T121" s="644"/>
      <c r="U121" s="644"/>
      <c r="V121" s="645"/>
      <c r="W121" s="37" t="s">
        <v>70</v>
      </c>
      <c r="X121" s="637">
        <f>IFERROR(X116/H116,"0")+IFERROR(X117/H117,"0")+IFERROR(X118/H118,"0")+IFERROR(X119/H119,"0")+IFERROR(X120/H120,"0")</f>
        <v>7.4074074074074074</v>
      </c>
      <c r="Y121" s="637">
        <f>IFERROR(Y116/H116,"0")+IFERROR(Y117/H117,"0")+IFERROR(Y118/H118,"0")+IFERROR(Y119/H119,"0")+IFERROR(Y120/H120,"0")</f>
        <v>8</v>
      </c>
      <c r="Z121" s="637">
        <f>IFERROR(IF(Z116="",0,Z116),"0")+IFERROR(IF(Z117="",0,Z117),"0")+IFERROR(IF(Z118="",0,Z118),"0")+IFERROR(IF(Z119="",0,Z119),"0")+IFERROR(IF(Z120="",0,Z120),"0")</f>
        <v>0.11443</v>
      </c>
      <c r="AA121" s="638"/>
      <c r="AB121" s="638"/>
      <c r="AC121" s="638"/>
    </row>
    <row r="122" spans="1:68" x14ac:dyDescent="0.2">
      <c r="A122" s="647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50"/>
      <c r="P122" s="643" t="s">
        <v>69</v>
      </c>
      <c r="Q122" s="644"/>
      <c r="R122" s="644"/>
      <c r="S122" s="644"/>
      <c r="T122" s="644"/>
      <c r="U122" s="644"/>
      <c r="V122" s="645"/>
      <c r="W122" s="37" t="s">
        <v>67</v>
      </c>
      <c r="X122" s="637">
        <f>IFERROR(SUM(X116:X120),"0")</f>
        <v>59</v>
      </c>
      <c r="Y122" s="637">
        <f>IFERROR(SUM(Y116:Y120),"0")</f>
        <v>61.2</v>
      </c>
      <c r="Z122" s="37"/>
      <c r="AA122" s="638"/>
      <c r="AB122" s="638"/>
      <c r="AC122" s="638"/>
    </row>
    <row r="123" spans="1:68" ht="14.25" hidden="1" customHeight="1" x14ac:dyDescent="0.25">
      <c r="A123" s="648" t="s">
        <v>71</v>
      </c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1">
        <v>4607091385168</v>
      </c>
      <c r="E124" s="642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9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35">
        <v>989</v>
      </c>
      <c r="Y124" s="636">
        <f>IFERROR(IF(X124="",0,CEILING((X124/$H124),1)*$H124),"")</f>
        <v>996.3</v>
      </c>
      <c r="Z124" s="36">
        <f>IFERROR(IF(Y124=0,"",ROUNDUP(Y124/H124,0)*0.01898),"")</f>
        <v>2.3345400000000001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1048.5841975308642</v>
      </c>
      <c r="BN124" s="64">
        <f>IFERROR(Y124*I124/H124,"0")</f>
        <v>1056.3239999999998</v>
      </c>
      <c r="BO124" s="64">
        <f>IFERROR(1/J124*(X124/H124),"0")</f>
        <v>1.9077932098765433</v>
      </c>
      <c r="BP124" s="64">
        <f>IFERROR(1/J124*(Y124/H124),"0")</f>
        <v>1.921875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1">
        <v>4607091383256</v>
      </c>
      <c r="E125" s="642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0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1">
        <v>4607091385748</v>
      </c>
      <c r="E126" s="642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2"/>
      <c r="R126" s="652"/>
      <c r="S126" s="652"/>
      <c r="T126" s="653"/>
      <c r="U126" s="34"/>
      <c r="V126" s="34"/>
      <c r="W126" s="35" t="s">
        <v>67</v>
      </c>
      <c r="X126" s="635">
        <v>609</v>
      </c>
      <c r="Y126" s="636">
        <f>IFERROR(IF(X126="",0,CEILING((X126/$H126),1)*$H126),"")</f>
        <v>610.20000000000005</v>
      </c>
      <c r="Z126" s="36">
        <f>IFERROR(IF(Y126=0,"",ROUNDUP(Y126/H126,0)*0.00651),"")</f>
        <v>1.47126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665.83999999999992</v>
      </c>
      <c r="BN126" s="64">
        <f>IFERROR(Y126*I126/H126,"0")</f>
        <v>667.15199999999993</v>
      </c>
      <c r="BO126" s="64">
        <f>IFERROR(1/J126*(X126/H126),"0")</f>
        <v>1.2393162393162394</v>
      </c>
      <c r="BP126" s="64">
        <f>IFERROR(1/J126*(Y126/H126),"0")</f>
        <v>1.2417582417582418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1">
        <v>4680115884533</v>
      </c>
      <c r="E127" s="642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49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50"/>
      <c r="P128" s="643" t="s">
        <v>69</v>
      </c>
      <c r="Q128" s="644"/>
      <c r="R128" s="644"/>
      <c r="S128" s="644"/>
      <c r="T128" s="644"/>
      <c r="U128" s="644"/>
      <c r="V128" s="645"/>
      <c r="W128" s="37" t="s">
        <v>70</v>
      </c>
      <c r="X128" s="637">
        <f>IFERROR(X124/H124,"0")+IFERROR(X125/H125,"0")+IFERROR(X126/H126,"0")+IFERROR(X127/H127,"0")</f>
        <v>347.65432098765433</v>
      </c>
      <c r="Y128" s="637">
        <f>IFERROR(Y124/H124,"0")+IFERROR(Y125/H125,"0")+IFERROR(Y126/H126,"0")+IFERROR(Y127/H127,"0")</f>
        <v>349</v>
      </c>
      <c r="Z128" s="637">
        <f>IFERROR(IF(Z124="",0,Z124),"0")+IFERROR(IF(Z125="",0,Z125),"0")+IFERROR(IF(Z126="",0,Z126),"0")+IFERROR(IF(Z127="",0,Z127),"0")</f>
        <v>3.8058000000000001</v>
      </c>
      <c r="AA128" s="638"/>
      <c r="AB128" s="638"/>
      <c r="AC128" s="638"/>
    </row>
    <row r="129" spans="1:68" x14ac:dyDescent="0.2">
      <c r="A129" s="647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50"/>
      <c r="P129" s="643" t="s">
        <v>69</v>
      </c>
      <c r="Q129" s="644"/>
      <c r="R129" s="644"/>
      <c r="S129" s="644"/>
      <c r="T129" s="644"/>
      <c r="U129" s="644"/>
      <c r="V129" s="645"/>
      <c r="W129" s="37" t="s">
        <v>67</v>
      </c>
      <c r="X129" s="637">
        <f>IFERROR(SUM(X124:X127),"0")</f>
        <v>1598</v>
      </c>
      <c r="Y129" s="637">
        <f>IFERROR(SUM(Y124:Y127),"0")</f>
        <v>1606.5</v>
      </c>
      <c r="Z129" s="37"/>
      <c r="AA129" s="638"/>
      <c r="AB129" s="638"/>
      <c r="AC129" s="638"/>
    </row>
    <row r="130" spans="1:68" ht="14.25" hidden="1" customHeight="1" x14ac:dyDescent="0.25">
      <c r="A130" s="648" t="s">
        <v>173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41">
        <v>4680115880238</v>
      </c>
      <c r="E131" s="642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2"/>
      <c r="R131" s="652"/>
      <c r="S131" s="652"/>
      <c r="T131" s="653"/>
      <c r="U131" s="34"/>
      <c r="V131" s="34"/>
      <c r="W131" s="35" t="s">
        <v>67</v>
      </c>
      <c r="X131" s="635">
        <v>6</v>
      </c>
      <c r="Y131" s="636">
        <f>IFERROR(IF(X131="",0,CEILING((X131/$H131),1)*$H131),"")</f>
        <v>7.92</v>
      </c>
      <c r="Z131" s="36">
        <f>IFERROR(IF(Y131=0,"",ROUNDUP(Y131/H131,0)*0.00651),"")</f>
        <v>2.6040000000000001E-2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6.7818181818181822</v>
      </c>
      <c r="BN131" s="64">
        <f>IFERROR(Y131*I131/H131,"0")</f>
        <v>8.952</v>
      </c>
      <c r="BO131" s="64">
        <f>IFERROR(1/J131*(X131/H131),"0")</f>
        <v>1.6650016650016652E-2</v>
      </c>
      <c r="BP131" s="64">
        <f>IFERROR(1/J131*(Y131/H131),"0")</f>
        <v>2.197802197802198E-2</v>
      </c>
    </row>
    <row r="132" spans="1:68" x14ac:dyDescent="0.2">
      <c r="A132" s="649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50"/>
      <c r="P132" s="643" t="s">
        <v>69</v>
      </c>
      <c r="Q132" s="644"/>
      <c r="R132" s="644"/>
      <c r="S132" s="644"/>
      <c r="T132" s="644"/>
      <c r="U132" s="644"/>
      <c r="V132" s="645"/>
      <c r="W132" s="37" t="s">
        <v>70</v>
      </c>
      <c r="X132" s="637">
        <f>IFERROR(X131/H131,"0")</f>
        <v>3.0303030303030303</v>
      </c>
      <c r="Y132" s="637">
        <f>IFERROR(Y131/H131,"0")</f>
        <v>4</v>
      </c>
      <c r="Z132" s="637">
        <f>IFERROR(IF(Z131="",0,Z131),"0")</f>
        <v>2.6040000000000001E-2</v>
      </c>
      <c r="AA132" s="638"/>
      <c r="AB132" s="638"/>
      <c r="AC132" s="638"/>
    </row>
    <row r="133" spans="1:68" x14ac:dyDescent="0.2">
      <c r="A133" s="647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50"/>
      <c r="P133" s="643" t="s">
        <v>69</v>
      </c>
      <c r="Q133" s="644"/>
      <c r="R133" s="644"/>
      <c r="S133" s="644"/>
      <c r="T133" s="644"/>
      <c r="U133" s="644"/>
      <c r="V133" s="645"/>
      <c r="W133" s="37" t="s">
        <v>67</v>
      </c>
      <c r="X133" s="637">
        <f>IFERROR(SUM(X131:X131),"0")</f>
        <v>6</v>
      </c>
      <c r="Y133" s="637">
        <f>IFERROR(SUM(Y131:Y131),"0")</f>
        <v>7.92</v>
      </c>
      <c r="Z133" s="37"/>
      <c r="AA133" s="638"/>
      <c r="AB133" s="638"/>
      <c r="AC133" s="638"/>
    </row>
    <row r="134" spans="1:68" ht="16.5" hidden="1" customHeight="1" x14ac:dyDescent="0.25">
      <c r="A134" s="646" t="s">
        <v>248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0"/>
      <c r="AB134" s="630"/>
      <c r="AC134" s="630"/>
    </row>
    <row r="135" spans="1:68" ht="14.25" hidden="1" customHeight="1" x14ac:dyDescent="0.25">
      <c r="A135" s="648" t="s">
        <v>119</v>
      </c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41">
        <v>4680115882577</v>
      </c>
      <c r="E136" s="642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2"/>
      <c r="R136" s="652"/>
      <c r="S136" s="652"/>
      <c r="T136" s="653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1">
        <v>4680115882577</v>
      </c>
      <c r="E137" s="642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2"/>
      <c r="R137" s="652"/>
      <c r="S137" s="652"/>
      <c r="T137" s="653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9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50"/>
      <c r="P138" s="643" t="s">
        <v>69</v>
      </c>
      <c r="Q138" s="644"/>
      <c r="R138" s="644"/>
      <c r="S138" s="644"/>
      <c r="T138" s="644"/>
      <c r="U138" s="644"/>
      <c r="V138" s="645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50"/>
      <c r="P139" s="643" t="s">
        <v>69</v>
      </c>
      <c r="Q139" s="644"/>
      <c r="R139" s="644"/>
      <c r="S139" s="644"/>
      <c r="T139" s="644"/>
      <c r="U139" s="644"/>
      <c r="V139" s="645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8" t="s">
        <v>62</v>
      </c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41">
        <v>4680115883444</v>
      </c>
      <c r="E141" s="642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2"/>
      <c r="R141" s="652"/>
      <c r="S141" s="652"/>
      <c r="T141" s="653"/>
      <c r="U141" s="34"/>
      <c r="V141" s="34"/>
      <c r="W141" s="35" t="s">
        <v>67</v>
      </c>
      <c r="X141" s="635">
        <v>7</v>
      </c>
      <c r="Y141" s="636">
        <f>IFERROR(IF(X141="",0,CEILING((X141/$H141),1)*$H141),"")</f>
        <v>8.3999999999999986</v>
      </c>
      <c r="Z141" s="36">
        <f>IFERROR(IF(Y141=0,"",ROUNDUP(Y141/H141,0)*0.00651),"")</f>
        <v>1.9529999999999999E-2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7.67</v>
      </c>
      <c r="BN141" s="64">
        <f>IFERROR(Y141*I141/H141,"0")</f>
        <v>9.2039999999999988</v>
      </c>
      <c r="BO141" s="64">
        <f>IFERROR(1/J141*(X141/H141),"0")</f>
        <v>1.3736263736263738E-2</v>
      </c>
      <c r="BP141" s="64">
        <f>IFERROR(1/J141*(Y141/H141),"0")</f>
        <v>1.6483516483516484E-2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1">
        <v>4680115883444</v>
      </c>
      <c r="E142" s="642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2"/>
      <c r="R142" s="652"/>
      <c r="S142" s="652"/>
      <c r="T142" s="653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49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50"/>
      <c r="P143" s="643" t="s">
        <v>69</v>
      </c>
      <c r="Q143" s="644"/>
      <c r="R143" s="644"/>
      <c r="S143" s="644"/>
      <c r="T143" s="644"/>
      <c r="U143" s="644"/>
      <c r="V143" s="645"/>
      <c r="W143" s="37" t="s">
        <v>70</v>
      </c>
      <c r="X143" s="637">
        <f>IFERROR(X141/H141,"0")+IFERROR(X142/H142,"0")</f>
        <v>2.5</v>
      </c>
      <c r="Y143" s="637">
        <f>IFERROR(Y141/H141,"0")+IFERROR(Y142/H142,"0")</f>
        <v>2.9999999999999996</v>
      </c>
      <c r="Z143" s="637">
        <f>IFERROR(IF(Z141="",0,Z141),"0")+IFERROR(IF(Z142="",0,Z142),"0")</f>
        <v>1.9529999999999999E-2</v>
      </c>
      <c r="AA143" s="638"/>
      <c r="AB143" s="638"/>
      <c r="AC143" s="638"/>
    </row>
    <row r="144" spans="1:68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50"/>
      <c r="P144" s="643" t="s">
        <v>69</v>
      </c>
      <c r="Q144" s="644"/>
      <c r="R144" s="644"/>
      <c r="S144" s="644"/>
      <c r="T144" s="644"/>
      <c r="U144" s="644"/>
      <c r="V144" s="645"/>
      <c r="W144" s="37" t="s">
        <v>67</v>
      </c>
      <c r="X144" s="637">
        <f>IFERROR(SUM(X141:X142),"0")</f>
        <v>7</v>
      </c>
      <c r="Y144" s="637">
        <f>IFERROR(SUM(Y141:Y142),"0")</f>
        <v>8.3999999999999986</v>
      </c>
      <c r="Z144" s="37"/>
      <c r="AA144" s="638"/>
      <c r="AB144" s="638"/>
      <c r="AC144" s="638"/>
    </row>
    <row r="145" spans="1:68" ht="14.25" hidden="1" customHeight="1" x14ac:dyDescent="0.25">
      <c r="A145" s="648" t="s">
        <v>71</v>
      </c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41">
        <v>4680115882584</v>
      </c>
      <c r="E146" s="642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2"/>
      <c r="R146" s="652"/>
      <c r="S146" s="652"/>
      <c r="T146" s="653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1">
        <v>4680115882584</v>
      </c>
      <c r="E147" s="642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2"/>
      <c r="R147" s="652"/>
      <c r="S147" s="652"/>
      <c r="T147" s="653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49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50"/>
      <c r="P148" s="643" t="s">
        <v>69</v>
      </c>
      <c r="Q148" s="644"/>
      <c r="R148" s="644"/>
      <c r="S148" s="644"/>
      <c r="T148" s="644"/>
      <c r="U148" s="644"/>
      <c r="V148" s="645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7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50"/>
      <c r="P149" s="643" t="s">
        <v>69</v>
      </c>
      <c r="Q149" s="644"/>
      <c r="R149" s="644"/>
      <c r="S149" s="644"/>
      <c r="T149" s="644"/>
      <c r="U149" s="644"/>
      <c r="V149" s="645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46" t="s">
        <v>261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0"/>
      <c r="AB150" s="630"/>
      <c r="AC150" s="630"/>
    </row>
    <row r="151" spans="1:68" ht="14.25" hidden="1" customHeight="1" x14ac:dyDescent="0.25">
      <c r="A151" s="648" t="s">
        <v>71</v>
      </c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1">
        <v>4680115888203</v>
      </c>
      <c r="E152" s="642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2"/>
      <c r="R152" s="652"/>
      <c r="S152" s="652"/>
      <c r="T152" s="653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1">
        <v>4680115888180</v>
      </c>
      <c r="E153" s="642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2"/>
      <c r="R153" s="652"/>
      <c r="S153" s="652"/>
      <c r="T153" s="653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1">
        <v>4680115888197</v>
      </c>
      <c r="E154" s="642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1">
        <v>4680115888210</v>
      </c>
      <c r="E155" s="642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49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50"/>
      <c r="P156" s="643" t="s">
        <v>69</v>
      </c>
      <c r="Q156" s="644"/>
      <c r="R156" s="644"/>
      <c r="S156" s="644"/>
      <c r="T156" s="644"/>
      <c r="U156" s="644"/>
      <c r="V156" s="645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7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50"/>
      <c r="P157" s="643" t="s">
        <v>69</v>
      </c>
      <c r="Q157" s="644"/>
      <c r="R157" s="644"/>
      <c r="S157" s="644"/>
      <c r="T157" s="644"/>
      <c r="U157" s="644"/>
      <c r="V157" s="645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8" t="s">
        <v>89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1">
        <v>4680115889132</v>
      </c>
      <c r="E159" s="642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49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50"/>
      <c r="P160" s="643" t="s">
        <v>69</v>
      </c>
      <c r="Q160" s="644"/>
      <c r="R160" s="644"/>
      <c r="S160" s="644"/>
      <c r="T160" s="644"/>
      <c r="U160" s="644"/>
      <c r="V160" s="645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7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50"/>
      <c r="P161" s="643" t="s">
        <v>69</v>
      </c>
      <c r="Q161" s="644"/>
      <c r="R161" s="644"/>
      <c r="S161" s="644"/>
      <c r="T161" s="644"/>
      <c r="U161" s="644"/>
      <c r="V161" s="645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6" t="s">
        <v>117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0"/>
      <c r="AB162" s="630"/>
      <c r="AC162" s="630"/>
    </row>
    <row r="163" spans="1:68" ht="14.25" hidden="1" customHeight="1" x14ac:dyDescent="0.25">
      <c r="A163" s="648" t="s">
        <v>119</v>
      </c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1">
        <v>4680115887374</v>
      </c>
      <c r="E164" s="642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2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1">
        <v>4607091384604</v>
      </c>
      <c r="E165" s="642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2"/>
      <c r="R165" s="652"/>
      <c r="S165" s="652"/>
      <c r="T165" s="653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1">
        <v>4607091384604</v>
      </c>
      <c r="E166" s="642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2"/>
      <c r="R166" s="652"/>
      <c r="S166" s="652"/>
      <c r="T166" s="653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1">
        <v>4680115888876</v>
      </c>
      <c r="E167" s="642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6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2"/>
      <c r="R167" s="652"/>
      <c r="S167" s="652"/>
      <c r="T167" s="653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49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50"/>
      <c r="P168" s="643" t="s">
        <v>69</v>
      </c>
      <c r="Q168" s="644"/>
      <c r="R168" s="644"/>
      <c r="S168" s="644"/>
      <c r="T168" s="644"/>
      <c r="U168" s="644"/>
      <c r="V168" s="645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7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50"/>
      <c r="P169" s="643" t="s">
        <v>69</v>
      </c>
      <c r="Q169" s="644"/>
      <c r="R169" s="644"/>
      <c r="S169" s="644"/>
      <c r="T169" s="644"/>
      <c r="U169" s="644"/>
      <c r="V169" s="645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8" t="s">
        <v>155</v>
      </c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1">
        <v>4680115887695</v>
      </c>
      <c r="E171" s="642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1">
        <v>4680115889491</v>
      </c>
      <c r="E172" s="642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2"/>
      <c r="R172" s="652"/>
      <c r="S172" s="652"/>
      <c r="T172" s="653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49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50"/>
      <c r="P173" s="643" t="s">
        <v>69</v>
      </c>
      <c r="Q173" s="644"/>
      <c r="R173" s="644"/>
      <c r="S173" s="644"/>
      <c r="T173" s="644"/>
      <c r="U173" s="644"/>
      <c r="V173" s="645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7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50"/>
      <c r="P174" s="643" t="s">
        <v>69</v>
      </c>
      <c r="Q174" s="644"/>
      <c r="R174" s="644"/>
      <c r="S174" s="644"/>
      <c r="T174" s="644"/>
      <c r="U174" s="644"/>
      <c r="V174" s="645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8" t="s">
        <v>62</v>
      </c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41">
        <v>4680115889613</v>
      </c>
      <c r="E176" s="642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89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41">
        <v>4680115887428</v>
      </c>
      <c r="E177" s="642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2"/>
      <c r="R177" s="652"/>
      <c r="S177" s="652"/>
      <c r="T177" s="653"/>
      <c r="U177" s="34"/>
      <c r="V177" s="34"/>
      <c r="W177" s="35" t="s">
        <v>67</v>
      </c>
      <c r="X177" s="635">
        <v>40</v>
      </c>
      <c r="Y177" s="636">
        <f t="shared" si="15"/>
        <v>42</v>
      </c>
      <c r="Z177" s="36">
        <f>IFERROR(IF(Y177=0,"",ROUNDUP(Y177/H177,0)*0.00902),"")</f>
        <v>0.10824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42.171428571428571</v>
      </c>
      <c r="BN177" s="64">
        <f t="shared" si="17"/>
        <v>44.279999999999994</v>
      </c>
      <c r="BO177" s="64">
        <f t="shared" si="18"/>
        <v>8.658008658008659E-2</v>
      </c>
      <c r="BP177" s="64">
        <f t="shared" si="19"/>
        <v>9.0909090909090912E-2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1">
        <v>4680115889170</v>
      </c>
      <c r="E178" s="642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2"/>
      <c r="R178" s="652"/>
      <c r="S178" s="652"/>
      <c r="T178" s="653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41">
        <v>4680115887398</v>
      </c>
      <c r="E179" s="642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2"/>
      <c r="R179" s="652"/>
      <c r="S179" s="652"/>
      <c r="T179" s="653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41">
        <v>4680115887336</v>
      </c>
      <c r="E180" s="642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35">
        <v>297</v>
      </c>
      <c r="Y180" s="636">
        <f t="shared" si="15"/>
        <v>297.5</v>
      </c>
      <c r="Z180" s="36">
        <f>IFERROR(IF(Y180=0,"",ROUNDUP(Y180/H180,0)*0.00902),"")</f>
        <v>0.76670000000000005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313.12285714285719</v>
      </c>
      <c r="BN180" s="64">
        <f t="shared" si="17"/>
        <v>313.65000000000003</v>
      </c>
      <c r="BO180" s="64">
        <f t="shared" si="18"/>
        <v>0.6428571428571429</v>
      </c>
      <c r="BP180" s="64">
        <f t="shared" si="19"/>
        <v>0.64393939393939392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1">
        <v>4680115887787</v>
      </c>
      <c r="E181" s="642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41">
        <v>4680115887503</v>
      </c>
      <c r="E182" s="642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41">
        <v>4680115887763</v>
      </c>
      <c r="E183" s="642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35">
        <v>9</v>
      </c>
      <c r="Y183" s="636">
        <f t="shared" si="15"/>
        <v>9</v>
      </c>
      <c r="Z183" s="36">
        <f>IFERROR(IF(Y183=0,"",ROUNDUP(Y183/H183,0)*0.00417),"")</f>
        <v>4.1700000000000001E-2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11.1</v>
      </c>
      <c r="BN183" s="64">
        <f t="shared" si="17"/>
        <v>11.1</v>
      </c>
      <c r="BO183" s="64">
        <f t="shared" si="18"/>
        <v>3.2051282051282048E-2</v>
      </c>
      <c r="BP183" s="64">
        <f t="shared" si="19"/>
        <v>3.2051282051282048E-2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1">
        <v>4680115887480</v>
      </c>
      <c r="E184" s="642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2"/>
      <c r="R184" s="652"/>
      <c r="S184" s="652"/>
      <c r="T184" s="653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4301031434</v>
      </c>
      <c r="D185" s="641">
        <v>4680115888067</v>
      </c>
      <c r="E185" s="642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35">
        <v>18</v>
      </c>
      <c r="Y185" s="636">
        <f t="shared" si="15"/>
        <v>18</v>
      </c>
      <c r="Z185" s="36">
        <f>IFERROR(IF(Y185=0,"",ROUNDUP(Y185/H185,0)*0.00417),"")</f>
        <v>8.3400000000000002E-2</v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20</v>
      </c>
      <c r="BN185" s="64">
        <f t="shared" si="17"/>
        <v>20</v>
      </c>
      <c r="BO185" s="64">
        <f t="shared" si="18"/>
        <v>6.4102564102564097E-2</v>
      </c>
      <c r="BP185" s="64">
        <f t="shared" si="19"/>
        <v>6.4102564102564097E-2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41">
        <v>4680115887435</v>
      </c>
      <c r="E186" s="642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2"/>
      <c r="R186" s="652"/>
      <c r="S186" s="652"/>
      <c r="T186" s="653"/>
      <c r="U186" s="34"/>
      <c r="V186" s="34"/>
      <c r="W186" s="35" t="s">
        <v>67</v>
      </c>
      <c r="X186" s="635">
        <v>59</v>
      </c>
      <c r="Y186" s="636">
        <f t="shared" si="15"/>
        <v>60.48</v>
      </c>
      <c r="Z186" s="36">
        <f>IFERROR(IF(Y186=0,"",ROUNDUP(Y186/H186,0)*0.00502),"")</f>
        <v>0.18071999999999999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62.511904761904759</v>
      </c>
      <c r="BN186" s="64">
        <f t="shared" si="17"/>
        <v>64.08</v>
      </c>
      <c r="BO186" s="64">
        <f t="shared" si="18"/>
        <v>0.15008140008140011</v>
      </c>
      <c r="BP186" s="64">
        <f t="shared" si="19"/>
        <v>0.15384615384615385</v>
      </c>
    </row>
    <row r="187" spans="1:68" x14ac:dyDescent="0.2">
      <c r="A187" s="649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50"/>
      <c r="P187" s="643" t="s">
        <v>69</v>
      </c>
      <c r="Q187" s="644"/>
      <c r="R187" s="644"/>
      <c r="S187" s="644"/>
      <c r="T187" s="644"/>
      <c r="U187" s="644"/>
      <c r="V187" s="645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161.40476190476193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163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1.18076</v>
      </c>
      <c r="AA187" s="638"/>
      <c r="AB187" s="638"/>
      <c r="AC187" s="638"/>
    </row>
    <row r="188" spans="1:68" x14ac:dyDescent="0.2">
      <c r="A188" s="647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50"/>
      <c r="P188" s="643" t="s">
        <v>69</v>
      </c>
      <c r="Q188" s="644"/>
      <c r="R188" s="644"/>
      <c r="S188" s="644"/>
      <c r="T188" s="644"/>
      <c r="U188" s="644"/>
      <c r="V188" s="645"/>
      <c r="W188" s="37" t="s">
        <v>67</v>
      </c>
      <c r="X188" s="637">
        <f>IFERROR(SUM(X176:X186),"0")</f>
        <v>423</v>
      </c>
      <c r="Y188" s="637">
        <f>IFERROR(SUM(Y176:Y186),"0")</f>
        <v>426.98</v>
      </c>
      <c r="Z188" s="37"/>
      <c r="AA188" s="638"/>
      <c r="AB188" s="638"/>
      <c r="AC188" s="638"/>
    </row>
    <row r="189" spans="1:68" ht="14.25" hidden="1" customHeight="1" x14ac:dyDescent="0.25">
      <c r="A189" s="648" t="s">
        <v>71</v>
      </c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1">
        <v>4680115888395</v>
      </c>
      <c r="E190" s="642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1">
        <v>4680115888371</v>
      </c>
      <c r="E191" s="642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49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50"/>
      <c r="P192" s="643" t="s">
        <v>69</v>
      </c>
      <c r="Q192" s="644"/>
      <c r="R192" s="644"/>
      <c r="S192" s="644"/>
      <c r="T192" s="644"/>
      <c r="U192" s="644"/>
      <c r="V192" s="645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7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50"/>
      <c r="P193" s="643" t="s">
        <v>69</v>
      </c>
      <c r="Q193" s="644"/>
      <c r="R193" s="644"/>
      <c r="S193" s="644"/>
      <c r="T193" s="644"/>
      <c r="U193" s="644"/>
      <c r="V193" s="645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8" t="s">
        <v>89</v>
      </c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  <c r="Y194" s="647"/>
      <c r="Z194" s="647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1">
        <v>4680115889026</v>
      </c>
      <c r="E195" s="642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49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50"/>
      <c r="P196" s="643" t="s">
        <v>69</v>
      </c>
      <c r="Q196" s="644"/>
      <c r="R196" s="644"/>
      <c r="S196" s="644"/>
      <c r="T196" s="644"/>
      <c r="U196" s="644"/>
      <c r="V196" s="645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7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50"/>
      <c r="P197" s="643" t="s">
        <v>69</v>
      </c>
      <c r="Q197" s="644"/>
      <c r="R197" s="644"/>
      <c r="S197" s="644"/>
      <c r="T197" s="644"/>
      <c r="U197" s="644"/>
      <c r="V197" s="645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8" t="s">
        <v>333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1">
        <v>4680115889033</v>
      </c>
      <c r="E199" s="642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7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2"/>
      <c r="R199" s="652"/>
      <c r="S199" s="652"/>
      <c r="T199" s="653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49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50"/>
      <c r="P200" s="643" t="s">
        <v>69</v>
      </c>
      <c r="Q200" s="644"/>
      <c r="R200" s="644"/>
      <c r="S200" s="644"/>
      <c r="T200" s="644"/>
      <c r="U200" s="644"/>
      <c r="V200" s="645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7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50"/>
      <c r="P201" s="643" t="s">
        <v>69</v>
      </c>
      <c r="Q201" s="644"/>
      <c r="R201" s="644"/>
      <c r="S201" s="644"/>
      <c r="T201" s="644"/>
      <c r="U201" s="644"/>
      <c r="V201" s="645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82" t="s">
        <v>337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48"/>
      <c r="AB202" s="48"/>
      <c r="AC202" s="48"/>
    </row>
    <row r="203" spans="1:68" ht="16.5" hidden="1" customHeight="1" x14ac:dyDescent="0.25">
      <c r="A203" s="646" t="s">
        <v>338</v>
      </c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30"/>
      <c r="AB203" s="630"/>
      <c r="AC203" s="630"/>
    </row>
    <row r="204" spans="1:68" ht="14.25" hidden="1" customHeight="1" x14ac:dyDescent="0.25">
      <c r="A204" s="648" t="s">
        <v>119</v>
      </c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  <c r="Y204" s="647"/>
      <c r="Z204" s="647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1">
        <v>4607091383423</v>
      </c>
      <c r="E205" s="642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2"/>
      <c r="R205" s="652"/>
      <c r="S205" s="652"/>
      <c r="T205" s="653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1">
        <v>4680115888760</v>
      </c>
      <c r="E206" s="642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2"/>
      <c r="R206" s="652"/>
      <c r="S206" s="652"/>
      <c r="T206" s="653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1">
        <v>4680115888807</v>
      </c>
      <c r="E207" s="642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2"/>
      <c r="R207" s="652"/>
      <c r="S207" s="652"/>
      <c r="T207" s="653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1">
        <v>4680115888852</v>
      </c>
      <c r="E208" s="642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2"/>
      <c r="R208" s="652"/>
      <c r="S208" s="652"/>
      <c r="T208" s="653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1">
        <v>4680115886957</v>
      </c>
      <c r="E209" s="642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2"/>
      <c r="R209" s="652"/>
      <c r="S209" s="652"/>
      <c r="T209" s="653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1">
        <v>4680115885660</v>
      </c>
      <c r="E210" s="642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2"/>
      <c r="R210" s="652"/>
      <c r="S210" s="652"/>
      <c r="T210" s="653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1">
        <v>4680115886773</v>
      </c>
      <c r="E211" s="642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2"/>
      <c r="R211" s="652"/>
      <c r="S211" s="652"/>
      <c r="T211" s="653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49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50"/>
      <c r="P212" s="643" t="s">
        <v>69</v>
      </c>
      <c r="Q212" s="644"/>
      <c r="R212" s="644"/>
      <c r="S212" s="644"/>
      <c r="T212" s="644"/>
      <c r="U212" s="644"/>
      <c r="V212" s="645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7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50"/>
      <c r="P213" s="643" t="s">
        <v>69</v>
      </c>
      <c r="Q213" s="644"/>
      <c r="R213" s="644"/>
      <c r="S213" s="644"/>
      <c r="T213" s="644"/>
      <c r="U213" s="644"/>
      <c r="V213" s="645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6" t="s">
        <v>359</v>
      </c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  <c r="Y214" s="647"/>
      <c r="Z214" s="647"/>
      <c r="AA214" s="630"/>
      <c r="AB214" s="630"/>
      <c r="AC214" s="630"/>
    </row>
    <row r="215" spans="1:68" ht="14.25" hidden="1" customHeight="1" x14ac:dyDescent="0.25">
      <c r="A215" s="648" t="s">
        <v>155</v>
      </c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1">
        <v>4680115886223</v>
      </c>
      <c r="E216" s="642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49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50"/>
      <c r="P217" s="643" t="s">
        <v>69</v>
      </c>
      <c r="Q217" s="644"/>
      <c r="R217" s="644"/>
      <c r="S217" s="644"/>
      <c r="T217" s="644"/>
      <c r="U217" s="644"/>
      <c r="V217" s="645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7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50"/>
      <c r="P218" s="643" t="s">
        <v>69</v>
      </c>
      <c r="Q218" s="644"/>
      <c r="R218" s="644"/>
      <c r="S218" s="644"/>
      <c r="T218" s="644"/>
      <c r="U218" s="644"/>
      <c r="V218" s="645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8" t="s">
        <v>62</v>
      </c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31"/>
      <c r="AB219" s="631"/>
      <c r="AC219" s="631"/>
    </row>
    <row r="220" spans="1:68" ht="27" customHeight="1" x14ac:dyDescent="0.25">
      <c r="A220" s="54" t="s">
        <v>363</v>
      </c>
      <c r="B220" s="54" t="s">
        <v>364</v>
      </c>
      <c r="C220" s="31">
        <v>4301031191</v>
      </c>
      <c r="D220" s="641">
        <v>4680115880993</v>
      </c>
      <c r="E220" s="642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2"/>
      <c r="R220" s="652"/>
      <c r="S220" s="652"/>
      <c r="T220" s="653"/>
      <c r="U220" s="34"/>
      <c r="V220" s="34"/>
      <c r="W220" s="35" t="s">
        <v>67</v>
      </c>
      <c r="X220" s="635">
        <v>39</v>
      </c>
      <c r="Y220" s="636">
        <f t="shared" ref="Y220:Y232" si="26">IFERROR(IF(X220="",0,CEILING((X220/$H220),1)*$H220),"")</f>
        <v>42</v>
      </c>
      <c r="Z220" s="36">
        <f>IFERROR(IF(Y220=0,"",ROUNDUP(Y220/H220,0)*0.00902),"")</f>
        <v>9.0200000000000002E-2</v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41.321428571428569</v>
      </c>
      <c r="BN220" s="64">
        <f t="shared" ref="BN220:BN232" si="28">IFERROR(Y220*I220/H220,"0")</f>
        <v>44.5</v>
      </c>
      <c r="BO220" s="64">
        <f t="shared" ref="BO220:BO232" si="29">IFERROR(1/J220*(X220/H220),"0")</f>
        <v>7.0346320346320337E-2</v>
      </c>
      <c r="BP220" s="64">
        <f t="shared" ref="BP220:BP232" si="30">IFERROR(1/J220*(Y220/H220),"0")</f>
        <v>7.575757575757576E-2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1">
        <v>4680115881761</v>
      </c>
      <c r="E221" s="642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2"/>
      <c r="R221" s="652"/>
      <c r="S221" s="652"/>
      <c r="T221" s="653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41">
        <v>4680115881563</v>
      </c>
      <c r="E222" s="642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90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customHeight="1" x14ac:dyDescent="0.25">
      <c r="A223" s="54" t="s">
        <v>372</v>
      </c>
      <c r="B223" s="54" t="s">
        <v>373</v>
      </c>
      <c r="C223" s="31">
        <v>4301031447</v>
      </c>
      <c r="D223" s="641">
        <v>4680115887565</v>
      </c>
      <c r="E223" s="642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2"/>
      <c r="R223" s="652"/>
      <c r="S223" s="652"/>
      <c r="T223" s="653"/>
      <c r="U223" s="34"/>
      <c r="V223" s="34"/>
      <c r="W223" s="35" t="s">
        <v>67</v>
      </c>
      <c r="X223" s="635">
        <v>10</v>
      </c>
      <c r="Y223" s="636">
        <f t="shared" si="26"/>
        <v>10.4</v>
      </c>
      <c r="Z223" s="36">
        <f>IFERROR(IF(Y223=0,"",ROUNDUP(Y223/H223,0)*0.00556),"")</f>
        <v>7.2279999999999997E-2</v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11.625</v>
      </c>
      <c r="BN223" s="64">
        <f t="shared" si="28"/>
        <v>12.09</v>
      </c>
      <c r="BO223" s="64">
        <f t="shared" si="29"/>
        <v>5.3418803418803423E-2</v>
      </c>
      <c r="BP223" s="64">
        <f t="shared" si="30"/>
        <v>5.5555555555555559E-2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1">
        <v>4680115880986</v>
      </c>
      <c r="E224" s="642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2"/>
      <c r="R224" s="652"/>
      <c r="S224" s="652"/>
      <c r="T224" s="653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1">
        <v>4680115887213</v>
      </c>
      <c r="E225" s="642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2"/>
      <c r="R225" s="652"/>
      <c r="S225" s="652"/>
      <c r="T225" s="653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1">
        <v>4680115881785</v>
      </c>
      <c r="E226" s="642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2"/>
      <c r="R226" s="652"/>
      <c r="S226" s="652"/>
      <c r="T226" s="653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1">
        <v>4680115888432</v>
      </c>
      <c r="E227" s="642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2"/>
      <c r="R227" s="652"/>
      <c r="S227" s="652"/>
      <c r="T227" s="653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41">
        <v>4680115886537</v>
      </c>
      <c r="E228" s="642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2"/>
      <c r="R228" s="652"/>
      <c r="S228" s="652"/>
      <c r="T228" s="653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41">
        <v>4680115887596</v>
      </c>
      <c r="E229" s="642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35">
        <v>12</v>
      </c>
      <c r="Y229" s="636">
        <f t="shared" si="26"/>
        <v>12</v>
      </c>
      <c r="Z229" s="36">
        <f>IFERROR(IF(Y229=0,"",ROUNDUP(Y229/H229,0)*0.00417),"")</f>
        <v>6.2549999999999994E-2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15.15</v>
      </c>
      <c r="BN229" s="64">
        <f t="shared" si="28"/>
        <v>15.15</v>
      </c>
      <c r="BO229" s="64">
        <f t="shared" si="29"/>
        <v>4.8076923076923073E-2</v>
      </c>
      <c r="BP229" s="64">
        <f t="shared" si="30"/>
        <v>4.8076923076923073E-2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1">
        <v>4680115881679</v>
      </c>
      <c r="E230" s="642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2"/>
      <c r="R230" s="652"/>
      <c r="S230" s="652"/>
      <c r="T230" s="653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1">
        <v>4680115880191</v>
      </c>
      <c r="E231" s="642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9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1">
        <v>4680115883963</v>
      </c>
      <c r="E232" s="642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2"/>
      <c r="R232" s="652"/>
      <c r="S232" s="652"/>
      <c r="T232" s="653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49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50"/>
      <c r="P233" s="643" t="s">
        <v>69</v>
      </c>
      <c r="Q233" s="644"/>
      <c r="R233" s="644"/>
      <c r="S233" s="644"/>
      <c r="T233" s="644"/>
      <c r="U233" s="644"/>
      <c r="V233" s="645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36.785714285714285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38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0.22503000000000001</v>
      </c>
      <c r="AA233" s="638"/>
      <c r="AB233" s="638"/>
      <c r="AC233" s="638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50"/>
      <c r="P234" s="643" t="s">
        <v>69</v>
      </c>
      <c r="Q234" s="644"/>
      <c r="R234" s="644"/>
      <c r="S234" s="644"/>
      <c r="T234" s="644"/>
      <c r="U234" s="644"/>
      <c r="V234" s="645"/>
      <c r="W234" s="37" t="s">
        <v>67</v>
      </c>
      <c r="X234" s="637">
        <f>IFERROR(SUM(X220:X232),"0")</f>
        <v>61</v>
      </c>
      <c r="Y234" s="637">
        <f>IFERROR(SUM(Y220:Y232),"0")</f>
        <v>64.400000000000006</v>
      </c>
      <c r="Z234" s="37"/>
      <c r="AA234" s="638"/>
      <c r="AB234" s="638"/>
      <c r="AC234" s="638"/>
    </row>
    <row r="235" spans="1:68" ht="14.25" hidden="1" customHeight="1" x14ac:dyDescent="0.25">
      <c r="A235" s="648" t="s">
        <v>71</v>
      </c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1">
        <v>4680115888692</v>
      </c>
      <c r="E236" s="642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1">
        <v>4680115888722</v>
      </c>
      <c r="E237" s="642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2"/>
      <c r="R237" s="652"/>
      <c r="S237" s="652"/>
      <c r="T237" s="653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1">
        <v>4680115888951</v>
      </c>
      <c r="E238" s="642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2"/>
      <c r="R238" s="652"/>
      <c r="S238" s="652"/>
      <c r="T238" s="653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1">
        <v>4680115888975</v>
      </c>
      <c r="E239" s="642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7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1">
        <v>4680115888982</v>
      </c>
      <c r="E240" s="642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2"/>
      <c r="R240" s="652"/>
      <c r="S240" s="652"/>
      <c r="T240" s="653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9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50"/>
      <c r="P241" s="643" t="s">
        <v>69</v>
      </c>
      <c r="Q241" s="644"/>
      <c r="R241" s="644"/>
      <c r="S241" s="644"/>
      <c r="T241" s="644"/>
      <c r="U241" s="644"/>
      <c r="V241" s="645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50"/>
      <c r="P242" s="643" t="s">
        <v>69</v>
      </c>
      <c r="Q242" s="644"/>
      <c r="R242" s="644"/>
      <c r="S242" s="644"/>
      <c r="T242" s="644"/>
      <c r="U242" s="644"/>
      <c r="V242" s="645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8" t="s">
        <v>89</v>
      </c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47"/>
      <c r="Z243" s="647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1">
        <v>4680115886780</v>
      </c>
      <c r="E244" s="642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7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414</v>
      </c>
      <c r="B245" s="54" t="s">
        <v>415</v>
      </c>
      <c r="C245" s="31">
        <v>4301032051</v>
      </c>
      <c r="D245" s="641">
        <v>4680115886742</v>
      </c>
      <c r="E245" s="642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35">
        <v>11</v>
      </c>
      <c r="Y245" s="636">
        <f>IFERROR(IF(X245="",0,CEILING((X245/$H245),1)*$H245),"")</f>
        <v>11.34</v>
      </c>
      <c r="Z245" s="36">
        <f>IFERROR(IF(Y245=0,"",ROUNDUP(Y245/H245,0)*0.0059),"")</f>
        <v>5.3100000000000001E-2</v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12.658730158730158</v>
      </c>
      <c r="BN245" s="64">
        <f>IFERROR(Y245*I245/H245,"0")</f>
        <v>13.049999999999999</v>
      </c>
      <c r="BO245" s="64">
        <f>IFERROR(1/J245*(X245/H245),"0")</f>
        <v>4.0417401528512635E-2</v>
      </c>
      <c r="BP245" s="64">
        <f>IFERROR(1/J245*(Y245/H245),"0")</f>
        <v>4.1666666666666664E-2</v>
      </c>
    </row>
    <row r="246" spans="1:68" ht="27" customHeight="1" x14ac:dyDescent="0.25">
      <c r="A246" s="54" t="s">
        <v>417</v>
      </c>
      <c r="B246" s="54" t="s">
        <v>418</v>
      </c>
      <c r="C246" s="31">
        <v>4301032052</v>
      </c>
      <c r="D246" s="641">
        <v>4680115886766</v>
      </c>
      <c r="E246" s="642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35">
        <v>12</v>
      </c>
      <c r="Y246" s="636">
        <f>IFERROR(IF(X246="",0,CEILING((X246/$H246),1)*$H246),"")</f>
        <v>12.6</v>
      </c>
      <c r="Z246" s="36">
        <f>IFERROR(IF(Y246=0,"",ROUNDUP(Y246/H246,0)*0.0059),"")</f>
        <v>5.8999999999999997E-2</v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13.809523809523808</v>
      </c>
      <c r="BN246" s="64">
        <f>IFERROR(Y246*I246/H246,"0")</f>
        <v>14.5</v>
      </c>
      <c r="BO246" s="64">
        <f>IFERROR(1/J246*(X246/H246),"0")</f>
        <v>4.4091710758377423E-2</v>
      </c>
      <c r="BP246" s="64">
        <f>IFERROR(1/J246*(Y246/H246),"0")</f>
        <v>4.6296296296296294E-2</v>
      </c>
    </row>
    <row r="247" spans="1:68" x14ac:dyDescent="0.2">
      <c r="A247" s="649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50"/>
      <c r="P247" s="643" t="s">
        <v>69</v>
      </c>
      <c r="Q247" s="644"/>
      <c r="R247" s="644"/>
      <c r="S247" s="644"/>
      <c r="T247" s="644"/>
      <c r="U247" s="644"/>
      <c r="V247" s="645"/>
      <c r="W247" s="37" t="s">
        <v>70</v>
      </c>
      <c r="X247" s="637">
        <f>IFERROR(X244/H244,"0")+IFERROR(X245/H245,"0")+IFERROR(X246/H246,"0")</f>
        <v>18.253968253968253</v>
      </c>
      <c r="Y247" s="637">
        <f>IFERROR(Y244/H244,"0")+IFERROR(Y245/H245,"0")+IFERROR(Y246/H246,"0")</f>
        <v>19</v>
      </c>
      <c r="Z247" s="637">
        <f>IFERROR(IF(Z244="",0,Z244),"0")+IFERROR(IF(Z245="",0,Z245),"0")+IFERROR(IF(Z246="",0,Z246),"0")</f>
        <v>0.11210000000000001</v>
      </c>
      <c r="AA247" s="638"/>
      <c r="AB247" s="638"/>
      <c r="AC247" s="638"/>
    </row>
    <row r="248" spans="1:68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50"/>
      <c r="P248" s="643" t="s">
        <v>69</v>
      </c>
      <c r="Q248" s="644"/>
      <c r="R248" s="644"/>
      <c r="S248" s="644"/>
      <c r="T248" s="644"/>
      <c r="U248" s="644"/>
      <c r="V248" s="645"/>
      <c r="W248" s="37" t="s">
        <v>67</v>
      </c>
      <c r="X248" s="637">
        <f>IFERROR(SUM(X244:X246),"0")</f>
        <v>23</v>
      </c>
      <c r="Y248" s="637">
        <f>IFERROR(SUM(Y244:Y246),"0")</f>
        <v>23.939999999999998</v>
      </c>
      <c r="Z248" s="37"/>
      <c r="AA248" s="638"/>
      <c r="AB248" s="638"/>
      <c r="AC248" s="638"/>
    </row>
    <row r="249" spans="1:68" ht="14.25" hidden="1" customHeight="1" x14ac:dyDescent="0.25">
      <c r="A249" s="648" t="s">
        <v>419</v>
      </c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  <c r="Y249" s="647"/>
      <c r="Z249" s="647"/>
      <c r="AA249" s="631"/>
      <c r="AB249" s="631"/>
      <c r="AC249" s="631"/>
    </row>
    <row r="250" spans="1:68" ht="27" customHeight="1" x14ac:dyDescent="0.25">
      <c r="A250" s="54" t="s">
        <v>420</v>
      </c>
      <c r="B250" s="54" t="s">
        <v>421</v>
      </c>
      <c r="C250" s="31">
        <v>4301170013</v>
      </c>
      <c r="D250" s="641">
        <v>4680115886797</v>
      </c>
      <c r="E250" s="642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2"/>
      <c r="R250" s="652"/>
      <c r="S250" s="652"/>
      <c r="T250" s="653"/>
      <c r="U250" s="34"/>
      <c r="V250" s="34"/>
      <c r="W250" s="35" t="s">
        <v>67</v>
      </c>
      <c r="X250" s="635">
        <v>13</v>
      </c>
      <c r="Y250" s="636">
        <f>IFERROR(IF(X250="",0,CEILING((X250/$H250),1)*$H250),"")</f>
        <v>13.86</v>
      </c>
      <c r="Z250" s="36">
        <f>IFERROR(IF(Y250=0,"",ROUNDUP(Y250/H250,0)*0.0059),"")</f>
        <v>6.4899999999999999E-2</v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14.960317460317459</v>
      </c>
      <c r="BN250" s="64">
        <f>IFERROR(Y250*I250/H250,"0")</f>
        <v>15.949999999999998</v>
      </c>
      <c r="BO250" s="64">
        <f>IFERROR(1/J250*(X250/H250),"0")</f>
        <v>4.776601998824221E-2</v>
      </c>
      <c r="BP250" s="64">
        <f>IFERROR(1/J250*(Y250/H250),"0")</f>
        <v>5.0925925925925923E-2</v>
      </c>
    </row>
    <row r="251" spans="1:68" x14ac:dyDescent="0.2">
      <c r="A251" s="649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50"/>
      <c r="P251" s="643" t="s">
        <v>69</v>
      </c>
      <c r="Q251" s="644"/>
      <c r="R251" s="644"/>
      <c r="S251" s="644"/>
      <c r="T251" s="644"/>
      <c r="U251" s="644"/>
      <c r="V251" s="645"/>
      <c r="W251" s="37" t="s">
        <v>70</v>
      </c>
      <c r="X251" s="637">
        <f>IFERROR(X250/H250,"0")</f>
        <v>10.317460317460318</v>
      </c>
      <c r="Y251" s="637">
        <f>IFERROR(Y250/H250,"0")</f>
        <v>11</v>
      </c>
      <c r="Z251" s="637">
        <f>IFERROR(IF(Z250="",0,Z250),"0")</f>
        <v>6.4899999999999999E-2</v>
      </c>
      <c r="AA251" s="638"/>
      <c r="AB251" s="638"/>
      <c r="AC251" s="638"/>
    </row>
    <row r="252" spans="1:68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50"/>
      <c r="P252" s="643" t="s">
        <v>69</v>
      </c>
      <c r="Q252" s="644"/>
      <c r="R252" s="644"/>
      <c r="S252" s="644"/>
      <c r="T252" s="644"/>
      <c r="U252" s="644"/>
      <c r="V252" s="645"/>
      <c r="W252" s="37" t="s">
        <v>67</v>
      </c>
      <c r="X252" s="637">
        <f>IFERROR(SUM(X250:X250),"0")</f>
        <v>13</v>
      </c>
      <c r="Y252" s="637">
        <f>IFERROR(SUM(Y250:Y250),"0")</f>
        <v>13.86</v>
      </c>
      <c r="Z252" s="37"/>
      <c r="AA252" s="638"/>
      <c r="AB252" s="638"/>
      <c r="AC252" s="638"/>
    </row>
    <row r="253" spans="1:68" ht="16.5" hidden="1" customHeight="1" x14ac:dyDescent="0.25">
      <c r="A253" s="646" t="s">
        <v>422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0"/>
      <c r="AB253" s="630"/>
      <c r="AC253" s="630"/>
    </row>
    <row r="254" spans="1:68" ht="14.25" hidden="1" customHeight="1" x14ac:dyDescent="0.25">
      <c r="A254" s="648" t="s">
        <v>119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1">
        <v>4680115881402</v>
      </c>
      <c r="E255" s="642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2"/>
      <c r="R255" s="652"/>
      <c r="S255" s="652"/>
      <c r="T255" s="653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1">
        <v>4680115881396</v>
      </c>
      <c r="E256" s="642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2"/>
      <c r="R256" s="652"/>
      <c r="S256" s="652"/>
      <c r="T256" s="653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9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50"/>
      <c r="P257" s="643" t="s">
        <v>69</v>
      </c>
      <c r="Q257" s="644"/>
      <c r="R257" s="644"/>
      <c r="S257" s="644"/>
      <c r="T257" s="644"/>
      <c r="U257" s="644"/>
      <c r="V257" s="645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50"/>
      <c r="P258" s="643" t="s">
        <v>69</v>
      </c>
      <c r="Q258" s="644"/>
      <c r="R258" s="644"/>
      <c r="S258" s="644"/>
      <c r="T258" s="644"/>
      <c r="U258" s="644"/>
      <c r="V258" s="64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8" t="s">
        <v>155</v>
      </c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  <c r="Y259" s="647"/>
      <c r="Z259" s="647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1">
        <v>4680115882935</v>
      </c>
      <c r="E260" s="642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2"/>
      <c r="R260" s="652"/>
      <c r="S260" s="652"/>
      <c r="T260" s="653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1">
        <v>4680115880764</v>
      </c>
      <c r="E261" s="642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2"/>
      <c r="R261" s="652"/>
      <c r="S261" s="652"/>
      <c r="T261" s="653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9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50"/>
      <c r="P262" s="643" t="s">
        <v>69</v>
      </c>
      <c r="Q262" s="644"/>
      <c r="R262" s="644"/>
      <c r="S262" s="644"/>
      <c r="T262" s="644"/>
      <c r="U262" s="644"/>
      <c r="V262" s="645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50"/>
      <c r="P263" s="643" t="s">
        <v>69</v>
      </c>
      <c r="Q263" s="644"/>
      <c r="R263" s="644"/>
      <c r="S263" s="644"/>
      <c r="T263" s="644"/>
      <c r="U263" s="644"/>
      <c r="V263" s="645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8" t="s">
        <v>62</v>
      </c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  <c r="Y264" s="647"/>
      <c r="Z264" s="647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41">
        <v>4680115882683</v>
      </c>
      <c r="E265" s="642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2"/>
      <c r="R265" s="652"/>
      <c r="S265" s="652"/>
      <c r="T265" s="653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41">
        <v>4680115882690</v>
      </c>
      <c r="E266" s="642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2"/>
      <c r="R266" s="652"/>
      <c r="S266" s="652"/>
      <c r="T266" s="653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41">
        <v>4680115882669</v>
      </c>
      <c r="E267" s="642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1">
        <v>4680115882676</v>
      </c>
      <c r="E268" s="642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2"/>
      <c r="R268" s="652"/>
      <c r="S268" s="652"/>
      <c r="T268" s="653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41">
        <v>4680115884014</v>
      </c>
      <c r="E269" s="642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2"/>
      <c r="R269" s="652"/>
      <c r="S269" s="652"/>
      <c r="T269" s="653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41">
        <v>4680115884007</v>
      </c>
      <c r="E270" s="642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2"/>
      <c r="R270" s="652"/>
      <c r="S270" s="652"/>
      <c r="T270" s="653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1">
        <v>4680115884038</v>
      </c>
      <c r="E271" s="642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2"/>
      <c r="R271" s="652"/>
      <c r="S271" s="652"/>
      <c r="T271" s="653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41">
        <v>4680115884021</v>
      </c>
      <c r="E272" s="642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hidden="1" x14ac:dyDescent="0.2">
      <c r="A273" s="649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50"/>
      <c r="P273" s="643" t="s">
        <v>69</v>
      </c>
      <c r="Q273" s="644"/>
      <c r="R273" s="644"/>
      <c r="S273" s="644"/>
      <c r="T273" s="644"/>
      <c r="U273" s="644"/>
      <c r="V273" s="645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0</v>
      </c>
      <c r="Y273" s="637">
        <f>IFERROR(Y265/H265,"0")+IFERROR(Y266/H266,"0")+IFERROR(Y267/H267,"0")+IFERROR(Y268/H268,"0")+IFERROR(Y269/H269,"0")+IFERROR(Y270/H270,"0")+IFERROR(Y271/H271,"0")+IFERROR(Y272/H272,"0")</f>
        <v>0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38"/>
      <c r="AB273" s="638"/>
      <c r="AC273" s="638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50"/>
      <c r="P274" s="643" t="s">
        <v>69</v>
      </c>
      <c r="Q274" s="644"/>
      <c r="R274" s="644"/>
      <c r="S274" s="644"/>
      <c r="T274" s="644"/>
      <c r="U274" s="644"/>
      <c r="V274" s="645"/>
      <c r="W274" s="37" t="s">
        <v>67</v>
      </c>
      <c r="X274" s="637">
        <f>IFERROR(SUM(X265:X272),"0")</f>
        <v>0</v>
      </c>
      <c r="Y274" s="637">
        <f>IFERROR(SUM(Y265:Y272),"0")</f>
        <v>0</v>
      </c>
      <c r="Z274" s="37"/>
      <c r="AA274" s="638"/>
      <c r="AB274" s="638"/>
      <c r="AC274" s="638"/>
    </row>
    <row r="275" spans="1:68" ht="14.25" hidden="1" customHeight="1" x14ac:dyDescent="0.25">
      <c r="A275" s="648" t="s">
        <v>71</v>
      </c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  <c r="Y275" s="647"/>
      <c r="Z275" s="647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1">
        <v>4680115889873</v>
      </c>
      <c r="E276" s="642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77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2"/>
      <c r="R276" s="652"/>
      <c r="S276" s="652"/>
      <c r="T276" s="653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41">
        <v>4680115881594</v>
      </c>
      <c r="E277" s="642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41">
        <v>4680115881617</v>
      </c>
      <c r="E278" s="642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2"/>
      <c r="R278" s="652"/>
      <c r="S278" s="652"/>
      <c r="T278" s="653"/>
      <c r="U278" s="34"/>
      <c r="V278" s="34"/>
      <c r="W278" s="35" t="s">
        <v>67</v>
      </c>
      <c r="X278" s="635">
        <v>113</v>
      </c>
      <c r="Y278" s="636">
        <f t="shared" si="36"/>
        <v>113.39999999999999</v>
      </c>
      <c r="Z278" s="36">
        <f>IFERROR(IF(Y278=0,"",ROUNDUP(Y278/H278,0)*0.01898),"")</f>
        <v>0.26572000000000001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119.64049382716051</v>
      </c>
      <c r="BN278" s="64">
        <f t="shared" si="38"/>
        <v>120.06399999999999</v>
      </c>
      <c r="BO278" s="64">
        <f t="shared" si="39"/>
        <v>0.21797839506172839</v>
      </c>
      <c r="BP278" s="64">
        <f t="shared" si="40"/>
        <v>0.21875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1">
        <v>4680115880573</v>
      </c>
      <c r="E279" s="642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41">
        <v>4680115882195</v>
      </c>
      <c r="E280" s="642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2"/>
      <c r="R280" s="652"/>
      <c r="S280" s="652"/>
      <c r="T280" s="653"/>
      <c r="U280" s="34"/>
      <c r="V280" s="34"/>
      <c r="W280" s="35" t="s">
        <v>67</v>
      </c>
      <c r="X280" s="635">
        <v>79</v>
      </c>
      <c r="Y280" s="636">
        <f t="shared" si="36"/>
        <v>79.2</v>
      </c>
      <c r="Z280" s="36">
        <f>IFERROR(IF(Y280=0,"",ROUNDUP(Y280/H280,0)*0.00651),"")</f>
        <v>0.21482999999999999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87.887500000000003</v>
      </c>
      <c r="BN280" s="64">
        <f t="shared" si="38"/>
        <v>88.11</v>
      </c>
      <c r="BO280" s="64">
        <f t="shared" si="39"/>
        <v>0.18086080586080591</v>
      </c>
      <c r="BP280" s="64">
        <f t="shared" si="40"/>
        <v>0.18131868131868134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1">
        <v>4680115882607</v>
      </c>
      <c r="E281" s="642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2"/>
      <c r="R281" s="652"/>
      <c r="S281" s="652"/>
      <c r="T281" s="653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1">
        <v>4680115880092</v>
      </c>
      <c r="E282" s="642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2"/>
      <c r="R282" s="652"/>
      <c r="S282" s="652"/>
      <c r="T282" s="653"/>
      <c r="U282" s="34"/>
      <c r="V282" s="34"/>
      <c r="W282" s="35" t="s">
        <v>67</v>
      </c>
      <c r="X282" s="635">
        <v>437</v>
      </c>
      <c r="Y282" s="636">
        <f t="shared" si="36"/>
        <v>439.2</v>
      </c>
      <c r="Z282" s="36">
        <f>IFERROR(IF(Y282=0,"",ROUNDUP(Y282/H282,0)*0.00651),"")</f>
        <v>1.19133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482.88499999999999</v>
      </c>
      <c r="BN282" s="64">
        <f t="shared" si="38"/>
        <v>485.31599999999997</v>
      </c>
      <c r="BO282" s="64">
        <f t="shared" si="39"/>
        <v>1.0004578754578757</v>
      </c>
      <c r="BP282" s="64">
        <f t="shared" si="40"/>
        <v>1.0054945054945055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1">
        <v>4680115889064</v>
      </c>
      <c r="E283" s="642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41">
        <v>4680115880221</v>
      </c>
      <c r="E284" s="642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2"/>
      <c r="R284" s="652"/>
      <c r="S284" s="652"/>
      <c r="T284" s="653"/>
      <c r="U284" s="34"/>
      <c r="V284" s="34"/>
      <c r="W284" s="35" t="s">
        <v>67</v>
      </c>
      <c r="X284" s="635">
        <v>123</v>
      </c>
      <c r="Y284" s="636">
        <f t="shared" si="36"/>
        <v>124.8</v>
      </c>
      <c r="Z284" s="36">
        <f>IFERROR(IF(Y284=0,"",ROUNDUP(Y284/H284,0)*0.00651),"")</f>
        <v>0.33851999999999999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135.91500000000002</v>
      </c>
      <c r="BN284" s="64">
        <f t="shared" si="38"/>
        <v>137.90400000000002</v>
      </c>
      <c r="BO284" s="64">
        <f t="shared" si="39"/>
        <v>0.28159340659340659</v>
      </c>
      <c r="BP284" s="64">
        <f t="shared" si="40"/>
        <v>0.28571428571428575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41">
        <v>4680115880504</v>
      </c>
      <c r="E285" s="642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2"/>
      <c r="R285" s="652"/>
      <c r="S285" s="652"/>
      <c r="T285" s="653"/>
      <c r="U285" s="34"/>
      <c r="V285" s="34"/>
      <c r="W285" s="35" t="s">
        <v>67</v>
      </c>
      <c r="X285" s="635">
        <v>27</v>
      </c>
      <c r="Y285" s="636">
        <f t="shared" si="36"/>
        <v>28.799999999999997</v>
      </c>
      <c r="Z285" s="36">
        <f>IFERROR(IF(Y285=0,"",ROUNDUP(Y285/H285,0)*0.00651),"")</f>
        <v>7.8119999999999995E-2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29.835000000000001</v>
      </c>
      <c r="BN285" s="64">
        <f t="shared" si="38"/>
        <v>31.824000000000002</v>
      </c>
      <c r="BO285" s="64">
        <f t="shared" si="39"/>
        <v>6.1813186813186816E-2</v>
      </c>
      <c r="BP285" s="64">
        <f t="shared" si="40"/>
        <v>6.5934065934065936E-2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41">
        <v>4680115882164</v>
      </c>
      <c r="E286" s="642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35">
        <v>114</v>
      </c>
      <c r="Y286" s="636">
        <f t="shared" si="36"/>
        <v>115.19999999999999</v>
      </c>
      <c r="Z286" s="36">
        <f>IFERROR(IF(Y286=0,"",ROUNDUP(Y286/H286,0)*0.00651),"")</f>
        <v>0.31247999999999998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126.25500000000001</v>
      </c>
      <c r="BN286" s="64">
        <f t="shared" si="38"/>
        <v>127.584</v>
      </c>
      <c r="BO286" s="64">
        <f t="shared" si="39"/>
        <v>0.26098901098901101</v>
      </c>
      <c r="BP286" s="64">
        <f t="shared" si="40"/>
        <v>0.26373626373626374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1">
        <v>4680115888340</v>
      </c>
      <c r="E287" s="642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4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49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50"/>
      <c r="P288" s="643" t="s">
        <v>69</v>
      </c>
      <c r="Q288" s="644"/>
      <c r="R288" s="644"/>
      <c r="S288" s="644"/>
      <c r="T288" s="644"/>
      <c r="U288" s="644"/>
      <c r="V288" s="645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338.95061728395063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342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2.4010000000000002</v>
      </c>
      <c r="AA288" s="638"/>
      <c r="AB288" s="638"/>
      <c r="AC288" s="638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50"/>
      <c r="P289" s="643" t="s">
        <v>69</v>
      </c>
      <c r="Q289" s="644"/>
      <c r="R289" s="644"/>
      <c r="S289" s="644"/>
      <c r="T289" s="644"/>
      <c r="U289" s="644"/>
      <c r="V289" s="645"/>
      <c r="W289" s="37" t="s">
        <v>67</v>
      </c>
      <c r="X289" s="637">
        <f>IFERROR(SUM(X276:X287),"0")</f>
        <v>893</v>
      </c>
      <c r="Y289" s="637">
        <f>IFERROR(SUM(Y276:Y287),"0")</f>
        <v>900.59999999999991</v>
      </c>
      <c r="Z289" s="37"/>
      <c r="AA289" s="638"/>
      <c r="AB289" s="638"/>
      <c r="AC289" s="638"/>
    </row>
    <row r="290" spans="1:68" ht="14.25" hidden="1" customHeight="1" x14ac:dyDescent="0.25">
      <c r="A290" s="648" t="s">
        <v>173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31"/>
      <c r="AB290" s="631"/>
      <c r="AC290" s="631"/>
    </row>
    <row r="291" spans="1:68" ht="27" customHeight="1" x14ac:dyDescent="0.25">
      <c r="A291" s="54" t="s">
        <v>485</v>
      </c>
      <c r="B291" s="54" t="s">
        <v>486</v>
      </c>
      <c r="C291" s="31">
        <v>4301060463</v>
      </c>
      <c r="D291" s="641">
        <v>4680115880818</v>
      </c>
      <c r="E291" s="642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35">
        <v>4</v>
      </c>
      <c r="Y291" s="636">
        <f>IFERROR(IF(X291="",0,CEILING((X291/$H291),1)*$H291),"")</f>
        <v>4.8</v>
      </c>
      <c r="Z291" s="36">
        <f>IFERROR(IF(Y291=0,"",ROUNDUP(Y291/H291,0)*0.00651),"")</f>
        <v>1.302E-2</v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4.4200000000000008</v>
      </c>
      <c r="BN291" s="64">
        <f>IFERROR(Y291*I291/H291,"0")</f>
        <v>5.3040000000000003</v>
      </c>
      <c r="BO291" s="64">
        <f>IFERROR(1/J291*(X291/H291),"0")</f>
        <v>9.1575091575091579E-3</v>
      </c>
      <c r="BP291" s="64">
        <f>IFERROR(1/J291*(Y291/H291),"0")</f>
        <v>1.098901098901099E-2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1">
        <v>4680115880801</v>
      </c>
      <c r="E292" s="642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2"/>
      <c r="R292" s="652"/>
      <c r="S292" s="652"/>
      <c r="T292" s="653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49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50"/>
      <c r="P293" s="643" t="s">
        <v>69</v>
      </c>
      <c r="Q293" s="644"/>
      <c r="R293" s="644"/>
      <c r="S293" s="644"/>
      <c r="T293" s="644"/>
      <c r="U293" s="644"/>
      <c r="V293" s="645"/>
      <c r="W293" s="37" t="s">
        <v>70</v>
      </c>
      <c r="X293" s="637">
        <f>IFERROR(X291/H291,"0")+IFERROR(X292/H292,"0")</f>
        <v>1.6666666666666667</v>
      </c>
      <c r="Y293" s="637">
        <f>IFERROR(Y291/H291,"0")+IFERROR(Y292/H292,"0")</f>
        <v>2</v>
      </c>
      <c r="Z293" s="637">
        <f>IFERROR(IF(Z291="",0,Z291),"0")+IFERROR(IF(Z292="",0,Z292),"0")</f>
        <v>1.302E-2</v>
      </c>
      <c r="AA293" s="638"/>
      <c r="AB293" s="638"/>
      <c r="AC293" s="638"/>
    </row>
    <row r="294" spans="1:68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50"/>
      <c r="P294" s="643" t="s">
        <v>69</v>
      </c>
      <c r="Q294" s="644"/>
      <c r="R294" s="644"/>
      <c r="S294" s="644"/>
      <c r="T294" s="644"/>
      <c r="U294" s="644"/>
      <c r="V294" s="645"/>
      <c r="W294" s="37" t="s">
        <v>67</v>
      </c>
      <c r="X294" s="637">
        <f>IFERROR(SUM(X291:X292),"0")</f>
        <v>4</v>
      </c>
      <c r="Y294" s="637">
        <f>IFERROR(SUM(Y291:Y292),"0")</f>
        <v>4.8</v>
      </c>
      <c r="Z294" s="37"/>
      <c r="AA294" s="638"/>
      <c r="AB294" s="638"/>
      <c r="AC294" s="638"/>
    </row>
    <row r="295" spans="1:68" ht="16.5" hidden="1" customHeight="1" x14ac:dyDescent="0.25">
      <c r="A295" s="646" t="s">
        <v>491</v>
      </c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  <c r="Y295" s="647"/>
      <c r="Z295" s="647"/>
      <c r="AA295" s="630"/>
      <c r="AB295" s="630"/>
      <c r="AC295" s="630"/>
    </row>
    <row r="296" spans="1:68" ht="14.25" hidden="1" customHeight="1" x14ac:dyDescent="0.25">
      <c r="A296" s="648" t="s">
        <v>119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1">
        <v>4680115884137</v>
      </c>
      <c r="E297" s="642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2"/>
      <c r="R297" s="652"/>
      <c r="S297" s="652"/>
      <c r="T297" s="653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1">
        <v>4680115884236</v>
      </c>
      <c r="E298" s="642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1">
        <v>4680115884175</v>
      </c>
      <c r="E299" s="642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1">
        <v>4680115884144</v>
      </c>
      <c r="E300" s="642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2"/>
      <c r="R300" s="652"/>
      <c r="S300" s="652"/>
      <c r="T300" s="653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1">
        <v>4680115886551</v>
      </c>
      <c r="E301" s="642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2"/>
      <c r="R301" s="652"/>
      <c r="S301" s="652"/>
      <c r="T301" s="653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1">
        <v>4680115887282</v>
      </c>
      <c r="E302" s="642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9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2"/>
      <c r="R302" s="652"/>
      <c r="S302" s="652"/>
      <c r="T302" s="653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1">
        <v>4680115884205</v>
      </c>
      <c r="E303" s="642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2"/>
      <c r="R303" s="652"/>
      <c r="S303" s="652"/>
      <c r="T303" s="653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49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50"/>
      <c r="P304" s="643" t="s">
        <v>69</v>
      </c>
      <c r="Q304" s="644"/>
      <c r="R304" s="644"/>
      <c r="S304" s="644"/>
      <c r="T304" s="644"/>
      <c r="U304" s="644"/>
      <c r="V304" s="645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50"/>
      <c r="P305" s="643" t="s">
        <v>69</v>
      </c>
      <c r="Q305" s="644"/>
      <c r="R305" s="644"/>
      <c r="S305" s="644"/>
      <c r="T305" s="644"/>
      <c r="U305" s="644"/>
      <c r="V305" s="645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8" t="s">
        <v>155</v>
      </c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  <c r="Y306" s="647"/>
      <c r="Z306" s="647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1">
        <v>4680115885981</v>
      </c>
      <c r="E307" s="642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9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50"/>
      <c r="P308" s="643" t="s">
        <v>69</v>
      </c>
      <c r="Q308" s="644"/>
      <c r="R308" s="644"/>
      <c r="S308" s="644"/>
      <c r="T308" s="644"/>
      <c r="U308" s="644"/>
      <c r="V308" s="645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50"/>
      <c r="P309" s="643" t="s">
        <v>69</v>
      </c>
      <c r="Q309" s="644"/>
      <c r="R309" s="644"/>
      <c r="S309" s="644"/>
      <c r="T309" s="644"/>
      <c r="U309" s="644"/>
      <c r="V309" s="645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8" t="s">
        <v>513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31"/>
      <c r="AB310" s="631"/>
      <c r="AC310" s="631"/>
    </row>
    <row r="311" spans="1:68" ht="27" customHeight="1" x14ac:dyDescent="0.25">
      <c r="A311" s="54" t="s">
        <v>514</v>
      </c>
      <c r="B311" s="54" t="s">
        <v>515</v>
      </c>
      <c r="C311" s="31">
        <v>4301040362</v>
      </c>
      <c r="D311" s="641">
        <v>4680115886803</v>
      </c>
      <c r="E311" s="642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2"/>
      <c r="R311" s="652"/>
      <c r="S311" s="652"/>
      <c r="T311" s="653"/>
      <c r="U311" s="34"/>
      <c r="V311" s="34"/>
      <c r="W311" s="35" t="s">
        <v>67</v>
      </c>
      <c r="X311" s="635">
        <v>1</v>
      </c>
      <c r="Y311" s="636">
        <f>IFERROR(IF(X311="",0,CEILING((X311/$H311),1)*$H311),"")</f>
        <v>1.8</v>
      </c>
      <c r="Z311" s="36">
        <f>IFERROR(IF(Y311=0,"",ROUNDUP(Y311/H311,0)*0.0059),"")</f>
        <v>5.8999999999999999E-3</v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1.0972222222222223</v>
      </c>
      <c r="BN311" s="64">
        <f>IFERROR(Y311*I311/H311,"0")</f>
        <v>1.9750000000000001</v>
      </c>
      <c r="BO311" s="64">
        <f>IFERROR(1/J311*(X311/H311),"0")</f>
        <v>2.5720164609053498E-3</v>
      </c>
      <c r="BP311" s="64">
        <f>IFERROR(1/J311*(Y311/H311),"0")</f>
        <v>4.6296296296296294E-3</v>
      </c>
    </row>
    <row r="312" spans="1:68" x14ac:dyDescent="0.2">
      <c r="A312" s="649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50"/>
      <c r="P312" s="643" t="s">
        <v>69</v>
      </c>
      <c r="Q312" s="644"/>
      <c r="R312" s="644"/>
      <c r="S312" s="644"/>
      <c r="T312" s="644"/>
      <c r="U312" s="644"/>
      <c r="V312" s="645"/>
      <c r="W312" s="37" t="s">
        <v>70</v>
      </c>
      <c r="X312" s="637">
        <f>IFERROR(X311/H311,"0")</f>
        <v>0.55555555555555558</v>
      </c>
      <c r="Y312" s="637">
        <f>IFERROR(Y311/H311,"0")</f>
        <v>1</v>
      </c>
      <c r="Z312" s="637">
        <f>IFERROR(IF(Z311="",0,Z311),"0")</f>
        <v>5.8999999999999999E-3</v>
      </c>
      <c r="AA312" s="638"/>
      <c r="AB312" s="638"/>
      <c r="AC312" s="638"/>
    </row>
    <row r="313" spans="1:68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50"/>
      <c r="P313" s="643" t="s">
        <v>69</v>
      </c>
      <c r="Q313" s="644"/>
      <c r="R313" s="644"/>
      <c r="S313" s="644"/>
      <c r="T313" s="644"/>
      <c r="U313" s="644"/>
      <c r="V313" s="645"/>
      <c r="W313" s="37" t="s">
        <v>67</v>
      </c>
      <c r="X313" s="637">
        <f>IFERROR(SUM(X311:X311),"0")</f>
        <v>1</v>
      </c>
      <c r="Y313" s="637">
        <f>IFERROR(SUM(Y311:Y311),"0")</f>
        <v>1.8</v>
      </c>
      <c r="Z313" s="37"/>
      <c r="AA313" s="638"/>
      <c r="AB313" s="638"/>
      <c r="AC313" s="638"/>
    </row>
    <row r="314" spans="1:68" ht="14.25" hidden="1" customHeight="1" x14ac:dyDescent="0.25">
      <c r="A314" s="648" t="s">
        <v>333</v>
      </c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  <c r="Y314" s="647"/>
      <c r="Z314" s="647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1">
        <v>4680115886681</v>
      </c>
      <c r="E315" s="642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2"/>
      <c r="R315" s="652"/>
      <c r="S315" s="652"/>
      <c r="T315" s="653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1">
        <v>4680115886735</v>
      </c>
      <c r="E316" s="642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2"/>
      <c r="R316" s="652"/>
      <c r="S316" s="652"/>
      <c r="T316" s="653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1">
        <v>4680115886728</v>
      </c>
      <c r="E317" s="642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2"/>
      <c r="R317" s="652"/>
      <c r="S317" s="652"/>
      <c r="T317" s="653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1">
        <v>4680115886711</v>
      </c>
      <c r="E318" s="642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49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50"/>
      <c r="P319" s="643" t="s">
        <v>69</v>
      </c>
      <c r="Q319" s="644"/>
      <c r="R319" s="644"/>
      <c r="S319" s="644"/>
      <c r="T319" s="644"/>
      <c r="U319" s="644"/>
      <c r="V319" s="645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7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50"/>
      <c r="P320" s="643" t="s">
        <v>69</v>
      </c>
      <c r="Q320" s="644"/>
      <c r="R320" s="644"/>
      <c r="S320" s="644"/>
      <c r="T320" s="644"/>
      <c r="U320" s="644"/>
      <c r="V320" s="645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6" t="s">
        <v>526</v>
      </c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  <c r="Y321" s="647"/>
      <c r="Z321" s="647"/>
      <c r="AA321" s="630"/>
      <c r="AB321" s="630"/>
      <c r="AC321" s="630"/>
    </row>
    <row r="322" spans="1:68" ht="14.25" hidden="1" customHeight="1" x14ac:dyDescent="0.25">
      <c r="A322" s="648" t="s">
        <v>119</v>
      </c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  <c r="Y322" s="647"/>
      <c r="Z322" s="647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1">
        <v>4680115885837</v>
      </c>
      <c r="E323" s="642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1">
        <v>4680115887077</v>
      </c>
      <c r="E324" s="642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1">
        <v>4680115889637</v>
      </c>
      <c r="E325" s="642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2"/>
      <c r="R325" s="652"/>
      <c r="S325" s="652"/>
      <c r="T325" s="653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1">
        <v>4680115887237</v>
      </c>
      <c r="E326" s="642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2"/>
      <c r="R326" s="652"/>
      <c r="S326" s="652"/>
      <c r="T326" s="653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1">
        <v>4680115885806</v>
      </c>
      <c r="E327" s="642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2"/>
      <c r="R327" s="652"/>
      <c r="S327" s="652"/>
      <c r="T327" s="653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1">
        <v>4680115885844</v>
      </c>
      <c r="E328" s="642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2"/>
      <c r="R328" s="652"/>
      <c r="S328" s="652"/>
      <c r="T328" s="653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1">
        <v>4680115885820</v>
      </c>
      <c r="E329" s="642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49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50"/>
      <c r="P330" s="643" t="s">
        <v>69</v>
      </c>
      <c r="Q330" s="644"/>
      <c r="R330" s="644"/>
      <c r="S330" s="644"/>
      <c r="T330" s="644"/>
      <c r="U330" s="644"/>
      <c r="V330" s="645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7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50"/>
      <c r="P331" s="643" t="s">
        <v>69</v>
      </c>
      <c r="Q331" s="644"/>
      <c r="R331" s="644"/>
      <c r="S331" s="644"/>
      <c r="T331" s="644"/>
      <c r="U331" s="644"/>
      <c r="V331" s="645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6" t="s">
        <v>548</v>
      </c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  <c r="Y332" s="647"/>
      <c r="Z332" s="647"/>
      <c r="AA332" s="630"/>
      <c r="AB332" s="630"/>
      <c r="AC332" s="630"/>
    </row>
    <row r="333" spans="1:68" ht="14.25" hidden="1" customHeight="1" x14ac:dyDescent="0.25">
      <c r="A333" s="648" t="s">
        <v>71</v>
      </c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  <c r="Y333" s="647"/>
      <c r="Z333" s="647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1">
        <v>4680115886186</v>
      </c>
      <c r="E334" s="642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2"/>
      <c r="R334" s="652"/>
      <c r="S334" s="652"/>
      <c r="T334" s="653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41">
        <v>4680115881228</v>
      </c>
      <c r="E335" s="642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2"/>
      <c r="R335" s="652"/>
      <c r="S335" s="652"/>
      <c r="T335" s="653"/>
      <c r="U335" s="34"/>
      <c r="V335" s="34"/>
      <c r="W335" s="35" t="s">
        <v>67</v>
      </c>
      <c r="X335" s="635">
        <v>80</v>
      </c>
      <c r="Y335" s="636">
        <f>IFERROR(IF(X335="",0,CEILING((X335/$H335),1)*$H335),"")</f>
        <v>81.599999999999994</v>
      </c>
      <c r="Z335" s="36">
        <f>IFERROR(IF(Y335=0,"",ROUNDUP(Y335/H335,0)*0.00651),"")</f>
        <v>0.22134000000000001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88.40000000000002</v>
      </c>
      <c r="BN335" s="64">
        <f>IFERROR(Y335*I335/H335,"0")</f>
        <v>90.168000000000006</v>
      </c>
      <c r="BO335" s="64">
        <f>IFERROR(1/J335*(X335/H335),"0")</f>
        <v>0.18315018315018317</v>
      </c>
      <c r="BP335" s="64">
        <f>IFERROR(1/J335*(Y335/H335),"0")</f>
        <v>0.18681318681318682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41">
        <v>4680115881211</v>
      </c>
      <c r="E336" s="642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2"/>
      <c r="R336" s="652"/>
      <c r="S336" s="652"/>
      <c r="T336" s="653"/>
      <c r="U336" s="34"/>
      <c r="V336" s="34"/>
      <c r="W336" s="35" t="s">
        <v>67</v>
      </c>
      <c r="X336" s="635">
        <v>184</v>
      </c>
      <c r="Y336" s="636">
        <f>IFERROR(IF(X336="",0,CEILING((X336/$H336),1)*$H336),"")</f>
        <v>184.79999999999998</v>
      </c>
      <c r="Z336" s="36">
        <f>IFERROR(IF(Y336=0,"",ROUNDUP(Y336/H336,0)*0.00651),"")</f>
        <v>0.50126999999999999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197.8</v>
      </c>
      <c r="BN336" s="64">
        <f>IFERROR(Y336*I336/H336,"0")</f>
        <v>198.66</v>
      </c>
      <c r="BO336" s="64">
        <f>IFERROR(1/J336*(X336/H336),"0")</f>
        <v>0.4212454212454213</v>
      </c>
      <c r="BP336" s="64">
        <f>IFERROR(1/J336*(Y336/H336),"0")</f>
        <v>0.42307692307692313</v>
      </c>
    </row>
    <row r="337" spans="1:68" x14ac:dyDescent="0.2">
      <c r="A337" s="649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50"/>
      <c r="P337" s="643" t="s">
        <v>69</v>
      </c>
      <c r="Q337" s="644"/>
      <c r="R337" s="644"/>
      <c r="S337" s="644"/>
      <c r="T337" s="644"/>
      <c r="U337" s="644"/>
      <c r="V337" s="645"/>
      <c r="W337" s="37" t="s">
        <v>70</v>
      </c>
      <c r="X337" s="637">
        <f>IFERROR(X334/H334,"0")+IFERROR(X335/H335,"0")+IFERROR(X336/H336,"0")</f>
        <v>110</v>
      </c>
      <c r="Y337" s="637">
        <f>IFERROR(Y334/H334,"0")+IFERROR(Y335/H335,"0")+IFERROR(Y336/H336,"0")</f>
        <v>111</v>
      </c>
      <c r="Z337" s="637">
        <f>IFERROR(IF(Z334="",0,Z334),"0")+IFERROR(IF(Z335="",0,Z335),"0")+IFERROR(IF(Z336="",0,Z336),"0")</f>
        <v>0.72260999999999997</v>
      </c>
      <c r="AA337" s="638"/>
      <c r="AB337" s="638"/>
      <c r="AC337" s="638"/>
    </row>
    <row r="338" spans="1:68" x14ac:dyDescent="0.2">
      <c r="A338" s="647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50"/>
      <c r="P338" s="643" t="s">
        <v>69</v>
      </c>
      <c r="Q338" s="644"/>
      <c r="R338" s="644"/>
      <c r="S338" s="644"/>
      <c r="T338" s="644"/>
      <c r="U338" s="644"/>
      <c r="V338" s="645"/>
      <c r="W338" s="37" t="s">
        <v>67</v>
      </c>
      <c r="X338" s="637">
        <f>IFERROR(SUM(X334:X336),"0")</f>
        <v>264</v>
      </c>
      <c r="Y338" s="637">
        <f>IFERROR(SUM(Y334:Y336),"0")</f>
        <v>266.39999999999998</v>
      </c>
      <c r="Z338" s="37"/>
      <c r="AA338" s="638"/>
      <c r="AB338" s="638"/>
      <c r="AC338" s="638"/>
    </row>
    <row r="339" spans="1:68" ht="16.5" hidden="1" customHeight="1" x14ac:dyDescent="0.25">
      <c r="A339" s="646" t="s">
        <v>557</v>
      </c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  <c r="Y339" s="647"/>
      <c r="Z339" s="647"/>
      <c r="AA339" s="630"/>
      <c r="AB339" s="630"/>
      <c r="AC339" s="630"/>
    </row>
    <row r="340" spans="1:68" ht="14.25" hidden="1" customHeight="1" x14ac:dyDescent="0.25">
      <c r="A340" s="648" t="s">
        <v>62</v>
      </c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  <c r="Y340" s="647"/>
      <c r="Z340" s="647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1">
        <v>4680115888319</v>
      </c>
      <c r="E341" s="642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2"/>
      <c r="R341" s="652"/>
      <c r="S341" s="652"/>
      <c r="T341" s="653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1">
        <v>4680115884700</v>
      </c>
      <c r="E342" s="642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2"/>
      <c r="R342" s="652"/>
      <c r="S342" s="652"/>
      <c r="T342" s="653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1">
        <v>4680115880344</v>
      </c>
      <c r="E343" s="642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2"/>
      <c r="R343" s="652"/>
      <c r="S343" s="652"/>
      <c r="T343" s="653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1">
        <v>4680115886919</v>
      </c>
      <c r="E344" s="642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2"/>
      <c r="R344" s="652"/>
      <c r="S344" s="652"/>
      <c r="T344" s="653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49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50"/>
      <c r="P345" s="643" t="s">
        <v>69</v>
      </c>
      <c r="Q345" s="644"/>
      <c r="R345" s="644"/>
      <c r="S345" s="644"/>
      <c r="T345" s="644"/>
      <c r="U345" s="644"/>
      <c r="V345" s="645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7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50"/>
      <c r="P346" s="643" t="s">
        <v>69</v>
      </c>
      <c r="Q346" s="644"/>
      <c r="R346" s="644"/>
      <c r="S346" s="644"/>
      <c r="T346" s="644"/>
      <c r="U346" s="644"/>
      <c r="V346" s="645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8" t="s">
        <v>71</v>
      </c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  <c r="Y347" s="647"/>
      <c r="Z347" s="647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1">
        <v>4680115884618</v>
      </c>
      <c r="E348" s="642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1">
        <v>4680115887114</v>
      </c>
      <c r="E349" s="642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1">
        <v>4680115887466</v>
      </c>
      <c r="E350" s="642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3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2"/>
      <c r="R350" s="652"/>
      <c r="S350" s="652"/>
      <c r="T350" s="653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49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50"/>
      <c r="P351" s="643" t="s">
        <v>69</v>
      </c>
      <c r="Q351" s="644"/>
      <c r="R351" s="644"/>
      <c r="S351" s="644"/>
      <c r="T351" s="644"/>
      <c r="U351" s="644"/>
      <c r="V351" s="645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7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50"/>
      <c r="P352" s="643" t="s">
        <v>69</v>
      </c>
      <c r="Q352" s="644"/>
      <c r="R352" s="644"/>
      <c r="S352" s="644"/>
      <c r="T352" s="644"/>
      <c r="U352" s="644"/>
      <c r="V352" s="645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6" t="s">
        <v>579</v>
      </c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  <c r="Y353" s="647"/>
      <c r="Z353" s="647"/>
      <c r="AA353" s="630"/>
      <c r="AB353" s="630"/>
      <c r="AC353" s="630"/>
    </row>
    <row r="354" spans="1:68" ht="14.25" hidden="1" customHeight="1" x14ac:dyDescent="0.25">
      <c r="A354" s="648" t="s">
        <v>62</v>
      </c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  <c r="Y354" s="647"/>
      <c r="Z354" s="647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1">
        <v>4680115886001</v>
      </c>
      <c r="E355" s="642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3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2"/>
      <c r="R355" s="652"/>
      <c r="S355" s="652"/>
      <c r="T355" s="653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9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50"/>
      <c r="P356" s="643" t="s">
        <v>69</v>
      </c>
      <c r="Q356" s="644"/>
      <c r="R356" s="644"/>
      <c r="S356" s="644"/>
      <c r="T356" s="644"/>
      <c r="U356" s="644"/>
      <c r="V356" s="645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7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50"/>
      <c r="P357" s="643" t="s">
        <v>69</v>
      </c>
      <c r="Q357" s="644"/>
      <c r="R357" s="644"/>
      <c r="S357" s="644"/>
      <c r="T357" s="644"/>
      <c r="U357" s="644"/>
      <c r="V357" s="64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8" t="s">
        <v>71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1">
        <v>4680115886087</v>
      </c>
      <c r="E359" s="642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49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50"/>
      <c r="P360" s="643" t="s">
        <v>69</v>
      </c>
      <c r="Q360" s="644"/>
      <c r="R360" s="644"/>
      <c r="S360" s="644"/>
      <c r="T360" s="644"/>
      <c r="U360" s="644"/>
      <c r="V360" s="645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7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50"/>
      <c r="P361" s="643" t="s">
        <v>69</v>
      </c>
      <c r="Q361" s="644"/>
      <c r="R361" s="644"/>
      <c r="S361" s="644"/>
      <c r="T361" s="644"/>
      <c r="U361" s="644"/>
      <c r="V361" s="645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6" t="s">
        <v>586</v>
      </c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  <c r="Y362" s="647"/>
      <c r="Z362" s="647"/>
      <c r="AA362" s="630"/>
      <c r="AB362" s="630"/>
      <c r="AC362" s="630"/>
    </row>
    <row r="363" spans="1:68" ht="14.25" hidden="1" customHeight="1" x14ac:dyDescent="0.25">
      <c r="A363" s="648" t="s">
        <v>119</v>
      </c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  <c r="Y363" s="647"/>
      <c r="Z363" s="647"/>
      <c r="AA363" s="631"/>
      <c r="AB363" s="631"/>
      <c r="AC363" s="631"/>
    </row>
    <row r="364" spans="1:68" ht="27" customHeight="1" x14ac:dyDescent="0.25">
      <c r="A364" s="54" t="s">
        <v>587</v>
      </c>
      <c r="B364" s="54" t="s">
        <v>588</v>
      </c>
      <c r="C364" s="31">
        <v>4301012324</v>
      </c>
      <c r="D364" s="641">
        <v>4680115887947</v>
      </c>
      <c r="E364" s="642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2"/>
      <c r="R364" s="652"/>
      <c r="S364" s="652"/>
      <c r="T364" s="653"/>
      <c r="U364" s="34"/>
      <c r="V364" s="34"/>
      <c r="W364" s="35" t="s">
        <v>67</v>
      </c>
      <c r="X364" s="635">
        <v>65</v>
      </c>
      <c r="Y364" s="636">
        <f>IFERROR(IF(X364="",0,CEILING((X364/$H364),1)*$H364),"")</f>
        <v>70.2</v>
      </c>
      <c r="Z364" s="36">
        <f>IFERROR(IF(Y364=0,"",ROUNDUP(Y364/H364,0)*0.01898),"")</f>
        <v>0.17082</v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68.416666666666686</v>
      </c>
      <c r="BN364" s="64">
        <f>IFERROR(Y364*I364/H364,"0")</f>
        <v>73.890000000000015</v>
      </c>
      <c r="BO364" s="64">
        <f>IFERROR(1/J364*(X364/H364),"0")</f>
        <v>0.13020833333333334</v>
      </c>
      <c r="BP364" s="64">
        <f>IFERROR(1/J364*(Y364/H364),"0")</f>
        <v>0.140625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41">
        <v>4680115887978</v>
      </c>
      <c r="E365" s="642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2"/>
      <c r="R365" s="652"/>
      <c r="S365" s="652"/>
      <c r="T365" s="653"/>
      <c r="U365" s="34"/>
      <c r="V365" s="34"/>
      <c r="W365" s="35" t="s">
        <v>67</v>
      </c>
      <c r="X365" s="635">
        <v>305</v>
      </c>
      <c r="Y365" s="636">
        <f>IFERROR(IF(X365="",0,CEILING((X365/$H365),1)*$H365),"")</f>
        <v>312</v>
      </c>
      <c r="Z365" s="36">
        <f>IFERROR(IF(Y365=0,"",ROUNDUP(Y365/H365,0)*0.01898),"")</f>
        <v>0.75919999999999999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321.03205128205133</v>
      </c>
      <c r="BN365" s="64">
        <f>IFERROR(Y365*I365/H365,"0")</f>
        <v>328.40000000000009</v>
      </c>
      <c r="BO365" s="64">
        <f>IFERROR(1/J365*(X365/H365),"0")</f>
        <v>0.6109775641025641</v>
      </c>
      <c r="BP365" s="64">
        <f>IFERROR(1/J365*(Y365/H365),"0")</f>
        <v>0.625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41">
        <v>4680115887992</v>
      </c>
      <c r="E366" s="642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49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50"/>
      <c r="P367" s="643" t="s">
        <v>69</v>
      </c>
      <c r="Q367" s="644"/>
      <c r="R367" s="644"/>
      <c r="S367" s="644"/>
      <c r="T367" s="644"/>
      <c r="U367" s="644"/>
      <c r="V367" s="645"/>
      <c r="W367" s="37" t="s">
        <v>70</v>
      </c>
      <c r="X367" s="637">
        <f>IFERROR(X364/H364,"0")+IFERROR(X365/H365,"0")+IFERROR(X366/H366,"0")</f>
        <v>47.435897435897438</v>
      </c>
      <c r="Y367" s="637">
        <f>IFERROR(Y364/H364,"0")+IFERROR(Y365/H365,"0")+IFERROR(Y366/H366,"0")</f>
        <v>49</v>
      </c>
      <c r="Z367" s="637">
        <f>IFERROR(IF(Z364="",0,Z364),"0")+IFERROR(IF(Z365="",0,Z365),"0")+IFERROR(IF(Z366="",0,Z366),"0")</f>
        <v>0.93001999999999996</v>
      </c>
      <c r="AA367" s="638"/>
      <c r="AB367" s="638"/>
      <c r="AC367" s="638"/>
    </row>
    <row r="368" spans="1:68" x14ac:dyDescent="0.2">
      <c r="A368" s="647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50"/>
      <c r="P368" s="643" t="s">
        <v>69</v>
      </c>
      <c r="Q368" s="644"/>
      <c r="R368" s="644"/>
      <c r="S368" s="644"/>
      <c r="T368" s="644"/>
      <c r="U368" s="644"/>
      <c r="V368" s="645"/>
      <c r="W368" s="37" t="s">
        <v>67</v>
      </c>
      <c r="X368" s="637">
        <f>IFERROR(SUM(X364:X366),"0")</f>
        <v>370</v>
      </c>
      <c r="Y368" s="637">
        <f>IFERROR(SUM(Y364:Y366),"0")</f>
        <v>382.2</v>
      </c>
      <c r="Z368" s="37"/>
      <c r="AA368" s="638"/>
      <c r="AB368" s="638"/>
      <c r="AC368" s="638"/>
    </row>
    <row r="369" spans="1:68" ht="16.5" hidden="1" customHeight="1" x14ac:dyDescent="0.25">
      <c r="A369" s="646" t="s">
        <v>595</v>
      </c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  <c r="Y369" s="647"/>
      <c r="Z369" s="647"/>
      <c r="AA369" s="630"/>
      <c r="AB369" s="630"/>
      <c r="AC369" s="630"/>
    </row>
    <row r="370" spans="1:68" ht="14.25" hidden="1" customHeight="1" x14ac:dyDescent="0.25">
      <c r="A370" s="648" t="s">
        <v>119</v>
      </c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  <c r="Y370" s="647"/>
      <c r="Z370" s="647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1">
        <v>4680115889293</v>
      </c>
      <c r="E371" s="642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2"/>
      <c r="R371" s="652"/>
      <c r="S371" s="652"/>
      <c r="T371" s="653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1">
        <v>4680115887190</v>
      </c>
      <c r="E372" s="642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2"/>
      <c r="R372" s="652"/>
      <c r="S372" s="652"/>
      <c r="T372" s="653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1">
        <v>4680115889880</v>
      </c>
      <c r="E373" s="642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2"/>
      <c r="R373" s="652"/>
      <c r="S373" s="652"/>
      <c r="T373" s="653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1">
        <v>4680115887138</v>
      </c>
      <c r="E374" s="642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2"/>
      <c r="R374" s="652"/>
      <c r="S374" s="652"/>
      <c r="T374" s="653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customHeight="1" x14ac:dyDescent="0.25">
      <c r="A375" s="54" t="s">
        <v>607</v>
      </c>
      <c r="B375" s="54" t="s">
        <v>608</v>
      </c>
      <c r="C375" s="31">
        <v>4301012016</v>
      </c>
      <c r="D375" s="641">
        <v>4680115885554</v>
      </c>
      <c r="E375" s="642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2"/>
      <c r="R375" s="652"/>
      <c r="S375" s="652"/>
      <c r="T375" s="653"/>
      <c r="U375" s="34"/>
      <c r="V375" s="34"/>
      <c r="W375" s="35" t="s">
        <v>67</v>
      </c>
      <c r="X375" s="635">
        <v>42</v>
      </c>
      <c r="Y375" s="636">
        <f t="shared" si="51"/>
        <v>43.2</v>
      </c>
      <c r="Z375" s="36">
        <f>IFERROR(IF(Y375=0,"",ROUNDUP(Y375/H375,0)*0.01898),"")</f>
        <v>7.5920000000000001E-2</v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43.594444444444449</v>
      </c>
      <c r="BN375" s="64">
        <f t="shared" si="53"/>
        <v>44.84</v>
      </c>
      <c r="BO375" s="64">
        <f t="shared" si="54"/>
        <v>6.0763888888888888E-2</v>
      </c>
      <c r="BP375" s="64">
        <f t="shared" si="55"/>
        <v>6.25E-2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1">
        <v>4680115887220</v>
      </c>
      <c r="E376" s="642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2"/>
      <c r="R376" s="652"/>
      <c r="S376" s="652"/>
      <c r="T376" s="653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1">
        <v>4680115885608</v>
      </c>
      <c r="E377" s="642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2"/>
      <c r="R377" s="652"/>
      <c r="S377" s="652"/>
      <c r="T377" s="653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x14ac:dyDescent="0.2">
      <c r="A378" s="649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50"/>
      <c r="P378" s="643" t="s">
        <v>69</v>
      </c>
      <c r="Q378" s="644"/>
      <c r="R378" s="644"/>
      <c r="S378" s="644"/>
      <c r="T378" s="644"/>
      <c r="U378" s="644"/>
      <c r="V378" s="645"/>
      <c r="W378" s="37" t="s">
        <v>70</v>
      </c>
      <c r="X378" s="637">
        <f>IFERROR(X371/H371,"0")+IFERROR(X372/H372,"0")+IFERROR(X373/H373,"0")+IFERROR(X374/H374,"0")+IFERROR(X375/H375,"0")+IFERROR(X376/H376,"0")+IFERROR(X377/H377,"0")</f>
        <v>3.8888888888888888</v>
      </c>
      <c r="Y378" s="637">
        <f>IFERROR(Y371/H371,"0")+IFERROR(Y372/H372,"0")+IFERROR(Y373/H373,"0")+IFERROR(Y374/H374,"0")+IFERROR(Y375/H375,"0")+IFERROR(Y376/H376,"0")+IFERROR(Y377/H377,"0")</f>
        <v>4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7.5920000000000001E-2</v>
      </c>
      <c r="AA378" s="638"/>
      <c r="AB378" s="638"/>
      <c r="AC378" s="638"/>
    </row>
    <row r="379" spans="1:68" x14ac:dyDescent="0.2">
      <c r="A379" s="647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50"/>
      <c r="P379" s="643" t="s">
        <v>69</v>
      </c>
      <c r="Q379" s="644"/>
      <c r="R379" s="644"/>
      <c r="S379" s="644"/>
      <c r="T379" s="644"/>
      <c r="U379" s="644"/>
      <c r="V379" s="645"/>
      <c r="W379" s="37" t="s">
        <v>67</v>
      </c>
      <c r="X379" s="637">
        <f>IFERROR(SUM(X371:X377),"0")</f>
        <v>42</v>
      </c>
      <c r="Y379" s="637">
        <f>IFERROR(SUM(Y371:Y377),"0")</f>
        <v>43.2</v>
      </c>
      <c r="Z379" s="37"/>
      <c r="AA379" s="638"/>
      <c r="AB379" s="638"/>
      <c r="AC379" s="638"/>
    </row>
    <row r="380" spans="1:68" ht="14.25" hidden="1" customHeight="1" x14ac:dyDescent="0.25">
      <c r="A380" s="648" t="s">
        <v>62</v>
      </c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  <c r="Y380" s="647"/>
      <c r="Z380" s="647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1">
        <v>4607091387193</v>
      </c>
      <c r="E381" s="642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2"/>
      <c r="R381" s="652"/>
      <c r="S381" s="652"/>
      <c r="T381" s="653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customHeight="1" x14ac:dyDescent="0.25">
      <c r="A382" s="54" t="s">
        <v>618</v>
      </c>
      <c r="B382" s="54" t="s">
        <v>619</v>
      </c>
      <c r="C382" s="31">
        <v>4301031153</v>
      </c>
      <c r="D382" s="641">
        <v>4607091387230</v>
      </c>
      <c r="E382" s="642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2"/>
      <c r="R382" s="652"/>
      <c r="S382" s="652"/>
      <c r="T382" s="653"/>
      <c r="U382" s="34"/>
      <c r="V382" s="34"/>
      <c r="W382" s="35" t="s">
        <v>67</v>
      </c>
      <c r="X382" s="635">
        <v>51</v>
      </c>
      <c r="Y382" s="636">
        <f t="shared" si="56"/>
        <v>54.6</v>
      </c>
      <c r="Z382" s="36">
        <f>IFERROR(IF(Y382=0,"",ROUNDUP(Y382/H382,0)*0.00902),"")</f>
        <v>0.11726</v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54.035714285714285</v>
      </c>
      <c r="BN382" s="64">
        <f t="shared" si="58"/>
        <v>57.85</v>
      </c>
      <c r="BO382" s="64">
        <f t="shared" si="59"/>
        <v>9.1991341991341985E-2</v>
      </c>
      <c r="BP382" s="64">
        <f t="shared" si="60"/>
        <v>9.8484848484848481E-2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1">
        <v>4607091387292</v>
      </c>
      <c r="E383" s="642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2"/>
      <c r="R383" s="652"/>
      <c r="S383" s="652"/>
      <c r="T383" s="653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1">
        <v>4607091387285</v>
      </c>
      <c r="E384" s="642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2"/>
      <c r="R384" s="652"/>
      <c r="S384" s="652"/>
      <c r="T384" s="653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1">
        <v>4607091389845</v>
      </c>
      <c r="E385" s="642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9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1">
        <v>4680115887442</v>
      </c>
      <c r="E386" s="642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2"/>
      <c r="R386" s="652"/>
      <c r="S386" s="652"/>
      <c r="T386" s="653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1">
        <v>4607091383836</v>
      </c>
      <c r="E387" s="642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2"/>
      <c r="R387" s="652"/>
      <c r="S387" s="652"/>
      <c r="T387" s="653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x14ac:dyDescent="0.2">
      <c r="A388" s="649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50"/>
      <c r="P388" s="643" t="s">
        <v>69</v>
      </c>
      <c r="Q388" s="644"/>
      <c r="R388" s="644"/>
      <c r="S388" s="644"/>
      <c r="T388" s="644"/>
      <c r="U388" s="644"/>
      <c r="V388" s="645"/>
      <c r="W388" s="37" t="s">
        <v>70</v>
      </c>
      <c r="X388" s="637">
        <f>IFERROR(X381/H381,"0")+IFERROR(X382/H382,"0")+IFERROR(X383/H383,"0")+IFERROR(X384/H384,"0")+IFERROR(X385/H385,"0")+IFERROR(X386/H386,"0")+IFERROR(X387/H387,"0")</f>
        <v>12.142857142857142</v>
      </c>
      <c r="Y388" s="637">
        <f>IFERROR(Y381/H381,"0")+IFERROR(Y382/H382,"0")+IFERROR(Y383/H383,"0")+IFERROR(Y384/H384,"0")+IFERROR(Y385/H385,"0")+IFERROR(Y386/H386,"0")+IFERROR(Y387/H387,"0")</f>
        <v>13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0.11726</v>
      </c>
      <c r="AA388" s="638"/>
      <c r="AB388" s="638"/>
      <c r="AC388" s="638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50"/>
      <c r="P389" s="643" t="s">
        <v>69</v>
      </c>
      <c r="Q389" s="644"/>
      <c r="R389" s="644"/>
      <c r="S389" s="644"/>
      <c r="T389" s="644"/>
      <c r="U389" s="644"/>
      <c r="V389" s="645"/>
      <c r="W389" s="37" t="s">
        <v>67</v>
      </c>
      <c r="X389" s="637">
        <f>IFERROR(SUM(X381:X387),"0")</f>
        <v>51</v>
      </c>
      <c r="Y389" s="637">
        <f>IFERROR(SUM(Y381:Y387),"0")</f>
        <v>54.6</v>
      </c>
      <c r="Z389" s="37"/>
      <c r="AA389" s="638"/>
      <c r="AB389" s="638"/>
      <c r="AC389" s="638"/>
    </row>
    <row r="390" spans="1:68" ht="14.25" hidden="1" customHeight="1" x14ac:dyDescent="0.25">
      <c r="A390" s="648" t="s">
        <v>71</v>
      </c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  <c r="Y390" s="647"/>
      <c r="Z390" s="647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1">
        <v>4607091387766</v>
      </c>
      <c r="E391" s="642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2"/>
      <c r="R391" s="652"/>
      <c r="S391" s="652"/>
      <c r="T391" s="653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1">
        <v>4607091387957</v>
      </c>
      <c r="E392" s="642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2"/>
      <c r="R392" s="652"/>
      <c r="S392" s="652"/>
      <c r="T392" s="653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1">
        <v>4607091387964</v>
      </c>
      <c r="E393" s="642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2"/>
      <c r="R393" s="652"/>
      <c r="S393" s="652"/>
      <c r="T393" s="653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1">
        <v>4680115884588</v>
      </c>
      <c r="E394" s="642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2"/>
      <c r="R394" s="652"/>
      <c r="S394" s="652"/>
      <c r="T394" s="653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49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50"/>
      <c r="P395" s="643" t="s">
        <v>69</v>
      </c>
      <c r="Q395" s="644"/>
      <c r="R395" s="644"/>
      <c r="S395" s="644"/>
      <c r="T395" s="644"/>
      <c r="U395" s="644"/>
      <c r="V395" s="645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50"/>
      <c r="P396" s="643" t="s">
        <v>69</v>
      </c>
      <c r="Q396" s="644"/>
      <c r="R396" s="644"/>
      <c r="S396" s="644"/>
      <c r="T396" s="644"/>
      <c r="U396" s="644"/>
      <c r="V396" s="645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8" t="s">
        <v>173</v>
      </c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  <c r="Y397" s="647"/>
      <c r="Z397" s="647"/>
      <c r="AA397" s="631"/>
      <c r="AB397" s="631"/>
      <c r="AC397" s="631"/>
    </row>
    <row r="398" spans="1:68" ht="27" customHeight="1" x14ac:dyDescent="0.25">
      <c r="A398" s="54" t="s">
        <v>645</v>
      </c>
      <c r="B398" s="54" t="s">
        <v>646</v>
      </c>
      <c r="C398" s="31">
        <v>4301060387</v>
      </c>
      <c r="D398" s="641">
        <v>4607091380880</v>
      </c>
      <c r="E398" s="642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2"/>
      <c r="R398" s="652"/>
      <c r="S398" s="652"/>
      <c r="T398" s="653"/>
      <c r="U398" s="34"/>
      <c r="V398" s="34"/>
      <c r="W398" s="35" t="s">
        <v>67</v>
      </c>
      <c r="X398" s="635">
        <v>150</v>
      </c>
      <c r="Y398" s="636">
        <f>IFERROR(IF(X398="",0,CEILING((X398/$H398),1)*$H398),"")</f>
        <v>151.20000000000002</v>
      </c>
      <c r="Z398" s="36">
        <f>IFERROR(IF(Y398=0,"",ROUNDUP(Y398/H398,0)*0.01898),"")</f>
        <v>0.34164</v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158.82142857142856</v>
      </c>
      <c r="BN398" s="64">
        <f>IFERROR(Y398*I398/H398,"0")</f>
        <v>160.09200000000001</v>
      </c>
      <c r="BO398" s="64">
        <f>IFERROR(1/J398*(X398/H398),"0")</f>
        <v>0.27901785714285715</v>
      </c>
      <c r="BP398" s="64">
        <f>IFERROR(1/J398*(Y398/H398),"0")</f>
        <v>0.28125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41">
        <v>4607091384482</v>
      </c>
      <c r="E399" s="642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2"/>
      <c r="R399" s="652"/>
      <c r="S399" s="652"/>
      <c r="T399" s="653"/>
      <c r="U399" s="34"/>
      <c r="V399" s="34"/>
      <c r="W399" s="35" t="s">
        <v>67</v>
      </c>
      <c r="X399" s="635">
        <v>321</v>
      </c>
      <c r="Y399" s="636">
        <f>IFERROR(IF(X399="",0,CEILING((X399/$H399),1)*$H399),"")</f>
        <v>327.59999999999997</v>
      </c>
      <c r="Z399" s="36">
        <f>IFERROR(IF(Y399=0,"",ROUNDUP(Y399/H399,0)*0.01898),"")</f>
        <v>0.79715999999999998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341.33000000000004</v>
      </c>
      <c r="BN399" s="64">
        <f>IFERROR(Y399*I399/H399,"0")</f>
        <v>348.34800000000001</v>
      </c>
      <c r="BO399" s="64">
        <f>IFERROR(1/J399*(X399/H399),"0")</f>
        <v>0.64302884615384615</v>
      </c>
      <c r="BP399" s="64">
        <f>IFERROR(1/J399*(Y399/H399),"0")</f>
        <v>0.65625</v>
      </c>
    </row>
    <row r="400" spans="1:68" ht="27" customHeight="1" x14ac:dyDescent="0.25">
      <c r="A400" s="54" t="s">
        <v>651</v>
      </c>
      <c r="B400" s="54" t="s">
        <v>652</v>
      </c>
      <c r="C400" s="31">
        <v>4301060484</v>
      </c>
      <c r="D400" s="641">
        <v>4607091380897</v>
      </c>
      <c r="E400" s="642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2"/>
      <c r="R400" s="652"/>
      <c r="S400" s="652"/>
      <c r="T400" s="653"/>
      <c r="U400" s="34"/>
      <c r="V400" s="34"/>
      <c r="W400" s="35" t="s">
        <v>67</v>
      </c>
      <c r="X400" s="635">
        <v>150</v>
      </c>
      <c r="Y400" s="636">
        <f>IFERROR(IF(X400="",0,CEILING((X400/$H400),1)*$H400),"")</f>
        <v>151.20000000000002</v>
      </c>
      <c r="Z400" s="36">
        <f>IFERROR(IF(Y400=0,"",ROUNDUP(Y400/H400,0)*0.01898),"")</f>
        <v>0.34164</v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158.82142857142856</v>
      </c>
      <c r="BN400" s="64">
        <f>IFERROR(Y400*I400/H400,"0")</f>
        <v>160.09200000000001</v>
      </c>
      <c r="BO400" s="64">
        <f>IFERROR(1/J400*(X400/H400),"0")</f>
        <v>0.27901785714285715</v>
      </c>
      <c r="BP400" s="64">
        <f>IFERROR(1/J400*(Y400/H400),"0")</f>
        <v>0.28125</v>
      </c>
    </row>
    <row r="401" spans="1:68" x14ac:dyDescent="0.2">
      <c r="A401" s="649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50"/>
      <c r="P401" s="643" t="s">
        <v>69</v>
      </c>
      <c r="Q401" s="644"/>
      <c r="R401" s="644"/>
      <c r="S401" s="644"/>
      <c r="T401" s="644"/>
      <c r="U401" s="644"/>
      <c r="V401" s="645"/>
      <c r="W401" s="37" t="s">
        <v>70</v>
      </c>
      <c r="X401" s="637">
        <f>IFERROR(X398/H398,"0")+IFERROR(X399/H399,"0")+IFERROR(X400/H400,"0")</f>
        <v>76.868131868131869</v>
      </c>
      <c r="Y401" s="637">
        <f>IFERROR(Y398/H398,"0")+IFERROR(Y399/H399,"0")+IFERROR(Y400/H400,"0")</f>
        <v>78</v>
      </c>
      <c r="Z401" s="637">
        <f>IFERROR(IF(Z398="",0,Z398),"0")+IFERROR(IF(Z399="",0,Z399),"0")+IFERROR(IF(Z400="",0,Z400),"0")</f>
        <v>1.48044</v>
      </c>
      <c r="AA401" s="638"/>
      <c r="AB401" s="638"/>
      <c r="AC401" s="638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50"/>
      <c r="P402" s="643" t="s">
        <v>69</v>
      </c>
      <c r="Q402" s="644"/>
      <c r="R402" s="644"/>
      <c r="S402" s="644"/>
      <c r="T402" s="644"/>
      <c r="U402" s="644"/>
      <c r="V402" s="645"/>
      <c r="W402" s="37" t="s">
        <v>67</v>
      </c>
      <c r="X402" s="637">
        <f>IFERROR(SUM(X398:X400),"0")</f>
        <v>621</v>
      </c>
      <c r="Y402" s="637">
        <f>IFERROR(SUM(Y398:Y400),"0")</f>
        <v>630</v>
      </c>
      <c r="Z402" s="37"/>
      <c r="AA402" s="638"/>
      <c r="AB402" s="638"/>
      <c r="AC402" s="638"/>
    </row>
    <row r="403" spans="1:68" ht="14.25" hidden="1" customHeight="1" x14ac:dyDescent="0.25">
      <c r="A403" s="648" t="s">
        <v>89</v>
      </c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  <c r="Y403" s="647"/>
      <c r="Z403" s="647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1">
        <v>4607091388381</v>
      </c>
      <c r="E404" s="642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2"/>
      <c r="R404" s="652"/>
      <c r="S404" s="652"/>
      <c r="T404" s="653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1">
        <v>4607091388374</v>
      </c>
      <c r="E405" s="642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2"/>
      <c r="R405" s="652"/>
      <c r="S405" s="652"/>
      <c r="T405" s="653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1">
        <v>4607091383102</v>
      </c>
      <c r="E406" s="642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41">
        <v>4607091388404</v>
      </c>
      <c r="E407" s="642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2"/>
      <c r="R407" s="652"/>
      <c r="S407" s="652"/>
      <c r="T407" s="653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49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50"/>
      <c r="P408" s="643" t="s">
        <v>69</v>
      </c>
      <c r="Q408" s="644"/>
      <c r="R408" s="644"/>
      <c r="S408" s="644"/>
      <c r="T408" s="644"/>
      <c r="U408" s="644"/>
      <c r="V408" s="645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7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50"/>
      <c r="P409" s="643" t="s">
        <v>69</v>
      </c>
      <c r="Q409" s="644"/>
      <c r="R409" s="644"/>
      <c r="S409" s="644"/>
      <c r="T409" s="644"/>
      <c r="U409" s="644"/>
      <c r="V409" s="645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8" t="s">
        <v>663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31"/>
      <c r="AB410" s="631"/>
      <c r="AC410" s="631"/>
    </row>
    <row r="411" spans="1:68" ht="16.5" customHeight="1" x14ac:dyDescent="0.25">
      <c r="A411" s="54" t="s">
        <v>664</v>
      </c>
      <c r="B411" s="54" t="s">
        <v>665</v>
      </c>
      <c r="C411" s="31">
        <v>4301180007</v>
      </c>
      <c r="D411" s="641">
        <v>4680115881808</v>
      </c>
      <c r="E411" s="642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35">
        <v>15</v>
      </c>
      <c r="Y411" s="636">
        <f>IFERROR(IF(X411="",0,CEILING((X411/$H411),1)*$H411),"")</f>
        <v>16</v>
      </c>
      <c r="Z411" s="36">
        <f>IFERROR(IF(Y411=0,"",ROUNDUP(Y411/H411,0)*0.00474),"")</f>
        <v>3.7920000000000002E-2</v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16.8</v>
      </c>
      <c r="BN411" s="64">
        <f>IFERROR(Y411*I411/H411,"0")</f>
        <v>17.920000000000002</v>
      </c>
      <c r="BO411" s="64">
        <f>IFERROR(1/J411*(X411/H411),"0")</f>
        <v>3.1512605042016806E-2</v>
      </c>
      <c r="BP411" s="64">
        <f>IFERROR(1/J411*(Y411/H411),"0")</f>
        <v>3.3613445378151259E-2</v>
      </c>
    </row>
    <row r="412" spans="1:68" ht="27" customHeight="1" x14ac:dyDescent="0.25">
      <c r="A412" s="54" t="s">
        <v>668</v>
      </c>
      <c r="B412" s="54" t="s">
        <v>669</v>
      </c>
      <c r="C412" s="31">
        <v>4301180006</v>
      </c>
      <c r="D412" s="641">
        <v>4680115881822</v>
      </c>
      <c r="E412" s="642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35">
        <v>1</v>
      </c>
      <c r="Y412" s="636">
        <f>IFERROR(IF(X412="",0,CEILING((X412/$H412),1)*$H412),"")</f>
        <v>2</v>
      </c>
      <c r="Z412" s="36">
        <f>IFERROR(IF(Y412=0,"",ROUNDUP(Y412/H412,0)*0.00474),"")</f>
        <v>4.7400000000000003E-3</v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1.1200000000000001</v>
      </c>
      <c r="BN412" s="64">
        <f>IFERROR(Y412*I412/H412,"0")</f>
        <v>2.2400000000000002</v>
      </c>
      <c r="BO412" s="64">
        <f>IFERROR(1/J412*(X412/H412),"0")</f>
        <v>2.1008403361344537E-3</v>
      </c>
      <c r="BP412" s="64">
        <f>IFERROR(1/J412*(Y412/H412),"0")</f>
        <v>4.2016806722689074E-3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1">
        <v>4680115880016</v>
      </c>
      <c r="E413" s="642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2"/>
      <c r="R413" s="652"/>
      <c r="S413" s="652"/>
      <c r="T413" s="653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49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50"/>
      <c r="P414" s="643" t="s">
        <v>69</v>
      </c>
      <c r="Q414" s="644"/>
      <c r="R414" s="644"/>
      <c r="S414" s="644"/>
      <c r="T414" s="644"/>
      <c r="U414" s="644"/>
      <c r="V414" s="645"/>
      <c r="W414" s="37" t="s">
        <v>70</v>
      </c>
      <c r="X414" s="637">
        <f>IFERROR(X411/H411,"0")+IFERROR(X412/H412,"0")+IFERROR(X413/H413,"0")</f>
        <v>8</v>
      </c>
      <c r="Y414" s="637">
        <f>IFERROR(Y411/H411,"0")+IFERROR(Y412/H412,"0")+IFERROR(Y413/H413,"0")</f>
        <v>9</v>
      </c>
      <c r="Z414" s="637">
        <f>IFERROR(IF(Z411="",0,Z411),"0")+IFERROR(IF(Z412="",0,Z412),"0")+IFERROR(IF(Z413="",0,Z413),"0")</f>
        <v>4.2660000000000003E-2</v>
      </c>
      <c r="AA414" s="638"/>
      <c r="AB414" s="638"/>
      <c r="AC414" s="638"/>
    </row>
    <row r="415" spans="1:68" x14ac:dyDescent="0.2">
      <c r="A415" s="647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50"/>
      <c r="P415" s="643" t="s">
        <v>69</v>
      </c>
      <c r="Q415" s="644"/>
      <c r="R415" s="644"/>
      <c r="S415" s="644"/>
      <c r="T415" s="644"/>
      <c r="U415" s="644"/>
      <c r="V415" s="645"/>
      <c r="W415" s="37" t="s">
        <v>67</v>
      </c>
      <c r="X415" s="637">
        <f>IFERROR(SUM(X411:X413),"0")</f>
        <v>16</v>
      </c>
      <c r="Y415" s="637">
        <f>IFERROR(SUM(Y411:Y413),"0")</f>
        <v>18</v>
      </c>
      <c r="Z415" s="37"/>
      <c r="AA415" s="638"/>
      <c r="AB415" s="638"/>
      <c r="AC415" s="638"/>
    </row>
    <row r="416" spans="1:68" ht="14.25" hidden="1" customHeight="1" x14ac:dyDescent="0.25">
      <c r="A416" s="648" t="s">
        <v>672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1">
        <v>4680115888678</v>
      </c>
      <c r="E417" s="642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1">
        <v>4680115888654</v>
      </c>
      <c r="E418" s="642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1">
        <v>4680115888753</v>
      </c>
      <c r="E419" s="642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2"/>
      <c r="R419" s="652"/>
      <c r="S419" s="652"/>
      <c r="T419" s="653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49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50"/>
      <c r="P420" s="643" t="s">
        <v>69</v>
      </c>
      <c r="Q420" s="644"/>
      <c r="R420" s="644"/>
      <c r="S420" s="644"/>
      <c r="T420" s="644"/>
      <c r="U420" s="644"/>
      <c r="V420" s="645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50"/>
      <c r="P421" s="643" t="s">
        <v>69</v>
      </c>
      <c r="Q421" s="644"/>
      <c r="R421" s="644"/>
      <c r="S421" s="644"/>
      <c r="T421" s="644"/>
      <c r="U421" s="644"/>
      <c r="V421" s="645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6" t="s">
        <v>681</v>
      </c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  <c r="Y422" s="647"/>
      <c r="Z422" s="647"/>
      <c r="AA422" s="630"/>
      <c r="AB422" s="630"/>
      <c r="AC422" s="630"/>
    </row>
    <row r="423" spans="1:68" ht="14.25" hidden="1" customHeight="1" x14ac:dyDescent="0.25">
      <c r="A423" s="648" t="s">
        <v>71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1">
        <v>4660663720026</v>
      </c>
      <c r="E424" s="642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21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1">
        <v>4680115889422</v>
      </c>
      <c r="E425" s="642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1">
        <v>4680115889972</v>
      </c>
      <c r="E426" s="642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2"/>
      <c r="R426" s="652"/>
      <c r="S426" s="652"/>
      <c r="T426" s="653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49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50"/>
      <c r="P427" s="643" t="s">
        <v>69</v>
      </c>
      <c r="Q427" s="644"/>
      <c r="R427" s="644"/>
      <c r="S427" s="644"/>
      <c r="T427" s="644"/>
      <c r="U427" s="644"/>
      <c r="V427" s="645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7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50"/>
      <c r="P428" s="643" t="s">
        <v>69</v>
      </c>
      <c r="Q428" s="644"/>
      <c r="R428" s="644"/>
      <c r="S428" s="644"/>
      <c r="T428" s="644"/>
      <c r="U428" s="644"/>
      <c r="V428" s="645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6" t="s">
        <v>690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0"/>
      <c r="AB429" s="630"/>
      <c r="AC429" s="630"/>
    </row>
    <row r="430" spans="1:68" ht="14.25" hidden="1" customHeight="1" x14ac:dyDescent="0.25">
      <c r="A430" s="648" t="s">
        <v>71</v>
      </c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  <c r="Y430" s="647"/>
      <c r="Z430" s="647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1">
        <v>4607091387919</v>
      </c>
      <c r="E431" s="642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2"/>
      <c r="R431" s="652"/>
      <c r="S431" s="652"/>
      <c r="T431" s="653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41">
        <v>4680115883604</v>
      </c>
      <c r="E432" s="642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2"/>
      <c r="R432" s="652"/>
      <c r="S432" s="652"/>
      <c r="T432" s="653"/>
      <c r="U432" s="34"/>
      <c r="V432" s="34"/>
      <c r="W432" s="35" t="s">
        <v>67</v>
      </c>
      <c r="X432" s="635">
        <v>31</v>
      </c>
      <c r="Y432" s="636">
        <f>IFERROR(IF(X432="",0,CEILING((X432/$H432),1)*$H432),"")</f>
        <v>31.5</v>
      </c>
      <c r="Z432" s="36">
        <f>IFERROR(IF(Y432=0,"",ROUNDUP(Y432/H432,0)*0.00651),"")</f>
        <v>9.7650000000000001E-2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34.719999999999992</v>
      </c>
      <c r="BN432" s="64">
        <f>IFERROR(Y432*I432/H432,"0")</f>
        <v>35.279999999999994</v>
      </c>
      <c r="BO432" s="64">
        <f>IFERROR(1/J432*(X432/H432),"0")</f>
        <v>8.1109366823652537E-2</v>
      </c>
      <c r="BP432" s="64">
        <f>IFERROR(1/J432*(Y432/H432),"0")</f>
        <v>8.241758241758243E-2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1">
        <v>4680115883567</v>
      </c>
      <c r="E433" s="642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10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2"/>
      <c r="R433" s="652"/>
      <c r="S433" s="652"/>
      <c r="T433" s="653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49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50"/>
      <c r="P434" s="643" t="s">
        <v>69</v>
      </c>
      <c r="Q434" s="644"/>
      <c r="R434" s="644"/>
      <c r="S434" s="644"/>
      <c r="T434" s="644"/>
      <c r="U434" s="644"/>
      <c r="V434" s="645"/>
      <c r="W434" s="37" t="s">
        <v>70</v>
      </c>
      <c r="X434" s="637">
        <f>IFERROR(X431/H431,"0")+IFERROR(X432/H432,"0")+IFERROR(X433/H433,"0")</f>
        <v>14.761904761904761</v>
      </c>
      <c r="Y434" s="637">
        <f>IFERROR(Y431/H431,"0")+IFERROR(Y432/H432,"0")+IFERROR(Y433/H433,"0")</f>
        <v>15</v>
      </c>
      <c r="Z434" s="637">
        <f>IFERROR(IF(Z431="",0,Z431),"0")+IFERROR(IF(Z432="",0,Z432),"0")+IFERROR(IF(Z433="",0,Z433),"0")</f>
        <v>9.7650000000000001E-2</v>
      </c>
      <c r="AA434" s="638"/>
      <c r="AB434" s="638"/>
      <c r="AC434" s="638"/>
    </row>
    <row r="435" spans="1:68" x14ac:dyDescent="0.2">
      <c r="A435" s="647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50"/>
      <c r="P435" s="643" t="s">
        <v>69</v>
      </c>
      <c r="Q435" s="644"/>
      <c r="R435" s="644"/>
      <c r="S435" s="644"/>
      <c r="T435" s="644"/>
      <c r="U435" s="644"/>
      <c r="V435" s="645"/>
      <c r="W435" s="37" t="s">
        <v>67</v>
      </c>
      <c r="X435" s="637">
        <f>IFERROR(SUM(X431:X433),"0")</f>
        <v>31</v>
      </c>
      <c r="Y435" s="637">
        <f>IFERROR(SUM(Y431:Y433),"0")</f>
        <v>31.5</v>
      </c>
      <c r="Z435" s="37"/>
      <c r="AA435" s="638"/>
      <c r="AB435" s="638"/>
      <c r="AC435" s="638"/>
    </row>
    <row r="436" spans="1:68" ht="27.75" hidden="1" customHeight="1" x14ac:dyDescent="0.2">
      <c r="A436" s="682" t="s">
        <v>700</v>
      </c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48"/>
      <c r="AB436" s="48"/>
      <c r="AC436" s="48"/>
    </row>
    <row r="437" spans="1:68" ht="16.5" hidden="1" customHeight="1" x14ac:dyDescent="0.25">
      <c r="A437" s="646" t="s">
        <v>701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0"/>
      <c r="AB437" s="630"/>
      <c r="AC437" s="630"/>
    </row>
    <row r="438" spans="1:68" ht="14.25" hidden="1" customHeight="1" x14ac:dyDescent="0.25">
      <c r="A438" s="648" t="s">
        <v>119</v>
      </c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  <c r="Y438" s="647"/>
      <c r="Z438" s="647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41">
        <v>4680115888401</v>
      </c>
      <c r="E439" s="642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9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2"/>
      <c r="R439" s="652"/>
      <c r="S439" s="652"/>
      <c r="T439" s="653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41">
        <v>4680115884847</v>
      </c>
      <c r="E440" s="642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2"/>
      <c r="R440" s="652"/>
      <c r="S440" s="652"/>
      <c r="T440" s="653"/>
      <c r="U440" s="34"/>
      <c r="V440" s="34"/>
      <c r="W440" s="35" t="s">
        <v>67</v>
      </c>
      <c r="X440" s="635">
        <v>1575</v>
      </c>
      <c r="Y440" s="636">
        <f t="shared" si="61"/>
        <v>1575</v>
      </c>
      <c r="Z440" s="36">
        <f>IFERROR(IF(Y440=0,"",ROUNDUP(Y440/H440,0)*0.02175),"")</f>
        <v>2.2837499999999999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1624.35</v>
      </c>
      <c r="BN440" s="64">
        <f t="shared" si="63"/>
        <v>1624.35</v>
      </c>
      <c r="BO440" s="64">
        <f t="shared" si="64"/>
        <v>2.1875</v>
      </c>
      <c r="BP440" s="64">
        <f t="shared" si="65"/>
        <v>2.1875</v>
      </c>
    </row>
    <row r="441" spans="1:68" ht="27" hidden="1" customHeight="1" x14ac:dyDescent="0.25">
      <c r="A441" s="54" t="s">
        <v>708</v>
      </c>
      <c r="B441" s="54" t="s">
        <v>709</v>
      </c>
      <c r="C441" s="31">
        <v>4301012083</v>
      </c>
      <c r="D441" s="641">
        <v>4680115884854</v>
      </c>
      <c r="E441" s="642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2"/>
      <c r="R441" s="652"/>
      <c r="S441" s="652"/>
      <c r="T441" s="653"/>
      <c r="U441" s="34"/>
      <c r="V441" s="34"/>
      <c r="W441" s="35" t="s">
        <v>67</v>
      </c>
      <c r="X441" s="635">
        <v>0</v>
      </c>
      <c r="Y441" s="636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41">
        <v>4680115884830</v>
      </c>
      <c r="E442" s="642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35">
        <v>978</v>
      </c>
      <c r="Y442" s="636">
        <f t="shared" si="61"/>
        <v>990</v>
      </c>
      <c r="Z442" s="36">
        <f>IFERROR(IF(Y442=0,"",ROUNDUP(Y442/H442,0)*0.02175),"")</f>
        <v>1.4355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1008.644</v>
      </c>
      <c r="BN442" s="64">
        <f t="shared" si="63"/>
        <v>1021.0200000000001</v>
      </c>
      <c r="BO442" s="64">
        <f t="shared" si="64"/>
        <v>1.3583333333333334</v>
      </c>
      <c r="BP442" s="64">
        <f t="shared" si="65"/>
        <v>1.375</v>
      </c>
    </row>
    <row r="443" spans="1:68" ht="27" customHeight="1" x14ac:dyDescent="0.25">
      <c r="A443" s="54" t="s">
        <v>714</v>
      </c>
      <c r="B443" s="54" t="s">
        <v>715</v>
      </c>
      <c r="C443" s="31">
        <v>4301012356</v>
      </c>
      <c r="D443" s="641">
        <v>4680115889231</v>
      </c>
      <c r="E443" s="642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35">
        <v>785</v>
      </c>
      <c r="Y443" s="636">
        <f t="shared" si="61"/>
        <v>795</v>
      </c>
      <c r="Z443" s="36">
        <f>IFERROR(IF(Y443=0,"",ROUNDUP(Y443/H443,0)*0.02175),"")</f>
        <v>1.1527499999999999</v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809.59666666666669</v>
      </c>
      <c r="BN443" s="64">
        <f t="shared" si="63"/>
        <v>819.91</v>
      </c>
      <c r="BO443" s="64">
        <f t="shared" si="64"/>
        <v>1.0902777777777777</v>
      </c>
      <c r="BP443" s="64">
        <f t="shared" si="65"/>
        <v>1.1041666666666665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1">
        <v>4680115882638</v>
      </c>
      <c r="E444" s="642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2"/>
      <c r="R444" s="652"/>
      <c r="S444" s="652"/>
      <c r="T444" s="653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1">
        <v>4680115884922</v>
      </c>
      <c r="E445" s="642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2"/>
      <c r="R445" s="652"/>
      <c r="S445" s="652"/>
      <c r="T445" s="653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1">
        <v>4680115884861</v>
      </c>
      <c r="E446" s="642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2"/>
      <c r="R446" s="652"/>
      <c r="S446" s="652"/>
      <c r="T446" s="653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49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50"/>
      <c r="P447" s="643" t="s">
        <v>69</v>
      </c>
      <c r="Q447" s="644"/>
      <c r="R447" s="644"/>
      <c r="S447" s="644"/>
      <c r="T447" s="644"/>
      <c r="U447" s="644"/>
      <c r="V447" s="645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222.53333333333333</v>
      </c>
      <c r="Y447" s="637">
        <f>IFERROR(Y439/H439,"0")+IFERROR(Y440/H440,"0")+IFERROR(Y441/H441,"0")+IFERROR(Y442/H442,"0")+IFERROR(Y443/H443,"0")+IFERROR(Y444/H444,"0")+IFERROR(Y445/H445,"0")+IFERROR(Y446/H446,"0")</f>
        <v>224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4.8719999999999999</v>
      </c>
      <c r="AA447" s="638"/>
      <c r="AB447" s="638"/>
      <c r="AC447" s="638"/>
    </row>
    <row r="448" spans="1:68" x14ac:dyDescent="0.2">
      <c r="A448" s="647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50"/>
      <c r="P448" s="643" t="s">
        <v>69</v>
      </c>
      <c r="Q448" s="644"/>
      <c r="R448" s="644"/>
      <c r="S448" s="644"/>
      <c r="T448" s="644"/>
      <c r="U448" s="644"/>
      <c r="V448" s="645"/>
      <c r="W448" s="37" t="s">
        <v>67</v>
      </c>
      <c r="X448" s="637">
        <f>IFERROR(SUM(X439:X446),"0")</f>
        <v>3338</v>
      </c>
      <c r="Y448" s="637">
        <f>IFERROR(SUM(Y439:Y446),"0")</f>
        <v>3360</v>
      </c>
      <c r="Z448" s="37"/>
      <c r="AA448" s="638"/>
      <c r="AB448" s="638"/>
      <c r="AC448" s="638"/>
    </row>
    <row r="449" spans="1:68" ht="14.25" hidden="1" customHeight="1" x14ac:dyDescent="0.25">
      <c r="A449" s="648" t="s">
        <v>155</v>
      </c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  <c r="Y449" s="647"/>
      <c r="Z449" s="647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1">
        <v>4607091383980</v>
      </c>
      <c r="E450" s="642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2"/>
      <c r="R450" s="652"/>
      <c r="S450" s="652"/>
      <c r="T450" s="653"/>
      <c r="U450" s="34"/>
      <c r="V450" s="34"/>
      <c r="W450" s="35" t="s">
        <v>67</v>
      </c>
      <c r="X450" s="635">
        <v>588</v>
      </c>
      <c r="Y450" s="636">
        <f>IFERROR(IF(X450="",0,CEILING((X450/$H450),1)*$H450),"")</f>
        <v>600</v>
      </c>
      <c r="Z450" s="36">
        <f>IFERROR(IF(Y450=0,"",ROUNDUP(Y450/H450,0)*0.02175),"")</f>
        <v>0.86999999999999988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606.42400000000009</v>
      </c>
      <c r="BN450" s="64">
        <f>IFERROR(Y450*I450/H450,"0")</f>
        <v>618.79999999999995</v>
      </c>
      <c r="BO450" s="64">
        <f>IFERROR(1/J450*(X450/H450),"0")</f>
        <v>0.81666666666666665</v>
      </c>
      <c r="BP450" s="64">
        <f>IFERROR(1/J450*(Y450/H450),"0")</f>
        <v>0.83333333333333326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1">
        <v>4680115888425</v>
      </c>
      <c r="E451" s="642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2"/>
      <c r="R451" s="652"/>
      <c r="S451" s="652"/>
      <c r="T451" s="653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1">
        <v>4607091384178</v>
      </c>
      <c r="E452" s="642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2"/>
      <c r="R452" s="652"/>
      <c r="S452" s="652"/>
      <c r="T452" s="653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49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50"/>
      <c r="P453" s="643" t="s">
        <v>69</v>
      </c>
      <c r="Q453" s="644"/>
      <c r="R453" s="644"/>
      <c r="S453" s="644"/>
      <c r="T453" s="644"/>
      <c r="U453" s="644"/>
      <c r="V453" s="645"/>
      <c r="W453" s="37" t="s">
        <v>70</v>
      </c>
      <c r="X453" s="637">
        <f>IFERROR(X450/H450,"0")+IFERROR(X451/H451,"0")+IFERROR(X452/H452,"0")</f>
        <v>39.200000000000003</v>
      </c>
      <c r="Y453" s="637">
        <f>IFERROR(Y450/H450,"0")+IFERROR(Y451/H451,"0")+IFERROR(Y452/H452,"0")</f>
        <v>40</v>
      </c>
      <c r="Z453" s="637">
        <f>IFERROR(IF(Z450="",0,Z450),"0")+IFERROR(IF(Z451="",0,Z451),"0")+IFERROR(IF(Z452="",0,Z452),"0")</f>
        <v>0.86999999999999988</v>
      </c>
      <c r="AA453" s="638"/>
      <c r="AB453" s="638"/>
      <c r="AC453" s="638"/>
    </row>
    <row r="454" spans="1:68" x14ac:dyDescent="0.2">
      <c r="A454" s="647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50"/>
      <c r="P454" s="643" t="s">
        <v>69</v>
      </c>
      <c r="Q454" s="644"/>
      <c r="R454" s="644"/>
      <c r="S454" s="644"/>
      <c r="T454" s="644"/>
      <c r="U454" s="644"/>
      <c r="V454" s="645"/>
      <c r="W454" s="37" t="s">
        <v>67</v>
      </c>
      <c r="X454" s="637">
        <f>IFERROR(SUM(X450:X452),"0")</f>
        <v>588</v>
      </c>
      <c r="Y454" s="637">
        <f>IFERROR(SUM(Y450:Y452),"0")</f>
        <v>600</v>
      </c>
      <c r="Z454" s="37"/>
      <c r="AA454" s="638"/>
      <c r="AB454" s="638"/>
      <c r="AC454" s="638"/>
    </row>
    <row r="455" spans="1:68" ht="14.25" hidden="1" customHeight="1" x14ac:dyDescent="0.25">
      <c r="A455" s="648" t="s">
        <v>71</v>
      </c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  <c r="Y455" s="647"/>
      <c r="Z455" s="647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1">
        <v>4607091383928</v>
      </c>
      <c r="E456" s="642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2"/>
      <c r="R456" s="652"/>
      <c r="S456" s="652"/>
      <c r="T456" s="653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1">
        <v>4607091384260</v>
      </c>
      <c r="E457" s="642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2"/>
      <c r="R457" s="652"/>
      <c r="S457" s="652"/>
      <c r="T457" s="653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1">
        <v>4680115889538</v>
      </c>
      <c r="E458" s="642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2"/>
      <c r="R458" s="652"/>
      <c r="S458" s="652"/>
      <c r="T458" s="653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9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50"/>
      <c r="P459" s="643" t="s">
        <v>69</v>
      </c>
      <c r="Q459" s="644"/>
      <c r="R459" s="644"/>
      <c r="S459" s="644"/>
      <c r="T459" s="644"/>
      <c r="U459" s="644"/>
      <c r="V459" s="645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50"/>
      <c r="P460" s="643" t="s">
        <v>69</v>
      </c>
      <c r="Q460" s="644"/>
      <c r="R460" s="644"/>
      <c r="S460" s="644"/>
      <c r="T460" s="644"/>
      <c r="U460" s="644"/>
      <c r="V460" s="645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8" t="s">
        <v>173</v>
      </c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  <c r="Y461" s="647"/>
      <c r="Z461" s="647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1">
        <v>4680115889545</v>
      </c>
      <c r="E462" s="642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2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2"/>
      <c r="R462" s="652"/>
      <c r="S462" s="652"/>
      <c r="T462" s="653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1">
        <v>4607091384673</v>
      </c>
      <c r="E463" s="642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2"/>
      <c r="R463" s="652"/>
      <c r="S463" s="652"/>
      <c r="T463" s="653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49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50"/>
      <c r="P464" s="643" t="s">
        <v>69</v>
      </c>
      <c r="Q464" s="644"/>
      <c r="R464" s="644"/>
      <c r="S464" s="644"/>
      <c r="T464" s="644"/>
      <c r="U464" s="644"/>
      <c r="V464" s="645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7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50"/>
      <c r="P465" s="643" t="s">
        <v>69</v>
      </c>
      <c r="Q465" s="644"/>
      <c r="R465" s="644"/>
      <c r="S465" s="644"/>
      <c r="T465" s="644"/>
      <c r="U465" s="644"/>
      <c r="V465" s="645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6" t="s">
        <v>750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0"/>
      <c r="AB466" s="630"/>
      <c r="AC466" s="630"/>
    </row>
    <row r="467" spans="1:68" ht="14.25" hidden="1" customHeight="1" x14ac:dyDescent="0.25">
      <c r="A467" s="648" t="s">
        <v>119</v>
      </c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  <c r="Y467" s="647"/>
      <c r="Z467" s="647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1">
        <v>4680115884885</v>
      </c>
      <c r="E468" s="642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2"/>
      <c r="R468" s="652"/>
      <c r="S468" s="652"/>
      <c r="T468" s="653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1">
        <v>4680115884908</v>
      </c>
      <c r="E469" s="642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49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50"/>
      <c r="P470" s="643" t="s">
        <v>69</v>
      </c>
      <c r="Q470" s="644"/>
      <c r="R470" s="644"/>
      <c r="S470" s="644"/>
      <c r="T470" s="644"/>
      <c r="U470" s="644"/>
      <c r="V470" s="645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7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50"/>
      <c r="P471" s="643" t="s">
        <v>69</v>
      </c>
      <c r="Q471" s="644"/>
      <c r="R471" s="644"/>
      <c r="S471" s="644"/>
      <c r="T471" s="644"/>
      <c r="U471" s="644"/>
      <c r="V471" s="645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8" t="s">
        <v>62</v>
      </c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  <c r="Y472" s="647"/>
      <c r="Z472" s="647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1">
        <v>4607091384802</v>
      </c>
      <c r="E473" s="642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6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2"/>
      <c r="R473" s="652"/>
      <c r="S473" s="652"/>
      <c r="T473" s="653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49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50"/>
      <c r="P474" s="643" t="s">
        <v>69</v>
      </c>
      <c r="Q474" s="644"/>
      <c r="R474" s="644"/>
      <c r="S474" s="644"/>
      <c r="T474" s="644"/>
      <c r="U474" s="644"/>
      <c r="V474" s="645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7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50"/>
      <c r="P475" s="643" t="s">
        <v>69</v>
      </c>
      <c r="Q475" s="644"/>
      <c r="R475" s="644"/>
      <c r="S475" s="644"/>
      <c r="T475" s="644"/>
      <c r="U475" s="644"/>
      <c r="V475" s="645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8" t="s">
        <v>71</v>
      </c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  <c r="Y476" s="647"/>
      <c r="Z476" s="647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41">
        <v>4607091384246</v>
      </c>
      <c r="E477" s="642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2"/>
      <c r="R477" s="652"/>
      <c r="S477" s="652"/>
      <c r="T477" s="653"/>
      <c r="U477" s="34"/>
      <c r="V477" s="34"/>
      <c r="W477" s="35" t="s">
        <v>67</v>
      </c>
      <c r="X477" s="635">
        <v>1247</v>
      </c>
      <c r="Y477" s="636">
        <f>IFERROR(IF(X477="",0,CEILING((X477/$H477),1)*$H477),"")</f>
        <v>1251</v>
      </c>
      <c r="Z477" s="36">
        <f>IFERROR(IF(Y477=0,"",ROUNDUP(Y477/H477,0)*0.01898),"")</f>
        <v>2.63822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1315.4464444444445</v>
      </c>
      <c r="BN477" s="64">
        <f>IFERROR(Y477*I477/H477,"0")</f>
        <v>1319.6660000000002</v>
      </c>
      <c r="BO477" s="64">
        <f>IFERROR(1/J477*(X477/H477),"0")</f>
        <v>2.1649305555555554</v>
      </c>
      <c r="BP477" s="64">
        <f>IFERROR(1/J477*(Y477/H477),"0")</f>
        <v>2.171875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41">
        <v>4607091384253</v>
      </c>
      <c r="E478" s="642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2"/>
      <c r="R478" s="652"/>
      <c r="S478" s="652"/>
      <c r="T478" s="653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1">
        <v>4607091384253</v>
      </c>
      <c r="E479" s="642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2"/>
      <c r="R479" s="652"/>
      <c r="S479" s="652"/>
      <c r="T479" s="653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49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50"/>
      <c r="P480" s="643" t="s">
        <v>69</v>
      </c>
      <c r="Q480" s="644"/>
      <c r="R480" s="644"/>
      <c r="S480" s="644"/>
      <c r="T480" s="644"/>
      <c r="U480" s="644"/>
      <c r="V480" s="645"/>
      <c r="W480" s="37" t="s">
        <v>70</v>
      </c>
      <c r="X480" s="637">
        <f>IFERROR(X477/H477,"0")+IFERROR(X478/H478,"0")+IFERROR(X479/H479,"0")</f>
        <v>138.55555555555554</v>
      </c>
      <c r="Y480" s="637">
        <f>IFERROR(Y477/H477,"0")+IFERROR(Y478/H478,"0")+IFERROR(Y479/H479,"0")</f>
        <v>139</v>
      </c>
      <c r="Z480" s="637">
        <f>IFERROR(IF(Z477="",0,Z477),"0")+IFERROR(IF(Z478="",0,Z478),"0")+IFERROR(IF(Z479="",0,Z479),"0")</f>
        <v>2.63822</v>
      </c>
      <c r="AA480" s="638"/>
      <c r="AB480" s="638"/>
      <c r="AC480" s="638"/>
    </row>
    <row r="481" spans="1:68" x14ac:dyDescent="0.2">
      <c r="A481" s="647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50"/>
      <c r="P481" s="643" t="s">
        <v>69</v>
      </c>
      <c r="Q481" s="644"/>
      <c r="R481" s="644"/>
      <c r="S481" s="644"/>
      <c r="T481" s="644"/>
      <c r="U481" s="644"/>
      <c r="V481" s="645"/>
      <c r="W481" s="37" t="s">
        <v>67</v>
      </c>
      <c r="X481" s="637">
        <f>IFERROR(SUM(X477:X479),"0")</f>
        <v>1247</v>
      </c>
      <c r="Y481" s="637">
        <f>IFERROR(SUM(Y477:Y479),"0")</f>
        <v>1251</v>
      </c>
      <c r="Z481" s="37"/>
      <c r="AA481" s="638"/>
      <c r="AB481" s="638"/>
      <c r="AC481" s="638"/>
    </row>
    <row r="482" spans="1:68" ht="27.75" hidden="1" customHeight="1" x14ac:dyDescent="0.2">
      <c r="A482" s="682" t="s">
        <v>766</v>
      </c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48"/>
      <c r="AB482" s="48"/>
      <c r="AC482" s="48"/>
    </row>
    <row r="483" spans="1:68" ht="16.5" hidden="1" customHeight="1" x14ac:dyDescent="0.25">
      <c r="A483" s="646" t="s">
        <v>767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0"/>
      <c r="AB483" s="630"/>
      <c r="AC483" s="630"/>
    </row>
    <row r="484" spans="1:68" ht="14.25" hidden="1" customHeight="1" x14ac:dyDescent="0.25">
      <c r="A484" s="648" t="s">
        <v>62</v>
      </c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  <c r="Y484" s="647"/>
      <c r="Z484" s="647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1">
        <v>4680115886100</v>
      </c>
      <c r="E485" s="642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2"/>
      <c r="R485" s="652"/>
      <c r="S485" s="652"/>
      <c r="T485" s="653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1">
        <v>4680115886124</v>
      </c>
      <c r="E486" s="642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2"/>
      <c r="R486" s="652"/>
      <c r="S486" s="652"/>
      <c r="T486" s="653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1">
        <v>4607091384338</v>
      </c>
      <c r="E487" s="642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1">
        <v>4680115883161</v>
      </c>
      <c r="E488" s="642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2"/>
      <c r="R488" s="652"/>
      <c r="S488" s="652"/>
      <c r="T488" s="653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1">
        <v>4607091389531</v>
      </c>
      <c r="E489" s="642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2"/>
      <c r="R489" s="652"/>
      <c r="S489" s="652"/>
      <c r="T489" s="653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1">
        <v>4607091384345</v>
      </c>
      <c r="E490" s="642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2"/>
      <c r="R490" s="652"/>
      <c r="S490" s="652"/>
      <c r="T490" s="653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49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50"/>
      <c r="P491" s="643" t="s">
        <v>69</v>
      </c>
      <c r="Q491" s="644"/>
      <c r="R491" s="644"/>
      <c r="S491" s="644"/>
      <c r="T491" s="644"/>
      <c r="U491" s="644"/>
      <c r="V491" s="645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7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50"/>
      <c r="P492" s="643" t="s">
        <v>69</v>
      </c>
      <c r="Q492" s="644"/>
      <c r="R492" s="644"/>
      <c r="S492" s="644"/>
      <c r="T492" s="644"/>
      <c r="U492" s="644"/>
      <c r="V492" s="645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8" t="s">
        <v>71</v>
      </c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  <c r="Y493" s="647"/>
      <c r="Z493" s="647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1">
        <v>4607091384352</v>
      </c>
      <c r="E494" s="642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2"/>
      <c r="R494" s="652"/>
      <c r="S494" s="652"/>
      <c r="T494" s="653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49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50"/>
      <c r="P495" s="643" t="s">
        <v>69</v>
      </c>
      <c r="Q495" s="644"/>
      <c r="R495" s="644"/>
      <c r="S495" s="644"/>
      <c r="T495" s="644"/>
      <c r="U495" s="644"/>
      <c r="V495" s="645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7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50"/>
      <c r="P496" s="643" t="s">
        <v>69</v>
      </c>
      <c r="Q496" s="644"/>
      <c r="R496" s="644"/>
      <c r="S496" s="644"/>
      <c r="T496" s="644"/>
      <c r="U496" s="644"/>
      <c r="V496" s="645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6" t="s">
        <v>787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0"/>
      <c r="AB497" s="630"/>
      <c r="AC497" s="630"/>
    </row>
    <row r="498" spans="1:68" ht="14.25" hidden="1" customHeight="1" x14ac:dyDescent="0.25">
      <c r="A498" s="648" t="s">
        <v>155</v>
      </c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  <c r="Y498" s="647"/>
      <c r="Z498" s="647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1">
        <v>4680115885240</v>
      </c>
      <c r="E499" s="642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2"/>
      <c r="R499" s="652"/>
      <c r="S499" s="652"/>
      <c r="T499" s="653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49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50"/>
      <c r="P500" s="643" t="s">
        <v>69</v>
      </c>
      <c r="Q500" s="644"/>
      <c r="R500" s="644"/>
      <c r="S500" s="644"/>
      <c r="T500" s="644"/>
      <c r="U500" s="644"/>
      <c r="V500" s="645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7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50"/>
      <c r="P501" s="643" t="s">
        <v>69</v>
      </c>
      <c r="Q501" s="644"/>
      <c r="R501" s="644"/>
      <c r="S501" s="644"/>
      <c r="T501" s="644"/>
      <c r="U501" s="644"/>
      <c r="V501" s="645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8" t="s">
        <v>62</v>
      </c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  <c r="Y502" s="647"/>
      <c r="Z502" s="647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1">
        <v>4680115886094</v>
      </c>
      <c r="E503" s="642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2"/>
      <c r="R503" s="652"/>
      <c r="S503" s="652"/>
      <c r="T503" s="653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1">
        <v>4680115880771</v>
      </c>
      <c r="E504" s="642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2"/>
      <c r="R504" s="652"/>
      <c r="S504" s="652"/>
      <c r="T504" s="653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1">
        <v>4607091389500</v>
      </c>
      <c r="E505" s="642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2"/>
      <c r="R505" s="652"/>
      <c r="S505" s="652"/>
      <c r="T505" s="653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49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50"/>
      <c r="P506" s="643" t="s">
        <v>69</v>
      </c>
      <c r="Q506" s="644"/>
      <c r="R506" s="644"/>
      <c r="S506" s="644"/>
      <c r="T506" s="644"/>
      <c r="U506" s="644"/>
      <c r="V506" s="645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50"/>
      <c r="P507" s="643" t="s">
        <v>69</v>
      </c>
      <c r="Q507" s="644"/>
      <c r="R507" s="644"/>
      <c r="S507" s="644"/>
      <c r="T507" s="644"/>
      <c r="U507" s="644"/>
      <c r="V507" s="645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82" t="s">
        <v>799</v>
      </c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48"/>
      <c r="AB508" s="48"/>
      <c r="AC508" s="48"/>
    </row>
    <row r="509" spans="1:68" ht="16.5" hidden="1" customHeight="1" x14ac:dyDescent="0.25">
      <c r="A509" s="646" t="s">
        <v>799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0"/>
      <c r="AB509" s="630"/>
      <c r="AC509" s="630"/>
    </row>
    <row r="510" spans="1:68" ht="14.25" hidden="1" customHeight="1" x14ac:dyDescent="0.25">
      <c r="A510" s="648" t="s">
        <v>119</v>
      </c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  <c r="Y510" s="647"/>
      <c r="Z510" s="647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41">
        <v>4607091389067</v>
      </c>
      <c r="E511" s="642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2"/>
      <c r="R511" s="652"/>
      <c r="S511" s="652"/>
      <c r="T511" s="653"/>
      <c r="U511" s="34"/>
      <c r="V511" s="34"/>
      <c r="W511" s="35" t="s">
        <v>67</v>
      </c>
      <c r="X511" s="635">
        <v>43</v>
      </c>
      <c r="Y511" s="636">
        <f t="shared" ref="Y511:Y518" si="71">IFERROR(IF(X511="",0,CEILING((X511/$H511),1)*$H511),"")</f>
        <v>47.52</v>
      </c>
      <c r="Z511" s="36">
        <f>IFERROR(IF(Y511=0,"",ROUNDUP(Y511/H511,0)*0.01196),"")</f>
        <v>0.10764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45.850378787878789</v>
      </c>
      <c r="BN511" s="64">
        <f t="shared" ref="BN511:BN518" si="73">IFERROR(Y511*I511/H511,"0")</f>
        <v>50.669999999999995</v>
      </c>
      <c r="BO511" s="64">
        <f t="shared" ref="BO511:BO518" si="74">IFERROR(1/J511*(X511/H511),"0")</f>
        <v>7.8307109557109553E-2</v>
      </c>
      <c r="BP511" s="64">
        <f t="shared" ref="BP511:BP518" si="75">IFERROR(1/J511*(Y511/H511),"0")</f>
        <v>8.6538461538461536E-2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1">
        <v>4680115889576</v>
      </c>
      <c r="E512" s="642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2"/>
      <c r="R512" s="652"/>
      <c r="S512" s="652"/>
      <c r="T512" s="653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1">
        <v>4680115885271</v>
      </c>
      <c r="E513" s="642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2"/>
      <c r="R513" s="652"/>
      <c r="S513" s="652"/>
      <c r="T513" s="653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41">
        <v>4680115885226</v>
      </c>
      <c r="E514" s="642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2"/>
      <c r="R514" s="652"/>
      <c r="S514" s="652"/>
      <c r="T514" s="653"/>
      <c r="U514" s="34"/>
      <c r="V514" s="34"/>
      <c r="W514" s="35" t="s">
        <v>67</v>
      </c>
      <c r="X514" s="635">
        <v>1155</v>
      </c>
      <c r="Y514" s="636">
        <f t="shared" si="71"/>
        <v>1156.3200000000002</v>
      </c>
      <c r="Z514" s="36">
        <f>IFERROR(IF(Y514=0,"",ROUNDUP(Y514/H514,0)*0.01196),"")</f>
        <v>2.61924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1231.5624999999998</v>
      </c>
      <c r="BN514" s="64">
        <f t="shared" si="73"/>
        <v>1232.97</v>
      </c>
      <c r="BO514" s="64">
        <f t="shared" si="74"/>
        <v>2.1033653846153846</v>
      </c>
      <c r="BP514" s="64">
        <f t="shared" si="75"/>
        <v>2.1057692307692313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41">
        <v>4607091389104</v>
      </c>
      <c r="E515" s="642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2"/>
      <c r="R515" s="652"/>
      <c r="S515" s="652"/>
      <c r="T515" s="653"/>
      <c r="U515" s="34"/>
      <c r="V515" s="34"/>
      <c r="W515" s="35" t="s">
        <v>67</v>
      </c>
      <c r="X515" s="635">
        <v>450</v>
      </c>
      <c r="Y515" s="636">
        <f t="shared" si="71"/>
        <v>454.08000000000004</v>
      </c>
      <c r="Z515" s="36">
        <f>IFERROR(IF(Y515=0,"",ROUNDUP(Y515/H515,0)*0.01196),"")</f>
        <v>1.0285599999999999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479.82954545454544</v>
      </c>
      <c r="BN515" s="64">
        <f t="shared" si="73"/>
        <v>484.18</v>
      </c>
      <c r="BO515" s="64">
        <f t="shared" si="74"/>
        <v>0.81949300699300698</v>
      </c>
      <c r="BP515" s="64">
        <f t="shared" si="75"/>
        <v>0.82692307692307698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1">
        <v>4680115886391</v>
      </c>
      <c r="E516" s="642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2"/>
      <c r="R516" s="652"/>
      <c r="S516" s="652"/>
      <c r="T516" s="653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41">
        <v>4680115880603</v>
      </c>
      <c r="E517" s="642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2"/>
      <c r="R517" s="652"/>
      <c r="S517" s="652"/>
      <c r="T517" s="653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41">
        <v>4607091389982</v>
      </c>
      <c r="E518" s="642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49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50"/>
      <c r="P519" s="643" t="s">
        <v>69</v>
      </c>
      <c r="Q519" s="644"/>
      <c r="R519" s="644"/>
      <c r="S519" s="644"/>
      <c r="T519" s="644"/>
      <c r="U519" s="644"/>
      <c r="V519" s="645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312.12121212121212</v>
      </c>
      <c r="Y519" s="637">
        <f>IFERROR(Y511/H511,"0")+IFERROR(Y512/H512,"0")+IFERROR(Y513/H513,"0")+IFERROR(Y514/H514,"0")+IFERROR(Y515/H515,"0")+IFERROR(Y516/H516,"0")+IFERROR(Y517/H517,"0")+IFERROR(Y518/H518,"0")</f>
        <v>314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3.7554400000000001</v>
      </c>
      <c r="AA519" s="638"/>
      <c r="AB519" s="638"/>
      <c r="AC519" s="638"/>
    </row>
    <row r="520" spans="1:68" x14ac:dyDescent="0.2">
      <c r="A520" s="647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50"/>
      <c r="P520" s="643" t="s">
        <v>69</v>
      </c>
      <c r="Q520" s="644"/>
      <c r="R520" s="644"/>
      <c r="S520" s="644"/>
      <c r="T520" s="644"/>
      <c r="U520" s="644"/>
      <c r="V520" s="645"/>
      <c r="W520" s="37" t="s">
        <v>67</v>
      </c>
      <c r="X520" s="637">
        <f>IFERROR(SUM(X511:X518),"0")</f>
        <v>1648</v>
      </c>
      <c r="Y520" s="637">
        <f>IFERROR(SUM(Y511:Y518),"0")</f>
        <v>1657.92</v>
      </c>
      <c r="Z520" s="37"/>
      <c r="AA520" s="638"/>
      <c r="AB520" s="638"/>
      <c r="AC520" s="638"/>
    </row>
    <row r="521" spans="1:68" ht="14.25" hidden="1" customHeight="1" x14ac:dyDescent="0.25">
      <c r="A521" s="648" t="s">
        <v>155</v>
      </c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  <c r="Y521" s="647"/>
      <c r="Z521" s="647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41">
        <v>4607091388930</v>
      </c>
      <c r="E522" s="642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2"/>
      <c r="R522" s="652"/>
      <c r="S522" s="652"/>
      <c r="T522" s="653"/>
      <c r="U522" s="34"/>
      <c r="V522" s="34"/>
      <c r="W522" s="35" t="s">
        <v>67</v>
      </c>
      <c r="X522" s="635">
        <v>630</v>
      </c>
      <c r="Y522" s="636">
        <f>IFERROR(IF(X522="",0,CEILING((X522/$H522),1)*$H522),"")</f>
        <v>633.6</v>
      </c>
      <c r="Z522" s="36">
        <f>IFERROR(IF(Y522=0,"",ROUNDUP(Y522/H522,0)*0.01196),"")</f>
        <v>1.4352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671.76136363636363</v>
      </c>
      <c r="BN522" s="64">
        <f>IFERROR(Y522*I522/H522,"0")</f>
        <v>675.6</v>
      </c>
      <c r="BO522" s="64">
        <f>IFERROR(1/J522*(X522/H522),"0")</f>
        <v>1.1472902097902098</v>
      </c>
      <c r="BP522" s="64">
        <f>IFERROR(1/J522*(Y522/H522),"0")</f>
        <v>1.153846153846154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1">
        <v>4680115886407</v>
      </c>
      <c r="E523" s="642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2"/>
      <c r="R523" s="652"/>
      <c r="S523" s="652"/>
      <c r="T523" s="653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1">
        <v>4680115880054</v>
      </c>
      <c r="E524" s="642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9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49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50"/>
      <c r="P525" s="643" t="s">
        <v>69</v>
      </c>
      <c r="Q525" s="644"/>
      <c r="R525" s="644"/>
      <c r="S525" s="644"/>
      <c r="T525" s="644"/>
      <c r="U525" s="644"/>
      <c r="V525" s="645"/>
      <c r="W525" s="37" t="s">
        <v>70</v>
      </c>
      <c r="X525" s="637">
        <f>IFERROR(X522/H522,"0")+IFERROR(X523/H523,"0")+IFERROR(X524/H524,"0")</f>
        <v>119.31818181818181</v>
      </c>
      <c r="Y525" s="637">
        <f>IFERROR(Y522/H522,"0")+IFERROR(Y523/H523,"0")+IFERROR(Y524/H524,"0")</f>
        <v>120</v>
      </c>
      <c r="Z525" s="637">
        <f>IFERROR(IF(Z522="",0,Z522),"0")+IFERROR(IF(Z523="",0,Z523),"0")+IFERROR(IF(Z524="",0,Z524),"0")</f>
        <v>1.4352</v>
      </c>
      <c r="AA525" s="638"/>
      <c r="AB525" s="638"/>
      <c r="AC525" s="638"/>
    </row>
    <row r="526" spans="1:68" x14ac:dyDescent="0.2">
      <c r="A526" s="647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50"/>
      <c r="P526" s="643" t="s">
        <v>69</v>
      </c>
      <c r="Q526" s="644"/>
      <c r="R526" s="644"/>
      <c r="S526" s="644"/>
      <c r="T526" s="644"/>
      <c r="U526" s="644"/>
      <c r="V526" s="645"/>
      <c r="W526" s="37" t="s">
        <v>67</v>
      </c>
      <c r="X526" s="637">
        <f>IFERROR(SUM(X522:X524),"0")</f>
        <v>630</v>
      </c>
      <c r="Y526" s="637">
        <f>IFERROR(SUM(Y522:Y524),"0")</f>
        <v>633.6</v>
      </c>
      <c r="Z526" s="37"/>
      <c r="AA526" s="638"/>
      <c r="AB526" s="638"/>
      <c r="AC526" s="638"/>
    </row>
    <row r="527" spans="1:68" ht="14.25" hidden="1" customHeight="1" x14ac:dyDescent="0.25">
      <c r="A527" s="648" t="s">
        <v>62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31"/>
      <c r="AB527" s="631"/>
      <c r="AC527" s="631"/>
    </row>
    <row r="528" spans="1:68" ht="27" customHeight="1" x14ac:dyDescent="0.25">
      <c r="A528" s="54" t="s">
        <v>827</v>
      </c>
      <c r="B528" s="54" t="s">
        <v>828</v>
      </c>
      <c r="C528" s="31">
        <v>4301031349</v>
      </c>
      <c r="D528" s="641">
        <v>4680115883116</v>
      </c>
      <c r="E528" s="642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2"/>
      <c r="R528" s="652"/>
      <c r="S528" s="652"/>
      <c r="T528" s="653"/>
      <c r="U528" s="34"/>
      <c r="V528" s="34"/>
      <c r="W528" s="35" t="s">
        <v>67</v>
      </c>
      <c r="X528" s="635">
        <v>6</v>
      </c>
      <c r="Y528" s="636">
        <f t="shared" ref="Y528:Y534" si="76">IFERROR(IF(X528="",0,CEILING((X528/$H528),1)*$H528),"")</f>
        <v>10.56</v>
      </c>
      <c r="Z528" s="36">
        <f>IFERROR(IF(Y528=0,"",ROUNDUP(Y528/H528,0)*0.01196),"")</f>
        <v>2.392E-2</v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6.3977272727272725</v>
      </c>
      <c r="BN528" s="64">
        <f t="shared" ref="BN528:BN534" si="78">IFERROR(Y528*I528/H528,"0")</f>
        <v>11.26</v>
      </c>
      <c r="BO528" s="64">
        <f t="shared" ref="BO528:BO534" si="79">IFERROR(1/J528*(X528/H528),"0")</f>
        <v>1.0926573426573426E-2</v>
      </c>
      <c r="BP528" s="64">
        <f t="shared" ref="BP528:BP534" si="80">IFERROR(1/J528*(Y528/H528),"0")</f>
        <v>1.9230769230769232E-2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41">
        <v>4680115883093</v>
      </c>
      <c r="E529" s="642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2"/>
      <c r="R529" s="652"/>
      <c r="S529" s="652"/>
      <c r="T529" s="653"/>
      <c r="U529" s="34"/>
      <c r="V529" s="34"/>
      <c r="W529" s="35" t="s">
        <v>67</v>
      </c>
      <c r="X529" s="635">
        <v>338</v>
      </c>
      <c r="Y529" s="636">
        <f t="shared" si="76"/>
        <v>343.2</v>
      </c>
      <c r="Z529" s="36">
        <f>IFERROR(IF(Y529=0,"",ROUNDUP(Y529/H529,0)*0.01196),"")</f>
        <v>0.77739999999999998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360.405303030303</v>
      </c>
      <c r="BN529" s="64">
        <f t="shared" si="78"/>
        <v>365.95</v>
      </c>
      <c r="BO529" s="64">
        <f t="shared" si="79"/>
        <v>0.61553030303030309</v>
      </c>
      <c r="BP529" s="64">
        <f t="shared" si="80"/>
        <v>0.625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41">
        <v>4680115883109</v>
      </c>
      <c r="E530" s="642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2"/>
      <c r="R530" s="652"/>
      <c r="S530" s="652"/>
      <c r="T530" s="653"/>
      <c r="U530" s="34"/>
      <c r="V530" s="34"/>
      <c r="W530" s="35" t="s">
        <v>67</v>
      </c>
      <c r="X530" s="635">
        <v>1260</v>
      </c>
      <c r="Y530" s="636">
        <f t="shared" si="76"/>
        <v>1261.92</v>
      </c>
      <c r="Z530" s="36">
        <f>IFERROR(IF(Y530=0,"",ROUNDUP(Y530/H530,0)*0.01196),"")</f>
        <v>2.8584399999999999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1343.5227272727273</v>
      </c>
      <c r="BN530" s="64">
        <f t="shared" si="78"/>
        <v>1345.5700000000002</v>
      </c>
      <c r="BO530" s="64">
        <f t="shared" si="79"/>
        <v>2.2945804195804196</v>
      </c>
      <c r="BP530" s="64">
        <f t="shared" si="80"/>
        <v>2.2980769230769234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1">
        <v>4680115882072</v>
      </c>
      <c r="E531" s="642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2"/>
      <c r="R531" s="652"/>
      <c r="S531" s="652"/>
      <c r="T531" s="653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1">
        <v>4680115882102</v>
      </c>
      <c r="E532" s="642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2"/>
      <c r="R532" s="652"/>
      <c r="S532" s="652"/>
      <c r="T532" s="653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1">
        <v>4680115882102</v>
      </c>
      <c r="E533" s="642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2"/>
      <c r="R533" s="652"/>
      <c r="S533" s="652"/>
      <c r="T533" s="653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1">
        <v>4680115882096</v>
      </c>
      <c r="E534" s="642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2"/>
      <c r="R534" s="652"/>
      <c r="S534" s="652"/>
      <c r="T534" s="653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49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50"/>
      <c r="P535" s="643" t="s">
        <v>69</v>
      </c>
      <c r="Q535" s="644"/>
      <c r="R535" s="644"/>
      <c r="S535" s="644"/>
      <c r="T535" s="644"/>
      <c r="U535" s="644"/>
      <c r="V535" s="645"/>
      <c r="W535" s="37" t="s">
        <v>70</v>
      </c>
      <c r="X535" s="637">
        <f>IFERROR(X528/H528,"0")+IFERROR(X529/H529,"0")+IFERROR(X530/H530,"0")+IFERROR(X531/H531,"0")+IFERROR(X532/H532,"0")+IFERROR(X533/H533,"0")+IFERROR(X534/H534,"0")</f>
        <v>303.78787878787875</v>
      </c>
      <c r="Y535" s="637">
        <f>IFERROR(Y528/H528,"0")+IFERROR(Y529/H529,"0")+IFERROR(Y530/H530,"0")+IFERROR(Y531/H531,"0")+IFERROR(Y532/H532,"0")+IFERROR(Y533/H533,"0")+IFERROR(Y534/H534,"0")</f>
        <v>306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3.6597599999999999</v>
      </c>
      <c r="AA535" s="638"/>
      <c r="AB535" s="638"/>
      <c r="AC535" s="638"/>
    </row>
    <row r="536" spans="1:68" x14ac:dyDescent="0.2">
      <c r="A536" s="647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50"/>
      <c r="P536" s="643" t="s">
        <v>69</v>
      </c>
      <c r="Q536" s="644"/>
      <c r="R536" s="644"/>
      <c r="S536" s="644"/>
      <c r="T536" s="644"/>
      <c r="U536" s="644"/>
      <c r="V536" s="645"/>
      <c r="W536" s="37" t="s">
        <v>67</v>
      </c>
      <c r="X536" s="637">
        <f>IFERROR(SUM(X528:X534),"0")</f>
        <v>1604</v>
      </c>
      <c r="Y536" s="637">
        <f>IFERROR(SUM(Y528:Y534),"0")</f>
        <v>1615.68</v>
      </c>
      <c r="Z536" s="37"/>
      <c r="AA536" s="638"/>
      <c r="AB536" s="638"/>
      <c r="AC536" s="638"/>
    </row>
    <row r="537" spans="1:68" ht="27.75" hidden="1" customHeight="1" x14ac:dyDescent="0.2">
      <c r="A537" s="682" t="s">
        <v>843</v>
      </c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48"/>
      <c r="AB537" s="48"/>
      <c r="AC537" s="48"/>
    </row>
    <row r="538" spans="1:68" ht="16.5" hidden="1" customHeight="1" x14ac:dyDescent="0.25">
      <c r="A538" s="646" t="s">
        <v>843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0"/>
      <c r="AB538" s="630"/>
      <c r="AC538" s="630"/>
    </row>
    <row r="539" spans="1:68" ht="14.25" hidden="1" customHeight="1" x14ac:dyDescent="0.25">
      <c r="A539" s="648" t="s">
        <v>119</v>
      </c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  <c r="Y539" s="647"/>
      <c r="Z539" s="647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1">
        <v>4680115889736</v>
      </c>
      <c r="E540" s="642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2"/>
      <c r="R540" s="652"/>
      <c r="S540" s="652"/>
      <c r="T540" s="653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49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50"/>
      <c r="P541" s="643" t="s">
        <v>69</v>
      </c>
      <c r="Q541" s="644"/>
      <c r="R541" s="644"/>
      <c r="S541" s="644"/>
      <c r="T541" s="644"/>
      <c r="U541" s="644"/>
      <c r="V541" s="645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50"/>
      <c r="P542" s="643" t="s">
        <v>69</v>
      </c>
      <c r="Q542" s="644"/>
      <c r="R542" s="644"/>
      <c r="S542" s="644"/>
      <c r="T542" s="644"/>
      <c r="U542" s="644"/>
      <c r="V542" s="645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8" t="s">
        <v>155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7"/>
      <c r="Z543" s="647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1">
        <v>4680115889781</v>
      </c>
      <c r="E544" s="642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2"/>
      <c r="R544" s="652"/>
      <c r="S544" s="652"/>
      <c r="T544" s="653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9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50"/>
      <c r="P545" s="643" t="s">
        <v>69</v>
      </c>
      <c r="Q545" s="644"/>
      <c r="R545" s="644"/>
      <c r="S545" s="644"/>
      <c r="T545" s="644"/>
      <c r="U545" s="644"/>
      <c r="V545" s="645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50"/>
      <c r="P546" s="643" t="s">
        <v>69</v>
      </c>
      <c r="Q546" s="644"/>
      <c r="R546" s="644"/>
      <c r="S546" s="644"/>
      <c r="T546" s="644"/>
      <c r="U546" s="644"/>
      <c r="V546" s="645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8" t="s">
        <v>62</v>
      </c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  <c r="Y547" s="647"/>
      <c r="Z547" s="647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1">
        <v>4680115889774</v>
      </c>
      <c r="E548" s="642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2"/>
      <c r="R548" s="652"/>
      <c r="S548" s="652"/>
      <c r="T548" s="653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49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50"/>
      <c r="P549" s="643" t="s">
        <v>69</v>
      </c>
      <c r="Q549" s="644"/>
      <c r="R549" s="644"/>
      <c r="S549" s="644"/>
      <c r="T549" s="644"/>
      <c r="U549" s="644"/>
      <c r="V549" s="645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7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50"/>
      <c r="P550" s="643" t="s">
        <v>69</v>
      </c>
      <c r="Q550" s="644"/>
      <c r="R550" s="644"/>
      <c r="S550" s="644"/>
      <c r="T550" s="644"/>
      <c r="U550" s="644"/>
      <c r="V550" s="645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8" t="s">
        <v>71</v>
      </c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  <c r="Y551" s="647"/>
      <c r="Z551" s="647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41">
        <v>4680115889811</v>
      </c>
      <c r="E552" s="642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8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2"/>
      <c r="R552" s="652"/>
      <c r="S552" s="652"/>
      <c r="T552" s="653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49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0"/>
      <c r="P553" s="643" t="s">
        <v>69</v>
      </c>
      <c r="Q553" s="644"/>
      <c r="R553" s="644"/>
      <c r="S553" s="644"/>
      <c r="T553" s="644"/>
      <c r="U553" s="644"/>
      <c r="V553" s="645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0"/>
      <c r="P554" s="643" t="s">
        <v>69</v>
      </c>
      <c r="Q554" s="644"/>
      <c r="R554" s="644"/>
      <c r="S554" s="644"/>
      <c r="T554" s="644"/>
      <c r="U554" s="644"/>
      <c r="V554" s="645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8" t="s">
        <v>173</v>
      </c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  <c r="Y555" s="647"/>
      <c r="Z555" s="647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1">
        <v>4680115889804</v>
      </c>
      <c r="E556" s="642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2"/>
      <c r="R556" s="652"/>
      <c r="S556" s="652"/>
      <c r="T556" s="653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1">
        <v>4680115889828</v>
      </c>
      <c r="E557" s="642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0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2"/>
      <c r="R557" s="652"/>
      <c r="S557" s="652"/>
      <c r="T557" s="653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49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0"/>
      <c r="P558" s="643" t="s">
        <v>69</v>
      </c>
      <c r="Q558" s="644"/>
      <c r="R558" s="644"/>
      <c r="S558" s="644"/>
      <c r="T558" s="644"/>
      <c r="U558" s="644"/>
      <c r="V558" s="645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7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50"/>
      <c r="P559" s="643" t="s">
        <v>69</v>
      </c>
      <c r="Q559" s="644"/>
      <c r="R559" s="644"/>
      <c r="S559" s="644"/>
      <c r="T559" s="644"/>
      <c r="U559" s="644"/>
      <c r="V559" s="645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6" t="s">
        <v>861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0"/>
      <c r="AB560" s="630"/>
      <c r="AC560" s="630"/>
    </row>
    <row r="561" spans="1:68" ht="14.25" hidden="1" customHeight="1" x14ac:dyDescent="0.25">
      <c r="A561" s="648" t="s">
        <v>155</v>
      </c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  <c r="Y561" s="647"/>
      <c r="Z561" s="647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1">
        <v>4680115889798</v>
      </c>
      <c r="E562" s="642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2"/>
      <c r="R562" s="652"/>
      <c r="S562" s="652"/>
      <c r="T562" s="653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49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50"/>
      <c r="P563" s="643" t="s">
        <v>69</v>
      </c>
      <c r="Q563" s="644"/>
      <c r="R563" s="644"/>
      <c r="S563" s="644"/>
      <c r="T563" s="644"/>
      <c r="U563" s="644"/>
      <c r="V563" s="645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7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50"/>
      <c r="P564" s="643" t="s">
        <v>69</v>
      </c>
      <c r="Q564" s="644"/>
      <c r="R564" s="644"/>
      <c r="S564" s="644"/>
      <c r="T564" s="644"/>
      <c r="U564" s="644"/>
      <c r="V564" s="645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805"/>
      <c r="P565" s="689" t="s">
        <v>865</v>
      </c>
      <c r="Q565" s="690"/>
      <c r="R565" s="690"/>
      <c r="S565" s="690"/>
      <c r="T565" s="690"/>
      <c r="U565" s="690"/>
      <c r="V565" s="691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15440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15593.58</v>
      </c>
      <c r="Z565" s="37"/>
      <c r="AA565" s="638"/>
      <c r="AB565" s="638"/>
      <c r="AC565" s="638"/>
    </row>
    <row r="566" spans="1:68" x14ac:dyDescent="0.2">
      <c r="A566" s="647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805"/>
      <c r="P566" s="689" t="s">
        <v>866</v>
      </c>
      <c r="Q566" s="690"/>
      <c r="R566" s="690"/>
      <c r="S566" s="690"/>
      <c r="T566" s="690"/>
      <c r="U566" s="690"/>
      <c r="V566" s="691"/>
      <c r="W566" s="37" t="s">
        <v>67</v>
      </c>
      <c r="X566" s="637">
        <f>IFERROR(SUM(BM22:BM562),"0")</f>
        <v>16327.742779612243</v>
      </c>
      <c r="Y566" s="637">
        <f>IFERROR(SUM(BN22:BN562),"0")</f>
        <v>16491.136999999999</v>
      </c>
      <c r="Z566" s="37"/>
      <c r="AA566" s="638"/>
      <c r="AB566" s="638"/>
      <c r="AC566" s="638"/>
    </row>
    <row r="567" spans="1:68" x14ac:dyDescent="0.2">
      <c r="A567" s="647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805"/>
      <c r="P567" s="689" t="s">
        <v>867</v>
      </c>
      <c r="Q567" s="690"/>
      <c r="R567" s="690"/>
      <c r="S567" s="690"/>
      <c r="T567" s="690"/>
      <c r="U567" s="690"/>
      <c r="V567" s="691"/>
      <c r="W567" s="37" t="s">
        <v>868</v>
      </c>
      <c r="X567" s="38">
        <f>ROUNDUP(SUM(BO22:BO562),0)</f>
        <v>28</v>
      </c>
      <c r="Y567" s="38">
        <f>ROUNDUP(SUM(BP22:BP562),0)</f>
        <v>28</v>
      </c>
      <c r="Z567" s="37"/>
      <c r="AA567" s="638"/>
      <c r="AB567" s="638"/>
      <c r="AC567" s="638"/>
    </row>
    <row r="568" spans="1:68" x14ac:dyDescent="0.2">
      <c r="A568" s="647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805"/>
      <c r="P568" s="689" t="s">
        <v>869</v>
      </c>
      <c r="Q568" s="690"/>
      <c r="R568" s="690"/>
      <c r="S568" s="690"/>
      <c r="T568" s="690"/>
      <c r="U568" s="690"/>
      <c r="V568" s="691"/>
      <c r="W568" s="37" t="s">
        <v>67</v>
      </c>
      <c r="X568" s="637">
        <f>GrossWeightTotal+PalletQtyTotal*25</f>
        <v>17027.742779612243</v>
      </c>
      <c r="Y568" s="637">
        <f>GrossWeightTotalR+PalletQtyTotalR*25</f>
        <v>17191.136999999999</v>
      </c>
      <c r="Z568" s="37"/>
      <c r="AA568" s="638"/>
      <c r="AB568" s="638"/>
      <c r="AC568" s="638"/>
    </row>
    <row r="569" spans="1:68" x14ac:dyDescent="0.2">
      <c r="A569" s="647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805"/>
      <c r="P569" s="689" t="s">
        <v>870</v>
      </c>
      <c r="Q569" s="690"/>
      <c r="R569" s="690"/>
      <c r="S569" s="690"/>
      <c r="T569" s="690"/>
      <c r="U569" s="690"/>
      <c r="V569" s="691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2614.144690107436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2644</v>
      </c>
      <c r="Z569" s="37"/>
      <c r="AA569" s="638"/>
      <c r="AB569" s="638"/>
      <c r="AC569" s="638"/>
    </row>
    <row r="570" spans="1:68" ht="14.25" hidden="1" customHeight="1" x14ac:dyDescent="0.2">
      <c r="A570" s="647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805"/>
      <c r="P570" s="689" t="s">
        <v>871</v>
      </c>
      <c r="Q570" s="690"/>
      <c r="R570" s="690"/>
      <c r="S570" s="690"/>
      <c r="T570" s="690"/>
      <c r="U570" s="690"/>
      <c r="V570" s="691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32.587049999999998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61" t="s">
        <v>117</v>
      </c>
      <c r="E572" s="873"/>
      <c r="F572" s="873"/>
      <c r="G572" s="873"/>
      <c r="H572" s="873"/>
      <c r="I572" s="873"/>
      <c r="J572" s="845"/>
      <c r="K572" s="661" t="s">
        <v>337</v>
      </c>
      <c r="L572" s="873"/>
      <c r="M572" s="873"/>
      <c r="N572" s="873"/>
      <c r="O572" s="873"/>
      <c r="P572" s="873"/>
      <c r="Q572" s="873"/>
      <c r="R572" s="873"/>
      <c r="S572" s="873"/>
      <c r="T572" s="873"/>
      <c r="U572" s="873"/>
      <c r="V572" s="873"/>
      <c r="W572" s="845"/>
      <c r="X572" s="661" t="s">
        <v>700</v>
      </c>
      <c r="Y572" s="845"/>
      <c r="Z572" s="661" t="s">
        <v>766</v>
      </c>
      <c r="AA572" s="845"/>
      <c r="AB572" s="632" t="s">
        <v>799</v>
      </c>
      <c r="AC572" s="661" t="s">
        <v>843</v>
      </c>
      <c r="AD572" s="845"/>
      <c r="AF572" s="633"/>
    </row>
    <row r="573" spans="1:68" ht="14.25" customHeight="1" thickTop="1" x14ac:dyDescent="0.2">
      <c r="A573" s="868" t="s">
        <v>874</v>
      </c>
      <c r="B573" s="661" t="s">
        <v>61</v>
      </c>
      <c r="C573" s="661" t="s">
        <v>101</v>
      </c>
      <c r="D573" s="661" t="s">
        <v>118</v>
      </c>
      <c r="E573" s="661" t="s">
        <v>134</v>
      </c>
      <c r="F573" s="661" t="s">
        <v>181</v>
      </c>
      <c r="G573" s="661" t="s">
        <v>205</v>
      </c>
      <c r="H573" s="661" t="s">
        <v>248</v>
      </c>
      <c r="I573" s="661" t="s">
        <v>261</v>
      </c>
      <c r="J573" s="661" t="s">
        <v>117</v>
      </c>
      <c r="K573" s="661" t="s">
        <v>338</v>
      </c>
      <c r="L573" s="661" t="s">
        <v>359</v>
      </c>
      <c r="M573" s="661" t="s">
        <v>422</v>
      </c>
      <c r="N573" s="633"/>
      <c r="O573" s="661" t="s">
        <v>491</v>
      </c>
      <c r="P573" s="661" t="s">
        <v>526</v>
      </c>
      <c r="Q573" s="661" t="s">
        <v>548</v>
      </c>
      <c r="R573" s="661" t="s">
        <v>557</v>
      </c>
      <c r="S573" s="661" t="s">
        <v>579</v>
      </c>
      <c r="T573" s="661" t="s">
        <v>586</v>
      </c>
      <c r="U573" s="661" t="s">
        <v>595</v>
      </c>
      <c r="V573" s="661" t="s">
        <v>681</v>
      </c>
      <c r="W573" s="661" t="s">
        <v>690</v>
      </c>
      <c r="X573" s="661" t="s">
        <v>701</v>
      </c>
      <c r="Y573" s="661" t="s">
        <v>750</v>
      </c>
      <c r="Z573" s="661" t="s">
        <v>767</v>
      </c>
      <c r="AA573" s="661" t="s">
        <v>787</v>
      </c>
      <c r="AB573" s="661" t="s">
        <v>799</v>
      </c>
      <c r="AC573" s="661" t="s">
        <v>843</v>
      </c>
      <c r="AD573" s="661" t="s">
        <v>861</v>
      </c>
      <c r="AF573" s="633"/>
    </row>
    <row r="574" spans="1:68" ht="13.5" customHeight="1" thickBot="1" x14ac:dyDescent="0.25">
      <c r="A574" s="869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33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  <c r="AC574" s="662"/>
      <c r="AD574" s="662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7.2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749.2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394.6</v>
      </c>
      <c r="F575" s="46">
        <f>IFERROR(Y89*1,"0")+IFERROR(Y90*1,"0")+IFERROR(Y91*1,"0")+IFERROR(Y92*1,"0")+IFERROR(Y93*1,"0")+IFERROR(Y94*1,"0")+IFERROR(Y98*1,"0")+IFERROR(Y99*1,"0")+IFERROR(Y100*1,"0")+IFERROR(Y101*1,"0")</f>
        <v>778.08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1675.6200000000001</v>
      </c>
      <c r="H575" s="46">
        <f>IFERROR(Y136*1,"0")+IFERROR(Y137*1,"0")+IFERROR(Y141*1,"0")+IFERROR(Y142*1,"0")+IFERROR(Y146*1,"0")+IFERROR(Y147*1,"0")</f>
        <v>8.3999999999999986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426.98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102.2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905.39999999999986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1.8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266.39999999999998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382.2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745.80000000000007</v>
      </c>
      <c r="V575" s="46">
        <f>IFERROR(Y424*1,"0")+IFERROR(Y425*1,"0")+IFERROR(Y426*1,"0")</f>
        <v>0</v>
      </c>
      <c r="W575" s="46">
        <f>IFERROR(Y431*1,"0")+IFERROR(Y432*1,"0")+IFERROR(Y433*1,"0")</f>
        <v>31.5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3960</v>
      </c>
      <c r="Y575" s="46">
        <f>IFERROR(Y468*1,"0")+IFERROR(Y469*1,"0")+IFERROR(Y473*1,"0")+IFERROR(Y477*1,"0")+IFERROR(Y478*1,"0")+IFERROR(Y479*1,"0")</f>
        <v>1251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3907.2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155,00"/>
        <filter val="1 247,00"/>
        <filter val="1 260,00"/>
        <filter val="1 575,00"/>
        <filter val="1 598,00"/>
        <filter val="1 604,00"/>
        <filter val="1 648,00"/>
        <filter val="1,00"/>
        <filter val="1,67"/>
        <filter val="10,00"/>
        <filter val="10,32"/>
        <filter val="11,00"/>
        <filter val="110,00"/>
        <filter val="113,00"/>
        <filter val="114,00"/>
        <filter val="115,00"/>
        <filter val="119,32"/>
        <filter val="12,00"/>
        <filter val="12,14"/>
        <filter val="123,00"/>
        <filter val="124,94"/>
        <filter val="13,00"/>
        <filter val="138,56"/>
        <filter val="14,76"/>
        <filter val="15 440,00"/>
        <filter val="15,00"/>
        <filter val="150,00"/>
        <filter val="16 327,74"/>
        <filter val="16,00"/>
        <filter val="161,40"/>
        <filter val="162,00"/>
        <filter val="17 027,74"/>
        <filter val="18,00"/>
        <filter val="18,25"/>
        <filter val="183,00"/>
        <filter val="184,00"/>
        <filter val="2 614,14"/>
        <filter val="2,00"/>
        <filter val="2,50"/>
        <filter val="21,39"/>
        <filter val="222,53"/>
        <filter val="23,00"/>
        <filter val="264,00"/>
        <filter val="27,00"/>
        <filter val="28"/>
        <filter val="297,00"/>
        <filter val="3 338,00"/>
        <filter val="3,03"/>
        <filter val="3,33"/>
        <filter val="3,89"/>
        <filter val="300,00"/>
        <filter val="303,79"/>
        <filter val="305,00"/>
        <filter val="31,00"/>
        <filter val="312,12"/>
        <filter val="321,00"/>
        <filter val="338,00"/>
        <filter val="338,95"/>
        <filter val="347,65"/>
        <filter val="36,79"/>
        <filter val="370,00"/>
        <filter val="39,00"/>
        <filter val="39,20"/>
        <filter val="4,00"/>
        <filter val="40,00"/>
        <filter val="42,00"/>
        <filter val="423,00"/>
        <filter val="43,00"/>
        <filter val="437,00"/>
        <filter val="450,00"/>
        <filter val="47,44"/>
        <filter val="51,00"/>
        <filter val="526,00"/>
        <filter val="53,00"/>
        <filter val="588,00"/>
        <filter val="59,00"/>
        <filter val="6,00"/>
        <filter val="6,48"/>
        <filter val="609,00"/>
        <filter val="61,00"/>
        <filter val="621,00"/>
        <filter val="630,00"/>
        <filter val="65,00"/>
        <filter val="688,00"/>
        <filter val="7,00"/>
        <filter val="7,22"/>
        <filter val="7,41"/>
        <filter val="70,00"/>
        <filter val="70,64"/>
        <filter val="725,00"/>
        <filter val="738,00"/>
        <filter val="76,87"/>
        <filter val="785,00"/>
        <filter val="79,00"/>
        <filter val="8,00"/>
        <filter val="80,00"/>
        <filter val="83,00"/>
        <filter val="87,00"/>
        <filter val="893,00"/>
        <filter val="9,00"/>
        <filter val="978,00"/>
        <filter val="989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P499:T499"/>
    <mergeCell ref="D342:E342"/>
    <mergeCell ref="P292:T292"/>
    <mergeCell ref="A360:O361"/>
    <mergeCell ref="A553:O554"/>
    <mergeCell ref="P528:T528"/>
    <mergeCell ref="D552:E552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159:T159"/>
    <mergeCell ref="A275:Z275"/>
    <mergeCell ref="P517:T517"/>
    <mergeCell ref="D267:E267"/>
    <mergeCell ref="D120:E120"/>
    <mergeCell ref="P60:T60"/>
    <mergeCell ref="D239:E239"/>
    <mergeCell ref="D266:E266"/>
    <mergeCell ref="A339:Z339"/>
    <mergeCell ref="P74:V74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134:Z134"/>
    <mergeCell ref="A262:O263"/>
    <mergeCell ref="P303:T303"/>
    <mergeCell ref="P367:V367"/>
    <mergeCell ref="A420:O421"/>
    <mergeCell ref="P75:V75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P102:V102"/>
    <mergeCell ref="P280:T280"/>
    <mergeCell ref="A470:O471"/>
    <mergeCell ref="D261:E261"/>
    <mergeCell ref="D90:E90"/>
    <mergeCell ref="P411:T411"/>
    <mergeCell ref="D532:E532"/>
    <mergeCell ref="D63:E63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D100:E100"/>
    <mergeCell ref="P17:T18"/>
    <mergeCell ref="A545:O546"/>
    <mergeCell ref="D523:E523"/>
    <mergeCell ref="P63:T63"/>
    <mergeCell ref="P250:T250"/>
    <mergeCell ref="D329:E329"/>
    <mergeCell ref="P286:T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2026-10-28T11:29:59Z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