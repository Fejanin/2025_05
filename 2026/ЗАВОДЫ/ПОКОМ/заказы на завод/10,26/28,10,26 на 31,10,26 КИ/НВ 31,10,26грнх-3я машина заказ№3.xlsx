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6DF95A0-5797-41D9-864B-979ED5B4FC2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BP493" i="2" l="1"/>
  <c r="BN493" i="2"/>
  <c r="Z493" i="2"/>
  <c r="Z491" i="2"/>
  <c r="Y495" i="2"/>
  <c r="BN481" i="2"/>
  <c r="Z481" i="2"/>
  <c r="BN475" i="2"/>
  <c r="Z475" i="2"/>
  <c r="BN401" i="2"/>
  <c r="Z401" i="2"/>
  <c r="BN395" i="2"/>
  <c r="Z395" i="2"/>
  <c r="BP380" i="2"/>
  <c r="BN380" i="2"/>
  <c r="Z380" i="2"/>
  <c r="BP342" i="2"/>
  <c r="Z342" i="2"/>
  <c r="BP341" i="2"/>
  <c r="BN341" i="2"/>
  <c r="Z341" i="2"/>
  <c r="BN324" i="2"/>
  <c r="BP324" i="2"/>
  <c r="BP256" i="2"/>
  <c r="BN256" i="2"/>
  <c r="Z256" i="2"/>
  <c r="BN251" i="2"/>
  <c r="Z251" i="2"/>
  <c r="Z252" i="2" s="1"/>
  <c r="BP151" i="2"/>
  <c r="BN151" i="2"/>
  <c r="Z151" i="2"/>
  <c r="BN143" i="2"/>
  <c r="Z143" i="2"/>
  <c r="BP133" i="2"/>
  <c r="Z133" i="2"/>
  <c r="Z134" i="2" s="1"/>
  <c r="BP38" i="2"/>
  <c r="Z38" i="2"/>
  <c r="Y32" i="2"/>
  <c r="BP27" i="2"/>
  <c r="BN27" i="2"/>
  <c r="Z27" i="2"/>
  <c r="Y2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Z446" i="2" s="1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355" i="2" s="1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Z117" i="2" s="1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478" i="2" l="1"/>
  <c r="Z440" i="2"/>
  <c r="Z230" i="2"/>
  <c r="Z51" i="2"/>
  <c r="Z263" i="2"/>
  <c r="Z494" i="2"/>
  <c r="Z414" i="2"/>
  <c r="Z81" i="2"/>
  <c r="Z207" i="2"/>
  <c r="Z343" i="2"/>
  <c r="Z139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X557" i="2" s="1"/>
  <c r="Y388" i="2"/>
  <c r="Y389" i="2" l="1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<sst xmlns="http://schemas.openxmlformats.org/spreadsheetml/2006/main" count="4298" uniqueCount="916">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</sst>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 t="s">
        <v>915</v>
      </c>
      <c r="I5" s="1004"/>
      <c r="J5" s="1004"/>
      <c r="K5" s="1004"/>
      <c r="L5" s="1004"/>
      <c r="M5" s="1004"/>
      <c r="N5" s="69"/>
      <c r="P5" s="26" t="s">
        <v>4</v>
      </c>
      <c r="Q5" s="1006">
        <v>46326</v>
      </c>
      <c r="R5" s="1006"/>
      <c r="T5" s="1007" t="s">
        <v>3</v>
      </c>
      <c r="U5" s="1008"/>
      <c r="V5" s="1009" t="s">
        <v>875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 t="s">
        <v>891</v>
      </c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>Суббота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 t="str">
        <f>IFERROR(VLOOKUP(DeliveryAddress,Table,3,0),1)</f>
        <v>6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>
        <v>0.45833333333333331</v>
      </c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345.6</v>
      </c>
      <c r="Y47" s="53">
        <f>IFERROR(IF(X47="",0,CEILING((X47/$H47),1)*$H47),"")</f>
        <v>345.6</v>
      </c>
      <c r="Z47" s="39">
        <f>IFERROR(IF(Y47=0,"",ROUNDUP(Y47/H47,0)*0.01898),"")</f>
        <v>0.60736000000000001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358.72</v>
      </c>
      <c r="BN47" s="75">
        <f>IFERROR(Y47*I47/H47,"0")</f>
        <v>358.72</v>
      </c>
      <c r="BO47" s="75">
        <f>IFERROR(1/J47*(X47/H47),"0")</f>
        <v>0.5</v>
      </c>
      <c r="BP47" s="75">
        <f>IFERROR(1/J47*(Y47/H47),"0")</f>
        <v>0.5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32</v>
      </c>
      <c r="Y51" s="41">
        <f>IFERROR(Y47/H47,"0")+IFERROR(Y48/H48,"0")+IFERROR(Y49/H49,"0")+IFERROR(Y50/H50,"0")</f>
        <v>32</v>
      </c>
      <c r="Z51" s="41">
        <f>IFERROR(IF(Z47="",0,Z47),"0")+IFERROR(IF(Z48="",0,Z48),"0")+IFERROR(IF(Z49="",0,Z49),"0")+IFERROR(IF(Z50="",0,Z50),"0")</f>
        <v>0.60736000000000001</v>
      </c>
      <c r="AA51" s="64"/>
      <c r="AB51" s="64"/>
      <c r="AC51" s="6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345.6</v>
      </c>
      <c r="Y52" s="41">
        <f>IFERROR(SUM(Y47:Y50),"0")</f>
        <v>345.6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179.2</v>
      </c>
      <c r="Y55" s="53">
        <f t="shared" ref="Y55:Y61" si="0">IFERROR(IF(X55="",0,CEILING((X55/$H55),1)*$H55),"")</f>
        <v>179.2</v>
      </c>
      <c r="Z55" s="39">
        <f>IFERROR(IF(Y55=0,"",ROUNDUP(Y55/H55,0)*0.01898),"")</f>
        <v>0.30368000000000001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185.76</v>
      </c>
      <c r="BN55" s="75">
        <f t="shared" ref="BN55:BN61" si="2">IFERROR(Y55*I55/H55,"0")</f>
        <v>185.76</v>
      </c>
      <c r="BO55" s="75">
        <f t="shared" ref="BO55:BO61" si="3">IFERROR(1/J55*(X55/H55),"0")</f>
        <v>0.25</v>
      </c>
      <c r="BP55" s="75">
        <f t="shared" ref="BP55:BP61" si="4">IFERROR(1/J55*(Y55/H55),"0")</f>
        <v>0.25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172.8</v>
      </c>
      <c r="Y56" s="53">
        <f t="shared" si="0"/>
        <v>172.8</v>
      </c>
      <c r="Z56" s="39">
        <f>IFERROR(IF(Y56=0,"",ROUNDUP(Y56/H56,0)*0.01898),"")</f>
        <v>0.30368000000000001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179.36</v>
      </c>
      <c r="BN56" s="75">
        <f t="shared" si="2"/>
        <v>179.36</v>
      </c>
      <c r="BO56" s="75">
        <f t="shared" si="3"/>
        <v>0.25</v>
      </c>
      <c r="BP56" s="75">
        <f t="shared" si="4"/>
        <v>0.25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32</v>
      </c>
      <c r="Y62" s="41">
        <f>IFERROR(Y55/H55,"0")+IFERROR(Y56/H56,"0")+IFERROR(Y57/H57,"0")+IFERROR(Y58/H58,"0")+IFERROR(Y59/H59,"0")+IFERROR(Y60/H60,"0")+IFERROR(Y61/H61,"0")</f>
        <v>32</v>
      </c>
      <c r="Z62" s="41">
        <f>IFERROR(IF(Z55="",0,Z55),"0")+IFERROR(IF(Z56="",0,Z56),"0")+IFERROR(IF(Z57="",0,Z57),"0")+IFERROR(IF(Z58="",0,Z58),"0")+IFERROR(IF(Z59="",0,Z59),"0")+IFERROR(IF(Z60="",0,Z60),"0")+IFERROR(IF(Z61="",0,Z61),"0")</f>
        <v>0.60736000000000001</v>
      </c>
      <c r="AA62" s="64"/>
      <c r="AB62" s="64"/>
      <c r="AC62" s="6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352</v>
      </c>
      <c r="Y63" s="41">
        <f>IFERROR(SUM(Y55:Y61),"0")</f>
        <v>352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172.8</v>
      </c>
      <c r="Y65" s="53">
        <f>IFERROR(IF(X65="",0,CEILING((X65/$H65),1)*$H65),"")</f>
        <v>172.8</v>
      </c>
      <c r="Z65" s="39">
        <f>IFERROR(IF(Y65=0,"",ROUNDUP(Y65/H65,0)*0.01898),"")</f>
        <v>0.30368000000000001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179.36</v>
      </c>
      <c r="BN65" s="75">
        <f>IFERROR(Y65*I65/H65,"0")</f>
        <v>179.36</v>
      </c>
      <c r="BO65" s="75">
        <f>IFERROR(1/J65*(X65/H65),"0")</f>
        <v>0.25</v>
      </c>
      <c r="BP65" s="75">
        <f>IFERROR(1/J65*(Y65/H65),"0")</f>
        <v>0.25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16</v>
      </c>
      <c r="Y69" s="41">
        <f>IFERROR(Y65/H65,"0")+IFERROR(Y66/H66,"0")+IFERROR(Y67/H67,"0")+IFERROR(Y68/H68,"0")</f>
        <v>16</v>
      </c>
      <c r="Z69" s="41">
        <f>IFERROR(IF(Z65="",0,Z65),"0")+IFERROR(IF(Z66="",0,Z66),"0")+IFERROR(IF(Z67="",0,Z67),"0")+IFERROR(IF(Z68="",0,Z68),"0")</f>
        <v>0.30368000000000001</v>
      </c>
      <c r="AA69" s="64"/>
      <c r="AB69" s="64"/>
      <c r="AC69" s="6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172.8</v>
      </c>
      <c r="Y70" s="41">
        <f>IFERROR(SUM(Y65:Y68),"0")</f>
        <v>172.8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62.4</v>
      </c>
      <c r="Y78" s="53">
        <f>IFERROR(IF(X78="",0,CEILING((X78/$H78),1)*$H78),"")</f>
        <v>62.4</v>
      </c>
      <c r="Z78" s="39">
        <f>IFERROR(IF(Y78=0,"",ROUNDUP(Y78/H78,0)*0.01898),"")</f>
        <v>0.15184</v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65.680000000000007</v>
      </c>
      <c r="BN78" s="75">
        <f>IFERROR(Y78*I78/H78,"0")</f>
        <v>65.680000000000007</v>
      </c>
      <c r="BO78" s="75">
        <f>IFERROR(1/J78*(X78/H78),"0")</f>
        <v>0.125</v>
      </c>
      <c r="BP78" s="75">
        <f>IFERROR(1/J78*(Y78/H78),"0")</f>
        <v>0.125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8</v>
      </c>
      <c r="Y81" s="41">
        <f>IFERROR(Y78/H78,"0")+IFERROR(Y79/H79,"0")+IFERROR(Y80/H80,"0")</f>
        <v>8</v>
      </c>
      <c r="Z81" s="41">
        <f>IFERROR(IF(Z78="",0,Z78),"0")+IFERROR(IF(Z79="",0,Z79),"0")+IFERROR(IF(Z80="",0,Z80),"0")</f>
        <v>0.15184</v>
      </c>
      <c r="AA81" s="64"/>
      <c r="AB81" s="64"/>
      <c r="AC81" s="64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62.4</v>
      </c>
      <c r="Y82" s="41">
        <f>IFERROR(SUM(Y78:Y80),"0")</f>
        <v>62.4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172.8</v>
      </c>
      <c r="Y85" s="53">
        <f>IFERROR(IF(X85="",0,CEILING((X85/$H85),1)*$H85),"")</f>
        <v>172.8</v>
      </c>
      <c r="Z85" s="39">
        <f>IFERROR(IF(Y85=0,"",ROUNDUP(Y85/H85,0)*0.01898),"")</f>
        <v>0.30368000000000001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179.36</v>
      </c>
      <c r="BN85" s="75">
        <f>IFERROR(Y85*I85/H85,"0")</f>
        <v>179.36</v>
      </c>
      <c r="BO85" s="75">
        <f>IFERROR(1/J85*(X85/H85),"0")</f>
        <v>0.25</v>
      </c>
      <c r="BP85" s="75">
        <f>IFERROR(1/J85*(Y85/H85),"0")</f>
        <v>0.25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16</v>
      </c>
      <c r="Y90" s="41">
        <f>IFERROR(Y85/H85,"0")+IFERROR(Y86/H86,"0")+IFERROR(Y87/H87,"0")+IFERROR(Y88/H88,"0")+IFERROR(Y89/H89,"0")</f>
        <v>16</v>
      </c>
      <c r="Z90" s="41">
        <f>IFERROR(IF(Z85="",0,Z85),"0")+IFERROR(IF(Z86="",0,Z86),"0")+IFERROR(IF(Z87="",0,Z87),"0")+IFERROR(IF(Z88="",0,Z88),"0")+IFERROR(IF(Z89="",0,Z89),"0")</f>
        <v>0.30368000000000001</v>
      </c>
      <c r="AA90" s="64"/>
      <c r="AB90" s="64"/>
      <c r="AC90" s="64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172.8</v>
      </c>
      <c r="Y91" s="41">
        <f>IFERROR(SUM(Y85:Y89),"0")</f>
        <v>172.8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64.8</v>
      </c>
      <c r="Y93" s="53">
        <f>IFERROR(IF(X93="",0,CEILING((X93/$H93),1)*$H93),"")</f>
        <v>64.8</v>
      </c>
      <c r="Z93" s="39">
        <f>IFERROR(IF(Y93=0,"",ROUNDUP(Y93/H93,0)*0.01898),"")</f>
        <v>0.15184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68.751999999999995</v>
      </c>
      <c r="BN93" s="75">
        <f>IFERROR(Y93*I93/H93,"0")</f>
        <v>68.751999999999995</v>
      </c>
      <c r="BO93" s="75">
        <f>IFERROR(1/J93*(X93/H93),"0")</f>
        <v>0.125</v>
      </c>
      <c r="BP93" s="75">
        <f>IFERROR(1/J93*(Y93/H93),"0")</f>
        <v>0.125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22</v>
      </c>
      <c r="Y97" s="41">
        <f>IFERROR(Y93/H93,"0")+IFERROR(Y94/H94,"0")+IFERROR(Y95/H95,"0")+IFERROR(Y96/H96,"0")</f>
        <v>22</v>
      </c>
      <c r="Z97" s="41">
        <f>IFERROR(IF(Z93="",0,Z93),"0")+IFERROR(IF(Z94="",0,Z94),"0")+IFERROR(IF(Z95="",0,Z95),"0")+IFERROR(IF(Z96="",0,Z96),"0")</f>
        <v>0.24298</v>
      </c>
      <c r="AA97" s="64"/>
      <c r="AB97" s="64"/>
      <c r="AC97" s="64"/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102.6</v>
      </c>
      <c r="Y98" s="41">
        <f>IFERROR(SUM(Y93:Y96),"0")</f>
        <v>102.6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172.8</v>
      </c>
      <c r="Y101" s="53">
        <f t="shared" ref="Y101:Y108" si="5">IFERROR(IF(X101="",0,CEILING((X101/$H101),1)*$H101),"")</f>
        <v>172.8</v>
      </c>
      <c r="Z101" s="39">
        <f>IFERROR(IF(Y101=0,"",ROUNDUP(Y101/H101,0)*0.01898),"")</f>
        <v>0.30368000000000001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179.36</v>
      </c>
      <c r="BN101" s="75">
        <f t="shared" ref="BN101:BN108" si="7">IFERROR(Y101*I101/H101,"0")</f>
        <v>179.36</v>
      </c>
      <c r="BO101" s="75">
        <f t="shared" ref="BO101:BO108" si="8">IFERROR(1/J101*(X101/H101),"0")</f>
        <v>0.25</v>
      </c>
      <c r="BP101" s="75">
        <f t="shared" ref="BP101:BP108" si="9">IFERROR(1/J101*(Y101/H101),"0")</f>
        <v>0.25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16</v>
      </c>
      <c r="Y109" s="41">
        <f>IFERROR(Y101/H101,"0")+IFERROR(Y102/H102,"0")+IFERROR(Y103/H103,"0")+IFERROR(Y104/H104,"0")+IFERROR(Y105/H105,"0")+IFERROR(Y106/H106,"0")+IFERROR(Y107/H107,"0")+IFERROR(Y108/H108,"0")</f>
        <v>16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0.30368000000000001</v>
      </c>
      <c r="AA109" s="64"/>
      <c r="AB109" s="64"/>
      <c r="AC109" s="64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172.8</v>
      </c>
      <c r="Y110" s="41">
        <f>IFERROR(SUM(Y101:Y108),"0")</f>
        <v>172.8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129.6</v>
      </c>
      <c r="Y120" s="53">
        <f>IFERROR(IF(X120="",0,CEILING((X120/$H120),1)*$H120),"")</f>
        <v>129.6</v>
      </c>
      <c r="Z120" s="39">
        <f>IFERROR(IF(Y120=0,"",ROUNDUP(Y120/H120,0)*0.01898),"")</f>
        <v>0.30368000000000001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137.40799999999999</v>
      </c>
      <c r="BN120" s="75">
        <f>IFERROR(Y120*I120/H120,"0")</f>
        <v>137.40799999999999</v>
      </c>
      <c r="BO120" s="75">
        <f>IFERROR(1/J120*(X120/H120),"0")</f>
        <v>0.25</v>
      </c>
      <c r="BP120" s="75">
        <f>IFERROR(1/J120*(Y120/H120),"0")</f>
        <v>0.25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32.4</v>
      </c>
      <c r="Y122" s="53">
        <f>IFERROR(IF(X122="",0,CEILING((X122/$H122),1)*$H122),"")</f>
        <v>32.400000000000006</v>
      </c>
      <c r="Z122" s="39">
        <f>IFERROR(IF(Y122=0,"",ROUNDUP(Y122/H122,0)*0.00651),"")</f>
        <v>7.8119999999999995E-2</v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35.423999999999992</v>
      </c>
      <c r="BN122" s="75">
        <f>IFERROR(Y122*I122/H122,"0")</f>
        <v>35.424000000000007</v>
      </c>
      <c r="BO122" s="75">
        <f>IFERROR(1/J122*(X122/H122),"0")</f>
        <v>6.5934065934065936E-2</v>
      </c>
      <c r="BP122" s="75">
        <f>IFERROR(1/J122*(Y122/H122),"0")</f>
        <v>6.593406593406595E-2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28</v>
      </c>
      <c r="Y124" s="41">
        <f>IFERROR(Y120/H120,"0")+IFERROR(Y121/H121,"0")+IFERROR(Y122/H122,"0")+IFERROR(Y123/H123,"0")</f>
        <v>28</v>
      </c>
      <c r="Z124" s="41">
        <f>IFERROR(IF(Z120="",0,Z120),"0")+IFERROR(IF(Z121="",0,Z121),"0")+IFERROR(IF(Z122="",0,Z122),"0")+IFERROR(IF(Z123="",0,Z123),"0")</f>
        <v>0.38180000000000003</v>
      </c>
      <c r="AA124" s="64"/>
      <c r="AB124" s="64"/>
      <c r="AC124" s="64"/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162</v>
      </c>
      <c r="Y125" s="41">
        <f>IFERROR(SUM(Y120:Y123),"0")</f>
        <v>162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50.4</v>
      </c>
      <c r="Y215" s="53">
        <f t="shared" ref="Y215:Y229" si="27">IFERROR(IF(X215="",0,CEILING((X215/$H215),1)*$H215),"")</f>
        <v>50.400000000000006</v>
      </c>
      <c r="Z215" s="39">
        <f>IFERROR(IF(Y215=0,"",ROUNDUP(Y215/H215,0)*0.00902),"")</f>
        <v>0.10824</v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53.4</v>
      </c>
      <c r="BN215" s="75">
        <f t="shared" ref="BN215:BN229" si="29">IFERROR(Y215*I215/H215,"0")</f>
        <v>53.400000000000006</v>
      </c>
      <c r="BO215" s="75">
        <f t="shared" ref="BO215:BO229" si="30">IFERROR(1/J215*(X215/H215),"0")</f>
        <v>9.0909090909090912E-2</v>
      </c>
      <c r="BP215" s="75">
        <f t="shared" ref="BP215:BP229" si="31">IFERROR(1/J215*(Y215/H215),"0")</f>
        <v>9.0909090909090912E-2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151.19999999999999</v>
      </c>
      <c r="Y217" s="53">
        <f t="shared" si="27"/>
        <v>151.20000000000002</v>
      </c>
      <c r="Z217" s="39">
        <f>IFERROR(IF(Y217=0,"",ROUNDUP(Y217/H217,0)*0.00902),"")</f>
        <v>0.32472000000000001</v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158.03999999999996</v>
      </c>
      <c r="BN217" s="75">
        <f t="shared" si="29"/>
        <v>158.04</v>
      </c>
      <c r="BO217" s="75">
        <f t="shared" si="30"/>
        <v>0.27272727272727271</v>
      </c>
      <c r="BP217" s="75">
        <f t="shared" si="31"/>
        <v>0.27272727272727271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47.999999999999993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48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0.43296000000000001</v>
      </c>
      <c r="AA230" s="64"/>
      <c r="AB230" s="64"/>
      <c r="AC230" s="64"/>
    </row>
    <row r="231" spans="1:68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201.6</v>
      </c>
      <c r="Y231" s="41">
        <f>IFERROR(SUM(Y215:Y229),"0")</f>
        <v>201.60000000000002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129.6</v>
      </c>
      <c r="Y266" s="53">
        <f t="shared" ref="Y266:Y273" si="38">IFERROR(IF(X266="",0,CEILING((X266/$H266),1)*$H266),"")</f>
        <v>129.60000000000002</v>
      </c>
      <c r="Z266" s="39">
        <f>IFERROR(IF(Y266=0,"",ROUNDUP(Y266/H266,0)*0.00902),"")</f>
        <v>0.21648000000000001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134.15999999999997</v>
      </c>
      <c r="BN266" s="75">
        <f t="shared" ref="BN266:BN273" si="40">IFERROR(Y266*I266/H266,"0")</f>
        <v>134.16</v>
      </c>
      <c r="BO266" s="75">
        <f t="shared" ref="BO266:BO273" si="41">IFERROR(1/J266*(X266/H266),"0")</f>
        <v>0.1818181818181818</v>
      </c>
      <c r="BP266" s="75">
        <f t="shared" ref="BP266:BP273" si="42">IFERROR(1/J266*(Y266/H266),"0")</f>
        <v>0.18181818181818185</v>
      </c>
    </row>
    <row r="267" spans="1:68" ht="27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64.8</v>
      </c>
      <c r="Y267" s="53">
        <f t="shared" si="38"/>
        <v>64.800000000000011</v>
      </c>
      <c r="Z267" s="39">
        <f>IFERROR(IF(Y267=0,"",ROUNDUP(Y267/H267,0)*0.00902),"")</f>
        <v>0.10824</v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67.079999999999984</v>
      </c>
      <c r="BN267" s="75">
        <f t="shared" si="40"/>
        <v>67.08</v>
      </c>
      <c r="BO267" s="75">
        <f t="shared" si="41"/>
        <v>9.0909090909090898E-2</v>
      </c>
      <c r="BP267" s="75">
        <f t="shared" si="42"/>
        <v>9.0909090909090925E-2</v>
      </c>
    </row>
    <row r="268" spans="1:68" ht="27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64.8</v>
      </c>
      <c r="Y268" s="53">
        <f t="shared" si="38"/>
        <v>64.800000000000011</v>
      </c>
      <c r="Z268" s="39">
        <f>IFERROR(IF(Y268=0,"",ROUNDUP(Y268/H268,0)*0.00902),"")</f>
        <v>0.10824</v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67.079999999999984</v>
      </c>
      <c r="BN268" s="75">
        <f t="shared" si="40"/>
        <v>67.08</v>
      </c>
      <c r="BO268" s="75">
        <f t="shared" si="41"/>
        <v>9.0909090909090898E-2</v>
      </c>
      <c r="BP268" s="75">
        <f t="shared" si="42"/>
        <v>9.0909090909090925E-2</v>
      </c>
    </row>
    <row r="269" spans="1:68" ht="27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129.6</v>
      </c>
      <c r="Y269" s="53">
        <f t="shared" si="38"/>
        <v>129.60000000000002</v>
      </c>
      <c r="Z269" s="39">
        <f>IFERROR(IF(Y269=0,"",ROUNDUP(Y269/H269,0)*0.00902),"")</f>
        <v>0.21648000000000001</v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134.15999999999997</v>
      </c>
      <c r="BN269" s="75">
        <f t="shared" si="40"/>
        <v>134.16</v>
      </c>
      <c r="BO269" s="75">
        <f t="shared" si="41"/>
        <v>0.1818181818181818</v>
      </c>
      <c r="BP269" s="75">
        <f t="shared" si="42"/>
        <v>0.18181818181818185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71.999999999999986</v>
      </c>
      <c r="Y274" s="41">
        <f>IFERROR(Y266/H266,"0")+IFERROR(Y267/H267,"0")+IFERROR(Y268/H268,"0")+IFERROR(Y269/H269,"0")+IFERROR(Y270/H270,"0")+IFERROR(Y271/H271,"0")+IFERROR(Y272/H272,"0")+IFERROR(Y273/H273,"0")</f>
        <v>72.000000000000014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0.64944000000000002</v>
      </c>
      <c r="AA274" s="64"/>
      <c r="AB274" s="64"/>
      <c r="AC274" s="64"/>
    </row>
    <row r="275" spans="1:68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388.79999999999995</v>
      </c>
      <c r="Y275" s="41">
        <f>IFERROR(SUM(Y266:Y273),"0")</f>
        <v>388.80000000000007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208.8</v>
      </c>
      <c r="Y279" s="53">
        <f t="shared" si="43"/>
        <v>208.79999999999998</v>
      </c>
      <c r="Z279" s="39">
        <f>IFERROR(IF(Y279=0,"",ROUNDUP(Y279/H279,0)*0.01898),"")</f>
        <v>0.45552000000000004</v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220.65600000000006</v>
      </c>
      <c r="BN279" s="75">
        <f t="shared" si="45"/>
        <v>220.65600000000003</v>
      </c>
      <c r="BO279" s="75">
        <f t="shared" si="46"/>
        <v>0.37500000000000006</v>
      </c>
      <c r="BP279" s="75">
        <f t="shared" si="47"/>
        <v>0.375</v>
      </c>
    </row>
    <row r="280" spans="1:68" ht="27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28.8</v>
      </c>
      <c r="Y280" s="53">
        <f t="shared" si="43"/>
        <v>28.799999999999997</v>
      </c>
      <c r="Z280" s="39">
        <f>IFERROR(IF(Y280=0,"",ROUNDUP(Y280/H280,0)*0.00651),"")</f>
        <v>7.8119999999999995E-2</v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32.04</v>
      </c>
      <c r="BN280" s="75">
        <f t="shared" si="45"/>
        <v>32.039999999999992</v>
      </c>
      <c r="BO280" s="75">
        <f t="shared" si="46"/>
        <v>6.5934065934065936E-2</v>
      </c>
      <c r="BP280" s="75">
        <f t="shared" si="47"/>
        <v>6.5934065934065936E-2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3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31.824000000000002</v>
      </c>
      <c r="BN283" s="75">
        <f t="shared" si="45"/>
        <v>31.824000000000002</v>
      </c>
      <c r="BO283" s="75">
        <f t="shared" si="46"/>
        <v>6.5934065934065936E-2</v>
      </c>
      <c r="BP283" s="75">
        <f t="shared" si="47"/>
        <v>6.5934065934065936E-2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28.8</v>
      </c>
      <c r="Y285" s="53">
        <f t="shared" si="43"/>
        <v>28.799999999999997</v>
      </c>
      <c r="Z285" s="39">
        <f>IFERROR(IF(Y285=0,"",ROUNDUP(Y285/H285,0)*0.00651),"")</f>
        <v>7.8119999999999995E-2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31.824000000000002</v>
      </c>
      <c r="BN285" s="75">
        <f t="shared" si="45"/>
        <v>31.824000000000002</v>
      </c>
      <c r="BO285" s="75">
        <f t="shared" si="46"/>
        <v>6.5934065934065936E-2</v>
      </c>
      <c r="BP285" s="75">
        <f t="shared" si="47"/>
        <v>6.5934065934065936E-2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72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72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0.7679999999999999</v>
      </c>
      <c r="AA289" s="64"/>
      <c r="AB289" s="64"/>
      <c r="AC289" s="64"/>
    </row>
    <row r="290" spans="1:68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324.00000000000006</v>
      </c>
      <c r="Y290" s="41">
        <f>IFERROR(SUM(Y277:Y288),"0")</f>
        <v>324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28.8</v>
      </c>
      <c r="Y332" s="53">
        <f>IFERROR(IF(X332="",0,CEILING((X332/$H332),1)*$H332),"")</f>
        <v>28.799999999999997</v>
      </c>
      <c r="Z332" s="39">
        <f>IFERROR(IF(Y332=0,"",ROUNDUP(Y332/H332,0)*0.00651),"")</f>
        <v>7.8119999999999995E-2</v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31.824000000000002</v>
      </c>
      <c r="BN332" s="75">
        <f>IFERROR(Y332*I332/H332,"0")</f>
        <v>31.824000000000002</v>
      </c>
      <c r="BO332" s="75">
        <f>IFERROR(1/J332*(X332/H332),"0")</f>
        <v>6.5934065934065936E-2</v>
      </c>
      <c r="BP332" s="75">
        <f>IFERROR(1/J332*(Y332/H332),"0")</f>
        <v>6.5934065934065936E-2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12</v>
      </c>
      <c r="Y334" s="41">
        <f>IFERROR(Y331/H331,"0")+IFERROR(Y332/H332,"0")+IFERROR(Y333/H333,"0")</f>
        <v>12</v>
      </c>
      <c r="Z334" s="41">
        <f>IFERROR(IF(Z331="",0,Z331),"0")+IFERROR(IF(Z332="",0,Z332),"0")+IFERROR(IF(Z333="",0,Z333),"0")</f>
        <v>7.8119999999999995E-2</v>
      </c>
      <c r="AA334" s="64"/>
      <c r="AB334" s="64"/>
      <c r="AC334" s="64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28.8</v>
      </c>
      <c r="Y335" s="41">
        <f>IFERROR(SUM(Y331:Y333),"0")</f>
        <v>28.799999999999997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201.6</v>
      </c>
      <c r="Y386" s="53">
        <f>IFERROR(IF(X386="",0,CEILING((X386/$H386),1)*$H386),"")</f>
        <v>201.60000000000002</v>
      </c>
      <c r="Z386" s="39">
        <f>IFERROR(IF(Y386=0,"",ROUNDUP(Y386/H386,0)*0.01898),"")</f>
        <v>0.45552000000000004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213.45599999999999</v>
      </c>
      <c r="BN386" s="75">
        <f>IFERROR(Y386*I386/H386,"0")</f>
        <v>213.45600000000002</v>
      </c>
      <c r="BO386" s="75">
        <f>IFERROR(1/J386*(X386/H386),"0")</f>
        <v>0.375</v>
      </c>
      <c r="BP386" s="75">
        <f>IFERROR(1/J386*(Y386/H386),"0")</f>
        <v>0.375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312</v>
      </c>
      <c r="Y387" s="53">
        <f>IFERROR(IF(X387="",0,CEILING((X387/$H387),1)*$H387),"")</f>
        <v>312</v>
      </c>
      <c r="Z387" s="39">
        <f>IFERROR(IF(Y387=0,"",ROUNDUP(Y387/H387,0)*0.01898),"")</f>
        <v>0.75919999999999999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331.76</v>
      </c>
      <c r="BN387" s="75">
        <f>IFERROR(Y387*I387/H387,"0")</f>
        <v>331.76</v>
      </c>
      <c r="BO387" s="75">
        <f>IFERROR(1/J387*(X387/H387),"0")</f>
        <v>0.625</v>
      </c>
      <c r="BP387" s="75">
        <f>IFERROR(1/J387*(Y387/H387),"0")</f>
        <v>0.625</v>
      </c>
    </row>
    <row r="388" spans="1:68" ht="27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134.4</v>
      </c>
      <c r="Y388" s="53">
        <f>IFERROR(IF(X388="",0,CEILING((X388/$H388),1)*$H388),"")</f>
        <v>134.4</v>
      </c>
      <c r="Z388" s="39">
        <f>IFERROR(IF(Y388=0,"",ROUNDUP(Y388/H388,0)*0.01898),"")</f>
        <v>0.30368000000000001</v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142.304</v>
      </c>
      <c r="BN388" s="75">
        <f>IFERROR(Y388*I388/H388,"0")</f>
        <v>142.304</v>
      </c>
      <c r="BO388" s="75">
        <f>IFERROR(1/J388*(X388/H388),"0")</f>
        <v>0.25</v>
      </c>
      <c r="BP388" s="75">
        <f>IFERROR(1/J388*(Y388/H388),"0")</f>
        <v>0.25</v>
      </c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80</v>
      </c>
      <c r="Y389" s="41">
        <f>IFERROR(Y386/H386,"0")+IFERROR(Y387/H387,"0")+IFERROR(Y388/H388,"0")</f>
        <v>80</v>
      </c>
      <c r="Z389" s="41">
        <f>IFERROR(IF(Z386="",0,Z386),"0")+IFERROR(IF(Z387="",0,Z387),"0")+IFERROR(IF(Z388="",0,Z388),"0")</f>
        <v>1.5184</v>
      </c>
      <c r="AA389" s="64"/>
      <c r="AB389" s="64"/>
      <c r="AC389" s="64"/>
    </row>
    <row r="390" spans="1:68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648</v>
      </c>
      <c r="Y390" s="41">
        <f>IFERROR(SUM(Y386:Y388),"0")</f>
        <v>648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600</v>
      </c>
      <c r="Y427" s="53">
        <f t="shared" si="68"/>
        <v>600</v>
      </c>
      <c r="Z427" s="39">
        <f>IFERROR(IF(Y427=0,"",ROUNDUP(Y427/H427,0)*0.02175),"")</f>
        <v>0.86999999999999988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618.79999999999995</v>
      </c>
      <c r="BN427" s="75">
        <f t="shared" si="70"/>
        <v>618.79999999999995</v>
      </c>
      <c r="BO427" s="75">
        <f t="shared" si="71"/>
        <v>0.83333333333333326</v>
      </c>
      <c r="BP427" s="75">
        <f t="shared" si="72"/>
        <v>0.83333333333333326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360</v>
      </c>
      <c r="Y428" s="53">
        <f t="shared" si="68"/>
        <v>360</v>
      </c>
      <c r="Z428" s="39">
        <f>IFERROR(IF(Y428=0,"",ROUNDUP(Y428/H428,0)*0.02175),"")</f>
        <v>0.52200000000000002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371.28</v>
      </c>
      <c r="BN428" s="75">
        <f t="shared" si="70"/>
        <v>371.28</v>
      </c>
      <c r="BO428" s="75">
        <f t="shared" si="71"/>
        <v>0.5</v>
      </c>
      <c r="BP428" s="75">
        <f t="shared" si="72"/>
        <v>0.5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540</v>
      </c>
      <c r="Y429" s="53">
        <f t="shared" si="68"/>
        <v>540</v>
      </c>
      <c r="Z429" s="39">
        <f>IFERROR(IF(Y429=0,"",ROUNDUP(Y429/H429,0)*0.02175),"")</f>
        <v>0.78299999999999992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556.92000000000007</v>
      </c>
      <c r="BN429" s="75">
        <f t="shared" si="70"/>
        <v>556.92000000000007</v>
      </c>
      <c r="BO429" s="75">
        <f t="shared" si="71"/>
        <v>0.75</v>
      </c>
      <c r="BP429" s="75">
        <f t="shared" si="72"/>
        <v>0.75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100</v>
      </c>
      <c r="Y434" s="41">
        <f>IFERROR(Y426/H426,"0")+IFERROR(Y427/H427,"0")+IFERROR(Y428/H428,"0")+IFERROR(Y429/H429,"0")+IFERROR(Y430/H430,"0")+IFERROR(Y431/H431,"0")+IFERROR(Y432/H432,"0")+IFERROR(Y433/H433,"0")</f>
        <v>100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2.1749999999999998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1500</v>
      </c>
      <c r="Y435" s="41">
        <f>IFERROR(SUM(Y426:Y433),"0")</f>
        <v>1500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240</v>
      </c>
      <c r="Y437" s="53">
        <f>IFERROR(IF(X437="",0,CEILING((X437/$H437),1)*$H437),"")</f>
        <v>240</v>
      </c>
      <c r="Z437" s="39">
        <f>IFERROR(IF(Y437=0,"",ROUNDUP(Y437/H437,0)*0.02175),"")</f>
        <v>0.34799999999999998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247.52</v>
      </c>
      <c r="BN437" s="75">
        <f>IFERROR(Y437*I437/H437,"0")</f>
        <v>247.52</v>
      </c>
      <c r="BO437" s="75">
        <f>IFERROR(1/J437*(X437/H437),"0")</f>
        <v>0.33333333333333331</v>
      </c>
      <c r="BP437" s="75">
        <f>IFERROR(1/J437*(Y437/H437),"0")</f>
        <v>0.33333333333333331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16</v>
      </c>
      <c r="Y440" s="41">
        <f>IFERROR(Y437/H437,"0")+IFERROR(Y438/H438,"0")+IFERROR(Y439/H439,"0")</f>
        <v>16</v>
      </c>
      <c r="Z440" s="41">
        <f>IFERROR(IF(Z437="",0,Z437),"0")+IFERROR(IF(Z438="",0,Z438),"0")+IFERROR(IF(Z439="",0,Z439),"0")</f>
        <v>0.34799999999999998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240</v>
      </c>
      <c r="Y441" s="41">
        <f>IFERROR(SUM(Y437:Y439),"0")</f>
        <v>240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72</v>
      </c>
      <c r="Y450" s="53">
        <f>IFERROR(IF(X450="",0,CEILING((X450/$H450),1)*$H450),"")</f>
        <v>72</v>
      </c>
      <c r="Z450" s="39">
        <f>IFERROR(IF(Y450=0,"",ROUNDUP(Y450/H450,0)*0.01898),"")</f>
        <v>0.15184</v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75.951999999999998</v>
      </c>
      <c r="BN450" s="75">
        <f>IFERROR(Y450*I450/H450,"0")</f>
        <v>75.951999999999998</v>
      </c>
      <c r="BO450" s="75">
        <f>IFERROR(1/J450*(X450/H450),"0")</f>
        <v>0.125</v>
      </c>
      <c r="BP450" s="75">
        <f>IFERROR(1/J450*(Y450/H450),"0")</f>
        <v>0.125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8</v>
      </c>
      <c r="Y451" s="41">
        <f>IFERROR(Y449/H449,"0")+IFERROR(Y450/H450,"0")</f>
        <v>8</v>
      </c>
      <c r="Z451" s="41">
        <f>IFERROR(IF(Z449="",0,Z449),"0")+IFERROR(IF(Z450="",0,Z450),"0")</f>
        <v>0.15184</v>
      </c>
      <c r="AA451" s="64"/>
      <c r="AB451" s="64"/>
      <c r="AC451" s="64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72</v>
      </c>
      <c r="Y452" s="41">
        <f>IFERROR(SUM(Y449:Y450),"0")</f>
        <v>72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42.24</v>
      </c>
      <c r="Y511" s="53">
        <f>IFERROR(IF(X511="",0,CEILING((X511/$H511),1)*$H511),"")</f>
        <v>42.24</v>
      </c>
      <c r="Z511" s="39">
        <f>IFERROR(IF(Y511=0,"",ROUNDUP(Y511/H511,0)*0.01196),"")</f>
        <v>9.5680000000000001E-2</v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45.04</v>
      </c>
      <c r="BN511" s="75">
        <f>IFERROR(Y511*I511/H511,"0")</f>
        <v>45.04</v>
      </c>
      <c r="BO511" s="75">
        <f>IFERROR(1/J511*(X511/H511),"0")</f>
        <v>7.6923076923076927E-2</v>
      </c>
      <c r="BP511" s="75">
        <f>IFERROR(1/J511*(Y511/H511),"0")</f>
        <v>7.6923076923076927E-2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8</v>
      </c>
      <c r="Y514" s="41">
        <f>IFERROR(Y511/H511,"0")+IFERROR(Y512/H512,"0")+IFERROR(Y513/H513,"0")</f>
        <v>8</v>
      </c>
      <c r="Z514" s="41">
        <f>IFERROR(IF(Z511="",0,Z511),"0")+IFERROR(IF(Z512="",0,Z512),"0")+IFERROR(IF(Z513="",0,Z513),"0")</f>
        <v>9.5680000000000001E-2</v>
      </c>
      <c r="AA514" s="64"/>
      <c r="AB514" s="64"/>
      <c r="AC514" s="64"/>
    </row>
    <row r="515" spans="1:68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42.24</v>
      </c>
      <c r="Y515" s="41">
        <f>IFERROR(SUM(Y511:Y513),"0")</f>
        <v>42.24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42.24</v>
      </c>
      <c r="Y517" s="53">
        <f t="shared" ref="Y517:Y523" si="84">IFERROR(IF(X517="",0,CEILING((X517/$H517),1)*$H517),"")</f>
        <v>42.24</v>
      </c>
      <c r="Z517" s="39">
        <f>IFERROR(IF(Y517=0,"",ROUNDUP(Y517/H517,0)*0.01196),"")</f>
        <v>9.5680000000000001E-2</v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45.04</v>
      </c>
      <c r="BN517" s="75">
        <f t="shared" ref="BN517:BN523" si="86">IFERROR(Y517*I517/H517,"0")</f>
        <v>45.04</v>
      </c>
      <c r="BO517" s="75">
        <f t="shared" ref="BO517:BO523" si="87">IFERROR(1/J517*(X517/H517),"0")</f>
        <v>7.6923076923076927E-2</v>
      </c>
      <c r="BP517" s="75">
        <f t="shared" ref="BP517:BP523" si="88">IFERROR(1/J517*(Y517/H517),"0")</f>
        <v>7.6923076923076927E-2</v>
      </c>
    </row>
    <row r="518" spans="1:68" ht="27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42.24</v>
      </c>
      <c r="Y518" s="53">
        <f t="shared" si="84"/>
        <v>42.24</v>
      </c>
      <c r="Z518" s="39">
        <f>IFERROR(IF(Y518=0,"",ROUNDUP(Y518/H518,0)*0.01196),"")</f>
        <v>9.5680000000000001E-2</v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45.04</v>
      </c>
      <c r="BN518" s="75">
        <f t="shared" si="86"/>
        <v>45.04</v>
      </c>
      <c r="BO518" s="75">
        <f t="shared" si="87"/>
        <v>7.6923076923076927E-2</v>
      </c>
      <c r="BP518" s="75">
        <f t="shared" si="88"/>
        <v>7.6923076923076927E-2</v>
      </c>
    </row>
    <row r="519" spans="1:68" ht="27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42.24</v>
      </c>
      <c r="Y519" s="53">
        <f t="shared" si="84"/>
        <v>42.24</v>
      </c>
      <c r="Z519" s="39">
        <f>IFERROR(IF(Y519=0,"",ROUNDUP(Y519/H519,0)*0.01196),"")</f>
        <v>9.5680000000000001E-2</v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45.04</v>
      </c>
      <c r="BN519" s="75">
        <f t="shared" si="86"/>
        <v>45.04</v>
      </c>
      <c r="BO519" s="75">
        <f t="shared" si="87"/>
        <v>7.6923076923076927E-2</v>
      </c>
      <c r="BP519" s="75">
        <f t="shared" si="88"/>
        <v>7.6923076923076927E-2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24</v>
      </c>
      <c r="Y524" s="41">
        <f>IFERROR(Y517/H517,"0")+IFERROR(Y518/H518,"0")+IFERROR(Y519/H519,"0")+IFERROR(Y520/H520,"0")+IFERROR(Y521/H521,"0")+IFERROR(Y522/H522,"0")+IFERROR(Y523/H523,"0")</f>
        <v>24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0.28704000000000002</v>
      </c>
      <c r="AA524" s="64"/>
      <c r="AB524" s="64"/>
      <c r="AC524" s="64"/>
    </row>
    <row r="525" spans="1:68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126.72</v>
      </c>
      <c r="Y525" s="41">
        <f>IFERROR(SUM(Y517:Y523),"0")</f>
        <v>126.72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5115.16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5115.1600000000008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5342.648000000001</v>
      </c>
      <c r="Y555" s="41">
        <f>IFERROR(SUM(BN22:BN551),"0")</f>
        <v>5342.648000000001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9</v>
      </c>
      <c r="Y556" s="42">
        <f>ROUNDUP(SUM(BP22:BP551),0)</f>
        <v>9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5567.648000000001</v>
      </c>
      <c r="Y557" s="41">
        <f>GrossWeightTotalR+PalletQtyTotalR*25</f>
        <v>5567.648000000001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610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610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9.40686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345.6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587.19999999999993</v>
      </c>
      <c r="F564" s="50">
        <f>IFERROR(Y85*1,"0")+IFERROR(Y86*1,"0")+IFERROR(Y87*1,"0")+IFERROR(Y88*1,"0")+IFERROR(Y89*1,"0")+IFERROR(Y93*1,"0")+IFERROR(Y94*1,"0")+IFERROR(Y95*1,"0")+IFERROR(Y96*1,"0")</f>
        <v>275.40000000000003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334.79999999999995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201.60000000000002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712.79999999999984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28.799999999999997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648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1812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168.96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0,00"/>
        <filter val="102,60"/>
        <filter val="12,00"/>
        <filter val="126,72"/>
        <filter val="129,60"/>
        <filter val="134,40"/>
        <filter val="151,20"/>
        <filter val="16,00"/>
        <filter val="162,00"/>
        <filter val="172,80"/>
        <filter val="179,20"/>
        <filter val="201,60"/>
        <filter val="208,80"/>
        <filter val="22,00"/>
        <filter val="24,00"/>
        <filter val="240,00"/>
        <filter val="28,00"/>
        <filter val="28,80"/>
        <filter val="312,00"/>
        <filter val="32,00"/>
        <filter val="32,40"/>
        <filter val="324,00"/>
        <filter val="345,60"/>
        <filter val="352,00"/>
        <filter val="360,00"/>
        <filter val="37,80"/>
        <filter val="388,80"/>
        <filter val="42,24"/>
        <filter val="48,00"/>
        <filter val="5 115,16"/>
        <filter val="5 342,65"/>
        <filter val="5 567,65"/>
        <filter val="50,40"/>
        <filter val="540,00"/>
        <filter val="600,00"/>
        <filter val="610,00"/>
        <filter val="62,40"/>
        <filter val="64,80"/>
        <filter val="648,00"/>
        <filter val="72,00"/>
        <filter val="8,00"/>
        <filter val="80,00"/>
        <filter val="9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6:R6 P8 P5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2026-10-28T11:32:30Z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