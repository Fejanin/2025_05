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9E1FD0-76E7-4FA4-9F91-4EB4655716F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P517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N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P371" i="2"/>
  <c r="BO371" i="2"/>
  <c r="BM371" i="2"/>
  <c r="Y371" i="2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Z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P327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P301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Z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Z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P123" i="2"/>
  <c r="BO123" i="2"/>
  <c r="BM123" i="2"/>
  <c r="Y123" i="2"/>
  <c r="BN123" i="2" s="1"/>
  <c r="P123" i="2"/>
  <c r="X121" i="2"/>
  <c r="X120" i="2"/>
  <c r="BO119" i="2"/>
  <c r="BN119" i="2"/>
  <c r="BM119" i="2"/>
  <c r="Z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P110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N107" i="2"/>
  <c r="BM107" i="2"/>
  <c r="Z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N52" i="2" l="1"/>
  <c r="BN111" i="2"/>
  <c r="BN130" i="2"/>
  <c r="BN146" i="2"/>
  <c r="BN165" i="2"/>
  <c r="BN229" i="2"/>
  <c r="BN276" i="2"/>
  <c r="BN297" i="2"/>
  <c r="Y310" i="2"/>
  <c r="BN353" i="2"/>
  <c r="BN369" i="2"/>
  <c r="BN512" i="2"/>
  <c r="BN41" i="2"/>
  <c r="BN63" i="2"/>
  <c r="Z65" i="2"/>
  <c r="Z100" i="2"/>
  <c r="Y131" i="2"/>
  <c r="Y132" i="2"/>
  <c r="BN141" i="2"/>
  <c r="BN154" i="2"/>
  <c r="BN177" i="2"/>
  <c r="Y215" i="2"/>
  <c r="BP230" i="2"/>
  <c r="Z309" i="2"/>
  <c r="Z310" i="2" s="1"/>
  <c r="BN309" i="2"/>
  <c r="Y354" i="2"/>
  <c r="Z380" i="2"/>
  <c r="BN380" i="2"/>
  <c r="BN405" i="2"/>
  <c r="BN441" i="2"/>
  <c r="BP457" i="2"/>
  <c r="BN493" i="2"/>
  <c r="BN117" i="2"/>
  <c r="BP145" i="2"/>
  <c r="BP183" i="2"/>
  <c r="BN184" i="2"/>
  <c r="BN188" i="2"/>
  <c r="BN222" i="2"/>
  <c r="BP237" i="2"/>
  <c r="BN238" i="2"/>
  <c r="BP244" i="2"/>
  <c r="Z266" i="2"/>
  <c r="Z276" i="2"/>
  <c r="BP290" i="2"/>
  <c r="BP309" i="2"/>
  <c r="BN314" i="2"/>
  <c r="Z353" i="2"/>
  <c r="Z354" i="2" s="1"/>
  <c r="BP353" i="2"/>
  <c r="BN389" i="2"/>
  <c r="Z424" i="2"/>
  <c r="BP461" i="2"/>
  <c r="Z498" i="2"/>
  <c r="Z499" i="2" s="1"/>
  <c r="BN504" i="2"/>
  <c r="BP511" i="2"/>
  <c r="BP523" i="2"/>
  <c r="BN35" i="2"/>
  <c r="BN43" i="2"/>
  <c r="BN54" i="2"/>
  <c r="Z152" i="2"/>
  <c r="Z188" i="2"/>
  <c r="BP188" i="2"/>
  <c r="Y191" i="2"/>
  <c r="Z222" i="2"/>
  <c r="Z389" i="2"/>
  <c r="BP411" i="2"/>
  <c r="Z450" i="2"/>
  <c r="BP451" i="2"/>
  <c r="BP462" i="2"/>
  <c r="Z516" i="2"/>
  <c r="Z523" i="2"/>
  <c r="Z532" i="2"/>
  <c r="BN29" i="2"/>
  <c r="BP71" i="2"/>
  <c r="BN73" i="2"/>
  <c r="BP125" i="2"/>
  <c r="Z154" i="2"/>
  <c r="Z165" i="2"/>
  <c r="BN166" i="2"/>
  <c r="BP189" i="2"/>
  <c r="BP206" i="2"/>
  <c r="BN207" i="2"/>
  <c r="BP214" i="2"/>
  <c r="Y216" i="2"/>
  <c r="BP224" i="2"/>
  <c r="BN225" i="2"/>
  <c r="Z229" i="2"/>
  <c r="BP270" i="2"/>
  <c r="BN296" i="2"/>
  <c r="Z297" i="2"/>
  <c r="BN299" i="2"/>
  <c r="BN342" i="2"/>
  <c r="Y359" i="2"/>
  <c r="Z411" i="2"/>
  <c r="BN443" i="2"/>
  <c r="Z444" i="2"/>
  <c r="Z451" i="2"/>
  <c r="Z462" i="2"/>
  <c r="BN487" i="2"/>
  <c r="Z512" i="2"/>
  <c r="Z369" i="2"/>
  <c r="Z175" i="2"/>
  <c r="BN513" i="2"/>
  <c r="BP61" i="2"/>
  <c r="BP397" i="2"/>
  <c r="Y400" i="2"/>
  <c r="Z397" i="2"/>
  <c r="BN476" i="2"/>
  <c r="Z220" i="2"/>
  <c r="Y186" i="2"/>
  <c r="BP266" i="2"/>
  <c r="BN59" i="2"/>
  <c r="Z440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42" i="2" s="1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Z386" i="2" s="1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Z36" i="2" s="1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49" i="2" s="1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190" i="2" s="1"/>
  <c r="Z203" i="2"/>
  <c r="Z214" i="2"/>
  <c r="Z215" i="2" s="1"/>
  <c r="Z224" i="2"/>
  <c r="Z244" i="2"/>
  <c r="Z246" i="2" s="1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12" i="2" s="1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74" i="2" l="1"/>
  <c r="Z524" i="2"/>
  <c r="Z393" i="2"/>
  <c r="Z505" i="2"/>
  <c r="Z167" i="2"/>
  <c r="Z85" i="2"/>
  <c r="Z365" i="2"/>
  <c r="Z155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<sst xmlns="http://schemas.openxmlformats.org/spreadsheetml/2006/main" count="4249" uniqueCount="899">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</sst>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46317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Четверг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20</v>
      </c>
      <c r="Y59" s="55">
        <f t="shared" ref="Y59:Y66" si="0">IFERROR(IF(X59="",0,CEILING((X59/$H59),1)*$H59),"")</f>
        <v>22.4</v>
      </c>
      <c r="Z59" s="41">
        <f>IFERROR(IF(Y59=0,"",ROUNDUP(Y59/H59,0)*0.01898),"")</f>
        <v>3.7960000000000001E-2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20.732142857142858</v>
      </c>
      <c r="BN59" s="78">
        <f t="shared" ref="BN59:BN66" si="2">IFERROR(Y59*I59/H59,"0")</f>
        <v>23.22</v>
      </c>
      <c r="BO59" s="78">
        <f t="shared" ref="BO59:BO66" si="3">IFERROR(1/J59*(X59/H59),"0")</f>
        <v>2.7901785714285716E-2</v>
      </c>
      <c r="BP59" s="78">
        <f t="shared" ref="BP59:BP66" si="4">IFERROR(1/J59*(Y59/H59),"0")</f>
        <v>3.125E-2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30</v>
      </c>
      <c r="Y61" s="55">
        <f t="shared" si="0"/>
        <v>32.400000000000006</v>
      </c>
      <c r="Z61" s="41">
        <f>IFERROR(IF(Y61=0,"",ROUNDUP(Y61/H61,0)*0.01898),"")</f>
        <v>5.6940000000000004E-2</v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31.138888888888889</v>
      </c>
      <c r="BN61" s="78">
        <f t="shared" si="2"/>
        <v>33.630000000000003</v>
      </c>
      <c r="BO61" s="78">
        <f t="shared" si="3"/>
        <v>4.3402777777777776E-2</v>
      </c>
      <c r="BP61" s="78">
        <f t="shared" si="4"/>
        <v>4.6875000000000007E-2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22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22.928888888888892</v>
      </c>
      <c r="BN66" s="78">
        <f t="shared" si="2"/>
        <v>23.450000000000003</v>
      </c>
      <c r="BO66" s="78">
        <f t="shared" si="3"/>
        <v>3.7037037037037042E-2</v>
      </c>
      <c r="BP66" s="78">
        <f t="shared" si="4"/>
        <v>3.787878787878788E-2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9.4523809523809526</v>
      </c>
      <c r="Y67" s="43">
        <f>IFERROR(Y59/H59,"0")+IFERROR(Y60/H60,"0")+IFERROR(Y61/H61,"0")+IFERROR(Y62/H62,"0")+IFERROR(Y63/H63,"0")+IFERROR(Y64/H64,"0")+IFERROR(Y65/H65,"0")+IFERROR(Y66/H66,"0")</f>
        <v>10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0.14000000000000001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72</v>
      </c>
      <c r="Y68" s="43">
        <f>IFERROR(SUM(Y59:Y66),"0")</f>
        <v>77.300000000000011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150</v>
      </c>
      <c r="Y70" s="55">
        <f>IFERROR(IF(X70="",0,CEILING((X70/$H70),1)*$H70),"")</f>
        <v>151.20000000000002</v>
      </c>
      <c r="Z70" s="41">
        <f>IFERROR(IF(Y70=0,"",ROUNDUP(Y70/H70,0)*0.01898),"")</f>
        <v>0.26572000000000001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155.69444444444446</v>
      </c>
      <c r="BN70" s="78">
        <f>IFERROR(Y70*I70/H70,"0")</f>
        <v>156.94</v>
      </c>
      <c r="BO70" s="78">
        <f>IFERROR(1/J70*(X70/H70),"0")</f>
        <v>0.21701388888888887</v>
      </c>
      <c r="BP70" s="78">
        <f>IFERROR(1/J70*(Y70/H70),"0")</f>
        <v>0.21875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13.888888888888888</v>
      </c>
      <c r="Y74" s="43">
        <f>IFERROR(Y70/H70,"0")+IFERROR(Y71/H71,"0")+IFERROR(Y72/H72,"0")+IFERROR(Y73/H73,"0")</f>
        <v>14</v>
      </c>
      <c r="Z74" s="43">
        <f>IFERROR(IF(Z70="",0,Z70),"0")+IFERROR(IF(Z71="",0,Z71),"0")+IFERROR(IF(Z72="",0,Z72),"0")+IFERROR(IF(Z73="",0,Z73),"0")</f>
        <v>0.26572000000000001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150</v>
      </c>
      <c r="Y75" s="43">
        <f>IFERROR(SUM(Y70:Y73),"0")</f>
        <v>151.20000000000002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13</v>
      </c>
      <c r="Y94" s="55">
        <f t="shared" si="5"/>
        <v>13.5</v>
      </c>
      <c r="Z94" s="41">
        <f>IFERROR(IF(Y94=0,"",ROUNDUP(Y94/H94,0)*0.00902),"")</f>
        <v>2.7060000000000001E-2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13.548888888888889</v>
      </c>
      <c r="BN94" s="78">
        <f t="shared" si="7"/>
        <v>14.07</v>
      </c>
      <c r="BO94" s="78">
        <f t="shared" si="8"/>
        <v>2.1885521885521887E-2</v>
      </c>
      <c r="BP94" s="78">
        <f t="shared" si="9"/>
        <v>2.2727272727272728E-2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2.8888888888888888</v>
      </c>
      <c r="Y95" s="43">
        <f>IFERROR(Y89/H89,"0")+IFERROR(Y90/H90,"0")+IFERROR(Y91/H91,"0")+IFERROR(Y92/H92,"0")+IFERROR(Y93/H93,"0")+IFERROR(Y94/H94,"0")</f>
        <v>3</v>
      </c>
      <c r="Z95" s="43">
        <f>IFERROR(IF(Z89="",0,Z89),"0")+IFERROR(IF(Z90="",0,Z90),"0")+IFERROR(IF(Z91="",0,Z91),"0")+IFERROR(IF(Z92="",0,Z92),"0")+IFERROR(IF(Z93="",0,Z93),"0")+IFERROR(IF(Z94="",0,Z94),"0")</f>
        <v>2.7060000000000001E-2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13</v>
      </c>
      <c r="Y96" s="43">
        <f>IFERROR(SUM(Y89:Y94),"0")</f>
        <v>13.5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70</v>
      </c>
      <c r="Y123" s="55">
        <f>IFERROR(IF(X123="",0,CEILING((X123/$H123),1)*$H123),"")</f>
        <v>72.899999999999991</v>
      </c>
      <c r="Z123" s="41">
        <f>IFERROR(IF(Y123=0,"",ROUNDUP(Y123/H123,0)*0.01898),"")</f>
        <v>0.17082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74.217283950617286</v>
      </c>
      <c r="BN123" s="78">
        <f>IFERROR(Y123*I123/H123,"0")</f>
        <v>77.291999999999987</v>
      </c>
      <c r="BO123" s="78">
        <f>IFERROR(1/J123*(X123/H123),"0")</f>
        <v>0.13503086419753088</v>
      </c>
      <c r="BP123" s="78">
        <f>IFERROR(1/J123*(Y123/H123),"0")</f>
        <v>0.140625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8.6419753086419764</v>
      </c>
      <c r="Y127" s="43">
        <f>IFERROR(Y123/H123,"0")+IFERROR(Y124/H124,"0")+IFERROR(Y125/H125,"0")+IFERROR(Y126/H126,"0")</f>
        <v>9</v>
      </c>
      <c r="Z127" s="43">
        <f>IFERROR(IF(Z123="",0,Z123),"0")+IFERROR(IF(Z124="",0,Z124),"0")+IFERROR(IF(Z125="",0,Z125),"0")+IFERROR(IF(Z126="",0,Z126),"0")</f>
        <v>0.17082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70</v>
      </c>
      <c r="Y128" s="43">
        <f>IFERROR(SUM(Y123:Y126),"0")</f>
        <v>72.899999999999991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12</v>
      </c>
      <c r="Y135" s="55">
        <f>IFERROR(IF(X135="",0,CEILING((X135/$H135),1)*$H135),"")</f>
        <v>12.8</v>
      </c>
      <c r="Z135" s="41">
        <f>IFERROR(IF(Y135=0,"",ROUNDUP(Y135/H135,0)*0.00651),"")</f>
        <v>2.6040000000000001E-2</v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12.675000000000001</v>
      </c>
      <c r="BN135" s="78">
        <f>IFERROR(Y135*I135/H135,"0")</f>
        <v>13.52</v>
      </c>
      <c r="BO135" s="78">
        <f>IFERROR(1/J135*(X135/H135),"0")</f>
        <v>2.0604395604395608E-2</v>
      </c>
      <c r="BP135" s="78">
        <f>IFERROR(1/J135*(Y135/H135),"0")</f>
        <v>2.197802197802198E-2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3.75</v>
      </c>
      <c r="Y137" s="43">
        <f>IFERROR(Y135/H135,"0")+IFERROR(Y136/H136,"0")</f>
        <v>4</v>
      </c>
      <c r="Z137" s="43">
        <f>IFERROR(IF(Z135="",0,Z135),"0")+IFERROR(IF(Z136="",0,Z136),"0")</f>
        <v>2.6040000000000001E-2</v>
      </c>
      <c r="AA137" s="67"/>
      <c r="AB137" s="67"/>
      <c r="AC137" s="67"/>
    </row>
    <row r="138" spans="1:68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12</v>
      </c>
      <c r="Y138" s="43">
        <f>IFERROR(SUM(Y135:Y136),"0")</f>
        <v>12.8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13</v>
      </c>
      <c r="Y140" s="55">
        <f>IFERROR(IF(X140="",0,CEILING((X140/$H140),1)*$H140),"")</f>
        <v>14</v>
      </c>
      <c r="Z140" s="41">
        <f>IFERROR(IF(Y140=0,"",ROUNDUP(Y140/H140,0)*0.00651),"")</f>
        <v>3.2550000000000003E-2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14.244285714285715</v>
      </c>
      <c r="BN140" s="78">
        <f>IFERROR(Y140*I140/H140,"0")</f>
        <v>15.34</v>
      </c>
      <c r="BO140" s="78">
        <f>IFERROR(1/J140*(X140/H140),"0")</f>
        <v>2.5510204081632657E-2</v>
      </c>
      <c r="BP140" s="78">
        <f>IFERROR(1/J140*(Y140/H140),"0")</f>
        <v>2.7472527472527476E-2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4.6428571428571432</v>
      </c>
      <c r="Y142" s="43">
        <f>IFERROR(Y140/H140,"0")+IFERROR(Y141/H141,"0")</f>
        <v>5</v>
      </c>
      <c r="Z142" s="43">
        <f>IFERROR(IF(Z140="",0,Z140),"0")+IFERROR(IF(Z141="",0,Z141),"0")</f>
        <v>3.2550000000000003E-2</v>
      </c>
      <c r="AA142" s="67"/>
      <c r="AB142" s="67"/>
      <c r="AC142" s="67"/>
    </row>
    <row r="143" spans="1:68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13</v>
      </c>
      <c r="Y143" s="43">
        <f>IFERROR(SUM(Y140:Y141),"0")</f>
        <v>14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12</v>
      </c>
      <c r="Y145" s="55">
        <f>IFERROR(IF(X145="",0,CEILING((X145/$H145),1)*$H145),"")</f>
        <v>13.200000000000001</v>
      </c>
      <c r="Z145" s="41">
        <f>IFERROR(IF(Y145=0,"",ROUNDUP(Y145/H145,0)*0.00651),"")</f>
        <v>3.2550000000000003E-2</v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13.218181818181819</v>
      </c>
      <c r="BN145" s="78">
        <f>IFERROR(Y145*I145/H145,"0")</f>
        <v>14.540000000000001</v>
      </c>
      <c r="BO145" s="78">
        <f>IFERROR(1/J145*(X145/H145),"0")</f>
        <v>2.4975024975024976E-2</v>
      </c>
      <c r="BP145" s="78">
        <f>IFERROR(1/J145*(Y145/H145),"0")</f>
        <v>2.7472527472527476E-2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4.545454545454545</v>
      </c>
      <c r="Y147" s="43">
        <f>IFERROR(Y145/H145,"0")+IFERROR(Y146/H146,"0")</f>
        <v>5</v>
      </c>
      <c r="Z147" s="43">
        <f>IFERROR(IF(Z145="",0,Z145),"0")+IFERROR(IF(Z146="",0,Z146),"0")</f>
        <v>3.2550000000000003E-2</v>
      </c>
      <c r="AA147" s="67"/>
      <c r="AB147" s="67"/>
      <c r="AC147" s="67"/>
    </row>
    <row r="148" spans="1:68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12</v>
      </c>
      <c r="Y148" s="43">
        <f>IFERROR(SUM(Y145:Y146),"0")</f>
        <v>13.200000000000001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60</v>
      </c>
      <c r="Y175" s="55">
        <f t="shared" ref="Y175:Y184" si="15">IFERROR(IF(X175="",0,CEILING((X175/$H175),1)*$H175),"")</f>
        <v>63</v>
      </c>
      <c r="Z175" s="41">
        <f>IFERROR(IF(Y175=0,"",ROUNDUP(Y175/H175,0)*0.00902),"")</f>
        <v>0.16236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63.25714285714286</v>
      </c>
      <c r="BN175" s="78">
        <f t="shared" ref="BN175:BN184" si="17">IFERROR(Y175*I175/H175,"0")</f>
        <v>66.42</v>
      </c>
      <c r="BO175" s="78">
        <f t="shared" ref="BO175:BO184" si="18">IFERROR(1/J175*(X175/H175),"0")</f>
        <v>0.12987012987012986</v>
      </c>
      <c r="BP175" s="78">
        <f t="shared" ref="BP175:BP184" si="19">IFERROR(1/J175*(Y175/H175),"0")</f>
        <v>0.13636363636363635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80</v>
      </c>
      <c r="Y178" s="55">
        <f t="shared" si="15"/>
        <v>80.5</v>
      </c>
      <c r="Z178" s="41">
        <f>IFERROR(IF(Y178=0,"",ROUNDUP(Y178/H178,0)*0.00902),"")</f>
        <v>0.20746000000000001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84.342857142857142</v>
      </c>
      <c r="BN178" s="78">
        <f t="shared" si="17"/>
        <v>84.87</v>
      </c>
      <c r="BO178" s="78">
        <f t="shared" si="18"/>
        <v>0.17316017316017318</v>
      </c>
      <c r="BP178" s="78">
        <f t="shared" si="19"/>
        <v>0.17424242424242425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40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41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0.36982000000000004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140</v>
      </c>
      <c r="Y186" s="43">
        <f>IFERROR(SUM(Y175:Y184),"0")</f>
        <v>143.5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40</v>
      </c>
      <c r="Y220" s="55">
        <f t="shared" si="26"/>
        <v>42</v>
      </c>
      <c r="Z220" s="41">
        <f>IFERROR(IF(Y220=0,"",ROUNDUP(Y220/H220,0)*0.00902),"")</f>
        <v>9.0200000000000002E-2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41.809523809523803</v>
      </c>
      <c r="BN220" s="78">
        <f t="shared" si="28"/>
        <v>43.9</v>
      </c>
      <c r="BO220" s="78">
        <f t="shared" si="29"/>
        <v>7.2150072150072145E-2</v>
      </c>
      <c r="BP220" s="78">
        <f t="shared" si="30"/>
        <v>7.575757575757576E-2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9.5238095238095237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9.0200000000000002E-2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40</v>
      </c>
      <c r="Y233" s="43">
        <f>IFERROR(SUM(Y218:Y231),"0")</f>
        <v>42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30</v>
      </c>
      <c r="Y264" s="55">
        <f t="shared" ref="Y264:Y271" si="31">IFERROR(IF(X264="",0,CEILING((X264/$H264),1)*$H264),"")</f>
        <v>32.400000000000006</v>
      </c>
      <c r="Z264" s="41">
        <f>IFERROR(IF(Y264=0,"",ROUNDUP(Y264/H264,0)*0.00902),"")</f>
        <v>5.4120000000000001E-2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31.05555555555555</v>
      </c>
      <c r="BN264" s="78">
        <f t="shared" ref="BN264:BN271" si="33">IFERROR(Y264*I264/H264,"0")</f>
        <v>33.54</v>
      </c>
      <c r="BO264" s="78">
        <f t="shared" ref="BO264:BO271" si="34">IFERROR(1/J264*(X264/H264),"0")</f>
        <v>4.208754208754209E-2</v>
      </c>
      <c r="BP264" s="78">
        <f t="shared" ref="BP264:BP271" si="35">IFERROR(1/J264*(Y264/H264),"0")</f>
        <v>4.5454545454545463E-2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1"/>
        <v>91.800000000000011</v>
      </c>
      <c r="Z265" s="41">
        <f>IFERROR(IF(Y265=0,"",ROUNDUP(Y265/H265,0)*0.00902),"")</f>
        <v>0.15334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93.166666666666657</v>
      </c>
      <c r="BN265" s="78">
        <f t="shared" si="33"/>
        <v>95.03</v>
      </c>
      <c r="BO265" s="78">
        <f t="shared" si="34"/>
        <v>0.12626262626262624</v>
      </c>
      <c r="BP265" s="78">
        <f t="shared" si="35"/>
        <v>0.12878787878787878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200</v>
      </c>
      <c r="Y266" s="55">
        <f t="shared" si="31"/>
        <v>205.20000000000002</v>
      </c>
      <c r="Z266" s="41">
        <f>IFERROR(IF(Y266=0,"",ROUNDUP(Y266/H266,0)*0.00902),"")</f>
        <v>0.34276000000000001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207.03703703703701</v>
      </c>
      <c r="BN266" s="78">
        <f t="shared" si="33"/>
        <v>212.42</v>
      </c>
      <c r="BO266" s="78">
        <f t="shared" si="34"/>
        <v>0.28058361391694725</v>
      </c>
      <c r="BP266" s="78">
        <f t="shared" si="35"/>
        <v>0.2878787878787879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si="31"/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207.03703703703701</v>
      </c>
      <c r="BN267" s="78">
        <f t="shared" si="33"/>
        <v>212.42</v>
      </c>
      <c r="BO267" s="78">
        <f t="shared" si="34"/>
        <v>0.28058361391694725</v>
      </c>
      <c r="BP267" s="78">
        <f t="shared" si="35"/>
        <v>0.2878787878787879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96.296296296296305</v>
      </c>
      <c r="Y272" s="43">
        <f>IFERROR(Y264/H264,"0")+IFERROR(Y265/H265,"0")+IFERROR(Y266/H266,"0")+IFERROR(Y267/H267,"0")+IFERROR(Y268/H268,"0")+IFERROR(Y269/H269,"0")+IFERROR(Y270/H270,"0")+IFERROR(Y271/H271,"0")</f>
        <v>99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0.89298000000000011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520</v>
      </c>
      <c r="Y273" s="43">
        <f>IFERROR(SUM(Y264:Y271),"0")</f>
        <v>534.6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9</v>
      </c>
      <c r="Y283" s="55">
        <f t="shared" si="36"/>
        <v>9.6</v>
      </c>
      <c r="Z283" s="41">
        <f>IFERROR(IF(Y283=0,"",ROUNDUP(Y283/H283,0)*0.00651),"")</f>
        <v>2.6040000000000001E-2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9.9450000000000021</v>
      </c>
      <c r="BN283" s="78">
        <f t="shared" si="38"/>
        <v>10.608000000000001</v>
      </c>
      <c r="BO283" s="78">
        <f t="shared" si="39"/>
        <v>2.0604395604395608E-2</v>
      </c>
      <c r="BP283" s="78">
        <f t="shared" si="40"/>
        <v>2.197802197802198E-2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12</v>
      </c>
      <c r="Y284" s="55">
        <f t="shared" si="36"/>
        <v>12</v>
      </c>
      <c r="Z284" s="41">
        <f>IFERROR(IF(Y284=0,"",ROUNDUP(Y284/H284,0)*0.00651),"")</f>
        <v>3.2550000000000003E-2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13.290000000000001</v>
      </c>
      <c r="BN284" s="78">
        <f t="shared" si="38"/>
        <v>13.290000000000001</v>
      </c>
      <c r="BO284" s="78">
        <f t="shared" si="39"/>
        <v>2.7472527472527476E-2</v>
      </c>
      <c r="BP284" s="78">
        <f t="shared" si="40"/>
        <v>2.7472527472527476E-2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8.75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9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5.8590000000000003E-2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21</v>
      </c>
      <c r="Y287" s="43">
        <f>IFERROR(SUM(Y275:Y285),"0")</f>
        <v>21.6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30</v>
      </c>
      <c r="Y325" s="55">
        <f t="shared" si="46"/>
        <v>32.400000000000006</v>
      </c>
      <c r="Z325" s="41">
        <f>IFERROR(IF(Y325=0,"",ROUNDUP(Y325/H325,0)*0.01898),"")</f>
        <v>5.6940000000000004E-2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31.138888888888889</v>
      </c>
      <c r="BN325" s="78">
        <f t="shared" si="48"/>
        <v>33.630000000000003</v>
      </c>
      <c r="BO325" s="78">
        <f t="shared" si="49"/>
        <v>4.3402777777777776E-2</v>
      </c>
      <c r="BP325" s="78">
        <f t="shared" si="50"/>
        <v>4.6875000000000007E-2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2.7777777777777777</v>
      </c>
      <c r="Y328" s="43">
        <f>IFERROR(Y321/H321,"0")+IFERROR(Y322/H322,"0")+IFERROR(Y323/H323,"0")+IFERROR(Y324/H324,"0")+IFERROR(Y325/H325,"0")+IFERROR(Y326/H326,"0")+IFERROR(Y327/H327,"0")</f>
        <v>3.0000000000000004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5.6940000000000004E-2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30</v>
      </c>
      <c r="Y329" s="43">
        <f>IFERROR(SUM(Y321:Y327),"0")</f>
        <v>32.400000000000006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700</v>
      </c>
      <c r="Y369" s="55">
        <f t="shared" ref="Y369:Y375" si="51">IFERROR(IF(X369="",0,CEILING((X369/$H369),1)*$H369),"")</f>
        <v>702</v>
      </c>
      <c r="Z369" s="41">
        <f>IFERROR(IF(Y369=0,"",ROUNDUP(Y369/H369,0)*0.01898),"")</f>
        <v>1.2337</v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726.57407407407413</v>
      </c>
      <c r="BN369" s="78">
        <f t="shared" ref="BN369:BN375" si="53">IFERROR(Y369*I369/H369,"0")</f>
        <v>728.65000000000009</v>
      </c>
      <c r="BO369" s="78">
        <f t="shared" ref="BO369:BO375" si="54">IFERROR(1/J369*(X369/H369),"0")</f>
        <v>1.0127314814814814</v>
      </c>
      <c r="BP369" s="78">
        <f t="shared" ref="BP369:BP375" si="55">IFERROR(1/J369*(Y369/H369),"0")</f>
        <v>1.015625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64.81481481481481</v>
      </c>
      <c r="Y376" s="43">
        <f>IFERROR(Y369/H369,"0")+IFERROR(Y370/H370,"0")+IFERROR(Y371/H371,"0")+IFERROR(Y372/H372,"0")+IFERROR(Y373/H373,"0")+IFERROR(Y374/H374,"0")+IFERROR(Y375/H375,"0")</f>
        <v>65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1.2337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700</v>
      </c>
      <c r="Y377" s="43">
        <f>IFERROR(SUM(Y369:Y375),"0")</f>
        <v>702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200</v>
      </c>
      <c r="Y380" s="55">
        <f t="shared" si="56"/>
        <v>201.60000000000002</v>
      </c>
      <c r="Z380" s="41">
        <f>IFERROR(IF(Y380=0,"",ROUNDUP(Y380/H380,0)*0.00902),"")</f>
        <v>0.43296000000000001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211.9047619047619</v>
      </c>
      <c r="BN380" s="78">
        <f t="shared" si="58"/>
        <v>213.60000000000002</v>
      </c>
      <c r="BO380" s="78">
        <f t="shared" si="59"/>
        <v>0.36075036075036077</v>
      </c>
      <c r="BP380" s="78">
        <f t="shared" si="60"/>
        <v>0.36363636363636365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47.61904761904762</v>
      </c>
      <c r="Y386" s="43">
        <f>IFERROR(Y379/H379,"0")+IFERROR(Y380/H380,"0")+IFERROR(Y381/H381,"0")+IFERROR(Y382/H382,"0")+IFERROR(Y383/H383,"0")+IFERROR(Y384/H384,"0")+IFERROR(Y385/H385,"0")</f>
        <v>48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0.43296000000000001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200</v>
      </c>
      <c r="Y387" s="43">
        <f>IFERROR(SUM(Y379:Y385),"0")</f>
        <v>201.60000000000002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30</v>
      </c>
      <c r="Y397" s="55">
        <f>IFERROR(IF(X397="",0,CEILING((X397/$H397),1)*$H397),"")</f>
        <v>31.2</v>
      </c>
      <c r="Z397" s="41">
        <f>IFERROR(IF(Y397=0,"",ROUNDUP(Y397/H397,0)*0.01898),"")</f>
        <v>7.5920000000000001E-2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31.900000000000002</v>
      </c>
      <c r="BN397" s="78">
        <f>IFERROR(Y397*I397/H397,"0")</f>
        <v>33.176000000000002</v>
      </c>
      <c r="BO397" s="78">
        <f>IFERROR(1/J397*(X397/H397),"0")</f>
        <v>6.0096153846153848E-2</v>
      </c>
      <c r="BP397" s="78">
        <f>IFERROR(1/J397*(Y397/H397),"0")</f>
        <v>6.25E-2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3.8461538461538463</v>
      </c>
      <c r="Y399" s="43">
        <f>IFERROR(Y396/H396,"0")+IFERROR(Y397/H397,"0")+IFERROR(Y398/H398,"0")</f>
        <v>4</v>
      </c>
      <c r="Z399" s="43">
        <f>IFERROR(IF(Z396="",0,Z396),"0")+IFERROR(IF(Z397="",0,Z397),"0")+IFERROR(IF(Z398="",0,Z398),"0")</f>
        <v>7.5920000000000001E-2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30</v>
      </c>
      <c r="Y400" s="43">
        <f>IFERROR(SUM(Y396:Y398),"0")</f>
        <v>31.2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50</v>
      </c>
      <c r="Y430" s="55">
        <f>IFERROR(IF(X430="",0,CEILING((X430/$H430),1)*$H430),"")</f>
        <v>56.699999999999996</v>
      </c>
      <c r="Z430" s="41">
        <f>IFERROR(IF(Y430=0,"",ROUNDUP(Y430/H430,0)*0.01898),"")</f>
        <v>0.13286000000000001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53.049382716049386</v>
      </c>
      <c r="BN430" s="78">
        <f>IFERROR(Y430*I430/H430,"0")</f>
        <v>60.157999999999994</v>
      </c>
      <c r="BO430" s="78">
        <f>IFERROR(1/J430*(X430/H430),"0")</f>
        <v>9.6450617283950615E-2</v>
      </c>
      <c r="BP430" s="78">
        <f>IFERROR(1/J430*(Y430/H430),"0")</f>
        <v>0.109375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6.1728395061728394</v>
      </c>
      <c r="Y433" s="43">
        <f>IFERROR(Y430/H430,"0")+IFERROR(Y431/H431,"0")+IFERROR(Y432/H432,"0")</f>
        <v>7</v>
      </c>
      <c r="Z433" s="43">
        <f>IFERROR(IF(Z430="",0,Z430),"0")+IFERROR(IF(Z431="",0,Z431),"0")+IFERROR(IF(Z432="",0,Z432),"0")</f>
        <v>0.13286000000000001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50</v>
      </c>
      <c r="Y434" s="43">
        <f>IFERROR(SUM(Y430:Y432),"0")</f>
        <v>56.699999999999996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2000</v>
      </c>
      <c r="Y439" s="55">
        <f t="shared" si="61"/>
        <v>2010</v>
      </c>
      <c r="Z439" s="41">
        <f>IFERROR(IF(Y439=0,"",ROUNDUP(Y439/H439,0)*0.02175),"")</f>
        <v>2.9144999999999999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2062.6666666666665</v>
      </c>
      <c r="BN439" s="78">
        <f t="shared" si="63"/>
        <v>2072.98</v>
      </c>
      <c r="BO439" s="78">
        <f t="shared" si="64"/>
        <v>2.7777777777777777</v>
      </c>
      <c r="BP439" s="78">
        <f t="shared" si="65"/>
        <v>2.7916666666666665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4700</v>
      </c>
      <c r="Y440" s="55">
        <f t="shared" si="61"/>
        <v>4710</v>
      </c>
      <c r="Z440" s="41">
        <f>IFERROR(IF(Y440=0,"",ROUNDUP(Y440/H440,0)*0.02175),"")</f>
        <v>6.8294999999999995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4847.2666666666664</v>
      </c>
      <c r="BN440" s="78">
        <f t="shared" si="63"/>
        <v>4857.58</v>
      </c>
      <c r="BO440" s="78">
        <f t="shared" si="64"/>
        <v>6.5277777777777768</v>
      </c>
      <c r="BP440" s="78">
        <f t="shared" si="65"/>
        <v>6.5416666666666661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5000</v>
      </c>
      <c r="Y442" s="55">
        <f t="shared" si="61"/>
        <v>5010</v>
      </c>
      <c r="Z442" s="41">
        <f>IFERROR(IF(Y442=0,"",ROUNDUP(Y442/H442,0)*0.02175),"")</f>
        <v>7.2644999999999991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5156.666666666667</v>
      </c>
      <c r="BN442" s="78">
        <f t="shared" si="63"/>
        <v>5166.9799999999996</v>
      </c>
      <c r="BO442" s="78">
        <f t="shared" si="64"/>
        <v>6.9444444444444438</v>
      </c>
      <c r="BP442" s="78">
        <f t="shared" si="65"/>
        <v>6.958333333333333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780</v>
      </c>
      <c r="Y446" s="43">
        <f>IFERROR(Y438/H438,"0")+IFERROR(Y439/H439,"0")+IFERROR(Y440/H440,"0")+IFERROR(Y441/H441,"0")+IFERROR(Y442/H442,"0")+IFERROR(Y443/H443,"0")+IFERROR(Y444/H444,"0")+IFERROR(Y445/H445,"0")</f>
        <v>782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17.008499999999998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11700</v>
      </c>
      <c r="Y447" s="43">
        <f>IFERROR(SUM(Y438:Y445),"0")</f>
        <v>11730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3000</v>
      </c>
      <c r="Y449" s="55">
        <f>IFERROR(IF(X449="",0,CEILING((X449/$H449),1)*$H449),"")</f>
        <v>3000</v>
      </c>
      <c r="Z449" s="41">
        <f>IFERROR(IF(Y449=0,"",ROUNDUP(Y449/H449,0)*0.02175),"")</f>
        <v>4.3499999999999996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3094</v>
      </c>
      <c r="BN449" s="78">
        <f>IFERROR(Y449*I449/H449,"0")</f>
        <v>3094</v>
      </c>
      <c r="BO449" s="78">
        <f>IFERROR(1/J449*(X449/H449),"0")</f>
        <v>4.1666666666666661</v>
      </c>
      <c r="BP449" s="78">
        <f>IFERROR(1/J449*(Y449/H449),"0")</f>
        <v>4.1666666666666661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200</v>
      </c>
      <c r="Y452" s="43">
        <f>IFERROR(Y449/H449,"0")+IFERROR(Y450/H450,"0")+IFERROR(Y451/H451,"0")</f>
        <v>200</v>
      </c>
      <c r="Z452" s="43">
        <f>IFERROR(IF(Z449="",0,Z449),"0")+IFERROR(IF(Z450="",0,Z450),"0")+IFERROR(IF(Z451="",0,Z451),"0")</f>
        <v>4.3499999999999996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3000</v>
      </c>
      <c r="Y453" s="43">
        <f>IFERROR(SUM(Y449:Y451),"0")</f>
        <v>3000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400</v>
      </c>
      <c r="Y455" s="55">
        <f>IFERROR(IF(X455="",0,CEILING((X455/$H455),1)*$H455),"")</f>
        <v>405</v>
      </c>
      <c r="Z455" s="41">
        <f>IFERROR(IF(Y455=0,"",ROUNDUP(Y455/H455,0)*0.01898),"")</f>
        <v>0.85409999999999997</v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422.22222222222223</v>
      </c>
      <c r="BN455" s="78">
        <f>IFERROR(Y455*I455/H455,"0")</f>
        <v>427.5</v>
      </c>
      <c r="BO455" s="78">
        <f>IFERROR(1/J455*(X455/H455),"0")</f>
        <v>0.69444444444444442</v>
      </c>
      <c r="BP455" s="78">
        <f>IFERROR(1/J455*(Y455/H455),"0")</f>
        <v>0.703125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44.444444444444443</v>
      </c>
      <c r="Y458" s="43">
        <f>IFERROR(Y455/H455,"0")+IFERROR(Y456/H456,"0")+IFERROR(Y457/H457,"0")</f>
        <v>45</v>
      </c>
      <c r="Z458" s="43">
        <f>IFERROR(IF(Z455="",0,Z455),"0")+IFERROR(IF(Z456="",0,Z456),"0")+IFERROR(IF(Z457="",0,Z457),"0")</f>
        <v>0.85409999999999997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400</v>
      </c>
      <c r="Y459" s="43">
        <f>IFERROR(SUM(Y455:Y457),"0")</f>
        <v>405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30</v>
      </c>
      <c r="Y462" s="55">
        <f>IFERROR(IF(X462="",0,CEILING((X462/$H462),1)*$H462),"")</f>
        <v>36</v>
      </c>
      <c r="Z462" s="41">
        <f>IFERROR(IF(Y462=0,"",ROUNDUP(Y462/H462,0)*0.01898),"")</f>
        <v>7.5920000000000001E-2</v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31.646666666666665</v>
      </c>
      <c r="BN462" s="78">
        <f>IFERROR(Y462*I462/H462,"0")</f>
        <v>37.975999999999999</v>
      </c>
      <c r="BO462" s="78">
        <f>IFERROR(1/J462*(X462/H462),"0")</f>
        <v>5.2083333333333336E-2</v>
      </c>
      <c r="BP462" s="78">
        <f>IFERROR(1/J462*(Y462/H462),"0")</f>
        <v>6.25E-2</v>
      </c>
    </row>
    <row r="463" spans="1:68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3.3333333333333335</v>
      </c>
      <c r="Y463" s="43">
        <f>IFERROR(Y461/H461,"0")+IFERROR(Y462/H462,"0")</f>
        <v>4</v>
      </c>
      <c r="Z463" s="43">
        <f>IFERROR(IF(Z461="",0,Z461),"0")+IFERROR(IF(Z462="",0,Z462),"0")</f>
        <v>7.5920000000000001E-2</v>
      </c>
      <c r="AA463" s="67"/>
      <c r="AB463" s="67"/>
      <c r="AC463" s="67"/>
    </row>
    <row r="464" spans="1:68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30</v>
      </c>
      <c r="Y464" s="43">
        <f>IFERROR(SUM(Y461:Y462),"0")</f>
        <v>36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40</v>
      </c>
      <c r="Y467" s="55">
        <f>IFERROR(IF(X467="",0,CEILING((X467/$H467),1)*$H467),"")</f>
        <v>48</v>
      </c>
      <c r="Z467" s="41">
        <f>IFERROR(IF(Y467=0,"",ROUNDUP(Y467/H467,0)*0.01898),"")</f>
        <v>7.5920000000000001E-2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41.366666666666667</v>
      </c>
      <c r="BN467" s="78">
        <f>IFERROR(Y467*I467/H467,"0")</f>
        <v>49.640000000000008</v>
      </c>
      <c r="BO467" s="78">
        <f>IFERROR(1/J467*(X467/H467),"0")</f>
        <v>5.2083333333333336E-2</v>
      </c>
      <c r="BP467" s="78">
        <f>IFERROR(1/J467*(Y467/H467),"0")</f>
        <v>6.25E-2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3.3333333333333335</v>
      </c>
      <c r="Y469" s="43">
        <f>IFERROR(Y467/H467,"0")+IFERROR(Y468/H468,"0")</f>
        <v>4</v>
      </c>
      <c r="Z469" s="43">
        <f>IFERROR(IF(Z467="",0,Z467),"0")+IFERROR(IF(Z468="",0,Z468),"0")</f>
        <v>7.5920000000000001E-2</v>
      </c>
      <c r="AA469" s="67"/>
      <c r="AB469" s="67"/>
      <c r="AC469" s="67"/>
    </row>
    <row r="470" spans="1:68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40</v>
      </c>
      <c r="Y470" s="43">
        <f>IFERROR(SUM(Y467:Y468),"0")</f>
        <v>48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30</v>
      </c>
      <c r="Y472" s="55">
        <f>IFERROR(IF(X472="",0,CEILING((X472/$H472),1)*$H472),"")</f>
        <v>33.6</v>
      </c>
      <c r="Z472" s="41">
        <f>IFERROR(IF(Y472=0,"",ROUNDUP(Y472/H472,0)*0.00902),"")</f>
        <v>7.2160000000000002E-2</v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31.785714285714285</v>
      </c>
      <c r="BN472" s="78">
        <f>IFERROR(Y472*I472/H472,"0")</f>
        <v>35.6</v>
      </c>
      <c r="BO472" s="78">
        <f>IFERROR(1/J472*(X472/H472),"0")</f>
        <v>5.4112554112554112E-2</v>
      </c>
      <c r="BP472" s="78">
        <f>IFERROR(1/J472*(Y472/H472),"0")</f>
        <v>6.0606060606060608E-2</v>
      </c>
    </row>
    <row r="473" spans="1:68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7.1428571428571423</v>
      </c>
      <c r="Y473" s="43">
        <f>IFERROR(Y472/H472,"0")</f>
        <v>8</v>
      </c>
      <c r="Z473" s="43">
        <f>IFERROR(IF(Z472="",0,Z472),"0")</f>
        <v>7.2160000000000002E-2</v>
      </c>
      <c r="AA473" s="67"/>
      <c r="AB473" s="67"/>
      <c r="AC473" s="67"/>
    </row>
    <row r="474" spans="1:68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30</v>
      </c>
      <c r="Y474" s="43">
        <f>IFERROR(SUM(Y472:Y472),"0")</f>
        <v>33.6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50</v>
      </c>
      <c r="Y476" s="55">
        <f>IFERROR(IF(X476="",0,CEILING((X476/$H476),1)*$H476),"")</f>
        <v>54</v>
      </c>
      <c r="Z476" s="41">
        <f>IFERROR(IF(Y476=0,"",ROUNDUP(Y476/H476,0)*0.01898),"")</f>
        <v>0.11388000000000001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52.74444444444444</v>
      </c>
      <c r="BN476" s="78">
        <f>IFERROR(Y476*I476/H476,"0")</f>
        <v>56.963999999999992</v>
      </c>
      <c r="BO476" s="78">
        <f>IFERROR(1/J476*(X476/H476),"0")</f>
        <v>8.6805555555555552E-2</v>
      </c>
      <c r="BP476" s="78">
        <f>IFERROR(1/J476*(Y476/H476),"0")</f>
        <v>9.375E-2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5.5555555555555554</v>
      </c>
      <c r="Y479" s="43">
        <f>IFERROR(Y476/H476,"0")+IFERROR(Y477/H477,"0")+IFERROR(Y478/H478,"0")</f>
        <v>6</v>
      </c>
      <c r="Z479" s="43">
        <f>IFERROR(IF(Z476="",0,Z476),"0")+IFERROR(IF(Z477="",0,Z477),"0")+IFERROR(IF(Z478="",0,Z478),"0")</f>
        <v>0.11388000000000001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50</v>
      </c>
      <c r="Y480" s="43">
        <f>IFERROR(SUM(Y476:Y478),"0")</f>
        <v>54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60</v>
      </c>
      <c r="Y484" s="55">
        <f t="shared" ref="Y484:Y489" si="66">IFERROR(IF(X484="",0,CEILING((X484/$H484),1)*$H484),"")</f>
        <v>64.800000000000011</v>
      </c>
      <c r="Z484" s="41">
        <f>IFERROR(IF(Y484=0,"",ROUNDUP(Y484/H484,0)*0.00902),"")</f>
        <v>0.10824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62.1111111111111</v>
      </c>
      <c r="BN484" s="78">
        <f t="shared" ref="BN484:BN489" si="68">IFERROR(Y484*I484/H484,"0")</f>
        <v>67.08</v>
      </c>
      <c r="BO484" s="78">
        <f t="shared" ref="BO484:BO489" si="69">IFERROR(1/J484*(X484/H484),"0")</f>
        <v>8.4175084175084181E-2</v>
      </c>
      <c r="BP484" s="78">
        <f t="shared" ref="BP484:BP489" si="70">IFERROR(1/J484*(Y484/H484),"0")</f>
        <v>9.0909090909090925E-2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40</v>
      </c>
      <c r="Y485" s="55">
        <f t="shared" si="66"/>
        <v>43.2</v>
      </c>
      <c r="Z485" s="41">
        <f>IFERROR(IF(Y485=0,"",ROUNDUP(Y485/H485,0)*0.00902),"")</f>
        <v>7.2160000000000002E-2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41.407407407407405</v>
      </c>
      <c r="BN485" s="78">
        <f t="shared" si="68"/>
        <v>44.72</v>
      </c>
      <c r="BO485" s="78">
        <f t="shared" si="69"/>
        <v>5.6116722783389444E-2</v>
      </c>
      <c r="BP485" s="78">
        <f t="shared" si="70"/>
        <v>6.0606060606060608E-2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18.518518518518519</v>
      </c>
      <c r="Y490" s="43">
        <f>IFERROR(Y484/H484,"0")+IFERROR(Y485/H485,"0")+IFERROR(Y486/H486,"0")+IFERROR(Y487/H487,"0")+IFERROR(Y488/H488,"0")+IFERROR(Y489/H489,"0")</f>
        <v>20</v>
      </c>
      <c r="Z490" s="43">
        <f>IFERROR(IF(Z484="",0,Z484),"0")+IFERROR(IF(Z485="",0,Z485),"0")+IFERROR(IF(Z486="",0,Z486),"0")+IFERROR(IF(Z487="",0,Z487),"0")+IFERROR(IF(Z488="",0,Z488),"0")+IFERROR(IF(Z489="",0,Z489),"0")</f>
        <v>0.1804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100</v>
      </c>
      <c r="Y491" s="43">
        <f>IFERROR(SUM(Y484:Y489),"0")</f>
        <v>108.00000000000001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130</v>
      </c>
      <c r="Y502" s="55">
        <f>IFERROR(IF(X502="",0,CEILING((X502/$H502),1)*$H502),"")</f>
        <v>135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134.57407407407405</v>
      </c>
      <c r="BN502" s="78">
        <f>IFERROR(Y502*I502/H502,"0")</f>
        <v>139.75</v>
      </c>
      <c r="BO502" s="78">
        <f>IFERROR(1/J502*(X502/H502),"0")</f>
        <v>0.18237934904601572</v>
      </c>
      <c r="BP502" s="78">
        <f>IFERROR(1/J502*(Y502/H502),"0")</f>
        <v>0.18939393939393939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24.074074074074073</v>
      </c>
      <c r="Y505" s="43">
        <f>IFERROR(Y502/H502,"0")+IFERROR(Y503/H503,"0")+IFERROR(Y504/H504,"0")</f>
        <v>25</v>
      </c>
      <c r="Z505" s="43">
        <f>IFERROR(IF(Z502="",0,Z502),"0")+IFERROR(IF(Z503="",0,Z503),"0")+IFERROR(IF(Z504="",0,Z504),"0")</f>
        <v>0.22550000000000001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130</v>
      </c>
      <c r="Y506" s="43">
        <f>IFERROR(SUM(Y502:Y504),"0")</f>
        <v>135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150</v>
      </c>
      <c r="Y513" s="55">
        <f t="shared" si="71"/>
        <v>153.12</v>
      </c>
      <c r="Z513" s="41">
        <f>IFERROR(IF(Y513=0,"",ROUNDUP(Y513/H513,0)*0.01196),"")</f>
        <v>0.34683999999999998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159.94318181818181</v>
      </c>
      <c r="BN513" s="78">
        <f t="shared" si="73"/>
        <v>163.26999999999998</v>
      </c>
      <c r="BO513" s="78">
        <f t="shared" si="74"/>
        <v>0.27316433566433568</v>
      </c>
      <c r="BP513" s="78">
        <f t="shared" si="75"/>
        <v>0.27884615384615385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130</v>
      </c>
      <c r="Y514" s="55">
        <f t="shared" si="71"/>
        <v>132</v>
      </c>
      <c r="Z514" s="41">
        <f>IFERROR(IF(Y514=0,"",ROUNDUP(Y514/H514,0)*0.01196),"")</f>
        <v>0.29899999999999999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138.61742424242422</v>
      </c>
      <c r="BN514" s="78">
        <f t="shared" si="73"/>
        <v>140.75</v>
      </c>
      <c r="BO514" s="78">
        <f t="shared" si="74"/>
        <v>0.23674242424242425</v>
      </c>
      <c r="BP514" s="78">
        <f t="shared" si="75"/>
        <v>0.24038461538461539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53.030303030303031</v>
      </c>
      <c r="Y518" s="43">
        <f>IFERROR(Y510/H510,"0")+IFERROR(Y511/H511,"0")+IFERROR(Y512/H512,"0")+IFERROR(Y513/H513,"0")+IFERROR(Y514/H514,"0")+IFERROR(Y515/H515,"0")+IFERROR(Y516/H516,"0")+IFERROR(Y517/H517,"0")</f>
        <v>54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0.64583999999999997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280</v>
      </c>
      <c r="Y519" s="43">
        <f>IFERROR(SUM(Y510:Y517),"0")</f>
        <v>285.12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130</v>
      </c>
      <c r="Y521" s="55">
        <f>IFERROR(IF(X521="",0,CEILING((X521/$H521),1)*$H521),"")</f>
        <v>132</v>
      </c>
      <c r="Z521" s="41">
        <f>IFERROR(IF(Y521=0,"",ROUNDUP(Y521/H521,0)*0.01196),"")</f>
        <v>0.29899999999999999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138.61742424242422</v>
      </c>
      <c r="BN521" s="78">
        <f>IFERROR(Y521*I521/H521,"0")</f>
        <v>140.75</v>
      </c>
      <c r="BO521" s="78">
        <f>IFERROR(1/J521*(X521/H521),"0")</f>
        <v>0.23674242424242425</v>
      </c>
      <c r="BP521" s="78">
        <f>IFERROR(1/J521*(Y521/H521),"0")</f>
        <v>0.24038461538461539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24.621212121212121</v>
      </c>
      <c r="Y524" s="43">
        <f>IFERROR(Y521/H521,"0")+IFERROR(Y522/H522,"0")+IFERROR(Y523/H523,"0")</f>
        <v>25</v>
      </c>
      <c r="Z524" s="43">
        <f>IFERROR(IF(Z521="",0,Z521),"0")+IFERROR(IF(Z522="",0,Z522),"0")+IFERROR(IF(Z523="",0,Z523),"0")</f>
        <v>0.29899999999999999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130</v>
      </c>
      <c r="Y525" s="43">
        <f>IFERROR(SUM(Y521:Y523),"0")</f>
        <v>132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17963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18087.219999999998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18579.542270322265</v>
      </c>
      <c r="Y565" s="43">
        <f>IFERROR(SUM(BN22:BN561),"0")</f>
        <v>18709.254000000001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26</v>
      </c>
      <c r="Y566" s="44">
        <f>ROUNDUP(SUM(BP22:BP561),0)</f>
        <v>26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19229.542270322265</v>
      </c>
      <c r="Y567" s="43">
        <f>GrossWeightTotalR+PalletQtyTotalR*25</f>
        <v>19359.254000000001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1491.6648166648165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1509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27.93993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228.50000000000003</v>
      </c>
      <c r="F574" s="52">
        <f>IFERROR(Y89*1,"0")+IFERROR(Y90*1,"0")+IFERROR(Y91*1,"0")+IFERROR(Y92*1,"0")+IFERROR(Y93*1,"0")+IFERROR(Y94*1,"0")+IFERROR(Y98*1,"0")+IFERROR(Y99*1,"0")+IFERROR(Y100*1,"0")+IFERROR(Y101*1,"0")</f>
        <v>13.5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72.899999999999991</v>
      </c>
      <c r="H574" s="52">
        <f>IFERROR(Y135*1,"0")+IFERROR(Y136*1,"0")+IFERROR(Y140*1,"0")+IFERROR(Y141*1,"0")+IFERROR(Y145*1,"0")+IFERROR(Y146*1,"0")</f>
        <v>40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143.5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42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556.20000000000005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32.400000000000006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934.80000000000007</v>
      </c>
      <c r="V574" s="52">
        <f>IFERROR(Y422*1,"0")+IFERROR(Y423*1,"0")+IFERROR(Y424*1,"0")+IFERROR(Y425*1,"0")</f>
        <v>0</v>
      </c>
      <c r="W574" s="52">
        <f>IFERROR(Y430*1,"0")+IFERROR(Y431*1,"0")+IFERROR(Y432*1,"0")</f>
        <v>56.699999999999996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15171</v>
      </c>
      <c r="Y574" s="52">
        <f>IFERROR(Y467*1,"0")+IFERROR(Y468*1,"0")+IFERROR(Y472*1,"0")+IFERROR(Y476*1,"0")+IFERROR(Y477*1,"0")+IFERROR(Y478*1,"0")</f>
        <v>135.6</v>
      </c>
      <c r="Z574" s="52">
        <f>IFERROR(Y484*1,"0")+IFERROR(Y485*1,"0")+IFERROR(Y486*1,"0")+IFERROR(Y487*1,"0")+IFERROR(Y488*1,"0")+IFERROR(Y489*1,"0")+IFERROR(Y493*1,"0")</f>
        <v>108.00000000000001</v>
      </c>
      <c r="AA574" s="52">
        <f>IFERROR(Y498*1,"0")+IFERROR(Y502*1,"0")+IFERROR(Y503*1,"0")+IFERROR(Y504*1,"0")</f>
        <v>135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417.12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1,66"/>
        <filter val="100,00"/>
        <filter val="11 700,00"/>
        <filter val="12,00"/>
        <filter val="13,00"/>
        <filter val="13,89"/>
        <filter val="130,00"/>
        <filter val="140,00"/>
        <filter val="150,00"/>
        <filter val="17 963,00"/>
        <filter val="18 579,54"/>
        <filter val="18,52"/>
        <filter val="19 229,54"/>
        <filter val="2 000,00"/>
        <filter val="2,78"/>
        <filter val="2,89"/>
        <filter val="20,00"/>
        <filter val="200,00"/>
        <filter val="21,00"/>
        <filter val="22,00"/>
        <filter val="24,07"/>
        <filter val="24,62"/>
        <filter val="26"/>
        <filter val="280,00"/>
        <filter val="3 000,00"/>
        <filter val="3,33"/>
        <filter val="3,75"/>
        <filter val="3,85"/>
        <filter val="30,00"/>
        <filter val="4 700,00"/>
        <filter val="4,55"/>
        <filter val="4,64"/>
        <filter val="40,00"/>
        <filter val="400,00"/>
        <filter val="44,44"/>
        <filter val="47,62"/>
        <filter val="5 000,00"/>
        <filter val="5,56"/>
        <filter val="50,00"/>
        <filter val="520,00"/>
        <filter val="53,03"/>
        <filter val="6,17"/>
        <filter val="60,00"/>
        <filter val="64,81"/>
        <filter val="7,14"/>
        <filter val="70,00"/>
        <filter val="700,00"/>
        <filter val="72,00"/>
        <filter val="780,00"/>
        <filter val="8,64"/>
        <filter val="8,75"/>
        <filter val="80,00"/>
        <filter val="9,00"/>
        <filter val="9,45"/>
        <filter val="9,52"/>
        <filter val="90,00"/>
        <filter val="96,3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