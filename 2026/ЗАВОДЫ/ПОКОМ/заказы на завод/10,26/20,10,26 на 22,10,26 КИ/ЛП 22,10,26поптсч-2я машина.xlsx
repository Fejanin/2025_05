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1007C3-2F52-408F-A94F-845F7E86EDE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P517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N462" i="2" s="1"/>
  <c r="P462" i="2"/>
  <c r="BP461" i="2"/>
  <c r="BO461" i="2"/>
  <c r="BM461" i="2"/>
  <c r="Y461" i="2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Z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P380" i="2"/>
  <c r="BO380" i="2"/>
  <c r="BM380" i="2"/>
  <c r="Y380" i="2"/>
  <c r="BN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P371" i="2"/>
  <c r="BO371" i="2"/>
  <c r="BM371" i="2"/>
  <c r="Y371" i="2"/>
  <c r="P371" i="2"/>
  <c r="BO370" i="2"/>
  <c r="BM370" i="2"/>
  <c r="Y370" i="2"/>
  <c r="P370" i="2"/>
  <c r="BO369" i="2"/>
  <c r="BM369" i="2"/>
  <c r="Y369" i="2"/>
  <c r="Z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4" i="2" s="1"/>
  <c r="P353" i="2"/>
  <c r="X350" i="2"/>
  <c r="X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Z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P123" i="2"/>
  <c r="BO123" i="2"/>
  <c r="BM123" i="2"/>
  <c r="Y123" i="2"/>
  <c r="BN123" i="2" s="1"/>
  <c r="P123" i="2"/>
  <c r="X121" i="2"/>
  <c r="X120" i="2"/>
  <c r="BO119" i="2"/>
  <c r="BN119" i="2"/>
  <c r="BM119" i="2"/>
  <c r="Z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P110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Z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N41" i="2" l="1"/>
  <c r="BN52" i="2"/>
  <c r="BN107" i="2"/>
  <c r="BN111" i="2"/>
  <c r="BN130" i="2"/>
  <c r="Y132" i="2"/>
  <c r="BN222" i="2"/>
  <c r="BN342" i="2"/>
  <c r="BN443" i="2"/>
  <c r="BP462" i="2"/>
  <c r="BN512" i="2"/>
  <c r="BN35" i="2"/>
  <c r="BN43" i="2"/>
  <c r="BN54" i="2"/>
  <c r="BP61" i="2"/>
  <c r="BN63" i="2"/>
  <c r="BP145" i="2"/>
  <c r="BN146" i="2"/>
  <c r="Z154" i="2"/>
  <c r="BN154" i="2"/>
  <c r="Z165" i="2"/>
  <c r="BN165" i="2"/>
  <c r="BP214" i="2"/>
  <c r="Y215" i="2"/>
  <c r="BN229" i="2"/>
  <c r="BP237" i="2"/>
  <c r="BN238" i="2"/>
  <c r="BP244" i="2"/>
  <c r="BP290" i="2"/>
  <c r="BN296" i="2"/>
  <c r="Z297" i="2"/>
  <c r="BN297" i="2"/>
  <c r="BN299" i="2"/>
  <c r="BP301" i="2"/>
  <c r="BN314" i="2"/>
  <c r="Y359" i="2"/>
  <c r="Z411" i="2"/>
  <c r="Z451" i="2"/>
  <c r="Y463" i="2"/>
  <c r="Z462" i="2"/>
  <c r="BN493" i="2"/>
  <c r="Z188" i="2"/>
  <c r="BP188" i="2"/>
  <c r="Y191" i="2"/>
  <c r="Z220" i="2"/>
  <c r="Z230" i="2"/>
  <c r="BP230" i="2"/>
  <c r="Z309" i="2"/>
  <c r="Z310" i="2" s="1"/>
  <c r="BP309" i="2"/>
  <c r="Y311" i="2"/>
  <c r="Z353" i="2"/>
  <c r="Z354" i="2" s="1"/>
  <c r="BP353" i="2"/>
  <c r="Y355" i="2"/>
  <c r="Z389" i="2"/>
  <c r="Z397" i="2"/>
  <c r="Z424" i="2"/>
  <c r="BP523" i="2"/>
  <c r="BP397" i="2"/>
  <c r="BN29" i="2"/>
  <c r="BP71" i="2"/>
  <c r="BN73" i="2"/>
  <c r="BP125" i="2"/>
  <c r="Z152" i="2"/>
  <c r="BP189" i="2"/>
  <c r="BP206" i="2"/>
  <c r="BN207" i="2"/>
  <c r="Y216" i="2"/>
  <c r="Z222" i="2"/>
  <c r="BP266" i="2"/>
  <c r="Z296" i="2"/>
  <c r="Z342" i="2"/>
  <c r="BN369" i="2"/>
  <c r="BN405" i="2"/>
  <c r="BP457" i="2"/>
  <c r="BN487" i="2"/>
  <c r="Z512" i="2"/>
  <c r="BN513" i="2"/>
  <c r="Z516" i="2"/>
  <c r="Z523" i="2"/>
  <c r="Z532" i="2"/>
  <c r="Z70" i="2"/>
  <c r="Z107" i="2"/>
  <c r="BN117" i="2"/>
  <c r="Y131" i="2"/>
  <c r="BN141" i="2"/>
  <c r="BN166" i="2"/>
  <c r="BP183" i="2"/>
  <c r="BN184" i="2"/>
  <c r="BN188" i="2"/>
  <c r="BP224" i="2"/>
  <c r="BN225" i="2"/>
  <c r="Z229" i="2"/>
  <c r="BP270" i="2"/>
  <c r="BN309" i="2"/>
  <c r="BN353" i="2"/>
  <c r="BN389" i="2"/>
  <c r="BP411" i="2"/>
  <c r="BN441" i="2"/>
  <c r="Z450" i="2"/>
  <c r="BP451" i="2"/>
  <c r="Z498" i="2"/>
  <c r="Z499" i="2" s="1"/>
  <c r="BN504" i="2"/>
  <c r="BP511" i="2"/>
  <c r="Z440" i="2"/>
  <c r="BP369" i="2"/>
  <c r="BN266" i="2"/>
  <c r="BN476" i="2"/>
  <c r="Z65" i="2"/>
  <c r="BN59" i="2"/>
  <c r="Z380" i="2"/>
  <c r="BN177" i="2"/>
  <c r="Z175" i="2"/>
  <c r="Y186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51" i="2"/>
  <c r="Z155" i="2" s="1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Z74" i="2" s="1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65" i="2" s="1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12" i="2" l="1"/>
  <c r="Z393" i="2"/>
  <c r="Z452" i="2"/>
  <c r="Z463" i="2"/>
  <c r="Z246" i="2"/>
  <c r="Z190" i="2"/>
  <c r="Z349" i="2"/>
  <c r="Z36" i="2"/>
  <c r="Z167" i="2"/>
  <c r="Z85" i="2"/>
  <c r="Z142" i="2"/>
  <c r="Z386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<sst xmlns="http://schemas.openxmlformats.org/spreadsheetml/2006/main" count="4249" uniqueCount="899">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</sst>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898</v>
      </c>
      <c r="I5" s="983"/>
      <c r="J5" s="983"/>
      <c r="K5" s="983"/>
      <c r="L5" s="983"/>
      <c r="M5" s="983"/>
      <c r="N5" s="72"/>
      <c r="P5" s="27" t="s">
        <v>4</v>
      </c>
      <c r="Q5" s="985">
        <v>46317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881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Четверг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3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0.45833333333333331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400</v>
      </c>
      <c r="Y51" s="55">
        <f>IFERROR(IF(X51="",0,CEILING((X51/$H51),1)*$H51),"")</f>
        <v>410.40000000000003</v>
      </c>
      <c r="Z51" s="41">
        <f>IFERROR(IF(Y51=0,"",ROUNDUP(Y51/H51,0)*0.01898),"")</f>
        <v>0.72123999999999999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415.18518518518516</v>
      </c>
      <c r="BN51" s="78">
        <f>IFERROR(Y51*I51/H51,"0")</f>
        <v>425.98</v>
      </c>
      <c r="BO51" s="78">
        <f>IFERROR(1/J51*(X51/H51),"0")</f>
        <v>0.57870370370370372</v>
      </c>
      <c r="BP51" s="78">
        <f>IFERROR(1/J51*(Y51/H51),"0")</f>
        <v>0.59375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120</v>
      </c>
      <c r="Y53" s="55">
        <f>IFERROR(IF(X53="",0,CEILING((X53/$H53),1)*$H53),"")</f>
        <v>120</v>
      </c>
      <c r="Z53" s="41">
        <f>IFERROR(IF(Y53=0,"",ROUNDUP(Y53/H53,0)*0.00902),"")</f>
        <v>0.27060000000000001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125.70000000000002</v>
      </c>
      <c r="BN53" s="78">
        <f>IFERROR(Y53*I53/H53,"0")</f>
        <v>125.70000000000002</v>
      </c>
      <c r="BO53" s="78">
        <f>IFERROR(1/J53*(X53/H53),"0")</f>
        <v>0.22727272727272729</v>
      </c>
      <c r="BP53" s="78">
        <f>IFERROR(1/J53*(Y53/H53),"0")</f>
        <v>0.22727272727272729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67.037037037037038</v>
      </c>
      <c r="Y55" s="43">
        <f>IFERROR(Y51/H51,"0")+IFERROR(Y52/H52,"0")+IFERROR(Y53/H53,"0")+IFERROR(Y54/H54,"0")</f>
        <v>68</v>
      </c>
      <c r="Z55" s="43">
        <f>IFERROR(IF(Z51="",0,Z51),"0")+IFERROR(IF(Z52="",0,Z52),"0")+IFERROR(IF(Z53="",0,Z53),"0")+IFERROR(IF(Z54="",0,Z54),"0")</f>
        <v>0.99184000000000005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520</v>
      </c>
      <c r="Y56" s="43">
        <f>IFERROR(SUM(Y51:Y54),"0")</f>
        <v>530.40000000000009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100</v>
      </c>
      <c r="Y59" s="55">
        <f t="shared" ref="Y59:Y66" si="0">IFERROR(IF(X59="",0,CEILING((X59/$H59),1)*$H59),"")</f>
        <v>100.8</v>
      </c>
      <c r="Z59" s="41">
        <f>IFERROR(IF(Y59=0,"",ROUNDUP(Y59/H59,0)*0.01898),"")</f>
        <v>0.17082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103.66071428571429</v>
      </c>
      <c r="BN59" s="78">
        <f t="shared" ref="BN59:BN66" si="2">IFERROR(Y59*I59/H59,"0")</f>
        <v>104.49000000000001</v>
      </c>
      <c r="BO59" s="78">
        <f t="shared" ref="BO59:BO66" si="3">IFERROR(1/J59*(X59/H59),"0")</f>
        <v>0.13950892857142858</v>
      </c>
      <c r="BP59" s="78">
        <f t="shared" ref="BP59:BP66" si="4">IFERROR(1/J59*(Y59/H59),"0")</f>
        <v>0.140625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21</v>
      </c>
      <c r="Y65" s="55">
        <f t="shared" si="0"/>
        <v>21</v>
      </c>
      <c r="Z65" s="41">
        <f>IFERROR(IF(Y65=0,"",ROUNDUP(Y65/H65,0)*0.00651),"")</f>
        <v>6.5100000000000005E-2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22.799999999999997</v>
      </c>
      <c r="BN65" s="78">
        <f t="shared" si="2"/>
        <v>22.799999999999997</v>
      </c>
      <c r="BO65" s="78">
        <f t="shared" si="3"/>
        <v>5.4945054945054951E-2</v>
      </c>
      <c r="BP65" s="78">
        <f t="shared" si="4"/>
        <v>5.4945054945054951E-2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594</v>
      </c>
      <c r="Y66" s="55">
        <f t="shared" si="0"/>
        <v>594</v>
      </c>
      <c r="Z66" s="41">
        <f>IFERROR(IF(Y66=0,"",ROUNDUP(Y66/H66,0)*0.00902),"")</f>
        <v>1.1906400000000001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619.08000000000004</v>
      </c>
      <c r="BN66" s="78">
        <f t="shared" si="2"/>
        <v>619.08000000000004</v>
      </c>
      <c r="BO66" s="78">
        <f t="shared" si="3"/>
        <v>1</v>
      </c>
      <c r="BP66" s="78">
        <f t="shared" si="4"/>
        <v>1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150.92857142857144</v>
      </c>
      <c r="Y67" s="43">
        <f>IFERROR(Y59/H59,"0")+IFERROR(Y60/H60,"0")+IFERROR(Y61/H61,"0")+IFERROR(Y62/H62,"0")+IFERROR(Y63/H63,"0")+IFERROR(Y64/H64,"0")+IFERROR(Y65/H65,"0")+IFERROR(Y66/H66,"0")</f>
        <v>151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1.4265600000000003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715</v>
      </c>
      <c r="Y68" s="43">
        <f>IFERROR(SUM(Y59:Y66),"0")</f>
        <v>715.8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135</v>
      </c>
      <c r="Y94" s="55">
        <f t="shared" si="5"/>
        <v>135</v>
      </c>
      <c r="Z94" s="41">
        <f>IFERROR(IF(Y94=0,"",ROUNDUP(Y94/H94,0)*0.00902),"")</f>
        <v>0.27060000000000001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140.70000000000002</v>
      </c>
      <c r="BN94" s="78">
        <f t="shared" si="7"/>
        <v>140.70000000000002</v>
      </c>
      <c r="BO94" s="78">
        <f t="shared" si="8"/>
        <v>0.22727272727272729</v>
      </c>
      <c r="BP94" s="78">
        <f t="shared" si="9"/>
        <v>0.22727272727272729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30</v>
      </c>
      <c r="Y95" s="43">
        <f>IFERROR(Y89/H89,"0")+IFERROR(Y90/H90,"0")+IFERROR(Y91/H91,"0")+IFERROR(Y92/H92,"0")+IFERROR(Y93/H93,"0")+IFERROR(Y94/H94,"0")</f>
        <v>30</v>
      </c>
      <c r="Z95" s="43">
        <f>IFERROR(IF(Z89="",0,Z89),"0")+IFERROR(IF(Z90="",0,Z90),"0")+IFERROR(IF(Z91="",0,Z91),"0")+IFERROR(IF(Z92="",0,Z92),"0")+IFERROR(IF(Z93="",0,Z93),"0")+IFERROR(IF(Z94="",0,Z94),"0")</f>
        <v>0.27060000000000001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135</v>
      </c>
      <c r="Y96" s="43">
        <f>IFERROR(SUM(Y89:Y94),"0")</f>
        <v>135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50</v>
      </c>
      <c r="Y175" s="55">
        <f t="shared" ref="Y175:Y184" si="15">IFERROR(IF(X175="",0,CEILING((X175/$H175),1)*$H175),"")</f>
        <v>52.5</v>
      </c>
      <c r="Z175" s="41">
        <f>IFERROR(IF(Y175=0,"",ROUNDUP(Y175/H175,0)*0.00902),"")</f>
        <v>0.1353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52.714285714285715</v>
      </c>
      <c r="BN175" s="78">
        <f t="shared" ref="BN175:BN184" si="17">IFERROR(Y175*I175/H175,"0")</f>
        <v>55.35</v>
      </c>
      <c r="BO175" s="78">
        <f t="shared" ref="BO175:BO184" si="18">IFERROR(1/J175*(X175/H175),"0")</f>
        <v>0.10822510822510824</v>
      </c>
      <c r="BP175" s="78">
        <f t="shared" ref="BP175:BP184" si="19">IFERROR(1/J175*(Y175/H175),"0")</f>
        <v>0.11363636363636365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5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105.42857142857143</v>
      </c>
      <c r="BN177" s="78">
        <f t="shared" si="17"/>
        <v>107.00999999999999</v>
      </c>
      <c r="BO177" s="78">
        <f t="shared" si="18"/>
        <v>0.21645021645021648</v>
      </c>
      <c r="BP177" s="78">
        <f t="shared" si="19"/>
        <v>0.2196969696969697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60</v>
      </c>
      <c r="Y178" s="55">
        <f t="shared" si="15"/>
        <v>63</v>
      </c>
      <c r="Z178" s="41">
        <f>IFERROR(IF(Y178=0,"",ROUNDUP(Y178/H178,0)*0.00902),"")</f>
        <v>0.16236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63.25714285714286</v>
      </c>
      <c r="BN178" s="78">
        <f t="shared" si="17"/>
        <v>66.42</v>
      </c>
      <c r="BO178" s="78">
        <f t="shared" si="18"/>
        <v>0.12987012987012986</v>
      </c>
      <c r="BP178" s="78">
        <f t="shared" si="19"/>
        <v>0.13636363636363635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60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62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0.55923999999999996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210</v>
      </c>
      <c r="Y186" s="43">
        <f>IFERROR(SUM(Y175:Y184),"0")</f>
        <v>217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100</v>
      </c>
      <c r="Y264" s="55">
        <f t="shared" ref="Y264:Y271" si="31">IFERROR(IF(X264="",0,CEILING((X264/$H264),1)*$H264),"")</f>
        <v>102.60000000000001</v>
      </c>
      <c r="Z264" s="41">
        <f>IFERROR(IF(Y264=0,"",ROUNDUP(Y264/H264,0)*0.00902),"")</f>
        <v>0.17138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103.5185185185185</v>
      </c>
      <c r="BN264" s="78">
        <f t="shared" ref="BN264:BN271" si="33">IFERROR(Y264*I264/H264,"0")</f>
        <v>106.21</v>
      </c>
      <c r="BO264" s="78">
        <f t="shared" ref="BO264:BO271" si="34">IFERROR(1/J264*(X264/H264),"0")</f>
        <v>0.14029180695847362</v>
      </c>
      <c r="BP264" s="78">
        <f t="shared" ref="BP264:BP271" si="35">IFERROR(1/J264*(Y264/H264),"0")</f>
        <v>0.14393939393939395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200</v>
      </c>
      <c r="Y266" s="55">
        <f t="shared" si="31"/>
        <v>205.20000000000002</v>
      </c>
      <c r="Z266" s="41">
        <f>IFERROR(IF(Y266=0,"",ROUNDUP(Y266/H266,0)*0.00902),"")</f>
        <v>0.34276000000000001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207.03703703703701</v>
      </c>
      <c r="BN266" s="78">
        <f t="shared" si="33"/>
        <v>212.42</v>
      </c>
      <c r="BO266" s="78">
        <f t="shared" si="34"/>
        <v>0.28058361391694725</v>
      </c>
      <c r="BP266" s="78">
        <f t="shared" si="35"/>
        <v>0.2878787878787879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1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103.5185185185185</v>
      </c>
      <c r="BN267" s="78">
        <f t="shared" si="33"/>
        <v>106.21</v>
      </c>
      <c r="BO267" s="78">
        <f t="shared" si="34"/>
        <v>0.14029180695847362</v>
      </c>
      <c r="BP267" s="78">
        <f t="shared" si="35"/>
        <v>0.14393939393939395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74.074074074074076</v>
      </c>
      <c r="Y272" s="43">
        <f>IFERROR(Y264/H264,"0")+IFERROR(Y265/H265,"0")+IFERROR(Y266/H266,"0")+IFERROR(Y267/H267,"0")+IFERROR(Y268/H268,"0")+IFERROR(Y269/H269,"0")+IFERROR(Y270/H270,"0")+IFERROR(Y271/H271,"0")</f>
        <v>76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0.68552000000000002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400</v>
      </c>
      <c r="Y273" s="43">
        <f>IFERROR(SUM(Y264:Y271),"0")</f>
        <v>410.40000000000003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60</v>
      </c>
      <c r="Y327" s="55">
        <f t="shared" si="46"/>
        <v>60</v>
      </c>
      <c r="Z327" s="41">
        <f>IFERROR(IF(Y327=0,"",ROUNDUP(Y327/H327,0)*0.00902),"")</f>
        <v>0.1353</v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62.850000000000009</v>
      </c>
      <c r="BN327" s="78">
        <f t="shared" si="48"/>
        <v>62.850000000000009</v>
      </c>
      <c r="BO327" s="78">
        <f t="shared" si="49"/>
        <v>0.11363636363636365</v>
      </c>
      <c r="BP327" s="78">
        <f t="shared" si="50"/>
        <v>0.11363636363636365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15</v>
      </c>
      <c r="Y328" s="43">
        <f>IFERROR(Y321/H321,"0")+IFERROR(Y322/H322,"0")+IFERROR(Y323/H323,"0")+IFERROR(Y324/H324,"0")+IFERROR(Y325/H325,"0")+IFERROR(Y326/H326,"0")+IFERROR(Y327/H327,"0")</f>
        <v>15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0.1353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60</v>
      </c>
      <c r="Y329" s="43">
        <f>IFERROR(SUM(Y321:Y327),"0")</f>
        <v>60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40</v>
      </c>
      <c r="Y363" s="55">
        <f>IFERROR(IF(X363="",0,CEILING((X363/$H363),1)*$H363),"")</f>
        <v>46.8</v>
      </c>
      <c r="Z363" s="41">
        <f>IFERROR(IF(Y363=0,"",ROUNDUP(Y363/H363,0)*0.01898),"")</f>
        <v>0.11388000000000001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42.102564102564109</v>
      </c>
      <c r="BN363" s="78">
        <f>IFERROR(Y363*I363/H363,"0")</f>
        <v>49.260000000000005</v>
      </c>
      <c r="BO363" s="78">
        <f>IFERROR(1/J363*(X363/H363),"0")</f>
        <v>8.0128205128205135E-2</v>
      </c>
      <c r="BP363" s="78">
        <f>IFERROR(1/J363*(Y363/H363),"0")</f>
        <v>9.375E-2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5.1282051282051286</v>
      </c>
      <c r="Y365" s="43">
        <f>IFERROR(Y362/H362,"0")+IFERROR(Y363/H363,"0")+IFERROR(Y364/H364,"0")</f>
        <v>6</v>
      </c>
      <c r="Z365" s="43">
        <f>IFERROR(IF(Z362="",0,Z362),"0")+IFERROR(IF(Z363="",0,Z363),"0")+IFERROR(IF(Z364="",0,Z364),"0")</f>
        <v>0.11388000000000001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40</v>
      </c>
      <c r="Y366" s="43">
        <f>IFERROR(SUM(Y362:Y364),"0")</f>
        <v>46.8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150</v>
      </c>
      <c r="Y372" s="55">
        <f t="shared" si="51"/>
        <v>151.20000000000002</v>
      </c>
      <c r="Z372" s="41">
        <f>IFERROR(IF(Y372=0,"",ROUNDUP(Y372/H372,0)*0.01898),"")</f>
        <v>0.26572000000000001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155.69444444444446</v>
      </c>
      <c r="BN372" s="78">
        <f t="shared" si="53"/>
        <v>156.94</v>
      </c>
      <c r="BO372" s="78">
        <f t="shared" si="54"/>
        <v>0.21701388888888887</v>
      </c>
      <c r="BP372" s="78">
        <f t="shared" si="55"/>
        <v>0.21875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13.888888888888888</v>
      </c>
      <c r="Y376" s="43">
        <f>IFERROR(Y369/H369,"0")+IFERROR(Y370/H370,"0")+IFERROR(Y371/H371,"0")+IFERROR(Y372/H372,"0")+IFERROR(Y373/H373,"0")+IFERROR(Y374/H374,"0")+IFERROR(Y375/H375,"0")</f>
        <v>14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0.26572000000000001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150</v>
      </c>
      <c r="Y377" s="43">
        <f>IFERROR(SUM(Y369:Y375),"0")</f>
        <v>151.20000000000002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500</v>
      </c>
      <c r="Y380" s="55">
        <f t="shared" si="56"/>
        <v>504</v>
      </c>
      <c r="Z380" s="41">
        <f>IFERROR(IF(Y380=0,"",ROUNDUP(Y380/H380,0)*0.00902),"")</f>
        <v>1.0824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529.7619047619047</v>
      </c>
      <c r="BN380" s="78">
        <f t="shared" si="58"/>
        <v>534</v>
      </c>
      <c r="BO380" s="78">
        <f t="shared" si="59"/>
        <v>0.90187590187590183</v>
      </c>
      <c r="BP380" s="78">
        <f t="shared" si="60"/>
        <v>0.90909090909090917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52</v>
      </c>
      <c r="Y382" s="55">
        <f t="shared" si="56"/>
        <v>52.5</v>
      </c>
      <c r="Z382" s="41">
        <f>IFERROR(IF(Y382=0,"",ROUNDUP(Y382/H382,0)*0.00502),"")</f>
        <v>0.1255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55.219047619047615</v>
      </c>
      <c r="BN382" s="78">
        <f t="shared" si="58"/>
        <v>55.75</v>
      </c>
      <c r="BO382" s="78">
        <f t="shared" si="59"/>
        <v>0.10582010582010581</v>
      </c>
      <c r="BP382" s="78">
        <f t="shared" si="60"/>
        <v>0.10683760683760685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143.8095238095238</v>
      </c>
      <c r="Y386" s="43">
        <f>IFERROR(Y379/H379,"0")+IFERROR(Y380/H380,"0")+IFERROR(Y381/H381,"0")+IFERROR(Y382/H382,"0")+IFERROR(Y383/H383,"0")+IFERROR(Y384/H384,"0")+IFERROR(Y385/H385,"0")</f>
        <v>145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1.2079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552</v>
      </c>
      <c r="Y387" s="43">
        <f>IFERROR(SUM(Y379:Y385),"0")</f>
        <v>556.5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12</v>
      </c>
      <c r="Y405" s="55">
        <f>IFERROR(IF(X405="",0,CEILING((X405/$H405),1)*$H405),"")</f>
        <v>12.75</v>
      </c>
      <c r="Z405" s="41">
        <f>IFERROR(IF(Y405=0,"",ROUNDUP(Y405/H405,0)*0.00651),"")</f>
        <v>3.2550000000000003E-2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13.55294117647059</v>
      </c>
      <c r="BN405" s="78">
        <f>IFERROR(Y405*I405/H405,"0")</f>
        <v>14.4</v>
      </c>
      <c r="BO405" s="78">
        <f>IFERROR(1/J405*(X405/H405),"0")</f>
        <v>2.5856496444731741E-2</v>
      </c>
      <c r="BP405" s="78">
        <f>IFERROR(1/J405*(Y405/H405),"0")</f>
        <v>2.7472527472527476E-2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4.7058823529411766</v>
      </c>
      <c r="Y406" s="43">
        <f>IFERROR(Y402/H402,"0")+IFERROR(Y403/H403,"0")+IFERROR(Y404/H404,"0")+IFERROR(Y405/H405,"0")</f>
        <v>5</v>
      </c>
      <c r="Z406" s="43">
        <f>IFERROR(IF(Z402="",0,Z402),"0")+IFERROR(IF(Z403="",0,Z403),"0")+IFERROR(IF(Z404="",0,Z404),"0")+IFERROR(IF(Z405="",0,Z405),"0")</f>
        <v>3.2550000000000003E-2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12</v>
      </c>
      <c r="Y407" s="43">
        <f>IFERROR(SUM(Y402:Y405),"0")</f>
        <v>12.75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105</v>
      </c>
      <c r="Y431" s="55">
        <f>IFERROR(IF(X431="",0,CEILING((X431/$H431),1)*$H431),"")</f>
        <v>105</v>
      </c>
      <c r="Z431" s="41">
        <f>IFERROR(IF(Y431=0,"",ROUNDUP(Y431/H431,0)*0.00651),"")</f>
        <v>0.32550000000000001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117.59999999999998</v>
      </c>
      <c r="BN431" s="78">
        <f>IFERROR(Y431*I431/H431,"0")</f>
        <v>117.59999999999998</v>
      </c>
      <c r="BO431" s="78">
        <f>IFERROR(1/J431*(X431/H431),"0")</f>
        <v>0.27472527472527475</v>
      </c>
      <c r="BP431" s="78">
        <f>IFERROR(1/J431*(Y431/H431),"0")</f>
        <v>0.27472527472527475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52</v>
      </c>
      <c r="Y432" s="55">
        <f>IFERROR(IF(X432="",0,CEILING((X432/$H432),1)*$H432),"")</f>
        <v>52.5</v>
      </c>
      <c r="Z432" s="41">
        <f>IFERROR(IF(Y432=0,"",ROUNDUP(Y432/H432,0)*0.00651),"")</f>
        <v>0.16275000000000001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57.942857142857136</v>
      </c>
      <c r="BN432" s="78">
        <f>IFERROR(Y432*I432/H432,"0")</f>
        <v>58.499999999999993</v>
      </c>
      <c r="BO432" s="78">
        <f>IFERROR(1/J432*(X432/H432),"0")</f>
        <v>0.13605442176870747</v>
      </c>
      <c r="BP432" s="78">
        <f>IFERROR(1/J432*(Y432/H432),"0")</f>
        <v>0.13736263736263737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74.761904761904759</v>
      </c>
      <c r="Y433" s="43">
        <f>IFERROR(Y430/H430,"0")+IFERROR(Y431/H431,"0")+IFERROR(Y432/H432,"0")</f>
        <v>75</v>
      </c>
      <c r="Z433" s="43">
        <f>IFERROR(IF(Z430="",0,Z430),"0")+IFERROR(IF(Z431="",0,Z431),"0")+IFERROR(IF(Z432="",0,Z432),"0")</f>
        <v>0.48825000000000002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157</v>
      </c>
      <c r="Y434" s="43">
        <f>IFERROR(SUM(Y430:Y432),"0")</f>
        <v>157.5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1500</v>
      </c>
      <c r="Y439" s="55">
        <f t="shared" si="61"/>
        <v>1500</v>
      </c>
      <c r="Z439" s="41">
        <f>IFERROR(IF(Y439=0,"",ROUNDUP(Y439/H439,0)*0.02175),"")</f>
        <v>2.1749999999999998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1547</v>
      </c>
      <c r="BN439" s="78">
        <f t="shared" si="63"/>
        <v>1547</v>
      </c>
      <c r="BO439" s="78">
        <f t="shared" si="64"/>
        <v>2.083333333333333</v>
      </c>
      <c r="BP439" s="78">
        <f t="shared" si="65"/>
        <v>2.083333333333333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6000</v>
      </c>
      <c r="Y442" s="55">
        <f t="shared" si="61"/>
        <v>6000</v>
      </c>
      <c r="Z442" s="41">
        <f>IFERROR(IF(Y442=0,"",ROUNDUP(Y442/H442,0)*0.02175),"")</f>
        <v>8.6999999999999993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6188</v>
      </c>
      <c r="BN442" s="78">
        <f t="shared" si="63"/>
        <v>6188</v>
      </c>
      <c r="BO442" s="78">
        <f t="shared" si="64"/>
        <v>8.3333333333333321</v>
      </c>
      <c r="BP442" s="78">
        <f t="shared" si="65"/>
        <v>8.3333333333333321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500</v>
      </c>
      <c r="Y446" s="43">
        <f>IFERROR(Y438/H438,"0")+IFERROR(Y439/H439,"0")+IFERROR(Y440/H440,"0")+IFERROR(Y441/H441,"0")+IFERROR(Y442/H442,"0")+IFERROR(Y443/H443,"0")+IFERROR(Y444/H444,"0")+IFERROR(Y445/H445,"0")</f>
        <v>500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10.875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7500</v>
      </c>
      <c r="Y447" s="43">
        <f>IFERROR(SUM(Y438:Y445),"0")</f>
        <v>7500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5000</v>
      </c>
      <c r="Y449" s="55">
        <f>IFERROR(IF(X449="",0,CEILING((X449/$H449),1)*$H449),"")</f>
        <v>5010</v>
      </c>
      <c r="Z449" s="41">
        <f>IFERROR(IF(Y449=0,"",ROUNDUP(Y449/H449,0)*0.02175),"")</f>
        <v>7.2644999999999991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5156.666666666667</v>
      </c>
      <c r="BN449" s="78">
        <f>IFERROR(Y449*I449/H449,"0")</f>
        <v>5166.9799999999996</v>
      </c>
      <c r="BO449" s="78">
        <f>IFERROR(1/J449*(X449/H449),"0")</f>
        <v>6.9444444444444438</v>
      </c>
      <c r="BP449" s="78">
        <f>IFERROR(1/J449*(Y449/H449),"0")</f>
        <v>6.958333333333333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333.33333333333331</v>
      </c>
      <c r="Y452" s="43">
        <f>IFERROR(Y449/H449,"0")+IFERROR(Y450/H450,"0")+IFERROR(Y451/H451,"0")</f>
        <v>334</v>
      </c>
      <c r="Z452" s="43">
        <f>IFERROR(IF(Z449="",0,Z449),"0")+IFERROR(IF(Z450="",0,Z450),"0")+IFERROR(IF(Z451="",0,Z451),"0")</f>
        <v>7.2644999999999991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5000</v>
      </c>
      <c r="Y453" s="43">
        <f>IFERROR(SUM(Y449:Y451),"0")</f>
        <v>5010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200</v>
      </c>
      <c r="Y455" s="55">
        <f>IFERROR(IF(X455="",0,CEILING((X455/$H455),1)*$H455),"")</f>
        <v>207</v>
      </c>
      <c r="Z455" s="41">
        <f>IFERROR(IF(Y455=0,"",ROUNDUP(Y455/H455,0)*0.01898),"")</f>
        <v>0.43653999999999998</v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211.11111111111111</v>
      </c>
      <c r="BN455" s="78">
        <f>IFERROR(Y455*I455/H455,"0")</f>
        <v>218.5</v>
      </c>
      <c r="BO455" s="78">
        <f>IFERROR(1/J455*(X455/H455),"0")</f>
        <v>0.34722222222222221</v>
      </c>
      <c r="BP455" s="78">
        <f>IFERROR(1/J455*(Y455/H455),"0")</f>
        <v>0.359375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80</v>
      </c>
      <c r="Y456" s="55">
        <f>IFERROR(IF(X456="",0,CEILING((X456/$H456),1)*$H456),"")</f>
        <v>81</v>
      </c>
      <c r="Z456" s="41">
        <f>IFERROR(IF(Y456=0,"",ROUNDUP(Y456/H456,0)*0.01898),"")</f>
        <v>0.17082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84.391111111111115</v>
      </c>
      <c r="BN456" s="78">
        <f>IFERROR(Y456*I456/H456,"0")</f>
        <v>85.445999999999998</v>
      </c>
      <c r="BO456" s="78">
        <f>IFERROR(1/J456*(X456/H456),"0")</f>
        <v>0.1388888888888889</v>
      </c>
      <c r="BP456" s="78">
        <f>IFERROR(1/J456*(Y456/H456),"0")</f>
        <v>0.140625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31.111111111111111</v>
      </c>
      <c r="Y458" s="43">
        <f>IFERROR(Y455/H455,"0")+IFERROR(Y456/H456,"0")+IFERROR(Y457/H457,"0")</f>
        <v>32</v>
      </c>
      <c r="Z458" s="43">
        <f>IFERROR(IF(Z455="",0,Z455),"0")+IFERROR(IF(Z456="",0,Z456),"0")+IFERROR(IF(Z457="",0,Z457),"0")</f>
        <v>0.60736000000000001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280</v>
      </c>
      <c r="Y459" s="43">
        <f>IFERROR(SUM(Y455:Y457),"0")</f>
        <v>288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40</v>
      </c>
      <c r="Y476" s="55">
        <f>IFERROR(IF(X476="",0,CEILING((X476/$H476),1)*$H476),"")</f>
        <v>45</v>
      </c>
      <c r="Z476" s="41">
        <f>IFERROR(IF(Y476=0,"",ROUNDUP(Y476/H476,0)*0.01898),"")</f>
        <v>9.4899999999999998E-2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42.195555555555558</v>
      </c>
      <c r="BN476" s="78">
        <f>IFERROR(Y476*I476/H476,"0")</f>
        <v>47.47</v>
      </c>
      <c r="BO476" s="78">
        <f>IFERROR(1/J476*(X476/H476),"0")</f>
        <v>6.9444444444444448E-2</v>
      </c>
      <c r="BP476" s="78">
        <f>IFERROR(1/J476*(Y476/H476),"0")</f>
        <v>7.8125E-2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4.4444444444444446</v>
      </c>
      <c r="Y479" s="43">
        <f>IFERROR(Y476/H476,"0")+IFERROR(Y477/H477,"0")+IFERROR(Y478/H478,"0")</f>
        <v>5</v>
      </c>
      <c r="Z479" s="43">
        <f>IFERROR(IF(Z476="",0,Z476),"0")+IFERROR(IF(Z477="",0,Z477),"0")+IFERROR(IF(Z478="",0,Z478),"0")</f>
        <v>9.4899999999999998E-2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40</v>
      </c>
      <c r="Y480" s="43">
        <f>IFERROR(SUM(Y476:Y478),"0")</f>
        <v>45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550</v>
      </c>
      <c r="Y514" s="55">
        <f t="shared" si="71"/>
        <v>554.4</v>
      </c>
      <c r="Z514" s="41">
        <f>IFERROR(IF(Y514=0,"",ROUNDUP(Y514/H514,0)*0.01196),"")</f>
        <v>1.2558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586.45833333333326</v>
      </c>
      <c r="BN514" s="78">
        <f t="shared" si="73"/>
        <v>591.15</v>
      </c>
      <c r="BO514" s="78">
        <f t="shared" si="74"/>
        <v>1.0016025641025641</v>
      </c>
      <c r="BP514" s="78">
        <f t="shared" si="75"/>
        <v>1.0096153846153846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104.16666666666666</v>
      </c>
      <c r="Y518" s="43">
        <f>IFERROR(Y510/H510,"0")+IFERROR(Y511/H511,"0")+IFERROR(Y512/H512,"0")+IFERROR(Y513/H513,"0")+IFERROR(Y514/H514,"0")+IFERROR(Y515/H515,"0")+IFERROR(Y516/H516,"0")+IFERROR(Y517/H517,"0")</f>
        <v>104.99999999999999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1.2558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550</v>
      </c>
      <c r="Y519" s="43">
        <f>IFERROR(SUM(Y510:Y517),"0")</f>
        <v>554.4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200</v>
      </c>
      <c r="Y527" s="55">
        <f t="shared" ref="Y527:Y533" si="76">IFERROR(IF(X527="",0,CEILING((X527/$H527),1)*$H527),"")</f>
        <v>200.64000000000001</v>
      </c>
      <c r="Z527" s="41">
        <f>IFERROR(IF(Y527=0,"",ROUNDUP(Y527/H527,0)*0.01196),"")</f>
        <v>0.45448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213.25757575757575</v>
      </c>
      <c r="BN527" s="78">
        <f t="shared" ref="BN527:BN533" si="78">IFERROR(Y527*I527/H527,"0")</f>
        <v>213.94</v>
      </c>
      <c r="BO527" s="78">
        <f t="shared" ref="BO527:BO533" si="79">IFERROR(1/J527*(X527/H527),"0")</f>
        <v>0.36421911421911418</v>
      </c>
      <c r="BP527" s="78">
        <f t="shared" ref="BP527:BP533" si="80">IFERROR(1/J527*(Y527/H527),"0")</f>
        <v>0.36538461538461542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200</v>
      </c>
      <c r="Y528" s="55">
        <f t="shared" si="76"/>
        <v>200.64000000000001</v>
      </c>
      <c r="Z528" s="41">
        <f>IFERROR(IF(Y528=0,"",ROUNDUP(Y528/H528,0)*0.01196),"")</f>
        <v>0.45448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213.25757575757575</v>
      </c>
      <c r="BN528" s="78">
        <f t="shared" si="78"/>
        <v>213.94</v>
      </c>
      <c r="BO528" s="78">
        <f t="shared" si="79"/>
        <v>0.36421911421911418</v>
      </c>
      <c r="BP528" s="78">
        <f t="shared" si="80"/>
        <v>0.36538461538461542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75.757575757575751</v>
      </c>
      <c r="Y534" s="43">
        <f>IFERROR(Y527/H527,"0")+IFERROR(Y528/H528,"0")+IFERROR(Y529/H529,"0")+IFERROR(Y530/H530,"0")+IFERROR(Y531/H531,"0")+IFERROR(Y532/H532,"0")+IFERROR(Y533/H533,"0")</f>
        <v>76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0.90895999999999999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400</v>
      </c>
      <c r="Y535" s="43">
        <f>IFERROR(SUM(Y527:Y533),"0")</f>
        <v>401.28000000000003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1300</v>
      </c>
      <c r="Y547" s="55">
        <f>IFERROR(IF(X547="",0,CEILING((X547/$H547),1)*$H547),"")</f>
        <v>1302</v>
      </c>
      <c r="Z547" s="41">
        <f>IFERROR(IF(Y547=0,"",ROUNDUP(Y547/H547,0)*0.00902),"")</f>
        <v>2.7962000000000002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1377.3809523809523</v>
      </c>
      <c r="BN547" s="78">
        <f>IFERROR(Y547*I547/H547,"0")</f>
        <v>1379.5</v>
      </c>
      <c r="BO547" s="78">
        <f>IFERROR(1/J547*(X547/H547),"0")</f>
        <v>2.3448773448773448</v>
      </c>
      <c r="BP547" s="78">
        <f>IFERROR(1/J547*(Y547/H547),"0")</f>
        <v>2.3484848484848486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309.52380952380952</v>
      </c>
      <c r="Y548" s="43">
        <f>IFERROR(Y547/H547,"0")</f>
        <v>310</v>
      </c>
      <c r="Z548" s="43">
        <f>IFERROR(IF(Z547="",0,Z547),"0")</f>
        <v>2.7962000000000002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1300</v>
      </c>
      <c r="Y549" s="43">
        <f>IFERROR(SUM(Y547:Y547),"0")</f>
        <v>1302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18021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18094.03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18717.042614466147</v>
      </c>
      <c r="Y565" s="43">
        <f>IFERROR(SUM(BN22:BN561),"0")</f>
        <v>18793.595999999998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28</v>
      </c>
      <c r="Y566" s="44">
        <f>ROUNDUP(SUM(BP22:BP561),0)</f>
        <v>28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19417.042614466147</v>
      </c>
      <c r="Y567" s="43">
        <f>GrossWeightTotalR+PalletQtyTotalR*25</f>
        <v>19493.595999999998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1997.6710283180873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2009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29.980079999999997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530.40000000000009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715.8</v>
      </c>
      <c r="F574" s="52">
        <f>IFERROR(Y89*1,"0")+IFERROR(Y90*1,"0")+IFERROR(Y91*1,"0")+IFERROR(Y92*1,"0")+IFERROR(Y93*1,"0")+IFERROR(Y94*1,"0")+IFERROR(Y98*1,"0")+IFERROR(Y99*1,"0")+IFERROR(Y100*1,"0")+IFERROR(Y101*1,"0")</f>
        <v>135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217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410.40000000000003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60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46.8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720.45</v>
      </c>
      <c r="V574" s="52">
        <f>IFERROR(Y422*1,"0")+IFERROR(Y423*1,"0")+IFERROR(Y424*1,"0")+IFERROR(Y425*1,"0")</f>
        <v>0</v>
      </c>
      <c r="W574" s="52">
        <f>IFERROR(Y430*1,"0")+IFERROR(Y431*1,"0")+IFERROR(Y432*1,"0")</f>
        <v>157.5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12798</v>
      </c>
      <c r="Y574" s="52">
        <f>IFERROR(Y467*1,"0")+IFERROR(Y468*1,"0")+IFERROR(Y472*1,"0")+IFERROR(Y476*1,"0")+IFERROR(Y477*1,"0")+IFERROR(Y478*1,"0")</f>
        <v>45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955.68</v>
      </c>
      <c r="AC574" s="52">
        <f>IFERROR(Y539*1,"0")+IFERROR(Y543*1,"0")+IFERROR(Y547*1,"0")+IFERROR(Y551*1,"0")+IFERROR(Y555*1,"0")+IFERROR(Y556*1,"0")</f>
        <v>1302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500,00"/>
        <filter val="1 997,67"/>
        <filter val="100,00"/>
        <filter val="104,17"/>
        <filter val="105,00"/>
        <filter val="12,00"/>
        <filter val="120,00"/>
        <filter val="13,89"/>
        <filter val="135,00"/>
        <filter val="143,81"/>
        <filter val="15,00"/>
        <filter val="150,00"/>
        <filter val="150,93"/>
        <filter val="157,00"/>
        <filter val="18 021,00"/>
        <filter val="18 717,04"/>
        <filter val="19 417,04"/>
        <filter val="200,00"/>
        <filter val="21,00"/>
        <filter val="210,00"/>
        <filter val="28"/>
        <filter val="280,00"/>
        <filter val="30,00"/>
        <filter val="309,52"/>
        <filter val="31,11"/>
        <filter val="333,33"/>
        <filter val="4,44"/>
        <filter val="4,71"/>
        <filter val="40,00"/>
        <filter val="400,00"/>
        <filter val="5 000,00"/>
        <filter val="5,13"/>
        <filter val="50,00"/>
        <filter val="500,00"/>
        <filter val="52,00"/>
        <filter val="520,00"/>
        <filter val="550,00"/>
        <filter val="552,00"/>
        <filter val="594,00"/>
        <filter val="6 000,00"/>
        <filter val="60,00"/>
        <filter val="67,04"/>
        <filter val="7 500,00"/>
        <filter val="715,00"/>
        <filter val="74,07"/>
        <filter val="74,76"/>
        <filter val="75,76"/>
        <filter val="80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2026-10-20T11:29:30Z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