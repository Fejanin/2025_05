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B87CD8-25FC-4A05-8EC0-B059A5137BE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Y516" i="2" s="1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Y409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Z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BN46" i="2" s="1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55" i="2" l="1"/>
  <c r="BN102" i="2"/>
  <c r="Y134" i="2"/>
  <c r="BN193" i="2"/>
  <c r="BN201" i="2"/>
  <c r="BN249" i="2"/>
  <c r="BN274" i="2"/>
  <c r="BN301" i="2"/>
  <c r="BN346" i="2"/>
  <c r="BN374" i="2"/>
  <c r="BN458" i="2"/>
  <c r="BN89" i="2"/>
  <c r="Z150" i="2"/>
  <c r="Y164" i="2"/>
  <c r="BN184" i="2"/>
  <c r="Y190" i="2"/>
  <c r="BN219" i="2"/>
  <c r="BN292" i="2"/>
  <c r="BN315" i="2"/>
  <c r="BN354" i="2"/>
  <c r="BP356" i="2"/>
  <c r="BN359" i="2"/>
  <c r="BN467" i="2"/>
  <c r="BP480" i="2"/>
  <c r="BN485" i="2"/>
  <c r="Y535" i="2"/>
  <c r="BN179" i="2"/>
  <c r="BN238" i="2"/>
  <c r="BN427" i="2"/>
  <c r="BN122" i="2"/>
  <c r="Z280" i="2"/>
  <c r="BP271" i="2"/>
  <c r="Z271" i="2"/>
  <c r="Z95" i="2"/>
  <c r="Y540" i="2"/>
  <c r="BP537" i="2"/>
  <c r="Z537" i="2"/>
  <c r="Z533" i="2"/>
  <c r="Z534" i="2" s="1"/>
  <c r="BP525" i="2"/>
  <c r="Z525" i="2"/>
  <c r="Z526" i="2" s="1"/>
  <c r="Z521" i="2"/>
  <c r="Z522" i="2" s="1"/>
  <c r="Y523" i="2"/>
  <c r="BN512" i="2"/>
  <c r="BN509" i="2"/>
  <c r="BN499" i="2"/>
  <c r="Z497" i="2"/>
  <c r="BN492" i="2"/>
  <c r="Z485" i="2"/>
  <c r="Y482" i="2"/>
  <c r="Y476" i="2"/>
  <c r="BN475" i="2"/>
  <c r="BN460" i="2"/>
  <c r="BN450" i="2"/>
  <c r="BN439" i="2"/>
  <c r="Z437" i="2"/>
  <c r="Y440" i="2"/>
  <c r="BN433" i="2"/>
  <c r="BP431" i="2"/>
  <c r="Z431" i="2"/>
  <c r="BN425" i="2"/>
  <c r="BN423" i="2"/>
  <c r="Z423" i="2"/>
  <c r="Y416" i="2"/>
  <c r="BP407" i="2"/>
  <c r="Z407" i="2"/>
  <c r="BN401" i="2"/>
  <c r="Y402" i="2"/>
  <c r="BN395" i="2"/>
  <c r="Z393" i="2"/>
  <c r="BP393" i="2"/>
  <c r="BN387" i="2"/>
  <c r="BN381" i="2"/>
  <c r="BN367" i="2"/>
  <c r="BP366" i="2"/>
  <c r="BN364" i="2"/>
  <c r="Z359" i="2"/>
  <c r="BN357" i="2"/>
  <c r="BN348" i="2"/>
  <c r="BN341" i="2"/>
  <c r="Z339" i="2"/>
  <c r="BP339" i="2"/>
  <c r="BN333" i="2"/>
  <c r="Z327" i="2"/>
  <c r="BP327" i="2"/>
  <c r="BN318" i="2"/>
  <c r="BN316" i="2"/>
  <c r="BN293" i="2"/>
  <c r="Z292" i="2"/>
  <c r="BP286" i="2"/>
  <c r="BP281" i="2"/>
  <c r="Z281" i="2"/>
  <c r="BN277" i="2"/>
  <c r="BP276" i="2"/>
  <c r="BN272" i="2"/>
  <c r="BP266" i="2"/>
  <c r="BP264" i="2"/>
  <c r="BN261" i="2"/>
  <c r="BN244" i="2"/>
  <c r="Y245" i="2"/>
  <c r="BN233" i="2"/>
  <c r="BN226" i="2"/>
  <c r="BN223" i="2"/>
  <c r="BP222" i="2"/>
  <c r="BP221" i="2"/>
  <c r="Z221" i="2"/>
  <c r="Z219" i="2"/>
  <c r="BN217" i="2"/>
  <c r="BN202" i="2"/>
  <c r="Z200" i="2"/>
  <c r="BP200" i="2"/>
  <c r="BN189" i="2"/>
  <c r="Z184" i="2"/>
  <c r="BN177" i="2"/>
  <c r="Z174" i="2"/>
  <c r="BN159" i="2"/>
  <c r="BP150" i="2"/>
  <c r="BN142" i="2"/>
  <c r="BP126" i="2"/>
  <c r="Z126" i="2"/>
  <c r="Z127" i="2" s="1"/>
  <c r="BN111" i="2"/>
  <c r="BP95" i="2"/>
  <c r="Z89" i="2"/>
  <c r="BN87" i="2"/>
  <c r="BN85" i="2"/>
  <c r="BP78" i="2"/>
  <c r="Z78" i="2"/>
  <c r="Z73" i="2"/>
  <c r="BP73" i="2"/>
  <c r="BP72" i="2"/>
  <c r="Z72" i="2"/>
  <c r="Z74" i="2" s="1"/>
  <c r="Y74" i="2"/>
  <c r="Y75" i="2"/>
  <c r="BN68" i="2"/>
  <c r="BN65" i="2"/>
  <c r="Z65" i="2"/>
  <c r="BN58" i="2"/>
  <c r="Y50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Z186" i="2" s="1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Z151" i="2" s="1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50" i="2" s="1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251" i="2" l="1"/>
  <c r="Z31" i="2"/>
  <c r="Z487" i="2"/>
  <c r="Z434" i="2"/>
  <c r="Z451" i="2"/>
  <c r="Z440" i="2"/>
  <c r="Z402" i="2"/>
  <c r="Z383" i="2"/>
  <c r="Z321" i="2"/>
  <c r="Z267" i="2"/>
  <c r="Z256" i="2"/>
  <c r="Z241" i="2"/>
  <c r="Z123" i="2"/>
  <c r="Z108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<sst xmlns="http://schemas.openxmlformats.org/spreadsheetml/2006/main" count="4118" uniqueCount="871">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</sst>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46304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250</v>
      </c>
      <c r="Y46" s="55">
        <f>IFERROR(IF(X46="",0,CEILING((X46/$H46),1)*$H46),"")</f>
        <v>259.20000000000005</v>
      </c>
      <c r="Z46" s="41">
        <f>IFERROR(IF(Y46=0,"",ROUNDUP(Y46/H46,0)*0.01898),"")</f>
        <v>0.45552000000000004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259.4907407407407</v>
      </c>
      <c r="BN46" s="78">
        <f>IFERROR(Y46*I46/H46,"0")</f>
        <v>269.04000000000002</v>
      </c>
      <c r="BO46" s="78">
        <f>IFERROR(1/J46*(X46/H46),"0")</f>
        <v>0.36168981481481477</v>
      </c>
      <c r="BP46" s="78">
        <f>IFERROR(1/J46*(Y46/H46),"0")</f>
        <v>0.37500000000000006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23.148148148148145</v>
      </c>
      <c r="Y50" s="43">
        <f>IFERROR(Y46/H46,"0")+IFERROR(Y47/H47,"0")+IFERROR(Y48/H48,"0")+IFERROR(Y49/H49,"0")</f>
        <v>24.000000000000004</v>
      </c>
      <c r="Z50" s="43">
        <f>IFERROR(IF(Z46="",0,Z46),"0")+IFERROR(IF(Z47="",0,Z47),"0")+IFERROR(IF(Z48="",0,Z48),"0")+IFERROR(IF(Z49="",0,Z49),"0")</f>
        <v>0.45552000000000004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250</v>
      </c>
      <c r="Y51" s="43">
        <f>IFERROR(SUM(Y46:Y49),"0")</f>
        <v>259.20000000000005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150</v>
      </c>
      <c r="Y65" s="55">
        <f>IFERROR(IF(X65="",0,CEILING((X65/$H65),1)*$H65),"")</f>
        <v>151.20000000000002</v>
      </c>
      <c r="Z65" s="41">
        <f>IFERROR(IF(Y65=0,"",ROUNDUP(Y65/H65,0)*0.01898),"")</f>
        <v>0.26572000000000001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155.69444444444446</v>
      </c>
      <c r="BN65" s="78">
        <f>IFERROR(Y65*I65/H65,"0")</f>
        <v>156.94</v>
      </c>
      <c r="BO65" s="78">
        <f>IFERROR(1/J65*(X65/H65),"0")</f>
        <v>0.21701388888888887</v>
      </c>
      <c r="BP65" s="78">
        <f>IFERROR(1/J65*(Y65/H65),"0")</f>
        <v>0.21875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45</v>
      </c>
      <c r="Y68" s="55">
        <f>IFERROR(IF(X68="",0,CEILING((X68/$H68),1)*$H68),"")</f>
        <v>45.900000000000006</v>
      </c>
      <c r="Z68" s="41">
        <f>IFERROR(IF(Y68=0,"",ROUNDUP(Y68/H68,0)*0.00651),"")</f>
        <v>0.11067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47.999999999999993</v>
      </c>
      <c r="BN68" s="78">
        <f>IFERROR(Y68*I68/H68,"0")</f>
        <v>48.96</v>
      </c>
      <c r="BO68" s="78">
        <f>IFERROR(1/J68*(X68/H68),"0")</f>
        <v>9.1575091575091569E-2</v>
      </c>
      <c r="BP68" s="78">
        <f>IFERROR(1/J68*(Y68/H68),"0")</f>
        <v>9.3406593406593408E-2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30.55555555555555</v>
      </c>
      <c r="Y69" s="43">
        <f>IFERROR(Y65/H65,"0")+IFERROR(Y66/H66,"0")+IFERROR(Y67/H67,"0")+IFERROR(Y68/H68,"0")</f>
        <v>31</v>
      </c>
      <c r="Z69" s="43">
        <f>IFERROR(IF(Z65="",0,Z65),"0")+IFERROR(IF(Z66="",0,Z66),"0")+IFERROR(IF(Z67="",0,Z67),"0")+IFERROR(IF(Z68="",0,Z68),"0")</f>
        <v>0.37639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195</v>
      </c>
      <c r="Y70" s="43">
        <f>IFERROR(SUM(Y65:Y68),"0")</f>
        <v>197.10000000000002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40</v>
      </c>
      <c r="Y77" s="55">
        <f>IFERROR(IF(X77="",0,CEILING((X77/$H77),1)*$H77),"")</f>
        <v>46.8</v>
      </c>
      <c r="Z77" s="41">
        <f>IFERROR(IF(Y77=0,"",ROUNDUP(Y77/H77,0)*0.01898),"")</f>
        <v>0.11388000000000001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42.102564102564109</v>
      </c>
      <c r="BN77" s="78">
        <f>IFERROR(Y77*I77/H77,"0")</f>
        <v>49.260000000000005</v>
      </c>
      <c r="BO77" s="78">
        <f>IFERROR(1/J77*(X77/H77),"0")</f>
        <v>8.0128205128205135E-2</v>
      </c>
      <c r="BP77" s="78">
        <f>IFERROR(1/J77*(Y77/H77),"0")</f>
        <v>9.375E-2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5.1282051282051286</v>
      </c>
      <c r="Y80" s="43">
        <f>IFERROR(Y77/H77,"0")+IFERROR(Y78/H78,"0")+IFERROR(Y79/H79,"0")</f>
        <v>6</v>
      </c>
      <c r="Z80" s="43">
        <f>IFERROR(IF(Z77="",0,Z77),"0")+IFERROR(IF(Z78="",0,Z78),"0")+IFERROR(IF(Z79="",0,Z79),"0")</f>
        <v>0.11388000000000001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40</v>
      </c>
      <c r="Y81" s="43">
        <f>IFERROR(SUM(Y77:Y79),"0")</f>
        <v>46.8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225</v>
      </c>
      <c r="Y89" s="55">
        <f t="shared" si="5"/>
        <v>225</v>
      </c>
      <c r="Z89" s="41">
        <f>IFERROR(IF(Y89=0,"",ROUNDUP(Y89/H89,0)*0.00902),"")</f>
        <v>0.45100000000000001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234.5</v>
      </c>
      <c r="BN89" s="78">
        <f t="shared" si="7"/>
        <v>234.5</v>
      </c>
      <c r="BO89" s="78">
        <f t="shared" si="8"/>
        <v>0.37878787878787878</v>
      </c>
      <c r="BP89" s="78">
        <f t="shared" si="9"/>
        <v>0.37878787878787878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50</v>
      </c>
      <c r="Y90" s="43">
        <f>IFERROR(Y84/H84,"0")+IFERROR(Y85/H85,"0")+IFERROR(Y86/H86,"0")+IFERROR(Y87/H87,"0")+IFERROR(Y88/H88,"0")+IFERROR(Y89/H89,"0")</f>
        <v>50</v>
      </c>
      <c r="Z90" s="43">
        <f>IFERROR(IF(Z84="",0,Z84),"0")+IFERROR(IF(Z85="",0,Z85),"0")+IFERROR(IF(Z86="",0,Z86),"0")+IFERROR(IF(Z87="",0,Z87),"0")+IFERROR(IF(Z88="",0,Z88),"0")+IFERROR(IF(Z89="",0,Z89),"0")</f>
        <v>0.45100000000000001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225</v>
      </c>
      <c r="Y91" s="43">
        <f>IFERROR(SUM(Y84:Y89),"0")</f>
        <v>225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320</v>
      </c>
      <c r="Y93" s="55">
        <f>IFERROR(IF(X93="",0,CEILING((X93/$H93),1)*$H93),"")</f>
        <v>324</v>
      </c>
      <c r="Z93" s="41">
        <f>IFERROR(IF(Y93=0,"",ROUNDUP(Y93/H93,0)*0.01898),"")</f>
        <v>0.75919999999999999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339.51604938271606</v>
      </c>
      <c r="BN93" s="78">
        <f>IFERROR(Y93*I93/H93,"0")</f>
        <v>343.76</v>
      </c>
      <c r="BO93" s="78">
        <f>IFERROR(1/J93*(X93/H93),"0")</f>
        <v>0.61728395061728403</v>
      </c>
      <c r="BP93" s="78">
        <f>IFERROR(1/J93*(Y93/H93),"0")</f>
        <v>0.625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450</v>
      </c>
      <c r="Y95" s="55">
        <f>IFERROR(IF(X95="",0,CEILING((X95/$H95),1)*$H95),"")</f>
        <v>450.90000000000003</v>
      </c>
      <c r="Z95" s="41">
        <f>IFERROR(IF(Y95=0,"",ROUNDUP(Y95/H95,0)*0.00651),"")</f>
        <v>1.08717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492</v>
      </c>
      <c r="BN95" s="78">
        <f>IFERROR(Y95*I95/H95,"0")</f>
        <v>492.98399999999998</v>
      </c>
      <c r="BO95" s="78">
        <f>IFERROR(1/J95*(X95/H95),"0")</f>
        <v>0.91575091575091572</v>
      </c>
      <c r="BP95" s="78">
        <f>IFERROR(1/J95*(Y95/H95),"0")</f>
        <v>0.91758241758241765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206.17283950617283</v>
      </c>
      <c r="Y97" s="43">
        <f>IFERROR(Y93/H93,"0")+IFERROR(Y94/H94,"0")+IFERROR(Y95/H95,"0")+IFERROR(Y96/H96,"0")</f>
        <v>207</v>
      </c>
      <c r="Z97" s="43">
        <f>IFERROR(IF(Z93="",0,Z93),"0")+IFERROR(IF(Z94="",0,Z94),"0")+IFERROR(IF(Z95="",0,Z95),"0")+IFERROR(IF(Z96="",0,Z96),"0")</f>
        <v>1.8463699999999998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770</v>
      </c>
      <c r="Y98" s="43">
        <f>IFERROR(SUM(Y93:Y96),"0")</f>
        <v>774.90000000000009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600</v>
      </c>
      <c r="Y119" s="55">
        <f>IFERROR(IF(X119="",0,CEILING((X119/$H119),1)*$H119),"")</f>
        <v>607.5</v>
      </c>
      <c r="Z119" s="41">
        <f>IFERROR(IF(Y119=0,"",ROUNDUP(Y119/H119,0)*0.01898),"")</f>
        <v>1.4235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636.14814814814804</v>
      </c>
      <c r="BN119" s="78">
        <f>IFERROR(Y119*I119/H119,"0")</f>
        <v>644.09999999999991</v>
      </c>
      <c r="BO119" s="78">
        <f>IFERROR(1/J119*(X119/H119),"0")</f>
        <v>1.1574074074074074</v>
      </c>
      <c r="BP119" s="78">
        <f>IFERROR(1/J119*(Y119/H119),"0")</f>
        <v>1.171875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675</v>
      </c>
      <c r="Y121" s="55">
        <f>IFERROR(IF(X121="",0,CEILING((X121/$H121),1)*$H121),"")</f>
        <v>675</v>
      </c>
      <c r="Z121" s="41">
        <f>IFERROR(IF(Y121=0,"",ROUNDUP(Y121/H121,0)*0.00651),"")</f>
        <v>1.6274999999999999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737.99999999999989</v>
      </c>
      <c r="BN121" s="78">
        <f>IFERROR(Y121*I121/H121,"0")</f>
        <v>737.99999999999989</v>
      </c>
      <c r="BO121" s="78">
        <f>IFERROR(1/J121*(X121/H121),"0")</f>
        <v>1.3736263736263736</v>
      </c>
      <c r="BP121" s="78">
        <f>IFERROR(1/J121*(Y121/H121),"0")</f>
        <v>1.3736263736263736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30</v>
      </c>
      <c r="Y122" s="55">
        <f>IFERROR(IF(X122="",0,CEILING((X122/$H122),1)*$H122),"")</f>
        <v>30.6</v>
      </c>
      <c r="Z122" s="41">
        <f>IFERROR(IF(Y122=0,"",ROUNDUP(Y122/H122,0)*0.00651),"")</f>
        <v>0.11067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33</v>
      </c>
      <c r="BN122" s="78">
        <f>IFERROR(Y122*I122/H122,"0")</f>
        <v>33.659999999999997</v>
      </c>
      <c r="BO122" s="78">
        <f>IFERROR(1/J122*(X122/H122),"0")</f>
        <v>9.1575091575091583E-2</v>
      </c>
      <c r="BP122" s="78">
        <f>IFERROR(1/J122*(Y122/H122),"0")</f>
        <v>9.3406593406593408E-2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340.7407407407407</v>
      </c>
      <c r="Y123" s="43">
        <f>IFERROR(Y119/H119,"0")+IFERROR(Y120/H120,"0")+IFERROR(Y121/H121,"0")+IFERROR(Y122/H122,"0")</f>
        <v>342</v>
      </c>
      <c r="Z123" s="43">
        <f>IFERROR(IF(Z119="",0,Z119),"0")+IFERROR(IF(Z120="",0,Z120),"0")+IFERROR(IF(Z121="",0,Z121),"0")+IFERROR(IF(Z122="",0,Z122),"0")</f>
        <v>3.16167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1305</v>
      </c>
      <c r="Y124" s="43">
        <f>IFERROR(SUM(Y119:Y122),"0")</f>
        <v>1313.1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20</v>
      </c>
      <c r="Y126" s="55">
        <f>IFERROR(IF(X126="",0,CEILING((X126/$H126),1)*$H126),"")</f>
        <v>21.78</v>
      </c>
      <c r="Z126" s="41">
        <f>IFERROR(IF(Y126=0,"",ROUNDUP(Y126/H126,0)*0.00651),"")</f>
        <v>7.1610000000000007E-2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22.606060606060606</v>
      </c>
      <c r="BN126" s="78">
        <f>IFERROR(Y126*I126/H126,"0")</f>
        <v>24.617999999999999</v>
      </c>
      <c r="BO126" s="78">
        <f>IFERROR(1/J126*(X126/H126),"0")</f>
        <v>5.5500055500055503E-2</v>
      </c>
      <c r="BP126" s="78">
        <f>IFERROR(1/J126*(Y126/H126),"0")</f>
        <v>6.0439560439560447E-2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10.1010101010101</v>
      </c>
      <c r="Y127" s="43">
        <f>IFERROR(Y126/H126,"0")</f>
        <v>11</v>
      </c>
      <c r="Z127" s="43">
        <f>IFERROR(IF(Z126="",0,Z126),"0")</f>
        <v>7.1610000000000007E-2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20</v>
      </c>
      <c r="Y128" s="43">
        <f>IFERROR(SUM(Y126:Y126),"0")</f>
        <v>21.78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25</v>
      </c>
      <c r="Y138" s="43">
        <f>IFERROR(Y136/H136,"0")+IFERROR(Y137/H137,"0")</f>
        <v>25</v>
      </c>
      <c r="Z138" s="43">
        <f>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70</v>
      </c>
      <c r="Y139" s="43">
        <f>IFERROR(SUM(Y136:Y137),"0")</f>
        <v>70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73</v>
      </c>
      <c r="Y141" s="55">
        <f>IFERROR(IF(X141="",0,CEILING((X141/$H141),1)*$H141),"")</f>
        <v>73.92</v>
      </c>
      <c r="Z141" s="41">
        <f>IFERROR(IF(Y141=0,"",ROUNDUP(Y141/H141,0)*0.00651),"")</f>
        <v>0.18228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80.410606060606057</v>
      </c>
      <c r="BN141" s="78">
        <f>IFERROR(Y141*I141/H141,"0")</f>
        <v>81.423999999999992</v>
      </c>
      <c r="BO141" s="78">
        <f>IFERROR(1/J141*(X141/H141),"0")</f>
        <v>0.15193140193140192</v>
      </c>
      <c r="BP141" s="78">
        <f>IFERROR(1/J141*(Y141/H141),"0")</f>
        <v>0.15384615384615385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27.651515151515149</v>
      </c>
      <c r="Y143" s="43">
        <f>IFERROR(Y141/H141,"0")+IFERROR(Y142/H142,"0")</f>
        <v>28</v>
      </c>
      <c r="Z143" s="43">
        <f>IFERROR(IF(Z141="",0,Z141),"0")+IFERROR(IF(Z142="",0,Z142),"0")</f>
        <v>0.18228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73</v>
      </c>
      <c r="Y144" s="43">
        <f>IFERROR(SUM(Y141:Y142),"0")</f>
        <v>73.92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12</v>
      </c>
      <c r="Y166" s="55">
        <f>IFERROR(IF(X166="",0,CEILING((X166/$H166),1)*$H166),"")</f>
        <v>12.24</v>
      </c>
      <c r="Z166" s="41">
        <f>IFERROR(IF(Y166=0,"",ROUNDUP(Y166/H166,0)*0.00556),"")</f>
        <v>9.4519999999999993E-2</v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14.166666666666666</v>
      </c>
      <c r="BN166" s="78">
        <f>IFERROR(Y166*I166/H166,"0")</f>
        <v>14.450000000000001</v>
      </c>
      <c r="BO166" s="78">
        <f>IFERROR(1/J166*(X166/H166),"0")</f>
        <v>6.6137566137566134E-2</v>
      </c>
      <c r="BP166" s="78">
        <f>IFERROR(1/J166*(Y166/H166),"0")</f>
        <v>6.7460317460317457E-2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16.666666666666668</v>
      </c>
      <c r="Y168" s="43">
        <f>IFERROR(Y166/H166,"0")+IFERROR(Y167/H167,"0")</f>
        <v>17</v>
      </c>
      <c r="Z168" s="43">
        <f>IFERROR(IF(Z166="",0,Z166),"0")+IFERROR(IF(Z167="",0,Z167),"0")</f>
        <v>9.4519999999999993E-2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12</v>
      </c>
      <c r="Y169" s="43">
        <f>IFERROR(SUM(Y166:Y167),"0")</f>
        <v>12.24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250</v>
      </c>
      <c r="Y171" s="55">
        <f t="shared" ref="Y171:Y180" si="15">IFERROR(IF(X171="",0,CEILING((X171/$H171),1)*$H171),"")</f>
        <v>252</v>
      </c>
      <c r="Z171" s="41">
        <f>IFERROR(IF(Y171=0,"",ROUNDUP(Y171/H171,0)*0.00902),"")</f>
        <v>0.64944000000000002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263.57142857142856</v>
      </c>
      <c r="BN171" s="78">
        <f t="shared" ref="BN171:BN180" si="17">IFERROR(Y171*I171/H171,"0")</f>
        <v>265.68</v>
      </c>
      <c r="BO171" s="78">
        <f t="shared" ref="BO171:BO180" si="18">IFERROR(1/J171*(X171/H171),"0")</f>
        <v>0.54112554112554112</v>
      </c>
      <c r="BP171" s="78">
        <f t="shared" ref="BP171:BP180" si="19">IFERROR(1/J171*(Y171/H171),"0")</f>
        <v>0.54545454545454541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500</v>
      </c>
      <c r="Y173" s="55">
        <f t="shared" si="15"/>
        <v>500.5</v>
      </c>
      <c r="Z173" s="41">
        <f>IFERROR(IF(Y173=0,"",ROUNDUP(Y173/H173,0)*0.00902),"")</f>
        <v>1.28986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527.14285714285711</v>
      </c>
      <c r="BN173" s="78">
        <f t="shared" si="17"/>
        <v>527.66999999999996</v>
      </c>
      <c r="BO173" s="78">
        <f t="shared" si="18"/>
        <v>1.0822510822510822</v>
      </c>
      <c r="BP173" s="78">
        <f t="shared" si="19"/>
        <v>1.0833333333333333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400</v>
      </c>
      <c r="Y174" s="55">
        <f t="shared" si="15"/>
        <v>402.5</v>
      </c>
      <c r="Z174" s="41">
        <f>IFERROR(IF(Y174=0,"",ROUNDUP(Y174/H174,0)*0.00902),"")</f>
        <v>1.0373000000000001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421.71428571428572</v>
      </c>
      <c r="BN174" s="78">
        <f t="shared" si="17"/>
        <v>424.34999999999997</v>
      </c>
      <c r="BO174" s="78">
        <f t="shared" si="18"/>
        <v>0.8658008658008659</v>
      </c>
      <c r="BP174" s="78">
        <f t="shared" si="19"/>
        <v>0.87121212121212122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9</v>
      </c>
      <c r="Y175" s="55">
        <f t="shared" si="15"/>
        <v>9</v>
      </c>
      <c r="Z175" s="41">
        <f>IFERROR(IF(Y175=0,"",ROUNDUP(Y175/H175,0)*0.00726),"")</f>
        <v>7.2599999999999998E-2</v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11.1</v>
      </c>
      <c r="BN175" s="78">
        <f t="shared" si="17"/>
        <v>11.1</v>
      </c>
      <c r="BO175" s="78">
        <f t="shared" si="18"/>
        <v>5.2083333333333329E-2</v>
      </c>
      <c r="BP175" s="78">
        <f t="shared" si="19"/>
        <v>5.2083333333333329E-2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9</v>
      </c>
      <c r="Y177" s="55">
        <f t="shared" si="15"/>
        <v>9</v>
      </c>
      <c r="Z177" s="41">
        <f>IFERROR(IF(Y177=0,"",ROUNDUP(Y177/H177,0)*0.00417),"")</f>
        <v>4.1700000000000001E-2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11.1</v>
      </c>
      <c r="BN177" s="78">
        <f t="shared" si="17"/>
        <v>11.1</v>
      </c>
      <c r="BO177" s="78">
        <f t="shared" si="18"/>
        <v>2.976190476190476E-2</v>
      </c>
      <c r="BP177" s="78">
        <f t="shared" si="19"/>
        <v>2.976190476190476E-2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4</v>
      </c>
      <c r="Y179" s="55">
        <f t="shared" si="15"/>
        <v>4.5</v>
      </c>
      <c r="Z179" s="41">
        <f>IFERROR(IF(Y179=0,"",ROUNDUP(Y179/H179,0)*0.00417),"")</f>
        <v>2.085E-2</v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4.4444444444444446</v>
      </c>
      <c r="BN179" s="78">
        <f t="shared" si="17"/>
        <v>5</v>
      </c>
      <c r="BO179" s="78">
        <f t="shared" si="18"/>
        <v>1.3227513227513227E-2</v>
      </c>
      <c r="BP179" s="78">
        <f t="shared" si="19"/>
        <v>1.488095238095238E-2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140</v>
      </c>
      <c r="Y180" s="55">
        <f t="shared" si="15"/>
        <v>141.12</v>
      </c>
      <c r="Z180" s="41">
        <f>IFERROR(IF(Y180=0,"",ROUNDUP(Y180/H180,0)*0.00502),"")</f>
        <v>0.42168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148.33333333333334</v>
      </c>
      <c r="BN180" s="78">
        <f t="shared" si="17"/>
        <v>149.52000000000001</v>
      </c>
      <c r="BO180" s="78">
        <f t="shared" si="18"/>
        <v>0.35612535612535623</v>
      </c>
      <c r="BP180" s="78">
        <f t="shared" si="19"/>
        <v>0.35897435897435903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436.34920634920638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439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3.5334300000000001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1312</v>
      </c>
      <c r="Y182" s="43">
        <f>IFERROR(SUM(Y171:Y180),"0")</f>
        <v>1318.62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80</v>
      </c>
      <c r="Y214" s="55">
        <f t="shared" ref="Y214:Y226" si="26">IFERROR(IF(X214="",0,CEILING((X214/$H214),1)*$H214),"")</f>
        <v>84</v>
      </c>
      <c r="Z214" s="41">
        <f>IFERROR(IF(Y214=0,"",ROUNDUP(Y214/H214,0)*0.00902),"")</f>
        <v>0.1804</v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84.761904761904759</v>
      </c>
      <c r="BN214" s="78">
        <f t="shared" ref="BN214:BN226" si="28">IFERROR(Y214*I214/H214,"0")</f>
        <v>89</v>
      </c>
      <c r="BO214" s="78">
        <f t="shared" ref="BO214:BO226" si="29">IFERROR(1/J214*(X214/H214),"0")</f>
        <v>0.14430014430014429</v>
      </c>
      <c r="BP214" s="78">
        <f t="shared" ref="BP214:BP226" si="30">IFERROR(1/J214*(Y214/H214),"0")</f>
        <v>0.15151515151515152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50</v>
      </c>
      <c r="Y215" s="55">
        <f t="shared" si="26"/>
        <v>50.400000000000006</v>
      </c>
      <c r="Z215" s="41">
        <f>IFERROR(IF(Y215=0,"",ROUNDUP(Y215/H215,0)*0.00902),"")</f>
        <v>0.10824</v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52.976190476190474</v>
      </c>
      <c r="BN215" s="78">
        <f t="shared" si="28"/>
        <v>53.400000000000006</v>
      </c>
      <c r="BO215" s="78">
        <f t="shared" si="29"/>
        <v>9.0187590187590191E-2</v>
      </c>
      <c r="BP215" s="78">
        <f t="shared" si="30"/>
        <v>9.0909090909090912E-2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12</v>
      </c>
      <c r="Y217" s="55">
        <f t="shared" si="26"/>
        <v>12</v>
      </c>
      <c r="Z217" s="41">
        <f>IFERROR(IF(Y217=0,"",ROUNDUP(Y217/H217,0)*0.00556),"")</f>
        <v>8.3400000000000002E-2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13.95</v>
      </c>
      <c r="BN217" s="78">
        <f t="shared" si="28"/>
        <v>13.95</v>
      </c>
      <c r="BO217" s="78">
        <f t="shared" si="29"/>
        <v>5.9523809523809521E-2</v>
      </c>
      <c r="BP217" s="78">
        <f t="shared" si="30"/>
        <v>5.9523809523809521E-2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8</v>
      </c>
      <c r="Y223" s="55">
        <f t="shared" si="26"/>
        <v>8</v>
      </c>
      <c r="Z223" s="41">
        <f>IFERROR(IF(Y223=0,"",ROUNDUP(Y223/H223,0)*0.00417),"")</f>
        <v>4.1700000000000001E-2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10.1</v>
      </c>
      <c r="BN223" s="78">
        <f t="shared" si="28"/>
        <v>10.1</v>
      </c>
      <c r="BO223" s="78">
        <f t="shared" si="29"/>
        <v>2.976190476190476E-2</v>
      </c>
      <c r="BP223" s="78">
        <f t="shared" si="30"/>
        <v>2.976190476190476E-2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70.238095238095241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72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0.54903999999999997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210</v>
      </c>
      <c r="Y228" s="43">
        <f>IFERROR(SUM(Y214:Y226),"0")</f>
        <v>217.4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18</v>
      </c>
      <c r="Y239" s="55">
        <f>IFERROR(IF(X239="",0,CEILING((X239/$H239),1)*$H239),"")</f>
        <v>18.899999999999999</v>
      </c>
      <c r="Z239" s="41">
        <f>IFERROR(IF(Y239=0,"",ROUNDUP(Y239/H239,0)*0.0059),"")</f>
        <v>8.8499999999999995E-2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20.714285714285712</v>
      </c>
      <c r="BN239" s="78">
        <f>IFERROR(Y239*I239/H239,"0")</f>
        <v>21.749999999999996</v>
      </c>
      <c r="BO239" s="78">
        <f>IFERROR(1/J239*(X239/H239),"0")</f>
        <v>6.6137566137566134E-2</v>
      </c>
      <c r="BP239" s="78">
        <f>IFERROR(1/J239*(Y239/H239),"0")</f>
        <v>6.9444444444444434E-2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21</v>
      </c>
      <c r="Y240" s="55">
        <f>IFERROR(IF(X240="",0,CEILING((X240/$H240),1)*$H240),"")</f>
        <v>21.42</v>
      </c>
      <c r="Z240" s="41">
        <f>IFERROR(IF(Y240=0,"",ROUNDUP(Y240/H240,0)*0.0059),"")</f>
        <v>0.1003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24.166666666666664</v>
      </c>
      <c r="BN240" s="78">
        <f>IFERROR(Y240*I240/H240,"0")</f>
        <v>24.650000000000002</v>
      </c>
      <c r="BO240" s="78">
        <f>IFERROR(1/J240*(X240/H240),"0")</f>
        <v>7.716049382716049E-2</v>
      </c>
      <c r="BP240" s="78">
        <f>IFERROR(1/J240*(Y240/H240),"0")</f>
        <v>7.8703703703703692E-2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36.507936507936506</v>
      </c>
      <c r="Y241" s="43">
        <f>IFERROR(Y238/H238,"0")+IFERROR(Y239/H239,"0")+IFERROR(Y240/H240,"0")</f>
        <v>38</v>
      </c>
      <c r="Z241" s="43">
        <f>IFERROR(IF(Z238="",0,Z238),"0")+IFERROR(IF(Z239="",0,Z239),"0")+IFERROR(IF(Z240="",0,Z240),"0")</f>
        <v>0.22420000000000001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46</v>
      </c>
      <c r="Y242" s="43">
        <f>IFERROR(SUM(Y238:Y240),"0")</f>
        <v>47.88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11</v>
      </c>
      <c r="Y244" s="55">
        <f>IFERROR(IF(X244="",0,CEILING((X244/$H244),1)*$H244),"")</f>
        <v>11.34</v>
      </c>
      <c r="Z244" s="41">
        <f>IFERROR(IF(Y244=0,"",ROUNDUP(Y244/H244,0)*0.0059),"")</f>
        <v>5.3100000000000001E-2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12.658730158730158</v>
      </c>
      <c r="BN244" s="78">
        <f>IFERROR(Y244*I244/H244,"0")</f>
        <v>13.049999999999999</v>
      </c>
      <c r="BO244" s="78">
        <f>IFERROR(1/J244*(X244/H244),"0")</f>
        <v>4.0417401528512635E-2</v>
      </c>
      <c r="BP244" s="78">
        <f>IFERROR(1/J244*(Y244/H244),"0")</f>
        <v>4.1666666666666664E-2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8.7301587301587293</v>
      </c>
      <c r="Y245" s="43">
        <f>IFERROR(Y244/H244,"0")</f>
        <v>9</v>
      </c>
      <c r="Z245" s="43">
        <f>IFERROR(IF(Z244="",0,Z244),"0")</f>
        <v>5.3100000000000001E-2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11</v>
      </c>
      <c r="Y246" s="43">
        <f>IFERROR(SUM(Y244:Y244),"0")</f>
        <v>11.34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1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207.03703703703701</v>
      </c>
      <c r="BN259" s="78">
        <f t="shared" ref="BN259:BN266" si="33">IFERROR(Y259*I259/H259,"0")</f>
        <v>212.42</v>
      </c>
      <c r="BO259" s="78">
        <f t="shared" ref="BO259:BO266" si="34">IFERROR(1/J259*(X259/H259),"0")</f>
        <v>0.28058361391694725</v>
      </c>
      <c r="BP259" s="78">
        <f t="shared" ref="BP259:BP266" si="35">IFERROR(1/J259*(Y259/H259),"0")</f>
        <v>0.2878787878787879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1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41.407407407407405</v>
      </c>
      <c r="BN262" s="78">
        <f t="shared" si="33"/>
        <v>44.72</v>
      </c>
      <c r="BO262" s="78">
        <f t="shared" si="34"/>
        <v>5.6116722783389444E-2</v>
      </c>
      <c r="BP262" s="78">
        <f t="shared" si="35"/>
        <v>6.0606060606060608E-2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62.962962962962962</v>
      </c>
      <c r="Y267" s="43">
        <f>IFERROR(Y259/H259,"0")+IFERROR(Y260/H260,"0")+IFERROR(Y261/H261,"0")+IFERROR(Y262/H262,"0")+IFERROR(Y263/H263,"0")+IFERROR(Y264/H264,"0")+IFERROR(Y265/H265,"0")+IFERROR(Y266/H266,"0")</f>
        <v>65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0.58630000000000004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340</v>
      </c>
      <c r="Y268" s="43">
        <f>IFERROR(SUM(Y259:Y266),"0")</f>
        <v>351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250</v>
      </c>
      <c r="Y270" s="55">
        <f t="shared" ref="Y270:Y281" si="36">IFERROR(IF(X270="",0,CEILING((X270/$H270),1)*$H270),"")</f>
        <v>251.1</v>
      </c>
      <c r="Z270" s="41">
        <f>IFERROR(IF(Y270=0,"",ROUNDUP(Y270/H270,0)*0.01898),"")</f>
        <v>0.58838000000000001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265.24691358024694</v>
      </c>
      <c r="BN270" s="78">
        <f t="shared" ref="BN270:BN281" si="38">IFERROR(Y270*I270/H270,"0")</f>
        <v>266.41399999999999</v>
      </c>
      <c r="BO270" s="78">
        <f t="shared" ref="BO270:BO281" si="39">IFERROR(1/J270*(X270/H270),"0")</f>
        <v>0.48225308641975312</v>
      </c>
      <c r="BP270" s="78">
        <f t="shared" ref="BP270:BP281" si="40">IFERROR(1/J270*(Y270/H270),"0")</f>
        <v>0.484375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36"/>
        <v>307.8</v>
      </c>
      <c r="Z271" s="41">
        <f>IFERROR(IF(Y271=0,"",ROUNDUP(Y271/H271,0)*0.01898),"")</f>
        <v>0.72123999999999999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317.62962962962968</v>
      </c>
      <c r="BN271" s="78">
        <f t="shared" si="38"/>
        <v>325.88800000000003</v>
      </c>
      <c r="BO271" s="78">
        <f t="shared" si="39"/>
        <v>0.57870370370370372</v>
      </c>
      <c r="BP271" s="78">
        <f t="shared" si="40"/>
        <v>0.59375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105.67816091954025</v>
      </c>
      <c r="BN272" s="78">
        <f t="shared" si="38"/>
        <v>110.32800000000002</v>
      </c>
      <c r="BO272" s="78">
        <f t="shared" si="39"/>
        <v>0.1795977011494253</v>
      </c>
      <c r="BP272" s="78">
        <f t="shared" si="40"/>
        <v>0.1875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480</v>
      </c>
      <c r="Y273" s="55">
        <f t="shared" si="36"/>
        <v>480</v>
      </c>
      <c r="Z273" s="41">
        <f>IFERROR(IF(Y273=0,"",ROUNDUP(Y273/H273,0)*0.00651),"")</f>
        <v>1.302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534</v>
      </c>
      <c r="BN273" s="78">
        <f t="shared" si="38"/>
        <v>534</v>
      </c>
      <c r="BO273" s="78">
        <f t="shared" si="39"/>
        <v>1.098901098901099</v>
      </c>
      <c r="BP273" s="78">
        <f t="shared" si="40"/>
        <v>1.098901098901099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160</v>
      </c>
      <c r="Y279" s="55">
        <f t="shared" si="36"/>
        <v>160.79999999999998</v>
      </c>
      <c r="Z279" s="41">
        <f>IFERROR(IF(Y279=0,"",ROUNDUP(Y279/H279,0)*0.00651),"")</f>
        <v>0.43617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176.80000000000004</v>
      </c>
      <c r="BN279" s="78">
        <f t="shared" si="38"/>
        <v>177.684</v>
      </c>
      <c r="BO279" s="78">
        <f t="shared" si="39"/>
        <v>0.36630036630036633</v>
      </c>
      <c r="BP279" s="78">
        <f t="shared" si="40"/>
        <v>0.36813186813186816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6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354.4</v>
      </c>
      <c r="BN280" s="78">
        <f t="shared" si="38"/>
        <v>356.17199999999997</v>
      </c>
      <c r="BO280" s="78">
        <f t="shared" si="39"/>
        <v>0.73260073260073266</v>
      </c>
      <c r="BP280" s="78">
        <f t="shared" si="40"/>
        <v>0.73626373626373631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479.39548744146452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482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4.1478900000000003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1610</v>
      </c>
      <c r="Y283" s="43">
        <f>IFERROR(SUM(Y270:Y281),"0")</f>
        <v>1625.6999999999998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60</v>
      </c>
      <c r="Y285" s="55">
        <f>IFERROR(IF(X285="",0,CEILING((X285/$H285),1)*$H285),"")</f>
        <v>60</v>
      </c>
      <c r="Z285" s="41">
        <f>IFERROR(IF(Y285=0,"",ROUNDUP(Y285/H285,0)*0.00651),"")</f>
        <v>0.16275000000000001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66.300000000000011</v>
      </c>
      <c r="BN285" s="78">
        <f>IFERROR(Y285*I285/H285,"0")</f>
        <v>66.300000000000011</v>
      </c>
      <c r="BO285" s="78">
        <f>IFERROR(1/J285*(X285/H285),"0")</f>
        <v>0.13736263736263737</v>
      </c>
      <c r="BP285" s="78">
        <f>IFERROR(1/J285*(Y285/H285),"0")</f>
        <v>0.13736263736263737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25</v>
      </c>
      <c r="Y287" s="43">
        <f>IFERROR(Y285/H285,"0")+IFERROR(Y286/H286,"0")</f>
        <v>25</v>
      </c>
      <c r="Z287" s="43">
        <f>IFERROR(IF(Z285="",0,Z285),"0")+IFERROR(IF(Z286="",0,Z286),"0")</f>
        <v>0.16275000000000001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60</v>
      </c>
      <c r="Y288" s="43">
        <f>IFERROR(SUM(Y285:Y286),"0")</f>
        <v>60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40</v>
      </c>
      <c r="Y293" s="55">
        <f t="shared" si="41"/>
        <v>46.4</v>
      </c>
      <c r="Z293" s="41">
        <f>IFERROR(IF(Y293=0,"",ROUNDUP(Y293/H293,0)*0.01898),"")</f>
        <v>7.5920000000000001E-2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41.413793103448278</v>
      </c>
      <c r="BN293" s="78">
        <f t="shared" si="43"/>
        <v>48.04</v>
      </c>
      <c r="BO293" s="78">
        <f t="shared" si="44"/>
        <v>5.387931034482759E-2</v>
      </c>
      <c r="BP293" s="78">
        <f t="shared" si="45"/>
        <v>6.25E-2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28</v>
      </c>
      <c r="Y294" s="55">
        <f t="shared" si="41"/>
        <v>28</v>
      </c>
      <c r="Z294" s="41">
        <f>IFERROR(IF(Y294=0,"",ROUNDUP(Y294/H294,0)*0.00902),"")</f>
        <v>6.3140000000000002E-2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29.330000000000002</v>
      </c>
      <c r="BN294" s="78">
        <f t="shared" si="43"/>
        <v>29.330000000000002</v>
      </c>
      <c r="BO294" s="78">
        <f t="shared" si="44"/>
        <v>5.3030303030303032E-2</v>
      </c>
      <c r="BP294" s="78">
        <f t="shared" si="45"/>
        <v>5.3030303030303032E-2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28</v>
      </c>
      <c r="Y297" s="55">
        <f t="shared" si="41"/>
        <v>28</v>
      </c>
      <c r="Z297" s="41">
        <f>IFERROR(IF(Y297=0,"",ROUNDUP(Y297/H297,0)*0.00902),"")</f>
        <v>6.3140000000000002E-2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29.330000000000002</v>
      </c>
      <c r="BN297" s="78">
        <f t="shared" si="43"/>
        <v>29.330000000000002</v>
      </c>
      <c r="BO297" s="78">
        <f t="shared" si="44"/>
        <v>5.3030303030303032E-2</v>
      </c>
      <c r="BP297" s="78">
        <f t="shared" si="45"/>
        <v>5.3030303030303032E-2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17.448275862068968</v>
      </c>
      <c r="Y298" s="43">
        <f>IFERROR(Y291/H291,"0")+IFERROR(Y292/H292,"0")+IFERROR(Y293/H293,"0")+IFERROR(Y294/H294,"0")+IFERROR(Y295/H295,"0")+IFERROR(Y296/H296,"0")+IFERROR(Y297/H297,"0")</f>
        <v>18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0.20220000000000002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96</v>
      </c>
      <c r="Y299" s="43">
        <f>IFERROR(SUM(Y291:Y297),"0")</f>
        <v>102.4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30</v>
      </c>
      <c r="Y305" s="55">
        <f>IFERROR(IF(X305="",0,CEILING((X305/$H305),1)*$H305),"")</f>
        <v>30.6</v>
      </c>
      <c r="Z305" s="41">
        <f>IFERROR(IF(Y305=0,"",ROUNDUP(Y305/H305,0)*0.0059),"")</f>
        <v>0.1003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32.916666666666664</v>
      </c>
      <c r="BN305" s="78">
        <f>IFERROR(Y305*I305/H305,"0")</f>
        <v>33.575000000000003</v>
      </c>
      <c r="BO305" s="78">
        <f>IFERROR(1/J305*(X305/H305),"0")</f>
        <v>7.716049382716049E-2</v>
      </c>
      <c r="BP305" s="78">
        <f>IFERROR(1/J305*(Y305/H305),"0")</f>
        <v>7.8703703703703692E-2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16.666666666666668</v>
      </c>
      <c r="Y306" s="43">
        <f>IFERROR(Y305/H305,"0")</f>
        <v>17</v>
      </c>
      <c r="Z306" s="43">
        <f>IFERROR(IF(Z305="",0,Z305),"0")</f>
        <v>0.1003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30</v>
      </c>
      <c r="Y307" s="43">
        <f>IFERROR(SUM(Y305:Y305),"0")</f>
        <v>30.6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30</v>
      </c>
      <c r="Y309" s="55">
        <f>IFERROR(IF(X309="",0,CEILING((X309/$H309),1)*$H309),"")</f>
        <v>30.6</v>
      </c>
      <c r="Z309" s="41">
        <f>IFERROR(IF(Y309=0,"",ROUNDUP(Y309/H309,0)*0.0059),"")</f>
        <v>0.1003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32.916666666666664</v>
      </c>
      <c r="BN309" s="78">
        <f>IFERROR(Y309*I309/H309,"0")</f>
        <v>33.575000000000003</v>
      </c>
      <c r="BO309" s="78">
        <f>IFERROR(1/J309*(X309/H309),"0")</f>
        <v>7.716049382716049E-2</v>
      </c>
      <c r="BP309" s="78">
        <f>IFERROR(1/J309*(Y309/H309),"0")</f>
        <v>7.8703703703703692E-2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16.666666666666668</v>
      </c>
      <c r="Y311" s="43">
        <f>IFERROR(Y309/H309,"0")+IFERROR(Y310/H310,"0")</f>
        <v>17</v>
      </c>
      <c r="Z311" s="43">
        <f>IFERROR(IF(Z309="",0,Z309),"0")+IFERROR(IF(Z310="",0,Z310),"0")</f>
        <v>0.1003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30</v>
      </c>
      <c r="Y312" s="43">
        <f>IFERROR(SUM(Y309:Y310),"0")</f>
        <v>30.6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200</v>
      </c>
      <c r="Y327" s="55">
        <f>IFERROR(IF(X327="",0,CEILING((X327/$H327),1)*$H327),"")</f>
        <v>201.6</v>
      </c>
      <c r="Z327" s="41">
        <f>IFERROR(IF(Y327=0,"",ROUNDUP(Y327/H327,0)*0.00651),"")</f>
        <v>0.54683999999999999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215</v>
      </c>
      <c r="BN327" s="78">
        <f>IFERROR(Y327*I327/H327,"0")</f>
        <v>216.72000000000003</v>
      </c>
      <c r="BO327" s="78">
        <f>IFERROR(1/J327*(X327/H327),"0")</f>
        <v>0.45787545787545797</v>
      </c>
      <c r="BP327" s="78">
        <f>IFERROR(1/J327*(Y327/H327),"0")</f>
        <v>0.46153846153846156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116.66666666666669</v>
      </c>
      <c r="Y328" s="43">
        <f>IFERROR(Y325/H325,"0")+IFERROR(Y326/H326,"0")+IFERROR(Y327/H327,"0")</f>
        <v>118</v>
      </c>
      <c r="Z328" s="43">
        <f>IFERROR(IF(Z325="",0,Z325),"0")+IFERROR(IF(Z326="",0,Z326),"0")+IFERROR(IF(Z327="",0,Z327),"0")</f>
        <v>0.76817999999999997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280</v>
      </c>
      <c r="Y329" s="43">
        <f>IFERROR(SUM(Y325:Y327),"0")</f>
        <v>283.2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200</v>
      </c>
      <c r="Y346" s="55">
        <f>IFERROR(IF(X346="",0,CEILING((X346/$H346),1)*$H346),"")</f>
        <v>202.79999999999998</v>
      </c>
      <c r="Z346" s="41">
        <f>IFERROR(IF(Y346=0,"",ROUNDUP(Y346/H346,0)*0.01898),"")</f>
        <v>0.49348000000000003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210.51282051282055</v>
      </c>
      <c r="BN346" s="78">
        <f>IFERROR(Y346*I346/H346,"0")</f>
        <v>213.46</v>
      </c>
      <c r="BO346" s="78">
        <f>IFERROR(1/J346*(X346/H346),"0")</f>
        <v>0.40064102564102566</v>
      </c>
      <c r="BP346" s="78">
        <f>IFERROR(1/J346*(Y346/H346),"0")</f>
        <v>0.40625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50</v>
      </c>
      <c r="Y348" s="55">
        <f>IFERROR(IF(X348="",0,CEILING((X348/$H348),1)*$H348),"")</f>
        <v>54.6</v>
      </c>
      <c r="Z348" s="41">
        <f>IFERROR(IF(Y348=0,"",ROUNDUP(Y348/H348,0)*0.01898),"")</f>
        <v>0.13286000000000001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52.628205128205138</v>
      </c>
      <c r="BN348" s="78">
        <f>IFERROR(Y348*I348/H348,"0")</f>
        <v>57.470000000000013</v>
      </c>
      <c r="BO348" s="78">
        <f>IFERROR(1/J348*(X348/H348),"0")</f>
        <v>0.10016025641025642</v>
      </c>
      <c r="BP348" s="78">
        <f>IFERROR(1/J348*(Y348/H348),"0")</f>
        <v>0.109375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57.692307692307693</v>
      </c>
      <c r="Y349" s="43">
        <f>IFERROR(Y346/H346,"0")+IFERROR(Y347/H347,"0")+IFERROR(Y348/H348,"0")</f>
        <v>59</v>
      </c>
      <c r="Z349" s="43">
        <f>IFERROR(IF(Z346="",0,Z346),"0")+IFERROR(IF(Z347="",0,Z347),"0")+IFERROR(IF(Z348="",0,Z348),"0")</f>
        <v>1.11982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450</v>
      </c>
      <c r="Y350" s="43">
        <f>IFERROR(SUM(Y346:Y348),"0")</f>
        <v>460.2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hidden="1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200</v>
      </c>
      <c r="Y380" s="55">
        <f>IFERROR(IF(X380="",0,CEILING((X380/$H380),1)*$H380),"")</f>
        <v>201.60000000000002</v>
      </c>
      <c r="Z380" s="41">
        <f>IFERROR(IF(Y380=0,"",ROUNDUP(Y380/H380,0)*0.01898),"")</f>
        <v>0.45552000000000004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211.76190476190476</v>
      </c>
      <c r="BN380" s="78">
        <f>IFERROR(Y380*I380/H380,"0")</f>
        <v>213.45600000000002</v>
      </c>
      <c r="BO380" s="78">
        <f>IFERROR(1/J380*(X380/H380),"0")</f>
        <v>0.37202380952380953</v>
      </c>
      <c r="BP380" s="78">
        <f>IFERROR(1/J380*(Y380/H380),"0")</f>
        <v>0.375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250</v>
      </c>
      <c r="Y381" s="55">
        <f>IFERROR(IF(X381="",0,CEILING((X381/$H381),1)*$H381),"")</f>
        <v>257.39999999999998</v>
      </c>
      <c r="Z381" s="41">
        <f>IFERROR(IF(Y381=0,"",ROUNDUP(Y381/H381,0)*0.01898),"")</f>
        <v>0.62634000000000001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265.83333333333331</v>
      </c>
      <c r="BN381" s="78">
        <f>IFERROR(Y381*I381/H381,"0")</f>
        <v>273.702</v>
      </c>
      <c r="BO381" s="78">
        <f>IFERROR(1/J381*(X381/H381),"0")</f>
        <v>0.50080128205128205</v>
      </c>
      <c r="BP381" s="78">
        <f>IFERROR(1/J381*(Y381/H381),"0")</f>
        <v>0.515625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100</v>
      </c>
      <c r="Y382" s="55">
        <f>IFERROR(IF(X382="",0,CEILING((X382/$H382),1)*$H382),"")</f>
        <v>100.80000000000001</v>
      </c>
      <c r="Z382" s="41">
        <f>IFERROR(IF(Y382=0,"",ROUNDUP(Y382/H382,0)*0.01898),"")</f>
        <v>0.22776000000000002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105.88095238095238</v>
      </c>
      <c r="BN382" s="78">
        <f>IFERROR(Y382*I382/H382,"0")</f>
        <v>106.72800000000001</v>
      </c>
      <c r="BO382" s="78">
        <f>IFERROR(1/J382*(X382/H382),"0")</f>
        <v>0.18601190476190477</v>
      </c>
      <c r="BP382" s="78">
        <f>IFERROR(1/J382*(Y382/H382),"0")</f>
        <v>0.1875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67.765567765567766</v>
      </c>
      <c r="Y383" s="43">
        <f>IFERROR(Y380/H380,"0")+IFERROR(Y381/H381,"0")+IFERROR(Y382/H382,"0")</f>
        <v>69</v>
      </c>
      <c r="Z383" s="43">
        <f>IFERROR(IF(Z380="",0,Z380),"0")+IFERROR(IF(Z381="",0,Z381),"0")+IFERROR(IF(Z382="",0,Z382),"0")</f>
        <v>1.30962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550</v>
      </c>
      <c r="Y384" s="43">
        <f>IFERROR(SUM(Y380:Y382),"0")</f>
        <v>559.79999999999995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350</v>
      </c>
      <c r="Y413" s="55">
        <f>IFERROR(IF(X413="",0,CEILING((X413/$H413),1)*$H413),"")</f>
        <v>350.7</v>
      </c>
      <c r="Z413" s="41">
        <f>IFERROR(IF(Y413=0,"",ROUNDUP(Y413/H413,0)*0.00651),"")</f>
        <v>1.08717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391.99999999999994</v>
      </c>
      <c r="BN413" s="78">
        <f>IFERROR(Y413*I413/H413,"0")</f>
        <v>392.78399999999993</v>
      </c>
      <c r="BO413" s="78">
        <f>IFERROR(1/J413*(X413/H413),"0")</f>
        <v>0.91575091575091572</v>
      </c>
      <c r="BP413" s="78">
        <f>IFERROR(1/J413*(Y413/H413),"0")</f>
        <v>0.91758241758241765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175</v>
      </c>
      <c r="Y414" s="55">
        <f>IFERROR(IF(X414="",0,CEILING((X414/$H414),1)*$H414),"")</f>
        <v>176.4</v>
      </c>
      <c r="Z414" s="41">
        <f>IFERROR(IF(Y414=0,"",ROUNDUP(Y414/H414,0)*0.00651),"")</f>
        <v>0.54683999999999999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195</v>
      </c>
      <c r="BN414" s="78">
        <f>IFERROR(Y414*I414/H414,"0")</f>
        <v>196.56</v>
      </c>
      <c r="BO414" s="78">
        <f>IFERROR(1/J414*(X414/H414),"0")</f>
        <v>0.45787545787545786</v>
      </c>
      <c r="BP414" s="78">
        <f>IFERROR(1/J414*(Y414/H414),"0")</f>
        <v>0.46153846153846156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250</v>
      </c>
      <c r="Y415" s="43">
        <f>IFERROR(Y412/H412,"0")+IFERROR(Y413/H413,"0")+IFERROR(Y414/H414,"0")</f>
        <v>251</v>
      </c>
      <c r="Z415" s="43">
        <f>IFERROR(IF(Z412="",0,Z412),"0")+IFERROR(IF(Z413="",0,Z413),"0")+IFERROR(IF(Z414="",0,Z414),"0")</f>
        <v>1.63401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525</v>
      </c>
      <c r="Y416" s="43">
        <f>IFERROR(SUM(Y412:Y414),"0")</f>
        <v>527.1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1000</v>
      </c>
      <c r="Y421" s="55">
        <f t="shared" si="61"/>
        <v>1005</v>
      </c>
      <c r="Z421" s="41">
        <f>IFERROR(IF(Y421=0,"",ROUNDUP(Y421/H421,0)*0.02175),"")</f>
        <v>1.4572499999999999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1031.3333333333333</v>
      </c>
      <c r="BN421" s="78">
        <f t="shared" si="63"/>
        <v>1036.49</v>
      </c>
      <c r="BO421" s="78">
        <f t="shared" si="64"/>
        <v>1.3888888888888888</v>
      </c>
      <c r="BP421" s="78">
        <f t="shared" si="65"/>
        <v>1.3958333333333333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1200</v>
      </c>
      <c r="Y422" s="55">
        <f t="shared" si="61"/>
        <v>1200</v>
      </c>
      <c r="Z422" s="41">
        <f>IFERROR(IF(Y422=0,"",ROUNDUP(Y422/H422,0)*0.02175),"")</f>
        <v>1.7399999999999998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1237.5999999999999</v>
      </c>
      <c r="BN422" s="78">
        <f t="shared" si="63"/>
        <v>1237.5999999999999</v>
      </c>
      <c r="BO422" s="78">
        <f t="shared" si="64"/>
        <v>1.6666666666666665</v>
      </c>
      <c r="BP422" s="78">
        <f t="shared" si="65"/>
        <v>1.6666666666666665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2600</v>
      </c>
      <c r="Y423" s="55">
        <f t="shared" si="61"/>
        <v>2610</v>
      </c>
      <c r="Z423" s="41">
        <f>IFERROR(IF(Y423=0,"",ROUNDUP(Y423/H423,0)*0.02175),"")</f>
        <v>3.7844999999999995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2681.4666666666667</v>
      </c>
      <c r="BN423" s="78">
        <f t="shared" si="63"/>
        <v>2691.78</v>
      </c>
      <c r="BO423" s="78">
        <f t="shared" si="64"/>
        <v>3.6111111111111112</v>
      </c>
      <c r="BP423" s="78">
        <f t="shared" si="65"/>
        <v>3.625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500</v>
      </c>
      <c r="Y424" s="55">
        <f t="shared" si="61"/>
        <v>510</v>
      </c>
      <c r="Z424" s="41">
        <f>IFERROR(IF(Y424=0,"",ROUNDUP(Y424/H424,0)*0.02175),"")</f>
        <v>0.73949999999999994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515.66666666666663</v>
      </c>
      <c r="BN424" s="78">
        <f t="shared" si="63"/>
        <v>525.98</v>
      </c>
      <c r="BO424" s="78">
        <f t="shared" si="64"/>
        <v>0.69444444444444442</v>
      </c>
      <c r="BP424" s="78">
        <f t="shared" si="65"/>
        <v>0.70833333333333326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15</v>
      </c>
      <c r="Y427" s="55">
        <f t="shared" si="61"/>
        <v>15</v>
      </c>
      <c r="Z427" s="41">
        <f>IFERROR(IF(Y427=0,"",ROUNDUP(Y427/H427,0)*0.00902),"")</f>
        <v>2.7060000000000001E-2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15.570000000000002</v>
      </c>
      <c r="BN427" s="78">
        <f t="shared" si="63"/>
        <v>15.570000000000002</v>
      </c>
      <c r="BO427" s="78">
        <f t="shared" si="64"/>
        <v>2.2727272727272728E-2</v>
      </c>
      <c r="BP427" s="78">
        <f t="shared" si="65"/>
        <v>2.2727272727272728E-2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356.33333333333331</v>
      </c>
      <c r="Y428" s="43">
        <f>IFERROR(Y420/H420,"0")+IFERROR(Y421/H421,"0")+IFERROR(Y422/H422,"0")+IFERROR(Y423/H423,"0")+IFERROR(Y424/H424,"0")+IFERROR(Y425/H425,"0")+IFERROR(Y426/H426,"0")+IFERROR(Y427/H427,"0")</f>
        <v>358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7.7483099999999983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5315</v>
      </c>
      <c r="Y429" s="43">
        <f>IFERROR(SUM(Y420:Y427),"0")</f>
        <v>5340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1000</v>
      </c>
      <c r="Y431" s="55">
        <f>IFERROR(IF(X431="",0,CEILING((X431/$H431),1)*$H431),"")</f>
        <v>1005</v>
      </c>
      <c r="Z431" s="41">
        <f>IFERROR(IF(Y431=0,"",ROUNDUP(Y431/H431,0)*0.02175),"")</f>
        <v>1.4572499999999999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1031.3333333333333</v>
      </c>
      <c r="BN431" s="78">
        <f>IFERROR(Y431*I431/H431,"0")</f>
        <v>1036.49</v>
      </c>
      <c r="BO431" s="78">
        <f>IFERROR(1/J431*(X431/H431),"0")</f>
        <v>1.3888888888888888</v>
      </c>
      <c r="BP431" s="78">
        <f>IFERROR(1/J431*(Y431/H431),"0")</f>
        <v>1.3958333333333333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66.666666666666671</v>
      </c>
      <c r="Y434" s="43">
        <f>IFERROR(Y431/H431,"0")+IFERROR(Y432/H432,"0")+IFERROR(Y433/H433,"0")</f>
        <v>67</v>
      </c>
      <c r="Z434" s="43">
        <f>IFERROR(IF(Z431="",0,Z431),"0")+IFERROR(IF(Z432="",0,Z432),"0")+IFERROR(IF(Z433="",0,Z433),"0")</f>
        <v>1.4572499999999999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1000</v>
      </c>
      <c r="Y435" s="43">
        <f>IFERROR(SUM(Y431:Y433),"0")</f>
        <v>1005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8</v>
      </c>
      <c r="Y450" s="55">
        <f>IFERROR(IF(X450="",0,CEILING((X450/$H450),1)*$H450),"")</f>
        <v>8</v>
      </c>
      <c r="Z450" s="41">
        <f>IFERROR(IF(Y450=0,"",ROUNDUP(Y450/H450,0)*0.00902),"")</f>
        <v>1.804E-2</v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8.3800000000000008</v>
      </c>
      <c r="BN450" s="78">
        <f>IFERROR(Y450*I450/H450,"0")</f>
        <v>8.3800000000000008</v>
      </c>
      <c r="BO450" s="78">
        <f>IFERROR(1/J450*(X450/H450),"0")</f>
        <v>1.5151515151515152E-2</v>
      </c>
      <c r="BP450" s="78">
        <f>IFERROR(1/J450*(Y450/H450),"0")</f>
        <v>1.5151515151515152E-2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2</v>
      </c>
      <c r="Y451" s="43">
        <f>IFERROR(Y449/H449,"0")+IFERROR(Y450/H450,"0")</f>
        <v>2</v>
      </c>
      <c r="Z451" s="43">
        <f>IFERROR(IF(Z449="",0,Z449),"0")+IFERROR(IF(Z450="",0,Z450),"0")</f>
        <v>1.804E-2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8</v>
      </c>
      <c r="Y452" s="43">
        <f>IFERROR(SUM(Y449:Y450),"0")</f>
        <v>8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100</v>
      </c>
      <c r="Y492" s="55">
        <f t="shared" ref="Y492:Y499" si="71">IFERROR(IF(X492="",0,CEILING((X492/$H492),1)*$H492),"")</f>
        <v>100.32000000000001</v>
      </c>
      <c r="Z492" s="41">
        <f>IFERROR(IF(Y492=0,"",ROUNDUP(Y492/H492,0)*0.01196),"")</f>
        <v>0.22724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106.62878787878788</v>
      </c>
      <c r="BN492" s="78">
        <f t="shared" ref="BN492:BN499" si="73">IFERROR(Y492*I492/H492,"0")</f>
        <v>106.97</v>
      </c>
      <c r="BO492" s="78">
        <f t="shared" ref="BO492:BO499" si="74">IFERROR(1/J492*(X492/H492),"0")</f>
        <v>0.18210955710955709</v>
      </c>
      <c r="BP492" s="78">
        <f t="shared" ref="BP492:BP499" si="75">IFERROR(1/J492*(Y492/H492),"0")</f>
        <v>0.18269230769230771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150</v>
      </c>
      <c r="Y495" s="55">
        <f t="shared" si="71"/>
        <v>153.12</v>
      </c>
      <c r="Z495" s="41">
        <f>IFERROR(IF(Y495=0,"",ROUNDUP(Y495/H495,0)*0.01196),"")</f>
        <v>0.34683999999999998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159.94318181818181</v>
      </c>
      <c r="BN495" s="78">
        <f t="shared" si="73"/>
        <v>163.26999999999998</v>
      </c>
      <c r="BO495" s="78">
        <f t="shared" si="74"/>
        <v>0.27316433566433568</v>
      </c>
      <c r="BP495" s="78">
        <f t="shared" si="75"/>
        <v>0.27884615384615385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500</v>
      </c>
      <c r="Y496" s="55">
        <f t="shared" si="71"/>
        <v>501.6</v>
      </c>
      <c r="Z496" s="41">
        <f>IFERROR(IF(Y496=0,"",ROUNDUP(Y496/H496,0)*0.01196),"")</f>
        <v>1.1362000000000001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533.14393939393938</v>
      </c>
      <c r="BN496" s="78">
        <f t="shared" si="73"/>
        <v>534.85</v>
      </c>
      <c r="BO496" s="78">
        <f t="shared" si="74"/>
        <v>0.91054778554778548</v>
      </c>
      <c r="BP496" s="78">
        <f t="shared" si="75"/>
        <v>0.91346153846153855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si="71"/>
        <v>153.6</v>
      </c>
      <c r="Z498" s="41">
        <f>IFERROR(IF(Y498=0,"",ROUNDUP(Y498/H498,0)*0.00902),"")</f>
        <v>0.28864000000000001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215.9375</v>
      </c>
      <c r="BN498" s="78">
        <f t="shared" si="73"/>
        <v>221.12</v>
      </c>
      <c r="BO498" s="78">
        <f t="shared" si="74"/>
        <v>0.23674242424242425</v>
      </c>
      <c r="BP498" s="78">
        <f t="shared" si="75"/>
        <v>0.24242424242424243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223.29545454545453</v>
      </c>
      <c r="Y500" s="43">
        <f>IFERROR(Y492/H492,"0")+IFERROR(Y493/H493,"0")+IFERROR(Y494/H494,"0")+IFERROR(Y495/H495,"0")+IFERROR(Y496/H496,"0")+IFERROR(Y497/H497,"0")+IFERROR(Y498/H498,"0")+IFERROR(Y499/H499,"0")</f>
        <v>225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2.4499200000000001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1140</v>
      </c>
      <c r="Y501" s="43">
        <f>IFERROR(SUM(Y492:Y499),"0")</f>
        <v>1148.6399999999999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600</v>
      </c>
      <c r="Y503" s="55">
        <f>IFERROR(IF(X503="",0,CEILING((X503/$H503),1)*$H503),"")</f>
        <v>601.92000000000007</v>
      </c>
      <c r="Z503" s="41">
        <f>IFERROR(IF(Y503=0,"",ROUNDUP(Y503/H503,0)*0.01196),"")</f>
        <v>1.36344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639.77272727272725</v>
      </c>
      <c r="BN503" s="78">
        <f>IFERROR(Y503*I503/H503,"0")</f>
        <v>641.82000000000005</v>
      </c>
      <c r="BO503" s="78">
        <f>IFERROR(1/J503*(X503/H503),"0")</f>
        <v>1.0926573426573427</v>
      </c>
      <c r="BP503" s="78">
        <f>IFERROR(1/J503*(Y503/H503),"0")</f>
        <v>1.0961538461538463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150</v>
      </c>
      <c r="Y505" s="55">
        <f>IFERROR(IF(X505="",0,CEILING((X505/$H505),1)*$H505),"")</f>
        <v>153.6</v>
      </c>
      <c r="Z505" s="41">
        <f>IFERROR(IF(Y505=0,"",ROUNDUP(Y505/H505,0)*0.00902),"")</f>
        <v>0.28864000000000001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215.9375</v>
      </c>
      <c r="BN505" s="78">
        <f>IFERROR(Y505*I505/H505,"0")</f>
        <v>221.12</v>
      </c>
      <c r="BO505" s="78">
        <f>IFERROR(1/J505*(X505/H505),"0")</f>
        <v>0.23674242424242425</v>
      </c>
      <c r="BP505" s="78">
        <f>IFERROR(1/J505*(Y505/H505),"0")</f>
        <v>0.24242424242424243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144.88636363636363</v>
      </c>
      <c r="Y506" s="43">
        <f>IFERROR(Y503/H503,"0")+IFERROR(Y504/H504,"0")+IFERROR(Y505/H505,"0")</f>
        <v>146</v>
      </c>
      <c r="Z506" s="43">
        <f>IFERROR(IF(Z503="",0,Z503),"0")+IFERROR(IF(Z504="",0,Z504),"0")+IFERROR(IF(Z505="",0,Z505),"0")</f>
        <v>1.65208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750</v>
      </c>
      <c r="Y507" s="43">
        <f>IFERROR(SUM(Y503:Y505),"0")</f>
        <v>755.5200000000001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50</v>
      </c>
      <c r="Y509" s="55">
        <f t="shared" ref="Y509:Y515" si="76">IFERROR(IF(X509="",0,CEILING((X509/$H509),1)*$H509),"")</f>
        <v>52.800000000000004</v>
      </c>
      <c r="Z509" s="41">
        <f>IFERROR(IF(Y509=0,"",ROUNDUP(Y509/H509,0)*0.01196),"")</f>
        <v>0.1196</v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53.314393939393938</v>
      </c>
      <c r="BN509" s="78">
        <f t="shared" ref="BN509:BN515" si="78">IFERROR(Y509*I509/H509,"0")</f>
        <v>56.3</v>
      </c>
      <c r="BO509" s="78">
        <f t="shared" ref="BO509:BO515" si="79">IFERROR(1/J509*(X509/H509),"0")</f>
        <v>9.1054778554778545E-2</v>
      </c>
      <c r="BP509" s="78">
        <f t="shared" ref="BP509:BP515" si="80">IFERROR(1/J509*(Y509/H509),"0")</f>
        <v>9.6153846153846159E-2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300</v>
      </c>
      <c r="Y511" s="55">
        <f t="shared" si="76"/>
        <v>300.96000000000004</v>
      </c>
      <c r="Z511" s="41">
        <f>IFERROR(IF(Y511=0,"",ROUNDUP(Y511/H511,0)*0.01196),"")</f>
        <v>0.68171999999999999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319.88636363636363</v>
      </c>
      <c r="BN511" s="78">
        <f t="shared" si="78"/>
        <v>320.91000000000003</v>
      </c>
      <c r="BO511" s="78">
        <f t="shared" si="79"/>
        <v>0.54632867132867136</v>
      </c>
      <c r="BP511" s="78">
        <f t="shared" si="80"/>
        <v>0.54807692307692313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72</v>
      </c>
      <c r="Y512" s="55">
        <f t="shared" si="76"/>
        <v>72</v>
      </c>
      <c r="Z512" s="41">
        <f>IFERROR(IF(Y512=0,"",ROUNDUP(Y512/H512,0)*0.00902),"")</f>
        <v>0.1353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103.65</v>
      </c>
      <c r="BN512" s="78">
        <f t="shared" si="78"/>
        <v>103.65</v>
      </c>
      <c r="BO512" s="78">
        <f t="shared" si="79"/>
        <v>0.11363636363636365</v>
      </c>
      <c r="BP512" s="78">
        <f t="shared" si="80"/>
        <v>0.11363636363636365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36</v>
      </c>
      <c r="Y514" s="55">
        <f t="shared" si="76"/>
        <v>38.4</v>
      </c>
      <c r="Z514" s="41">
        <f>IFERROR(IF(Y514=0,"",ROUNDUP(Y514/H514,0)*0.00902),"")</f>
        <v>7.2160000000000002E-2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50.025000000000006</v>
      </c>
      <c r="BN514" s="78">
        <f t="shared" si="78"/>
        <v>53.36</v>
      </c>
      <c r="BO514" s="78">
        <f t="shared" si="79"/>
        <v>5.6818181818181823E-2</v>
      </c>
      <c r="BP514" s="78">
        <f t="shared" si="80"/>
        <v>6.0606060606060608E-2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180</v>
      </c>
      <c r="Y515" s="55">
        <f t="shared" si="76"/>
        <v>182.4</v>
      </c>
      <c r="Z515" s="41">
        <f>IFERROR(IF(Y515=0,"",ROUNDUP(Y515/H515,0)*0.00902),"")</f>
        <v>0.34276000000000001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250.125</v>
      </c>
      <c r="BN515" s="78">
        <f t="shared" si="78"/>
        <v>253.46</v>
      </c>
      <c r="BO515" s="78">
        <f t="shared" si="79"/>
        <v>0.28409090909090912</v>
      </c>
      <c r="BP515" s="78">
        <f t="shared" si="80"/>
        <v>0.2878787878787879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126.28787878787878</v>
      </c>
      <c r="Y516" s="43">
        <f>IFERROR(Y509/H509,"0")+IFERROR(Y510/H510,"0")+IFERROR(Y511/H511,"0")+IFERROR(Y512/H512,"0")+IFERROR(Y513/H513,"0")+IFERROR(Y514/H514,"0")+IFERROR(Y515/H515,"0")</f>
        <v>128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1.35154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638</v>
      </c>
      <c r="Y517" s="43">
        <f>IFERROR(SUM(Y509:Y515),"0")</f>
        <v>646.56000000000006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140</v>
      </c>
      <c r="Y521" s="55">
        <f>IFERROR(IF(X521="",0,CEILING((X521/$H521),1)*$H521),"")</f>
        <v>144</v>
      </c>
      <c r="Z521" s="41">
        <f>IFERROR(IF(Y521=0,"",ROUNDUP(Y521/H521,0)*0.01898),"")</f>
        <v>0.22776000000000002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144.78333333333333</v>
      </c>
      <c r="BN521" s="78">
        <f>IFERROR(Y521*I521/H521,"0")</f>
        <v>148.91999999999999</v>
      </c>
      <c r="BO521" s="78">
        <f>IFERROR(1/J521*(X521/H521),"0")</f>
        <v>0.18229166666666666</v>
      </c>
      <c r="BP521" s="78">
        <f>IFERROR(1/J521*(Y521/H521),"0")</f>
        <v>0.1875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11.666666666666666</v>
      </c>
      <c r="Y522" s="43">
        <f>IFERROR(Y521/H521,"0")</f>
        <v>12</v>
      </c>
      <c r="Z522" s="43">
        <f>IFERROR(IF(Z521="",0,Z521),"0")</f>
        <v>0.22776000000000002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140</v>
      </c>
      <c r="Y523" s="43">
        <f>IFERROR(SUM(Y521:Y521),"0")</f>
        <v>144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17561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17728.400000000001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18858.666805837842</v>
      </c>
      <c r="Y547" s="43">
        <f>IFERROR(SUM(BN22:BN543),"0")</f>
        <v>19039.519999999993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32</v>
      </c>
      <c r="Y548" s="44">
        <f>ROUNDUP(SUM(BP22:BP543),0)</f>
        <v>32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19658.666805837842</v>
      </c>
      <c r="Y549" s="43">
        <f>GrossWeightTotalR+PalletQtyTotalR*25</f>
        <v>19839.519999999993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3347.1410431841473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3377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36.435720000000003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259.20000000000005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243.90000000000003</v>
      </c>
      <c r="F556" s="52">
        <f>IFERROR(Y84*1,"0")+IFERROR(Y85*1,"0")+IFERROR(Y86*1,"0")+IFERROR(Y87*1,"0")+IFERROR(Y88*1,"0")+IFERROR(Y89*1,"0")+IFERROR(Y93*1,"0")+IFERROR(Y94*1,"0")+IFERROR(Y95*1,"0")+IFERROR(Y96*1,"0")</f>
        <v>999.90000000000009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1334.8799999999999</v>
      </c>
      <c r="H556" s="52">
        <f>IFERROR(Y131*1,"0")+IFERROR(Y132*1,"0")+IFERROR(Y136*1,"0")+IFERROR(Y137*1,"0")+IFERROR(Y141*1,"0")+IFERROR(Y142*1,"0")</f>
        <v>204.72000000000003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1330.8600000000001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276.62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2036.7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163.6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283.2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460.2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559.79999999999995</v>
      </c>
      <c r="U556" s="52">
        <f>IFERROR(Y406*1,"0")+IFERROR(Y407*1,"0")</f>
        <v>0</v>
      </c>
      <c r="V556" s="52">
        <f>IFERROR(Y412*1,"0")+IFERROR(Y413*1,"0")+IFERROR(Y414*1,"0")</f>
        <v>527.1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6345</v>
      </c>
      <c r="X556" s="52">
        <f>IFERROR(Y449*1,"0")+IFERROR(Y450*1,"0")+IFERROR(Y454*1,"0")+IFERROR(Y458*1,"0")+IFERROR(Y459*1,"0")+IFERROR(Y460*1,"0")</f>
        <v>8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2550.7200000000003</v>
      </c>
      <c r="AB556" s="52">
        <f>IFERROR(Y521*1,"0")+IFERROR(Y525*1,"0")+IFERROR(Y529*1,"0")+IFERROR(Y533*1,"0")+IFERROR(Y537*1,"0")+IFERROR(Y538*1,"0")</f>
        <v>144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40,00"/>
        <filter val="1 200,00"/>
        <filter val="1 305,00"/>
        <filter val="1 312,00"/>
        <filter val="1 610,00"/>
        <filter val="10,10"/>
        <filter val="100,00"/>
        <filter val="11,00"/>
        <filter val="11,67"/>
        <filter val="116,67"/>
        <filter val="12,00"/>
        <filter val="126,29"/>
        <filter val="140,00"/>
        <filter val="144,89"/>
        <filter val="15,00"/>
        <filter val="150,00"/>
        <filter val="16,67"/>
        <filter val="160,00"/>
        <filter val="17 561,00"/>
        <filter val="17,45"/>
        <filter val="175,00"/>
        <filter val="18 858,67"/>
        <filter val="18,00"/>
        <filter val="18,75"/>
        <filter val="180,00"/>
        <filter val="19 658,67"/>
        <filter val="195,00"/>
        <filter val="2 600,00"/>
        <filter val="2,00"/>
        <filter val="20,00"/>
        <filter val="200,00"/>
        <filter val="206,17"/>
        <filter val="21,00"/>
        <filter val="210,00"/>
        <filter val="223,30"/>
        <filter val="225,00"/>
        <filter val="23,15"/>
        <filter val="240,00"/>
        <filter val="25,00"/>
        <filter val="250,00"/>
        <filter val="27,65"/>
        <filter val="28,00"/>
        <filter val="280,00"/>
        <filter val="3 347,14"/>
        <filter val="30,00"/>
        <filter val="30,56"/>
        <filter val="300,00"/>
        <filter val="32"/>
        <filter val="320,00"/>
        <filter val="340,00"/>
        <filter val="340,74"/>
        <filter val="350,00"/>
        <filter val="356,33"/>
        <filter val="36,00"/>
        <filter val="36,51"/>
        <filter val="4,00"/>
        <filter val="40,00"/>
        <filter val="400,00"/>
        <filter val="436,35"/>
        <filter val="45,00"/>
        <filter val="450,00"/>
        <filter val="46,00"/>
        <filter val="479,40"/>
        <filter val="480,00"/>
        <filter val="5 315,00"/>
        <filter val="5,13"/>
        <filter val="50,00"/>
        <filter val="500,00"/>
        <filter val="525,00"/>
        <filter val="550,00"/>
        <filter val="57,69"/>
        <filter val="60,00"/>
        <filter val="600,00"/>
        <filter val="62,96"/>
        <filter val="638,00"/>
        <filter val="66,67"/>
        <filter val="67,77"/>
        <filter val="675,00"/>
        <filter val="7,00"/>
        <filter val="70,00"/>
        <filter val="70,24"/>
        <filter val="72,00"/>
        <filter val="73,00"/>
        <filter val="750,00"/>
        <filter val="770,00"/>
        <filter val="8,00"/>
        <filter val="8,73"/>
        <filter val="80,00"/>
        <filter val="9,00"/>
        <filter val="96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