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5EF237E-257C-44CD-BB73-0FE736C6576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Z548" i="2"/>
  <c r="Z549" i="2" s="1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Y538" i="2"/>
  <c r="X538" i="2"/>
  <c r="X537" i="2"/>
  <c r="BO536" i="2"/>
  <c r="BM536" i="2"/>
  <c r="Y536" i="2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BP525" i="2" s="1"/>
  <c r="P525" i="2"/>
  <c r="BP524" i="2"/>
  <c r="BO524" i="2"/>
  <c r="BN524" i="2"/>
  <c r="BM524" i="2"/>
  <c r="Z524" i="2"/>
  <c r="Y524" i="2"/>
  <c r="P524" i="2"/>
  <c r="X522" i="2"/>
  <c r="X521" i="2"/>
  <c r="BO520" i="2"/>
  <c r="BM520" i="2"/>
  <c r="Y520" i="2"/>
  <c r="Z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Y490" i="2"/>
  <c r="X490" i="2"/>
  <c r="BP489" i="2"/>
  <c r="BO489" i="2"/>
  <c r="BN489" i="2"/>
  <c r="BM489" i="2"/>
  <c r="Z489" i="2"/>
  <c r="Y489" i="2"/>
  <c r="P489" i="2"/>
  <c r="BO488" i="2"/>
  <c r="BM488" i="2"/>
  <c r="Z488" i="2"/>
  <c r="Z490" i="2" s="1"/>
  <c r="Y488" i="2"/>
  <c r="Y491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Z481" i="2" s="1"/>
  <c r="P481" i="2"/>
  <c r="BO480" i="2"/>
  <c r="BM480" i="2"/>
  <c r="Y480" i="2"/>
  <c r="BP480" i="2" s="1"/>
  <c r="P480" i="2"/>
  <c r="BP479" i="2"/>
  <c r="BO479" i="2"/>
  <c r="BN479" i="2"/>
  <c r="BM479" i="2"/>
  <c r="Z479" i="2"/>
  <c r="Y479" i="2"/>
  <c r="P479" i="2"/>
  <c r="X475" i="2"/>
  <c r="X474" i="2"/>
  <c r="BO473" i="2"/>
  <c r="BM473" i="2"/>
  <c r="Y473" i="2"/>
  <c r="Z473" i="2" s="1"/>
  <c r="P473" i="2"/>
  <c r="BP472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Z462" i="2" s="1"/>
  <c r="P462" i="2"/>
  <c r="X459" i="2"/>
  <c r="X458" i="2"/>
  <c r="BO457" i="2"/>
  <c r="BM457" i="2"/>
  <c r="Y457" i="2"/>
  <c r="Y459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Z427" i="2"/>
  <c r="Y427" i="2"/>
  <c r="BN427" i="2" s="1"/>
  <c r="P427" i="2"/>
  <c r="BO426" i="2"/>
  <c r="BM426" i="2"/>
  <c r="Z426" i="2"/>
  <c r="Y426" i="2"/>
  <c r="BN426" i="2" s="1"/>
  <c r="P426" i="2"/>
  <c r="BO425" i="2"/>
  <c r="BM425" i="2"/>
  <c r="Y425" i="2"/>
  <c r="P425" i="2"/>
  <c r="X422" i="2"/>
  <c r="Y421" i="2"/>
  <c r="X421" i="2"/>
  <c r="BO420" i="2"/>
  <c r="BM420" i="2"/>
  <c r="Y420" i="2"/>
  <c r="Z420" i="2" s="1"/>
  <c r="P420" i="2"/>
  <c r="BO419" i="2"/>
  <c r="BM419" i="2"/>
  <c r="Z419" i="2"/>
  <c r="Z421" i="2" s="1"/>
  <c r="Y419" i="2"/>
  <c r="U571" i="2" s="1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BN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N402" i="2" s="1"/>
  <c r="P402" i="2"/>
  <c r="BO401" i="2"/>
  <c r="BM401" i="2"/>
  <c r="Y401" i="2"/>
  <c r="BN401" i="2" s="1"/>
  <c r="P401" i="2"/>
  <c r="BO400" i="2"/>
  <c r="BM400" i="2"/>
  <c r="Z400" i="2"/>
  <c r="Y400" i="2"/>
  <c r="BP400" i="2" s="1"/>
  <c r="P400" i="2"/>
  <c r="BO399" i="2"/>
  <c r="BM399" i="2"/>
  <c r="Y399" i="2"/>
  <c r="Z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BN394" i="2" s="1"/>
  <c r="P394" i="2"/>
  <c r="BO393" i="2"/>
  <c r="BM393" i="2"/>
  <c r="Y393" i="2"/>
  <c r="Z393" i="2" s="1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BP386" i="2"/>
  <c r="BO386" i="2"/>
  <c r="BN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Z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Z368" i="2" s="1"/>
  <c r="P368" i="2"/>
  <c r="BP367" i="2"/>
  <c r="BO367" i="2"/>
  <c r="BM367" i="2"/>
  <c r="Y367" i="2"/>
  <c r="P367" i="2"/>
  <c r="BO366" i="2"/>
  <c r="BM366" i="2"/>
  <c r="Y366" i="2"/>
  <c r="P366" i="2"/>
  <c r="Y363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S571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Z349" i="2"/>
  <c r="Y349" i="2"/>
  <c r="BN349" i="2" s="1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P346" i="2"/>
  <c r="BP345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Z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Y325" i="2" s="1"/>
  <c r="P323" i="2"/>
  <c r="BO322" i="2"/>
  <c r="BM322" i="2"/>
  <c r="Z322" i="2"/>
  <c r="Y322" i="2"/>
  <c r="BP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P308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P286" i="2"/>
  <c r="BO286" i="2"/>
  <c r="BN286" i="2"/>
  <c r="BM286" i="2"/>
  <c r="Z286" i="2"/>
  <c r="Y286" i="2"/>
  <c r="P286" i="2"/>
  <c r="BO285" i="2"/>
  <c r="BM285" i="2"/>
  <c r="Y285" i="2"/>
  <c r="P285" i="2"/>
  <c r="BO284" i="2"/>
  <c r="BM284" i="2"/>
  <c r="Y284" i="2"/>
  <c r="Z284" i="2" s="1"/>
  <c r="P284" i="2"/>
  <c r="BP283" i="2"/>
  <c r="BO283" i="2"/>
  <c r="BM283" i="2"/>
  <c r="Y283" i="2"/>
  <c r="P283" i="2"/>
  <c r="X281" i="2"/>
  <c r="X280" i="2"/>
  <c r="BO279" i="2"/>
  <c r="BN279" i="2"/>
  <c r="BM279" i="2"/>
  <c r="Z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P276" i="2"/>
  <c r="BO276" i="2"/>
  <c r="BN276" i="2"/>
  <c r="BM276" i="2"/>
  <c r="Z276" i="2"/>
  <c r="Y276" i="2"/>
  <c r="P276" i="2"/>
  <c r="BO275" i="2"/>
  <c r="BM275" i="2"/>
  <c r="Y275" i="2"/>
  <c r="P275" i="2"/>
  <c r="BO274" i="2"/>
  <c r="BM274" i="2"/>
  <c r="Y274" i="2"/>
  <c r="BN274" i="2" s="1"/>
  <c r="P274" i="2"/>
  <c r="BP273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Y270" i="2" s="1"/>
  <c r="P268" i="2"/>
  <c r="BP267" i="2"/>
  <c r="BO267" i="2"/>
  <c r="BM267" i="2"/>
  <c r="Y267" i="2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Z257" i="2" s="1"/>
  <c r="Z258" i="2" s="1"/>
  <c r="P257" i="2"/>
  <c r="X255" i="2"/>
  <c r="X254" i="2"/>
  <c r="BO253" i="2"/>
  <c r="BM253" i="2"/>
  <c r="Y253" i="2"/>
  <c r="Y255" i="2" s="1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N246" i="2"/>
  <c r="BM246" i="2"/>
  <c r="Z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Z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P211" i="2"/>
  <c r="BO211" i="2"/>
  <c r="BN211" i="2"/>
  <c r="BM211" i="2"/>
  <c r="Z211" i="2"/>
  <c r="Y211" i="2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Y198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Z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Y173" i="2" s="1"/>
  <c r="P171" i="2"/>
  <c r="X169" i="2"/>
  <c r="X168" i="2"/>
  <c r="BO167" i="2"/>
  <c r="BM167" i="2"/>
  <c r="Z167" i="2"/>
  <c r="Y167" i="2"/>
  <c r="BN167" i="2" s="1"/>
  <c r="P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BN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N150" i="2"/>
  <c r="BM150" i="2"/>
  <c r="Z150" i="2"/>
  <c r="Y150" i="2"/>
  <c r="P150" i="2"/>
  <c r="X147" i="2"/>
  <c r="Y146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Z140" i="2"/>
  <c r="Y140" i="2"/>
  <c r="BN140" i="2" s="1"/>
  <c r="P140" i="2"/>
  <c r="BO139" i="2"/>
  <c r="BM139" i="2"/>
  <c r="Y139" i="2"/>
  <c r="Y142" i="2" s="1"/>
  <c r="P139" i="2"/>
  <c r="X137" i="2"/>
  <c r="Y136" i="2"/>
  <c r="X136" i="2"/>
  <c r="BO135" i="2"/>
  <c r="BM135" i="2"/>
  <c r="Y135" i="2"/>
  <c r="Z135" i="2" s="1"/>
  <c r="P135" i="2"/>
  <c r="BO134" i="2"/>
  <c r="BM134" i="2"/>
  <c r="Z134" i="2"/>
  <c r="Z136" i="2" s="1"/>
  <c r="Y134" i="2"/>
  <c r="Y137" i="2" s="1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Y127" i="2" s="1"/>
  <c r="P123" i="2"/>
  <c r="BO122" i="2"/>
  <c r="BM122" i="2"/>
  <c r="Y122" i="2"/>
  <c r="BP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Z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P99" i="2"/>
  <c r="BO99" i="2"/>
  <c r="BN99" i="2"/>
  <c r="BM99" i="2"/>
  <c r="Z99" i="2"/>
  <c r="Y99" i="2"/>
  <c r="P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P69" i="2" s="1"/>
  <c r="P69" i="2"/>
  <c r="BP68" i="2"/>
  <c r="BO68" i="2"/>
  <c r="BN68" i="2"/>
  <c r="BM68" i="2"/>
  <c r="Z68" i="2"/>
  <c r="Y68" i="2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P58" i="2"/>
  <c r="BO58" i="2"/>
  <c r="BN58" i="2"/>
  <c r="BM58" i="2"/>
  <c r="Z58" i="2"/>
  <c r="Y58" i="2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N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Y25" i="2" s="1"/>
  <c r="P22" i="2"/>
  <c r="H10" i="2"/>
  <c r="A9" i="2"/>
  <c r="F10" i="2" s="1"/>
  <c r="D7" i="2"/>
  <c r="Q6" i="2"/>
  <c r="P2" i="2"/>
  <c r="Y24" i="2" l="1"/>
  <c r="BN40" i="2"/>
  <c r="BN56" i="2"/>
  <c r="BN63" i="2"/>
  <c r="BN82" i="2"/>
  <c r="BN89" i="2"/>
  <c r="BN96" i="2"/>
  <c r="BP107" i="2"/>
  <c r="BN108" i="2"/>
  <c r="Z108" i="2"/>
  <c r="BP129" i="2"/>
  <c r="Y131" i="2"/>
  <c r="BN159" i="2"/>
  <c r="Y161" i="2"/>
  <c r="BP182" i="2"/>
  <c r="Z182" i="2"/>
  <c r="Y202" i="2"/>
  <c r="Y201" i="2"/>
  <c r="BP200" i="2"/>
  <c r="BN200" i="2"/>
  <c r="Z200" i="2"/>
  <c r="Z201" i="2" s="1"/>
  <c r="BN226" i="2"/>
  <c r="Z226" i="2"/>
  <c r="BP233" i="2"/>
  <c r="BN233" i="2"/>
  <c r="Z233" i="2"/>
  <c r="BP239" i="2"/>
  <c r="BN239" i="2"/>
  <c r="Z239" i="2"/>
  <c r="BN245" i="2"/>
  <c r="BN253" i="2"/>
  <c r="BN275" i="2"/>
  <c r="Z275" i="2"/>
  <c r="BN288" i="2"/>
  <c r="BN309" i="2"/>
  <c r="BN329" i="2"/>
  <c r="Z329" i="2"/>
  <c r="BN346" i="2"/>
  <c r="Z346" i="2"/>
  <c r="BP366" i="2"/>
  <c r="BN366" i="2"/>
  <c r="Z366" i="2"/>
  <c r="BN377" i="2"/>
  <c r="BN433" i="2"/>
  <c r="Z433" i="2"/>
  <c r="BN445" i="2"/>
  <c r="Z445" i="2"/>
  <c r="BN457" i="2"/>
  <c r="BN484" i="2"/>
  <c r="BP507" i="2"/>
  <c r="Z507" i="2"/>
  <c r="BP518" i="2"/>
  <c r="Y522" i="2"/>
  <c r="BP552" i="2"/>
  <c r="Z552" i="2"/>
  <c r="Z22" i="2"/>
  <c r="Z24" i="2" s="1"/>
  <c r="BN22" i="2"/>
  <c r="BP22" i="2"/>
  <c r="BN23" i="2"/>
  <c r="Y33" i="2"/>
  <c r="BN39" i="2"/>
  <c r="D571" i="2"/>
  <c r="BP60" i="2"/>
  <c r="BP70" i="2"/>
  <c r="BN81" i="2"/>
  <c r="BN91" i="2"/>
  <c r="Y100" i="2"/>
  <c r="Z107" i="2"/>
  <c r="BN116" i="2"/>
  <c r="Z116" i="2"/>
  <c r="BN117" i="2"/>
  <c r="BN208" i="2"/>
  <c r="BN212" i="2"/>
  <c r="BN229" i="2"/>
  <c r="BN268" i="2"/>
  <c r="BP272" i="2"/>
  <c r="BN272" i="2"/>
  <c r="Z272" i="2"/>
  <c r="BN277" i="2"/>
  <c r="BN285" i="2"/>
  <c r="Z285" i="2"/>
  <c r="Y300" i="2"/>
  <c r="BP298" i="2"/>
  <c r="BP306" i="2"/>
  <c r="BN306" i="2"/>
  <c r="Z306" i="2"/>
  <c r="Y320" i="2"/>
  <c r="Z318" i="2"/>
  <c r="Z319" i="2" s="1"/>
  <c r="BP329" i="2"/>
  <c r="BP330" i="2"/>
  <c r="BN330" i="2"/>
  <c r="Z330" i="2"/>
  <c r="BN340" i="2"/>
  <c r="Z340" i="2"/>
  <c r="BN368" i="2"/>
  <c r="BN388" i="2"/>
  <c r="BN413" i="2"/>
  <c r="BP433" i="2"/>
  <c r="BN438" i="2"/>
  <c r="Z438" i="2"/>
  <c r="BN529" i="2"/>
  <c r="Y541" i="2"/>
  <c r="Z540" i="2"/>
  <c r="Z541" i="2" s="1"/>
  <c r="BP111" i="2"/>
  <c r="BN112" i="2"/>
  <c r="BN122" i="2"/>
  <c r="BP134" i="2"/>
  <c r="BN135" i="2"/>
  <c r="BP140" i="2"/>
  <c r="BN145" i="2"/>
  <c r="BN154" i="2"/>
  <c r="Y168" i="2"/>
  <c r="BP167" i="2"/>
  <c r="BN179" i="2"/>
  <c r="BP184" i="2"/>
  <c r="BN222" i="2"/>
  <c r="BN234" i="2"/>
  <c r="BN243" i="2"/>
  <c r="BN293" i="2"/>
  <c r="Y315" i="2"/>
  <c r="BN332" i="2"/>
  <c r="BN371" i="2"/>
  <c r="BP419" i="2"/>
  <c r="BN420" i="2"/>
  <c r="BP426" i="2"/>
  <c r="BN456" i="2"/>
  <c r="Y475" i="2"/>
  <c r="BN481" i="2"/>
  <c r="BP488" i="2"/>
  <c r="BN499" i="2"/>
  <c r="Y515" i="2"/>
  <c r="BN511" i="2"/>
  <c r="BN526" i="2"/>
  <c r="Z436" i="2"/>
  <c r="Z435" i="2"/>
  <c r="X562" i="2"/>
  <c r="Z27" i="2"/>
  <c r="Z31" i="2"/>
  <c r="C571" i="2"/>
  <c r="Z41" i="2"/>
  <c r="Y78" i="2"/>
  <c r="BP80" i="2"/>
  <c r="BP23" i="2"/>
  <c r="BP29" i="2"/>
  <c r="Z40" i="2"/>
  <c r="E571" i="2"/>
  <c r="Y77" i="2"/>
  <c r="Z82" i="2"/>
  <c r="Z89" i="2"/>
  <c r="Z96" i="2"/>
  <c r="BP108" i="2"/>
  <c r="BP112" i="2"/>
  <c r="Y120" i="2"/>
  <c r="Z117" i="2"/>
  <c r="Y119" i="2"/>
  <c r="Z122" i="2"/>
  <c r="BN134" i="2"/>
  <c r="BP135" i="2"/>
  <c r="Z145" i="2"/>
  <c r="J571" i="2"/>
  <c r="Z165" i="2"/>
  <c r="Z181" i="2"/>
  <c r="BP185" i="2"/>
  <c r="Y194" i="2"/>
  <c r="BP191" i="2"/>
  <c r="Z209" i="2"/>
  <c r="Y214" i="2"/>
  <c r="Z229" i="2"/>
  <c r="BP232" i="2"/>
  <c r="Z232" i="2"/>
  <c r="BP234" i="2"/>
  <c r="BN235" i="2"/>
  <c r="BP240" i="2"/>
  <c r="Z243" i="2"/>
  <c r="BN244" i="2"/>
  <c r="BP253" i="2"/>
  <c r="Z253" i="2"/>
  <c r="Y258" i="2"/>
  <c r="Y259" i="2"/>
  <c r="BP263" i="2"/>
  <c r="BN263" i="2"/>
  <c r="Y264" i="2"/>
  <c r="Y280" i="2"/>
  <c r="BP275" i="2"/>
  <c r="BN283" i="2"/>
  <c r="Z283" i="2"/>
  <c r="BN287" i="2"/>
  <c r="BP288" i="2"/>
  <c r="Z298" i="2"/>
  <c r="Z300" i="2" s="1"/>
  <c r="Y301" i="2"/>
  <c r="BN298" i="2"/>
  <c r="Z308" i="2"/>
  <c r="BN308" i="2"/>
  <c r="BP333" i="2"/>
  <c r="Z333" i="2"/>
  <c r="BP340" i="2"/>
  <c r="Y351" i="2"/>
  <c r="Z345" i="2"/>
  <c r="Z348" i="2"/>
  <c r="Z367" i="2"/>
  <c r="BN367" i="2"/>
  <c r="BP389" i="2"/>
  <c r="Z389" i="2"/>
  <c r="Z402" i="2"/>
  <c r="Y416" i="2"/>
  <c r="Y429" i="2"/>
  <c r="BN425" i="2"/>
  <c r="BP425" i="2"/>
  <c r="BP437" i="2"/>
  <c r="Z437" i="2"/>
  <c r="BP457" i="2"/>
  <c r="Z457" i="2"/>
  <c r="Z480" i="2"/>
  <c r="BN480" i="2"/>
  <c r="AA571" i="2"/>
  <c r="BN506" i="2"/>
  <c r="BP513" i="2"/>
  <c r="Z519" i="2"/>
  <c r="BN519" i="2"/>
  <c r="Y532" i="2"/>
  <c r="B571" i="2"/>
  <c r="X563" i="2"/>
  <c r="X565" i="2"/>
  <c r="BN27" i="2"/>
  <c r="Z29" i="2"/>
  <c r="BN31" i="2"/>
  <c r="Z39" i="2"/>
  <c r="BN47" i="2"/>
  <c r="Y52" i="2"/>
  <c r="Z63" i="2"/>
  <c r="BN76" i="2"/>
  <c r="BN80" i="2"/>
  <c r="BP81" i="2"/>
  <c r="Y83" i="2"/>
  <c r="F571" i="2"/>
  <c r="BP87" i="2"/>
  <c r="BN90" i="2"/>
  <c r="BP91" i="2"/>
  <c r="BN92" i="2"/>
  <c r="G571" i="2"/>
  <c r="BN106" i="2"/>
  <c r="BN110" i="2"/>
  <c r="BP116" i="2"/>
  <c r="BP124" i="2"/>
  <c r="Y130" i="2"/>
  <c r="H571" i="2"/>
  <c r="BN139" i="2"/>
  <c r="I571" i="2"/>
  <c r="BN152" i="2"/>
  <c r="Z164" i="2"/>
  <c r="BP164" i="2"/>
  <c r="Y174" i="2"/>
  <c r="BN177" i="2"/>
  <c r="Z179" i="2"/>
  <c r="BN183" i="2"/>
  <c r="Z185" i="2"/>
  <c r="Z191" i="2"/>
  <c r="Y197" i="2"/>
  <c r="Z206" i="2"/>
  <c r="Z208" i="2"/>
  <c r="Z212" i="2"/>
  <c r="Z240" i="2"/>
  <c r="BP277" i="2"/>
  <c r="BN278" i="2"/>
  <c r="BP285" i="2"/>
  <c r="BN291" i="2"/>
  <c r="BN310" i="2"/>
  <c r="Y319" i="2"/>
  <c r="BN318" i="2"/>
  <c r="BP318" i="2"/>
  <c r="Y356" i="2"/>
  <c r="BN353" i="2"/>
  <c r="BP353" i="2"/>
  <c r="Z360" i="2"/>
  <c r="BN360" i="2"/>
  <c r="Y374" i="2"/>
  <c r="Z378" i="2"/>
  <c r="BN378" i="2"/>
  <c r="Y384" i="2"/>
  <c r="BP395" i="2"/>
  <c r="Z395" i="2"/>
  <c r="Z425" i="2"/>
  <c r="Z428" i="2" s="1"/>
  <c r="Y428" i="2"/>
  <c r="BP438" i="2"/>
  <c r="BP451" i="2"/>
  <c r="BN451" i="2"/>
  <c r="Z472" i="2"/>
  <c r="BN472" i="2"/>
  <c r="Z513" i="2"/>
  <c r="BP527" i="2"/>
  <c r="Z527" i="2"/>
  <c r="Y537" i="2"/>
  <c r="BN536" i="2"/>
  <c r="BP536" i="2"/>
  <c r="Z536" i="2"/>
  <c r="Z537" i="2" s="1"/>
  <c r="BP41" i="2"/>
  <c r="BP97" i="2"/>
  <c r="BP118" i="2"/>
  <c r="BP171" i="2"/>
  <c r="Y218" i="2"/>
  <c r="Z217" i="2"/>
  <c r="Z218" i="2" s="1"/>
  <c r="BP224" i="2"/>
  <c r="BP228" i="2"/>
  <c r="Z228" i="2"/>
  <c r="BP230" i="2"/>
  <c r="BP242" i="2"/>
  <c r="Z242" i="2"/>
  <c r="BP244" i="2"/>
  <c r="BP287" i="2"/>
  <c r="BP289" i="2"/>
  <c r="Z289" i="2"/>
  <c r="BN304" i="2"/>
  <c r="Y311" i="2"/>
  <c r="BP304" i="2"/>
  <c r="Z331" i="2"/>
  <c r="BN331" i="2"/>
  <c r="BP347" i="2"/>
  <c r="Z347" i="2"/>
  <c r="Y350" i="2"/>
  <c r="BP369" i="2"/>
  <c r="Z369" i="2"/>
  <c r="Z373" i="2" s="1"/>
  <c r="BP376" i="2"/>
  <c r="Z387" i="2"/>
  <c r="Z390" i="2" s="1"/>
  <c r="Y390" i="2"/>
  <c r="BN387" i="2"/>
  <c r="Y391" i="2"/>
  <c r="BP401" i="2"/>
  <c r="Z401" i="2"/>
  <c r="Z403" i="2" s="1"/>
  <c r="BP482" i="2"/>
  <c r="Z482" i="2"/>
  <c r="Z571" i="2"/>
  <c r="Z494" i="2"/>
  <c r="Z495" i="2" s="1"/>
  <c r="Z509" i="2"/>
  <c r="BN509" i="2"/>
  <c r="X561" i="2"/>
  <c r="BP27" i="2"/>
  <c r="Z47" i="2"/>
  <c r="BP47" i="2"/>
  <c r="Y84" i="2"/>
  <c r="Z90" i="2"/>
  <c r="BP92" i="2"/>
  <c r="Z97" i="2"/>
  <c r="Z106" i="2"/>
  <c r="Z110" i="2"/>
  <c r="Z118" i="2"/>
  <c r="Z119" i="2" s="1"/>
  <c r="Z139" i="2"/>
  <c r="Z141" i="2" s="1"/>
  <c r="BP139" i="2"/>
  <c r="BP152" i="2"/>
  <c r="BP165" i="2"/>
  <c r="Z171" i="2"/>
  <c r="Y188" i="2"/>
  <c r="BP181" i="2"/>
  <c r="Z183" i="2"/>
  <c r="Z192" i="2"/>
  <c r="BP209" i="2"/>
  <c r="Y219" i="2"/>
  <c r="Z224" i="2"/>
  <c r="Z230" i="2"/>
  <c r="Y249" i="2"/>
  <c r="Z267" i="2"/>
  <c r="BN267" i="2"/>
  <c r="BN273" i="2"/>
  <c r="Z273" i="2"/>
  <c r="BP291" i="2"/>
  <c r="Z304" i="2"/>
  <c r="BP307" i="2"/>
  <c r="Z307" i="2"/>
  <c r="Z310" i="2"/>
  <c r="BP348" i="2"/>
  <c r="Z376" i="2"/>
  <c r="Z381" i="2"/>
  <c r="BN381" i="2"/>
  <c r="BP402" i="2"/>
  <c r="BP407" i="2"/>
  <c r="Z407" i="2"/>
  <c r="BP446" i="2"/>
  <c r="Z446" i="2"/>
  <c r="Y496" i="2"/>
  <c r="BP506" i="2"/>
  <c r="BP519" i="2"/>
  <c r="Z525" i="2"/>
  <c r="BN525" i="2"/>
  <c r="BN527" i="2"/>
  <c r="Y542" i="2"/>
  <c r="Y546" i="2"/>
  <c r="BN558" i="2"/>
  <c r="BP314" i="2"/>
  <c r="Y316" i="2"/>
  <c r="BN322" i="2"/>
  <c r="Y341" i="2"/>
  <c r="BP338" i="2"/>
  <c r="BN379" i="2"/>
  <c r="Y404" i="2"/>
  <c r="BP399" i="2"/>
  <c r="BP413" i="2"/>
  <c r="BN419" i="2"/>
  <c r="BP420" i="2"/>
  <c r="Y422" i="2"/>
  <c r="BP427" i="2"/>
  <c r="BP435" i="2"/>
  <c r="Y571" i="2"/>
  <c r="BN488" i="2"/>
  <c r="BN507" i="2"/>
  <c r="BN548" i="2"/>
  <c r="BN553" i="2"/>
  <c r="BP226" i="2"/>
  <c r="Y254" i="2"/>
  <c r="Y269" i="2"/>
  <c r="BP309" i="2"/>
  <c r="Z314" i="2"/>
  <c r="Z315" i="2" s="1"/>
  <c r="BP332" i="2"/>
  <c r="Y334" i="2"/>
  <c r="BP346" i="2"/>
  <c r="BP349" i="2"/>
  <c r="Y355" i="2"/>
  <c r="BP368" i="2"/>
  <c r="T571" i="2"/>
  <c r="BP371" i="2"/>
  <c r="BP377" i="2"/>
  <c r="BP388" i="2"/>
  <c r="Y397" i="2"/>
  <c r="BP393" i="2"/>
  <c r="W571" i="2"/>
  <c r="BP439" i="2"/>
  <c r="Y448" i="2"/>
  <c r="BP445" i="2"/>
  <c r="Z458" i="2"/>
  <c r="BP456" i="2"/>
  <c r="Y458" i="2"/>
  <c r="X571" i="2"/>
  <c r="BP462" i="2"/>
  <c r="BP481" i="2"/>
  <c r="Y485" i="2"/>
  <c r="BP484" i="2"/>
  <c r="BP526" i="2"/>
  <c r="BP529" i="2"/>
  <c r="Y545" i="2"/>
  <c r="Z8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Z362" i="2" s="1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Z485" i="2" s="1"/>
  <c r="BP498" i="2"/>
  <c r="Z508" i="2"/>
  <c r="BP510" i="2"/>
  <c r="Z518" i="2"/>
  <c r="Z521" i="2" s="1"/>
  <c r="BP520" i="2"/>
  <c r="Z528" i="2"/>
  <c r="Z531" i="2" s="1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355" i="2" s="1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193" i="2" s="1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Y559" i="2"/>
  <c r="BP48" i="2"/>
  <c r="Z57" i="2"/>
  <c r="Y93" i="2"/>
  <c r="Y101" i="2"/>
  <c r="BP123" i="2"/>
  <c r="Z144" i="2"/>
  <c r="Z146" i="2" s="1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3" i="2" s="1"/>
  <c r="Z98" i="2"/>
  <c r="Z100" i="2" s="1"/>
  <c r="Z109" i="2"/>
  <c r="BN144" i="2"/>
  <c r="BN155" i="2"/>
  <c r="Z166" i="2"/>
  <c r="Z210" i="2"/>
  <c r="Z213" i="2" s="1"/>
  <c r="Z231" i="2"/>
  <c r="Z241" i="2"/>
  <c r="Z251" i="2"/>
  <c r="Y265" i="2"/>
  <c r="Z274" i="2"/>
  <c r="BN294" i="2"/>
  <c r="Z305" i="2"/>
  <c r="Z328" i="2"/>
  <c r="Z334" i="2" s="1"/>
  <c r="Z339" i="2"/>
  <c r="Z341" i="2" s="1"/>
  <c r="Z394" i="2"/>
  <c r="Z396" i="2" s="1"/>
  <c r="BN406" i="2"/>
  <c r="Y409" i="2"/>
  <c r="Z440" i="2"/>
  <c r="BN452" i="2"/>
  <c r="Z463" i="2"/>
  <c r="Z464" i="2" s="1"/>
  <c r="BN500" i="2"/>
  <c r="BN512" i="2"/>
  <c r="BP548" i="2"/>
  <c r="Y560" i="2"/>
  <c r="AB571" i="2"/>
  <c r="BN57" i="2"/>
  <c r="Y94" i="2"/>
  <c r="Y237" i="2"/>
  <c r="BN251" i="2"/>
  <c r="Z311" i="2" l="1"/>
  <c r="Z280" i="2"/>
  <c r="Z254" i="2"/>
  <c r="Z168" i="2"/>
  <c r="Z554" i="2"/>
  <c r="Z447" i="2"/>
  <c r="Z72" i="2"/>
  <c r="Z453" i="2"/>
  <c r="Z383" i="2"/>
  <c r="X564" i="2"/>
  <c r="Z501" i="2"/>
  <c r="Y563" i="2"/>
  <c r="Z42" i="2"/>
  <c r="Z441" i="2"/>
  <c r="Z350" i="2"/>
  <c r="Z32" i="2"/>
  <c r="Z236" i="2"/>
  <c r="Z248" i="2"/>
  <c r="Z51" i="2"/>
  <c r="Y565" i="2"/>
  <c r="Z126" i="2"/>
  <c r="Z295" i="2"/>
  <c r="Y562" i="2"/>
  <c r="Y561" i="2"/>
  <c r="Z113" i="2"/>
  <c r="Z156" i="2"/>
  <c r="Z187" i="2"/>
  <c r="Z409" i="2"/>
  <c r="Z64" i="2"/>
  <c r="Z515" i="2"/>
  <c r="Y564" i="2" l="1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<sst xmlns="http://schemas.openxmlformats.org/spreadsheetml/2006/main" count="4313" uniqueCount="897">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</sst>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36" sqref="AA4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66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67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896</v>
      </c>
      <c r="I5" s="661"/>
      <c r="J5" s="661"/>
      <c r="K5" s="661"/>
      <c r="L5" s="661"/>
      <c r="M5" s="661"/>
      <c r="N5" s="72"/>
      <c r="P5" s="27" t="s">
        <v>4</v>
      </c>
      <c r="Q5" s="663">
        <v>46304</v>
      </c>
      <c r="R5" s="663"/>
      <c r="T5" s="664" t="s">
        <v>3</v>
      </c>
      <c r="U5" s="665"/>
      <c r="V5" s="666" t="s">
        <v>876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877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Пятница</v>
      </c>
      <c r="R6" s="669"/>
      <c r="T6" s="670" t="s">
        <v>5</v>
      </c>
      <c r="U6" s="671"/>
      <c r="V6" s="672" t="s">
        <v>69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57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0.54166666666666663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70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895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71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72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73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74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60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58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65</v>
      </c>
      <c r="L17" s="702" t="s">
        <v>63</v>
      </c>
      <c r="M17" s="702" t="s">
        <v>2</v>
      </c>
      <c r="N17" s="702" t="s">
        <v>62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55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59</v>
      </c>
      <c r="AB17" s="716" t="s">
        <v>19</v>
      </c>
      <c r="AC17" s="716" t="s">
        <v>64</v>
      </c>
      <c r="AD17" s="718" t="s">
        <v>56</v>
      </c>
      <c r="AE17" s="719"/>
      <c r="AF17" s="720"/>
      <c r="AG17" s="82"/>
      <c r="BD17" s="81" t="s">
        <v>61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75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75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76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85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103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85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119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120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121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136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121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158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85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177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185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121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66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186</v>
      </c>
      <c r="B88" s="63" t="s">
        <v>189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126</v>
      </c>
      <c r="L88" s="37" t="s">
        <v>46</v>
      </c>
      <c r="M88" s="38" t="s">
        <v>125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188</v>
      </c>
      <c r="AG88" s="78"/>
      <c r="AJ88" s="84" t="s">
        <v>46</v>
      </c>
      <c r="AK88" s="84">
        <v>0</v>
      </c>
      <c r="BB88" s="159" t="s">
        <v>66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190</v>
      </c>
      <c r="B89" s="63" t="s">
        <v>191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130</v>
      </c>
      <c r="L89" s="37" t="s">
        <v>46</v>
      </c>
      <c r="M89" s="38" t="s">
        <v>80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192</v>
      </c>
      <c r="AG89" s="78"/>
      <c r="AJ89" s="84" t="s">
        <v>46</v>
      </c>
      <c r="AK89" s="84">
        <v>0</v>
      </c>
      <c r="BB89" s="161" t="s">
        <v>66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194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89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193</v>
      </c>
      <c r="B91" s="63" t="s">
        <v>195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133</v>
      </c>
      <c r="L92" s="37" t="s">
        <v>46</v>
      </c>
      <c r="M92" s="38" t="s">
        <v>125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188</v>
      </c>
      <c r="AG92" s="78"/>
      <c r="AJ92" s="84" t="s">
        <v>46</v>
      </c>
      <c r="AK92" s="84">
        <v>0</v>
      </c>
      <c r="BB92" s="167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hidden="1" customHeight="1" x14ac:dyDescent="0.25">
      <c r="A95" s="726" t="s">
        <v>85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hidden="1" customHeight="1" x14ac:dyDescent="0.25">
      <c r="A96" s="63" t="s">
        <v>198</v>
      </c>
      <c r="B96" s="63" t="s">
        <v>199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126</v>
      </c>
      <c r="L96" s="37" t="s">
        <v>46</v>
      </c>
      <c r="M96" s="38" t="s">
        <v>96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200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201</v>
      </c>
      <c r="B97" s="63" t="s">
        <v>202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203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204</v>
      </c>
      <c r="B98" s="63" t="s">
        <v>205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200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206</v>
      </c>
      <c r="B99" s="63" t="s">
        <v>207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208</v>
      </c>
      <c r="AG99" s="78"/>
      <c r="AJ99" s="84" t="s">
        <v>46</v>
      </c>
      <c r="AK99" s="84">
        <v>0</v>
      </c>
      <c r="BB99" s="175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725" t="s">
        <v>209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121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hidden="1" customHeight="1" x14ac:dyDescent="0.25">
      <c r="A104" s="63" t="s">
        <v>210</v>
      </c>
      <c r="B104" s="63" t="s">
        <v>211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210</v>
      </c>
      <c r="B105" s="63" t="s">
        <v>213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126</v>
      </c>
      <c r="L105" s="37" t="s">
        <v>46</v>
      </c>
      <c r="M105" s="38" t="s">
        <v>125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216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218</v>
      </c>
      <c r="B108" s="63" t="s">
        <v>220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223</v>
      </c>
      <c r="B110" s="63" t="s">
        <v>224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223</v>
      </c>
      <c r="B111" s="63" t="s">
        <v>225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125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125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228</v>
      </c>
      <c r="AG112" s="78"/>
      <c r="AJ112" s="84" t="s">
        <v>46</v>
      </c>
      <c r="AK112" s="84">
        <v>0</v>
      </c>
      <c r="BB112" s="193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26" t="s">
        <v>158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hidden="1" customHeight="1" x14ac:dyDescent="0.25">
      <c r="A116" s="63" t="s">
        <v>229</v>
      </c>
      <c r="B116" s="63" t="s">
        <v>230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126</v>
      </c>
      <c r="L116" s="37" t="s">
        <v>46</v>
      </c>
      <c r="M116" s="38" t="s">
        <v>125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233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234</v>
      </c>
      <c r="B118" s="63" t="s">
        <v>235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6" t="s">
        <v>85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hidden="1" customHeight="1" x14ac:dyDescent="0.25">
      <c r="A122" s="63" t="s">
        <v>236</v>
      </c>
      <c r="B122" s="63" t="s">
        <v>237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89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239</v>
      </c>
      <c r="B123" s="63" t="s">
        <v>240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241</v>
      </c>
      <c r="B124" s="63" t="s">
        <v>242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238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243</v>
      </c>
      <c r="B125" s="63" t="s">
        <v>244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245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726" t="s">
        <v>177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hidden="1" customHeight="1" x14ac:dyDescent="0.25">
      <c r="A129" s="63" t="s">
        <v>246</v>
      </c>
      <c r="B129" s="63" t="s">
        <v>247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248</v>
      </c>
      <c r="AG129" s="78"/>
      <c r="AJ129" s="84" t="s">
        <v>46</v>
      </c>
      <c r="AK129" s="84">
        <v>0</v>
      </c>
      <c r="BB129" s="209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5" t="s">
        <v>249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121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hidden="1" customHeight="1" x14ac:dyDescent="0.25">
      <c r="A134" s="63" t="s">
        <v>250</v>
      </c>
      <c r="B134" s="63" t="s">
        <v>251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253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250</v>
      </c>
      <c r="B135" s="63" t="s">
        <v>254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253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252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26" t="s">
        <v>76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hidden="1" customHeight="1" x14ac:dyDescent="0.25">
      <c r="A139" s="63" t="s">
        <v>255</v>
      </c>
      <c r="B139" s="63" t="s">
        <v>256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253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255</v>
      </c>
      <c r="B140" s="63" t="s">
        <v>258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253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257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726" t="s">
        <v>85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hidden="1" customHeight="1" x14ac:dyDescent="0.25">
      <c r="A144" s="63" t="s">
        <v>259</v>
      </c>
      <c r="B144" s="63" t="s">
        <v>260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253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259</v>
      </c>
      <c r="B145" s="63" t="s">
        <v>261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253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252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5" t="s">
        <v>262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85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hidden="1" customHeight="1" x14ac:dyDescent="0.25">
      <c r="A150" s="63" t="s">
        <v>263</v>
      </c>
      <c r="B150" s="63" t="s">
        <v>264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265</v>
      </c>
      <c r="AG150" s="78"/>
      <c r="AJ150" s="84" t="s">
        <v>46</v>
      </c>
      <c r="AK150" s="84">
        <v>0</v>
      </c>
      <c r="BB150" s="223" t="s">
        <v>66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266</v>
      </c>
      <c r="B151" s="63" t="s">
        <v>267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66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266</v>
      </c>
      <c r="B152" s="63" t="s">
        <v>269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268</v>
      </c>
      <c r="AG152" s="78"/>
      <c r="AJ152" s="84" t="s">
        <v>46</v>
      </c>
      <c r="AK152" s="84">
        <v>0</v>
      </c>
      <c r="BB152" s="227" t="s">
        <v>66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270</v>
      </c>
      <c r="B153" s="63" t="s">
        <v>271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273</v>
      </c>
      <c r="B154" s="63" t="s">
        <v>274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273</v>
      </c>
      <c r="B155" s="63" t="s">
        <v>276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275</v>
      </c>
      <c r="AG155" s="78"/>
      <c r="AJ155" s="84" t="s">
        <v>46</v>
      </c>
      <c r="AK155" s="84">
        <v>0</v>
      </c>
      <c r="BB155" s="233" t="s">
        <v>66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6" t="s">
        <v>277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278</v>
      </c>
      <c r="B159" s="63" t="s">
        <v>279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283</v>
      </c>
      <c r="L159" s="37" t="s">
        <v>46</v>
      </c>
      <c r="M159" s="38" t="s">
        <v>282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280</v>
      </c>
      <c r="AG159" s="78"/>
      <c r="AJ159" s="84" t="s">
        <v>46</v>
      </c>
      <c r="AK159" s="84">
        <v>0</v>
      </c>
      <c r="BB159" s="235" t="s">
        <v>281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119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121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284</v>
      </c>
      <c r="B164" s="63" t="s">
        <v>285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286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288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287</v>
      </c>
      <c r="B166" s="63" t="s">
        <v>290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289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291</v>
      </c>
      <c r="B167" s="63" t="s">
        <v>292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90</v>
      </c>
      <c r="L167" s="37" t="s">
        <v>46</v>
      </c>
      <c r="M167" s="38" t="s">
        <v>89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158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hidden="1" customHeight="1" x14ac:dyDescent="0.25">
      <c r="A171" s="63" t="s">
        <v>294</v>
      </c>
      <c r="B171" s="63" t="s">
        <v>295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296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297</v>
      </c>
      <c r="B172" s="63" t="s">
        <v>298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125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299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6" t="s">
        <v>76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hidden="1" customHeight="1" x14ac:dyDescent="0.25">
      <c r="A176" s="63" t="s">
        <v>300</v>
      </c>
      <c r="B176" s="63" t="s">
        <v>301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302</v>
      </c>
      <c r="AG176" s="78"/>
      <c r="AJ176" s="84" t="s">
        <v>46</v>
      </c>
      <c r="AK176" s="84">
        <v>0</v>
      </c>
      <c r="BB176" s="249" t="s">
        <v>66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303</v>
      </c>
      <c r="B177" s="63" t="s">
        <v>304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305</v>
      </c>
      <c r="AG177" s="78"/>
      <c r="AJ177" s="84" t="s">
        <v>46</v>
      </c>
      <c r="AK177" s="84">
        <v>0</v>
      </c>
      <c r="BB177" s="251" t="s">
        <v>66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306</v>
      </c>
      <c r="B178" s="63" t="s">
        <v>307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308</v>
      </c>
      <c r="AG178" s="78"/>
      <c r="AJ178" s="84" t="s">
        <v>46</v>
      </c>
      <c r="AK178" s="84">
        <v>0</v>
      </c>
      <c r="BB178" s="253" t="s">
        <v>66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309</v>
      </c>
      <c r="B179" s="63" t="s">
        <v>310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311</v>
      </c>
      <c r="AG179" s="78"/>
      <c r="AJ179" s="84" t="s">
        <v>46</v>
      </c>
      <c r="AK179" s="84">
        <v>0</v>
      </c>
      <c r="BB179" s="255" t="s">
        <v>66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312</v>
      </c>
      <c r="B180" s="63" t="s">
        <v>313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130</v>
      </c>
      <c r="L180" s="37" t="s">
        <v>46</v>
      </c>
      <c r="M180" s="38" t="s">
        <v>80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66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312</v>
      </c>
      <c r="B181" s="63" t="s">
        <v>315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314</v>
      </c>
      <c r="AG181" s="78"/>
      <c r="AJ181" s="84" t="s">
        <v>46</v>
      </c>
      <c r="AK181" s="84">
        <v>0</v>
      </c>
      <c r="BB181" s="259" t="s">
        <v>66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302</v>
      </c>
      <c r="AG182" s="78"/>
      <c r="AJ182" s="84" t="s">
        <v>46</v>
      </c>
      <c r="AK182" s="84">
        <v>0</v>
      </c>
      <c r="BB182" s="261" t="s">
        <v>66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308</v>
      </c>
      <c r="AG184" s="78"/>
      <c r="AJ184" s="84" t="s">
        <v>46</v>
      </c>
      <c r="AK184" s="84">
        <v>0</v>
      </c>
      <c r="BB184" s="265" t="s">
        <v>66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323</v>
      </c>
      <c r="B185" s="63" t="s">
        <v>324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325</v>
      </c>
      <c r="AG185" s="78"/>
      <c r="AJ185" s="84" t="s">
        <v>46</v>
      </c>
      <c r="AK185" s="84">
        <v>0</v>
      </c>
      <c r="BB185" s="267" t="s">
        <v>66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311</v>
      </c>
      <c r="AG186" s="78"/>
      <c r="AJ186" s="84" t="s">
        <v>46</v>
      </c>
      <c r="AK186" s="84">
        <v>0</v>
      </c>
      <c r="BB186" s="269" t="s">
        <v>66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6" t="s">
        <v>85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328</v>
      </c>
      <c r="B190" s="63" t="s">
        <v>329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330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331</v>
      </c>
      <c r="B191" s="63" t="s">
        <v>332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333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334</v>
      </c>
      <c r="B192" s="63" t="s">
        <v>335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90</v>
      </c>
      <c r="L192" s="37" t="s">
        <v>46</v>
      </c>
      <c r="M192" s="38" t="s">
        <v>89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336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277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337</v>
      </c>
      <c r="B196" s="63" t="s">
        <v>338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340</v>
      </c>
      <c r="L196" s="37" t="s">
        <v>46</v>
      </c>
      <c r="M196" s="38" t="s">
        <v>282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339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341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342</v>
      </c>
      <c r="B200" s="63" t="s">
        <v>343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340</v>
      </c>
      <c r="L200" s="37" t="s">
        <v>46</v>
      </c>
      <c r="M200" s="38" t="s">
        <v>282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344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345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346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121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347</v>
      </c>
      <c r="B206" s="63" t="s">
        <v>348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349</v>
      </c>
      <c r="B207" s="63" t="s">
        <v>350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351</v>
      </c>
      <c r="AG207" s="78"/>
      <c r="AJ207" s="84" t="s">
        <v>46</v>
      </c>
      <c r="AK207" s="84">
        <v>0</v>
      </c>
      <c r="BB207" s="283" t="s">
        <v>66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352</v>
      </c>
      <c r="B208" s="63" t="s">
        <v>353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354</v>
      </c>
      <c r="AG208" s="78"/>
      <c r="AJ208" s="84" t="s">
        <v>46</v>
      </c>
      <c r="AK208" s="84">
        <v>0</v>
      </c>
      <c r="BB208" s="285" t="s">
        <v>66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355</v>
      </c>
      <c r="B209" s="63" t="s">
        <v>356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357</v>
      </c>
      <c r="AG209" s="78"/>
      <c r="AJ209" s="84" t="s">
        <v>46</v>
      </c>
      <c r="AK209" s="84">
        <v>0</v>
      </c>
      <c r="BB209" s="287" t="s">
        <v>66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358</v>
      </c>
      <c r="B210" s="63" t="s">
        <v>359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360</v>
      </c>
      <c r="AG210" s="78"/>
      <c r="AJ210" s="84" t="s">
        <v>46</v>
      </c>
      <c r="AK210" s="84">
        <v>0</v>
      </c>
      <c r="BB210" s="289" t="s">
        <v>66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361</v>
      </c>
      <c r="B211" s="63" t="s">
        <v>362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363</v>
      </c>
      <c r="AG211" s="78"/>
      <c r="AJ211" s="84" t="s">
        <v>46</v>
      </c>
      <c r="AK211" s="84">
        <v>0</v>
      </c>
      <c r="BB211" s="291" t="s">
        <v>66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66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367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158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368</v>
      </c>
      <c r="B217" s="63" t="s">
        <v>369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370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76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hidden="1" customHeight="1" x14ac:dyDescent="0.25">
      <c r="A221" s="63" t="s">
        <v>371</v>
      </c>
      <c r="B221" s="63" t="s">
        <v>372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373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374</v>
      </c>
      <c r="B222" s="63" t="s">
        <v>375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376</v>
      </c>
      <c r="AG222" s="78"/>
      <c r="AJ222" s="84" t="s">
        <v>46</v>
      </c>
      <c r="AK222" s="84">
        <v>0</v>
      </c>
      <c r="BB222" s="299" t="s">
        <v>66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377</v>
      </c>
      <c r="B223" s="63" t="s">
        <v>378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66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380</v>
      </c>
      <c r="B224" s="63" t="s">
        <v>381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382</v>
      </c>
      <c r="AG224" s="78"/>
      <c r="AJ224" s="84" t="s">
        <v>46</v>
      </c>
      <c r="AK224" s="84">
        <v>0</v>
      </c>
      <c r="BB224" s="303" t="s">
        <v>66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383</v>
      </c>
      <c r="B225" s="63" t="s">
        <v>384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66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385</v>
      </c>
      <c r="B226" s="63" t="s">
        <v>386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376</v>
      </c>
      <c r="AG227" s="78"/>
      <c r="AJ227" s="84" t="s">
        <v>46</v>
      </c>
      <c r="AK227" s="84">
        <v>0</v>
      </c>
      <c r="BB227" s="309" t="s">
        <v>66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390</v>
      </c>
      <c r="B228" s="63" t="s">
        <v>391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392</v>
      </c>
      <c r="AG228" s="78"/>
      <c r="AJ228" s="84" t="s">
        <v>46</v>
      </c>
      <c r="AK228" s="84">
        <v>0</v>
      </c>
      <c r="BB228" s="311" t="s">
        <v>66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393</v>
      </c>
      <c r="B229" s="63" t="s">
        <v>394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395</v>
      </c>
      <c r="AG229" s="78"/>
      <c r="AJ229" s="84" t="s">
        <v>46</v>
      </c>
      <c r="AK229" s="84">
        <v>0</v>
      </c>
      <c r="BB229" s="313" t="s">
        <v>66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396</v>
      </c>
      <c r="B230" s="63" t="s">
        <v>397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66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402</v>
      </c>
      <c r="B232" s="63" t="s">
        <v>403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66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66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404</v>
      </c>
      <c r="B234" s="63" t="s">
        <v>406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379</v>
      </c>
      <c r="AG234" s="78"/>
      <c r="AJ234" s="84" t="s">
        <v>46</v>
      </c>
      <c r="AK234" s="84">
        <v>0</v>
      </c>
      <c r="BB234" s="323" t="s">
        <v>66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407</v>
      </c>
      <c r="B235" s="63" t="s">
        <v>408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409</v>
      </c>
      <c r="AG235" s="78"/>
      <c r="AJ235" s="84" t="s">
        <v>46</v>
      </c>
      <c r="AK235" s="84">
        <v>0</v>
      </c>
      <c r="BB235" s="325" t="s">
        <v>66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726" t="s">
        <v>85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410</v>
      </c>
      <c r="B239" s="63" t="s">
        <v>411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412</v>
      </c>
      <c r="AG239" s="78"/>
      <c r="AJ239" s="84" t="s">
        <v>46</v>
      </c>
      <c r="AK239" s="84">
        <v>0</v>
      </c>
      <c r="BB239" s="327" t="s">
        <v>66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410</v>
      </c>
      <c r="B240" s="63" t="s">
        <v>413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414</v>
      </c>
      <c r="AG240" s="78"/>
      <c r="AJ240" s="84" t="s">
        <v>46</v>
      </c>
      <c r="AK240" s="84">
        <v>0</v>
      </c>
      <c r="BB240" s="329" t="s">
        <v>66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415</v>
      </c>
      <c r="B241" s="63" t="s">
        <v>416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417</v>
      </c>
      <c r="AG241" s="78"/>
      <c r="AJ241" s="84" t="s">
        <v>46</v>
      </c>
      <c r="AK241" s="84">
        <v>0</v>
      </c>
      <c r="BB241" s="331" t="s">
        <v>66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415</v>
      </c>
      <c r="B242" s="63" t="s">
        <v>418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419</v>
      </c>
      <c r="AG242" s="78"/>
      <c r="AJ242" s="84" t="s">
        <v>46</v>
      </c>
      <c r="AK242" s="84">
        <v>0</v>
      </c>
      <c r="BB242" s="333" t="s">
        <v>66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420</v>
      </c>
      <c r="B243" s="63" t="s">
        <v>421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133</v>
      </c>
      <c r="L243" s="37" t="s">
        <v>46</v>
      </c>
      <c r="M243" s="38" t="s">
        <v>96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422</v>
      </c>
      <c r="AG243" s="78"/>
      <c r="AJ243" s="84" t="s">
        <v>46</v>
      </c>
      <c r="AK243" s="84">
        <v>0</v>
      </c>
      <c r="BB243" s="335" t="s">
        <v>66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420</v>
      </c>
      <c r="B244" s="63" t="s">
        <v>423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414</v>
      </c>
      <c r="AG244" s="78"/>
      <c r="AJ244" s="84" t="s">
        <v>46</v>
      </c>
      <c r="AK244" s="84">
        <v>0</v>
      </c>
      <c r="BB244" s="337" t="s">
        <v>66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426</v>
      </c>
      <c r="AG245" s="78"/>
      <c r="AJ245" s="84" t="s">
        <v>46</v>
      </c>
      <c r="AK245" s="84">
        <v>0</v>
      </c>
      <c r="BB245" s="339" t="s">
        <v>66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417</v>
      </c>
      <c r="AG246" s="78"/>
      <c r="AJ246" s="84" t="s">
        <v>46</v>
      </c>
      <c r="AK246" s="84">
        <v>0</v>
      </c>
      <c r="BB246" s="341" t="s">
        <v>66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427</v>
      </c>
      <c r="B247" s="63" t="s">
        <v>429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419</v>
      </c>
      <c r="AG247" s="78"/>
      <c r="AJ247" s="84" t="s">
        <v>46</v>
      </c>
      <c r="AK247" s="84">
        <v>0</v>
      </c>
      <c r="BB247" s="343" t="s">
        <v>66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277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hidden="1" customHeight="1" x14ac:dyDescent="0.25">
      <c r="A251" s="63" t="s">
        <v>430</v>
      </c>
      <c r="B251" s="63" t="s">
        <v>431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432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433</v>
      </c>
      <c r="B252" s="63" t="s">
        <v>434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436</v>
      </c>
      <c r="B253" s="63" t="s">
        <v>437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340</v>
      </c>
      <c r="L253" s="37" t="s">
        <v>46</v>
      </c>
      <c r="M253" s="38" t="s">
        <v>282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435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6" t="s">
        <v>438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hidden="1" customHeight="1" x14ac:dyDescent="0.25">
      <c r="A257" s="63" t="s">
        <v>439</v>
      </c>
      <c r="B257" s="63" t="s">
        <v>440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340</v>
      </c>
      <c r="L257" s="37" t="s">
        <v>46</v>
      </c>
      <c r="M257" s="38" t="s">
        <v>282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435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5" t="s">
        <v>441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121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442</v>
      </c>
      <c r="B262" s="63" t="s">
        <v>443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445</v>
      </c>
      <c r="B263" s="63" t="s">
        <v>446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444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158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447</v>
      </c>
      <c r="B267" s="63" t="s">
        <v>448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450</v>
      </c>
      <c r="B268" s="63" t="s">
        <v>451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449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76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hidden="1" customHeight="1" x14ac:dyDescent="0.25">
      <c r="A272" s="63" t="s">
        <v>452</v>
      </c>
      <c r="B272" s="63" t="s">
        <v>453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454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455</v>
      </c>
      <c r="B273" s="63" t="s">
        <v>456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457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458</v>
      </c>
      <c r="B274" s="63" t="s">
        <v>459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460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461</v>
      </c>
      <c r="B275" s="63" t="s">
        <v>462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463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464</v>
      </c>
      <c r="B276" s="63" t="s">
        <v>465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454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457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468</v>
      </c>
      <c r="B278" s="63" t="s">
        <v>469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460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470</v>
      </c>
      <c r="B279" s="63" t="s">
        <v>471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463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6" t="s">
        <v>85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hidden="1" customHeight="1" x14ac:dyDescent="0.25">
      <c r="A283" s="63" t="s">
        <v>472</v>
      </c>
      <c r="B283" s="63" t="s">
        <v>473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474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478</v>
      </c>
      <c r="B285" s="63" t="s">
        <v>479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480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481</v>
      </c>
      <c r="B286" s="63" t="s">
        <v>482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474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483</v>
      </c>
      <c r="B287" s="63" t="s">
        <v>484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485</v>
      </c>
      <c r="B288" s="63" t="s">
        <v>486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487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488</v>
      </c>
      <c r="B289" s="63" t="s">
        <v>489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480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490</v>
      </c>
      <c r="B290" s="63" t="s">
        <v>491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487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492</v>
      </c>
      <c r="B291" s="63" t="s">
        <v>493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480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494</v>
      </c>
      <c r="B292" s="63" t="s">
        <v>495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496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497</v>
      </c>
      <c r="B293" s="63" t="s">
        <v>498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499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502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6" t="s">
        <v>177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hidden="1" customHeight="1" x14ac:dyDescent="0.25">
      <c r="A298" s="63" t="s">
        <v>503</v>
      </c>
      <c r="B298" s="63" t="s">
        <v>504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505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508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5" t="s">
        <v>509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121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510</v>
      </c>
      <c r="B304" s="63" t="s">
        <v>511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512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513</v>
      </c>
      <c r="B305" s="63" t="s">
        <v>514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515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516</v>
      </c>
      <c r="B306" s="63" t="s">
        <v>517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363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518</v>
      </c>
      <c r="B307" s="63" t="s">
        <v>519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512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520</v>
      </c>
      <c r="B308" s="63" t="s">
        <v>521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522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523</v>
      </c>
      <c r="B309" s="63" t="s">
        <v>524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525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526</v>
      </c>
      <c r="B310" s="63" t="s">
        <v>527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363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6" t="s">
        <v>158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528</v>
      </c>
      <c r="B314" s="63" t="s">
        <v>529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530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531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340</v>
      </c>
      <c r="L318" s="37" t="s">
        <v>46</v>
      </c>
      <c r="M318" s="38" t="s">
        <v>282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534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6" t="s">
        <v>341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hidden="1" customHeight="1" x14ac:dyDescent="0.25">
      <c r="A322" s="63" t="s">
        <v>535</v>
      </c>
      <c r="B322" s="63" t="s">
        <v>536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340</v>
      </c>
      <c r="L322" s="37" t="s">
        <v>46</v>
      </c>
      <c r="M322" s="38" t="s">
        <v>282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537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340</v>
      </c>
      <c r="L323" s="37" t="s">
        <v>46</v>
      </c>
      <c r="M323" s="38" t="s">
        <v>282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538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537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541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121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542</v>
      </c>
      <c r="B328" s="63" t="s">
        <v>543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545</v>
      </c>
      <c r="AC328" s="426" t="s">
        <v>544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546</v>
      </c>
      <c r="B329" s="63" t="s">
        <v>547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548</v>
      </c>
      <c r="AG329" s="78"/>
      <c r="AJ329" s="84" t="s">
        <v>46</v>
      </c>
      <c r="AK329" s="84">
        <v>0</v>
      </c>
      <c r="BB329" s="429" t="s">
        <v>66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549</v>
      </c>
      <c r="B330" s="63" t="s">
        <v>550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551</v>
      </c>
      <c r="AG330" s="78"/>
      <c r="AJ330" s="84" t="s">
        <v>46</v>
      </c>
      <c r="AK330" s="84">
        <v>0</v>
      </c>
      <c r="BB330" s="431" t="s">
        <v>66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552</v>
      </c>
      <c r="B331" s="63" t="s">
        <v>553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554</v>
      </c>
      <c r="AG331" s="78"/>
      <c r="AJ331" s="84" t="s">
        <v>46</v>
      </c>
      <c r="AK331" s="84">
        <v>0</v>
      </c>
      <c r="BB331" s="433" t="s">
        <v>66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557</v>
      </c>
      <c r="AG332" s="78"/>
      <c r="AJ332" s="84" t="s">
        <v>46</v>
      </c>
      <c r="AK332" s="84">
        <v>0</v>
      </c>
      <c r="BB332" s="435" t="s">
        <v>66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558</v>
      </c>
      <c r="B333" s="63" t="s">
        <v>559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560</v>
      </c>
      <c r="AG333" s="78"/>
      <c r="AJ333" s="84" t="s">
        <v>46</v>
      </c>
      <c r="AK333" s="84">
        <v>0</v>
      </c>
      <c r="BB333" s="437" t="s">
        <v>66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561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85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562</v>
      </c>
      <c r="B338" s="63" t="s">
        <v>563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564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565</v>
      </c>
      <c r="B339" s="63" t="s">
        <v>566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567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568</v>
      </c>
      <c r="B340" s="63" t="s">
        <v>569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564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570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76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571</v>
      </c>
      <c r="B345" s="63" t="s">
        <v>572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395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573</v>
      </c>
      <c r="B346" s="63" t="s">
        <v>574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575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578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581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582</v>
      </c>
      <c r="B349" s="63" t="s">
        <v>583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584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85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585</v>
      </c>
      <c r="B353" s="63" t="s">
        <v>586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587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588</v>
      </c>
      <c r="B354" s="63" t="s">
        <v>589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590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591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121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592</v>
      </c>
      <c r="B359" s="63" t="s">
        <v>593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354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594</v>
      </c>
      <c r="B360" s="63" t="s">
        <v>595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596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599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600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121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601</v>
      </c>
      <c r="B366" s="63" t="s">
        <v>602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545</v>
      </c>
      <c r="AC366" s="464" t="s">
        <v>522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603</v>
      </c>
      <c r="B367" s="63" t="s">
        <v>604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605</v>
      </c>
      <c r="AG367" s="78"/>
      <c r="AJ367" s="84" t="s">
        <v>46</v>
      </c>
      <c r="AK367" s="84">
        <v>0</v>
      </c>
      <c r="BB367" s="467" t="s">
        <v>66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606</v>
      </c>
      <c r="B368" s="63" t="s">
        <v>607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608</v>
      </c>
      <c r="AG368" s="78"/>
      <c r="AJ368" s="84" t="s">
        <v>46</v>
      </c>
      <c r="AK368" s="84">
        <v>0</v>
      </c>
      <c r="BB368" s="469" t="s">
        <v>66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609</v>
      </c>
      <c r="B369" s="63" t="s">
        <v>610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611</v>
      </c>
      <c r="AG369" s="78"/>
      <c r="AJ369" s="84" t="s">
        <v>46</v>
      </c>
      <c r="AK369" s="84">
        <v>0</v>
      </c>
      <c r="BB369" s="471" t="s">
        <v>66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612</v>
      </c>
      <c r="B370" s="63" t="s">
        <v>613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614</v>
      </c>
      <c r="AG370" s="78"/>
      <c r="AJ370" s="84" t="s">
        <v>46</v>
      </c>
      <c r="AK370" s="84">
        <v>0</v>
      </c>
      <c r="BB370" s="473" t="s">
        <v>66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608</v>
      </c>
      <c r="AG371" s="78"/>
      <c r="AJ371" s="84" t="s">
        <v>46</v>
      </c>
      <c r="AK371" s="84">
        <v>0</v>
      </c>
      <c r="BB371" s="475" t="s">
        <v>66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617</v>
      </c>
      <c r="B372" s="63" t="s">
        <v>618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619</v>
      </c>
      <c r="AG372" s="78"/>
      <c r="AJ372" s="84" t="s">
        <v>46</v>
      </c>
      <c r="AK372" s="84">
        <v>0</v>
      </c>
      <c r="BB372" s="477" t="s">
        <v>66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76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620</v>
      </c>
      <c r="B376" s="63" t="s">
        <v>621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622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66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66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66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631</v>
      </c>
      <c r="B380" s="63" t="s">
        <v>632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633</v>
      </c>
      <c r="AG380" s="78"/>
      <c r="AJ380" s="84" t="s">
        <v>46</v>
      </c>
      <c r="AK380" s="84">
        <v>0</v>
      </c>
      <c r="BB380" s="487" t="s">
        <v>66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628</v>
      </c>
      <c r="AG381" s="78"/>
      <c r="AJ381" s="84" t="s">
        <v>46</v>
      </c>
      <c r="AK381" s="84">
        <v>0</v>
      </c>
      <c r="BB381" s="489" t="s">
        <v>66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636</v>
      </c>
      <c r="B382" s="63" t="s">
        <v>637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66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85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639</v>
      </c>
      <c r="B386" s="63" t="s">
        <v>640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641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644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647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641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177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650</v>
      </c>
      <c r="B393" s="63" t="s">
        <v>651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652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655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658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277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253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253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253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661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666</v>
      </c>
      <c r="B402" s="63" t="s">
        <v>667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253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661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668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669</v>
      </c>
      <c r="B406" s="63" t="s">
        <v>670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672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672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671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675</v>
      </c>
      <c r="B408" s="63" t="s">
        <v>676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672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671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677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678</v>
      </c>
      <c r="B412" s="63" t="s">
        <v>679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672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672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672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680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686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85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687</v>
      </c>
      <c r="B419" s="63" t="s">
        <v>688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689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690</v>
      </c>
      <c r="B420" s="63" t="s">
        <v>691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692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693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85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694</v>
      </c>
      <c r="B425" s="63" t="s">
        <v>695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696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697</v>
      </c>
      <c r="B426" s="63" t="s">
        <v>698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699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700</v>
      </c>
      <c r="B427" s="63" t="s">
        <v>701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702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703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704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121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705</v>
      </c>
      <c r="B433" s="63" t="s">
        <v>706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707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hidden="1" customHeight="1" x14ac:dyDescent="0.25">
      <c r="A434" s="63" t="s">
        <v>708</v>
      </c>
      <c r="B434" s="63" t="s">
        <v>709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710</v>
      </c>
      <c r="AG434" s="78"/>
      <c r="AJ434" s="84" t="s">
        <v>46</v>
      </c>
      <c r="AK434" s="84">
        <v>0</v>
      </c>
      <c r="BB434" s="539" t="s">
        <v>66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711</v>
      </c>
      <c r="B435" s="63" t="s">
        <v>712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713</v>
      </c>
      <c r="AG435" s="78"/>
      <c r="AJ435" s="84" t="s">
        <v>46</v>
      </c>
      <c r="AK435" s="84">
        <v>0</v>
      </c>
      <c r="BB435" s="541" t="s">
        <v>66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customHeight="1" x14ac:dyDescent="0.25">
      <c r="A436" s="63" t="s">
        <v>714</v>
      </c>
      <c r="B436" s="63" t="s">
        <v>715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300</v>
      </c>
      <c r="Y436" s="55">
        <f t="shared" si="73"/>
        <v>300</v>
      </c>
      <c r="Z436" s="41">
        <f>IFERROR(IF(Y436=0,"",ROUNDUP(Y436/H436,0)*0.02175),"")</f>
        <v>0.43499999999999994</v>
      </c>
      <c r="AA436" s="68" t="s">
        <v>46</v>
      </c>
      <c r="AB436" s="69" t="s">
        <v>46</v>
      </c>
      <c r="AC436" s="542" t="s">
        <v>716</v>
      </c>
      <c r="AG436" s="78"/>
      <c r="AJ436" s="84" t="s">
        <v>46</v>
      </c>
      <c r="AK436" s="84">
        <v>0</v>
      </c>
      <c r="BB436" s="543" t="s">
        <v>66</v>
      </c>
      <c r="BM436" s="78">
        <f t="shared" si="74"/>
        <v>309.39999999999998</v>
      </c>
      <c r="BN436" s="78">
        <f t="shared" si="75"/>
        <v>309.39999999999998</v>
      </c>
      <c r="BO436" s="78">
        <f t="shared" si="76"/>
        <v>0.41666666666666663</v>
      </c>
      <c r="BP436" s="78">
        <f t="shared" si="77"/>
        <v>0.41666666666666663</v>
      </c>
    </row>
    <row r="437" spans="1:68" ht="27" customHeight="1" x14ac:dyDescent="0.25">
      <c r="A437" s="63" t="s">
        <v>717</v>
      </c>
      <c r="B437" s="63" t="s">
        <v>718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300</v>
      </c>
      <c r="Y437" s="55">
        <f t="shared" si="73"/>
        <v>300</v>
      </c>
      <c r="Z437" s="41">
        <f>IFERROR(IF(Y437=0,"",ROUNDUP(Y437/H437,0)*0.02175),"")</f>
        <v>0.43499999999999994</v>
      </c>
      <c r="AA437" s="68" t="s">
        <v>46</v>
      </c>
      <c r="AB437" s="69" t="s">
        <v>46</v>
      </c>
      <c r="AC437" s="544" t="s">
        <v>719</v>
      </c>
      <c r="AG437" s="78"/>
      <c r="AJ437" s="84" t="s">
        <v>46</v>
      </c>
      <c r="AK437" s="84">
        <v>0</v>
      </c>
      <c r="BB437" s="545" t="s">
        <v>66</v>
      </c>
      <c r="BM437" s="78">
        <f t="shared" si="74"/>
        <v>309.39999999999998</v>
      </c>
      <c r="BN437" s="78">
        <f t="shared" si="75"/>
        <v>309.39999999999998</v>
      </c>
      <c r="BO437" s="78">
        <f t="shared" si="76"/>
        <v>0.41666666666666663</v>
      </c>
      <c r="BP437" s="78">
        <f t="shared" si="77"/>
        <v>0.41666666666666663</v>
      </c>
    </row>
    <row r="438" spans="1:68" ht="27" hidden="1" customHeight="1" x14ac:dyDescent="0.25">
      <c r="A438" s="63" t="s">
        <v>720</v>
      </c>
      <c r="B438" s="63" t="s">
        <v>721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722</v>
      </c>
      <c r="AG438" s="78"/>
      <c r="AJ438" s="84" t="s">
        <v>46</v>
      </c>
      <c r="AK438" s="84">
        <v>0</v>
      </c>
      <c r="BB438" s="547" t="s">
        <v>66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723</v>
      </c>
      <c r="B439" s="63" t="s">
        <v>724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725</v>
      </c>
      <c r="AG439" s="78"/>
      <c r="AJ439" s="84" t="s">
        <v>46</v>
      </c>
      <c r="AK439" s="84">
        <v>0</v>
      </c>
      <c r="BB439" s="549" t="s">
        <v>66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726</v>
      </c>
      <c r="B440" s="63" t="s">
        <v>727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728</v>
      </c>
      <c r="AG440" s="78"/>
      <c r="AJ440" s="84" t="s">
        <v>46</v>
      </c>
      <c r="AK440" s="84">
        <v>0</v>
      </c>
      <c r="BB440" s="551" t="s">
        <v>66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40</v>
      </c>
      <c r="Y441" s="43">
        <f>IFERROR(Y433/H433,"0")+IFERROR(Y434/H434,"0")+IFERROR(Y435/H435,"0")+IFERROR(Y436/H436,"0")+IFERROR(Y437/H437,"0")+IFERROR(Y438/H438,"0")+IFERROR(Y439/H439,"0")+IFERROR(Y440/H440,"0")</f>
        <v>40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0.86999999999999988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600</v>
      </c>
      <c r="Y442" s="43">
        <f>IFERROR(SUM(Y433:Y440),"0")</f>
        <v>600</v>
      </c>
      <c r="Z442" s="42"/>
      <c r="AA442" s="67"/>
      <c r="AB442" s="67"/>
      <c r="AC442" s="67"/>
    </row>
    <row r="443" spans="1:68" ht="14.25" hidden="1" customHeight="1" x14ac:dyDescent="0.25">
      <c r="A443" s="726" t="s">
        <v>158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hidden="1" customHeight="1" x14ac:dyDescent="0.25">
      <c r="A444" s="63" t="s">
        <v>729</v>
      </c>
      <c r="B444" s="63" t="s">
        <v>730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731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732</v>
      </c>
      <c r="B445" s="63" t="s">
        <v>733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734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735</v>
      </c>
      <c r="B446" s="63" t="s">
        <v>736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737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26" t="s">
        <v>85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738</v>
      </c>
      <c r="B450" s="63" t="s">
        <v>739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740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741</v>
      </c>
      <c r="B451" s="63" t="s">
        <v>742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743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744</v>
      </c>
      <c r="B452" s="63" t="s">
        <v>745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746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177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747</v>
      </c>
      <c r="B456" s="63" t="s">
        <v>748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749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750</v>
      </c>
      <c r="B457" s="63" t="s">
        <v>751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752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753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121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756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757</v>
      </c>
      <c r="B463" s="63" t="s">
        <v>758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756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76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759</v>
      </c>
      <c r="B467" s="63" t="s">
        <v>760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761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85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762</v>
      </c>
      <c r="B471" s="63" t="s">
        <v>763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764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765</v>
      </c>
      <c r="B472" s="63" t="s">
        <v>766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764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765</v>
      </c>
      <c r="B473" s="63" t="s">
        <v>767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768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769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770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76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771</v>
      </c>
      <c r="B479" s="63" t="s">
        <v>772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774</v>
      </c>
      <c r="B480" s="63" t="s">
        <v>775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66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773</v>
      </c>
      <c r="AG481" s="78"/>
      <c r="AJ481" s="84" t="s">
        <v>46</v>
      </c>
      <c r="AK481" s="84">
        <v>0</v>
      </c>
      <c r="BB481" s="585" t="s">
        <v>66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779</v>
      </c>
      <c r="B482" s="63" t="s">
        <v>780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66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782</v>
      </c>
      <c r="B483" s="63" t="s">
        <v>783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66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785</v>
      </c>
      <c r="B484" s="63" t="s">
        <v>786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781</v>
      </c>
      <c r="AG484" s="78"/>
      <c r="AJ484" s="84" t="s">
        <v>46</v>
      </c>
      <c r="AK484" s="84">
        <v>0</v>
      </c>
      <c r="BB484" s="591" t="s">
        <v>66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85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787</v>
      </c>
      <c r="B488" s="63" t="s">
        <v>788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789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792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793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158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796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76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797</v>
      </c>
      <c r="B498" s="63" t="s">
        <v>798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800</v>
      </c>
      <c r="B499" s="63" t="s">
        <v>801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802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802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805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805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121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806</v>
      </c>
      <c r="B506" s="63" t="s">
        <v>807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808</v>
      </c>
      <c r="B507" s="63" t="s">
        <v>809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810</v>
      </c>
      <c r="AG507" s="78"/>
      <c r="AJ507" s="84" t="s">
        <v>46</v>
      </c>
      <c r="AK507" s="84">
        <v>0</v>
      </c>
      <c r="BB507" s="607" t="s">
        <v>66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811</v>
      </c>
      <c r="B508" s="63" t="s">
        <v>812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813</v>
      </c>
      <c r="AG508" s="78"/>
      <c r="AJ508" s="84" t="s">
        <v>46</v>
      </c>
      <c r="AK508" s="84">
        <v>0</v>
      </c>
      <c r="BB508" s="609" t="s">
        <v>66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814</v>
      </c>
      <c r="B509" s="63" t="s">
        <v>815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816</v>
      </c>
      <c r="AG509" s="78"/>
      <c r="AJ509" s="84" t="s">
        <v>46</v>
      </c>
      <c r="AK509" s="84">
        <v>0</v>
      </c>
      <c r="BB509" s="611" t="s">
        <v>66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817</v>
      </c>
      <c r="B510" s="63" t="s">
        <v>818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819</v>
      </c>
      <c r="AG510" s="78"/>
      <c r="AJ510" s="84" t="s">
        <v>46</v>
      </c>
      <c r="AK510" s="84">
        <v>0</v>
      </c>
      <c r="BB510" s="613" t="s">
        <v>66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 t="shared" si="84"/>
        <v/>
      </c>
      <c r="AA511" s="68" t="s">
        <v>46</v>
      </c>
      <c r="AB511" s="69" t="s">
        <v>46</v>
      </c>
      <c r="AC511" s="614" t="s">
        <v>822</v>
      </c>
      <c r="AG511" s="78"/>
      <c r="AJ511" s="84" t="s">
        <v>46</v>
      </c>
      <c r="AK511" s="84">
        <v>0</v>
      </c>
      <c r="BB511" s="615" t="s">
        <v>66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827</v>
      </c>
      <c r="B514" s="63" t="s">
        <v>828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822</v>
      </c>
      <c r="AG514" s="78"/>
      <c r="AJ514" s="84" t="s">
        <v>46</v>
      </c>
      <c r="AK514" s="84">
        <v>0</v>
      </c>
      <c r="BB514" s="621" t="s">
        <v>66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158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829</v>
      </c>
      <c r="B518" s="63" t="s">
        <v>830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831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834</v>
      </c>
      <c r="B520" s="63" t="s">
        <v>835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831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76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836</v>
      </c>
      <c r="B524" s="63" t="s">
        <v>837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838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hidden="1" customHeight="1" x14ac:dyDescent="0.25">
      <c r="A525" s="63" t="s">
        <v>839</v>
      </c>
      <c r="B525" s="63" t="s">
        <v>840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841</v>
      </c>
      <c r="AG525" s="78"/>
      <c r="AJ525" s="84" t="s">
        <v>46</v>
      </c>
      <c r="AK525" s="84">
        <v>0</v>
      </c>
      <c r="BB525" s="631" t="s">
        <v>66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844</v>
      </c>
      <c r="AG526" s="78"/>
      <c r="AJ526" s="84" t="s">
        <v>46</v>
      </c>
      <c r="AK526" s="84">
        <v>0</v>
      </c>
      <c r="BB526" s="633" t="s">
        <v>66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66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66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847</v>
      </c>
      <c r="B529" s="63" t="s">
        <v>849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841</v>
      </c>
      <c r="AG529" s="78"/>
      <c r="AJ529" s="84" t="s">
        <v>46</v>
      </c>
      <c r="AK529" s="84">
        <v>0</v>
      </c>
      <c r="BB529" s="639" t="s">
        <v>66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850</v>
      </c>
      <c r="B530" s="63" t="s">
        <v>851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844</v>
      </c>
      <c r="AG530" s="78"/>
      <c r="AJ530" s="84" t="s">
        <v>46</v>
      </c>
      <c r="AK530" s="84">
        <v>0</v>
      </c>
      <c r="BB530" s="641" t="s">
        <v>66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852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852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121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855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158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856</v>
      </c>
      <c r="B540" s="63" t="s">
        <v>857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731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76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860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85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861</v>
      </c>
      <c r="B548" s="63" t="s">
        <v>862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863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177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864</v>
      </c>
      <c r="B552" s="63" t="s">
        <v>865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866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867</v>
      </c>
      <c r="B553" s="63" t="s">
        <v>868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869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870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158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871</v>
      </c>
      <c r="B558" s="63" t="s">
        <v>872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873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600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600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618.79999999999995</v>
      </c>
      <c r="Y562" s="43">
        <f>IFERROR(SUM(BN22:BN558),"0")</f>
        <v>618.79999999999995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643.79999999999995</v>
      </c>
      <c r="Y564" s="43">
        <f>GrossWeightTotalR+PalletQtyTotalR*25</f>
        <v>643.79999999999995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40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40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0.86999999999999988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1019" t="s">
        <v>119</v>
      </c>
      <c r="E568" s="1019" t="s">
        <v>119</v>
      </c>
      <c r="F568" s="1019" t="s">
        <v>119</v>
      </c>
      <c r="G568" s="1019" t="s">
        <v>119</v>
      </c>
      <c r="H568" s="1019" t="s">
        <v>119</v>
      </c>
      <c r="I568" s="1019" t="s">
        <v>119</v>
      </c>
      <c r="J568" s="1019" t="s">
        <v>119</v>
      </c>
      <c r="K568" s="1019" t="s">
        <v>345</v>
      </c>
      <c r="L568" s="1019" t="s">
        <v>345</v>
      </c>
      <c r="M568" s="1019" t="s">
        <v>345</v>
      </c>
      <c r="N568" s="1025"/>
      <c r="O568" s="1019" t="s">
        <v>345</v>
      </c>
      <c r="P568" s="1019" t="s">
        <v>345</v>
      </c>
      <c r="Q568" s="1019" t="s">
        <v>345</v>
      </c>
      <c r="R568" s="1019" t="s">
        <v>345</v>
      </c>
      <c r="S568" s="1019" t="s">
        <v>345</v>
      </c>
      <c r="T568" s="1019" t="s">
        <v>345</v>
      </c>
      <c r="U568" s="1019" t="s">
        <v>345</v>
      </c>
      <c r="V568" s="1019" t="s">
        <v>345</v>
      </c>
      <c r="W568" s="1019" t="s">
        <v>703</v>
      </c>
      <c r="X568" s="1019" t="s">
        <v>703</v>
      </c>
      <c r="Y568" s="1019" t="s">
        <v>769</v>
      </c>
      <c r="Z568" s="1019" t="s">
        <v>769</v>
      </c>
      <c r="AA568" s="85" t="s">
        <v>805</v>
      </c>
      <c r="AB568" s="1019" t="s">
        <v>852</v>
      </c>
      <c r="AC568" s="1019" t="s">
        <v>852</v>
      </c>
      <c r="AF568" s="1"/>
    </row>
    <row r="569" spans="1:32" ht="14.25" customHeight="1" thickTop="1" x14ac:dyDescent="0.2">
      <c r="A569" s="1026" t="s">
        <v>10</v>
      </c>
      <c r="B569" s="1019" t="s">
        <v>75</v>
      </c>
      <c r="C569" s="1019" t="s">
        <v>103</v>
      </c>
      <c r="D569" s="1019" t="s">
        <v>120</v>
      </c>
      <c r="E569" s="1019" t="s">
        <v>136</v>
      </c>
      <c r="F569" s="1019" t="s">
        <v>185</v>
      </c>
      <c r="G569" s="1019" t="s">
        <v>209</v>
      </c>
      <c r="H569" s="1019" t="s">
        <v>249</v>
      </c>
      <c r="I569" s="1019" t="s">
        <v>262</v>
      </c>
      <c r="J569" s="1019" t="s">
        <v>119</v>
      </c>
      <c r="K569" s="1019" t="s">
        <v>346</v>
      </c>
      <c r="L569" s="1019" t="s">
        <v>367</v>
      </c>
      <c r="M569" s="1019" t="s">
        <v>441</v>
      </c>
      <c r="N569" s="1"/>
      <c r="O569" s="1019" t="s">
        <v>509</v>
      </c>
      <c r="P569" s="1019" t="s">
        <v>541</v>
      </c>
      <c r="Q569" s="1019" t="s">
        <v>561</v>
      </c>
      <c r="R569" s="1019" t="s">
        <v>570</v>
      </c>
      <c r="S569" s="1019" t="s">
        <v>591</v>
      </c>
      <c r="T569" s="1019" t="s">
        <v>600</v>
      </c>
      <c r="U569" s="1019" t="s">
        <v>686</v>
      </c>
      <c r="V569" s="1019" t="s">
        <v>693</v>
      </c>
      <c r="W569" s="1019" t="s">
        <v>704</v>
      </c>
      <c r="X569" s="1019" t="s">
        <v>753</v>
      </c>
      <c r="Y569" s="1019" t="s">
        <v>770</v>
      </c>
      <c r="Z569" s="1019" t="s">
        <v>793</v>
      </c>
      <c r="AA569" s="1019" t="s">
        <v>805</v>
      </c>
      <c r="AB569" s="1019" t="s">
        <v>852</v>
      </c>
      <c r="AC569" s="1019" t="s">
        <v>870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0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600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00,00"/>
        <filter val="4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