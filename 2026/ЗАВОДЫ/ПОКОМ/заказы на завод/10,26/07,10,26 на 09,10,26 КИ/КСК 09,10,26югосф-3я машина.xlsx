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73A742F-394A-493E-852F-7163564CFDE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P536" i="2"/>
  <c r="X532" i="2"/>
  <c r="X531" i="2"/>
  <c r="BO530" i="2"/>
  <c r="BM530" i="2"/>
  <c r="Y530" i="2"/>
  <c r="Z530" i="2" s="1"/>
  <c r="P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Z520" i="2" s="1"/>
  <c r="P520" i="2"/>
  <c r="BO519" i="2"/>
  <c r="BM519" i="2"/>
  <c r="Y519" i="2"/>
  <c r="Z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P507" i="2"/>
  <c r="BO506" i="2"/>
  <c r="BM506" i="2"/>
  <c r="Y506" i="2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Y491" i="2" s="1"/>
  <c r="P488" i="2"/>
  <c r="X486" i="2"/>
  <c r="X485" i="2"/>
  <c r="BO484" i="2"/>
  <c r="BM484" i="2"/>
  <c r="Y484" i="2"/>
  <c r="Z484" i="2" s="1"/>
  <c r="P484" i="2"/>
  <c r="BO483" i="2"/>
  <c r="BM483" i="2"/>
  <c r="Y483" i="2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Z480" i="2" s="1"/>
  <c r="P480" i="2"/>
  <c r="BO479" i="2"/>
  <c r="BM479" i="2"/>
  <c r="Y479" i="2"/>
  <c r="P479" i="2"/>
  <c r="X475" i="2"/>
  <c r="X474" i="2"/>
  <c r="BO473" i="2"/>
  <c r="BM473" i="2"/>
  <c r="Y473" i="2"/>
  <c r="Z473" i="2" s="1"/>
  <c r="P473" i="2"/>
  <c r="BO472" i="2"/>
  <c r="BM472" i="2"/>
  <c r="Y472" i="2"/>
  <c r="Z472" i="2" s="1"/>
  <c r="P472" i="2"/>
  <c r="BO471" i="2"/>
  <c r="BM471" i="2"/>
  <c r="Y471" i="2"/>
  <c r="P471" i="2"/>
  <c r="X469" i="2"/>
  <c r="X468" i="2"/>
  <c r="BO467" i="2"/>
  <c r="BM467" i="2"/>
  <c r="Y467" i="2"/>
  <c r="Y468" i="2" s="1"/>
  <c r="P467" i="2"/>
  <c r="X465" i="2"/>
  <c r="X464" i="2"/>
  <c r="BO463" i="2"/>
  <c r="BM463" i="2"/>
  <c r="Y463" i="2"/>
  <c r="BN463" i="2" s="1"/>
  <c r="P463" i="2"/>
  <c r="BO462" i="2"/>
  <c r="BM462" i="2"/>
  <c r="Y462" i="2"/>
  <c r="BP462" i="2" s="1"/>
  <c r="P462" i="2"/>
  <c r="X459" i="2"/>
  <c r="X458" i="2"/>
  <c r="BO457" i="2"/>
  <c r="BM457" i="2"/>
  <c r="Y457" i="2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Z450" i="2" s="1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Y448" i="2" s="1"/>
  <c r="P444" i="2"/>
  <c r="X442" i="2"/>
  <c r="X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M427" i="2"/>
  <c r="Y427" i="2"/>
  <c r="P427" i="2"/>
  <c r="BO426" i="2"/>
  <c r="BM426" i="2"/>
  <c r="Y426" i="2"/>
  <c r="P426" i="2"/>
  <c r="BO425" i="2"/>
  <c r="BM425" i="2"/>
  <c r="Y425" i="2"/>
  <c r="BP425" i="2" s="1"/>
  <c r="P425" i="2"/>
  <c r="X422" i="2"/>
  <c r="X421" i="2"/>
  <c r="BO420" i="2"/>
  <c r="BM420" i="2"/>
  <c r="Y420" i="2"/>
  <c r="Z420" i="2" s="1"/>
  <c r="P420" i="2"/>
  <c r="BO419" i="2"/>
  <c r="BM419" i="2"/>
  <c r="Y419" i="2"/>
  <c r="P419" i="2"/>
  <c r="X416" i="2"/>
  <c r="X415" i="2"/>
  <c r="BO414" i="2"/>
  <c r="BM414" i="2"/>
  <c r="Y414" i="2"/>
  <c r="Z414" i="2" s="1"/>
  <c r="P414" i="2"/>
  <c r="BO413" i="2"/>
  <c r="BM413" i="2"/>
  <c r="Y413" i="2"/>
  <c r="Z413" i="2" s="1"/>
  <c r="P413" i="2"/>
  <c r="BO412" i="2"/>
  <c r="BM412" i="2"/>
  <c r="Y412" i="2"/>
  <c r="P412" i="2"/>
  <c r="X410" i="2"/>
  <c r="X409" i="2"/>
  <c r="BO408" i="2"/>
  <c r="BM408" i="2"/>
  <c r="Y408" i="2"/>
  <c r="BP408" i="2" s="1"/>
  <c r="P408" i="2"/>
  <c r="BO407" i="2"/>
  <c r="BM407" i="2"/>
  <c r="Y407" i="2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BP393" i="2" s="1"/>
  <c r="P393" i="2"/>
  <c r="X391" i="2"/>
  <c r="X390" i="2"/>
  <c r="BO389" i="2"/>
  <c r="BM389" i="2"/>
  <c r="Y389" i="2"/>
  <c r="P389" i="2"/>
  <c r="BO388" i="2"/>
  <c r="BM388" i="2"/>
  <c r="Y388" i="2"/>
  <c r="Z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Z382" i="2" s="1"/>
  <c r="P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Z378" i="2" s="1"/>
  <c r="P378" i="2"/>
  <c r="BO377" i="2"/>
  <c r="BM377" i="2"/>
  <c r="Y377" i="2"/>
  <c r="Z377" i="2" s="1"/>
  <c r="P377" i="2"/>
  <c r="BO376" i="2"/>
  <c r="BM376" i="2"/>
  <c r="Y376" i="2"/>
  <c r="P376" i="2"/>
  <c r="X374" i="2"/>
  <c r="X373" i="2"/>
  <c r="BO372" i="2"/>
  <c r="BM372" i="2"/>
  <c r="Y372" i="2"/>
  <c r="Z372" i="2" s="1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Z368" i="2" s="1"/>
  <c r="P368" i="2"/>
  <c r="BO367" i="2"/>
  <c r="BM367" i="2"/>
  <c r="Y367" i="2"/>
  <c r="Z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P359" i="2"/>
  <c r="X356" i="2"/>
  <c r="X355" i="2"/>
  <c r="BO354" i="2"/>
  <c r="BM354" i="2"/>
  <c r="Y354" i="2"/>
  <c r="P354" i="2"/>
  <c r="BO353" i="2"/>
  <c r="BM353" i="2"/>
  <c r="Y353" i="2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P347" i="2"/>
  <c r="BO346" i="2"/>
  <c r="BM346" i="2"/>
  <c r="Y346" i="2"/>
  <c r="BP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Z338" i="2" s="1"/>
  <c r="P338" i="2"/>
  <c r="X335" i="2"/>
  <c r="X334" i="2"/>
  <c r="BO333" i="2"/>
  <c r="BM333" i="2"/>
  <c r="Y333" i="2"/>
  <c r="P333" i="2"/>
  <c r="BO332" i="2"/>
  <c r="BM332" i="2"/>
  <c r="Y332" i="2"/>
  <c r="Z332" i="2" s="1"/>
  <c r="P332" i="2"/>
  <c r="BO331" i="2"/>
  <c r="BM331" i="2"/>
  <c r="Y331" i="2"/>
  <c r="Z331" i="2" s="1"/>
  <c r="P331" i="2"/>
  <c r="BO330" i="2"/>
  <c r="BM330" i="2"/>
  <c r="Y330" i="2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Y320" i="2" s="1"/>
  <c r="P318" i="2"/>
  <c r="X316" i="2"/>
  <c r="X315" i="2"/>
  <c r="BO314" i="2"/>
  <c r="BM314" i="2"/>
  <c r="Y314" i="2"/>
  <c r="P314" i="2"/>
  <c r="X312" i="2"/>
  <c r="X311" i="2"/>
  <c r="BO310" i="2"/>
  <c r="BM310" i="2"/>
  <c r="Y310" i="2"/>
  <c r="BP310" i="2" s="1"/>
  <c r="P310" i="2"/>
  <c r="BO309" i="2"/>
  <c r="BM309" i="2"/>
  <c r="Y309" i="2"/>
  <c r="Z309" i="2" s="1"/>
  <c r="P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BN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BP299" i="2" s="1"/>
  <c r="P299" i="2"/>
  <c r="BO298" i="2"/>
  <c r="BM298" i="2"/>
  <c r="Y298" i="2"/>
  <c r="Z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N273" i="2" s="1"/>
  <c r="P273" i="2"/>
  <c r="BO272" i="2"/>
  <c r="BM272" i="2"/>
  <c r="Y272" i="2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P253" i="2"/>
  <c r="BO252" i="2"/>
  <c r="BM252" i="2"/>
  <c r="Y252" i="2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N240" i="2" s="1"/>
  <c r="P240" i="2"/>
  <c r="BO239" i="2"/>
  <c r="BM239" i="2"/>
  <c r="Y239" i="2"/>
  <c r="P239" i="2"/>
  <c r="X237" i="2"/>
  <c r="X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Z221" i="2" s="1"/>
  <c r="P221" i="2"/>
  <c r="X219" i="2"/>
  <c r="X218" i="2"/>
  <c r="BO217" i="2"/>
  <c r="BM217" i="2"/>
  <c r="Y217" i="2"/>
  <c r="Y218" i="2" s="1"/>
  <c r="P217" i="2"/>
  <c r="X214" i="2"/>
  <c r="X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Y192" i="2"/>
  <c r="BP192" i="2" s="1"/>
  <c r="P192" i="2"/>
  <c r="BO191" i="2"/>
  <c r="BM191" i="2"/>
  <c r="Y191" i="2"/>
  <c r="BN191" i="2" s="1"/>
  <c r="P191" i="2"/>
  <c r="BO190" i="2"/>
  <c r="BM190" i="2"/>
  <c r="Y190" i="2"/>
  <c r="Y194" i="2" s="1"/>
  <c r="P190" i="2"/>
  <c r="X188" i="2"/>
  <c r="X187" i="2"/>
  <c r="BO186" i="2"/>
  <c r="BM186" i="2"/>
  <c r="Y186" i="2"/>
  <c r="Z186" i="2" s="1"/>
  <c r="P186" i="2"/>
  <c r="BO185" i="2"/>
  <c r="BM185" i="2"/>
  <c r="Y185" i="2"/>
  <c r="BN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X174" i="2"/>
  <c r="X173" i="2"/>
  <c r="BO172" i="2"/>
  <c r="BM172" i="2"/>
  <c r="Y172" i="2"/>
  <c r="BP172" i="2" s="1"/>
  <c r="P172" i="2"/>
  <c r="BO171" i="2"/>
  <c r="BM171" i="2"/>
  <c r="Y171" i="2"/>
  <c r="Y173" i="2" s="1"/>
  <c r="P171" i="2"/>
  <c r="X169" i="2"/>
  <c r="X168" i="2"/>
  <c r="BO167" i="2"/>
  <c r="BM167" i="2"/>
  <c r="Y167" i="2"/>
  <c r="P167" i="2"/>
  <c r="BO166" i="2"/>
  <c r="BM166" i="2"/>
  <c r="Y166" i="2"/>
  <c r="BN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Z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X147" i="2"/>
  <c r="X146" i="2"/>
  <c r="BO145" i="2"/>
  <c r="BM145" i="2"/>
  <c r="Y145" i="2"/>
  <c r="BP145" i="2" s="1"/>
  <c r="P145" i="2"/>
  <c r="BO144" i="2"/>
  <c r="BM144" i="2"/>
  <c r="Y144" i="2"/>
  <c r="BP144" i="2" s="1"/>
  <c r="P144" i="2"/>
  <c r="X142" i="2"/>
  <c r="X141" i="2"/>
  <c r="BO140" i="2"/>
  <c r="BM140" i="2"/>
  <c r="Y140" i="2"/>
  <c r="P140" i="2"/>
  <c r="BO139" i="2"/>
  <c r="BM139" i="2"/>
  <c r="Y139" i="2"/>
  <c r="Y142" i="2" s="1"/>
  <c r="P139" i="2"/>
  <c r="X137" i="2"/>
  <c r="X136" i="2"/>
  <c r="BO135" i="2"/>
  <c r="BM135" i="2"/>
  <c r="Y135" i="2"/>
  <c r="Z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Z124" i="2" s="1"/>
  <c r="P124" i="2"/>
  <c r="BO123" i="2"/>
  <c r="BM123" i="2"/>
  <c r="Y123" i="2"/>
  <c r="P123" i="2"/>
  <c r="BO122" i="2"/>
  <c r="BM122" i="2"/>
  <c r="Y122" i="2"/>
  <c r="P122" i="2"/>
  <c r="X120" i="2"/>
  <c r="X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P110" i="2" s="1"/>
  <c r="P110" i="2"/>
  <c r="BO109" i="2"/>
  <c r="BM109" i="2"/>
  <c r="Y109" i="2"/>
  <c r="BN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BP99" i="2" s="1"/>
  <c r="P99" i="2"/>
  <c r="BO98" i="2"/>
  <c r="BM98" i="2"/>
  <c r="Y98" i="2"/>
  <c r="BN98" i="2" s="1"/>
  <c r="P98" i="2"/>
  <c r="BO97" i="2"/>
  <c r="BM97" i="2"/>
  <c r="Y97" i="2"/>
  <c r="P97" i="2"/>
  <c r="BO96" i="2"/>
  <c r="BM96" i="2"/>
  <c r="Y96" i="2"/>
  <c r="BP96" i="2" s="1"/>
  <c r="P96" i="2"/>
  <c r="X94" i="2"/>
  <c r="X93" i="2"/>
  <c r="BO92" i="2"/>
  <c r="BM92" i="2"/>
  <c r="Y92" i="2"/>
  <c r="Z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Z81" i="2" s="1"/>
  <c r="P81" i="2"/>
  <c r="BO80" i="2"/>
  <c r="BM80" i="2"/>
  <c r="Y80" i="2"/>
  <c r="Z80" i="2" s="1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P69" i="2" s="1"/>
  <c r="P69" i="2"/>
  <c r="BO68" i="2"/>
  <c r="BM68" i="2"/>
  <c r="Y68" i="2"/>
  <c r="BP68" i="2" s="1"/>
  <c r="P68" i="2"/>
  <c r="BO67" i="2"/>
  <c r="BM67" i="2"/>
  <c r="Y67" i="2"/>
  <c r="Z67" i="2" s="1"/>
  <c r="P67" i="2"/>
  <c r="X65" i="2"/>
  <c r="X64" i="2"/>
  <c r="BO63" i="2"/>
  <c r="BM63" i="2"/>
  <c r="Y63" i="2"/>
  <c r="BP63" i="2" s="1"/>
  <c r="P63" i="2"/>
  <c r="BO62" i="2"/>
  <c r="BM62" i="2"/>
  <c r="Y62" i="2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D571" i="2" l="1"/>
  <c r="Z211" i="2"/>
  <c r="BN211" i="2"/>
  <c r="Z257" i="2"/>
  <c r="Z258" i="2" s="1"/>
  <c r="Z96" i="2"/>
  <c r="BN96" i="2"/>
  <c r="Y100" i="2"/>
  <c r="Z425" i="2"/>
  <c r="BN425" i="2"/>
  <c r="Z40" i="2"/>
  <c r="BN40" i="2"/>
  <c r="Z145" i="2"/>
  <c r="BN145" i="2"/>
  <c r="Y146" i="2"/>
  <c r="Z150" i="2"/>
  <c r="Z318" i="2"/>
  <c r="Z319" i="2" s="1"/>
  <c r="BN318" i="2"/>
  <c r="BP318" i="2"/>
  <c r="Y319" i="2"/>
  <c r="Z366" i="2"/>
  <c r="BN366" i="2"/>
  <c r="Z489" i="2"/>
  <c r="BN489" i="2"/>
  <c r="Y490" i="2"/>
  <c r="Z68" i="2"/>
  <c r="BN68" i="2"/>
  <c r="Z117" i="2"/>
  <c r="BN117" i="2"/>
  <c r="Z184" i="2"/>
  <c r="BN184" i="2"/>
  <c r="Z233" i="2"/>
  <c r="BN233" i="2"/>
  <c r="Z283" i="2"/>
  <c r="Z438" i="2"/>
  <c r="BN438" i="2"/>
  <c r="Z540" i="2"/>
  <c r="Z541" i="2" s="1"/>
  <c r="Z28" i="2"/>
  <c r="BN28" i="2"/>
  <c r="Z58" i="2"/>
  <c r="BN58" i="2"/>
  <c r="Z82" i="2"/>
  <c r="BN82" i="2"/>
  <c r="Z107" i="2"/>
  <c r="BN107" i="2"/>
  <c r="Z134" i="2"/>
  <c r="Z136" i="2" s="1"/>
  <c r="BN134" i="2"/>
  <c r="Z181" i="2"/>
  <c r="Z207" i="2"/>
  <c r="BN207" i="2"/>
  <c r="Z227" i="2"/>
  <c r="Z243" i="2"/>
  <c r="BN243" i="2"/>
  <c r="Z273" i="2"/>
  <c r="Z289" i="2"/>
  <c r="BN289" i="2"/>
  <c r="Z307" i="2"/>
  <c r="BN307" i="2"/>
  <c r="Z386" i="2"/>
  <c r="BN386" i="2"/>
  <c r="Z402" i="2"/>
  <c r="BN402" i="2"/>
  <c r="Z435" i="2"/>
  <c r="Z524" i="2"/>
  <c r="BN524" i="2"/>
  <c r="Z49" i="2"/>
  <c r="BP49" i="2"/>
  <c r="Y77" i="2"/>
  <c r="BP89" i="2"/>
  <c r="BN89" i="2"/>
  <c r="Z89" i="2"/>
  <c r="BP111" i="2"/>
  <c r="BN111" i="2"/>
  <c r="Z111" i="2"/>
  <c r="BP140" i="2"/>
  <c r="BN140" i="2"/>
  <c r="Z140" i="2"/>
  <c r="BP182" i="2"/>
  <c r="Z182" i="2"/>
  <c r="BN209" i="2"/>
  <c r="Z209" i="2"/>
  <c r="BP229" i="2"/>
  <c r="BN229" i="2"/>
  <c r="Z229" i="2"/>
  <c r="BP246" i="2"/>
  <c r="BN246" i="2"/>
  <c r="Z246" i="2"/>
  <c r="BP253" i="2"/>
  <c r="BN253" i="2"/>
  <c r="Z253" i="2"/>
  <c r="BP275" i="2"/>
  <c r="BN275" i="2"/>
  <c r="Z275" i="2"/>
  <c r="BN314" i="2"/>
  <c r="Z314" i="2"/>
  <c r="Z315" i="2" s="1"/>
  <c r="BP340" i="2"/>
  <c r="BN340" i="2"/>
  <c r="Z340" i="2"/>
  <c r="BP353" i="2"/>
  <c r="BN353" i="2"/>
  <c r="Z353" i="2"/>
  <c r="BP412" i="2"/>
  <c r="Y416" i="2"/>
  <c r="BP436" i="2"/>
  <c r="Z436" i="2"/>
  <c r="BP479" i="2"/>
  <c r="BN479" i="2"/>
  <c r="Z479" i="2"/>
  <c r="Y537" i="2"/>
  <c r="BP536" i="2"/>
  <c r="BN536" i="2"/>
  <c r="Z536" i="2"/>
  <c r="Z537" i="2" s="1"/>
  <c r="Z22" i="2"/>
  <c r="Z24" i="2" s="1"/>
  <c r="BN22" i="2"/>
  <c r="Y33" i="2"/>
  <c r="BP62" i="2"/>
  <c r="BN62" i="2"/>
  <c r="Z62" i="2"/>
  <c r="BP122" i="2"/>
  <c r="BN122" i="2"/>
  <c r="Z122" i="2"/>
  <c r="BP167" i="2"/>
  <c r="BN167" i="2"/>
  <c r="Z167" i="2"/>
  <c r="Y202" i="2"/>
  <c r="Y201" i="2"/>
  <c r="BP200" i="2"/>
  <c r="BN200" i="2"/>
  <c r="Z200" i="2"/>
  <c r="Z201" i="2" s="1"/>
  <c r="BN226" i="2"/>
  <c r="Z226" i="2"/>
  <c r="BP239" i="2"/>
  <c r="BN239" i="2"/>
  <c r="Z239" i="2"/>
  <c r="BP285" i="2"/>
  <c r="BN285" i="2"/>
  <c r="Z285" i="2"/>
  <c r="BP330" i="2"/>
  <c r="BN330" i="2"/>
  <c r="Z330" i="2"/>
  <c r="BP348" i="2"/>
  <c r="BN348" i="2"/>
  <c r="Z348" i="2"/>
  <c r="BP376" i="2"/>
  <c r="BN376" i="2"/>
  <c r="Z376" i="2"/>
  <c r="BP400" i="2"/>
  <c r="Z400" i="2"/>
  <c r="BN427" i="2"/>
  <c r="Z427" i="2"/>
  <c r="AA571" i="2"/>
  <c r="BP513" i="2"/>
  <c r="BN513" i="2"/>
  <c r="Z513" i="2"/>
  <c r="E571" i="2"/>
  <c r="Y120" i="2"/>
  <c r="Y127" i="2"/>
  <c r="J571" i="2"/>
  <c r="Y259" i="2"/>
  <c r="Y341" i="2"/>
  <c r="Y355" i="2"/>
  <c r="Y374" i="2"/>
  <c r="Y542" i="2"/>
  <c r="B571" i="2"/>
  <c r="X562" i="2"/>
  <c r="X563" i="2"/>
  <c r="X565" i="2"/>
  <c r="X561" i="2"/>
  <c r="Z27" i="2"/>
  <c r="BN27" i="2"/>
  <c r="BP27" i="2"/>
  <c r="Z29" i="2"/>
  <c r="Z31" i="2"/>
  <c r="BN31" i="2"/>
  <c r="C571" i="2"/>
  <c r="Z39" i="2"/>
  <c r="BN39" i="2"/>
  <c r="Z41" i="2"/>
  <c r="Z47" i="2"/>
  <c r="BN47" i="2"/>
  <c r="BP47" i="2"/>
  <c r="Y52" i="2"/>
  <c r="BP60" i="2"/>
  <c r="Z63" i="2"/>
  <c r="BN63" i="2"/>
  <c r="BP70" i="2"/>
  <c r="Y78" i="2"/>
  <c r="BN76" i="2"/>
  <c r="BN80" i="2"/>
  <c r="BP80" i="2"/>
  <c r="BN81" i="2"/>
  <c r="BP81" i="2"/>
  <c r="Y83" i="2"/>
  <c r="Y84" i="2"/>
  <c r="F571" i="2"/>
  <c r="BP87" i="2"/>
  <c r="Z90" i="2"/>
  <c r="BN90" i="2"/>
  <c r="BN91" i="2"/>
  <c r="BP91" i="2"/>
  <c r="BN92" i="2"/>
  <c r="BP92" i="2"/>
  <c r="Z97" i="2"/>
  <c r="Z99" i="2"/>
  <c r="BN99" i="2"/>
  <c r="G571" i="2"/>
  <c r="Z106" i="2"/>
  <c r="BN106" i="2"/>
  <c r="Z108" i="2"/>
  <c r="Z110" i="2"/>
  <c r="BN110" i="2"/>
  <c r="Z116" i="2"/>
  <c r="BN116" i="2"/>
  <c r="BP116" i="2"/>
  <c r="Z118" i="2"/>
  <c r="BP124" i="2"/>
  <c r="Y130" i="2"/>
  <c r="Y131" i="2"/>
  <c r="H571" i="2"/>
  <c r="Z139" i="2"/>
  <c r="BN139" i="2"/>
  <c r="BP139" i="2"/>
  <c r="I571" i="2"/>
  <c r="BN152" i="2"/>
  <c r="BP152" i="2"/>
  <c r="BN154" i="2"/>
  <c r="Z164" i="2"/>
  <c r="BN164" i="2"/>
  <c r="BP164" i="2"/>
  <c r="Y168" i="2"/>
  <c r="BP165" i="2"/>
  <c r="Z171" i="2"/>
  <c r="Y174" i="2"/>
  <c r="Y188" i="2"/>
  <c r="BN177" i="2"/>
  <c r="Z179" i="2"/>
  <c r="BN179" i="2"/>
  <c r="BP181" i="2"/>
  <c r="Z183" i="2"/>
  <c r="BN183" i="2"/>
  <c r="Z185" i="2"/>
  <c r="Z191" i="2"/>
  <c r="Z192" i="2"/>
  <c r="Y197" i="2"/>
  <c r="Y198" i="2"/>
  <c r="Z206" i="2"/>
  <c r="Z208" i="2"/>
  <c r="BN208" i="2"/>
  <c r="BP209" i="2"/>
  <c r="Z212" i="2"/>
  <c r="BN212" i="2"/>
  <c r="Z217" i="2"/>
  <c r="Z218" i="2" s="1"/>
  <c r="Y219" i="2"/>
  <c r="BN222" i="2"/>
  <c r="Z224" i="2"/>
  <c r="BN224" i="2"/>
  <c r="BP226" i="2"/>
  <c r="Z228" i="2"/>
  <c r="BN228" i="2"/>
  <c r="Z230" i="2"/>
  <c r="Z232" i="2"/>
  <c r="BN232" i="2"/>
  <c r="Z240" i="2"/>
  <c r="Z242" i="2"/>
  <c r="BN242" i="2"/>
  <c r="Y249" i="2"/>
  <c r="Y254" i="2"/>
  <c r="Y255" i="2"/>
  <c r="BP252" i="2"/>
  <c r="BN252" i="2"/>
  <c r="Z252" i="2"/>
  <c r="Z262" i="2"/>
  <c r="Y264" i="2"/>
  <c r="BN263" i="2"/>
  <c r="BN23" i="2"/>
  <c r="BP23" i="2"/>
  <c r="Y24" i="2"/>
  <c r="Y25" i="2"/>
  <c r="BP29" i="2"/>
  <c r="BP41" i="2"/>
  <c r="BN56" i="2"/>
  <c r="BP97" i="2"/>
  <c r="BP108" i="2"/>
  <c r="BN112" i="2"/>
  <c r="BP112" i="2"/>
  <c r="BP118" i="2"/>
  <c r="Y119" i="2"/>
  <c r="BN135" i="2"/>
  <c r="BP135" i="2"/>
  <c r="Y136" i="2"/>
  <c r="Y137" i="2"/>
  <c r="BN159" i="2"/>
  <c r="Y161" i="2"/>
  <c r="BP171" i="2"/>
  <c r="BP185" i="2"/>
  <c r="BP191" i="2"/>
  <c r="Y214" i="2"/>
  <c r="BP230" i="2"/>
  <c r="BN234" i="2"/>
  <c r="BP234" i="2"/>
  <c r="BN235" i="2"/>
  <c r="BP240" i="2"/>
  <c r="BN244" i="2"/>
  <c r="BP244" i="2"/>
  <c r="BN245" i="2"/>
  <c r="BN267" i="2"/>
  <c r="BP267" i="2"/>
  <c r="Y269" i="2"/>
  <c r="BN268" i="2"/>
  <c r="Y270" i="2"/>
  <c r="Y280" i="2"/>
  <c r="BP272" i="2"/>
  <c r="BN272" i="2"/>
  <c r="Z272" i="2"/>
  <c r="BP273" i="2"/>
  <c r="Z276" i="2"/>
  <c r="BN276" i="2"/>
  <c r="BN277" i="2"/>
  <c r="BP277" i="2"/>
  <c r="BN278" i="2"/>
  <c r="Z279" i="2"/>
  <c r="BN279" i="2"/>
  <c r="BP283" i="2"/>
  <c r="Z286" i="2"/>
  <c r="BN286" i="2"/>
  <c r="BN287" i="2"/>
  <c r="BP287" i="2"/>
  <c r="BN288" i="2"/>
  <c r="BP288" i="2"/>
  <c r="BN291" i="2"/>
  <c r="BP291" i="2"/>
  <c r="BN293" i="2"/>
  <c r="Z299" i="2"/>
  <c r="Z300" i="2" s="1"/>
  <c r="BN299" i="2"/>
  <c r="Z304" i="2"/>
  <c r="Z306" i="2"/>
  <c r="BN306" i="2"/>
  <c r="Z310" i="2"/>
  <c r="BN310" i="2"/>
  <c r="BP314" i="2"/>
  <c r="Y315" i="2"/>
  <c r="Y316" i="2"/>
  <c r="Z322" i="2"/>
  <c r="BN322" i="2"/>
  <c r="BN331" i="2"/>
  <c r="BP331" i="2"/>
  <c r="BN332" i="2"/>
  <c r="BP332" i="2"/>
  <c r="BP333" i="2"/>
  <c r="BN333" i="2"/>
  <c r="Z333" i="2"/>
  <c r="Y334" i="2"/>
  <c r="BN346" i="2"/>
  <c r="Z346" i="2"/>
  <c r="BN349" i="2"/>
  <c r="Z349" i="2"/>
  <c r="BN367" i="2"/>
  <c r="BP367" i="2"/>
  <c r="BN368" i="2"/>
  <c r="BP368" i="2"/>
  <c r="BP369" i="2"/>
  <c r="BN369" i="2"/>
  <c r="Z369" i="2"/>
  <c r="T571" i="2"/>
  <c r="BN371" i="2"/>
  <c r="BP371" i="2"/>
  <c r="Y384" i="2"/>
  <c r="BN387" i="2"/>
  <c r="BP387" i="2"/>
  <c r="BN388" i="2"/>
  <c r="BP388" i="2"/>
  <c r="BP389" i="2"/>
  <c r="BN389" i="2"/>
  <c r="Z389" i="2"/>
  <c r="Y390" i="2"/>
  <c r="Y391" i="2"/>
  <c r="Y397" i="2"/>
  <c r="Z393" i="2"/>
  <c r="BP407" i="2"/>
  <c r="BN407" i="2"/>
  <c r="Z407" i="2"/>
  <c r="BP426" i="2"/>
  <c r="BN426" i="2"/>
  <c r="Z426" i="2"/>
  <c r="BN439" i="2"/>
  <c r="Z439" i="2"/>
  <c r="BP446" i="2"/>
  <c r="Z446" i="2"/>
  <c r="BN456" i="2"/>
  <c r="BP456" i="2"/>
  <c r="BP457" i="2"/>
  <c r="BN457" i="2"/>
  <c r="Z457" i="2"/>
  <c r="Z458" i="2" s="1"/>
  <c r="Y458" i="2"/>
  <c r="Y459" i="2"/>
  <c r="X571" i="2"/>
  <c r="Z462" i="2"/>
  <c r="BN480" i="2"/>
  <c r="BP480" i="2"/>
  <c r="BN481" i="2"/>
  <c r="BP481" i="2"/>
  <c r="BP482" i="2"/>
  <c r="BN482" i="2"/>
  <c r="Z482" i="2"/>
  <c r="Y485" i="2"/>
  <c r="BN484" i="2"/>
  <c r="BP484" i="2"/>
  <c r="BP488" i="2"/>
  <c r="BN488" i="2"/>
  <c r="Z488" i="2"/>
  <c r="BN525" i="2"/>
  <c r="BP525" i="2"/>
  <c r="BN526" i="2"/>
  <c r="BP526" i="2"/>
  <c r="BP527" i="2"/>
  <c r="BN527" i="2"/>
  <c r="Z527" i="2"/>
  <c r="BN298" i="2"/>
  <c r="BP298" i="2"/>
  <c r="Y300" i="2"/>
  <c r="Y301" i="2"/>
  <c r="BP304" i="2"/>
  <c r="BN308" i="2"/>
  <c r="BP308" i="2"/>
  <c r="BN309" i="2"/>
  <c r="BP309" i="2"/>
  <c r="Y311" i="2"/>
  <c r="Y325" i="2"/>
  <c r="BP329" i="2"/>
  <c r="BN329" i="2"/>
  <c r="Z329" i="2"/>
  <c r="Y351" i="2"/>
  <c r="Z345" i="2"/>
  <c r="BP347" i="2"/>
  <c r="BN347" i="2"/>
  <c r="Z347" i="2"/>
  <c r="Y350" i="2"/>
  <c r="S571" i="2"/>
  <c r="Y363" i="2"/>
  <c r="BN360" i="2"/>
  <c r="BP360" i="2"/>
  <c r="BN377" i="2"/>
  <c r="BP377" i="2"/>
  <c r="BN378" i="2"/>
  <c r="BP378" i="2"/>
  <c r="BP379" i="2"/>
  <c r="BN379" i="2"/>
  <c r="Z379" i="2"/>
  <c r="BN381" i="2"/>
  <c r="BP381" i="2"/>
  <c r="BP395" i="2"/>
  <c r="BN395" i="2"/>
  <c r="Z395" i="2"/>
  <c r="BP401" i="2"/>
  <c r="BN401" i="2"/>
  <c r="Z401" i="2"/>
  <c r="U571" i="2"/>
  <c r="Y422" i="2"/>
  <c r="Y421" i="2"/>
  <c r="BP419" i="2"/>
  <c r="BN419" i="2"/>
  <c r="Z419" i="2"/>
  <c r="Z421" i="2" s="1"/>
  <c r="W571" i="2"/>
  <c r="BP433" i="2"/>
  <c r="BN433" i="2"/>
  <c r="Z433" i="2"/>
  <c r="BP437" i="2"/>
  <c r="BN437" i="2"/>
  <c r="Z437" i="2"/>
  <c r="BN445" i="2"/>
  <c r="Z445" i="2"/>
  <c r="BP471" i="2"/>
  <c r="Y475" i="2"/>
  <c r="BN472" i="2"/>
  <c r="BP472" i="2"/>
  <c r="Z571" i="2"/>
  <c r="Y496" i="2"/>
  <c r="Z494" i="2"/>
  <c r="Z495" i="2" s="1"/>
  <c r="BN506" i="2"/>
  <c r="BP506" i="2"/>
  <c r="BP507" i="2"/>
  <c r="BN507" i="2"/>
  <c r="Z507" i="2"/>
  <c r="Y515" i="2"/>
  <c r="BN509" i="2"/>
  <c r="BP509" i="2"/>
  <c r="BN511" i="2"/>
  <c r="BP518" i="2"/>
  <c r="Y522" i="2"/>
  <c r="BN519" i="2"/>
  <c r="BP519" i="2"/>
  <c r="Y532" i="2"/>
  <c r="BN529" i="2"/>
  <c r="BP529" i="2"/>
  <c r="Y545" i="2"/>
  <c r="Y546" i="2"/>
  <c r="BN558" i="2"/>
  <c r="BP338" i="2"/>
  <c r="Y356" i="2"/>
  <c r="Y404" i="2"/>
  <c r="BP399" i="2"/>
  <c r="BN413" i="2"/>
  <c r="BP413" i="2"/>
  <c r="BN420" i="2"/>
  <c r="BP420" i="2"/>
  <c r="Y429" i="2"/>
  <c r="BP427" i="2"/>
  <c r="Y428" i="2"/>
  <c r="BP435" i="2"/>
  <c r="BN451" i="2"/>
  <c r="Y571" i="2"/>
  <c r="BN499" i="2"/>
  <c r="Y538" i="2"/>
  <c r="Z548" i="2"/>
  <c r="Z549" i="2" s="1"/>
  <c r="BN548" i="2"/>
  <c r="Z552" i="2"/>
  <c r="BN553" i="2"/>
  <c r="Z83" i="2"/>
  <c r="Y73" i="2"/>
  <c r="BN30" i="2"/>
  <c r="Y43" i="2"/>
  <c r="Z55" i="2"/>
  <c r="BP67" i="2"/>
  <c r="Z129" i="2"/>
  <c r="Z130" i="2" s="1"/>
  <c r="Z176" i="2"/>
  <c r="BP178" i="2"/>
  <c r="BN186" i="2"/>
  <c r="Y213" i="2"/>
  <c r="BP223" i="2"/>
  <c r="BN284" i="2"/>
  <c r="BN37" i="2"/>
  <c r="BN49" i="2"/>
  <c r="BN60" i="2"/>
  <c r="BN70" i="2"/>
  <c r="BN104" i="2"/>
  <c r="BN124" i="2"/>
  <c r="BP150" i="2"/>
  <c r="BN171" i="2"/>
  <c r="BN345" i="2"/>
  <c r="BN399" i="2"/>
  <c r="Y410" i="2"/>
  <c r="Y469" i="2"/>
  <c r="Y516" i="2"/>
  <c r="Y554" i="2"/>
  <c r="K571" i="2"/>
  <c r="Y42" i="2"/>
  <c r="BN67" i="2"/>
  <c r="Z37" i="2"/>
  <c r="Z104" i="2"/>
  <c r="BP30" i="2"/>
  <c r="BN55" i="2"/>
  <c r="BN75" i="2"/>
  <c r="BP88" i="2"/>
  <c r="BP98" i="2"/>
  <c r="BP109" i="2"/>
  <c r="BN129" i="2"/>
  <c r="BN153" i="2"/>
  <c r="Y156" i="2"/>
  <c r="BP166" i="2"/>
  <c r="BN176" i="2"/>
  <c r="BP186" i="2"/>
  <c r="BN196" i="2"/>
  <c r="BP210" i="2"/>
  <c r="BN221" i="2"/>
  <c r="BP231" i="2"/>
  <c r="BP241" i="2"/>
  <c r="BP251" i="2"/>
  <c r="BN262" i="2"/>
  <c r="BP274" i="2"/>
  <c r="BP284" i="2"/>
  <c r="BN292" i="2"/>
  <c r="Y295" i="2"/>
  <c r="BP305" i="2"/>
  <c r="BP328" i="2"/>
  <c r="BP339" i="2"/>
  <c r="BN361" i="2"/>
  <c r="BN372" i="2"/>
  <c r="BN382" i="2"/>
  <c r="BP394" i="2"/>
  <c r="BN414" i="2"/>
  <c r="BP440" i="2"/>
  <c r="BN450" i="2"/>
  <c r="Y453" i="2"/>
  <c r="BP463" i="2"/>
  <c r="BN473" i="2"/>
  <c r="Y486" i="2"/>
  <c r="BN498" i="2"/>
  <c r="Y501" i="2"/>
  <c r="BN510" i="2"/>
  <c r="BN520" i="2"/>
  <c r="BN530" i="2"/>
  <c r="BN544" i="2"/>
  <c r="L571" i="2"/>
  <c r="Y550" i="2"/>
  <c r="M571" i="2"/>
  <c r="F9" i="2"/>
  <c r="BP55" i="2"/>
  <c r="BP75" i="2"/>
  <c r="Z151" i="2"/>
  <c r="BP153" i="2"/>
  <c r="BP176" i="2"/>
  <c r="Y187" i="2"/>
  <c r="BP196" i="2"/>
  <c r="BP221" i="2"/>
  <c r="Z247" i="2"/>
  <c r="BP262" i="2"/>
  <c r="Z290" i="2"/>
  <c r="BP292" i="2"/>
  <c r="Z323" i="2"/>
  <c r="Z359" i="2"/>
  <c r="Z362" i="2" s="1"/>
  <c r="BP361" i="2"/>
  <c r="Z370" i="2"/>
  <c r="BP372" i="2"/>
  <c r="Z380" i="2"/>
  <c r="Z383" i="2" s="1"/>
  <c r="BP382" i="2"/>
  <c r="Z412" i="2"/>
  <c r="Z415" i="2" s="1"/>
  <c r="BP414" i="2"/>
  <c r="Y441" i="2"/>
  <c r="BP450" i="2"/>
  <c r="Y464" i="2"/>
  <c r="Z471" i="2"/>
  <c r="Z474" i="2" s="1"/>
  <c r="BP473" i="2"/>
  <c r="Z483" i="2"/>
  <c r="BP498" i="2"/>
  <c r="Z508" i="2"/>
  <c r="BP510" i="2"/>
  <c r="Z518" i="2"/>
  <c r="Z521" i="2" s="1"/>
  <c r="BP520" i="2"/>
  <c r="Z528" i="2"/>
  <c r="BP530" i="2"/>
  <c r="BP544" i="2"/>
  <c r="Y555" i="2"/>
  <c r="O571" i="2"/>
  <c r="Y157" i="2"/>
  <c r="Y296" i="2"/>
  <c r="Y454" i="2"/>
  <c r="Y502" i="2"/>
  <c r="P571" i="2"/>
  <c r="H9" i="2"/>
  <c r="Z50" i="2"/>
  <c r="Z61" i="2"/>
  <c r="Z105" i="2"/>
  <c r="Z125" i="2"/>
  <c r="BN151" i="2"/>
  <c r="BN247" i="2"/>
  <c r="Y281" i="2"/>
  <c r="BN290" i="2"/>
  <c r="Y312" i="2"/>
  <c r="BN323" i="2"/>
  <c r="Y335" i="2"/>
  <c r="BN359" i="2"/>
  <c r="Y362" i="2"/>
  <c r="BN370" i="2"/>
  <c r="Y373" i="2"/>
  <c r="BN380" i="2"/>
  <c r="Y383" i="2"/>
  <c r="BN412" i="2"/>
  <c r="Y415" i="2"/>
  <c r="BN471" i="2"/>
  <c r="Y474" i="2"/>
  <c r="BN483" i="2"/>
  <c r="BN508" i="2"/>
  <c r="BN518" i="2"/>
  <c r="Y521" i="2"/>
  <c r="BN528" i="2"/>
  <c r="Y531" i="2"/>
  <c r="Q571" i="2"/>
  <c r="Z38" i="2"/>
  <c r="A10" i="2"/>
  <c r="Y113" i="2"/>
  <c r="Z154" i="2"/>
  <c r="Z222" i="2"/>
  <c r="Z263" i="2"/>
  <c r="Z293" i="2"/>
  <c r="Y442" i="2"/>
  <c r="Z451" i="2"/>
  <c r="Y465" i="2"/>
  <c r="Z499" i="2"/>
  <c r="Z511" i="2"/>
  <c r="Z558" i="2"/>
  <c r="Z559" i="2" s="1"/>
  <c r="R571" i="2"/>
  <c r="J9" i="2"/>
  <c r="Z71" i="2"/>
  <c r="Z172" i="2"/>
  <c r="Z173" i="2" s="1"/>
  <c r="Z56" i="2"/>
  <c r="Z76" i="2"/>
  <c r="Z77" i="2" s="1"/>
  <c r="Z177" i="2"/>
  <c r="BN38" i="2"/>
  <c r="BN50" i="2"/>
  <c r="BN61" i="2"/>
  <c r="Y64" i="2"/>
  <c r="BN71" i="2"/>
  <c r="BN105" i="2"/>
  <c r="BN125" i="2"/>
  <c r="Y141" i="2"/>
  <c r="Z159" i="2"/>
  <c r="Z160" i="2" s="1"/>
  <c r="BN172" i="2"/>
  <c r="BN182" i="2"/>
  <c r="BN192" i="2"/>
  <c r="BN206" i="2"/>
  <c r="BN217" i="2"/>
  <c r="BN227" i="2"/>
  <c r="Z235" i="2"/>
  <c r="Z245" i="2"/>
  <c r="BP247" i="2"/>
  <c r="BN257" i="2"/>
  <c r="Z268" i="2"/>
  <c r="Z269" i="2" s="1"/>
  <c r="Z278" i="2"/>
  <c r="BP323" i="2"/>
  <c r="BP359" i="2"/>
  <c r="BP370" i="2"/>
  <c r="BN400" i="2"/>
  <c r="Y403" i="2"/>
  <c r="BN436" i="2"/>
  <c r="BN446" i="2"/>
  <c r="BP483" i="2"/>
  <c r="BN494" i="2"/>
  <c r="Z506" i="2"/>
  <c r="BP508" i="2"/>
  <c r="BN540" i="2"/>
  <c r="BN552" i="2"/>
  <c r="Z69" i="2"/>
  <c r="Z123" i="2"/>
  <c r="BP217" i="2"/>
  <c r="BP257" i="2"/>
  <c r="Y324" i="2"/>
  <c r="Z354" i="2"/>
  <c r="Z408" i="2"/>
  <c r="Z434" i="2"/>
  <c r="Z444" i="2"/>
  <c r="Z467" i="2"/>
  <c r="Z468" i="2" s="1"/>
  <c r="BP494" i="2"/>
  <c r="Z514" i="2"/>
  <c r="BP540" i="2"/>
  <c r="Z48" i="2"/>
  <c r="Z59" i="2"/>
  <c r="Y114" i="2"/>
  <c r="Z180" i="2"/>
  <c r="Z190" i="2"/>
  <c r="Z225" i="2"/>
  <c r="Y248" i="2"/>
  <c r="Y32" i="2"/>
  <c r="Y65" i="2"/>
  <c r="BP76" i="2"/>
  <c r="BN87" i="2"/>
  <c r="BN97" i="2"/>
  <c r="BN165" i="2"/>
  <c r="BN338" i="2"/>
  <c r="BN393" i="2"/>
  <c r="Y396" i="2"/>
  <c r="BN462" i="2"/>
  <c r="BP558" i="2"/>
  <c r="V571" i="2"/>
  <c r="BN48" i="2"/>
  <c r="Y51" i="2"/>
  <c r="BN59" i="2"/>
  <c r="BN69" i="2"/>
  <c r="Y72" i="2"/>
  <c r="BN123" i="2"/>
  <c r="Y126" i="2"/>
  <c r="Y147" i="2"/>
  <c r="BP159" i="2"/>
  <c r="BN180" i="2"/>
  <c r="BN190" i="2"/>
  <c r="Y193" i="2"/>
  <c r="BN225" i="2"/>
  <c r="BP268" i="2"/>
  <c r="BN354" i="2"/>
  <c r="BN408" i="2"/>
  <c r="BN434" i="2"/>
  <c r="BN444" i="2"/>
  <c r="Y447" i="2"/>
  <c r="BN467" i="2"/>
  <c r="Y495" i="2"/>
  <c r="BN514" i="2"/>
  <c r="Z553" i="2"/>
  <c r="Z554" i="2" s="1"/>
  <c r="Y559" i="2"/>
  <c r="BP48" i="2"/>
  <c r="Z57" i="2"/>
  <c r="Y93" i="2"/>
  <c r="Y101" i="2"/>
  <c r="BP123" i="2"/>
  <c r="Z144" i="2"/>
  <c r="Z146" i="2" s="1"/>
  <c r="Z155" i="2"/>
  <c r="Y169" i="2"/>
  <c r="Z178" i="2"/>
  <c r="BP190" i="2"/>
  <c r="Z223" i="2"/>
  <c r="Y236" i="2"/>
  <c r="Z294" i="2"/>
  <c r="Y342" i="2"/>
  <c r="BP354" i="2"/>
  <c r="Z406" i="2"/>
  <c r="BP444" i="2"/>
  <c r="Z452" i="2"/>
  <c r="BP467" i="2"/>
  <c r="Z500" i="2"/>
  <c r="Z512" i="2"/>
  <c r="Z88" i="2"/>
  <c r="Z98" i="2"/>
  <c r="Z109" i="2"/>
  <c r="BN144" i="2"/>
  <c r="BN155" i="2"/>
  <c r="Z166" i="2"/>
  <c r="Z210" i="2"/>
  <c r="Z231" i="2"/>
  <c r="Z241" i="2"/>
  <c r="Z251" i="2"/>
  <c r="Y265" i="2"/>
  <c r="Z274" i="2"/>
  <c r="BN294" i="2"/>
  <c r="Z305" i="2"/>
  <c r="Z328" i="2"/>
  <c r="Z339" i="2"/>
  <c r="Z341" i="2" s="1"/>
  <c r="Z394" i="2"/>
  <c r="BN406" i="2"/>
  <c r="Y409" i="2"/>
  <c r="Z440" i="2"/>
  <c r="BN452" i="2"/>
  <c r="Z463" i="2"/>
  <c r="BN500" i="2"/>
  <c r="BN512" i="2"/>
  <c r="BP548" i="2"/>
  <c r="Y560" i="2"/>
  <c r="AB571" i="2"/>
  <c r="BN57" i="2"/>
  <c r="Y94" i="2"/>
  <c r="Y237" i="2"/>
  <c r="BN251" i="2"/>
  <c r="Z490" i="2" l="1"/>
  <c r="Z428" i="2"/>
  <c r="X564" i="2"/>
  <c r="Z464" i="2"/>
  <c r="Z280" i="2"/>
  <c r="Z254" i="2"/>
  <c r="Z168" i="2"/>
  <c r="Z100" i="2"/>
  <c r="Z447" i="2"/>
  <c r="Z72" i="2"/>
  <c r="Z501" i="2"/>
  <c r="Z453" i="2"/>
  <c r="Z373" i="2"/>
  <c r="Z355" i="2"/>
  <c r="Z531" i="2"/>
  <c r="Z350" i="2"/>
  <c r="Z390" i="2"/>
  <c r="Z141" i="2"/>
  <c r="Z264" i="2"/>
  <c r="Z403" i="2"/>
  <c r="Z311" i="2"/>
  <c r="Z236" i="2"/>
  <c r="Y563" i="2"/>
  <c r="Z42" i="2"/>
  <c r="Z32" i="2"/>
  <c r="Z396" i="2"/>
  <c r="Z334" i="2"/>
  <c r="Z248" i="2"/>
  <c r="Z213" i="2"/>
  <c r="Z93" i="2"/>
  <c r="Z193" i="2"/>
  <c r="Z51" i="2"/>
  <c r="Z441" i="2"/>
  <c r="Y565" i="2"/>
  <c r="Z126" i="2"/>
  <c r="Z485" i="2"/>
  <c r="Z324" i="2"/>
  <c r="Z295" i="2"/>
  <c r="Y562" i="2"/>
  <c r="Y564" i="2" s="1"/>
  <c r="Y561" i="2"/>
  <c r="Z119" i="2"/>
  <c r="Z113" i="2"/>
  <c r="Z156" i="2"/>
  <c r="Z187" i="2"/>
  <c r="Z409" i="2"/>
  <c r="Z64" i="2"/>
  <c r="Z515" i="2"/>
  <c r="Z566" i="2" l="1"/>
</calcChain>
</file>

<file path=xl/sharedStrings.xml><?xml version="1.0" encoding="utf-8"?>
<sst xmlns="http://schemas.openxmlformats.org/spreadsheetml/2006/main" count="4313" uniqueCount="897">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</sst>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 t="s">
        <v>896</v>
      </c>
      <c r="I5" s="1004"/>
      <c r="J5" s="1004"/>
      <c r="K5" s="1004"/>
      <c r="L5" s="1004"/>
      <c r="M5" s="1004"/>
      <c r="N5" s="72"/>
      <c r="P5" s="27" t="s">
        <v>4</v>
      </c>
      <c r="Q5" s="1006">
        <v>46304</v>
      </c>
      <c r="R5" s="1006"/>
      <c r="T5" s="1007" t="s">
        <v>3</v>
      </c>
      <c r="U5" s="1008"/>
      <c r="V5" s="1009" t="s">
        <v>877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 t="s">
        <v>878</v>
      </c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Пятница</v>
      </c>
      <c r="R6" s="1012"/>
      <c r="T6" s="1013" t="s">
        <v>5</v>
      </c>
      <c r="U6" s="1014"/>
      <c r="V6" s="1015" t="s">
        <v>70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 t="str">
        <f>IFERROR(VLOOKUP(DeliveryAddress,Table,3,0),1)</f>
        <v>1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0.125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71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72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73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74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75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0" t="s">
        <v>76</v>
      </c>
      <c r="B19" s="680"/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0"/>
      <c r="V19" s="680"/>
      <c r="W19" s="680"/>
      <c r="X19" s="680"/>
      <c r="Y19" s="680"/>
      <c r="Z19" s="680"/>
      <c r="AA19" s="54"/>
      <c r="AB19" s="54"/>
      <c r="AC19" s="54"/>
    </row>
    <row r="20" spans="1:68" ht="16.5" hidden="1" customHeight="1" x14ac:dyDescent="0.25">
      <c r="A20" s="665" t="s">
        <v>76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5"/>
      <c r="AB20" s="65"/>
      <c r="AC20" s="79"/>
    </row>
    <row r="21" spans="1:68" ht="14.25" hidden="1" customHeight="1" x14ac:dyDescent="0.25">
      <c r="A21" s="666" t="s">
        <v>77</v>
      </c>
      <c r="B21" s="666"/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66"/>
      <c r="Q21" s="666"/>
      <c r="R21" s="666"/>
      <c r="S21" s="666"/>
      <c r="T21" s="666"/>
      <c r="U21" s="666"/>
      <c r="V21" s="666"/>
      <c r="W21" s="666"/>
      <c r="X21" s="666"/>
      <c r="Y21" s="666"/>
      <c r="Z21" s="66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7">
        <v>4680115886643</v>
      </c>
      <c r="E22" s="66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9"/>
      <c r="R22" s="669"/>
      <c r="S22" s="669"/>
      <c r="T22" s="67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7">
        <v>4680115889071</v>
      </c>
      <c r="E23" s="66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9"/>
      <c r="R23" s="669"/>
      <c r="S23" s="669"/>
      <c r="T23" s="67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4"/>
      <c r="P24" s="660" t="s">
        <v>40</v>
      </c>
      <c r="Q24" s="661"/>
      <c r="R24" s="661"/>
      <c r="S24" s="661"/>
      <c r="T24" s="661"/>
      <c r="U24" s="661"/>
      <c r="V24" s="66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4"/>
      <c r="P25" s="660" t="s">
        <v>40</v>
      </c>
      <c r="Q25" s="661"/>
      <c r="R25" s="661"/>
      <c r="S25" s="661"/>
      <c r="T25" s="661"/>
      <c r="U25" s="661"/>
      <c r="V25" s="66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6" t="s">
        <v>86</v>
      </c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6"/>
      <c r="S26" s="666"/>
      <c r="T26" s="666"/>
      <c r="U26" s="666"/>
      <c r="V26" s="666"/>
      <c r="W26" s="666"/>
      <c r="X26" s="666"/>
      <c r="Y26" s="666"/>
      <c r="Z26" s="66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7">
        <v>4680115885912</v>
      </c>
      <c r="E27" s="66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9"/>
      <c r="R27" s="669"/>
      <c r="S27" s="669"/>
      <c r="T27" s="67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7">
        <v>4607091388237</v>
      </c>
      <c r="E28" s="66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9"/>
      <c r="R28" s="669"/>
      <c r="S28" s="669"/>
      <c r="T28" s="67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7">
        <v>4680115887350</v>
      </c>
      <c r="E29" s="66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9"/>
      <c r="R29" s="669"/>
      <c r="S29" s="669"/>
      <c r="T29" s="67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7">
        <v>4680115885905</v>
      </c>
      <c r="E30" s="66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9"/>
      <c r="R30" s="669"/>
      <c r="S30" s="669"/>
      <c r="T30" s="67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7">
        <v>4680115887619</v>
      </c>
      <c r="E31" s="66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9"/>
      <c r="R31" s="669"/>
      <c r="S31" s="669"/>
      <c r="T31" s="67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4"/>
      <c r="P32" s="660" t="s">
        <v>40</v>
      </c>
      <c r="Q32" s="661"/>
      <c r="R32" s="661"/>
      <c r="S32" s="661"/>
      <c r="T32" s="661"/>
      <c r="U32" s="661"/>
      <c r="V32" s="66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4"/>
      <c r="P33" s="660" t="s">
        <v>40</v>
      </c>
      <c r="Q33" s="661"/>
      <c r="R33" s="661"/>
      <c r="S33" s="661"/>
      <c r="T33" s="661"/>
      <c r="U33" s="661"/>
      <c r="V33" s="66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0" t="s">
        <v>45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54"/>
      <c r="AB34" s="54"/>
      <c r="AC34" s="54"/>
    </row>
    <row r="35" spans="1:68" ht="16.5" hidden="1" customHeight="1" x14ac:dyDescent="0.25">
      <c r="A35" s="665" t="s">
        <v>104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5"/>
      <c r="AB35" s="65"/>
      <c r="AC35" s="79"/>
    </row>
    <row r="36" spans="1:68" ht="14.25" hidden="1" customHeight="1" x14ac:dyDescent="0.25">
      <c r="A36" s="666" t="s">
        <v>86</v>
      </c>
      <c r="B36" s="666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6"/>
      <c r="S36" s="666"/>
      <c r="T36" s="666"/>
      <c r="U36" s="666"/>
      <c r="V36" s="666"/>
      <c r="W36" s="666"/>
      <c r="X36" s="666"/>
      <c r="Y36" s="666"/>
      <c r="Z36" s="66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7">
        <v>4680115889354</v>
      </c>
      <c r="E37" s="66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9"/>
      <c r="R37" s="669"/>
      <c r="S37" s="669"/>
      <c r="T37" s="67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7">
        <v>4680115888463</v>
      </c>
      <c r="E38" s="66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9"/>
      <c r="R38" s="669"/>
      <c r="S38" s="669"/>
      <c r="T38" s="67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7">
        <v>4680115889590</v>
      </c>
      <c r="E39" s="66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9"/>
      <c r="R39" s="669"/>
      <c r="S39" s="669"/>
      <c r="T39" s="67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7">
        <v>4680115888272</v>
      </c>
      <c r="E40" s="66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9"/>
      <c r="R40" s="669"/>
      <c r="S40" s="669"/>
      <c r="T40" s="67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7">
        <v>4680115888364</v>
      </c>
      <c r="E41" s="66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9"/>
      <c r="R41" s="669"/>
      <c r="S41" s="669"/>
      <c r="T41" s="67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4"/>
      <c r="P42" s="660" t="s">
        <v>40</v>
      </c>
      <c r="Q42" s="661"/>
      <c r="R42" s="661"/>
      <c r="S42" s="661"/>
      <c r="T42" s="661"/>
      <c r="U42" s="661"/>
      <c r="V42" s="66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4"/>
      <c r="P43" s="660" t="s">
        <v>40</v>
      </c>
      <c r="Q43" s="661"/>
      <c r="R43" s="661"/>
      <c r="S43" s="661"/>
      <c r="T43" s="661"/>
      <c r="U43" s="661"/>
      <c r="V43" s="66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0" t="s">
        <v>120</v>
      </c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0"/>
      <c r="U44" s="680"/>
      <c r="V44" s="680"/>
      <c r="W44" s="680"/>
      <c r="X44" s="680"/>
      <c r="Y44" s="680"/>
      <c r="Z44" s="680"/>
      <c r="AA44" s="54"/>
      <c r="AB44" s="54"/>
      <c r="AC44" s="54"/>
    </row>
    <row r="45" spans="1:68" ht="16.5" hidden="1" customHeight="1" x14ac:dyDescent="0.25">
      <c r="A45" s="665" t="s">
        <v>121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5"/>
      <c r="AB45" s="65"/>
      <c r="AC45" s="79"/>
    </row>
    <row r="46" spans="1:68" ht="14.25" hidden="1" customHeight="1" x14ac:dyDescent="0.25">
      <c r="A46" s="666" t="s">
        <v>122</v>
      </c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7">
        <v>4607091385670</v>
      </c>
      <c r="E47" s="66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9"/>
      <c r="R47" s="669"/>
      <c r="S47" s="669"/>
      <c r="T47" s="670"/>
      <c r="U47" s="39" t="s">
        <v>46</v>
      </c>
      <c r="V47" s="39" t="s">
        <v>46</v>
      </c>
      <c r="W47" s="40" t="s">
        <v>0</v>
      </c>
      <c r="X47" s="58">
        <v>250</v>
      </c>
      <c r="Y47" s="55">
        <f>IFERROR(IF(X47="",0,CEILING((X47/$H47),1)*$H47),"")</f>
        <v>259.20000000000005</v>
      </c>
      <c r="Z47" s="41">
        <f>IFERROR(IF(Y47=0,"",ROUNDUP(Y47/H47,0)*0.01898),"")</f>
        <v>0.45552000000000004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259.4907407407407</v>
      </c>
      <c r="BN47" s="78">
        <f>IFERROR(Y47*I47/H47,"0")</f>
        <v>269.04000000000002</v>
      </c>
      <c r="BO47" s="78">
        <f>IFERROR(1/J47*(X47/H47),"0")</f>
        <v>0.36168981481481477</v>
      </c>
      <c r="BP47" s="78">
        <f>IFERROR(1/J47*(Y47/H47),"0")</f>
        <v>0.37500000000000006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7">
        <v>4680115887725</v>
      </c>
      <c r="E48" s="66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9"/>
      <c r="R48" s="669"/>
      <c r="S48" s="669"/>
      <c r="T48" s="67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7">
        <v>4607091385687</v>
      </c>
      <c r="E49" s="66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9"/>
      <c r="R49" s="669"/>
      <c r="S49" s="669"/>
      <c r="T49" s="670"/>
      <c r="U49" s="39" t="s">
        <v>46</v>
      </c>
      <c r="V49" s="39" t="s">
        <v>46</v>
      </c>
      <c r="W49" s="40" t="s">
        <v>0</v>
      </c>
      <c r="X49" s="58">
        <v>40</v>
      </c>
      <c r="Y49" s="55">
        <f>IFERROR(IF(X49="",0,CEILING((X49/$H49),1)*$H49),"")</f>
        <v>40</v>
      </c>
      <c r="Z49" s="41">
        <f>IFERROR(IF(Y49=0,"",ROUNDUP(Y49/H49,0)*0.00902),"")</f>
        <v>9.0200000000000002E-2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41.900000000000006</v>
      </c>
      <c r="BN49" s="78">
        <f>IFERROR(Y49*I49/H49,"0")</f>
        <v>41.900000000000006</v>
      </c>
      <c r="BO49" s="78">
        <f>IFERROR(1/J49*(X49/H49),"0")</f>
        <v>7.575757575757576E-2</v>
      </c>
      <c r="BP49" s="78">
        <f>IFERROR(1/J49*(Y49/H49),"0")</f>
        <v>7.575757575757576E-2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7">
        <v>4680115882539</v>
      </c>
      <c r="E50" s="66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9"/>
      <c r="R50" s="669"/>
      <c r="S50" s="669"/>
      <c r="T50" s="67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4"/>
      <c r="P51" s="660" t="s">
        <v>40</v>
      </c>
      <c r="Q51" s="661"/>
      <c r="R51" s="661"/>
      <c r="S51" s="661"/>
      <c r="T51" s="661"/>
      <c r="U51" s="661"/>
      <c r="V51" s="662"/>
      <c r="W51" s="42" t="s">
        <v>39</v>
      </c>
      <c r="X51" s="43">
        <f>IFERROR(X47/H47,"0")+IFERROR(X48/H48,"0")+IFERROR(X49/H49,"0")+IFERROR(X50/H50,"0")</f>
        <v>33.148148148148145</v>
      </c>
      <c r="Y51" s="43">
        <f>IFERROR(Y47/H47,"0")+IFERROR(Y48/H48,"0")+IFERROR(Y49/H49,"0")+IFERROR(Y50/H50,"0")</f>
        <v>34</v>
      </c>
      <c r="Z51" s="43">
        <f>IFERROR(IF(Z47="",0,Z47),"0")+IFERROR(IF(Z48="",0,Z48),"0")+IFERROR(IF(Z49="",0,Z49),"0")+IFERROR(IF(Z50="",0,Z50),"0")</f>
        <v>0.54571999999999998</v>
      </c>
      <c r="AA51" s="67"/>
      <c r="AB51" s="67"/>
      <c r="AC51" s="67"/>
    </row>
    <row r="52" spans="1:68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0" t="s">
        <v>40</v>
      </c>
      <c r="Q52" s="661"/>
      <c r="R52" s="661"/>
      <c r="S52" s="661"/>
      <c r="T52" s="661"/>
      <c r="U52" s="661"/>
      <c r="V52" s="662"/>
      <c r="W52" s="42" t="s">
        <v>0</v>
      </c>
      <c r="X52" s="43">
        <f>IFERROR(SUM(X47:X50),"0")</f>
        <v>290</v>
      </c>
      <c r="Y52" s="43">
        <f>IFERROR(SUM(Y47:Y50),"0")</f>
        <v>299.20000000000005</v>
      </c>
      <c r="Z52" s="42"/>
      <c r="AA52" s="67"/>
      <c r="AB52" s="67"/>
      <c r="AC52" s="67"/>
    </row>
    <row r="53" spans="1:68" ht="16.5" hidden="1" customHeight="1" x14ac:dyDescent="0.25">
      <c r="A53" s="665" t="s">
        <v>137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5"/>
      <c r="AB53" s="65"/>
      <c r="AC53" s="79"/>
    </row>
    <row r="54" spans="1:68" ht="14.25" hidden="1" customHeight="1" x14ac:dyDescent="0.25">
      <c r="A54" s="666" t="s">
        <v>122</v>
      </c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7">
        <v>4680115885882</v>
      </c>
      <c r="E55" s="66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9"/>
      <c r="R55" s="669"/>
      <c r="S55" s="669"/>
      <c r="T55" s="67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7">
        <v>4680115881426</v>
      </c>
      <c r="E56" s="66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9"/>
      <c r="R56" s="669"/>
      <c r="S56" s="669"/>
      <c r="T56" s="670"/>
      <c r="U56" s="39" t="s">
        <v>46</v>
      </c>
      <c r="V56" s="39" t="s">
        <v>46</v>
      </c>
      <c r="W56" s="40" t="s">
        <v>0</v>
      </c>
      <c r="X56" s="58">
        <v>100</v>
      </c>
      <c r="Y56" s="55">
        <f t="shared" si="0"/>
        <v>108</v>
      </c>
      <c r="Z56" s="41">
        <f>IFERROR(IF(Y56=0,"",ROUNDUP(Y56/H56,0)*0.01898),"")</f>
        <v>0.1898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103.79629629629629</v>
      </c>
      <c r="BN56" s="78">
        <f t="shared" si="2"/>
        <v>112.1</v>
      </c>
      <c r="BO56" s="78">
        <f t="shared" si="3"/>
        <v>0.14467592592592593</v>
      </c>
      <c r="BP56" s="78">
        <f t="shared" si="4"/>
        <v>0.15625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7">
        <v>4680115881426</v>
      </c>
      <c r="E57" s="66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9"/>
      <c r="R57" s="669"/>
      <c r="S57" s="669"/>
      <c r="T57" s="67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7">
        <v>4680115880283</v>
      </c>
      <c r="E58" s="66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9"/>
      <c r="R58" s="669"/>
      <c r="S58" s="669"/>
      <c r="T58" s="67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7">
        <v>4680115881525</v>
      </c>
      <c r="E59" s="66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9"/>
      <c r="R59" s="669"/>
      <c r="S59" s="669"/>
      <c r="T59" s="67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7">
        <v>4680115881525</v>
      </c>
      <c r="E60" s="66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9"/>
      <c r="R60" s="669"/>
      <c r="S60" s="669"/>
      <c r="T60" s="67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7">
        <v>4680115885899</v>
      </c>
      <c r="E61" s="66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9"/>
      <c r="R61" s="669"/>
      <c r="S61" s="669"/>
      <c r="T61" s="67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67">
        <v>4680115881419</v>
      </c>
      <c r="E62" s="66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9"/>
      <c r="R62" s="669"/>
      <c r="S62" s="669"/>
      <c r="T62" s="670"/>
      <c r="U62" s="39" t="s">
        <v>46</v>
      </c>
      <c r="V62" s="39" t="s">
        <v>46</v>
      </c>
      <c r="W62" s="40" t="s">
        <v>0</v>
      </c>
      <c r="X62" s="58">
        <v>22.5</v>
      </c>
      <c r="Y62" s="55">
        <f t="shared" si="0"/>
        <v>22.5</v>
      </c>
      <c r="Z62" s="41">
        <f>IFERROR(IF(Y62=0,"",ROUNDUP(Y62/H62,0)*0.00902),"")</f>
        <v>4.5100000000000001E-2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23.450000000000003</v>
      </c>
      <c r="BN62" s="78">
        <f t="shared" si="2"/>
        <v>23.450000000000003</v>
      </c>
      <c r="BO62" s="78">
        <f t="shared" si="3"/>
        <v>3.787878787878788E-2</v>
      </c>
      <c r="BP62" s="78">
        <f t="shared" si="4"/>
        <v>3.787878787878788E-2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7">
        <v>4680115881419</v>
      </c>
      <c r="E63" s="66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9"/>
      <c r="R63" s="669"/>
      <c r="S63" s="669"/>
      <c r="T63" s="67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4"/>
      <c r="P64" s="660" t="s">
        <v>40</v>
      </c>
      <c r="Q64" s="661"/>
      <c r="R64" s="661"/>
      <c r="S64" s="661"/>
      <c r="T64" s="661"/>
      <c r="U64" s="661"/>
      <c r="V64" s="66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14.25925925925926</v>
      </c>
      <c r="Y64" s="43">
        <f>IFERROR(Y55/H55,"0")+IFERROR(Y56/H56,"0")+IFERROR(Y57/H57,"0")+IFERROR(Y58/H58,"0")+IFERROR(Y59/H59,"0")+IFERROR(Y60/H60,"0")+IFERROR(Y61/H61,"0")+IFERROR(Y62/H62,"0")+IFERROR(Y63/H63,"0")</f>
        <v>15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0.2349</v>
      </c>
      <c r="AA64" s="67"/>
      <c r="AB64" s="67"/>
      <c r="AC64" s="67"/>
    </row>
    <row r="65" spans="1:68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4"/>
      <c r="P65" s="660" t="s">
        <v>40</v>
      </c>
      <c r="Q65" s="661"/>
      <c r="R65" s="661"/>
      <c r="S65" s="661"/>
      <c r="T65" s="661"/>
      <c r="U65" s="661"/>
      <c r="V65" s="662"/>
      <c r="W65" s="42" t="s">
        <v>0</v>
      </c>
      <c r="X65" s="43">
        <f>IFERROR(SUM(X55:X63),"0")</f>
        <v>122.5</v>
      </c>
      <c r="Y65" s="43">
        <f>IFERROR(SUM(Y55:Y63),"0")</f>
        <v>130.5</v>
      </c>
      <c r="Z65" s="42"/>
      <c r="AA65" s="67"/>
      <c r="AB65" s="67"/>
      <c r="AC65" s="67"/>
    </row>
    <row r="66" spans="1:68" ht="14.25" hidden="1" customHeight="1" x14ac:dyDescent="0.25">
      <c r="A66" s="666" t="s">
        <v>159</v>
      </c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667">
        <v>4680115881440</v>
      </c>
      <c r="E67" s="66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9"/>
      <c r="R67" s="669"/>
      <c r="S67" s="669"/>
      <c r="T67" s="670"/>
      <c r="U67" s="39" t="s">
        <v>46</v>
      </c>
      <c r="V67" s="39" t="s">
        <v>46</v>
      </c>
      <c r="W67" s="40" t="s">
        <v>0</v>
      </c>
      <c r="X67" s="58">
        <v>100</v>
      </c>
      <c r="Y67" s="55">
        <f>IFERROR(IF(X67="",0,CEILING((X67/$H67),1)*$H67),"")</f>
        <v>108</v>
      </c>
      <c r="Z67" s="41">
        <f>IFERROR(IF(Y67=0,"",ROUNDUP(Y67/H67,0)*0.01898),"")</f>
        <v>0.1898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103.79629629629629</v>
      </c>
      <c r="BN67" s="78">
        <f>IFERROR(Y67*I67/H67,"0")</f>
        <v>112.1</v>
      </c>
      <c r="BO67" s="78">
        <f>IFERROR(1/J67*(X67/H67),"0")</f>
        <v>0.14467592592592593</v>
      </c>
      <c r="BP67" s="78">
        <f>IFERROR(1/J67*(Y67/H67),"0")</f>
        <v>0.15625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7">
        <v>4680115881440</v>
      </c>
      <c r="E68" s="66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9"/>
      <c r="R68" s="669"/>
      <c r="S68" s="669"/>
      <c r="T68" s="67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7">
        <v>4680115885950</v>
      </c>
      <c r="E69" s="66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9"/>
      <c r="R69" s="669"/>
      <c r="S69" s="669"/>
      <c r="T69" s="67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7">
        <v>4680115887688</v>
      </c>
      <c r="E70" s="66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9"/>
      <c r="R70" s="669"/>
      <c r="S70" s="669"/>
      <c r="T70" s="67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667">
        <v>4680115881433</v>
      </c>
      <c r="E71" s="66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9"/>
      <c r="R71" s="669"/>
      <c r="S71" s="669"/>
      <c r="T71" s="67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4"/>
      <c r="P72" s="660" t="s">
        <v>40</v>
      </c>
      <c r="Q72" s="661"/>
      <c r="R72" s="661"/>
      <c r="S72" s="661"/>
      <c r="T72" s="661"/>
      <c r="U72" s="661"/>
      <c r="V72" s="662"/>
      <c r="W72" s="42" t="s">
        <v>39</v>
      </c>
      <c r="X72" s="43">
        <f>IFERROR(X67/H67,"0")+IFERROR(X68/H68,"0")+IFERROR(X69/H69,"0")+IFERROR(X70/H70,"0")+IFERROR(X71/H71,"0")</f>
        <v>9.2592592592592595</v>
      </c>
      <c r="Y72" s="43">
        <f>IFERROR(Y67/H67,"0")+IFERROR(Y68/H68,"0")+IFERROR(Y69/H69,"0")+IFERROR(Y70/H70,"0")+IFERROR(Y71/H71,"0")</f>
        <v>10</v>
      </c>
      <c r="Z72" s="43">
        <f>IFERROR(IF(Z67="",0,Z67),"0")+IFERROR(IF(Z68="",0,Z68),"0")+IFERROR(IF(Z69="",0,Z69),"0")+IFERROR(IF(Z70="",0,Z70),"0")+IFERROR(IF(Z71="",0,Z71),"0")</f>
        <v>0.1898</v>
      </c>
      <c r="AA72" s="67"/>
      <c r="AB72" s="67"/>
      <c r="AC72" s="67"/>
    </row>
    <row r="73" spans="1:68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4"/>
      <c r="P73" s="660" t="s">
        <v>40</v>
      </c>
      <c r="Q73" s="661"/>
      <c r="R73" s="661"/>
      <c r="S73" s="661"/>
      <c r="T73" s="661"/>
      <c r="U73" s="661"/>
      <c r="V73" s="662"/>
      <c r="W73" s="42" t="s">
        <v>0</v>
      </c>
      <c r="X73" s="43">
        <f>IFERROR(SUM(X67:X71),"0")</f>
        <v>100</v>
      </c>
      <c r="Y73" s="43">
        <f>IFERROR(SUM(Y67:Y71),"0")</f>
        <v>108</v>
      </c>
      <c r="Z73" s="42"/>
      <c r="AA73" s="67"/>
      <c r="AB73" s="67"/>
      <c r="AC73" s="67"/>
    </row>
    <row r="74" spans="1:68" ht="14.25" hidden="1" customHeight="1" x14ac:dyDescent="0.25">
      <c r="A74" s="666" t="s">
        <v>86</v>
      </c>
      <c r="B74" s="666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7">
        <v>4680115884311</v>
      </c>
      <c r="E75" s="66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9"/>
      <c r="R75" s="669"/>
      <c r="S75" s="669"/>
      <c r="T75" s="67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7">
        <v>4680115884403</v>
      </c>
      <c r="E76" s="66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9"/>
      <c r="R76" s="669"/>
      <c r="S76" s="669"/>
      <c r="T76" s="67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4"/>
      <c r="P77" s="660" t="s">
        <v>40</v>
      </c>
      <c r="Q77" s="661"/>
      <c r="R77" s="661"/>
      <c r="S77" s="661"/>
      <c r="T77" s="661"/>
      <c r="U77" s="661"/>
      <c r="V77" s="662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4"/>
      <c r="P78" s="660" t="s">
        <v>40</v>
      </c>
      <c r="Q78" s="661"/>
      <c r="R78" s="661"/>
      <c r="S78" s="661"/>
      <c r="T78" s="661"/>
      <c r="U78" s="661"/>
      <c r="V78" s="662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6" t="s">
        <v>178</v>
      </c>
      <c r="B79" s="666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6"/>
      <c r="AB79" s="66"/>
      <c r="AC79" s="80"/>
    </row>
    <row r="80" spans="1:68" ht="27" customHeight="1" x14ac:dyDescent="0.25">
      <c r="A80" s="63" t="s">
        <v>179</v>
      </c>
      <c r="B80" s="63" t="s">
        <v>180</v>
      </c>
      <c r="C80" s="36">
        <v>4301060455</v>
      </c>
      <c r="D80" s="667">
        <v>4680115881532</v>
      </c>
      <c r="E80" s="66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9"/>
      <c r="R80" s="669"/>
      <c r="S80" s="669"/>
      <c r="T80" s="670"/>
      <c r="U80" s="39" t="s">
        <v>46</v>
      </c>
      <c r="V80" s="39" t="s">
        <v>46</v>
      </c>
      <c r="W80" s="40" t="s">
        <v>0</v>
      </c>
      <c r="X80" s="58">
        <v>150</v>
      </c>
      <c r="Y80" s="55">
        <f>IFERROR(IF(X80="",0,CEILING((X80/$H80),1)*$H80),"")</f>
        <v>156</v>
      </c>
      <c r="Z80" s="41">
        <f>IFERROR(IF(Y80=0,"",ROUNDUP(Y80/H80,0)*0.01898),"")</f>
        <v>0.37959999999999999</v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157.88461538461542</v>
      </c>
      <c r="BN80" s="78">
        <f>IFERROR(Y80*I80/H80,"0")</f>
        <v>164.20000000000005</v>
      </c>
      <c r="BO80" s="78">
        <f>IFERROR(1/J80*(X80/H80),"0")</f>
        <v>0.30048076923076922</v>
      </c>
      <c r="BP80" s="78">
        <f>IFERROR(1/J80*(Y80/H80),"0")</f>
        <v>0.3125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7">
        <v>4680115881532</v>
      </c>
      <c r="E81" s="66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9"/>
      <c r="R81" s="669"/>
      <c r="S81" s="669"/>
      <c r="T81" s="67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7">
        <v>4680115881464</v>
      </c>
      <c r="E82" s="66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9"/>
      <c r="R82" s="669"/>
      <c r="S82" s="669"/>
      <c r="T82" s="67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4"/>
      <c r="P83" s="660" t="s">
        <v>40</v>
      </c>
      <c r="Q83" s="661"/>
      <c r="R83" s="661"/>
      <c r="S83" s="661"/>
      <c r="T83" s="661"/>
      <c r="U83" s="661"/>
      <c r="V83" s="662"/>
      <c r="W83" s="42" t="s">
        <v>39</v>
      </c>
      <c r="X83" s="43">
        <f>IFERROR(X80/H80,"0")+IFERROR(X81/H81,"0")+IFERROR(X82/H82,"0")</f>
        <v>19.23076923076923</v>
      </c>
      <c r="Y83" s="43">
        <f>IFERROR(Y80/H80,"0")+IFERROR(Y81/H81,"0")+IFERROR(Y82/H82,"0")</f>
        <v>20</v>
      </c>
      <c r="Z83" s="43">
        <f>IFERROR(IF(Z80="",0,Z80),"0")+IFERROR(IF(Z81="",0,Z81),"0")+IFERROR(IF(Z82="",0,Z82),"0")</f>
        <v>0.37959999999999999</v>
      </c>
      <c r="AA83" s="67"/>
      <c r="AB83" s="67"/>
      <c r="AC83" s="67"/>
    </row>
    <row r="84" spans="1:68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4"/>
      <c r="P84" s="660" t="s">
        <v>40</v>
      </c>
      <c r="Q84" s="661"/>
      <c r="R84" s="661"/>
      <c r="S84" s="661"/>
      <c r="T84" s="661"/>
      <c r="U84" s="661"/>
      <c r="V84" s="662"/>
      <c r="W84" s="42" t="s">
        <v>0</v>
      </c>
      <c r="X84" s="43">
        <f>IFERROR(SUM(X80:X82),"0")</f>
        <v>150</v>
      </c>
      <c r="Y84" s="43">
        <f>IFERROR(SUM(Y80:Y82),"0")</f>
        <v>156</v>
      </c>
      <c r="Z84" s="42"/>
      <c r="AA84" s="67"/>
      <c r="AB84" s="67"/>
      <c r="AC84" s="67"/>
    </row>
    <row r="85" spans="1:68" ht="16.5" hidden="1" customHeight="1" x14ac:dyDescent="0.25">
      <c r="A85" s="665" t="s">
        <v>186</v>
      </c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5"/>
      <c r="AB85" s="65"/>
      <c r="AC85" s="79"/>
    </row>
    <row r="86" spans="1:68" ht="14.25" hidden="1" customHeight="1" x14ac:dyDescent="0.25">
      <c r="A86" s="666" t="s">
        <v>122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6"/>
      <c r="X86" s="666"/>
      <c r="Y86" s="666"/>
      <c r="Z86" s="666"/>
      <c r="AA86" s="66"/>
      <c r="AB86" s="66"/>
      <c r="AC86" s="80"/>
    </row>
    <row r="87" spans="1:68" ht="27" hidden="1" customHeight="1" x14ac:dyDescent="0.25">
      <c r="A87" s="63" t="s">
        <v>187</v>
      </c>
      <c r="B87" s="63" t="s">
        <v>188</v>
      </c>
      <c r="C87" s="36">
        <v>4301011468</v>
      </c>
      <c r="D87" s="667">
        <v>4680115881327</v>
      </c>
      <c r="E87" s="66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9"/>
      <c r="R87" s="669"/>
      <c r="S87" s="669"/>
      <c r="T87" s="67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ref="Y87:Y92" si="5"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0</v>
      </c>
      <c r="BN87" s="78">
        <f t="shared" ref="BN87:BN92" si="7">IFERROR(Y87*I87/H87,"0")</f>
        <v>0</v>
      </c>
      <c r="BO87" s="78">
        <f t="shared" ref="BO87:BO92" si="8">IFERROR(1/J87*(X87/H87),"0")</f>
        <v>0</v>
      </c>
      <c r="BP87" s="78">
        <f t="shared" ref="BP87:BP92" si="9">IFERROR(1/J87*(Y87/H87),"0")</f>
        <v>0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667">
        <v>4680115881327</v>
      </c>
      <c r="E88" s="66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92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69"/>
      <c r="R88" s="669"/>
      <c r="S88" s="669"/>
      <c r="T88" s="67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667">
        <v>4680115887732</v>
      </c>
      <c r="E89" s="66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2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9"/>
      <c r="R89" s="669"/>
      <c r="S89" s="669"/>
      <c r="T89" s="67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67">
        <v>4680115881518</v>
      </c>
      <c r="E90" s="66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9"/>
      <c r="R90" s="669"/>
      <c r="S90" s="669"/>
      <c r="T90" s="67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667">
        <v>4680115881518</v>
      </c>
      <c r="E91" s="66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9"/>
      <c r="R91" s="669"/>
      <c r="S91" s="669"/>
      <c r="T91" s="67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197</v>
      </c>
      <c r="B92" s="63" t="s">
        <v>198</v>
      </c>
      <c r="C92" s="36">
        <v>4301012250</v>
      </c>
      <c r="D92" s="667">
        <v>4680115881303</v>
      </c>
      <c r="E92" s="66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9"/>
      <c r="R92" s="669"/>
      <c r="S92" s="669"/>
      <c r="T92" s="670"/>
      <c r="U92" s="39" t="s">
        <v>46</v>
      </c>
      <c r="V92" s="39" t="s">
        <v>46</v>
      </c>
      <c r="W92" s="40" t="s">
        <v>0</v>
      </c>
      <c r="X92" s="58">
        <v>45</v>
      </c>
      <c r="Y92" s="55">
        <f t="shared" si="5"/>
        <v>45</v>
      </c>
      <c r="Z92" s="41">
        <f>IFERROR(IF(Y92=0,"",ROUNDUP(Y92/H92,0)*0.00902),"")</f>
        <v>9.0200000000000002E-2</v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46.900000000000006</v>
      </c>
      <c r="BN92" s="78">
        <f t="shared" si="7"/>
        <v>46.900000000000006</v>
      </c>
      <c r="BO92" s="78">
        <f t="shared" si="8"/>
        <v>7.575757575757576E-2</v>
      </c>
      <c r="BP92" s="78">
        <f t="shared" si="9"/>
        <v>7.575757575757576E-2</v>
      </c>
    </row>
    <row r="93" spans="1:68" x14ac:dyDescent="0.2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4"/>
      <c r="P93" s="660" t="s">
        <v>40</v>
      </c>
      <c r="Q93" s="661"/>
      <c r="R93" s="661"/>
      <c r="S93" s="661"/>
      <c r="T93" s="661"/>
      <c r="U93" s="661"/>
      <c r="V93" s="662"/>
      <c r="W93" s="42" t="s">
        <v>39</v>
      </c>
      <c r="X93" s="43">
        <f>IFERROR(X87/H87,"0")+IFERROR(X88/H88,"0")+IFERROR(X89/H89,"0")+IFERROR(X90/H90,"0")+IFERROR(X91/H91,"0")+IFERROR(X92/H92,"0")</f>
        <v>10</v>
      </c>
      <c r="Y93" s="43">
        <f>IFERROR(Y87/H87,"0")+IFERROR(Y88/H88,"0")+IFERROR(Y89/H89,"0")+IFERROR(Y90/H90,"0")+IFERROR(Y91/H91,"0")+IFERROR(Y92/H92,"0")</f>
        <v>10</v>
      </c>
      <c r="Z93" s="43">
        <f>IFERROR(IF(Z87="",0,Z87),"0")+IFERROR(IF(Z88="",0,Z88),"0")+IFERROR(IF(Z89="",0,Z89),"0")+IFERROR(IF(Z90="",0,Z90),"0")+IFERROR(IF(Z91="",0,Z91),"0")+IFERROR(IF(Z92="",0,Z92),"0")</f>
        <v>9.0200000000000002E-2</v>
      </c>
      <c r="AA93" s="67"/>
      <c r="AB93" s="67"/>
      <c r="AC93" s="67"/>
    </row>
    <row r="94" spans="1:68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4"/>
      <c r="P94" s="660" t="s">
        <v>40</v>
      </c>
      <c r="Q94" s="661"/>
      <c r="R94" s="661"/>
      <c r="S94" s="661"/>
      <c r="T94" s="661"/>
      <c r="U94" s="661"/>
      <c r="V94" s="662"/>
      <c r="W94" s="42" t="s">
        <v>0</v>
      </c>
      <c r="X94" s="43">
        <f>IFERROR(SUM(X87:X92),"0")</f>
        <v>45</v>
      </c>
      <c r="Y94" s="43">
        <f>IFERROR(SUM(Y87:Y92),"0")</f>
        <v>45</v>
      </c>
      <c r="Z94" s="42"/>
      <c r="AA94" s="67"/>
      <c r="AB94" s="67"/>
      <c r="AC94" s="67"/>
    </row>
    <row r="95" spans="1:68" ht="14.25" hidden="1" customHeight="1" x14ac:dyDescent="0.25">
      <c r="A95" s="666" t="s">
        <v>86</v>
      </c>
      <c r="B95" s="666"/>
      <c r="C95" s="666"/>
      <c r="D95" s="666"/>
      <c r="E95" s="666"/>
      <c r="F95" s="666"/>
      <c r="G95" s="666"/>
      <c r="H95" s="666"/>
      <c r="I95" s="666"/>
      <c r="J95" s="666"/>
      <c r="K95" s="666"/>
      <c r="L95" s="666"/>
      <c r="M95" s="666"/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6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667">
        <v>4607091386967</v>
      </c>
      <c r="E96" s="66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9"/>
      <c r="R96" s="669"/>
      <c r="S96" s="669"/>
      <c r="T96" s="670"/>
      <c r="U96" s="39" t="s">
        <v>46</v>
      </c>
      <c r="V96" s="39" t="s">
        <v>46</v>
      </c>
      <c r="W96" s="40" t="s">
        <v>0</v>
      </c>
      <c r="X96" s="58">
        <v>200</v>
      </c>
      <c r="Y96" s="55">
        <f>IFERROR(IF(X96="",0,CEILING((X96/$H96),1)*$H96),"")</f>
        <v>202.5</v>
      </c>
      <c r="Z96" s="41">
        <f>IFERROR(IF(Y96=0,"",ROUNDUP(Y96/H96,0)*0.01898),"")</f>
        <v>0.47450000000000003</v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212.19753086419755</v>
      </c>
      <c r="BN96" s="78">
        <f>IFERROR(Y96*I96/H96,"0")</f>
        <v>214.85</v>
      </c>
      <c r="BO96" s="78">
        <f>IFERROR(1/J96*(X96/H96),"0")</f>
        <v>0.38580246913580246</v>
      </c>
      <c r="BP96" s="78">
        <f>IFERROR(1/J96*(Y96/H96),"0")</f>
        <v>0.390625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667">
        <v>4680115884953</v>
      </c>
      <c r="E97" s="66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9"/>
      <c r="R97" s="669"/>
      <c r="S97" s="669"/>
      <c r="T97" s="67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667">
        <v>4607091385731</v>
      </c>
      <c r="E98" s="66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9"/>
      <c r="R98" s="669"/>
      <c r="S98" s="669"/>
      <c r="T98" s="670"/>
      <c r="U98" s="39" t="s">
        <v>46</v>
      </c>
      <c r="V98" s="39" t="s">
        <v>46</v>
      </c>
      <c r="W98" s="40" t="s">
        <v>0</v>
      </c>
      <c r="X98" s="58">
        <v>67.5</v>
      </c>
      <c r="Y98" s="55">
        <f>IFERROR(IF(X98="",0,CEILING((X98/$H98),1)*$H98),"")</f>
        <v>67.5</v>
      </c>
      <c r="Z98" s="41">
        <f>IFERROR(IF(Y98=0,"",ROUNDUP(Y98/H98,0)*0.00651),"")</f>
        <v>0.16275000000000001</v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73.8</v>
      </c>
      <c r="BN98" s="78">
        <f>IFERROR(Y98*I98/H98,"0")</f>
        <v>73.8</v>
      </c>
      <c r="BO98" s="78">
        <f>IFERROR(1/J98*(X98/H98),"0")</f>
        <v>0.13736263736263737</v>
      </c>
      <c r="BP98" s="78">
        <f>IFERROR(1/J98*(Y98/H98),"0")</f>
        <v>0.13736263736263737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667">
        <v>4680115880894</v>
      </c>
      <c r="E99" s="66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9"/>
      <c r="R99" s="669"/>
      <c r="S99" s="669"/>
      <c r="T99" s="67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663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4"/>
      <c r="P100" s="660" t="s">
        <v>40</v>
      </c>
      <c r="Q100" s="661"/>
      <c r="R100" s="661"/>
      <c r="S100" s="661"/>
      <c r="T100" s="661"/>
      <c r="U100" s="661"/>
      <c r="V100" s="662"/>
      <c r="W100" s="42" t="s">
        <v>39</v>
      </c>
      <c r="X100" s="43">
        <f>IFERROR(X96/H96,"0")+IFERROR(X97/H97,"0")+IFERROR(X98/H98,"0")+IFERROR(X99/H99,"0")</f>
        <v>49.691358024691354</v>
      </c>
      <c r="Y100" s="43">
        <f>IFERROR(Y96/H96,"0")+IFERROR(Y97/H97,"0")+IFERROR(Y98/H98,"0")+IFERROR(Y99/H99,"0")</f>
        <v>50</v>
      </c>
      <c r="Z100" s="43">
        <f>IFERROR(IF(Z96="",0,Z96),"0")+IFERROR(IF(Z97="",0,Z97),"0")+IFERROR(IF(Z98="",0,Z98),"0")+IFERROR(IF(Z99="",0,Z99),"0")</f>
        <v>0.63725000000000009</v>
      </c>
      <c r="AA100" s="67"/>
      <c r="AB100" s="67"/>
      <c r="AC100" s="67"/>
    </row>
    <row r="101" spans="1:68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4"/>
      <c r="P101" s="660" t="s">
        <v>40</v>
      </c>
      <c r="Q101" s="661"/>
      <c r="R101" s="661"/>
      <c r="S101" s="661"/>
      <c r="T101" s="661"/>
      <c r="U101" s="661"/>
      <c r="V101" s="662"/>
      <c r="W101" s="42" t="s">
        <v>0</v>
      </c>
      <c r="X101" s="43">
        <f>IFERROR(SUM(X96:X99),"0")</f>
        <v>267.5</v>
      </c>
      <c r="Y101" s="43">
        <f>IFERROR(SUM(Y96:Y99),"0")</f>
        <v>270</v>
      </c>
      <c r="Z101" s="42"/>
      <c r="AA101" s="67"/>
      <c r="AB101" s="67"/>
      <c r="AC101" s="67"/>
    </row>
    <row r="102" spans="1:68" ht="16.5" hidden="1" customHeight="1" x14ac:dyDescent="0.25">
      <c r="A102" s="665" t="s">
        <v>210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5"/>
      <c r="AB102" s="65"/>
      <c r="AC102" s="79"/>
    </row>
    <row r="103" spans="1:68" ht="14.25" hidden="1" customHeight="1" x14ac:dyDescent="0.25">
      <c r="A103" s="666" t="s">
        <v>122</v>
      </c>
      <c r="B103" s="666"/>
      <c r="C103" s="666"/>
      <c r="D103" s="666"/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"/>
      <c r="AB103" s="66"/>
      <c r="AC103" s="80"/>
    </row>
    <row r="104" spans="1:68" ht="37.5" hidden="1" customHeight="1" x14ac:dyDescent="0.25">
      <c r="A104" s="63" t="s">
        <v>211</v>
      </c>
      <c r="B104" s="63" t="s">
        <v>212</v>
      </c>
      <c r="C104" s="36">
        <v>4301011514</v>
      </c>
      <c r="D104" s="667">
        <v>4680115882133</v>
      </c>
      <c r="E104" s="66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9"/>
      <c r="R104" s="669"/>
      <c r="S104" s="669"/>
      <c r="T104" s="67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667">
        <v>4680115882133</v>
      </c>
      <c r="E105" s="66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1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9"/>
      <c r="R105" s="669"/>
      <c r="S105" s="669"/>
      <c r="T105" s="67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667">
        <v>4680115887718</v>
      </c>
      <c r="E106" s="66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9"/>
      <c r="R106" s="669"/>
      <c r="S106" s="669"/>
      <c r="T106" s="67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667">
        <v>4680115880269</v>
      </c>
      <c r="E107" s="66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9"/>
      <c r="R107" s="669"/>
      <c r="S107" s="669"/>
      <c r="T107" s="67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667">
        <v>4680115880269</v>
      </c>
      <c r="E108" s="66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1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9"/>
      <c r="R108" s="669"/>
      <c r="S108" s="669"/>
      <c r="T108" s="67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222</v>
      </c>
      <c r="B109" s="63" t="s">
        <v>223</v>
      </c>
      <c r="C109" s="36">
        <v>4301012254</v>
      </c>
      <c r="D109" s="667">
        <v>4680115880429</v>
      </c>
      <c r="E109" s="66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1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9"/>
      <c r="R109" s="669"/>
      <c r="S109" s="669"/>
      <c r="T109" s="670"/>
      <c r="U109" s="39" t="s">
        <v>46</v>
      </c>
      <c r="V109" s="39" t="s">
        <v>46</v>
      </c>
      <c r="W109" s="40" t="s">
        <v>0</v>
      </c>
      <c r="X109" s="58">
        <v>22.5</v>
      </c>
      <c r="Y109" s="55">
        <f t="shared" si="10"/>
        <v>22.5</v>
      </c>
      <c r="Z109" s="41">
        <f>IFERROR(IF(Y109=0,"",ROUNDUP(Y109/H109,0)*0.00902),"")</f>
        <v>4.5100000000000001E-2</v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23.450000000000003</v>
      </c>
      <c r="BN109" s="78">
        <f t="shared" si="12"/>
        <v>23.450000000000003</v>
      </c>
      <c r="BO109" s="78">
        <f t="shared" si="13"/>
        <v>3.787878787878788E-2</v>
      </c>
      <c r="BP109" s="78">
        <f t="shared" si="14"/>
        <v>3.787878787878788E-2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7">
        <v>4680115881457</v>
      </c>
      <c r="E110" s="66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9"/>
      <c r="R110" s="669"/>
      <c r="S110" s="669"/>
      <c r="T110" s="67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667">
        <v>4680115881457</v>
      </c>
      <c r="E111" s="66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9"/>
      <c r="R111" s="669"/>
      <c r="S111" s="669"/>
      <c r="T111" s="67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667">
        <v>4680115889477</v>
      </c>
      <c r="E112" s="66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9"/>
      <c r="R112" s="669"/>
      <c r="S112" s="669"/>
      <c r="T112" s="67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4"/>
      <c r="P113" s="660" t="s">
        <v>40</v>
      </c>
      <c r="Q113" s="661"/>
      <c r="R113" s="661"/>
      <c r="S113" s="661"/>
      <c r="T113" s="661"/>
      <c r="U113" s="661"/>
      <c r="V113" s="66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5</v>
      </c>
      <c r="Y113" s="43">
        <f>IFERROR(Y104/H104,"0")+IFERROR(Y105/H105,"0")+IFERROR(Y106/H106,"0")+IFERROR(Y107/H107,"0")+IFERROR(Y108/H108,"0")+IFERROR(Y109/H109,"0")+IFERROR(Y110/H110,"0")+IFERROR(Y111/H111,"0")+IFERROR(Y112/H112,"0")</f>
        <v>5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4.5100000000000001E-2</v>
      </c>
      <c r="AA113" s="67"/>
      <c r="AB113" s="67"/>
      <c r="AC113" s="67"/>
    </row>
    <row r="114" spans="1:68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4"/>
      <c r="P114" s="660" t="s">
        <v>40</v>
      </c>
      <c r="Q114" s="661"/>
      <c r="R114" s="661"/>
      <c r="S114" s="661"/>
      <c r="T114" s="661"/>
      <c r="U114" s="661"/>
      <c r="V114" s="662"/>
      <c r="W114" s="42" t="s">
        <v>0</v>
      </c>
      <c r="X114" s="43">
        <f>IFERROR(SUM(X104:X112),"0")</f>
        <v>22.5</v>
      </c>
      <c r="Y114" s="43">
        <f>IFERROR(SUM(Y104:Y112),"0")</f>
        <v>22.5</v>
      </c>
      <c r="Z114" s="42"/>
      <c r="AA114" s="67"/>
      <c r="AB114" s="67"/>
      <c r="AC114" s="67"/>
    </row>
    <row r="115" spans="1:68" ht="14.25" hidden="1" customHeight="1" x14ac:dyDescent="0.25">
      <c r="A115" s="666" t="s">
        <v>159</v>
      </c>
      <c r="B115" s="666"/>
      <c r="C115" s="666"/>
      <c r="D115" s="666"/>
      <c r="E115" s="666"/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/>
      <c r="X115" s="666"/>
      <c r="Y115" s="666"/>
      <c r="Z115" s="666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4301020391</v>
      </c>
      <c r="D116" s="667">
        <v>4680115881488</v>
      </c>
      <c r="E116" s="66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9"/>
      <c r="R116" s="669"/>
      <c r="S116" s="669"/>
      <c r="T116" s="670"/>
      <c r="U116" s="39" t="s">
        <v>46</v>
      </c>
      <c r="V116" s="39" t="s">
        <v>46</v>
      </c>
      <c r="W116" s="40" t="s">
        <v>0</v>
      </c>
      <c r="X116" s="58">
        <v>100</v>
      </c>
      <c r="Y116" s="55">
        <f>IFERROR(IF(X116="",0,CEILING((X116/$H116),1)*$H116),"")</f>
        <v>108</v>
      </c>
      <c r="Z116" s="41">
        <f>IFERROR(IF(Y116=0,"",ROUNDUP(Y116/H116,0)*0.01898),"")</f>
        <v>0.1898</v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103.79629629629629</v>
      </c>
      <c r="BN116" s="78">
        <f>IFERROR(Y116*I116/H116,"0")</f>
        <v>112.1</v>
      </c>
      <c r="BO116" s="78">
        <f>IFERROR(1/J116*(X116/H116),"0")</f>
        <v>0.14467592592592593</v>
      </c>
      <c r="BP116" s="78">
        <f>IFERROR(1/J116*(Y116/H116),"0")</f>
        <v>0.15625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667">
        <v>4680115882775</v>
      </c>
      <c r="E117" s="66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9"/>
      <c r="R117" s="669"/>
      <c r="S117" s="669"/>
      <c r="T117" s="67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235</v>
      </c>
      <c r="B118" s="63" t="s">
        <v>236</v>
      </c>
      <c r="C118" s="36">
        <v>4301020392</v>
      </c>
      <c r="D118" s="667">
        <v>4680115880658</v>
      </c>
      <c r="E118" s="66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9"/>
      <c r="R118" s="669"/>
      <c r="S118" s="669"/>
      <c r="T118" s="670"/>
      <c r="U118" s="39" t="s">
        <v>46</v>
      </c>
      <c r="V118" s="39" t="s">
        <v>46</v>
      </c>
      <c r="W118" s="40" t="s">
        <v>0</v>
      </c>
      <c r="X118" s="58">
        <v>20</v>
      </c>
      <c r="Y118" s="55">
        <f>IFERROR(IF(X118="",0,CEILING((X118/$H118),1)*$H118),"")</f>
        <v>21.599999999999998</v>
      </c>
      <c r="Z118" s="41">
        <f>IFERROR(IF(Y118=0,"",ROUNDUP(Y118/H118,0)*0.00651),"")</f>
        <v>5.8590000000000003E-2</v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21.5</v>
      </c>
      <c r="BN118" s="78">
        <f>IFERROR(Y118*I118/H118,"0")</f>
        <v>23.22</v>
      </c>
      <c r="BO118" s="78">
        <f>IFERROR(1/J118*(X118/H118),"0")</f>
        <v>4.5787545787545791E-2</v>
      </c>
      <c r="BP118" s="78">
        <f>IFERROR(1/J118*(Y118/H118),"0")</f>
        <v>4.9450549450549455E-2</v>
      </c>
    </row>
    <row r="119" spans="1:68" x14ac:dyDescent="0.2">
      <c r="A119" s="663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4"/>
      <c r="P119" s="660" t="s">
        <v>40</v>
      </c>
      <c r="Q119" s="661"/>
      <c r="R119" s="661"/>
      <c r="S119" s="661"/>
      <c r="T119" s="661"/>
      <c r="U119" s="661"/>
      <c r="V119" s="662"/>
      <c r="W119" s="42" t="s">
        <v>39</v>
      </c>
      <c r="X119" s="43">
        <f>IFERROR(X116/H116,"0")+IFERROR(X117/H117,"0")+IFERROR(X118/H118,"0")</f>
        <v>17.592592592592595</v>
      </c>
      <c r="Y119" s="43">
        <f>IFERROR(Y116/H116,"0")+IFERROR(Y117/H117,"0")+IFERROR(Y118/H118,"0")</f>
        <v>19</v>
      </c>
      <c r="Z119" s="43">
        <f>IFERROR(IF(Z116="",0,Z116),"0")+IFERROR(IF(Z117="",0,Z117),"0")+IFERROR(IF(Z118="",0,Z118),"0")</f>
        <v>0.24839</v>
      </c>
      <c r="AA119" s="67"/>
      <c r="AB119" s="67"/>
      <c r="AC119" s="67"/>
    </row>
    <row r="120" spans="1:68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4"/>
      <c r="P120" s="660" t="s">
        <v>40</v>
      </c>
      <c r="Q120" s="661"/>
      <c r="R120" s="661"/>
      <c r="S120" s="661"/>
      <c r="T120" s="661"/>
      <c r="U120" s="661"/>
      <c r="V120" s="662"/>
      <c r="W120" s="42" t="s">
        <v>0</v>
      </c>
      <c r="X120" s="43">
        <f>IFERROR(SUM(X116:X118),"0")</f>
        <v>120</v>
      </c>
      <c r="Y120" s="43">
        <f>IFERROR(SUM(Y116:Y118),"0")</f>
        <v>129.6</v>
      </c>
      <c r="Z120" s="42"/>
      <c r="AA120" s="67"/>
      <c r="AB120" s="67"/>
      <c r="AC120" s="67"/>
    </row>
    <row r="121" spans="1:68" ht="14.25" hidden="1" customHeight="1" x14ac:dyDescent="0.25">
      <c r="A121" s="666" t="s">
        <v>86</v>
      </c>
      <c r="B121" s="666"/>
      <c r="C121" s="666"/>
      <c r="D121" s="666"/>
      <c r="E121" s="666"/>
      <c r="F121" s="666"/>
      <c r="G121" s="666"/>
      <c r="H121" s="666"/>
      <c r="I121" s="666"/>
      <c r="J121" s="666"/>
      <c r="K121" s="666"/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"/>
      <c r="AB121" s="66"/>
      <c r="AC121" s="80"/>
    </row>
    <row r="122" spans="1:68" ht="27" customHeight="1" x14ac:dyDescent="0.25">
      <c r="A122" s="63" t="s">
        <v>237</v>
      </c>
      <c r="B122" s="63" t="s">
        <v>238</v>
      </c>
      <c r="C122" s="36">
        <v>4301052088</v>
      </c>
      <c r="D122" s="667">
        <v>4607091385168</v>
      </c>
      <c r="E122" s="66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9"/>
      <c r="R122" s="669"/>
      <c r="S122" s="669"/>
      <c r="T122" s="670"/>
      <c r="U122" s="39" t="s">
        <v>46</v>
      </c>
      <c r="V122" s="39" t="s">
        <v>46</v>
      </c>
      <c r="W122" s="40" t="s">
        <v>0</v>
      </c>
      <c r="X122" s="58">
        <v>200</v>
      </c>
      <c r="Y122" s="55">
        <f>IFERROR(IF(X122="",0,CEILING((X122/$H122),1)*$H122),"")</f>
        <v>202.5</v>
      </c>
      <c r="Z122" s="41">
        <f>IFERROR(IF(Y122=0,"",ROUNDUP(Y122/H122,0)*0.01898),"")</f>
        <v>0.47450000000000003</v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212.04938271604939</v>
      </c>
      <c r="BN122" s="78">
        <f>IFERROR(Y122*I122/H122,"0")</f>
        <v>214.7</v>
      </c>
      <c r="BO122" s="78">
        <f>IFERROR(1/J122*(X122/H122),"0")</f>
        <v>0.38580246913580246</v>
      </c>
      <c r="BP122" s="78">
        <f>IFERROR(1/J122*(Y122/H122),"0")</f>
        <v>0.390625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667">
        <v>4607091383256</v>
      </c>
      <c r="E123" s="66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9"/>
      <c r="R123" s="669"/>
      <c r="S123" s="669"/>
      <c r="T123" s="67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667">
        <v>4607091385748</v>
      </c>
      <c r="E124" s="66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90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9"/>
      <c r="R124" s="669"/>
      <c r="S124" s="669"/>
      <c r="T124" s="670"/>
      <c r="U124" s="39" t="s">
        <v>46</v>
      </c>
      <c r="V124" s="39" t="s">
        <v>46</v>
      </c>
      <c r="W124" s="40" t="s">
        <v>0</v>
      </c>
      <c r="X124" s="58">
        <v>67.5</v>
      </c>
      <c r="Y124" s="55">
        <f>IFERROR(IF(X124="",0,CEILING((X124/$H124),1)*$H124),"")</f>
        <v>67.5</v>
      </c>
      <c r="Z124" s="41">
        <f>IFERROR(IF(Y124=0,"",ROUNDUP(Y124/H124,0)*0.00651),"")</f>
        <v>0.16275000000000001</v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73.8</v>
      </c>
      <c r="BN124" s="78">
        <f>IFERROR(Y124*I124/H124,"0")</f>
        <v>73.8</v>
      </c>
      <c r="BO124" s="78">
        <f>IFERROR(1/J124*(X124/H124),"0")</f>
        <v>0.13736263736263737</v>
      </c>
      <c r="BP124" s="78">
        <f>IFERROR(1/J124*(Y124/H124),"0")</f>
        <v>0.13736263736263737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667">
        <v>4680115884533</v>
      </c>
      <c r="E125" s="66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90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9"/>
      <c r="R125" s="669"/>
      <c r="S125" s="669"/>
      <c r="T125" s="67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63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4"/>
      <c r="P126" s="660" t="s">
        <v>40</v>
      </c>
      <c r="Q126" s="661"/>
      <c r="R126" s="661"/>
      <c r="S126" s="661"/>
      <c r="T126" s="661"/>
      <c r="U126" s="661"/>
      <c r="V126" s="662"/>
      <c r="W126" s="42" t="s">
        <v>39</v>
      </c>
      <c r="X126" s="43">
        <f>IFERROR(X122/H122,"0")+IFERROR(X123/H123,"0")+IFERROR(X124/H124,"0")+IFERROR(X125/H125,"0")</f>
        <v>49.691358024691354</v>
      </c>
      <c r="Y126" s="43">
        <f>IFERROR(Y122/H122,"0")+IFERROR(Y123/H123,"0")+IFERROR(Y124/H124,"0")+IFERROR(Y125/H125,"0")</f>
        <v>50</v>
      </c>
      <c r="Z126" s="43">
        <f>IFERROR(IF(Z122="",0,Z122),"0")+IFERROR(IF(Z123="",0,Z123),"0")+IFERROR(IF(Z124="",0,Z124),"0")+IFERROR(IF(Z125="",0,Z125),"0")</f>
        <v>0.63725000000000009</v>
      </c>
      <c r="AA126" s="67"/>
      <c r="AB126" s="67"/>
      <c r="AC126" s="67"/>
    </row>
    <row r="127" spans="1:68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4"/>
      <c r="P127" s="660" t="s">
        <v>40</v>
      </c>
      <c r="Q127" s="661"/>
      <c r="R127" s="661"/>
      <c r="S127" s="661"/>
      <c r="T127" s="661"/>
      <c r="U127" s="661"/>
      <c r="V127" s="662"/>
      <c r="W127" s="42" t="s">
        <v>0</v>
      </c>
      <c r="X127" s="43">
        <f>IFERROR(SUM(X122:X125),"0")</f>
        <v>267.5</v>
      </c>
      <c r="Y127" s="43">
        <f>IFERROR(SUM(Y122:Y125),"0")</f>
        <v>270</v>
      </c>
      <c r="Z127" s="42"/>
      <c r="AA127" s="67"/>
      <c r="AB127" s="67"/>
      <c r="AC127" s="67"/>
    </row>
    <row r="128" spans="1:68" ht="14.25" hidden="1" customHeight="1" x14ac:dyDescent="0.25">
      <c r="A128" s="666" t="s">
        <v>178</v>
      </c>
      <c r="B128" s="666"/>
      <c r="C128" s="666"/>
      <c r="D128" s="666"/>
      <c r="E128" s="666"/>
      <c r="F128" s="666"/>
      <c r="G128" s="666"/>
      <c r="H128" s="666"/>
      <c r="I128" s="666"/>
      <c r="J128" s="666"/>
      <c r="K128" s="666"/>
      <c r="L128" s="666"/>
      <c r="M128" s="666"/>
      <c r="N128" s="666"/>
      <c r="O128" s="666"/>
      <c r="P128" s="666"/>
      <c r="Q128" s="666"/>
      <c r="R128" s="666"/>
      <c r="S128" s="666"/>
      <c r="T128" s="666"/>
      <c r="U128" s="666"/>
      <c r="V128" s="666"/>
      <c r="W128" s="666"/>
      <c r="X128" s="666"/>
      <c r="Y128" s="666"/>
      <c r="Z128" s="666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667">
        <v>4680115880238</v>
      </c>
      <c r="E129" s="66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90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9"/>
      <c r="R129" s="669"/>
      <c r="S129" s="669"/>
      <c r="T129" s="67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4"/>
      <c r="P130" s="660" t="s">
        <v>40</v>
      </c>
      <c r="Q130" s="661"/>
      <c r="R130" s="661"/>
      <c r="S130" s="661"/>
      <c r="T130" s="661"/>
      <c r="U130" s="661"/>
      <c r="V130" s="66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4"/>
      <c r="P131" s="660" t="s">
        <v>40</v>
      </c>
      <c r="Q131" s="661"/>
      <c r="R131" s="661"/>
      <c r="S131" s="661"/>
      <c r="T131" s="661"/>
      <c r="U131" s="661"/>
      <c r="V131" s="66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5" t="s">
        <v>250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5"/>
      <c r="AB132" s="65"/>
      <c r="AC132" s="79"/>
    </row>
    <row r="133" spans="1:68" ht="14.25" hidden="1" customHeight="1" x14ac:dyDescent="0.25">
      <c r="A133" s="666" t="s">
        <v>122</v>
      </c>
      <c r="B133" s="666"/>
      <c r="C133" s="666"/>
      <c r="D133" s="666"/>
      <c r="E133" s="666"/>
      <c r="F133" s="666"/>
      <c r="G133" s="666"/>
      <c r="H133" s="666"/>
      <c r="I133" s="666"/>
      <c r="J133" s="666"/>
      <c r="K133" s="666"/>
      <c r="L133" s="666"/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667">
        <v>4680115882577</v>
      </c>
      <c r="E134" s="66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9"/>
      <c r="R134" s="669"/>
      <c r="S134" s="669"/>
      <c r="T134" s="67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667">
        <v>4680115882577</v>
      </c>
      <c r="E135" s="66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9"/>
      <c r="R135" s="669"/>
      <c r="S135" s="669"/>
      <c r="T135" s="67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4"/>
      <c r="P136" s="660" t="s">
        <v>40</v>
      </c>
      <c r="Q136" s="661"/>
      <c r="R136" s="661"/>
      <c r="S136" s="661"/>
      <c r="T136" s="661"/>
      <c r="U136" s="661"/>
      <c r="V136" s="662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4"/>
      <c r="P137" s="660" t="s">
        <v>40</v>
      </c>
      <c r="Q137" s="661"/>
      <c r="R137" s="661"/>
      <c r="S137" s="661"/>
      <c r="T137" s="661"/>
      <c r="U137" s="661"/>
      <c r="V137" s="662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66" t="s">
        <v>77</v>
      </c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667">
        <v>4680115883444</v>
      </c>
      <c r="E139" s="66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9"/>
      <c r="R139" s="669"/>
      <c r="S139" s="669"/>
      <c r="T139" s="67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667">
        <v>4680115883444</v>
      </c>
      <c r="E140" s="66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9"/>
      <c r="R140" s="669"/>
      <c r="S140" s="669"/>
      <c r="T140" s="67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63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4"/>
      <c r="P141" s="660" t="s">
        <v>40</v>
      </c>
      <c r="Q141" s="661"/>
      <c r="R141" s="661"/>
      <c r="S141" s="661"/>
      <c r="T141" s="661"/>
      <c r="U141" s="661"/>
      <c r="V141" s="662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4"/>
      <c r="P142" s="660" t="s">
        <v>40</v>
      </c>
      <c r="Q142" s="661"/>
      <c r="R142" s="661"/>
      <c r="S142" s="661"/>
      <c r="T142" s="661"/>
      <c r="U142" s="661"/>
      <c r="V142" s="662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66" t="s">
        <v>86</v>
      </c>
      <c r="B143" s="666"/>
      <c r="C143" s="666"/>
      <c r="D143" s="666"/>
      <c r="E143" s="666"/>
      <c r="F143" s="666"/>
      <c r="G143" s="666"/>
      <c r="H143" s="666"/>
      <c r="I143" s="666"/>
      <c r="J143" s="666"/>
      <c r="K143" s="666"/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667">
        <v>4680115882584</v>
      </c>
      <c r="E144" s="66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9"/>
      <c r="R144" s="669"/>
      <c r="S144" s="669"/>
      <c r="T144" s="67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667">
        <v>4680115882584</v>
      </c>
      <c r="E145" s="66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9"/>
      <c r="R145" s="669"/>
      <c r="S145" s="669"/>
      <c r="T145" s="67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63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4"/>
      <c r="P146" s="660" t="s">
        <v>40</v>
      </c>
      <c r="Q146" s="661"/>
      <c r="R146" s="661"/>
      <c r="S146" s="661"/>
      <c r="T146" s="661"/>
      <c r="U146" s="661"/>
      <c r="V146" s="66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4"/>
      <c r="P147" s="660" t="s">
        <v>40</v>
      </c>
      <c r="Q147" s="661"/>
      <c r="R147" s="661"/>
      <c r="S147" s="661"/>
      <c r="T147" s="661"/>
      <c r="U147" s="661"/>
      <c r="V147" s="66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65" t="s">
        <v>263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5"/>
      <c r="AB148" s="65"/>
      <c r="AC148" s="79"/>
    </row>
    <row r="149" spans="1:68" ht="14.25" hidden="1" customHeight="1" x14ac:dyDescent="0.25">
      <c r="A149" s="666" t="s">
        <v>86</v>
      </c>
      <c r="B149" s="666"/>
      <c r="C149" s="666"/>
      <c r="D149" s="666"/>
      <c r="E149" s="666"/>
      <c r="F149" s="666"/>
      <c r="G149" s="666"/>
      <c r="H149" s="666"/>
      <c r="I149" s="666"/>
      <c r="J149" s="666"/>
      <c r="K149" s="666"/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667">
        <v>4680115888203</v>
      </c>
      <c r="E150" s="66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9"/>
      <c r="R150" s="669"/>
      <c r="S150" s="669"/>
      <c r="T150" s="67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667">
        <v>4680115888180</v>
      </c>
      <c r="E151" s="66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9"/>
      <c r="R151" s="669"/>
      <c r="S151" s="669"/>
      <c r="T151" s="67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667">
        <v>4680115888180</v>
      </c>
      <c r="E152" s="66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9"/>
      <c r="R152" s="669"/>
      <c r="S152" s="669"/>
      <c r="T152" s="67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667">
        <v>4680115888197</v>
      </c>
      <c r="E153" s="66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9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9"/>
      <c r="R153" s="669"/>
      <c r="S153" s="669"/>
      <c r="T153" s="67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667">
        <v>4680115888210</v>
      </c>
      <c r="E154" s="66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9"/>
      <c r="R154" s="669"/>
      <c r="S154" s="669"/>
      <c r="T154" s="67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667">
        <v>4680115888210</v>
      </c>
      <c r="E155" s="66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9"/>
      <c r="R155" s="669"/>
      <c r="S155" s="669"/>
      <c r="T155" s="67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4"/>
      <c r="P156" s="660" t="s">
        <v>40</v>
      </c>
      <c r="Q156" s="661"/>
      <c r="R156" s="661"/>
      <c r="S156" s="661"/>
      <c r="T156" s="661"/>
      <c r="U156" s="661"/>
      <c r="V156" s="662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4"/>
      <c r="P157" s="660" t="s">
        <v>40</v>
      </c>
      <c r="Q157" s="661"/>
      <c r="R157" s="661"/>
      <c r="S157" s="661"/>
      <c r="T157" s="661"/>
      <c r="U157" s="661"/>
      <c r="V157" s="662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6" t="s">
        <v>278</v>
      </c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667">
        <v>4680115889132</v>
      </c>
      <c r="E159" s="66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9"/>
      <c r="R159" s="669"/>
      <c r="S159" s="669"/>
      <c r="T159" s="67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4"/>
      <c r="P160" s="660" t="s">
        <v>40</v>
      </c>
      <c r="Q160" s="661"/>
      <c r="R160" s="661"/>
      <c r="S160" s="661"/>
      <c r="T160" s="661"/>
      <c r="U160" s="661"/>
      <c r="V160" s="66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4"/>
      <c r="P161" s="660" t="s">
        <v>40</v>
      </c>
      <c r="Q161" s="661"/>
      <c r="R161" s="661"/>
      <c r="S161" s="661"/>
      <c r="T161" s="661"/>
      <c r="U161" s="661"/>
      <c r="V161" s="66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5" t="s">
        <v>120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5"/>
      <c r="AB162" s="65"/>
      <c r="AC162" s="79"/>
    </row>
    <row r="163" spans="1:68" ht="14.25" hidden="1" customHeight="1" x14ac:dyDescent="0.25">
      <c r="A163" s="666" t="s">
        <v>122</v>
      </c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667">
        <v>4680115887374</v>
      </c>
      <c r="E164" s="66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9"/>
      <c r="R164" s="669"/>
      <c r="S164" s="669"/>
      <c r="T164" s="67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667">
        <v>4607091384604</v>
      </c>
      <c r="E165" s="66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9"/>
      <c r="R165" s="669"/>
      <c r="S165" s="669"/>
      <c r="T165" s="67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667">
        <v>4607091384604</v>
      </c>
      <c r="E166" s="66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8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9"/>
      <c r="R166" s="669"/>
      <c r="S166" s="669"/>
      <c r="T166" s="67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667">
        <v>4680115888876</v>
      </c>
      <c r="E167" s="66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8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9"/>
      <c r="R167" s="669"/>
      <c r="S167" s="669"/>
      <c r="T167" s="67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63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4"/>
      <c r="P168" s="660" t="s">
        <v>40</v>
      </c>
      <c r="Q168" s="661"/>
      <c r="R168" s="661"/>
      <c r="S168" s="661"/>
      <c r="T168" s="661"/>
      <c r="U168" s="661"/>
      <c r="V168" s="66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4"/>
      <c r="P169" s="660" t="s">
        <v>40</v>
      </c>
      <c r="Q169" s="661"/>
      <c r="R169" s="661"/>
      <c r="S169" s="661"/>
      <c r="T169" s="661"/>
      <c r="U169" s="661"/>
      <c r="V169" s="66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66" t="s">
        <v>159</v>
      </c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667">
        <v>4680115887695</v>
      </c>
      <c r="E171" s="66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8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9"/>
      <c r="R171" s="669"/>
      <c r="S171" s="669"/>
      <c r="T171" s="67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667">
        <v>4680115889491</v>
      </c>
      <c r="E172" s="66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8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9"/>
      <c r="R172" s="669"/>
      <c r="S172" s="669"/>
      <c r="T172" s="67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4"/>
      <c r="P173" s="660" t="s">
        <v>40</v>
      </c>
      <c r="Q173" s="661"/>
      <c r="R173" s="661"/>
      <c r="S173" s="661"/>
      <c r="T173" s="661"/>
      <c r="U173" s="661"/>
      <c r="V173" s="66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4"/>
      <c r="P174" s="660" t="s">
        <v>40</v>
      </c>
      <c r="Q174" s="661"/>
      <c r="R174" s="661"/>
      <c r="S174" s="661"/>
      <c r="T174" s="661"/>
      <c r="U174" s="661"/>
      <c r="V174" s="66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66" t="s">
        <v>77</v>
      </c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"/>
      <c r="AB175" s="66"/>
      <c r="AC175" s="80"/>
    </row>
    <row r="176" spans="1:68" ht="27" customHeight="1" x14ac:dyDescent="0.25">
      <c r="A176" s="63" t="s">
        <v>301</v>
      </c>
      <c r="B176" s="63" t="s">
        <v>302</v>
      </c>
      <c r="C176" s="36">
        <v>4301031496</v>
      </c>
      <c r="D176" s="667">
        <v>4680115887428</v>
      </c>
      <c r="E176" s="66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9"/>
      <c r="R176" s="669"/>
      <c r="S176" s="669"/>
      <c r="T176" s="670"/>
      <c r="U176" s="39" t="s">
        <v>46</v>
      </c>
      <c r="V176" s="39" t="s">
        <v>46</v>
      </c>
      <c r="W176" s="40" t="s">
        <v>0</v>
      </c>
      <c r="X176" s="58">
        <v>50</v>
      </c>
      <c r="Y176" s="55">
        <f t="shared" ref="Y176:Y186" si="21">IFERROR(IF(X176="",0,CEILING((X176/$H176),1)*$H176),"")</f>
        <v>52.5</v>
      </c>
      <c r="Z176" s="41">
        <f>IFERROR(IF(Y176=0,"",ROUNDUP(Y176/H176,0)*0.00902),"")</f>
        <v>0.1353</v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52.714285714285715</v>
      </c>
      <c r="BN176" s="78">
        <f t="shared" ref="BN176:BN186" si="23">IFERROR(Y176*I176/H176,"0")</f>
        <v>55.35</v>
      </c>
      <c r="BO176" s="78">
        <f t="shared" ref="BO176:BO186" si="24">IFERROR(1/J176*(X176/H176),"0")</f>
        <v>0.10822510822510824</v>
      </c>
      <c r="BP176" s="78">
        <f t="shared" ref="BP176:BP186" si="25">IFERROR(1/J176*(Y176/H176),"0")</f>
        <v>0.11363636363636365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667">
        <v>4680115889170</v>
      </c>
      <c r="E177" s="66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9"/>
      <c r="R177" s="669"/>
      <c r="S177" s="669"/>
      <c r="T177" s="67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307</v>
      </c>
      <c r="B178" s="63" t="s">
        <v>308</v>
      </c>
      <c r="C178" s="36">
        <v>4301031522</v>
      </c>
      <c r="D178" s="667">
        <v>4680115887398</v>
      </c>
      <c r="E178" s="66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7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9"/>
      <c r="R178" s="669"/>
      <c r="S178" s="669"/>
      <c r="T178" s="670"/>
      <c r="U178" s="39" t="s">
        <v>46</v>
      </c>
      <c r="V178" s="39" t="s">
        <v>46</v>
      </c>
      <c r="W178" s="40" t="s">
        <v>0</v>
      </c>
      <c r="X178" s="58">
        <v>100</v>
      </c>
      <c r="Y178" s="55">
        <f t="shared" si="21"/>
        <v>101.5</v>
      </c>
      <c r="Z178" s="41">
        <f>IFERROR(IF(Y178=0,"",ROUNDUP(Y178/H178,0)*0.00902),"")</f>
        <v>0.26158000000000003</v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105.42857142857143</v>
      </c>
      <c r="BN178" s="78">
        <f t="shared" si="23"/>
        <v>107.00999999999999</v>
      </c>
      <c r="BO178" s="78">
        <f t="shared" si="24"/>
        <v>0.21645021645021648</v>
      </c>
      <c r="BP178" s="78">
        <f t="shared" si="25"/>
        <v>0.2196969696969697</v>
      </c>
    </row>
    <row r="179" spans="1:68" ht="27" customHeight="1" x14ac:dyDescent="0.25">
      <c r="A179" s="63" t="s">
        <v>310</v>
      </c>
      <c r="B179" s="63" t="s">
        <v>311</v>
      </c>
      <c r="C179" s="36">
        <v>4301031520</v>
      </c>
      <c r="D179" s="667">
        <v>4680115887336</v>
      </c>
      <c r="E179" s="66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7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9"/>
      <c r="R179" s="669"/>
      <c r="S179" s="669"/>
      <c r="T179" s="670"/>
      <c r="U179" s="39" t="s">
        <v>46</v>
      </c>
      <c r="V179" s="39" t="s">
        <v>46</v>
      </c>
      <c r="W179" s="40" t="s">
        <v>0</v>
      </c>
      <c r="X179" s="58">
        <v>50</v>
      </c>
      <c r="Y179" s="55">
        <f t="shared" si="21"/>
        <v>52.5</v>
      </c>
      <c r="Z179" s="41">
        <f>IFERROR(IF(Y179=0,"",ROUNDUP(Y179/H179,0)*0.00902),"")</f>
        <v>0.1353</v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52.714285714285715</v>
      </c>
      <c r="BN179" s="78">
        <f t="shared" si="23"/>
        <v>55.35</v>
      </c>
      <c r="BO179" s="78">
        <f t="shared" si="24"/>
        <v>0.10822510822510824</v>
      </c>
      <c r="BP179" s="78">
        <f t="shared" si="25"/>
        <v>0.11363636363636365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667">
        <v>4680115887787</v>
      </c>
      <c r="E180" s="66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7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9"/>
      <c r="R180" s="669"/>
      <c r="S180" s="669"/>
      <c r="T180" s="67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667">
        <v>4680115887787</v>
      </c>
      <c r="E181" s="66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9"/>
      <c r="R181" s="669"/>
      <c r="S181" s="669"/>
      <c r="T181" s="67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667">
        <v>4680115887503</v>
      </c>
      <c r="E182" s="66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9"/>
      <c r="R182" s="669"/>
      <c r="S182" s="669"/>
      <c r="T182" s="67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667">
        <v>4680115887763</v>
      </c>
      <c r="E183" s="66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9"/>
      <c r="R183" s="669"/>
      <c r="S183" s="669"/>
      <c r="T183" s="67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667">
        <v>4680115887480</v>
      </c>
      <c r="E184" s="66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9"/>
      <c r="R184" s="669"/>
      <c r="S184" s="669"/>
      <c r="T184" s="67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667">
        <v>4680115888067</v>
      </c>
      <c r="E185" s="66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9"/>
      <c r="R185" s="669"/>
      <c r="S185" s="669"/>
      <c r="T185" s="67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667">
        <v>4680115887435</v>
      </c>
      <c r="E186" s="66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9"/>
      <c r="R186" s="669"/>
      <c r="S186" s="669"/>
      <c r="T186" s="67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x14ac:dyDescent="0.2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4"/>
      <c r="P187" s="660" t="s">
        <v>40</v>
      </c>
      <c r="Q187" s="661"/>
      <c r="R187" s="661"/>
      <c r="S187" s="661"/>
      <c r="T187" s="661"/>
      <c r="U187" s="661"/>
      <c r="V187" s="66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57.142857142857146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59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0.53217999999999999</v>
      </c>
      <c r="AA187" s="67"/>
      <c r="AB187" s="67"/>
      <c r="AC187" s="67"/>
    </row>
    <row r="188" spans="1:68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4"/>
      <c r="P188" s="660" t="s">
        <v>40</v>
      </c>
      <c r="Q188" s="661"/>
      <c r="R188" s="661"/>
      <c r="S188" s="661"/>
      <c r="T188" s="661"/>
      <c r="U188" s="661"/>
      <c r="V188" s="662"/>
      <c r="W188" s="42" t="s">
        <v>0</v>
      </c>
      <c r="X188" s="43">
        <f>IFERROR(SUM(X176:X186),"0")</f>
        <v>200</v>
      </c>
      <c r="Y188" s="43">
        <f>IFERROR(SUM(Y176:Y186),"0")</f>
        <v>206.5</v>
      </c>
      <c r="Z188" s="42"/>
      <c r="AA188" s="67"/>
      <c r="AB188" s="67"/>
      <c r="AC188" s="67"/>
    </row>
    <row r="189" spans="1:68" ht="14.25" hidden="1" customHeight="1" x14ac:dyDescent="0.25">
      <c r="A189" s="666" t="s">
        <v>86</v>
      </c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667">
        <v>4680115888395</v>
      </c>
      <c r="E190" s="66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9"/>
      <c r="R190" s="669"/>
      <c r="S190" s="669"/>
      <c r="T190" s="67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667">
        <v>4680115888371</v>
      </c>
      <c r="E191" s="66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9"/>
      <c r="R191" s="669"/>
      <c r="S191" s="669"/>
      <c r="T191" s="67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667">
        <v>4680115887459</v>
      </c>
      <c r="E192" s="66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9"/>
      <c r="R192" s="669"/>
      <c r="S192" s="669"/>
      <c r="T192" s="67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4"/>
      <c r="P193" s="660" t="s">
        <v>40</v>
      </c>
      <c r="Q193" s="661"/>
      <c r="R193" s="661"/>
      <c r="S193" s="661"/>
      <c r="T193" s="661"/>
      <c r="U193" s="661"/>
      <c r="V193" s="66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4"/>
      <c r="P194" s="660" t="s">
        <v>40</v>
      </c>
      <c r="Q194" s="661"/>
      <c r="R194" s="661"/>
      <c r="S194" s="661"/>
      <c r="T194" s="661"/>
      <c r="U194" s="661"/>
      <c r="V194" s="66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66" t="s">
        <v>278</v>
      </c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667">
        <v>4680115889026</v>
      </c>
      <c r="E196" s="66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9"/>
      <c r="R196" s="669"/>
      <c r="S196" s="669"/>
      <c r="T196" s="67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4"/>
      <c r="P197" s="660" t="s">
        <v>40</v>
      </c>
      <c r="Q197" s="661"/>
      <c r="R197" s="661"/>
      <c r="S197" s="661"/>
      <c r="T197" s="661"/>
      <c r="U197" s="661"/>
      <c r="V197" s="66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4"/>
      <c r="P198" s="660" t="s">
        <v>40</v>
      </c>
      <c r="Q198" s="661"/>
      <c r="R198" s="661"/>
      <c r="S198" s="661"/>
      <c r="T198" s="661"/>
      <c r="U198" s="661"/>
      <c r="V198" s="66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6" t="s">
        <v>342</v>
      </c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667">
        <v>4680115889033</v>
      </c>
      <c r="E200" s="66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9"/>
      <c r="R200" s="669"/>
      <c r="S200" s="669"/>
      <c r="T200" s="67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63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4"/>
      <c r="P201" s="660" t="s">
        <v>40</v>
      </c>
      <c r="Q201" s="661"/>
      <c r="R201" s="661"/>
      <c r="S201" s="661"/>
      <c r="T201" s="661"/>
      <c r="U201" s="661"/>
      <c r="V201" s="66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4"/>
      <c r="P202" s="660" t="s">
        <v>40</v>
      </c>
      <c r="Q202" s="661"/>
      <c r="R202" s="661"/>
      <c r="S202" s="661"/>
      <c r="T202" s="661"/>
      <c r="U202" s="661"/>
      <c r="V202" s="66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80" t="s">
        <v>346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54"/>
      <c r="AB203" s="54"/>
      <c r="AC203" s="54"/>
    </row>
    <row r="204" spans="1:68" ht="16.5" hidden="1" customHeight="1" x14ac:dyDescent="0.25">
      <c r="A204" s="665" t="s">
        <v>347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5"/>
      <c r="AB204" s="65"/>
      <c r="AC204" s="79"/>
    </row>
    <row r="205" spans="1:68" ht="14.25" hidden="1" customHeight="1" x14ac:dyDescent="0.25">
      <c r="A205" s="666" t="s">
        <v>122</v>
      </c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667">
        <v>4607091383423</v>
      </c>
      <c r="E206" s="66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9"/>
      <c r="R206" s="669"/>
      <c r="S206" s="669"/>
      <c r="T206" s="67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667">
        <v>4680115888760</v>
      </c>
      <c r="E207" s="66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9"/>
      <c r="R207" s="669"/>
      <c r="S207" s="669"/>
      <c r="T207" s="67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667">
        <v>4680115888807</v>
      </c>
      <c r="E208" s="66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9"/>
      <c r="R208" s="669"/>
      <c r="S208" s="669"/>
      <c r="T208" s="67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667">
        <v>4680115888852</v>
      </c>
      <c r="E209" s="66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9"/>
      <c r="R209" s="669"/>
      <c r="S209" s="669"/>
      <c r="T209" s="67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667">
        <v>4680115886957</v>
      </c>
      <c r="E210" s="66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9"/>
      <c r="R210" s="669"/>
      <c r="S210" s="669"/>
      <c r="T210" s="67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667">
        <v>4680115885660</v>
      </c>
      <c r="E211" s="66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6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9"/>
      <c r="R211" s="669"/>
      <c r="S211" s="669"/>
      <c r="T211" s="67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667">
        <v>4680115886773</v>
      </c>
      <c r="E212" s="66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9"/>
      <c r="R212" s="669"/>
      <c r="S212" s="669"/>
      <c r="T212" s="67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63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4"/>
      <c r="P213" s="660" t="s">
        <v>40</v>
      </c>
      <c r="Q213" s="661"/>
      <c r="R213" s="661"/>
      <c r="S213" s="661"/>
      <c r="T213" s="661"/>
      <c r="U213" s="661"/>
      <c r="V213" s="66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4"/>
      <c r="P214" s="660" t="s">
        <v>40</v>
      </c>
      <c r="Q214" s="661"/>
      <c r="R214" s="661"/>
      <c r="S214" s="661"/>
      <c r="T214" s="661"/>
      <c r="U214" s="661"/>
      <c r="V214" s="66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5" t="s">
        <v>368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5"/>
      <c r="AB215" s="65"/>
      <c r="AC215" s="79"/>
    </row>
    <row r="216" spans="1:68" ht="14.25" hidden="1" customHeight="1" x14ac:dyDescent="0.25">
      <c r="A216" s="666" t="s">
        <v>159</v>
      </c>
      <c r="B216" s="666"/>
      <c r="C216" s="666"/>
      <c r="D216" s="666"/>
      <c r="E216" s="666"/>
      <c r="F216" s="666"/>
      <c r="G216" s="666"/>
      <c r="H216" s="666"/>
      <c r="I216" s="666"/>
      <c r="J216" s="666"/>
      <c r="K216" s="666"/>
      <c r="L216" s="666"/>
      <c r="M216" s="666"/>
      <c r="N216" s="666"/>
      <c r="O216" s="666"/>
      <c r="P216" s="666"/>
      <c r="Q216" s="666"/>
      <c r="R216" s="666"/>
      <c r="S216" s="666"/>
      <c r="T216" s="666"/>
      <c r="U216" s="666"/>
      <c r="V216" s="666"/>
      <c r="W216" s="666"/>
      <c r="X216" s="666"/>
      <c r="Y216" s="666"/>
      <c r="Z216" s="66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667">
        <v>4680115886223</v>
      </c>
      <c r="E217" s="66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9"/>
      <c r="R217" s="669"/>
      <c r="S217" s="669"/>
      <c r="T217" s="67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4"/>
      <c r="P218" s="660" t="s">
        <v>40</v>
      </c>
      <c r="Q218" s="661"/>
      <c r="R218" s="661"/>
      <c r="S218" s="661"/>
      <c r="T218" s="661"/>
      <c r="U218" s="661"/>
      <c r="V218" s="66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4"/>
      <c r="P219" s="660" t="s">
        <v>40</v>
      </c>
      <c r="Q219" s="661"/>
      <c r="R219" s="661"/>
      <c r="S219" s="661"/>
      <c r="T219" s="661"/>
      <c r="U219" s="661"/>
      <c r="V219" s="66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6" t="s">
        <v>77</v>
      </c>
      <c r="B220" s="666"/>
      <c r="C220" s="666"/>
      <c r="D220" s="666"/>
      <c r="E220" s="666"/>
      <c r="F220" s="666"/>
      <c r="G220" s="666"/>
      <c r="H220" s="666"/>
      <c r="I220" s="666"/>
      <c r="J220" s="666"/>
      <c r="K220" s="666"/>
      <c r="L220" s="666"/>
      <c r="M220" s="666"/>
      <c r="N220" s="666"/>
      <c r="O220" s="666"/>
      <c r="P220" s="666"/>
      <c r="Q220" s="666"/>
      <c r="R220" s="666"/>
      <c r="S220" s="666"/>
      <c r="T220" s="666"/>
      <c r="U220" s="666"/>
      <c r="V220" s="666"/>
      <c r="W220" s="666"/>
      <c r="X220" s="666"/>
      <c r="Y220" s="666"/>
      <c r="Z220" s="666"/>
      <c r="AA220" s="66"/>
      <c r="AB220" s="66"/>
      <c r="AC220" s="80"/>
    </row>
    <row r="221" spans="1:68" ht="27" customHeight="1" x14ac:dyDescent="0.25">
      <c r="A221" s="63" t="s">
        <v>372</v>
      </c>
      <c r="B221" s="63" t="s">
        <v>373</v>
      </c>
      <c r="C221" s="36">
        <v>4301031191</v>
      </c>
      <c r="D221" s="667">
        <v>4680115880993</v>
      </c>
      <c r="E221" s="66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9"/>
      <c r="R221" s="669"/>
      <c r="S221" s="669"/>
      <c r="T221" s="670"/>
      <c r="U221" s="39" t="s">
        <v>46</v>
      </c>
      <c r="V221" s="39" t="s">
        <v>46</v>
      </c>
      <c r="W221" s="40" t="s">
        <v>0</v>
      </c>
      <c r="X221" s="58">
        <v>100</v>
      </c>
      <c r="Y221" s="55">
        <f t="shared" ref="Y221:Y235" si="32">IFERROR(IF(X221="",0,CEILING((X221/$H221),1)*$H221),"")</f>
        <v>100.80000000000001</v>
      </c>
      <c r="Z221" s="41">
        <f>IFERROR(IF(Y221=0,"",ROUNDUP(Y221/H221,0)*0.00902),"")</f>
        <v>0.21648000000000001</v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105.95238095238095</v>
      </c>
      <c r="BN221" s="78">
        <f t="shared" ref="BN221:BN235" si="34">IFERROR(Y221*I221/H221,"0")</f>
        <v>106.80000000000001</v>
      </c>
      <c r="BO221" s="78">
        <f t="shared" ref="BO221:BO235" si="35">IFERROR(1/J221*(X221/H221),"0")</f>
        <v>0.18037518037518038</v>
      </c>
      <c r="BP221" s="78">
        <f t="shared" ref="BP221:BP235" si="36">IFERROR(1/J221*(Y221/H221),"0")</f>
        <v>0.18181818181818182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667">
        <v>4680115881761</v>
      </c>
      <c r="E222" s="66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9"/>
      <c r="R222" s="669"/>
      <c r="S222" s="669"/>
      <c r="T222" s="67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378</v>
      </c>
      <c r="B223" s="63" t="s">
        <v>379</v>
      </c>
      <c r="C223" s="36">
        <v>4301031201</v>
      </c>
      <c r="D223" s="667">
        <v>4680115881563</v>
      </c>
      <c r="E223" s="66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9"/>
      <c r="R223" s="669"/>
      <c r="S223" s="669"/>
      <c r="T223" s="670"/>
      <c r="U223" s="39" t="s">
        <v>46</v>
      </c>
      <c r="V223" s="39" t="s">
        <v>46</v>
      </c>
      <c r="W223" s="40" t="s">
        <v>0</v>
      </c>
      <c r="X223" s="58">
        <v>80</v>
      </c>
      <c r="Y223" s="55">
        <f t="shared" si="32"/>
        <v>84</v>
      </c>
      <c r="Z223" s="41">
        <f>IFERROR(IF(Y223=0,"",ROUNDUP(Y223/H223,0)*0.00902),"")</f>
        <v>0.1804</v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83.619047619047606</v>
      </c>
      <c r="BN223" s="78">
        <f t="shared" si="34"/>
        <v>87.8</v>
      </c>
      <c r="BO223" s="78">
        <f t="shared" si="35"/>
        <v>0.14430014430014429</v>
      </c>
      <c r="BP223" s="78">
        <f t="shared" si="36"/>
        <v>0.15151515151515152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667">
        <v>4680115887565</v>
      </c>
      <c r="E224" s="66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9"/>
      <c r="R224" s="669"/>
      <c r="S224" s="669"/>
      <c r="T224" s="67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customHeight="1" x14ac:dyDescent="0.25">
      <c r="A225" s="63" t="s">
        <v>384</v>
      </c>
      <c r="B225" s="63" t="s">
        <v>385</v>
      </c>
      <c r="C225" s="36">
        <v>4301031199</v>
      </c>
      <c r="D225" s="667">
        <v>4680115880986</v>
      </c>
      <c r="E225" s="66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9"/>
      <c r="R225" s="669"/>
      <c r="S225" s="669"/>
      <c r="T225" s="670"/>
      <c r="U225" s="39" t="s">
        <v>46</v>
      </c>
      <c r="V225" s="39" t="s">
        <v>46</v>
      </c>
      <c r="W225" s="40" t="s">
        <v>0</v>
      </c>
      <c r="X225" s="58">
        <v>35</v>
      </c>
      <c r="Y225" s="55">
        <f t="shared" si="32"/>
        <v>35.700000000000003</v>
      </c>
      <c r="Z225" s="41">
        <f t="shared" ref="Z225:Z230" si="37">IFERROR(IF(Y225=0,"",ROUNDUP(Y225/H225,0)*0.00502),"")</f>
        <v>8.5339999999999999E-2</v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37.166666666666664</v>
      </c>
      <c r="BN225" s="78">
        <f t="shared" si="34"/>
        <v>37.910000000000004</v>
      </c>
      <c r="BO225" s="78">
        <f t="shared" si="35"/>
        <v>7.1225071225071226E-2</v>
      </c>
      <c r="BP225" s="78">
        <f t="shared" si="36"/>
        <v>7.2649572649572655E-2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667">
        <v>4680115887213</v>
      </c>
      <c r="E226" s="66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9"/>
      <c r="R226" s="669"/>
      <c r="S226" s="669"/>
      <c r="T226" s="67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667">
        <v>4680115881785</v>
      </c>
      <c r="E227" s="66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9"/>
      <c r="R227" s="669"/>
      <c r="S227" s="669"/>
      <c r="T227" s="67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667">
        <v>4680115888432</v>
      </c>
      <c r="E228" s="66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9"/>
      <c r="R228" s="669"/>
      <c r="S228" s="669"/>
      <c r="T228" s="67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667">
        <v>4680115888104</v>
      </c>
      <c r="E229" s="66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9"/>
      <c r="R229" s="669"/>
      <c r="S229" s="669"/>
      <c r="T229" s="67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667">
        <v>4680115886537</v>
      </c>
      <c r="E230" s="66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9"/>
      <c r="R230" s="669"/>
      <c r="S230" s="669"/>
      <c r="T230" s="67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667">
        <v>4680115887596</v>
      </c>
      <c r="E231" s="66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9"/>
      <c r="R231" s="669"/>
      <c r="S231" s="669"/>
      <c r="T231" s="67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customHeight="1" x14ac:dyDescent="0.25">
      <c r="A232" s="63" t="s">
        <v>403</v>
      </c>
      <c r="B232" s="63" t="s">
        <v>404</v>
      </c>
      <c r="C232" s="36">
        <v>4301031530</v>
      </c>
      <c r="D232" s="667">
        <v>4680115881679</v>
      </c>
      <c r="E232" s="66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9"/>
      <c r="R232" s="669"/>
      <c r="S232" s="669"/>
      <c r="T232" s="670"/>
      <c r="U232" s="39" t="s">
        <v>46</v>
      </c>
      <c r="V232" s="39" t="s">
        <v>46</v>
      </c>
      <c r="W232" s="40" t="s">
        <v>0</v>
      </c>
      <c r="X232" s="58">
        <v>35</v>
      </c>
      <c r="Y232" s="55">
        <f t="shared" si="32"/>
        <v>35.700000000000003</v>
      </c>
      <c r="Z232" s="41">
        <f>IFERROR(IF(Y232=0,"",ROUNDUP(Y232/H232,0)*0.00502),"")</f>
        <v>8.5339999999999999E-2</v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36.666666666666664</v>
      </c>
      <c r="BN232" s="78">
        <f t="shared" si="34"/>
        <v>37.4</v>
      </c>
      <c r="BO232" s="78">
        <f t="shared" si="35"/>
        <v>7.1225071225071226E-2</v>
      </c>
      <c r="BP232" s="78">
        <f t="shared" si="36"/>
        <v>7.2649572649572655E-2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667">
        <v>4680115880191</v>
      </c>
      <c r="E233" s="66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9"/>
      <c r="R233" s="669"/>
      <c r="S233" s="669"/>
      <c r="T233" s="67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667">
        <v>4680115880191</v>
      </c>
      <c r="E234" s="66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9"/>
      <c r="R234" s="669"/>
      <c r="S234" s="669"/>
      <c r="T234" s="67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667">
        <v>4680115883963</v>
      </c>
      <c r="E235" s="66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9"/>
      <c r="R235" s="669"/>
      <c r="S235" s="669"/>
      <c r="T235" s="67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4"/>
      <c r="P236" s="660" t="s">
        <v>40</v>
      </c>
      <c r="Q236" s="661"/>
      <c r="R236" s="661"/>
      <c r="S236" s="661"/>
      <c r="T236" s="661"/>
      <c r="U236" s="661"/>
      <c r="V236" s="662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76.19047619047619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78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0.56755999999999995</v>
      </c>
      <c r="AA236" s="67"/>
      <c r="AB236" s="67"/>
      <c r="AC236" s="67"/>
    </row>
    <row r="237" spans="1:68" x14ac:dyDescent="0.2">
      <c r="A237" s="663"/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4"/>
      <c r="P237" s="660" t="s">
        <v>40</v>
      </c>
      <c r="Q237" s="661"/>
      <c r="R237" s="661"/>
      <c r="S237" s="661"/>
      <c r="T237" s="661"/>
      <c r="U237" s="661"/>
      <c r="V237" s="662"/>
      <c r="W237" s="42" t="s">
        <v>0</v>
      </c>
      <c r="X237" s="43">
        <f>IFERROR(SUM(X221:X235),"0")</f>
        <v>250</v>
      </c>
      <c r="Y237" s="43">
        <f>IFERROR(SUM(Y221:Y235),"0")</f>
        <v>256.2</v>
      </c>
      <c r="Z237" s="42"/>
      <c r="AA237" s="67"/>
      <c r="AB237" s="67"/>
      <c r="AC237" s="67"/>
    </row>
    <row r="238" spans="1:68" ht="14.25" hidden="1" customHeight="1" x14ac:dyDescent="0.25">
      <c r="A238" s="666" t="s">
        <v>86</v>
      </c>
      <c r="B238" s="666"/>
      <c r="C238" s="666"/>
      <c r="D238" s="666"/>
      <c r="E238" s="666"/>
      <c r="F238" s="666"/>
      <c r="G238" s="666"/>
      <c r="H238" s="666"/>
      <c r="I238" s="666"/>
      <c r="J238" s="666"/>
      <c r="K238" s="666"/>
      <c r="L238" s="666"/>
      <c r="M238" s="666"/>
      <c r="N238" s="666"/>
      <c r="O238" s="666"/>
      <c r="P238" s="666"/>
      <c r="Q238" s="666"/>
      <c r="R238" s="666"/>
      <c r="S238" s="666"/>
      <c r="T238" s="666"/>
      <c r="U238" s="666"/>
      <c r="V238" s="666"/>
      <c r="W238" s="666"/>
      <c r="X238" s="666"/>
      <c r="Y238" s="666"/>
      <c r="Z238" s="66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667">
        <v>4680115888692</v>
      </c>
      <c r="E239" s="66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9"/>
      <c r="R239" s="669"/>
      <c r="S239" s="669"/>
      <c r="T239" s="67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667">
        <v>4680115888692</v>
      </c>
      <c r="E240" s="66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9"/>
      <c r="R240" s="669"/>
      <c r="S240" s="669"/>
      <c r="T240" s="67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667">
        <v>4680115888722</v>
      </c>
      <c r="E241" s="66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9"/>
      <c r="R241" s="669"/>
      <c r="S241" s="669"/>
      <c r="T241" s="67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667">
        <v>4680115888722</v>
      </c>
      <c r="E242" s="66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9"/>
      <c r="R242" s="669"/>
      <c r="S242" s="669"/>
      <c r="T242" s="67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667">
        <v>4680115888951</v>
      </c>
      <c r="E243" s="66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9"/>
      <c r="R243" s="669"/>
      <c r="S243" s="669"/>
      <c r="T243" s="67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667">
        <v>4680115888951</v>
      </c>
      <c r="E244" s="66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9"/>
      <c r="R244" s="669"/>
      <c r="S244" s="669"/>
      <c r="T244" s="67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667">
        <v>4680115888975</v>
      </c>
      <c r="E245" s="66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9"/>
      <c r="R245" s="669"/>
      <c r="S245" s="669"/>
      <c r="T245" s="67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667">
        <v>4680115888982</v>
      </c>
      <c r="E246" s="66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9"/>
      <c r="R246" s="669"/>
      <c r="S246" s="669"/>
      <c r="T246" s="67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667">
        <v>4680115888982</v>
      </c>
      <c r="E247" s="66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9"/>
      <c r="R247" s="669"/>
      <c r="S247" s="669"/>
      <c r="T247" s="67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4"/>
      <c r="P248" s="660" t="s">
        <v>40</v>
      </c>
      <c r="Q248" s="661"/>
      <c r="R248" s="661"/>
      <c r="S248" s="661"/>
      <c r="T248" s="661"/>
      <c r="U248" s="661"/>
      <c r="V248" s="662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3"/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4"/>
      <c r="P249" s="660" t="s">
        <v>40</v>
      </c>
      <c r="Q249" s="661"/>
      <c r="R249" s="661"/>
      <c r="S249" s="661"/>
      <c r="T249" s="661"/>
      <c r="U249" s="661"/>
      <c r="V249" s="662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6" t="s">
        <v>278</v>
      </c>
      <c r="B250" s="666"/>
      <c r="C250" s="666"/>
      <c r="D250" s="666"/>
      <c r="E250" s="666"/>
      <c r="F250" s="666"/>
      <c r="G250" s="666"/>
      <c r="H250" s="666"/>
      <c r="I250" s="666"/>
      <c r="J250" s="666"/>
      <c r="K250" s="666"/>
      <c r="L250" s="666"/>
      <c r="M250" s="666"/>
      <c r="N250" s="666"/>
      <c r="O250" s="666"/>
      <c r="P250" s="666"/>
      <c r="Q250" s="666"/>
      <c r="R250" s="666"/>
      <c r="S250" s="666"/>
      <c r="T250" s="666"/>
      <c r="U250" s="666"/>
      <c r="V250" s="666"/>
      <c r="W250" s="666"/>
      <c r="X250" s="666"/>
      <c r="Y250" s="666"/>
      <c r="Z250" s="666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667">
        <v>4680115886780</v>
      </c>
      <c r="E251" s="66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9"/>
      <c r="R251" s="669"/>
      <c r="S251" s="669"/>
      <c r="T251" s="67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667">
        <v>4680115886742</v>
      </c>
      <c r="E252" s="66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9"/>
      <c r="R252" s="669"/>
      <c r="S252" s="669"/>
      <c r="T252" s="67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667">
        <v>4680115886766</v>
      </c>
      <c r="E253" s="66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9"/>
      <c r="R253" s="669"/>
      <c r="S253" s="669"/>
      <c r="T253" s="67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4"/>
      <c r="P254" s="660" t="s">
        <v>40</v>
      </c>
      <c r="Q254" s="661"/>
      <c r="R254" s="661"/>
      <c r="S254" s="661"/>
      <c r="T254" s="661"/>
      <c r="U254" s="661"/>
      <c r="V254" s="66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3"/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4"/>
      <c r="P255" s="660" t="s">
        <v>40</v>
      </c>
      <c r="Q255" s="661"/>
      <c r="R255" s="661"/>
      <c r="S255" s="661"/>
      <c r="T255" s="661"/>
      <c r="U255" s="661"/>
      <c r="V255" s="66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6" t="s">
        <v>439</v>
      </c>
      <c r="B256" s="666"/>
      <c r="C256" s="666"/>
      <c r="D256" s="666"/>
      <c r="E256" s="666"/>
      <c r="F256" s="666"/>
      <c r="G256" s="666"/>
      <c r="H256" s="666"/>
      <c r="I256" s="666"/>
      <c r="J256" s="666"/>
      <c r="K256" s="666"/>
      <c r="L256" s="666"/>
      <c r="M256" s="666"/>
      <c r="N256" s="666"/>
      <c r="O256" s="666"/>
      <c r="P256" s="666"/>
      <c r="Q256" s="666"/>
      <c r="R256" s="666"/>
      <c r="S256" s="666"/>
      <c r="T256" s="666"/>
      <c r="U256" s="666"/>
      <c r="V256" s="666"/>
      <c r="W256" s="666"/>
      <c r="X256" s="666"/>
      <c r="Y256" s="666"/>
      <c r="Z256" s="666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667">
        <v>4680115886797</v>
      </c>
      <c r="E257" s="66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9"/>
      <c r="R257" s="669"/>
      <c r="S257" s="669"/>
      <c r="T257" s="67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4"/>
      <c r="P258" s="660" t="s">
        <v>40</v>
      </c>
      <c r="Q258" s="661"/>
      <c r="R258" s="661"/>
      <c r="S258" s="661"/>
      <c r="T258" s="661"/>
      <c r="U258" s="661"/>
      <c r="V258" s="66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3"/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4"/>
      <c r="P259" s="660" t="s">
        <v>40</v>
      </c>
      <c r="Q259" s="661"/>
      <c r="R259" s="661"/>
      <c r="S259" s="661"/>
      <c r="T259" s="661"/>
      <c r="U259" s="661"/>
      <c r="V259" s="66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5" t="s">
        <v>442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5"/>
      <c r="AB260" s="65"/>
      <c r="AC260" s="79"/>
    </row>
    <row r="261" spans="1:68" ht="14.25" hidden="1" customHeight="1" x14ac:dyDescent="0.25">
      <c r="A261" s="666" t="s">
        <v>122</v>
      </c>
      <c r="B261" s="666"/>
      <c r="C261" s="666"/>
      <c r="D261" s="666"/>
      <c r="E261" s="666"/>
      <c r="F261" s="666"/>
      <c r="G261" s="666"/>
      <c r="H261" s="666"/>
      <c r="I261" s="666"/>
      <c r="J261" s="666"/>
      <c r="K261" s="666"/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667">
        <v>4680115881402</v>
      </c>
      <c r="E262" s="66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9"/>
      <c r="R262" s="669"/>
      <c r="S262" s="669"/>
      <c r="T262" s="67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446</v>
      </c>
      <c r="B263" s="63" t="s">
        <v>447</v>
      </c>
      <c r="C263" s="36">
        <v>4301011768</v>
      </c>
      <c r="D263" s="667">
        <v>4680115881396</v>
      </c>
      <c r="E263" s="66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9"/>
      <c r="R263" s="669"/>
      <c r="S263" s="669"/>
      <c r="T263" s="670"/>
      <c r="U263" s="39" t="s">
        <v>46</v>
      </c>
      <c r="V263" s="39" t="s">
        <v>46</v>
      </c>
      <c r="W263" s="40" t="s">
        <v>0</v>
      </c>
      <c r="X263" s="58">
        <v>22.5</v>
      </c>
      <c r="Y263" s="55">
        <f>IFERROR(IF(X263="",0,CEILING((X263/$H263),1)*$H263),"")</f>
        <v>24.3</v>
      </c>
      <c r="Z263" s="41">
        <f>IFERROR(IF(Y263=0,"",ROUNDUP(Y263/H263,0)*0.00651),"")</f>
        <v>5.8590000000000003E-2</v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23.999999999999996</v>
      </c>
      <c r="BN263" s="78">
        <f>IFERROR(Y263*I263/H263,"0")</f>
        <v>25.919999999999995</v>
      </c>
      <c r="BO263" s="78">
        <f>IFERROR(1/J263*(X263/H263),"0")</f>
        <v>4.5787545787545784E-2</v>
      </c>
      <c r="BP263" s="78">
        <f>IFERROR(1/J263*(Y263/H263),"0")</f>
        <v>4.9450549450549455E-2</v>
      </c>
    </row>
    <row r="264" spans="1:68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4"/>
      <c r="P264" s="660" t="s">
        <v>40</v>
      </c>
      <c r="Q264" s="661"/>
      <c r="R264" s="661"/>
      <c r="S264" s="661"/>
      <c r="T264" s="661"/>
      <c r="U264" s="661"/>
      <c r="V264" s="662"/>
      <c r="W264" s="42" t="s">
        <v>39</v>
      </c>
      <c r="X264" s="43">
        <f>IFERROR(X262/H262,"0")+IFERROR(X263/H263,"0")</f>
        <v>8.3333333333333321</v>
      </c>
      <c r="Y264" s="43">
        <f>IFERROR(Y262/H262,"0")+IFERROR(Y263/H263,"0")</f>
        <v>9</v>
      </c>
      <c r="Z264" s="43">
        <f>IFERROR(IF(Z262="",0,Z262),"0")+IFERROR(IF(Z263="",0,Z263),"0")</f>
        <v>5.8590000000000003E-2</v>
      </c>
      <c r="AA264" s="67"/>
      <c r="AB264" s="67"/>
      <c r="AC264" s="67"/>
    </row>
    <row r="265" spans="1:68" x14ac:dyDescent="0.2">
      <c r="A265" s="663"/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4"/>
      <c r="P265" s="660" t="s">
        <v>40</v>
      </c>
      <c r="Q265" s="661"/>
      <c r="R265" s="661"/>
      <c r="S265" s="661"/>
      <c r="T265" s="661"/>
      <c r="U265" s="661"/>
      <c r="V265" s="662"/>
      <c r="W265" s="42" t="s">
        <v>0</v>
      </c>
      <c r="X265" s="43">
        <f>IFERROR(SUM(X262:X263),"0")</f>
        <v>22.5</v>
      </c>
      <c r="Y265" s="43">
        <f>IFERROR(SUM(Y262:Y263),"0")</f>
        <v>24.3</v>
      </c>
      <c r="Z265" s="42"/>
      <c r="AA265" s="67"/>
      <c r="AB265" s="67"/>
      <c r="AC265" s="67"/>
    </row>
    <row r="266" spans="1:68" ht="14.25" hidden="1" customHeight="1" x14ac:dyDescent="0.25">
      <c r="A266" s="666" t="s">
        <v>159</v>
      </c>
      <c r="B266" s="666"/>
      <c r="C266" s="666"/>
      <c r="D266" s="666"/>
      <c r="E266" s="666"/>
      <c r="F266" s="666"/>
      <c r="G266" s="666"/>
      <c r="H266" s="666"/>
      <c r="I266" s="666"/>
      <c r="J266" s="666"/>
      <c r="K266" s="666"/>
      <c r="L266" s="666"/>
      <c r="M266" s="666"/>
      <c r="N266" s="666"/>
      <c r="O266" s="666"/>
      <c r="P266" s="666"/>
      <c r="Q266" s="666"/>
      <c r="R266" s="666"/>
      <c r="S266" s="666"/>
      <c r="T266" s="666"/>
      <c r="U266" s="666"/>
      <c r="V266" s="666"/>
      <c r="W266" s="666"/>
      <c r="X266" s="666"/>
      <c r="Y266" s="666"/>
      <c r="Z266" s="66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667">
        <v>4680115882935</v>
      </c>
      <c r="E267" s="66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9"/>
      <c r="R267" s="669"/>
      <c r="S267" s="669"/>
      <c r="T267" s="67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667">
        <v>4680115880764</v>
      </c>
      <c r="E268" s="66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9"/>
      <c r="R268" s="669"/>
      <c r="S268" s="669"/>
      <c r="T268" s="67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4"/>
      <c r="P269" s="660" t="s">
        <v>40</v>
      </c>
      <c r="Q269" s="661"/>
      <c r="R269" s="661"/>
      <c r="S269" s="661"/>
      <c r="T269" s="661"/>
      <c r="U269" s="661"/>
      <c r="V269" s="66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3"/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4"/>
      <c r="P270" s="660" t="s">
        <v>40</v>
      </c>
      <c r="Q270" s="661"/>
      <c r="R270" s="661"/>
      <c r="S270" s="661"/>
      <c r="T270" s="661"/>
      <c r="U270" s="661"/>
      <c r="V270" s="66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6" t="s">
        <v>77</v>
      </c>
      <c r="B271" s="666"/>
      <c r="C271" s="666"/>
      <c r="D271" s="666"/>
      <c r="E271" s="666"/>
      <c r="F271" s="666"/>
      <c r="G271" s="666"/>
      <c r="H271" s="666"/>
      <c r="I271" s="666"/>
      <c r="J271" s="666"/>
      <c r="K271" s="666"/>
      <c r="L271" s="666"/>
      <c r="M271" s="666"/>
      <c r="N271" s="666"/>
      <c r="O271" s="666"/>
      <c r="P271" s="666"/>
      <c r="Q271" s="666"/>
      <c r="R271" s="666"/>
      <c r="S271" s="666"/>
      <c r="T271" s="666"/>
      <c r="U271" s="666"/>
      <c r="V271" s="666"/>
      <c r="W271" s="666"/>
      <c r="X271" s="666"/>
      <c r="Y271" s="666"/>
      <c r="Z271" s="666"/>
      <c r="AA271" s="66"/>
      <c r="AB271" s="66"/>
      <c r="AC271" s="80"/>
    </row>
    <row r="272" spans="1:68" ht="27" customHeight="1" x14ac:dyDescent="0.25">
      <c r="A272" s="63" t="s">
        <v>453</v>
      </c>
      <c r="B272" s="63" t="s">
        <v>454</v>
      </c>
      <c r="C272" s="36">
        <v>4301031224</v>
      </c>
      <c r="D272" s="667">
        <v>4680115882683</v>
      </c>
      <c r="E272" s="66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9"/>
      <c r="R272" s="669"/>
      <c r="S272" s="669"/>
      <c r="T272" s="670"/>
      <c r="U272" s="39" t="s">
        <v>46</v>
      </c>
      <c r="V272" s="39" t="s">
        <v>46</v>
      </c>
      <c r="W272" s="40" t="s">
        <v>0</v>
      </c>
      <c r="X272" s="58">
        <v>300</v>
      </c>
      <c r="Y272" s="55">
        <f t="shared" ref="Y272:Y279" si="43">IFERROR(IF(X272="",0,CEILING((X272/$H272),1)*$H272),"")</f>
        <v>302.40000000000003</v>
      </c>
      <c r="Z272" s="41">
        <f>IFERROR(IF(Y272=0,"",ROUNDUP(Y272/H272,0)*0.00902),"")</f>
        <v>0.50512000000000001</v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310.55555555555554</v>
      </c>
      <c r="BN272" s="78">
        <f t="shared" ref="BN272:BN279" si="45">IFERROR(Y272*I272/H272,"0")</f>
        <v>313.04000000000002</v>
      </c>
      <c r="BO272" s="78">
        <f t="shared" ref="BO272:BO279" si="46">IFERROR(1/J272*(X272/H272),"0")</f>
        <v>0.42087542087542085</v>
      </c>
      <c r="BP272" s="78">
        <f t="shared" ref="BP272:BP279" si="47">IFERROR(1/J272*(Y272/H272),"0")</f>
        <v>0.42424242424242425</v>
      </c>
    </row>
    <row r="273" spans="1:68" ht="27" customHeight="1" x14ac:dyDescent="0.25">
      <c r="A273" s="63" t="s">
        <v>456</v>
      </c>
      <c r="B273" s="63" t="s">
        <v>457</v>
      </c>
      <c r="C273" s="36">
        <v>4301031230</v>
      </c>
      <c r="D273" s="667">
        <v>4680115882690</v>
      </c>
      <c r="E273" s="66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9"/>
      <c r="R273" s="669"/>
      <c r="S273" s="669"/>
      <c r="T273" s="670"/>
      <c r="U273" s="39" t="s">
        <v>46</v>
      </c>
      <c r="V273" s="39" t="s">
        <v>46</v>
      </c>
      <c r="W273" s="40" t="s">
        <v>0</v>
      </c>
      <c r="X273" s="58">
        <v>300</v>
      </c>
      <c r="Y273" s="55">
        <f t="shared" si="43"/>
        <v>302.40000000000003</v>
      </c>
      <c r="Z273" s="41">
        <f>IFERROR(IF(Y273=0,"",ROUNDUP(Y273/H273,0)*0.00902),"")</f>
        <v>0.50512000000000001</v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310.55555555555554</v>
      </c>
      <c r="BN273" s="78">
        <f t="shared" si="45"/>
        <v>313.04000000000002</v>
      </c>
      <c r="BO273" s="78">
        <f t="shared" si="46"/>
        <v>0.42087542087542085</v>
      </c>
      <c r="BP273" s="78">
        <f t="shared" si="47"/>
        <v>0.42424242424242425</v>
      </c>
    </row>
    <row r="274" spans="1:68" ht="27" customHeight="1" x14ac:dyDescent="0.25">
      <c r="A274" s="63" t="s">
        <v>459</v>
      </c>
      <c r="B274" s="63" t="s">
        <v>460</v>
      </c>
      <c r="C274" s="36">
        <v>4301031220</v>
      </c>
      <c r="D274" s="667">
        <v>4680115882669</v>
      </c>
      <c r="E274" s="66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9"/>
      <c r="R274" s="669"/>
      <c r="S274" s="669"/>
      <c r="T274" s="670"/>
      <c r="U274" s="39" t="s">
        <v>46</v>
      </c>
      <c r="V274" s="39" t="s">
        <v>46</v>
      </c>
      <c r="W274" s="40" t="s">
        <v>0</v>
      </c>
      <c r="X274" s="58">
        <v>300</v>
      </c>
      <c r="Y274" s="55">
        <f t="shared" si="43"/>
        <v>302.40000000000003</v>
      </c>
      <c r="Z274" s="41">
        <f>IFERROR(IF(Y274=0,"",ROUNDUP(Y274/H274,0)*0.00902),"")</f>
        <v>0.50512000000000001</v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310.55555555555554</v>
      </c>
      <c r="BN274" s="78">
        <f t="shared" si="45"/>
        <v>313.04000000000002</v>
      </c>
      <c r="BO274" s="78">
        <f t="shared" si="46"/>
        <v>0.42087542087542085</v>
      </c>
      <c r="BP274" s="78">
        <f t="shared" si="47"/>
        <v>0.42424242424242425</v>
      </c>
    </row>
    <row r="275" spans="1:68" ht="27" customHeight="1" x14ac:dyDescent="0.25">
      <c r="A275" s="63" t="s">
        <v>462</v>
      </c>
      <c r="B275" s="63" t="s">
        <v>463</v>
      </c>
      <c r="C275" s="36">
        <v>4301031221</v>
      </c>
      <c r="D275" s="667">
        <v>4680115882676</v>
      </c>
      <c r="E275" s="66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9"/>
      <c r="R275" s="669"/>
      <c r="S275" s="669"/>
      <c r="T275" s="670"/>
      <c r="U275" s="39" t="s">
        <v>46</v>
      </c>
      <c r="V275" s="39" t="s">
        <v>46</v>
      </c>
      <c r="W275" s="40" t="s">
        <v>0</v>
      </c>
      <c r="X275" s="58">
        <v>300</v>
      </c>
      <c r="Y275" s="55">
        <f t="shared" si="43"/>
        <v>302.40000000000003</v>
      </c>
      <c r="Z275" s="41">
        <f>IFERROR(IF(Y275=0,"",ROUNDUP(Y275/H275,0)*0.00902),"")</f>
        <v>0.50512000000000001</v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310.55555555555554</v>
      </c>
      <c r="BN275" s="78">
        <f t="shared" si="45"/>
        <v>313.04000000000002</v>
      </c>
      <c r="BO275" s="78">
        <f t="shared" si="46"/>
        <v>0.42087542087542085</v>
      </c>
      <c r="BP275" s="78">
        <f t="shared" si="47"/>
        <v>0.42424242424242425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667">
        <v>4680115884014</v>
      </c>
      <c r="E276" s="66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9"/>
      <c r="R276" s="669"/>
      <c r="S276" s="669"/>
      <c r="T276" s="67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667">
        <v>4680115884007</v>
      </c>
      <c r="E277" s="66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9"/>
      <c r="R277" s="669"/>
      <c r="S277" s="669"/>
      <c r="T277" s="67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667">
        <v>4680115884038</v>
      </c>
      <c r="E278" s="66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9"/>
      <c r="R278" s="669"/>
      <c r="S278" s="669"/>
      <c r="T278" s="67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667">
        <v>4680115884021</v>
      </c>
      <c r="E279" s="66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9"/>
      <c r="R279" s="669"/>
      <c r="S279" s="669"/>
      <c r="T279" s="67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4"/>
      <c r="P280" s="660" t="s">
        <v>40</v>
      </c>
      <c r="Q280" s="661"/>
      <c r="R280" s="661"/>
      <c r="S280" s="661"/>
      <c r="T280" s="661"/>
      <c r="U280" s="661"/>
      <c r="V280" s="66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222.2222222222222</v>
      </c>
      <c r="Y280" s="43">
        <f>IFERROR(Y272/H272,"0")+IFERROR(Y273/H273,"0")+IFERROR(Y274/H274,"0")+IFERROR(Y275/H275,"0")+IFERROR(Y276/H276,"0")+IFERROR(Y277/H277,"0")+IFERROR(Y278/H278,"0")+IFERROR(Y279/H279,"0")</f>
        <v>224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2.0204800000000001</v>
      </c>
      <c r="AA280" s="67"/>
      <c r="AB280" s="67"/>
      <c r="AC280" s="67"/>
    </row>
    <row r="281" spans="1:68" x14ac:dyDescent="0.2">
      <c r="A281" s="663"/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4"/>
      <c r="P281" s="660" t="s">
        <v>40</v>
      </c>
      <c r="Q281" s="661"/>
      <c r="R281" s="661"/>
      <c r="S281" s="661"/>
      <c r="T281" s="661"/>
      <c r="U281" s="661"/>
      <c r="V281" s="662"/>
      <c r="W281" s="42" t="s">
        <v>0</v>
      </c>
      <c r="X281" s="43">
        <f>IFERROR(SUM(X272:X279),"0")</f>
        <v>1200</v>
      </c>
      <c r="Y281" s="43">
        <f>IFERROR(SUM(Y272:Y279),"0")</f>
        <v>1209.6000000000001</v>
      </c>
      <c r="Z281" s="42"/>
      <c r="AA281" s="67"/>
      <c r="AB281" s="67"/>
      <c r="AC281" s="67"/>
    </row>
    <row r="282" spans="1:68" ht="14.25" hidden="1" customHeight="1" x14ac:dyDescent="0.25">
      <c r="A282" s="666" t="s">
        <v>86</v>
      </c>
      <c r="B282" s="666"/>
      <c r="C282" s="666"/>
      <c r="D282" s="666"/>
      <c r="E282" s="666"/>
      <c r="F282" s="666"/>
      <c r="G282" s="666"/>
      <c r="H282" s="666"/>
      <c r="I282" s="666"/>
      <c r="J282" s="666"/>
      <c r="K282" s="666"/>
      <c r="L282" s="666"/>
      <c r="M282" s="666"/>
      <c r="N282" s="666"/>
      <c r="O282" s="666"/>
      <c r="P282" s="666"/>
      <c r="Q282" s="666"/>
      <c r="R282" s="666"/>
      <c r="S282" s="666"/>
      <c r="T282" s="666"/>
      <c r="U282" s="666"/>
      <c r="V282" s="666"/>
      <c r="W282" s="666"/>
      <c r="X282" s="666"/>
      <c r="Y282" s="666"/>
      <c r="Z282" s="666"/>
      <c r="AA282" s="66"/>
      <c r="AB282" s="66"/>
      <c r="AC282" s="80"/>
    </row>
    <row r="283" spans="1:68" ht="27" customHeight="1" x14ac:dyDescent="0.25">
      <c r="A283" s="63" t="s">
        <v>473</v>
      </c>
      <c r="B283" s="63" t="s">
        <v>474</v>
      </c>
      <c r="C283" s="36">
        <v>4301051408</v>
      </c>
      <c r="D283" s="667">
        <v>4680115881594</v>
      </c>
      <c r="E283" s="66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9"/>
      <c r="R283" s="669"/>
      <c r="S283" s="669"/>
      <c r="T283" s="670"/>
      <c r="U283" s="39" t="s">
        <v>46</v>
      </c>
      <c r="V283" s="39" t="s">
        <v>46</v>
      </c>
      <c r="W283" s="40" t="s">
        <v>0</v>
      </c>
      <c r="X283" s="58">
        <v>150</v>
      </c>
      <c r="Y283" s="55">
        <f t="shared" ref="Y283:Y294" si="48">IFERROR(IF(X283="",0,CEILING((X283/$H283),1)*$H283),"")</f>
        <v>153.9</v>
      </c>
      <c r="Z283" s="41">
        <f>IFERROR(IF(Y283=0,"",ROUNDUP(Y283/H283,0)*0.01898),"")</f>
        <v>0.36062</v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159.14814814814815</v>
      </c>
      <c r="BN283" s="78">
        <f t="shared" ref="BN283:BN294" si="50">IFERROR(Y283*I283/H283,"0")</f>
        <v>163.286</v>
      </c>
      <c r="BO283" s="78">
        <f t="shared" ref="BO283:BO294" si="51">IFERROR(1/J283*(X283/H283),"0")</f>
        <v>0.28935185185185186</v>
      </c>
      <c r="BP283" s="78">
        <f t="shared" ref="BP283:BP294" si="52">IFERROR(1/J283*(Y283/H283),"0")</f>
        <v>0.296875</v>
      </c>
    </row>
    <row r="284" spans="1:68" ht="27" customHeight="1" x14ac:dyDescent="0.25">
      <c r="A284" s="63" t="s">
        <v>476</v>
      </c>
      <c r="B284" s="63" t="s">
        <v>477</v>
      </c>
      <c r="C284" s="36">
        <v>4301051411</v>
      </c>
      <c r="D284" s="667">
        <v>4680115881617</v>
      </c>
      <c r="E284" s="66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9"/>
      <c r="R284" s="669"/>
      <c r="S284" s="669"/>
      <c r="T284" s="670"/>
      <c r="U284" s="39" t="s">
        <v>46</v>
      </c>
      <c r="V284" s="39" t="s">
        <v>46</v>
      </c>
      <c r="W284" s="40" t="s">
        <v>0</v>
      </c>
      <c r="X284" s="58">
        <v>150</v>
      </c>
      <c r="Y284" s="55">
        <f t="shared" si="48"/>
        <v>153.9</v>
      </c>
      <c r="Z284" s="41">
        <f>IFERROR(IF(Y284=0,"",ROUNDUP(Y284/H284,0)*0.01898),"")</f>
        <v>0.36062</v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158.81481481481484</v>
      </c>
      <c r="BN284" s="78">
        <f t="shared" si="50"/>
        <v>162.94400000000002</v>
      </c>
      <c r="BO284" s="78">
        <f t="shared" si="51"/>
        <v>0.28935185185185186</v>
      </c>
      <c r="BP284" s="78">
        <f t="shared" si="52"/>
        <v>0.296875</v>
      </c>
    </row>
    <row r="285" spans="1:68" ht="27" customHeight="1" x14ac:dyDescent="0.25">
      <c r="A285" s="63" t="s">
        <v>479</v>
      </c>
      <c r="B285" s="63" t="s">
        <v>480</v>
      </c>
      <c r="C285" s="36">
        <v>4301051656</v>
      </c>
      <c r="D285" s="667">
        <v>4680115880573</v>
      </c>
      <c r="E285" s="66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9"/>
      <c r="R285" s="669"/>
      <c r="S285" s="669"/>
      <c r="T285" s="670"/>
      <c r="U285" s="39" t="s">
        <v>46</v>
      </c>
      <c r="V285" s="39" t="s">
        <v>46</v>
      </c>
      <c r="W285" s="40" t="s">
        <v>0</v>
      </c>
      <c r="X285" s="58">
        <v>150</v>
      </c>
      <c r="Y285" s="55">
        <f t="shared" si="48"/>
        <v>156.6</v>
      </c>
      <c r="Z285" s="41">
        <f>IFERROR(IF(Y285=0,"",ROUNDUP(Y285/H285,0)*0.01898),"")</f>
        <v>0.34164</v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158.51724137931038</v>
      </c>
      <c r="BN285" s="78">
        <f t="shared" si="50"/>
        <v>165.49200000000002</v>
      </c>
      <c r="BO285" s="78">
        <f t="shared" si="51"/>
        <v>0.26939655172413796</v>
      </c>
      <c r="BP285" s="78">
        <f t="shared" si="52"/>
        <v>0.28125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667">
        <v>4680115882195</v>
      </c>
      <c r="E286" s="66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9"/>
      <c r="R286" s="669"/>
      <c r="S286" s="669"/>
      <c r="T286" s="670"/>
      <c r="U286" s="39" t="s">
        <v>46</v>
      </c>
      <c r="V286" s="39" t="s">
        <v>46</v>
      </c>
      <c r="W286" s="40" t="s">
        <v>0</v>
      </c>
      <c r="X286" s="58">
        <v>60</v>
      </c>
      <c r="Y286" s="55">
        <f t="shared" si="48"/>
        <v>60</v>
      </c>
      <c r="Z286" s="41">
        <f>IFERROR(IF(Y286=0,"",ROUNDUP(Y286/H286,0)*0.00651),"")</f>
        <v>0.16275000000000001</v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66.75</v>
      </c>
      <c r="BN286" s="78">
        <f t="shared" si="50"/>
        <v>66.75</v>
      </c>
      <c r="BO286" s="78">
        <f t="shared" si="51"/>
        <v>0.13736263736263737</v>
      </c>
      <c r="BP286" s="78">
        <f t="shared" si="52"/>
        <v>0.13736263736263737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667">
        <v>4680115882607</v>
      </c>
      <c r="E287" s="66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9"/>
      <c r="R287" s="669"/>
      <c r="S287" s="669"/>
      <c r="T287" s="67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667">
        <v>4680115882607</v>
      </c>
      <c r="E288" s="66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9"/>
      <c r="R288" s="669"/>
      <c r="S288" s="669"/>
      <c r="T288" s="67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667">
        <v>4680115880092</v>
      </c>
      <c r="E289" s="66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9"/>
      <c r="R289" s="669"/>
      <c r="S289" s="669"/>
      <c r="T289" s="670"/>
      <c r="U289" s="39" t="s">
        <v>46</v>
      </c>
      <c r="V289" s="39" t="s">
        <v>46</v>
      </c>
      <c r="W289" s="40" t="s">
        <v>0</v>
      </c>
      <c r="X289" s="58">
        <v>60</v>
      </c>
      <c r="Y289" s="55">
        <f t="shared" si="48"/>
        <v>60</v>
      </c>
      <c r="Z289" s="41">
        <f>IFERROR(IF(Y289=0,"",ROUNDUP(Y289/H289,0)*0.00651),"")</f>
        <v>0.16275000000000001</v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66.300000000000011</v>
      </c>
      <c r="BN289" s="78">
        <f t="shared" si="50"/>
        <v>66.300000000000011</v>
      </c>
      <c r="BO289" s="78">
        <f t="shared" si="51"/>
        <v>0.13736263736263737</v>
      </c>
      <c r="BP289" s="78">
        <f t="shared" si="52"/>
        <v>0.13736263736263737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667">
        <v>4680115889064</v>
      </c>
      <c r="E290" s="66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9"/>
      <c r="R290" s="669"/>
      <c r="S290" s="669"/>
      <c r="T290" s="67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667">
        <v>4680115880221</v>
      </c>
      <c r="E291" s="66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9"/>
      <c r="R291" s="669"/>
      <c r="S291" s="669"/>
      <c r="T291" s="670"/>
      <c r="U291" s="39" t="s">
        <v>46</v>
      </c>
      <c r="V291" s="39" t="s">
        <v>46</v>
      </c>
      <c r="W291" s="40" t="s">
        <v>0</v>
      </c>
      <c r="X291" s="58">
        <v>60</v>
      </c>
      <c r="Y291" s="55">
        <f t="shared" si="48"/>
        <v>60</v>
      </c>
      <c r="Z291" s="41">
        <f>IFERROR(IF(Y291=0,"",ROUNDUP(Y291/H291,0)*0.00651),"")</f>
        <v>0.16275000000000001</v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66.300000000000011</v>
      </c>
      <c r="BN291" s="78">
        <f t="shared" si="50"/>
        <v>66.300000000000011</v>
      </c>
      <c r="BO291" s="78">
        <f t="shared" si="51"/>
        <v>0.13736263736263737</v>
      </c>
      <c r="BP291" s="78">
        <f t="shared" si="52"/>
        <v>0.13736263736263737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667">
        <v>4680115880504</v>
      </c>
      <c r="E292" s="66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9"/>
      <c r="R292" s="669"/>
      <c r="S292" s="669"/>
      <c r="T292" s="67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667">
        <v>4680115882164</v>
      </c>
      <c r="E293" s="66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9"/>
      <c r="R293" s="669"/>
      <c r="S293" s="669"/>
      <c r="T293" s="670"/>
      <c r="U293" s="39" t="s">
        <v>46</v>
      </c>
      <c r="V293" s="39" t="s">
        <v>46</v>
      </c>
      <c r="W293" s="40" t="s">
        <v>0</v>
      </c>
      <c r="X293" s="58">
        <v>60</v>
      </c>
      <c r="Y293" s="55">
        <f t="shared" si="48"/>
        <v>60</v>
      </c>
      <c r="Z293" s="41">
        <f>IFERROR(IF(Y293=0,"",ROUNDUP(Y293/H293,0)*0.00651),"")</f>
        <v>0.16275000000000001</v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66.45</v>
      </c>
      <c r="BN293" s="78">
        <f t="shared" si="50"/>
        <v>66.45</v>
      </c>
      <c r="BO293" s="78">
        <f t="shared" si="51"/>
        <v>0.13736263736263737</v>
      </c>
      <c r="BP293" s="78">
        <f t="shared" si="52"/>
        <v>0.13736263736263737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667">
        <v>4680115888340</v>
      </c>
      <c r="E294" s="66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9"/>
      <c r="R294" s="669"/>
      <c r="S294" s="669"/>
      <c r="T294" s="67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4"/>
      <c r="P295" s="660" t="s">
        <v>40</v>
      </c>
      <c r="Q295" s="661"/>
      <c r="R295" s="661"/>
      <c r="S295" s="661"/>
      <c r="T295" s="661"/>
      <c r="U295" s="661"/>
      <c r="V295" s="66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154.27841634738186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156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1.7138799999999998</v>
      </c>
      <c r="AA295" s="67"/>
      <c r="AB295" s="67"/>
      <c r="AC295" s="67"/>
    </row>
    <row r="296" spans="1:68" x14ac:dyDescent="0.2">
      <c r="A296" s="663"/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4"/>
      <c r="P296" s="660" t="s">
        <v>40</v>
      </c>
      <c r="Q296" s="661"/>
      <c r="R296" s="661"/>
      <c r="S296" s="661"/>
      <c r="T296" s="661"/>
      <c r="U296" s="661"/>
      <c r="V296" s="662"/>
      <c r="W296" s="42" t="s">
        <v>0</v>
      </c>
      <c r="X296" s="43">
        <f>IFERROR(SUM(X283:X294),"0")</f>
        <v>690</v>
      </c>
      <c r="Y296" s="43">
        <f>IFERROR(SUM(Y283:Y294),"0")</f>
        <v>704.4</v>
      </c>
      <c r="Z296" s="42"/>
      <c r="AA296" s="67"/>
      <c r="AB296" s="67"/>
      <c r="AC296" s="67"/>
    </row>
    <row r="297" spans="1:68" ht="14.25" hidden="1" customHeight="1" x14ac:dyDescent="0.25">
      <c r="A297" s="666" t="s">
        <v>178</v>
      </c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667">
        <v>4680115880818</v>
      </c>
      <c r="E298" s="66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9"/>
      <c r="R298" s="669"/>
      <c r="S298" s="669"/>
      <c r="T298" s="67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667">
        <v>4680115880801</v>
      </c>
      <c r="E299" s="66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9"/>
      <c r="R299" s="669"/>
      <c r="S299" s="669"/>
      <c r="T299" s="67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4"/>
      <c r="P300" s="660" t="s">
        <v>40</v>
      </c>
      <c r="Q300" s="661"/>
      <c r="R300" s="661"/>
      <c r="S300" s="661"/>
      <c r="T300" s="661"/>
      <c r="U300" s="661"/>
      <c r="V300" s="66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3"/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4"/>
      <c r="P301" s="660" t="s">
        <v>40</v>
      </c>
      <c r="Q301" s="661"/>
      <c r="R301" s="661"/>
      <c r="S301" s="661"/>
      <c r="T301" s="661"/>
      <c r="U301" s="661"/>
      <c r="V301" s="66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5" t="s">
        <v>510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5"/>
      <c r="AB302" s="65"/>
      <c r="AC302" s="79"/>
    </row>
    <row r="303" spans="1:68" ht="14.25" hidden="1" customHeight="1" x14ac:dyDescent="0.25">
      <c r="A303" s="666" t="s">
        <v>122</v>
      </c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667">
        <v>4680115884137</v>
      </c>
      <c r="E304" s="66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9"/>
      <c r="R304" s="669"/>
      <c r="S304" s="669"/>
      <c r="T304" s="67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667">
        <v>4680115884236</v>
      </c>
      <c r="E305" s="66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9"/>
      <c r="R305" s="669"/>
      <c r="S305" s="669"/>
      <c r="T305" s="67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667">
        <v>4680115884175</v>
      </c>
      <c r="E306" s="66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9"/>
      <c r="R306" s="669"/>
      <c r="S306" s="669"/>
      <c r="T306" s="67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667">
        <v>4680115884144</v>
      </c>
      <c r="E307" s="66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9"/>
      <c r="R307" s="669"/>
      <c r="S307" s="669"/>
      <c r="T307" s="67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667">
        <v>4680115886551</v>
      </c>
      <c r="E308" s="66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9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9"/>
      <c r="R308" s="669"/>
      <c r="S308" s="669"/>
      <c r="T308" s="67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667">
        <v>4680115887282</v>
      </c>
      <c r="E309" s="66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9"/>
      <c r="R309" s="669"/>
      <c r="S309" s="669"/>
      <c r="T309" s="67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667">
        <v>4680115884205</v>
      </c>
      <c r="E310" s="66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9"/>
      <c r="R310" s="669"/>
      <c r="S310" s="669"/>
      <c r="T310" s="67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4"/>
      <c r="P311" s="660" t="s">
        <v>40</v>
      </c>
      <c r="Q311" s="661"/>
      <c r="R311" s="661"/>
      <c r="S311" s="661"/>
      <c r="T311" s="661"/>
      <c r="U311" s="661"/>
      <c r="V311" s="66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3"/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4"/>
      <c r="P312" s="660" t="s">
        <v>40</v>
      </c>
      <c r="Q312" s="661"/>
      <c r="R312" s="661"/>
      <c r="S312" s="661"/>
      <c r="T312" s="661"/>
      <c r="U312" s="661"/>
      <c r="V312" s="66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6" t="s">
        <v>159</v>
      </c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667">
        <v>4680115885981</v>
      </c>
      <c r="E314" s="66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9"/>
      <c r="R314" s="669"/>
      <c r="S314" s="669"/>
      <c r="T314" s="67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4"/>
      <c r="P315" s="660" t="s">
        <v>40</v>
      </c>
      <c r="Q315" s="661"/>
      <c r="R315" s="661"/>
      <c r="S315" s="661"/>
      <c r="T315" s="661"/>
      <c r="U315" s="661"/>
      <c r="V315" s="66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3"/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4"/>
      <c r="P316" s="660" t="s">
        <v>40</v>
      </c>
      <c r="Q316" s="661"/>
      <c r="R316" s="661"/>
      <c r="S316" s="661"/>
      <c r="T316" s="661"/>
      <c r="U316" s="661"/>
      <c r="V316" s="66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6" t="s">
        <v>532</v>
      </c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667">
        <v>4680115886803</v>
      </c>
      <c r="E318" s="66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9"/>
      <c r="R318" s="669"/>
      <c r="S318" s="669"/>
      <c r="T318" s="67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4"/>
      <c r="P319" s="660" t="s">
        <v>40</v>
      </c>
      <c r="Q319" s="661"/>
      <c r="R319" s="661"/>
      <c r="S319" s="661"/>
      <c r="T319" s="661"/>
      <c r="U319" s="661"/>
      <c r="V319" s="66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3"/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4"/>
      <c r="P320" s="660" t="s">
        <v>40</v>
      </c>
      <c r="Q320" s="661"/>
      <c r="R320" s="661"/>
      <c r="S320" s="661"/>
      <c r="T320" s="661"/>
      <c r="U320" s="661"/>
      <c r="V320" s="66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6" t="s">
        <v>342</v>
      </c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667">
        <v>4680115886681</v>
      </c>
      <c r="E322" s="66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9"/>
      <c r="R322" s="669"/>
      <c r="S322" s="669"/>
      <c r="T322" s="67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667">
        <v>4680115886735</v>
      </c>
      <c r="E323" s="66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669"/>
      <c r="R323" s="669"/>
      <c r="S323" s="669"/>
      <c r="T323" s="67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3"/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4"/>
      <c r="P324" s="660" t="s">
        <v>40</v>
      </c>
      <c r="Q324" s="661"/>
      <c r="R324" s="661"/>
      <c r="S324" s="661"/>
      <c r="T324" s="661"/>
      <c r="U324" s="661"/>
      <c r="V324" s="662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663"/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4"/>
      <c r="P325" s="660" t="s">
        <v>40</v>
      </c>
      <c r="Q325" s="661"/>
      <c r="R325" s="661"/>
      <c r="S325" s="661"/>
      <c r="T325" s="661"/>
      <c r="U325" s="661"/>
      <c r="V325" s="662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65" t="s">
        <v>542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5"/>
      <c r="AB326" s="65"/>
      <c r="AC326" s="79"/>
    </row>
    <row r="327" spans="1:68" ht="14.25" hidden="1" customHeight="1" x14ac:dyDescent="0.25">
      <c r="A327" s="666" t="s">
        <v>122</v>
      </c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667">
        <v>4680115889637</v>
      </c>
      <c r="E328" s="66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9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9"/>
      <c r="R328" s="669"/>
      <c r="S328" s="669"/>
      <c r="T328" s="67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customHeight="1" x14ac:dyDescent="0.25">
      <c r="A329" s="63" t="s">
        <v>547</v>
      </c>
      <c r="B329" s="63" t="s">
        <v>548</v>
      </c>
      <c r="C329" s="36">
        <v>4301011855</v>
      </c>
      <c r="D329" s="667">
        <v>4680115885837</v>
      </c>
      <c r="E329" s="66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9"/>
      <c r="R329" s="669"/>
      <c r="S329" s="669"/>
      <c r="T329" s="670"/>
      <c r="U329" s="39" t="s">
        <v>46</v>
      </c>
      <c r="V329" s="39" t="s">
        <v>46</v>
      </c>
      <c r="W329" s="40" t="s">
        <v>0</v>
      </c>
      <c r="X329" s="58">
        <v>100</v>
      </c>
      <c r="Y329" s="55">
        <f t="shared" si="58"/>
        <v>108</v>
      </c>
      <c r="Z329" s="41">
        <f>IFERROR(IF(Y329=0,"",ROUNDUP(Y329/H329,0)*0.01898),"")</f>
        <v>0.1898</v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103.79629629629629</v>
      </c>
      <c r="BN329" s="78">
        <f t="shared" si="60"/>
        <v>112.1</v>
      </c>
      <c r="BO329" s="78">
        <f t="shared" si="61"/>
        <v>0.14467592592592593</v>
      </c>
      <c r="BP329" s="78">
        <f t="shared" si="62"/>
        <v>0.15625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667">
        <v>4680115887237</v>
      </c>
      <c r="E330" s="66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9"/>
      <c r="R330" s="669"/>
      <c r="S330" s="669"/>
      <c r="T330" s="67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customHeight="1" x14ac:dyDescent="0.25">
      <c r="A331" s="63" t="s">
        <v>553</v>
      </c>
      <c r="B331" s="63" t="s">
        <v>554</v>
      </c>
      <c r="C331" s="36">
        <v>4301011850</v>
      </c>
      <c r="D331" s="667">
        <v>4680115885806</v>
      </c>
      <c r="E331" s="66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9"/>
      <c r="R331" s="669"/>
      <c r="S331" s="669"/>
      <c r="T331" s="670"/>
      <c r="U331" s="39" t="s">
        <v>46</v>
      </c>
      <c r="V331" s="39" t="s">
        <v>46</v>
      </c>
      <c r="W331" s="40" t="s">
        <v>0</v>
      </c>
      <c r="X331" s="58">
        <v>100</v>
      </c>
      <c r="Y331" s="55">
        <f t="shared" si="58"/>
        <v>108</v>
      </c>
      <c r="Z331" s="41">
        <f>IFERROR(IF(Y331=0,"",ROUNDUP(Y331/H331,0)*0.01898),"")</f>
        <v>0.1898</v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103.79629629629629</v>
      </c>
      <c r="BN331" s="78">
        <f t="shared" si="60"/>
        <v>112.1</v>
      </c>
      <c r="BO331" s="78">
        <f t="shared" si="61"/>
        <v>0.14467592592592593</v>
      </c>
      <c r="BP331" s="78">
        <f t="shared" si="62"/>
        <v>0.15625</v>
      </c>
    </row>
    <row r="332" spans="1:68" ht="27" hidden="1" customHeight="1" x14ac:dyDescent="0.25">
      <c r="A332" s="63" t="s">
        <v>556</v>
      </c>
      <c r="B332" s="63" t="s">
        <v>557</v>
      </c>
      <c r="C332" s="36">
        <v>4301011852</v>
      </c>
      <c r="D332" s="667">
        <v>4680115885844</v>
      </c>
      <c r="E332" s="66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9"/>
      <c r="R332" s="669"/>
      <c r="S332" s="669"/>
      <c r="T332" s="67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667">
        <v>4680115885820</v>
      </c>
      <c r="E333" s="66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9"/>
      <c r="R333" s="669"/>
      <c r="S333" s="669"/>
      <c r="T333" s="67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x14ac:dyDescent="0.2">
      <c r="A334" s="663"/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4"/>
      <c r="P334" s="660" t="s">
        <v>40</v>
      </c>
      <c r="Q334" s="661"/>
      <c r="R334" s="661"/>
      <c r="S334" s="661"/>
      <c r="T334" s="661"/>
      <c r="U334" s="661"/>
      <c r="V334" s="662"/>
      <c r="W334" s="42" t="s">
        <v>39</v>
      </c>
      <c r="X334" s="43">
        <f>IFERROR(X328/H328,"0")+IFERROR(X329/H329,"0")+IFERROR(X330/H330,"0")+IFERROR(X331/H331,"0")+IFERROR(X332/H332,"0")+IFERROR(X333/H333,"0")</f>
        <v>18.518518518518519</v>
      </c>
      <c r="Y334" s="43">
        <f>IFERROR(Y328/H328,"0")+IFERROR(Y329/H329,"0")+IFERROR(Y330/H330,"0")+IFERROR(Y331/H331,"0")+IFERROR(Y332/H332,"0")+IFERROR(Y333/H333,"0")</f>
        <v>20</v>
      </c>
      <c r="Z334" s="43">
        <f>IFERROR(IF(Z328="",0,Z328),"0")+IFERROR(IF(Z329="",0,Z329),"0")+IFERROR(IF(Z330="",0,Z330),"0")+IFERROR(IF(Z331="",0,Z331),"0")+IFERROR(IF(Z332="",0,Z332),"0")+IFERROR(IF(Z333="",0,Z333),"0")</f>
        <v>0.37959999999999999</v>
      </c>
      <c r="AA334" s="67"/>
      <c r="AB334" s="67"/>
      <c r="AC334" s="67"/>
    </row>
    <row r="335" spans="1:68" x14ac:dyDescent="0.2">
      <c r="A335" s="663"/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4"/>
      <c r="P335" s="660" t="s">
        <v>40</v>
      </c>
      <c r="Q335" s="661"/>
      <c r="R335" s="661"/>
      <c r="S335" s="661"/>
      <c r="T335" s="661"/>
      <c r="U335" s="661"/>
      <c r="V335" s="662"/>
      <c r="W335" s="42" t="s">
        <v>0</v>
      </c>
      <c r="X335" s="43">
        <f>IFERROR(SUM(X328:X333),"0")</f>
        <v>200</v>
      </c>
      <c r="Y335" s="43">
        <f>IFERROR(SUM(Y328:Y333),"0")</f>
        <v>216</v>
      </c>
      <c r="Z335" s="42"/>
      <c r="AA335" s="67"/>
      <c r="AB335" s="67"/>
      <c r="AC335" s="67"/>
    </row>
    <row r="336" spans="1:68" ht="16.5" hidden="1" customHeight="1" x14ac:dyDescent="0.25">
      <c r="A336" s="665" t="s">
        <v>562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5"/>
      <c r="AB336" s="65"/>
      <c r="AC336" s="79"/>
    </row>
    <row r="337" spans="1:68" ht="14.25" hidden="1" customHeight="1" x14ac:dyDescent="0.25">
      <c r="A337" s="666" t="s">
        <v>86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667">
        <v>4680115886186</v>
      </c>
      <c r="E338" s="66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9"/>
      <c r="R338" s="669"/>
      <c r="S338" s="669"/>
      <c r="T338" s="67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4301051795</v>
      </c>
      <c r="D339" s="667">
        <v>4680115881228</v>
      </c>
      <c r="E339" s="66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9"/>
      <c r="R339" s="669"/>
      <c r="S339" s="669"/>
      <c r="T339" s="67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4301051388</v>
      </c>
      <c r="D340" s="667">
        <v>4680115881211</v>
      </c>
      <c r="E340" s="66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9"/>
      <c r="R340" s="669"/>
      <c r="S340" s="669"/>
      <c r="T340" s="67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3"/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4"/>
      <c r="P341" s="660" t="s">
        <v>40</v>
      </c>
      <c r="Q341" s="661"/>
      <c r="R341" s="661"/>
      <c r="S341" s="661"/>
      <c r="T341" s="661"/>
      <c r="U341" s="661"/>
      <c r="V341" s="66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3"/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4"/>
      <c r="P342" s="660" t="s">
        <v>40</v>
      </c>
      <c r="Q342" s="661"/>
      <c r="R342" s="661"/>
      <c r="S342" s="661"/>
      <c r="T342" s="661"/>
      <c r="U342" s="661"/>
      <c r="V342" s="66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5" t="s">
        <v>571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5"/>
      <c r="AB343" s="65"/>
      <c r="AC343" s="79"/>
    </row>
    <row r="344" spans="1:68" ht="14.25" hidden="1" customHeight="1" x14ac:dyDescent="0.25">
      <c r="A344" s="666" t="s">
        <v>77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667">
        <v>4680115888319</v>
      </c>
      <c r="E345" s="66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9"/>
      <c r="R345" s="669"/>
      <c r="S345" s="669"/>
      <c r="T345" s="67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667">
        <v>4680115884700</v>
      </c>
      <c r="E346" s="66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9"/>
      <c r="R346" s="669"/>
      <c r="S346" s="669"/>
      <c r="T346" s="67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667">
        <v>4680115880344</v>
      </c>
      <c r="E347" s="66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9"/>
      <c r="R347" s="669"/>
      <c r="S347" s="669"/>
      <c r="T347" s="67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667">
        <v>4680115886919</v>
      </c>
      <c r="E348" s="66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8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9"/>
      <c r="R348" s="669"/>
      <c r="S348" s="669"/>
      <c r="T348" s="67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667">
        <v>4680115883970</v>
      </c>
      <c r="E349" s="66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8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9"/>
      <c r="R349" s="669"/>
      <c r="S349" s="669"/>
      <c r="T349" s="67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3"/>
      <c r="B350" s="663"/>
      <c r="C350" s="663"/>
      <c r="D350" s="663"/>
      <c r="E350" s="663"/>
      <c r="F350" s="663"/>
      <c r="G350" s="663"/>
      <c r="H350" s="663"/>
      <c r="I350" s="663"/>
      <c r="J350" s="663"/>
      <c r="K350" s="663"/>
      <c r="L350" s="663"/>
      <c r="M350" s="663"/>
      <c r="N350" s="663"/>
      <c r="O350" s="664"/>
      <c r="P350" s="660" t="s">
        <v>40</v>
      </c>
      <c r="Q350" s="661"/>
      <c r="R350" s="661"/>
      <c r="S350" s="661"/>
      <c r="T350" s="661"/>
      <c r="U350" s="661"/>
      <c r="V350" s="66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3"/>
      <c r="B351" s="663"/>
      <c r="C351" s="663"/>
      <c r="D351" s="663"/>
      <c r="E351" s="663"/>
      <c r="F351" s="663"/>
      <c r="G351" s="663"/>
      <c r="H351" s="663"/>
      <c r="I351" s="663"/>
      <c r="J351" s="663"/>
      <c r="K351" s="663"/>
      <c r="L351" s="663"/>
      <c r="M351" s="663"/>
      <c r="N351" s="663"/>
      <c r="O351" s="664"/>
      <c r="P351" s="660" t="s">
        <v>40</v>
      </c>
      <c r="Q351" s="661"/>
      <c r="R351" s="661"/>
      <c r="S351" s="661"/>
      <c r="T351" s="661"/>
      <c r="U351" s="661"/>
      <c r="V351" s="66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6" t="s">
        <v>86</v>
      </c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667">
        <v>4680115884618</v>
      </c>
      <c r="E353" s="66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9"/>
      <c r="R353" s="669"/>
      <c r="S353" s="669"/>
      <c r="T353" s="67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667">
        <v>4680115887114</v>
      </c>
      <c r="E354" s="66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9"/>
      <c r="R354" s="669"/>
      <c r="S354" s="669"/>
      <c r="T354" s="67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3"/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4"/>
      <c r="P355" s="660" t="s">
        <v>40</v>
      </c>
      <c r="Q355" s="661"/>
      <c r="R355" s="661"/>
      <c r="S355" s="661"/>
      <c r="T355" s="661"/>
      <c r="U355" s="661"/>
      <c r="V355" s="66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3"/>
      <c r="B356" s="663"/>
      <c r="C356" s="663"/>
      <c r="D356" s="663"/>
      <c r="E356" s="663"/>
      <c r="F356" s="663"/>
      <c r="G356" s="663"/>
      <c r="H356" s="663"/>
      <c r="I356" s="663"/>
      <c r="J356" s="663"/>
      <c r="K356" s="663"/>
      <c r="L356" s="663"/>
      <c r="M356" s="663"/>
      <c r="N356" s="663"/>
      <c r="O356" s="664"/>
      <c r="P356" s="660" t="s">
        <v>40</v>
      </c>
      <c r="Q356" s="661"/>
      <c r="R356" s="661"/>
      <c r="S356" s="661"/>
      <c r="T356" s="661"/>
      <c r="U356" s="661"/>
      <c r="V356" s="66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5" t="s">
        <v>592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5"/>
      <c r="AB357" s="65"/>
      <c r="AC357" s="79"/>
    </row>
    <row r="358" spans="1:68" ht="14.25" hidden="1" customHeight="1" x14ac:dyDescent="0.25">
      <c r="A358" s="666" t="s">
        <v>122</v>
      </c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"/>
      <c r="AB358" s="66"/>
      <c r="AC358" s="80"/>
    </row>
    <row r="359" spans="1:68" ht="27" customHeight="1" x14ac:dyDescent="0.25">
      <c r="A359" s="63" t="s">
        <v>593</v>
      </c>
      <c r="B359" s="63" t="s">
        <v>594</v>
      </c>
      <c r="C359" s="36">
        <v>4301012324</v>
      </c>
      <c r="D359" s="667">
        <v>4680115887947</v>
      </c>
      <c r="E359" s="66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9"/>
      <c r="R359" s="669"/>
      <c r="S359" s="669"/>
      <c r="T359" s="670"/>
      <c r="U359" s="39" t="s">
        <v>46</v>
      </c>
      <c r="V359" s="39" t="s">
        <v>46</v>
      </c>
      <c r="W359" s="40" t="s">
        <v>0</v>
      </c>
      <c r="X359" s="58">
        <v>250</v>
      </c>
      <c r="Y359" s="55">
        <f>IFERROR(IF(X359="",0,CEILING((X359/$H359),1)*$H359),"")</f>
        <v>257.39999999999998</v>
      </c>
      <c r="Z359" s="41">
        <f>IFERROR(IF(Y359=0,"",ROUNDUP(Y359/H359,0)*0.01898),"")</f>
        <v>0.62634000000000001</v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263.14102564102564</v>
      </c>
      <c r="BN359" s="78">
        <f>IFERROR(Y359*I359/H359,"0")</f>
        <v>270.93</v>
      </c>
      <c r="BO359" s="78">
        <f>IFERROR(1/J359*(X359/H359),"0")</f>
        <v>0.50080128205128205</v>
      </c>
      <c r="BP359" s="78">
        <f>IFERROR(1/J359*(Y359/H359),"0")</f>
        <v>0.515625</v>
      </c>
    </row>
    <row r="360" spans="1:68" ht="27" customHeight="1" x14ac:dyDescent="0.25">
      <c r="A360" s="63" t="s">
        <v>595</v>
      </c>
      <c r="B360" s="63" t="s">
        <v>596</v>
      </c>
      <c r="C360" s="36">
        <v>4301012325</v>
      </c>
      <c r="D360" s="667">
        <v>4680115887978</v>
      </c>
      <c r="E360" s="66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9"/>
      <c r="R360" s="669"/>
      <c r="S360" s="669"/>
      <c r="T360" s="670"/>
      <c r="U360" s="39" t="s">
        <v>46</v>
      </c>
      <c r="V360" s="39" t="s">
        <v>46</v>
      </c>
      <c r="W360" s="40" t="s">
        <v>0</v>
      </c>
      <c r="X360" s="58">
        <v>150</v>
      </c>
      <c r="Y360" s="55">
        <f>IFERROR(IF(X360="",0,CEILING((X360/$H360),1)*$H360),"")</f>
        <v>156</v>
      </c>
      <c r="Z360" s="41">
        <f>IFERROR(IF(Y360=0,"",ROUNDUP(Y360/H360,0)*0.01898),"")</f>
        <v>0.37959999999999999</v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157.88461538461542</v>
      </c>
      <c r="BN360" s="78">
        <f>IFERROR(Y360*I360/H360,"0")</f>
        <v>164.20000000000005</v>
      </c>
      <c r="BO360" s="78">
        <f>IFERROR(1/J360*(X360/H360),"0")</f>
        <v>0.30048076923076922</v>
      </c>
      <c r="BP360" s="78">
        <f>IFERROR(1/J360*(Y360/H360),"0")</f>
        <v>0.3125</v>
      </c>
    </row>
    <row r="361" spans="1:68" ht="27" customHeight="1" x14ac:dyDescent="0.25">
      <c r="A361" s="63" t="s">
        <v>598</v>
      </c>
      <c r="B361" s="63" t="s">
        <v>599</v>
      </c>
      <c r="C361" s="36">
        <v>4301012327</v>
      </c>
      <c r="D361" s="667">
        <v>4680115887992</v>
      </c>
      <c r="E361" s="66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9"/>
      <c r="R361" s="669"/>
      <c r="S361" s="669"/>
      <c r="T361" s="670"/>
      <c r="U361" s="39" t="s">
        <v>46</v>
      </c>
      <c r="V361" s="39" t="s">
        <v>46</v>
      </c>
      <c r="W361" s="40" t="s">
        <v>0</v>
      </c>
      <c r="X361" s="58">
        <v>100</v>
      </c>
      <c r="Y361" s="55">
        <f>IFERROR(IF(X361="",0,CEILING((X361/$H361),1)*$H361),"")</f>
        <v>101.39999999999999</v>
      </c>
      <c r="Z361" s="41">
        <f>IFERROR(IF(Y361=0,"",ROUNDUP(Y361/H361,0)*0.01898),"")</f>
        <v>0.24674000000000001</v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105.25641025641028</v>
      </c>
      <c r="BN361" s="78">
        <f>IFERROR(Y361*I361/H361,"0")</f>
        <v>106.73</v>
      </c>
      <c r="BO361" s="78">
        <f>IFERROR(1/J361*(X361/H361),"0")</f>
        <v>0.20032051282051283</v>
      </c>
      <c r="BP361" s="78">
        <f>IFERROR(1/J361*(Y361/H361),"0")</f>
        <v>0.203125</v>
      </c>
    </row>
    <row r="362" spans="1:68" x14ac:dyDescent="0.2">
      <c r="A362" s="663"/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4"/>
      <c r="P362" s="660" t="s">
        <v>40</v>
      </c>
      <c r="Q362" s="661"/>
      <c r="R362" s="661"/>
      <c r="S362" s="661"/>
      <c r="T362" s="661"/>
      <c r="U362" s="661"/>
      <c r="V362" s="662"/>
      <c r="W362" s="42" t="s">
        <v>39</v>
      </c>
      <c r="X362" s="43">
        <f>IFERROR(X359/H359,"0")+IFERROR(X360/H360,"0")+IFERROR(X361/H361,"0")</f>
        <v>64.102564102564102</v>
      </c>
      <c r="Y362" s="43">
        <f>IFERROR(Y359/H359,"0")+IFERROR(Y360/H360,"0")+IFERROR(Y361/H361,"0")</f>
        <v>66</v>
      </c>
      <c r="Z362" s="43">
        <f>IFERROR(IF(Z359="",0,Z359),"0")+IFERROR(IF(Z360="",0,Z360),"0")+IFERROR(IF(Z361="",0,Z361),"0")</f>
        <v>1.25268</v>
      </c>
      <c r="AA362" s="67"/>
      <c r="AB362" s="67"/>
      <c r="AC362" s="67"/>
    </row>
    <row r="363" spans="1:68" x14ac:dyDescent="0.2">
      <c r="A363" s="663"/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4"/>
      <c r="P363" s="660" t="s">
        <v>40</v>
      </c>
      <c r="Q363" s="661"/>
      <c r="R363" s="661"/>
      <c r="S363" s="661"/>
      <c r="T363" s="661"/>
      <c r="U363" s="661"/>
      <c r="V363" s="662"/>
      <c r="W363" s="42" t="s">
        <v>0</v>
      </c>
      <c r="X363" s="43">
        <f>IFERROR(SUM(X359:X361),"0")</f>
        <v>500</v>
      </c>
      <c r="Y363" s="43">
        <f>IFERROR(SUM(Y359:Y361),"0")</f>
        <v>514.79999999999995</v>
      </c>
      <c r="Z363" s="42"/>
      <c r="AA363" s="67"/>
      <c r="AB363" s="67"/>
      <c r="AC363" s="67"/>
    </row>
    <row r="364" spans="1:68" ht="16.5" hidden="1" customHeight="1" x14ac:dyDescent="0.25">
      <c r="A364" s="665" t="s">
        <v>601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5"/>
      <c r="AB364" s="65"/>
      <c r="AC364" s="79"/>
    </row>
    <row r="365" spans="1:68" ht="14.25" hidden="1" customHeight="1" x14ac:dyDescent="0.25">
      <c r="A365" s="666" t="s">
        <v>122</v>
      </c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667">
        <v>4680115889880</v>
      </c>
      <c r="E366" s="66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9"/>
      <c r="R366" s="669"/>
      <c r="S366" s="669"/>
      <c r="T366" s="67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67">
        <v>4680115889293</v>
      </c>
      <c r="E367" s="66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9"/>
      <c r="R367" s="669"/>
      <c r="S367" s="669"/>
      <c r="T367" s="67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67">
        <v>4680115887190</v>
      </c>
      <c r="E368" s="66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9"/>
      <c r="R368" s="669"/>
      <c r="S368" s="669"/>
      <c r="T368" s="67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610</v>
      </c>
      <c r="B369" s="63" t="s">
        <v>611</v>
      </c>
      <c r="C369" s="36">
        <v>4301012233</v>
      </c>
      <c r="D369" s="667">
        <v>4680115887138</v>
      </c>
      <c r="E369" s="66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7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9"/>
      <c r="R369" s="669"/>
      <c r="S369" s="669"/>
      <c r="T369" s="67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4301012016</v>
      </c>
      <c r="D370" s="667">
        <v>4680115885554</v>
      </c>
      <c r="E370" s="66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9"/>
      <c r="R370" s="669"/>
      <c r="S370" s="669"/>
      <c r="T370" s="67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616</v>
      </c>
      <c r="B371" s="63" t="s">
        <v>617</v>
      </c>
      <c r="C371" s="36">
        <v>4301012236</v>
      </c>
      <c r="D371" s="667">
        <v>4680115887220</v>
      </c>
      <c r="E371" s="66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9"/>
      <c r="R371" s="669"/>
      <c r="S371" s="669"/>
      <c r="T371" s="67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4301011859</v>
      </c>
      <c r="D372" s="667">
        <v>4680115885608</v>
      </c>
      <c r="E372" s="66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9"/>
      <c r="R372" s="669"/>
      <c r="S372" s="669"/>
      <c r="T372" s="67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663"/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4"/>
      <c r="P373" s="660" t="s">
        <v>40</v>
      </c>
      <c r="Q373" s="661"/>
      <c r="R373" s="661"/>
      <c r="S373" s="661"/>
      <c r="T373" s="661"/>
      <c r="U373" s="661"/>
      <c r="V373" s="662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663"/>
      <c r="B374" s="663"/>
      <c r="C374" s="663"/>
      <c r="D374" s="663"/>
      <c r="E374" s="663"/>
      <c r="F374" s="663"/>
      <c r="G374" s="663"/>
      <c r="H374" s="663"/>
      <c r="I374" s="663"/>
      <c r="J374" s="663"/>
      <c r="K374" s="663"/>
      <c r="L374" s="663"/>
      <c r="M374" s="663"/>
      <c r="N374" s="663"/>
      <c r="O374" s="664"/>
      <c r="P374" s="660" t="s">
        <v>40</v>
      </c>
      <c r="Q374" s="661"/>
      <c r="R374" s="661"/>
      <c r="S374" s="661"/>
      <c r="T374" s="661"/>
      <c r="U374" s="661"/>
      <c r="V374" s="662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666" t="s">
        <v>77</v>
      </c>
      <c r="B375" s="666"/>
      <c r="C375" s="666"/>
      <c r="D375" s="666"/>
      <c r="E375" s="666"/>
      <c r="F375" s="666"/>
      <c r="G375" s="666"/>
      <c r="H375" s="666"/>
      <c r="I375" s="666"/>
      <c r="J375" s="666"/>
      <c r="K375" s="666"/>
      <c r="L375" s="666"/>
      <c r="M375" s="666"/>
      <c r="N375" s="666"/>
      <c r="O375" s="666"/>
      <c r="P375" s="666"/>
      <c r="Q375" s="666"/>
      <c r="R375" s="666"/>
      <c r="S375" s="666"/>
      <c r="T375" s="666"/>
      <c r="U375" s="666"/>
      <c r="V375" s="666"/>
      <c r="W375" s="666"/>
      <c r="X375" s="666"/>
      <c r="Y375" s="666"/>
      <c r="Z375" s="666"/>
      <c r="AA375" s="66"/>
      <c r="AB375" s="66"/>
      <c r="AC375" s="80"/>
    </row>
    <row r="376" spans="1:68" ht="27" customHeight="1" x14ac:dyDescent="0.25">
      <c r="A376" s="63" t="s">
        <v>621</v>
      </c>
      <c r="B376" s="63" t="s">
        <v>622</v>
      </c>
      <c r="C376" s="36">
        <v>4301030878</v>
      </c>
      <c r="D376" s="667">
        <v>4607091387193</v>
      </c>
      <c r="E376" s="66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7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9"/>
      <c r="R376" s="669"/>
      <c r="S376" s="669"/>
      <c r="T376" s="670"/>
      <c r="U376" s="39" t="s">
        <v>46</v>
      </c>
      <c r="V376" s="39" t="s">
        <v>46</v>
      </c>
      <c r="W376" s="40" t="s">
        <v>0</v>
      </c>
      <c r="X376" s="58">
        <v>50</v>
      </c>
      <c r="Y376" s="55">
        <f t="shared" ref="Y376:Y382" si="68">IFERROR(IF(X376="",0,CEILING((X376/$H376),1)*$H376),"")</f>
        <v>50.400000000000006</v>
      </c>
      <c r="Z376" s="41">
        <f>IFERROR(IF(Y376=0,"",ROUNDUP(Y376/H376,0)*0.00902),"")</f>
        <v>0.10824</v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52.976190476190474</v>
      </c>
      <c r="BN376" s="78">
        <f t="shared" ref="BN376:BN382" si="70">IFERROR(Y376*I376/H376,"0")</f>
        <v>53.400000000000006</v>
      </c>
      <c r="BO376" s="78">
        <f t="shared" ref="BO376:BO382" si="71">IFERROR(1/J376*(X376/H376),"0")</f>
        <v>9.0187590187590191E-2</v>
      </c>
      <c r="BP376" s="78">
        <f t="shared" ref="BP376:BP382" si="72">IFERROR(1/J376*(Y376/H376),"0")</f>
        <v>9.0909090909090912E-2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4301031153</v>
      </c>
      <c r="D377" s="667">
        <v>4607091387230</v>
      </c>
      <c r="E377" s="66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9"/>
      <c r="R377" s="669"/>
      <c r="S377" s="669"/>
      <c r="T377" s="67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667">
        <v>4607091387292</v>
      </c>
      <c r="E378" s="66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9"/>
      <c r="R378" s="669"/>
      <c r="S378" s="669"/>
      <c r="T378" s="67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630</v>
      </c>
      <c r="B379" s="63" t="s">
        <v>631</v>
      </c>
      <c r="C379" s="36">
        <v>4301031152</v>
      </c>
      <c r="D379" s="667">
        <v>4607091387285</v>
      </c>
      <c r="E379" s="66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9"/>
      <c r="R379" s="669"/>
      <c r="S379" s="669"/>
      <c r="T379" s="67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4301031305</v>
      </c>
      <c r="D380" s="667">
        <v>4607091389845</v>
      </c>
      <c r="E380" s="66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9"/>
      <c r="R380" s="669"/>
      <c r="S380" s="669"/>
      <c r="T380" s="67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667">
        <v>4680115887442</v>
      </c>
      <c r="E381" s="66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9"/>
      <c r="R381" s="669"/>
      <c r="S381" s="669"/>
      <c r="T381" s="67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4301031066</v>
      </c>
      <c r="D382" s="667">
        <v>4607091383836</v>
      </c>
      <c r="E382" s="66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9"/>
      <c r="R382" s="669"/>
      <c r="S382" s="669"/>
      <c r="T382" s="67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x14ac:dyDescent="0.2">
      <c r="A383" s="663"/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4"/>
      <c r="P383" s="660" t="s">
        <v>40</v>
      </c>
      <c r="Q383" s="661"/>
      <c r="R383" s="661"/>
      <c r="S383" s="661"/>
      <c r="T383" s="661"/>
      <c r="U383" s="661"/>
      <c r="V383" s="662"/>
      <c r="W383" s="42" t="s">
        <v>39</v>
      </c>
      <c r="X383" s="43">
        <f>IFERROR(X376/H376,"0")+IFERROR(X377/H377,"0")+IFERROR(X378/H378,"0")+IFERROR(X379/H379,"0")+IFERROR(X380/H380,"0")+IFERROR(X381/H381,"0")+IFERROR(X382/H382,"0")</f>
        <v>11.904761904761905</v>
      </c>
      <c r="Y383" s="43">
        <f>IFERROR(Y376/H376,"0")+IFERROR(Y377/H377,"0")+IFERROR(Y378/H378,"0")+IFERROR(Y379/H379,"0")+IFERROR(Y380/H380,"0")+IFERROR(Y381/H381,"0")+IFERROR(Y382/H382,"0")</f>
        <v>12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0.10824</v>
      </c>
      <c r="AA383" s="67"/>
      <c r="AB383" s="67"/>
      <c r="AC383" s="67"/>
    </row>
    <row r="384" spans="1:68" x14ac:dyDescent="0.2">
      <c r="A384" s="663"/>
      <c r="B384" s="663"/>
      <c r="C384" s="663"/>
      <c r="D384" s="663"/>
      <c r="E384" s="663"/>
      <c r="F384" s="663"/>
      <c r="G384" s="663"/>
      <c r="H384" s="663"/>
      <c r="I384" s="663"/>
      <c r="J384" s="663"/>
      <c r="K384" s="663"/>
      <c r="L384" s="663"/>
      <c r="M384" s="663"/>
      <c r="N384" s="663"/>
      <c r="O384" s="664"/>
      <c r="P384" s="660" t="s">
        <v>40</v>
      </c>
      <c r="Q384" s="661"/>
      <c r="R384" s="661"/>
      <c r="S384" s="661"/>
      <c r="T384" s="661"/>
      <c r="U384" s="661"/>
      <c r="V384" s="662"/>
      <c r="W384" s="42" t="s">
        <v>0</v>
      </c>
      <c r="X384" s="43">
        <f>IFERROR(SUM(X376:X382),"0")</f>
        <v>50</v>
      </c>
      <c r="Y384" s="43">
        <f>IFERROR(SUM(Y376:Y382),"0")</f>
        <v>50.400000000000006</v>
      </c>
      <c r="Z384" s="42"/>
      <c r="AA384" s="67"/>
      <c r="AB384" s="67"/>
      <c r="AC384" s="67"/>
    </row>
    <row r="385" spans="1:68" ht="14.25" hidden="1" customHeight="1" x14ac:dyDescent="0.25">
      <c r="A385" s="666" t="s">
        <v>86</v>
      </c>
      <c r="B385" s="666"/>
      <c r="C385" s="666"/>
      <c r="D385" s="666"/>
      <c r="E385" s="666"/>
      <c r="F385" s="666"/>
      <c r="G385" s="666"/>
      <c r="H385" s="666"/>
      <c r="I385" s="666"/>
      <c r="J385" s="666"/>
      <c r="K385" s="666"/>
      <c r="L385" s="666"/>
      <c r="M385" s="666"/>
      <c r="N385" s="666"/>
      <c r="O385" s="666"/>
      <c r="P385" s="666"/>
      <c r="Q385" s="666"/>
      <c r="R385" s="666"/>
      <c r="S385" s="666"/>
      <c r="T385" s="666"/>
      <c r="U385" s="666"/>
      <c r="V385" s="666"/>
      <c r="W385" s="666"/>
      <c r="X385" s="666"/>
      <c r="Y385" s="666"/>
      <c r="Z385" s="666"/>
      <c r="AA385" s="66"/>
      <c r="AB385" s="66"/>
      <c r="AC385" s="80"/>
    </row>
    <row r="386" spans="1:68" ht="27" customHeight="1" x14ac:dyDescent="0.25">
      <c r="A386" s="63" t="s">
        <v>640</v>
      </c>
      <c r="B386" s="63" t="s">
        <v>641</v>
      </c>
      <c r="C386" s="36">
        <v>4301051100</v>
      </c>
      <c r="D386" s="667">
        <v>4607091387766</v>
      </c>
      <c r="E386" s="66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9"/>
      <c r="R386" s="669"/>
      <c r="S386" s="669"/>
      <c r="T386" s="670"/>
      <c r="U386" s="39" t="s">
        <v>46</v>
      </c>
      <c r="V386" s="39" t="s">
        <v>46</v>
      </c>
      <c r="W386" s="40" t="s">
        <v>0</v>
      </c>
      <c r="X386" s="58">
        <v>150</v>
      </c>
      <c r="Y386" s="55">
        <f>IFERROR(IF(X386="",0,CEILING((X386/$H386),1)*$H386),"")</f>
        <v>156</v>
      </c>
      <c r="Z386" s="41">
        <f>IFERROR(IF(Y386=0,"",ROUNDUP(Y386/H386,0)*0.01898),"")</f>
        <v>0.37959999999999999</v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159.38461538461539</v>
      </c>
      <c r="BN386" s="78">
        <f>IFERROR(Y386*I386/H386,"0")</f>
        <v>165.76000000000002</v>
      </c>
      <c r="BO386" s="78">
        <f>IFERROR(1/J386*(X386/H386),"0")</f>
        <v>0.30048076923076922</v>
      </c>
      <c r="BP386" s="78">
        <f>IFERROR(1/J386*(Y386/H386),"0")</f>
        <v>0.3125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667">
        <v>4607091387957</v>
      </c>
      <c r="E387" s="66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9"/>
      <c r="R387" s="669"/>
      <c r="S387" s="669"/>
      <c r="T387" s="67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667">
        <v>4607091387964</v>
      </c>
      <c r="E388" s="66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9"/>
      <c r="R388" s="669"/>
      <c r="S388" s="669"/>
      <c r="T388" s="67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667">
        <v>4680115884588</v>
      </c>
      <c r="E389" s="66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9"/>
      <c r="R389" s="669"/>
      <c r="S389" s="669"/>
      <c r="T389" s="67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63"/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4"/>
      <c r="P390" s="660" t="s">
        <v>40</v>
      </c>
      <c r="Q390" s="661"/>
      <c r="R390" s="661"/>
      <c r="S390" s="661"/>
      <c r="T390" s="661"/>
      <c r="U390" s="661"/>
      <c r="V390" s="662"/>
      <c r="W390" s="42" t="s">
        <v>39</v>
      </c>
      <c r="X390" s="43">
        <f>IFERROR(X386/H386,"0")+IFERROR(X387/H387,"0")+IFERROR(X388/H388,"0")+IFERROR(X389/H389,"0")</f>
        <v>19.23076923076923</v>
      </c>
      <c r="Y390" s="43">
        <f>IFERROR(Y386/H386,"0")+IFERROR(Y387/H387,"0")+IFERROR(Y388/H388,"0")+IFERROR(Y389/H389,"0")</f>
        <v>20</v>
      </c>
      <c r="Z390" s="43">
        <f>IFERROR(IF(Z386="",0,Z386),"0")+IFERROR(IF(Z387="",0,Z387),"0")+IFERROR(IF(Z388="",0,Z388),"0")+IFERROR(IF(Z389="",0,Z389),"0")</f>
        <v>0.37959999999999999</v>
      </c>
      <c r="AA390" s="67"/>
      <c r="AB390" s="67"/>
      <c r="AC390" s="67"/>
    </row>
    <row r="391" spans="1:68" x14ac:dyDescent="0.2">
      <c r="A391" s="663"/>
      <c r="B391" s="663"/>
      <c r="C391" s="663"/>
      <c r="D391" s="663"/>
      <c r="E391" s="663"/>
      <c r="F391" s="663"/>
      <c r="G391" s="663"/>
      <c r="H391" s="663"/>
      <c r="I391" s="663"/>
      <c r="J391" s="663"/>
      <c r="K391" s="663"/>
      <c r="L391" s="663"/>
      <c r="M391" s="663"/>
      <c r="N391" s="663"/>
      <c r="O391" s="664"/>
      <c r="P391" s="660" t="s">
        <v>40</v>
      </c>
      <c r="Q391" s="661"/>
      <c r="R391" s="661"/>
      <c r="S391" s="661"/>
      <c r="T391" s="661"/>
      <c r="U391" s="661"/>
      <c r="V391" s="662"/>
      <c r="W391" s="42" t="s">
        <v>0</v>
      </c>
      <c r="X391" s="43">
        <f>IFERROR(SUM(X386:X389),"0")</f>
        <v>150</v>
      </c>
      <c r="Y391" s="43">
        <f>IFERROR(SUM(Y386:Y389),"0")</f>
        <v>156</v>
      </c>
      <c r="Z391" s="42"/>
      <c r="AA391" s="67"/>
      <c r="AB391" s="67"/>
      <c r="AC391" s="67"/>
    </row>
    <row r="392" spans="1:68" ht="14.25" hidden="1" customHeight="1" x14ac:dyDescent="0.25">
      <c r="A392" s="666" t="s">
        <v>178</v>
      </c>
      <c r="B392" s="666"/>
      <c r="C392" s="666"/>
      <c r="D392" s="666"/>
      <c r="E392" s="666"/>
      <c r="F392" s="666"/>
      <c r="G392" s="666"/>
      <c r="H392" s="666"/>
      <c r="I392" s="666"/>
      <c r="J392" s="666"/>
      <c r="K392" s="666"/>
      <c r="L392" s="666"/>
      <c r="M392" s="666"/>
      <c r="N392" s="666"/>
      <c r="O392" s="666"/>
      <c r="P392" s="666"/>
      <c r="Q392" s="666"/>
      <c r="R392" s="666"/>
      <c r="S392" s="666"/>
      <c r="T392" s="666"/>
      <c r="U392" s="666"/>
      <c r="V392" s="666"/>
      <c r="W392" s="666"/>
      <c r="X392" s="666"/>
      <c r="Y392" s="666"/>
      <c r="Z392" s="666"/>
      <c r="AA392" s="66"/>
      <c r="AB392" s="66"/>
      <c r="AC392" s="80"/>
    </row>
    <row r="393" spans="1:68" ht="27" customHeight="1" x14ac:dyDescent="0.25">
      <c r="A393" s="63" t="s">
        <v>651</v>
      </c>
      <c r="B393" s="63" t="s">
        <v>652</v>
      </c>
      <c r="C393" s="36">
        <v>4301060387</v>
      </c>
      <c r="D393" s="667">
        <v>4607091380880</v>
      </c>
      <c r="E393" s="66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9"/>
      <c r="R393" s="669"/>
      <c r="S393" s="669"/>
      <c r="T393" s="670"/>
      <c r="U393" s="39" t="s">
        <v>46</v>
      </c>
      <c r="V393" s="39" t="s">
        <v>46</v>
      </c>
      <c r="W393" s="40" t="s">
        <v>0</v>
      </c>
      <c r="X393" s="58">
        <v>100</v>
      </c>
      <c r="Y393" s="55">
        <f>IFERROR(IF(X393="",0,CEILING((X393/$H393),1)*$H393),"")</f>
        <v>100.80000000000001</v>
      </c>
      <c r="Z393" s="41">
        <f>IFERROR(IF(Y393=0,"",ROUNDUP(Y393/H393,0)*0.01898),"")</f>
        <v>0.22776000000000002</v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105.88095238095238</v>
      </c>
      <c r="BN393" s="78">
        <f>IFERROR(Y393*I393/H393,"0")</f>
        <v>106.72800000000001</v>
      </c>
      <c r="BO393" s="78">
        <f>IFERROR(1/J393*(X393/H393),"0")</f>
        <v>0.18601190476190477</v>
      </c>
      <c r="BP393" s="78">
        <f>IFERROR(1/J393*(Y393/H393),"0")</f>
        <v>0.1875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667">
        <v>4607091384482</v>
      </c>
      <c r="E394" s="66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9"/>
      <c r="R394" s="669"/>
      <c r="S394" s="669"/>
      <c r="T394" s="670"/>
      <c r="U394" s="39" t="s">
        <v>46</v>
      </c>
      <c r="V394" s="39" t="s">
        <v>46</v>
      </c>
      <c r="W394" s="40" t="s">
        <v>0</v>
      </c>
      <c r="X394" s="58">
        <v>100</v>
      </c>
      <c r="Y394" s="55">
        <f>IFERROR(IF(X394="",0,CEILING((X394/$H394),1)*$H394),"")</f>
        <v>101.39999999999999</v>
      </c>
      <c r="Z394" s="41">
        <f>IFERROR(IF(Y394=0,"",ROUNDUP(Y394/H394,0)*0.01898),"")</f>
        <v>0.24674000000000001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106.33333333333334</v>
      </c>
      <c r="BN394" s="78">
        <f>IFERROR(Y394*I394/H394,"0")</f>
        <v>107.82199999999999</v>
      </c>
      <c r="BO394" s="78">
        <f>IFERROR(1/J394*(X394/H394),"0")</f>
        <v>0.20032051282051283</v>
      </c>
      <c r="BP394" s="78">
        <f>IFERROR(1/J394*(Y394/H394),"0")</f>
        <v>0.203125</v>
      </c>
    </row>
    <row r="395" spans="1:68" ht="27" customHeight="1" x14ac:dyDescent="0.25">
      <c r="A395" s="63" t="s">
        <v>657</v>
      </c>
      <c r="B395" s="63" t="s">
        <v>658</v>
      </c>
      <c r="C395" s="36">
        <v>4301060484</v>
      </c>
      <c r="D395" s="667">
        <v>4607091380897</v>
      </c>
      <c r="E395" s="66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9"/>
      <c r="R395" s="669"/>
      <c r="S395" s="669"/>
      <c r="T395" s="670"/>
      <c r="U395" s="39" t="s">
        <v>46</v>
      </c>
      <c r="V395" s="39" t="s">
        <v>46</v>
      </c>
      <c r="W395" s="40" t="s">
        <v>0</v>
      </c>
      <c r="X395" s="58">
        <v>50</v>
      </c>
      <c r="Y395" s="55">
        <f>IFERROR(IF(X395="",0,CEILING((X395/$H395),1)*$H395),"")</f>
        <v>50.400000000000006</v>
      </c>
      <c r="Z395" s="41">
        <f>IFERROR(IF(Y395=0,"",ROUNDUP(Y395/H395,0)*0.01898),"")</f>
        <v>0.11388000000000001</v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52.94047619047619</v>
      </c>
      <c r="BN395" s="78">
        <f>IFERROR(Y395*I395/H395,"0")</f>
        <v>53.364000000000004</v>
      </c>
      <c r="BO395" s="78">
        <f>IFERROR(1/J395*(X395/H395),"0")</f>
        <v>9.3005952380952384E-2</v>
      </c>
      <c r="BP395" s="78">
        <f>IFERROR(1/J395*(Y395/H395),"0")</f>
        <v>9.375E-2</v>
      </c>
    </row>
    <row r="396" spans="1:68" x14ac:dyDescent="0.2">
      <c r="A396" s="663"/>
      <c r="B396" s="663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N396" s="663"/>
      <c r="O396" s="664"/>
      <c r="P396" s="660" t="s">
        <v>40</v>
      </c>
      <c r="Q396" s="661"/>
      <c r="R396" s="661"/>
      <c r="S396" s="661"/>
      <c r="T396" s="661"/>
      <c r="U396" s="661"/>
      <c r="V396" s="662"/>
      <c r="W396" s="42" t="s">
        <v>39</v>
      </c>
      <c r="X396" s="43">
        <f>IFERROR(X393/H393,"0")+IFERROR(X394/H394,"0")+IFERROR(X395/H395,"0")</f>
        <v>30.677655677655679</v>
      </c>
      <c r="Y396" s="43">
        <f>IFERROR(Y393/H393,"0")+IFERROR(Y394/H394,"0")+IFERROR(Y395/H395,"0")</f>
        <v>31</v>
      </c>
      <c r="Z396" s="43">
        <f>IFERROR(IF(Z393="",0,Z393),"0")+IFERROR(IF(Z394="",0,Z394),"0")+IFERROR(IF(Z395="",0,Z395),"0")</f>
        <v>0.58838000000000001</v>
      </c>
      <c r="AA396" s="67"/>
      <c r="AB396" s="67"/>
      <c r="AC396" s="67"/>
    </row>
    <row r="397" spans="1:68" x14ac:dyDescent="0.2">
      <c r="A397" s="663"/>
      <c r="B397" s="663"/>
      <c r="C397" s="663"/>
      <c r="D397" s="663"/>
      <c r="E397" s="663"/>
      <c r="F397" s="663"/>
      <c r="G397" s="663"/>
      <c r="H397" s="663"/>
      <c r="I397" s="663"/>
      <c r="J397" s="663"/>
      <c r="K397" s="663"/>
      <c r="L397" s="663"/>
      <c r="M397" s="663"/>
      <c r="N397" s="663"/>
      <c r="O397" s="664"/>
      <c r="P397" s="660" t="s">
        <v>40</v>
      </c>
      <c r="Q397" s="661"/>
      <c r="R397" s="661"/>
      <c r="S397" s="661"/>
      <c r="T397" s="661"/>
      <c r="U397" s="661"/>
      <c r="V397" s="662"/>
      <c r="W397" s="42" t="s">
        <v>0</v>
      </c>
      <c r="X397" s="43">
        <f>IFERROR(SUM(X393:X395),"0")</f>
        <v>250</v>
      </c>
      <c r="Y397" s="43">
        <f>IFERROR(SUM(Y393:Y395),"0")</f>
        <v>252.6</v>
      </c>
      <c r="Z397" s="42"/>
      <c r="AA397" s="67"/>
      <c r="AB397" s="67"/>
      <c r="AC397" s="67"/>
    </row>
    <row r="398" spans="1:68" ht="14.25" hidden="1" customHeight="1" x14ac:dyDescent="0.25">
      <c r="A398" s="666" t="s">
        <v>278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667">
        <v>4607091388381</v>
      </c>
      <c r="E399" s="66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9"/>
      <c r="R399" s="669"/>
      <c r="S399" s="669"/>
      <c r="T399" s="67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667">
        <v>4607091388374</v>
      </c>
      <c r="E400" s="66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7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9"/>
      <c r="R400" s="669"/>
      <c r="S400" s="669"/>
      <c r="T400" s="67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665</v>
      </c>
      <c r="B401" s="63" t="s">
        <v>666</v>
      </c>
      <c r="C401" s="36">
        <v>4301032015</v>
      </c>
      <c r="D401" s="667">
        <v>4607091383102</v>
      </c>
      <c r="E401" s="66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9"/>
      <c r="R401" s="669"/>
      <c r="S401" s="669"/>
      <c r="T401" s="670"/>
      <c r="U401" s="39" t="s">
        <v>46</v>
      </c>
      <c r="V401" s="39" t="s">
        <v>46</v>
      </c>
      <c r="W401" s="40" t="s">
        <v>0</v>
      </c>
      <c r="X401" s="58">
        <v>17</v>
      </c>
      <c r="Y401" s="55">
        <f>IFERROR(IF(X401="",0,CEILING((X401/$H401),1)*$H401),"")</f>
        <v>17.849999999999998</v>
      </c>
      <c r="Z401" s="41">
        <f>IFERROR(IF(Y401=0,"",ROUNDUP(Y401/H401,0)*0.00651),"")</f>
        <v>4.5569999999999999E-2</v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19.700000000000003</v>
      </c>
      <c r="BN401" s="78">
        <f>IFERROR(Y401*I401/H401,"0")</f>
        <v>20.684999999999999</v>
      </c>
      <c r="BO401" s="78">
        <f>IFERROR(1/J401*(X401/H401),"0")</f>
        <v>3.6630036630036632E-2</v>
      </c>
      <c r="BP401" s="78">
        <f>IFERROR(1/J401*(Y401/H401),"0")</f>
        <v>3.8461538461538464E-2</v>
      </c>
    </row>
    <row r="402" spans="1:68" ht="27" customHeight="1" x14ac:dyDescent="0.25">
      <c r="A402" s="63" t="s">
        <v>667</v>
      </c>
      <c r="B402" s="63" t="s">
        <v>668</v>
      </c>
      <c r="C402" s="36">
        <v>4301030233</v>
      </c>
      <c r="D402" s="667">
        <v>4607091388404</v>
      </c>
      <c r="E402" s="66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9"/>
      <c r="R402" s="669"/>
      <c r="S402" s="669"/>
      <c r="T402" s="670"/>
      <c r="U402" s="39" t="s">
        <v>46</v>
      </c>
      <c r="V402" s="39" t="s">
        <v>46</v>
      </c>
      <c r="W402" s="40" t="s">
        <v>0</v>
      </c>
      <c r="X402" s="58">
        <v>17</v>
      </c>
      <c r="Y402" s="55">
        <f>IFERROR(IF(X402="",0,CEILING((X402/$H402),1)*$H402),"")</f>
        <v>17.849999999999998</v>
      </c>
      <c r="Z402" s="41">
        <f>IFERROR(IF(Y402=0,"",ROUNDUP(Y402/H402,0)*0.00651),"")</f>
        <v>4.5569999999999999E-2</v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19.200000000000003</v>
      </c>
      <c r="BN402" s="78">
        <f>IFERROR(Y402*I402/H402,"0")</f>
        <v>20.16</v>
      </c>
      <c r="BO402" s="78">
        <f>IFERROR(1/J402*(X402/H402),"0")</f>
        <v>3.6630036630036632E-2</v>
      </c>
      <c r="BP402" s="78">
        <f>IFERROR(1/J402*(Y402/H402),"0")</f>
        <v>3.8461538461538464E-2</v>
      </c>
    </row>
    <row r="403" spans="1:68" x14ac:dyDescent="0.2">
      <c r="A403" s="663"/>
      <c r="B403" s="663"/>
      <c r="C403" s="663"/>
      <c r="D403" s="663"/>
      <c r="E403" s="663"/>
      <c r="F403" s="663"/>
      <c r="G403" s="663"/>
      <c r="H403" s="663"/>
      <c r="I403" s="663"/>
      <c r="J403" s="663"/>
      <c r="K403" s="663"/>
      <c r="L403" s="663"/>
      <c r="M403" s="663"/>
      <c r="N403" s="663"/>
      <c r="O403" s="664"/>
      <c r="P403" s="660" t="s">
        <v>40</v>
      </c>
      <c r="Q403" s="661"/>
      <c r="R403" s="661"/>
      <c r="S403" s="661"/>
      <c r="T403" s="661"/>
      <c r="U403" s="661"/>
      <c r="V403" s="662"/>
      <c r="W403" s="42" t="s">
        <v>39</v>
      </c>
      <c r="X403" s="43">
        <f>IFERROR(X399/H399,"0")+IFERROR(X400/H400,"0")+IFERROR(X401/H401,"0")+IFERROR(X402/H402,"0")</f>
        <v>13.333333333333334</v>
      </c>
      <c r="Y403" s="43">
        <f>IFERROR(Y399/H399,"0")+IFERROR(Y400/H400,"0")+IFERROR(Y401/H401,"0")+IFERROR(Y402/H402,"0")</f>
        <v>14</v>
      </c>
      <c r="Z403" s="43">
        <f>IFERROR(IF(Z399="",0,Z399),"0")+IFERROR(IF(Z400="",0,Z400),"0")+IFERROR(IF(Z401="",0,Z401),"0")+IFERROR(IF(Z402="",0,Z402),"0")</f>
        <v>9.1139999999999999E-2</v>
      </c>
      <c r="AA403" s="67"/>
      <c r="AB403" s="67"/>
      <c r="AC403" s="67"/>
    </row>
    <row r="404" spans="1:68" x14ac:dyDescent="0.2">
      <c r="A404" s="663"/>
      <c r="B404" s="663"/>
      <c r="C404" s="663"/>
      <c r="D404" s="663"/>
      <c r="E404" s="663"/>
      <c r="F404" s="663"/>
      <c r="G404" s="663"/>
      <c r="H404" s="663"/>
      <c r="I404" s="663"/>
      <c r="J404" s="663"/>
      <c r="K404" s="663"/>
      <c r="L404" s="663"/>
      <c r="M404" s="663"/>
      <c r="N404" s="663"/>
      <c r="O404" s="664"/>
      <c r="P404" s="660" t="s">
        <v>40</v>
      </c>
      <c r="Q404" s="661"/>
      <c r="R404" s="661"/>
      <c r="S404" s="661"/>
      <c r="T404" s="661"/>
      <c r="U404" s="661"/>
      <c r="V404" s="662"/>
      <c r="W404" s="42" t="s">
        <v>0</v>
      </c>
      <c r="X404" s="43">
        <f>IFERROR(SUM(X399:X402),"0")</f>
        <v>34</v>
      </c>
      <c r="Y404" s="43">
        <f>IFERROR(SUM(Y399:Y402),"0")</f>
        <v>35.699999999999996</v>
      </c>
      <c r="Z404" s="42"/>
      <c r="AA404" s="67"/>
      <c r="AB404" s="67"/>
      <c r="AC404" s="67"/>
    </row>
    <row r="405" spans="1:68" ht="14.25" hidden="1" customHeight="1" x14ac:dyDescent="0.25">
      <c r="A405" s="666" t="s">
        <v>669</v>
      </c>
      <c r="B405" s="666"/>
      <c r="C405" s="666"/>
      <c r="D405" s="666"/>
      <c r="E405" s="666"/>
      <c r="F405" s="666"/>
      <c r="G405" s="666"/>
      <c r="H405" s="666"/>
      <c r="I405" s="666"/>
      <c r="J405" s="666"/>
      <c r="K405" s="666"/>
      <c r="L405" s="666"/>
      <c r="M405" s="666"/>
      <c r="N405" s="666"/>
      <c r="O405" s="666"/>
      <c r="P405" s="666"/>
      <c r="Q405" s="666"/>
      <c r="R405" s="666"/>
      <c r="S405" s="666"/>
      <c r="T405" s="666"/>
      <c r="U405" s="666"/>
      <c r="V405" s="666"/>
      <c r="W405" s="666"/>
      <c r="X405" s="666"/>
      <c r="Y405" s="666"/>
      <c r="Z405" s="666"/>
      <c r="AA405" s="66"/>
      <c r="AB405" s="66"/>
      <c r="AC405" s="80"/>
    </row>
    <row r="406" spans="1:68" ht="16.5" hidden="1" customHeight="1" x14ac:dyDescent="0.25">
      <c r="A406" s="63" t="s">
        <v>670</v>
      </c>
      <c r="B406" s="63" t="s">
        <v>671</v>
      </c>
      <c r="C406" s="36">
        <v>4301180007</v>
      </c>
      <c r="D406" s="667">
        <v>4680115881808</v>
      </c>
      <c r="E406" s="66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7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9"/>
      <c r="R406" s="669"/>
      <c r="S406" s="669"/>
      <c r="T406" s="67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4301180006</v>
      </c>
      <c r="D407" s="667">
        <v>4680115881822</v>
      </c>
      <c r="E407" s="66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7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9"/>
      <c r="R407" s="669"/>
      <c r="S407" s="669"/>
      <c r="T407" s="67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4301180001</v>
      </c>
      <c r="D408" s="667">
        <v>4680115880016</v>
      </c>
      <c r="E408" s="66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9"/>
      <c r="R408" s="669"/>
      <c r="S408" s="669"/>
      <c r="T408" s="67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63"/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4"/>
      <c r="P409" s="660" t="s">
        <v>40</v>
      </c>
      <c r="Q409" s="661"/>
      <c r="R409" s="661"/>
      <c r="S409" s="661"/>
      <c r="T409" s="661"/>
      <c r="U409" s="661"/>
      <c r="V409" s="66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63"/>
      <c r="B410" s="663"/>
      <c r="C410" s="663"/>
      <c r="D410" s="663"/>
      <c r="E410" s="663"/>
      <c r="F410" s="663"/>
      <c r="G410" s="663"/>
      <c r="H410" s="663"/>
      <c r="I410" s="663"/>
      <c r="J410" s="663"/>
      <c r="K410" s="663"/>
      <c r="L410" s="663"/>
      <c r="M410" s="663"/>
      <c r="N410" s="663"/>
      <c r="O410" s="664"/>
      <c r="P410" s="660" t="s">
        <v>40</v>
      </c>
      <c r="Q410" s="661"/>
      <c r="R410" s="661"/>
      <c r="S410" s="661"/>
      <c r="T410" s="661"/>
      <c r="U410" s="661"/>
      <c r="V410" s="66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666" t="s">
        <v>678</v>
      </c>
      <c r="B411" s="666"/>
      <c r="C411" s="666"/>
      <c r="D411" s="666"/>
      <c r="E411" s="666"/>
      <c r="F411" s="666"/>
      <c r="G411" s="666"/>
      <c r="H411" s="666"/>
      <c r="I411" s="666"/>
      <c r="J411" s="666"/>
      <c r="K411" s="666"/>
      <c r="L411" s="666"/>
      <c r="M411" s="666"/>
      <c r="N411" s="666"/>
      <c r="O411" s="666"/>
      <c r="P411" s="666"/>
      <c r="Q411" s="666"/>
      <c r="R411" s="666"/>
      <c r="S411" s="666"/>
      <c r="T411" s="666"/>
      <c r="U411" s="666"/>
      <c r="V411" s="666"/>
      <c r="W411" s="666"/>
      <c r="X411" s="666"/>
      <c r="Y411" s="666"/>
      <c r="Z411" s="666"/>
      <c r="AA411" s="66"/>
      <c r="AB411" s="66"/>
      <c r="AC411" s="80"/>
    </row>
    <row r="412" spans="1:68" ht="27" hidden="1" customHeight="1" x14ac:dyDescent="0.25">
      <c r="A412" s="63" t="s">
        <v>679</v>
      </c>
      <c r="B412" s="63" t="s">
        <v>680</v>
      </c>
      <c r="C412" s="36">
        <v>4301220003</v>
      </c>
      <c r="D412" s="667">
        <v>4680115888678</v>
      </c>
      <c r="E412" s="66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7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9"/>
      <c r="R412" s="669"/>
      <c r="S412" s="669"/>
      <c r="T412" s="67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4301220001</v>
      </c>
      <c r="D413" s="667">
        <v>4680115888654</v>
      </c>
      <c r="E413" s="66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7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9"/>
      <c r="R413" s="669"/>
      <c r="S413" s="669"/>
      <c r="T413" s="67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685</v>
      </c>
      <c r="B414" s="63" t="s">
        <v>686</v>
      </c>
      <c r="C414" s="36">
        <v>4301220002</v>
      </c>
      <c r="D414" s="667">
        <v>4680115888753</v>
      </c>
      <c r="E414" s="66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7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9"/>
      <c r="R414" s="669"/>
      <c r="S414" s="669"/>
      <c r="T414" s="67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63"/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4"/>
      <c r="P415" s="660" t="s">
        <v>40</v>
      </c>
      <c r="Q415" s="661"/>
      <c r="R415" s="661"/>
      <c r="S415" s="661"/>
      <c r="T415" s="661"/>
      <c r="U415" s="661"/>
      <c r="V415" s="662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63"/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4"/>
      <c r="P416" s="660" t="s">
        <v>40</v>
      </c>
      <c r="Q416" s="661"/>
      <c r="R416" s="661"/>
      <c r="S416" s="661"/>
      <c r="T416" s="661"/>
      <c r="U416" s="661"/>
      <c r="V416" s="662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5" t="s">
        <v>687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5"/>
      <c r="AB417" s="65"/>
      <c r="AC417" s="79"/>
    </row>
    <row r="418" spans="1:68" ht="14.25" hidden="1" customHeight="1" x14ac:dyDescent="0.25">
      <c r="A418" s="666" t="s">
        <v>86</v>
      </c>
      <c r="B418" s="666"/>
      <c r="C418" s="666"/>
      <c r="D418" s="666"/>
      <c r="E418" s="666"/>
      <c r="F418" s="666"/>
      <c r="G418" s="666"/>
      <c r="H418" s="666"/>
      <c r="I418" s="666"/>
      <c r="J418" s="666"/>
      <c r="K418" s="666"/>
      <c r="L418" s="666"/>
      <c r="M418" s="666"/>
      <c r="N418" s="666"/>
      <c r="O418" s="666"/>
      <c r="P418" s="666"/>
      <c r="Q418" s="666"/>
      <c r="R418" s="666"/>
      <c r="S418" s="666"/>
      <c r="T418" s="666"/>
      <c r="U418" s="666"/>
      <c r="V418" s="666"/>
      <c r="W418" s="666"/>
      <c r="X418" s="666"/>
      <c r="Y418" s="666"/>
      <c r="Z418" s="666"/>
      <c r="AA418" s="66"/>
      <c r="AB418" s="66"/>
      <c r="AC418" s="80"/>
    </row>
    <row r="419" spans="1:68" ht="16.5" hidden="1" customHeight="1" x14ac:dyDescent="0.25">
      <c r="A419" s="63" t="s">
        <v>688</v>
      </c>
      <c r="B419" s="63" t="s">
        <v>689</v>
      </c>
      <c r="C419" s="36">
        <v>4301052235</v>
      </c>
      <c r="D419" s="667">
        <v>4680115889415</v>
      </c>
      <c r="E419" s="66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9"/>
      <c r="R419" s="669"/>
      <c r="S419" s="669"/>
      <c r="T419" s="67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667">
        <v>4680115889422</v>
      </c>
      <c r="E420" s="66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7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9"/>
      <c r="R420" s="669"/>
      <c r="S420" s="669"/>
      <c r="T420" s="67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3"/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4"/>
      <c r="P421" s="660" t="s">
        <v>40</v>
      </c>
      <c r="Q421" s="661"/>
      <c r="R421" s="661"/>
      <c r="S421" s="661"/>
      <c r="T421" s="661"/>
      <c r="U421" s="661"/>
      <c r="V421" s="662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3"/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4"/>
      <c r="P422" s="660" t="s">
        <v>40</v>
      </c>
      <c r="Q422" s="661"/>
      <c r="R422" s="661"/>
      <c r="S422" s="661"/>
      <c r="T422" s="661"/>
      <c r="U422" s="661"/>
      <c r="V422" s="662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65" t="s">
        <v>694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5"/>
      <c r="AB423" s="65"/>
      <c r="AC423" s="79"/>
    </row>
    <row r="424" spans="1:68" ht="14.25" hidden="1" customHeight="1" x14ac:dyDescent="0.25">
      <c r="A424" s="666" t="s">
        <v>86</v>
      </c>
      <c r="B424" s="666"/>
      <c r="C424" s="666"/>
      <c r="D424" s="666"/>
      <c r="E424" s="666"/>
      <c r="F424" s="666"/>
      <c r="G424" s="666"/>
      <c r="H424" s="666"/>
      <c r="I424" s="666"/>
      <c r="J424" s="666"/>
      <c r="K424" s="666"/>
      <c r="L424" s="666"/>
      <c r="M424" s="666"/>
      <c r="N424" s="666"/>
      <c r="O424" s="666"/>
      <c r="P424" s="666"/>
      <c r="Q424" s="666"/>
      <c r="R424" s="666"/>
      <c r="S424" s="666"/>
      <c r="T424" s="666"/>
      <c r="U424" s="666"/>
      <c r="V424" s="666"/>
      <c r="W424" s="666"/>
      <c r="X424" s="666"/>
      <c r="Y424" s="666"/>
      <c r="Z424" s="666"/>
      <c r="AA424" s="66"/>
      <c r="AB424" s="66"/>
      <c r="AC424" s="80"/>
    </row>
    <row r="425" spans="1:68" ht="27" customHeight="1" x14ac:dyDescent="0.25">
      <c r="A425" s="63" t="s">
        <v>695</v>
      </c>
      <c r="B425" s="63" t="s">
        <v>696</v>
      </c>
      <c r="C425" s="36">
        <v>4301051489</v>
      </c>
      <c r="D425" s="667">
        <v>4607091387919</v>
      </c>
      <c r="E425" s="66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9"/>
      <c r="R425" s="669"/>
      <c r="S425" s="669"/>
      <c r="T425" s="670"/>
      <c r="U425" s="39" t="s">
        <v>46</v>
      </c>
      <c r="V425" s="39" t="s">
        <v>46</v>
      </c>
      <c r="W425" s="40" t="s">
        <v>0</v>
      </c>
      <c r="X425" s="58">
        <v>150</v>
      </c>
      <c r="Y425" s="55">
        <f>IFERROR(IF(X425="",0,CEILING((X425/$H425),1)*$H425),"")</f>
        <v>153.9</v>
      </c>
      <c r="Z425" s="41">
        <f>IFERROR(IF(Y425=0,"",ROUNDUP(Y425/H425,0)*0.01898),"")</f>
        <v>0.36062</v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159.14814814814815</v>
      </c>
      <c r="BN425" s="78">
        <f>IFERROR(Y425*I425/H425,"0")</f>
        <v>163.286</v>
      </c>
      <c r="BO425" s="78">
        <f>IFERROR(1/J425*(X425/H425),"0")</f>
        <v>0.28935185185185186</v>
      </c>
      <c r="BP425" s="78">
        <f>IFERROR(1/J425*(Y425/H425),"0")</f>
        <v>0.296875</v>
      </c>
    </row>
    <row r="426" spans="1:68" ht="27" customHeight="1" x14ac:dyDescent="0.25">
      <c r="A426" s="63" t="s">
        <v>698</v>
      </c>
      <c r="B426" s="63" t="s">
        <v>699</v>
      </c>
      <c r="C426" s="36">
        <v>4301051461</v>
      </c>
      <c r="D426" s="667">
        <v>4680115883604</v>
      </c>
      <c r="E426" s="66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9"/>
      <c r="R426" s="669"/>
      <c r="S426" s="669"/>
      <c r="T426" s="670"/>
      <c r="U426" s="39" t="s">
        <v>46</v>
      </c>
      <c r="V426" s="39" t="s">
        <v>46</v>
      </c>
      <c r="W426" s="40" t="s">
        <v>0</v>
      </c>
      <c r="X426" s="58">
        <v>70</v>
      </c>
      <c r="Y426" s="55">
        <f>IFERROR(IF(X426="",0,CEILING((X426/$H426),1)*$H426),"")</f>
        <v>71.400000000000006</v>
      </c>
      <c r="Z426" s="41">
        <f>IFERROR(IF(Y426=0,"",ROUNDUP(Y426/H426,0)*0.00651),"")</f>
        <v>0.22134000000000001</v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78.399999999999991</v>
      </c>
      <c r="BN426" s="78">
        <f>IFERROR(Y426*I426/H426,"0")</f>
        <v>79.968000000000004</v>
      </c>
      <c r="BO426" s="78">
        <f>IFERROR(1/J426*(X426/H426),"0")</f>
        <v>0.18315018315018314</v>
      </c>
      <c r="BP426" s="78">
        <f>IFERROR(1/J426*(Y426/H426),"0")</f>
        <v>0.18681318681318682</v>
      </c>
    </row>
    <row r="427" spans="1:68" ht="27" customHeight="1" x14ac:dyDescent="0.25">
      <c r="A427" s="63" t="s">
        <v>701</v>
      </c>
      <c r="B427" s="63" t="s">
        <v>702</v>
      </c>
      <c r="C427" s="36">
        <v>4301051864</v>
      </c>
      <c r="D427" s="667">
        <v>4680115883567</v>
      </c>
      <c r="E427" s="66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9"/>
      <c r="R427" s="669"/>
      <c r="S427" s="669"/>
      <c r="T427" s="670"/>
      <c r="U427" s="39" t="s">
        <v>46</v>
      </c>
      <c r="V427" s="39" t="s">
        <v>46</v>
      </c>
      <c r="W427" s="40" t="s">
        <v>0</v>
      </c>
      <c r="X427" s="58">
        <v>52.5</v>
      </c>
      <c r="Y427" s="55">
        <f>IFERROR(IF(X427="",0,CEILING((X427/$H427),1)*$H427),"")</f>
        <v>52.5</v>
      </c>
      <c r="Z427" s="41">
        <f>IFERROR(IF(Y427=0,"",ROUNDUP(Y427/H427,0)*0.00651),"")</f>
        <v>0.16275000000000001</v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58.499999999999993</v>
      </c>
      <c r="BN427" s="78">
        <f>IFERROR(Y427*I427/H427,"0")</f>
        <v>58.499999999999993</v>
      </c>
      <c r="BO427" s="78">
        <f>IFERROR(1/J427*(X427/H427),"0")</f>
        <v>0.13736263736263737</v>
      </c>
      <c r="BP427" s="78">
        <f>IFERROR(1/J427*(Y427/H427),"0")</f>
        <v>0.13736263736263737</v>
      </c>
    </row>
    <row r="428" spans="1:68" x14ac:dyDescent="0.2">
      <c r="A428" s="663"/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4"/>
      <c r="P428" s="660" t="s">
        <v>40</v>
      </c>
      <c r="Q428" s="661"/>
      <c r="R428" s="661"/>
      <c r="S428" s="661"/>
      <c r="T428" s="661"/>
      <c r="U428" s="661"/>
      <c r="V428" s="662"/>
      <c r="W428" s="42" t="s">
        <v>39</v>
      </c>
      <c r="X428" s="43">
        <f>IFERROR(X425/H425,"0")+IFERROR(X426/H426,"0")+IFERROR(X427/H427,"0")</f>
        <v>76.851851851851848</v>
      </c>
      <c r="Y428" s="43">
        <f>IFERROR(Y425/H425,"0")+IFERROR(Y426/H426,"0")+IFERROR(Y427/H427,"0")</f>
        <v>78</v>
      </c>
      <c r="Z428" s="43">
        <f>IFERROR(IF(Z425="",0,Z425),"0")+IFERROR(IF(Z426="",0,Z426),"0")+IFERROR(IF(Z427="",0,Z427),"0")</f>
        <v>0.74470999999999998</v>
      </c>
      <c r="AA428" s="67"/>
      <c r="AB428" s="67"/>
      <c r="AC428" s="67"/>
    </row>
    <row r="429" spans="1:68" x14ac:dyDescent="0.2">
      <c r="A429" s="663"/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4"/>
      <c r="P429" s="660" t="s">
        <v>40</v>
      </c>
      <c r="Q429" s="661"/>
      <c r="R429" s="661"/>
      <c r="S429" s="661"/>
      <c r="T429" s="661"/>
      <c r="U429" s="661"/>
      <c r="V429" s="662"/>
      <c r="W429" s="42" t="s">
        <v>0</v>
      </c>
      <c r="X429" s="43">
        <f>IFERROR(SUM(X425:X427),"0")</f>
        <v>272.5</v>
      </c>
      <c r="Y429" s="43">
        <f>IFERROR(SUM(Y425:Y427),"0")</f>
        <v>277.8</v>
      </c>
      <c r="Z429" s="42"/>
      <c r="AA429" s="67"/>
      <c r="AB429" s="67"/>
      <c r="AC429" s="67"/>
    </row>
    <row r="430" spans="1:68" ht="27.75" hidden="1" customHeight="1" x14ac:dyDescent="0.2">
      <c r="A430" s="680" t="s">
        <v>704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54"/>
      <c r="AB430" s="54"/>
      <c r="AC430" s="54"/>
    </row>
    <row r="431" spans="1:68" ht="16.5" hidden="1" customHeight="1" x14ac:dyDescent="0.25">
      <c r="A431" s="665" t="s">
        <v>705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5"/>
      <c r="AB431" s="65"/>
      <c r="AC431" s="79"/>
    </row>
    <row r="432" spans="1:68" ht="14.25" hidden="1" customHeight="1" x14ac:dyDescent="0.25">
      <c r="A432" s="666" t="s">
        <v>122</v>
      </c>
      <c r="B432" s="666"/>
      <c r="C432" s="666"/>
      <c r="D432" s="666"/>
      <c r="E432" s="666"/>
      <c r="F432" s="666"/>
      <c r="G432" s="666"/>
      <c r="H432" s="666"/>
      <c r="I432" s="666"/>
      <c r="J432" s="666"/>
      <c r="K432" s="666"/>
      <c r="L432" s="666"/>
      <c r="M432" s="666"/>
      <c r="N432" s="666"/>
      <c r="O432" s="666"/>
      <c r="P432" s="666"/>
      <c r="Q432" s="666"/>
      <c r="R432" s="666"/>
      <c r="S432" s="666"/>
      <c r="T432" s="666"/>
      <c r="U432" s="666"/>
      <c r="V432" s="666"/>
      <c r="W432" s="666"/>
      <c r="X432" s="666"/>
      <c r="Y432" s="666"/>
      <c r="Z432" s="666"/>
      <c r="AA432" s="66"/>
      <c r="AB432" s="66"/>
      <c r="AC432" s="80"/>
    </row>
    <row r="433" spans="1:68" ht="27" customHeight="1" x14ac:dyDescent="0.25">
      <c r="A433" s="63" t="s">
        <v>706</v>
      </c>
      <c r="B433" s="63" t="s">
        <v>707</v>
      </c>
      <c r="C433" s="36">
        <v>4301012332</v>
      </c>
      <c r="D433" s="667">
        <v>4680115888401</v>
      </c>
      <c r="E433" s="66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9"/>
      <c r="R433" s="669"/>
      <c r="S433" s="669"/>
      <c r="T433" s="670"/>
      <c r="U433" s="39" t="s">
        <v>46</v>
      </c>
      <c r="V433" s="39" t="s">
        <v>46</v>
      </c>
      <c r="W433" s="40" t="s">
        <v>0</v>
      </c>
      <c r="X433" s="58">
        <v>100</v>
      </c>
      <c r="Y433" s="55">
        <f t="shared" ref="Y433:Y440" si="73">IFERROR(IF(X433="",0,CEILING((X433/$H433),1)*$H433),"")</f>
        <v>105</v>
      </c>
      <c r="Z433" s="41">
        <f>IFERROR(IF(Y433=0,"",ROUNDUP(Y433/H433,0)*0.02175),"")</f>
        <v>0.15225</v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103.13333333333334</v>
      </c>
      <c r="BN433" s="78">
        <f t="shared" ref="BN433:BN440" si="75">IFERROR(Y433*I433/H433,"0")</f>
        <v>108.29</v>
      </c>
      <c r="BO433" s="78">
        <f t="shared" ref="BO433:BO440" si="76">IFERROR(1/J433*(X433/H433),"0")</f>
        <v>0.1388888888888889</v>
      </c>
      <c r="BP433" s="78">
        <f t="shared" ref="BP433:BP440" si="77">IFERROR(1/J433*(Y433/H433),"0")</f>
        <v>0.14583333333333331</v>
      </c>
    </row>
    <row r="434" spans="1:68" ht="37.5" customHeight="1" x14ac:dyDescent="0.25">
      <c r="A434" s="63" t="s">
        <v>709</v>
      </c>
      <c r="B434" s="63" t="s">
        <v>710</v>
      </c>
      <c r="C434" s="36">
        <v>4301011869</v>
      </c>
      <c r="D434" s="667">
        <v>4680115884847</v>
      </c>
      <c r="E434" s="66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9"/>
      <c r="R434" s="669"/>
      <c r="S434" s="669"/>
      <c r="T434" s="670"/>
      <c r="U434" s="39" t="s">
        <v>46</v>
      </c>
      <c r="V434" s="39" t="s">
        <v>46</v>
      </c>
      <c r="W434" s="40" t="s">
        <v>0</v>
      </c>
      <c r="X434" s="58">
        <v>1500</v>
      </c>
      <c r="Y434" s="55">
        <f t="shared" si="73"/>
        <v>1500</v>
      </c>
      <c r="Z434" s="41">
        <f>IFERROR(IF(Y434=0,"",ROUNDUP(Y434/H434,0)*0.02175),"")</f>
        <v>2.1749999999999998</v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1547</v>
      </c>
      <c r="BN434" s="78">
        <f t="shared" si="75"/>
        <v>1547</v>
      </c>
      <c r="BO434" s="78">
        <f t="shared" si="76"/>
        <v>2.083333333333333</v>
      </c>
      <c r="BP434" s="78">
        <f t="shared" si="77"/>
        <v>2.083333333333333</v>
      </c>
    </row>
    <row r="435" spans="1:68" ht="27" customHeight="1" x14ac:dyDescent="0.25">
      <c r="A435" s="63" t="s">
        <v>712</v>
      </c>
      <c r="B435" s="63" t="s">
        <v>713</v>
      </c>
      <c r="C435" s="36">
        <v>4301012083</v>
      </c>
      <c r="D435" s="667">
        <v>4680115884854</v>
      </c>
      <c r="E435" s="66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9"/>
      <c r="R435" s="669"/>
      <c r="S435" s="669"/>
      <c r="T435" s="670"/>
      <c r="U435" s="39" t="s">
        <v>46</v>
      </c>
      <c r="V435" s="39" t="s">
        <v>46</v>
      </c>
      <c r="W435" s="40" t="s">
        <v>0</v>
      </c>
      <c r="X435" s="58">
        <v>1500</v>
      </c>
      <c r="Y435" s="55">
        <f t="shared" si="73"/>
        <v>1500</v>
      </c>
      <c r="Z435" s="41">
        <f>IFERROR(IF(Y435=0,"",ROUNDUP(Y435/H435,0)*0.02175),"")</f>
        <v>2.1749999999999998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1547</v>
      </c>
      <c r="BN435" s="78">
        <f t="shared" si="75"/>
        <v>1547</v>
      </c>
      <c r="BO435" s="78">
        <f t="shared" si="76"/>
        <v>2.083333333333333</v>
      </c>
      <c r="BP435" s="78">
        <f t="shared" si="77"/>
        <v>2.083333333333333</v>
      </c>
    </row>
    <row r="436" spans="1:68" ht="27" customHeight="1" x14ac:dyDescent="0.25">
      <c r="A436" s="63" t="s">
        <v>715</v>
      </c>
      <c r="B436" s="63" t="s">
        <v>716</v>
      </c>
      <c r="C436" s="36">
        <v>4301011867</v>
      </c>
      <c r="D436" s="667">
        <v>4680115884830</v>
      </c>
      <c r="E436" s="66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9"/>
      <c r="R436" s="669"/>
      <c r="S436" s="669"/>
      <c r="T436" s="670"/>
      <c r="U436" s="39" t="s">
        <v>46</v>
      </c>
      <c r="V436" s="39" t="s">
        <v>46</v>
      </c>
      <c r="W436" s="40" t="s">
        <v>0</v>
      </c>
      <c r="X436" s="58">
        <v>2000</v>
      </c>
      <c r="Y436" s="55">
        <f t="shared" si="73"/>
        <v>2010</v>
      </c>
      <c r="Z436" s="41">
        <f>IFERROR(IF(Y436=0,"",ROUNDUP(Y436/H436,0)*0.02175),"")</f>
        <v>2.9144999999999999</v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2062.6666666666665</v>
      </c>
      <c r="BN436" s="78">
        <f t="shared" si="75"/>
        <v>2072.98</v>
      </c>
      <c r="BO436" s="78">
        <f t="shared" si="76"/>
        <v>2.7777777777777777</v>
      </c>
      <c r="BP436" s="78">
        <f t="shared" si="77"/>
        <v>2.7916666666666665</v>
      </c>
    </row>
    <row r="437" spans="1:68" ht="27" customHeight="1" x14ac:dyDescent="0.25">
      <c r="A437" s="63" t="s">
        <v>718</v>
      </c>
      <c r="B437" s="63" t="s">
        <v>719</v>
      </c>
      <c r="C437" s="36">
        <v>4301012356</v>
      </c>
      <c r="D437" s="667">
        <v>4680115889231</v>
      </c>
      <c r="E437" s="66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72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9"/>
      <c r="R437" s="669"/>
      <c r="S437" s="669"/>
      <c r="T437" s="670"/>
      <c r="U437" s="39" t="s">
        <v>46</v>
      </c>
      <c r="V437" s="39" t="s">
        <v>46</v>
      </c>
      <c r="W437" s="40" t="s">
        <v>0</v>
      </c>
      <c r="X437" s="58">
        <v>500</v>
      </c>
      <c r="Y437" s="55">
        <f t="shared" si="73"/>
        <v>510</v>
      </c>
      <c r="Z437" s="41">
        <f>IFERROR(IF(Y437=0,"",ROUNDUP(Y437/H437,0)*0.02175),"")</f>
        <v>0.73949999999999994</v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515.66666666666663</v>
      </c>
      <c r="BN437" s="78">
        <f t="shared" si="75"/>
        <v>525.98</v>
      </c>
      <c r="BO437" s="78">
        <f t="shared" si="76"/>
        <v>0.69444444444444442</v>
      </c>
      <c r="BP437" s="78">
        <f t="shared" si="77"/>
        <v>0.70833333333333326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667">
        <v>4680115882638</v>
      </c>
      <c r="E438" s="66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7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9"/>
      <c r="R438" s="669"/>
      <c r="S438" s="669"/>
      <c r="T438" s="67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667">
        <v>4680115884922</v>
      </c>
      <c r="E439" s="66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9"/>
      <c r="R439" s="669"/>
      <c r="S439" s="669"/>
      <c r="T439" s="67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727</v>
      </c>
      <c r="B440" s="63" t="s">
        <v>728</v>
      </c>
      <c r="C440" s="36">
        <v>4301011868</v>
      </c>
      <c r="D440" s="667">
        <v>4680115884861</v>
      </c>
      <c r="E440" s="66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9"/>
      <c r="R440" s="669"/>
      <c r="S440" s="669"/>
      <c r="T440" s="67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">
      <c r="A441" s="663"/>
      <c r="B441" s="663"/>
      <c r="C441" s="663"/>
      <c r="D441" s="663"/>
      <c r="E441" s="663"/>
      <c r="F441" s="663"/>
      <c r="G441" s="663"/>
      <c r="H441" s="663"/>
      <c r="I441" s="663"/>
      <c r="J441" s="663"/>
      <c r="K441" s="663"/>
      <c r="L441" s="663"/>
      <c r="M441" s="663"/>
      <c r="N441" s="663"/>
      <c r="O441" s="664"/>
      <c r="P441" s="660" t="s">
        <v>40</v>
      </c>
      <c r="Q441" s="661"/>
      <c r="R441" s="661"/>
      <c r="S441" s="661"/>
      <c r="T441" s="661"/>
      <c r="U441" s="661"/>
      <c r="V441" s="662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373.33333333333331</v>
      </c>
      <c r="Y441" s="43">
        <f>IFERROR(Y433/H433,"0")+IFERROR(Y434/H434,"0")+IFERROR(Y435/H435,"0")+IFERROR(Y436/H436,"0")+IFERROR(Y437/H437,"0")+IFERROR(Y438/H438,"0")+IFERROR(Y439/H439,"0")+IFERROR(Y440/H440,"0")</f>
        <v>375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8.15625</v>
      </c>
      <c r="AA441" s="67"/>
      <c r="AB441" s="67"/>
      <c r="AC441" s="67"/>
    </row>
    <row r="442" spans="1:68" x14ac:dyDescent="0.2">
      <c r="A442" s="663"/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4"/>
      <c r="P442" s="660" t="s">
        <v>40</v>
      </c>
      <c r="Q442" s="661"/>
      <c r="R442" s="661"/>
      <c r="S442" s="661"/>
      <c r="T442" s="661"/>
      <c r="U442" s="661"/>
      <c r="V442" s="662"/>
      <c r="W442" s="42" t="s">
        <v>0</v>
      </c>
      <c r="X442" s="43">
        <f>IFERROR(SUM(X433:X440),"0")</f>
        <v>5600</v>
      </c>
      <c r="Y442" s="43">
        <f>IFERROR(SUM(Y433:Y440),"0")</f>
        <v>5625</v>
      </c>
      <c r="Z442" s="42"/>
      <c r="AA442" s="67"/>
      <c r="AB442" s="67"/>
      <c r="AC442" s="67"/>
    </row>
    <row r="443" spans="1:68" ht="14.25" hidden="1" customHeight="1" x14ac:dyDescent="0.25">
      <c r="A443" s="666" t="s">
        <v>159</v>
      </c>
      <c r="B443" s="666"/>
      <c r="C443" s="666"/>
      <c r="D443" s="666"/>
      <c r="E443" s="666"/>
      <c r="F443" s="666"/>
      <c r="G443" s="666"/>
      <c r="H443" s="666"/>
      <c r="I443" s="666"/>
      <c r="J443" s="666"/>
      <c r="K443" s="666"/>
      <c r="L443" s="666"/>
      <c r="M443" s="666"/>
      <c r="N443" s="666"/>
      <c r="O443" s="666"/>
      <c r="P443" s="666"/>
      <c r="Q443" s="666"/>
      <c r="R443" s="666"/>
      <c r="S443" s="666"/>
      <c r="T443" s="666"/>
      <c r="U443" s="666"/>
      <c r="V443" s="666"/>
      <c r="W443" s="666"/>
      <c r="X443" s="666"/>
      <c r="Y443" s="666"/>
      <c r="Z443" s="666"/>
      <c r="AA443" s="66"/>
      <c r="AB443" s="66"/>
      <c r="AC443" s="80"/>
    </row>
    <row r="444" spans="1:68" ht="27" customHeight="1" x14ac:dyDescent="0.25">
      <c r="A444" s="63" t="s">
        <v>730</v>
      </c>
      <c r="B444" s="63" t="s">
        <v>731</v>
      </c>
      <c r="C444" s="36">
        <v>4301020178</v>
      </c>
      <c r="D444" s="667">
        <v>4607091383980</v>
      </c>
      <c r="E444" s="66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9"/>
      <c r="R444" s="669"/>
      <c r="S444" s="669"/>
      <c r="T444" s="670"/>
      <c r="U444" s="39" t="s">
        <v>46</v>
      </c>
      <c r="V444" s="39" t="s">
        <v>46</v>
      </c>
      <c r="W444" s="40" t="s">
        <v>0</v>
      </c>
      <c r="X444" s="58">
        <v>1500</v>
      </c>
      <c r="Y444" s="55">
        <f>IFERROR(IF(X444="",0,CEILING((X444/$H444),1)*$H444),"")</f>
        <v>1500</v>
      </c>
      <c r="Z444" s="41">
        <f>IFERROR(IF(Y444=0,"",ROUNDUP(Y444/H444,0)*0.02175),"")</f>
        <v>2.1749999999999998</v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1547</v>
      </c>
      <c r="BN444" s="78">
        <f>IFERROR(Y444*I444/H444,"0")</f>
        <v>1547</v>
      </c>
      <c r="BO444" s="78">
        <f>IFERROR(1/J444*(X444/H444),"0")</f>
        <v>2.083333333333333</v>
      </c>
      <c r="BP444" s="78">
        <f>IFERROR(1/J444*(Y444/H444),"0")</f>
        <v>2.083333333333333</v>
      </c>
    </row>
    <row r="445" spans="1:68" ht="27" customHeight="1" x14ac:dyDescent="0.25">
      <c r="A445" s="63" t="s">
        <v>733</v>
      </c>
      <c r="B445" s="63" t="s">
        <v>734</v>
      </c>
      <c r="C445" s="36">
        <v>4301020355</v>
      </c>
      <c r="D445" s="667">
        <v>4680115888425</v>
      </c>
      <c r="E445" s="66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9"/>
      <c r="R445" s="669"/>
      <c r="S445" s="669"/>
      <c r="T445" s="670"/>
      <c r="U445" s="39" t="s">
        <v>46</v>
      </c>
      <c r="V445" s="39" t="s">
        <v>46</v>
      </c>
      <c r="W445" s="40" t="s">
        <v>0</v>
      </c>
      <c r="X445" s="58">
        <v>100</v>
      </c>
      <c r="Y445" s="55">
        <f>IFERROR(IF(X445="",0,CEILING((X445/$H445),1)*$H445),"")</f>
        <v>105</v>
      </c>
      <c r="Z445" s="41">
        <f>IFERROR(IF(Y445=0,"",ROUNDUP(Y445/H445,0)*0.02175),"")</f>
        <v>0.15225</v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103.13333333333334</v>
      </c>
      <c r="BN445" s="78">
        <f>IFERROR(Y445*I445/H445,"0")</f>
        <v>108.29</v>
      </c>
      <c r="BO445" s="78">
        <f>IFERROR(1/J445*(X445/H445),"0")</f>
        <v>0.1388888888888889</v>
      </c>
      <c r="BP445" s="78">
        <f>IFERROR(1/J445*(Y445/H445),"0")</f>
        <v>0.14583333333333331</v>
      </c>
    </row>
    <row r="446" spans="1:68" ht="27" hidden="1" customHeight="1" x14ac:dyDescent="0.25">
      <c r="A446" s="63" t="s">
        <v>736</v>
      </c>
      <c r="B446" s="63" t="s">
        <v>737</v>
      </c>
      <c r="C446" s="36">
        <v>4301020179</v>
      </c>
      <c r="D446" s="667">
        <v>4607091384178</v>
      </c>
      <c r="E446" s="66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72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9"/>
      <c r="R446" s="669"/>
      <c r="S446" s="669"/>
      <c r="T446" s="67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63"/>
      <c r="B447" s="663"/>
      <c r="C447" s="663"/>
      <c r="D447" s="663"/>
      <c r="E447" s="663"/>
      <c r="F447" s="663"/>
      <c r="G447" s="663"/>
      <c r="H447" s="663"/>
      <c r="I447" s="663"/>
      <c r="J447" s="663"/>
      <c r="K447" s="663"/>
      <c r="L447" s="663"/>
      <c r="M447" s="663"/>
      <c r="N447" s="663"/>
      <c r="O447" s="664"/>
      <c r="P447" s="660" t="s">
        <v>40</v>
      </c>
      <c r="Q447" s="661"/>
      <c r="R447" s="661"/>
      <c r="S447" s="661"/>
      <c r="T447" s="661"/>
      <c r="U447" s="661"/>
      <c r="V447" s="662"/>
      <c r="W447" s="42" t="s">
        <v>39</v>
      </c>
      <c r="X447" s="43">
        <f>IFERROR(X444/H444,"0")+IFERROR(X445/H445,"0")+IFERROR(X446/H446,"0")</f>
        <v>106.66666666666667</v>
      </c>
      <c r="Y447" s="43">
        <f>IFERROR(Y444/H444,"0")+IFERROR(Y445/H445,"0")+IFERROR(Y446/H446,"0")</f>
        <v>107</v>
      </c>
      <c r="Z447" s="43">
        <f>IFERROR(IF(Z444="",0,Z444),"0")+IFERROR(IF(Z445="",0,Z445),"0")+IFERROR(IF(Z446="",0,Z446),"0")</f>
        <v>2.3272499999999998</v>
      </c>
      <c r="AA447" s="67"/>
      <c r="AB447" s="67"/>
      <c r="AC447" s="67"/>
    </row>
    <row r="448" spans="1:68" x14ac:dyDescent="0.2">
      <c r="A448" s="663"/>
      <c r="B448" s="663"/>
      <c r="C448" s="663"/>
      <c r="D448" s="663"/>
      <c r="E448" s="663"/>
      <c r="F448" s="663"/>
      <c r="G448" s="663"/>
      <c r="H448" s="663"/>
      <c r="I448" s="663"/>
      <c r="J448" s="663"/>
      <c r="K448" s="663"/>
      <c r="L448" s="663"/>
      <c r="M448" s="663"/>
      <c r="N448" s="663"/>
      <c r="O448" s="664"/>
      <c r="P448" s="660" t="s">
        <v>40</v>
      </c>
      <c r="Q448" s="661"/>
      <c r="R448" s="661"/>
      <c r="S448" s="661"/>
      <c r="T448" s="661"/>
      <c r="U448" s="661"/>
      <c r="V448" s="662"/>
      <c r="W448" s="42" t="s">
        <v>0</v>
      </c>
      <c r="X448" s="43">
        <f>IFERROR(SUM(X444:X446),"0")</f>
        <v>1600</v>
      </c>
      <c r="Y448" s="43">
        <f>IFERROR(SUM(Y444:Y446),"0")</f>
        <v>1605</v>
      </c>
      <c r="Z448" s="42"/>
      <c r="AA448" s="67"/>
      <c r="AB448" s="67"/>
      <c r="AC448" s="67"/>
    </row>
    <row r="449" spans="1:68" ht="14.25" hidden="1" customHeight="1" x14ac:dyDescent="0.25">
      <c r="A449" s="666" t="s">
        <v>86</v>
      </c>
      <c r="B449" s="666"/>
      <c r="C449" s="666"/>
      <c r="D449" s="666"/>
      <c r="E449" s="666"/>
      <c r="F449" s="666"/>
      <c r="G449" s="666"/>
      <c r="H449" s="666"/>
      <c r="I449" s="666"/>
      <c r="J449" s="666"/>
      <c r="K449" s="666"/>
      <c r="L449" s="666"/>
      <c r="M449" s="666"/>
      <c r="N449" s="666"/>
      <c r="O449" s="666"/>
      <c r="P449" s="666"/>
      <c r="Q449" s="666"/>
      <c r="R449" s="666"/>
      <c r="S449" s="666"/>
      <c r="T449" s="666"/>
      <c r="U449" s="666"/>
      <c r="V449" s="666"/>
      <c r="W449" s="666"/>
      <c r="X449" s="666"/>
      <c r="Y449" s="666"/>
      <c r="Z449" s="666"/>
      <c r="AA449" s="66"/>
      <c r="AB449" s="66"/>
      <c r="AC449" s="80"/>
    </row>
    <row r="450" spans="1:68" ht="27" hidden="1" customHeight="1" x14ac:dyDescent="0.25">
      <c r="A450" s="63" t="s">
        <v>739</v>
      </c>
      <c r="B450" s="63" t="s">
        <v>740</v>
      </c>
      <c r="C450" s="36">
        <v>4301051903</v>
      </c>
      <c r="D450" s="667">
        <v>4607091383928</v>
      </c>
      <c r="E450" s="66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9"/>
      <c r="R450" s="669"/>
      <c r="S450" s="669"/>
      <c r="T450" s="67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742</v>
      </c>
      <c r="B451" s="63" t="s">
        <v>743</v>
      </c>
      <c r="C451" s="36">
        <v>4301051897</v>
      </c>
      <c r="D451" s="667">
        <v>4607091384260</v>
      </c>
      <c r="E451" s="66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9"/>
      <c r="R451" s="669"/>
      <c r="S451" s="669"/>
      <c r="T451" s="670"/>
      <c r="U451" s="39" t="s">
        <v>46</v>
      </c>
      <c r="V451" s="39" t="s">
        <v>46</v>
      </c>
      <c r="W451" s="40" t="s">
        <v>0</v>
      </c>
      <c r="X451" s="58">
        <v>200</v>
      </c>
      <c r="Y451" s="55">
        <f>IFERROR(IF(X451="",0,CEILING((X451/$H451),1)*$H451),"")</f>
        <v>207</v>
      </c>
      <c r="Z451" s="41">
        <f>IFERROR(IF(Y451=0,"",ROUNDUP(Y451/H451,0)*0.01898),"")</f>
        <v>0.43653999999999998</v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210.97777777777776</v>
      </c>
      <c r="BN451" s="78">
        <f>IFERROR(Y451*I451/H451,"0")</f>
        <v>218.36199999999999</v>
      </c>
      <c r="BO451" s="78">
        <f>IFERROR(1/J451*(X451/H451),"0")</f>
        <v>0.34722222222222221</v>
      </c>
      <c r="BP451" s="78">
        <f>IFERROR(1/J451*(Y451/H451),"0")</f>
        <v>0.359375</v>
      </c>
    </row>
    <row r="452" spans="1:68" ht="27" hidden="1" customHeight="1" x14ac:dyDescent="0.25">
      <c r="A452" s="63" t="s">
        <v>745</v>
      </c>
      <c r="B452" s="63" t="s">
        <v>746</v>
      </c>
      <c r="C452" s="36">
        <v>4301052220</v>
      </c>
      <c r="D452" s="667">
        <v>4680115889538</v>
      </c>
      <c r="E452" s="66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7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9"/>
      <c r="R452" s="669"/>
      <c r="S452" s="669"/>
      <c r="T452" s="67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63"/>
      <c r="B453" s="663"/>
      <c r="C453" s="663"/>
      <c r="D453" s="663"/>
      <c r="E453" s="663"/>
      <c r="F453" s="663"/>
      <c r="G453" s="663"/>
      <c r="H453" s="663"/>
      <c r="I453" s="663"/>
      <c r="J453" s="663"/>
      <c r="K453" s="663"/>
      <c r="L453" s="663"/>
      <c r="M453" s="663"/>
      <c r="N453" s="663"/>
      <c r="O453" s="664"/>
      <c r="P453" s="660" t="s">
        <v>40</v>
      </c>
      <c r="Q453" s="661"/>
      <c r="R453" s="661"/>
      <c r="S453" s="661"/>
      <c r="T453" s="661"/>
      <c r="U453" s="661"/>
      <c r="V453" s="662"/>
      <c r="W453" s="42" t="s">
        <v>39</v>
      </c>
      <c r="X453" s="43">
        <f>IFERROR(X450/H450,"0")+IFERROR(X451/H451,"0")+IFERROR(X452/H452,"0")</f>
        <v>22.222222222222221</v>
      </c>
      <c r="Y453" s="43">
        <f>IFERROR(Y450/H450,"0")+IFERROR(Y451/H451,"0")+IFERROR(Y452/H452,"0")</f>
        <v>23</v>
      </c>
      <c r="Z453" s="43">
        <f>IFERROR(IF(Z450="",0,Z450),"0")+IFERROR(IF(Z451="",0,Z451),"0")+IFERROR(IF(Z452="",0,Z452),"0")</f>
        <v>0.43653999999999998</v>
      </c>
      <c r="AA453" s="67"/>
      <c r="AB453" s="67"/>
      <c r="AC453" s="67"/>
    </row>
    <row r="454" spans="1:68" x14ac:dyDescent="0.2">
      <c r="A454" s="663"/>
      <c r="B454" s="663"/>
      <c r="C454" s="663"/>
      <c r="D454" s="663"/>
      <c r="E454" s="663"/>
      <c r="F454" s="663"/>
      <c r="G454" s="663"/>
      <c r="H454" s="663"/>
      <c r="I454" s="663"/>
      <c r="J454" s="663"/>
      <c r="K454" s="663"/>
      <c r="L454" s="663"/>
      <c r="M454" s="663"/>
      <c r="N454" s="663"/>
      <c r="O454" s="664"/>
      <c r="P454" s="660" t="s">
        <v>40</v>
      </c>
      <c r="Q454" s="661"/>
      <c r="R454" s="661"/>
      <c r="S454" s="661"/>
      <c r="T454" s="661"/>
      <c r="U454" s="661"/>
      <c r="V454" s="662"/>
      <c r="W454" s="42" t="s">
        <v>0</v>
      </c>
      <c r="X454" s="43">
        <f>IFERROR(SUM(X450:X452),"0")</f>
        <v>200</v>
      </c>
      <c r="Y454" s="43">
        <f>IFERROR(SUM(Y450:Y452),"0")</f>
        <v>207</v>
      </c>
      <c r="Z454" s="42"/>
      <c r="AA454" s="67"/>
      <c r="AB454" s="67"/>
      <c r="AC454" s="67"/>
    </row>
    <row r="455" spans="1:68" ht="14.25" hidden="1" customHeight="1" x14ac:dyDescent="0.25">
      <c r="A455" s="666" t="s">
        <v>178</v>
      </c>
      <c r="B455" s="666"/>
      <c r="C455" s="666"/>
      <c r="D455" s="666"/>
      <c r="E455" s="666"/>
      <c r="F455" s="666"/>
      <c r="G455" s="666"/>
      <c r="H455" s="666"/>
      <c r="I455" s="666"/>
      <c r="J455" s="666"/>
      <c r="K455" s="666"/>
      <c r="L455" s="666"/>
      <c r="M455" s="666"/>
      <c r="N455" s="666"/>
      <c r="O455" s="666"/>
      <c r="P455" s="666"/>
      <c r="Q455" s="666"/>
      <c r="R455" s="666"/>
      <c r="S455" s="666"/>
      <c r="T455" s="666"/>
      <c r="U455" s="666"/>
      <c r="V455" s="666"/>
      <c r="W455" s="666"/>
      <c r="X455" s="666"/>
      <c r="Y455" s="666"/>
      <c r="Z455" s="666"/>
      <c r="AA455" s="66"/>
      <c r="AB455" s="66"/>
      <c r="AC455" s="80"/>
    </row>
    <row r="456" spans="1:68" ht="27" hidden="1" customHeight="1" x14ac:dyDescent="0.25">
      <c r="A456" s="63" t="s">
        <v>748</v>
      </c>
      <c r="B456" s="63" t="s">
        <v>749</v>
      </c>
      <c r="C456" s="36">
        <v>4301060537</v>
      </c>
      <c r="D456" s="667">
        <v>4680115889545</v>
      </c>
      <c r="E456" s="66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9"/>
      <c r="R456" s="669"/>
      <c r="S456" s="669"/>
      <c r="T456" s="67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customHeight="1" x14ac:dyDescent="0.25">
      <c r="A457" s="63" t="s">
        <v>751</v>
      </c>
      <c r="B457" s="63" t="s">
        <v>752</v>
      </c>
      <c r="C457" s="36">
        <v>4301060524</v>
      </c>
      <c r="D457" s="667">
        <v>4607091384673</v>
      </c>
      <c r="E457" s="66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9"/>
      <c r="R457" s="669"/>
      <c r="S457" s="669"/>
      <c r="T457" s="670"/>
      <c r="U457" s="39" t="s">
        <v>46</v>
      </c>
      <c r="V457" s="39" t="s">
        <v>46</v>
      </c>
      <c r="W457" s="40" t="s">
        <v>0</v>
      </c>
      <c r="X457" s="58">
        <v>150</v>
      </c>
      <c r="Y457" s="55">
        <f>IFERROR(IF(X457="",0,CEILING((X457/$H457),1)*$H457),"")</f>
        <v>153</v>
      </c>
      <c r="Z457" s="41">
        <f>IFERROR(IF(Y457=0,"",ROUNDUP(Y457/H457,0)*0.01898),"")</f>
        <v>0.32266</v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158.23333333333332</v>
      </c>
      <c r="BN457" s="78">
        <f>IFERROR(Y457*I457/H457,"0")</f>
        <v>161.398</v>
      </c>
      <c r="BO457" s="78">
        <f>IFERROR(1/J457*(X457/H457),"0")</f>
        <v>0.26041666666666669</v>
      </c>
      <c r="BP457" s="78">
        <f>IFERROR(1/J457*(Y457/H457),"0")</f>
        <v>0.265625</v>
      </c>
    </row>
    <row r="458" spans="1:68" x14ac:dyDescent="0.2">
      <c r="A458" s="663"/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4"/>
      <c r="P458" s="660" t="s">
        <v>40</v>
      </c>
      <c r="Q458" s="661"/>
      <c r="R458" s="661"/>
      <c r="S458" s="661"/>
      <c r="T458" s="661"/>
      <c r="U458" s="661"/>
      <c r="V458" s="662"/>
      <c r="W458" s="42" t="s">
        <v>39</v>
      </c>
      <c r="X458" s="43">
        <f>IFERROR(X456/H456,"0")+IFERROR(X457/H457,"0")</f>
        <v>16.666666666666668</v>
      </c>
      <c r="Y458" s="43">
        <f>IFERROR(Y456/H456,"0")+IFERROR(Y457/H457,"0")</f>
        <v>17</v>
      </c>
      <c r="Z458" s="43">
        <f>IFERROR(IF(Z456="",0,Z456),"0")+IFERROR(IF(Z457="",0,Z457),"0")</f>
        <v>0.32266</v>
      </c>
      <c r="AA458" s="67"/>
      <c r="AB458" s="67"/>
      <c r="AC458" s="67"/>
    </row>
    <row r="459" spans="1:68" x14ac:dyDescent="0.2">
      <c r="A459" s="663"/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4"/>
      <c r="P459" s="660" t="s">
        <v>40</v>
      </c>
      <c r="Q459" s="661"/>
      <c r="R459" s="661"/>
      <c r="S459" s="661"/>
      <c r="T459" s="661"/>
      <c r="U459" s="661"/>
      <c r="V459" s="662"/>
      <c r="W459" s="42" t="s">
        <v>0</v>
      </c>
      <c r="X459" s="43">
        <f>IFERROR(SUM(X456:X457),"0")</f>
        <v>150</v>
      </c>
      <c r="Y459" s="43">
        <f>IFERROR(SUM(Y456:Y457),"0")</f>
        <v>153</v>
      </c>
      <c r="Z459" s="42"/>
      <c r="AA459" s="67"/>
      <c r="AB459" s="67"/>
      <c r="AC459" s="67"/>
    </row>
    <row r="460" spans="1:68" ht="16.5" hidden="1" customHeight="1" x14ac:dyDescent="0.25">
      <c r="A460" s="665" t="s">
        <v>754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5"/>
      <c r="AB460" s="65"/>
      <c r="AC460" s="79"/>
    </row>
    <row r="461" spans="1:68" ht="14.25" hidden="1" customHeight="1" x14ac:dyDescent="0.25">
      <c r="A461" s="666" t="s">
        <v>122</v>
      </c>
      <c r="B461" s="666"/>
      <c r="C461" s="666"/>
      <c r="D461" s="666"/>
      <c r="E461" s="666"/>
      <c r="F461" s="666"/>
      <c r="G461" s="666"/>
      <c r="H461" s="666"/>
      <c r="I461" s="666"/>
      <c r="J461" s="666"/>
      <c r="K461" s="666"/>
      <c r="L461" s="666"/>
      <c r="M461" s="666"/>
      <c r="N461" s="666"/>
      <c r="O461" s="666"/>
      <c r="P461" s="666"/>
      <c r="Q461" s="666"/>
      <c r="R461" s="666"/>
      <c r="S461" s="666"/>
      <c r="T461" s="666"/>
      <c r="U461" s="666"/>
      <c r="V461" s="666"/>
      <c r="W461" s="666"/>
      <c r="X461" s="666"/>
      <c r="Y461" s="666"/>
      <c r="Z461" s="666"/>
      <c r="AA461" s="66"/>
      <c r="AB461" s="66"/>
      <c r="AC461" s="80"/>
    </row>
    <row r="462" spans="1:68" ht="27" customHeight="1" x14ac:dyDescent="0.25">
      <c r="A462" s="63" t="s">
        <v>755</v>
      </c>
      <c r="B462" s="63" t="s">
        <v>756</v>
      </c>
      <c r="C462" s="36">
        <v>4301011875</v>
      </c>
      <c r="D462" s="667">
        <v>4680115884885</v>
      </c>
      <c r="E462" s="66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7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9"/>
      <c r="R462" s="669"/>
      <c r="S462" s="669"/>
      <c r="T462" s="670"/>
      <c r="U462" s="39" t="s">
        <v>46</v>
      </c>
      <c r="V462" s="39" t="s">
        <v>46</v>
      </c>
      <c r="W462" s="40" t="s">
        <v>0</v>
      </c>
      <c r="X462" s="58">
        <v>200</v>
      </c>
      <c r="Y462" s="55">
        <f>IFERROR(IF(X462="",0,CEILING((X462/$H462),1)*$H462),"")</f>
        <v>204</v>
      </c>
      <c r="Z462" s="41">
        <f>IFERROR(IF(Y462=0,"",ROUNDUP(Y462/H462,0)*0.01898),"")</f>
        <v>0.32266</v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206.83333333333334</v>
      </c>
      <c r="BN462" s="78">
        <f>IFERROR(Y462*I462/H462,"0")</f>
        <v>210.97</v>
      </c>
      <c r="BO462" s="78">
        <f>IFERROR(1/J462*(X462/H462),"0")</f>
        <v>0.26041666666666669</v>
      </c>
      <c r="BP462" s="78">
        <f>IFERROR(1/J462*(Y462/H462),"0")</f>
        <v>0.265625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667">
        <v>4680115884908</v>
      </c>
      <c r="E463" s="66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72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9"/>
      <c r="R463" s="669"/>
      <c r="S463" s="669"/>
      <c r="T463" s="67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63"/>
      <c r="B464" s="663"/>
      <c r="C464" s="663"/>
      <c r="D464" s="663"/>
      <c r="E464" s="663"/>
      <c r="F464" s="663"/>
      <c r="G464" s="663"/>
      <c r="H464" s="663"/>
      <c r="I464" s="663"/>
      <c r="J464" s="663"/>
      <c r="K464" s="663"/>
      <c r="L464" s="663"/>
      <c r="M464" s="663"/>
      <c r="N464" s="663"/>
      <c r="O464" s="664"/>
      <c r="P464" s="660" t="s">
        <v>40</v>
      </c>
      <c r="Q464" s="661"/>
      <c r="R464" s="661"/>
      <c r="S464" s="661"/>
      <c r="T464" s="661"/>
      <c r="U464" s="661"/>
      <c r="V464" s="662"/>
      <c r="W464" s="42" t="s">
        <v>39</v>
      </c>
      <c r="X464" s="43">
        <f>IFERROR(X462/H462,"0")+IFERROR(X463/H463,"0")</f>
        <v>16.666666666666668</v>
      </c>
      <c r="Y464" s="43">
        <f>IFERROR(Y462/H462,"0")+IFERROR(Y463/H463,"0")</f>
        <v>17</v>
      </c>
      <c r="Z464" s="43">
        <f>IFERROR(IF(Z462="",0,Z462),"0")+IFERROR(IF(Z463="",0,Z463),"0")</f>
        <v>0.32266</v>
      </c>
      <c r="AA464" s="67"/>
      <c r="AB464" s="67"/>
      <c r="AC464" s="67"/>
    </row>
    <row r="465" spans="1:68" x14ac:dyDescent="0.2">
      <c r="A465" s="663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4"/>
      <c r="P465" s="660" t="s">
        <v>40</v>
      </c>
      <c r="Q465" s="661"/>
      <c r="R465" s="661"/>
      <c r="S465" s="661"/>
      <c r="T465" s="661"/>
      <c r="U465" s="661"/>
      <c r="V465" s="662"/>
      <c r="W465" s="42" t="s">
        <v>0</v>
      </c>
      <c r="X465" s="43">
        <f>IFERROR(SUM(X462:X463),"0")</f>
        <v>200</v>
      </c>
      <c r="Y465" s="43">
        <f>IFERROR(SUM(Y462:Y463),"0")</f>
        <v>204</v>
      </c>
      <c r="Z465" s="42"/>
      <c r="AA465" s="67"/>
      <c r="AB465" s="67"/>
      <c r="AC465" s="67"/>
    </row>
    <row r="466" spans="1:68" ht="14.25" hidden="1" customHeight="1" x14ac:dyDescent="0.25">
      <c r="A466" s="666" t="s">
        <v>77</v>
      </c>
      <c r="B466" s="666"/>
      <c r="C466" s="666"/>
      <c r="D466" s="666"/>
      <c r="E466" s="666"/>
      <c r="F466" s="666"/>
      <c r="G466" s="666"/>
      <c r="H466" s="666"/>
      <c r="I466" s="666"/>
      <c r="J466" s="666"/>
      <c r="K466" s="666"/>
      <c r="L466" s="666"/>
      <c r="M466" s="666"/>
      <c r="N466" s="666"/>
      <c r="O466" s="666"/>
      <c r="P466" s="666"/>
      <c r="Q466" s="666"/>
      <c r="R466" s="666"/>
      <c r="S466" s="666"/>
      <c r="T466" s="666"/>
      <c r="U466" s="666"/>
      <c r="V466" s="666"/>
      <c r="W466" s="666"/>
      <c r="X466" s="666"/>
      <c r="Y466" s="666"/>
      <c r="Z466" s="66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667">
        <v>4607091384802</v>
      </c>
      <c r="E467" s="66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9"/>
      <c r="R467" s="669"/>
      <c r="S467" s="669"/>
      <c r="T467" s="67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3"/>
      <c r="B468" s="663"/>
      <c r="C468" s="663"/>
      <c r="D468" s="663"/>
      <c r="E468" s="663"/>
      <c r="F468" s="663"/>
      <c r="G468" s="663"/>
      <c r="H468" s="663"/>
      <c r="I468" s="663"/>
      <c r="J468" s="663"/>
      <c r="K468" s="663"/>
      <c r="L468" s="663"/>
      <c r="M468" s="663"/>
      <c r="N468" s="663"/>
      <c r="O468" s="664"/>
      <c r="P468" s="660" t="s">
        <v>40</v>
      </c>
      <c r="Q468" s="661"/>
      <c r="R468" s="661"/>
      <c r="S468" s="661"/>
      <c r="T468" s="661"/>
      <c r="U468" s="661"/>
      <c r="V468" s="66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3"/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4"/>
      <c r="P469" s="660" t="s">
        <v>40</v>
      </c>
      <c r="Q469" s="661"/>
      <c r="R469" s="661"/>
      <c r="S469" s="661"/>
      <c r="T469" s="661"/>
      <c r="U469" s="661"/>
      <c r="V469" s="66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6" t="s">
        <v>86</v>
      </c>
      <c r="B470" s="666"/>
      <c r="C470" s="666"/>
      <c r="D470" s="666"/>
      <c r="E470" s="666"/>
      <c r="F470" s="666"/>
      <c r="G470" s="666"/>
      <c r="H470" s="666"/>
      <c r="I470" s="666"/>
      <c r="J470" s="666"/>
      <c r="K470" s="666"/>
      <c r="L470" s="666"/>
      <c r="M470" s="666"/>
      <c r="N470" s="666"/>
      <c r="O470" s="666"/>
      <c r="P470" s="666"/>
      <c r="Q470" s="666"/>
      <c r="R470" s="666"/>
      <c r="S470" s="666"/>
      <c r="T470" s="666"/>
      <c r="U470" s="666"/>
      <c r="V470" s="666"/>
      <c r="W470" s="666"/>
      <c r="X470" s="666"/>
      <c r="Y470" s="666"/>
      <c r="Z470" s="666"/>
      <c r="AA470" s="66"/>
      <c r="AB470" s="66"/>
      <c r="AC470" s="80"/>
    </row>
    <row r="471" spans="1:68" ht="27" customHeight="1" x14ac:dyDescent="0.25">
      <c r="A471" s="63" t="s">
        <v>763</v>
      </c>
      <c r="B471" s="63" t="s">
        <v>764</v>
      </c>
      <c r="C471" s="36">
        <v>4301051899</v>
      </c>
      <c r="D471" s="667">
        <v>4607091384246</v>
      </c>
      <c r="E471" s="66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9"/>
      <c r="R471" s="669"/>
      <c r="S471" s="669"/>
      <c r="T471" s="670"/>
      <c r="U471" s="39" t="s">
        <v>46</v>
      </c>
      <c r="V471" s="39" t="s">
        <v>46</v>
      </c>
      <c r="W471" s="40" t="s">
        <v>0</v>
      </c>
      <c r="X471" s="58">
        <v>200</v>
      </c>
      <c r="Y471" s="55">
        <f>IFERROR(IF(X471="",0,CEILING((X471/$H471),1)*$H471),"")</f>
        <v>207</v>
      </c>
      <c r="Z471" s="41">
        <f>IFERROR(IF(Y471=0,"",ROUNDUP(Y471/H471,0)*0.01898),"")</f>
        <v>0.43653999999999998</v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210.97777777777776</v>
      </c>
      <c r="BN471" s="78">
        <f>IFERROR(Y471*I471/H471,"0")</f>
        <v>218.36199999999999</v>
      </c>
      <c r="BO471" s="78">
        <f>IFERROR(1/J471*(X471/H471),"0")</f>
        <v>0.34722222222222221</v>
      </c>
      <c r="BP471" s="78">
        <f>IFERROR(1/J471*(Y471/H471),"0")</f>
        <v>0.359375</v>
      </c>
    </row>
    <row r="472" spans="1:68" ht="27" customHeight="1" x14ac:dyDescent="0.25">
      <c r="A472" s="63" t="s">
        <v>766</v>
      </c>
      <c r="B472" s="63" t="s">
        <v>767</v>
      </c>
      <c r="C472" s="36">
        <v>4301051660</v>
      </c>
      <c r="D472" s="667">
        <v>4607091384253</v>
      </c>
      <c r="E472" s="66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9"/>
      <c r="R472" s="669"/>
      <c r="S472" s="669"/>
      <c r="T472" s="670"/>
      <c r="U472" s="39" t="s">
        <v>46</v>
      </c>
      <c r="V472" s="39" t="s">
        <v>46</v>
      </c>
      <c r="W472" s="40" t="s">
        <v>0</v>
      </c>
      <c r="X472" s="58">
        <v>60</v>
      </c>
      <c r="Y472" s="55">
        <f>IFERROR(IF(X472="",0,CEILING((X472/$H472),1)*$H472),"")</f>
        <v>60</v>
      </c>
      <c r="Z472" s="41">
        <f>IFERROR(IF(Y472=0,"",ROUNDUP(Y472/H472,0)*0.00651),"")</f>
        <v>0.16275000000000001</v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66.600000000000009</v>
      </c>
      <c r="BN472" s="78">
        <f>IFERROR(Y472*I472/H472,"0")</f>
        <v>66.600000000000009</v>
      </c>
      <c r="BO472" s="78">
        <f>IFERROR(1/J472*(X472/H472),"0")</f>
        <v>0.13736263736263737</v>
      </c>
      <c r="BP472" s="78">
        <f>IFERROR(1/J472*(Y472/H472),"0")</f>
        <v>0.13736263736263737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667">
        <v>4607091384253</v>
      </c>
      <c r="E473" s="66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71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9"/>
      <c r="R473" s="669"/>
      <c r="S473" s="669"/>
      <c r="T473" s="67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63"/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4"/>
      <c r="P474" s="660" t="s">
        <v>40</v>
      </c>
      <c r="Q474" s="661"/>
      <c r="R474" s="661"/>
      <c r="S474" s="661"/>
      <c r="T474" s="661"/>
      <c r="U474" s="661"/>
      <c r="V474" s="662"/>
      <c r="W474" s="42" t="s">
        <v>39</v>
      </c>
      <c r="X474" s="43">
        <f>IFERROR(X471/H471,"0")+IFERROR(X472/H472,"0")+IFERROR(X473/H473,"0")</f>
        <v>47.222222222222221</v>
      </c>
      <c r="Y474" s="43">
        <f>IFERROR(Y471/H471,"0")+IFERROR(Y472/H472,"0")+IFERROR(Y473/H473,"0")</f>
        <v>48</v>
      </c>
      <c r="Z474" s="43">
        <f>IFERROR(IF(Z471="",0,Z471),"0")+IFERROR(IF(Z472="",0,Z472),"0")+IFERROR(IF(Z473="",0,Z473),"0")</f>
        <v>0.59928999999999999</v>
      </c>
      <c r="AA474" s="67"/>
      <c r="AB474" s="67"/>
      <c r="AC474" s="67"/>
    </row>
    <row r="475" spans="1:68" x14ac:dyDescent="0.2">
      <c r="A475" s="663"/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4"/>
      <c r="P475" s="660" t="s">
        <v>40</v>
      </c>
      <c r="Q475" s="661"/>
      <c r="R475" s="661"/>
      <c r="S475" s="661"/>
      <c r="T475" s="661"/>
      <c r="U475" s="661"/>
      <c r="V475" s="662"/>
      <c r="W475" s="42" t="s">
        <v>0</v>
      </c>
      <c r="X475" s="43">
        <f>IFERROR(SUM(X471:X473),"0")</f>
        <v>260</v>
      </c>
      <c r="Y475" s="43">
        <f>IFERROR(SUM(Y471:Y473),"0")</f>
        <v>267</v>
      </c>
      <c r="Z475" s="42"/>
      <c r="AA475" s="67"/>
      <c r="AB475" s="67"/>
      <c r="AC475" s="67"/>
    </row>
    <row r="476" spans="1:68" ht="27.75" hidden="1" customHeight="1" x14ac:dyDescent="0.2">
      <c r="A476" s="680" t="s">
        <v>770</v>
      </c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0"/>
      <c r="P476" s="680"/>
      <c r="Q476" s="680"/>
      <c r="R476" s="680"/>
      <c r="S476" s="680"/>
      <c r="T476" s="680"/>
      <c r="U476" s="680"/>
      <c r="V476" s="680"/>
      <c r="W476" s="680"/>
      <c r="X476" s="680"/>
      <c r="Y476" s="680"/>
      <c r="Z476" s="680"/>
      <c r="AA476" s="54"/>
      <c r="AB476" s="54"/>
      <c r="AC476" s="54"/>
    </row>
    <row r="477" spans="1:68" ht="16.5" hidden="1" customHeight="1" x14ac:dyDescent="0.25">
      <c r="A477" s="665" t="s">
        <v>771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5"/>
      <c r="AB477" s="65"/>
      <c r="AC477" s="79"/>
    </row>
    <row r="478" spans="1:68" ht="14.25" hidden="1" customHeight="1" x14ac:dyDescent="0.25">
      <c r="A478" s="666" t="s">
        <v>77</v>
      </c>
      <c r="B478" s="666"/>
      <c r="C478" s="666"/>
      <c r="D478" s="666"/>
      <c r="E478" s="666"/>
      <c r="F478" s="666"/>
      <c r="G478" s="666"/>
      <c r="H478" s="666"/>
      <c r="I478" s="666"/>
      <c r="J478" s="666"/>
      <c r="K478" s="666"/>
      <c r="L478" s="666"/>
      <c r="M478" s="666"/>
      <c r="N478" s="666"/>
      <c r="O478" s="666"/>
      <c r="P478" s="666"/>
      <c r="Q478" s="666"/>
      <c r="R478" s="666"/>
      <c r="S478" s="666"/>
      <c r="T478" s="666"/>
      <c r="U478" s="666"/>
      <c r="V478" s="666"/>
      <c r="W478" s="666"/>
      <c r="X478" s="666"/>
      <c r="Y478" s="666"/>
      <c r="Z478" s="666"/>
      <c r="AA478" s="66"/>
      <c r="AB478" s="66"/>
      <c r="AC478" s="80"/>
    </row>
    <row r="479" spans="1:68" ht="27" customHeight="1" x14ac:dyDescent="0.25">
      <c r="A479" s="63" t="s">
        <v>772</v>
      </c>
      <c r="B479" s="63" t="s">
        <v>773</v>
      </c>
      <c r="C479" s="36">
        <v>4301031405</v>
      </c>
      <c r="D479" s="667">
        <v>4680115886100</v>
      </c>
      <c r="E479" s="66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9"/>
      <c r="R479" s="669"/>
      <c r="S479" s="669"/>
      <c r="T479" s="670"/>
      <c r="U479" s="39" t="s">
        <v>46</v>
      </c>
      <c r="V479" s="39" t="s">
        <v>46</v>
      </c>
      <c r="W479" s="40" t="s">
        <v>0</v>
      </c>
      <c r="X479" s="58">
        <v>50</v>
      </c>
      <c r="Y479" s="55">
        <f t="shared" ref="Y479:Y484" si="78">IFERROR(IF(X479="",0,CEILING((X479/$H479),1)*$H479),"")</f>
        <v>54</v>
      </c>
      <c r="Z479" s="41">
        <f>IFERROR(IF(Y479=0,"",ROUNDUP(Y479/H479,0)*0.00902),"")</f>
        <v>9.0200000000000002E-2</v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51.759259259259252</v>
      </c>
      <c r="BN479" s="78">
        <f t="shared" ref="BN479:BN484" si="80">IFERROR(Y479*I479/H479,"0")</f>
        <v>55.9</v>
      </c>
      <c r="BO479" s="78">
        <f t="shared" ref="BO479:BO484" si="81">IFERROR(1/J479*(X479/H479),"0")</f>
        <v>7.0145903479236812E-2</v>
      </c>
      <c r="BP479" s="78">
        <f t="shared" ref="BP479:BP484" si="82">IFERROR(1/J479*(Y479/H479),"0")</f>
        <v>7.575757575757576E-2</v>
      </c>
    </row>
    <row r="480" spans="1:68" ht="27" customHeight="1" x14ac:dyDescent="0.25">
      <c r="A480" s="63" t="s">
        <v>775</v>
      </c>
      <c r="B480" s="63" t="s">
        <v>776</v>
      </c>
      <c r="C480" s="36">
        <v>4301031402</v>
      </c>
      <c r="D480" s="667">
        <v>4680115886124</v>
      </c>
      <c r="E480" s="66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9"/>
      <c r="R480" s="669"/>
      <c r="S480" s="669"/>
      <c r="T480" s="670"/>
      <c r="U480" s="39" t="s">
        <v>46</v>
      </c>
      <c r="V480" s="39" t="s">
        <v>46</v>
      </c>
      <c r="W480" s="40" t="s">
        <v>0</v>
      </c>
      <c r="X480" s="58">
        <v>100</v>
      </c>
      <c r="Y480" s="55">
        <f t="shared" si="78"/>
        <v>102.60000000000001</v>
      </c>
      <c r="Z480" s="41">
        <f>IFERROR(IF(Y480=0,"",ROUNDUP(Y480/H480,0)*0.00902),"")</f>
        <v>0.17138</v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103.5185185185185</v>
      </c>
      <c r="BN480" s="78">
        <f t="shared" si="80"/>
        <v>106.21</v>
      </c>
      <c r="BO480" s="78">
        <f t="shared" si="81"/>
        <v>0.14029180695847362</v>
      </c>
      <c r="BP480" s="78">
        <f t="shared" si="82"/>
        <v>0.14393939393939395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667">
        <v>4607091384338</v>
      </c>
      <c r="E481" s="66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9"/>
      <c r="R481" s="669"/>
      <c r="S481" s="669"/>
      <c r="T481" s="67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667">
        <v>4680115883161</v>
      </c>
      <c r="E482" s="66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9"/>
      <c r="R482" s="669"/>
      <c r="S482" s="669"/>
      <c r="T482" s="67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customHeight="1" x14ac:dyDescent="0.25">
      <c r="A483" s="63" t="s">
        <v>783</v>
      </c>
      <c r="B483" s="63" t="s">
        <v>784</v>
      </c>
      <c r="C483" s="36">
        <v>4301031358</v>
      </c>
      <c r="D483" s="667">
        <v>4607091389531</v>
      </c>
      <c r="E483" s="66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9"/>
      <c r="R483" s="669"/>
      <c r="S483" s="669"/>
      <c r="T483" s="670"/>
      <c r="U483" s="39" t="s">
        <v>46</v>
      </c>
      <c r="V483" s="39" t="s">
        <v>46</v>
      </c>
      <c r="W483" s="40" t="s">
        <v>0</v>
      </c>
      <c r="X483" s="58">
        <v>52.5</v>
      </c>
      <c r="Y483" s="55">
        <f t="shared" si="78"/>
        <v>52.5</v>
      </c>
      <c r="Z483" s="41">
        <f>IFERROR(IF(Y483=0,"",ROUNDUP(Y483/H483,0)*0.00502),"")</f>
        <v>0.1255</v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55.75</v>
      </c>
      <c r="BN483" s="78">
        <f t="shared" si="80"/>
        <v>55.75</v>
      </c>
      <c r="BO483" s="78">
        <f t="shared" si="81"/>
        <v>0.10683760683760685</v>
      </c>
      <c r="BP483" s="78">
        <f t="shared" si="82"/>
        <v>0.10683760683760685</v>
      </c>
    </row>
    <row r="484" spans="1:68" ht="37.5" customHeight="1" x14ac:dyDescent="0.25">
      <c r="A484" s="63" t="s">
        <v>786</v>
      </c>
      <c r="B484" s="63" t="s">
        <v>787</v>
      </c>
      <c r="C484" s="36">
        <v>4301031360</v>
      </c>
      <c r="D484" s="667">
        <v>4607091384345</v>
      </c>
      <c r="E484" s="66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9"/>
      <c r="R484" s="669"/>
      <c r="S484" s="669"/>
      <c r="T484" s="670"/>
      <c r="U484" s="39" t="s">
        <v>46</v>
      </c>
      <c r="V484" s="39" t="s">
        <v>46</v>
      </c>
      <c r="W484" s="40" t="s">
        <v>0</v>
      </c>
      <c r="X484" s="58">
        <v>52.5</v>
      </c>
      <c r="Y484" s="55">
        <f t="shared" si="78"/>
        <v>52.5</v>
      </c>
      <c r="Z484" s="41">
        <f>IFERROR(IF(Y484=0,"",ROUNDUP(Y484/H484,0)*0.00502),"")</f>
        <v>0.1255</v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55.75</v>
      </c>
      <c r="BN484" s="78">
        <f t="shared" si="80"/>
        <v>55.75</v>
      </c>
      <c r="BO484" s="78">
        <f t="shared" si="81"/>
        <v>0.10683760683760685</v>
      </c>
      <c r="BP484" s="78">
        <f t="shared" si="82"/>
        <v>0.10683760683760685</v>
      </c>
    </row>
    <row r="485" spans="1:68" x14ac:dyDescent="0.2">
      <c r="A485" s="663"/>
      <c r="B485" s="663"/>
      <c r="C485" s="663"/>
      <c r="D485" s="663"/>
      <c r="E485" s="663"/>
      <c r="F485" s="663"/>
      <c r="G485" s="663"/>
      <c r="H485" s="663"/>
      <c r="I485" s="663"/>
      <c r="J485" s="663"/>
      <c r="K485" s="663"/>
      <c r="L485" s="663"/>
      <c r="M485" s="663"/>
      <c r="N485" s="663"/>
      <c r="O485" s="664"/>
      <c r="P485" s="660" t="s">
        <v>40</v>
      </c>
      <c r="Q485" s="661"/>
      <c r="R485" s="661"/>
      <c r="S485" s="661"/>
      <c r="T485" s="661"/>
      <c r="U485" s="661"/>
      <c r="V485" s="662"/>
      <c r="W485" s="42" t="s">
        <v>39</v>
      </c>
      <c r="X485" s="43">
        <f>IFERROR(X479/H479,"0")+IFERROR(X480/H480,"0")+IFERROR(X481/H481,"0")+IFERROR(X482/H482,"0")+IFERROR(X483/H483,"0")+IFERROR(X484/H484,"0")</f>
        <v>77.777777777777771</v>
      </c>
      <c r="Y485" s="43">
        <f>IFERROR(Y479/H479,"0")+IFERROR(Y480/H480,"0")+IFERROR(Y481/H481,"0")+IFERROR(Y482/H482,"0")+IFERROR(Y483/H483,"0")+IFERROR(Y484/H484,"0")</f>
        <v>79</v>
      </c>
      <c r="Z485" s="43">
        <f>IFERROR(IF(Z479="",0,Z479),"0")+IFERROR(IF(Z480="",0,Z480),"0")+IFERROR(IF(Z481="",0,Z481),"0")+IFERROR(IF(Z482="",0,Z482),"0")+IFERROR(IF(Z483="",0,Z483),"0")+IFERROR(IF(Z484="",0,Z484),"0")</f>
        <v>0.51258000000000004</v>
      </c>
      <c r="AA485" s="67"/>
      <c r="AB485" s="67"/>
      <c r="AC485" s="67"/>
    </row>
    <row r="486" spans="1:68" x14ac:dyDescent="0.2">
      <c r="A486" s="663"/>
      <c r="B486" s="663"/>
      <c r="C486" s="663"/>
      <c r="D486" s="663"/>
      <c r="E486" s="663"/>
      <c r="F486" s="663"/>
      <c r="G486" s="663"/>
      <c r="H486" s="663"/>
      <c r="I486" s="663"/>
      <c r="J486" s="663"/>
      <c r="K486" s="663"/>
      <c r="L486" s="663"/>
      <c r="M486" s="663"/>
      <c r="N486" s="663"/>
      <c r="O486" s="664"/>
      <c r="P486" s="660" t="s">
        <v>40</v>
      </c>
      <c r="Q486" s="661"/>
      <c r="R486" s="661"/>
      <c r="S486" s="661"/>
      <c r="T486" s="661"/>
      <c r="U486" s="661"/>
      <c r="V486" s="662"/>
      <c r="W486" s="42" t="s">
        <v>0</v>
      </c>
      <c r="X486" s="43">
        <f>IFERROR(SUM(X479:X484),"0")</f>
        <v>255</v>
      </c>
      <c r="Y486" s="43">
        <f>IFERROR(SUM(Y479:Y484),"0")</f>
        <v>261.60000000000002</v>
      </c>
      <c r="Z486" s="42"/>
      <c r="AA486" s="67"/>
      <c r="AB486" s="67"/>
      <c r="AC486" s="67"/>
    </row>
    <row r="487" spans="1:68" ht="14.25" hidden="1" customHeight="1" x14ac:dyDescent="0.25">
      <c r="A487" s="666" t="s">
        <v>86</v>
      </c>
      <c r="B487" s="666"/>
      <c r="C487" s="666"/>
      <c r="D487" s="666"/>
      <c r="E487" s="666"/>
      <c r="F487" s="666"/>
      <c r="G487" s="666"/>
      <c r="H487" s="666"/>
      <c r="I487" s="666"/>
      <c r="J487" s="666"/>
      <c r="K487" s="666"/>
      <c r="L487" s="666"/>
      <c r="M487" s="666"/>
      <c r="N487" s="666"/>
      <c r="O487" s="666"/>
      <c r="P487" s="666"/>
      <c r="Q487" s="666"/>
      <c r="R487" s="666"/>
      <c r="S487" s="666"/>
      <c r="T487" s="666"/>
      <c r="U487" s="666"/>
      <c r="V487" s="666"/>
      <c r="W487" s="666"/>
      <c r="X487" s="666"/>
      <c r="Y487" s="666"/>
      <c r="Z487" s="66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667">
        <v>4607091384352</v>
      </c>
      <c r="E488" s="66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9"/>
      <c r="R488" s="669"/>
      <c r="S488" s="669"/>
      <c r="T488" s="67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667">
        <v>4607091389654</v>
      </c>
      <c r="E489" s="66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9"/>
      <c r="R489" s="669"/>
      <c r="S489" s="669"/>
      <c r="T489" s="67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3"/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4"/>
      <c r="P490" s="660" t="s">
        <v>40</v>
      </c>
      <c r="Q490" s="661"/>
      <c r="R490" s="661"/>
      <c r="S490" s="661"/>
      <c r="T490" s="661"/>
      <c r="U490" s="661"/>
      <c r="V490" s="662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3"/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4"/>
      <c r="P491" s="660" t="s">
        <v>40</v>
      </c>
      <c r="Q491" s="661"/>
      <c r="R491" s="661"/>
      <c r="S491" s="661"/>
      <c r="T491" s="661"/>
      <c r="U491" s="661"/>
      <c r="V491" s="662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65" t="s">
        <v>794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5"/>
      <c r="AB492" s="65"/>
      <c r="AC492" s="79"/>
    </row>
    <row r="493" spans="1:68" ht="14.25" hidden="1" customHeight="1" x14ac:dyDescent="0.25">
      <c r="A493" s="666" t="s">
        <v>159</v>
      </c>
      <c r="B493" s="666"/>
      <c r="C493" s="666"/>
      <c r="D493" s="666"/>
      <c r="E493" s="666"/>
      <c r="F493" s="666"/>
      <c r="G493" s="666"/>
      <c r="H493" s="666"/>
      <c r="I493" s="666"/>
      <c r="J493" s="666"/>
      <c r="K493" s="666"/>
      <c r="L493" s="666"/>
      <c r="M493" s="666"/>
      <c r="N493" s="666"/>
      <c r="O493" s="666"/>
      <c r="P493" s="666"/>
      <c r="Q493" s="666"/>
      <c r="R493" s="666"/>
      <c r="S493" s="666"/>
      <c r="T493" s="666"/>
      <c r="U493" s="666"/>
      <c r="V493" s="666"/>
      <c r="W493" s="666"/>
      <c r="X493" s="666"/>
      <c r="Y493" s="666"/>
      <c r="Z493" s="666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4301020416</v>
      </c>
      <c r="D494" s="667">
        <v>4680115885240</v>
      </c>
      <c r="E494" s="66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7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9"/>
      <c r="R494" s="669"/>
      <c r="S494" s="669"/>
      <c r="T494" s="67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3"/>
      <c r="B495" s="663"/>
      <c r="C495" s="663"/>
      <c r="D495" s="663"/>
      <c r="E495" s="663"/>
      <c r="F495" s="663"/>
      <c r="G495" s="663"/>
      <c r="H495" s="663"/>
      <c r="I495" s="663"/>
      <c r="J495" s="663"/>
      <c r="K495" s="663"/>
      <c r="L495" s="663"/>
      <c r="M495" s="663"/>
      <c r="N495" s="663"/>
      <c r="O495" s="664"/>
      <c r="P495" s="660" t="s">
        <v>40</v>
      </c>
      <c r="Q495" s="661"/>
      <c r="R495" s="661"/>
      <c r="S495" s="661"/>
      <c r="T495" s="661"/>
      <c r="U495" s="661"/>
      <c r="V495" s="662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3"/>
      <c r="B496" s="663"/>
      <c r="C496" s="663"/>
      <c r="D496" s="663"/>
      <c r="E496" s="663"/>
      <c r="F496" s="663"/>
      <c r="G496" s="663"/>
      <c r="H496" s="663"/>
      <c r="I496" s="663"/>
      <c r="J496" s="663"/>
      <c r="K496" s="663"/>
      <c r="L496" s="663"/>
      <c r="M496" s="663"/>
      <c r="N496" s="663"/>
      <c r="O496" s="664"/>
      <c r="P496" s="660" t="s">
        <v>40</v>
      </c>
      <c r="Q496" s="661"/>
      <c r="R496" s="661"/>
      <c r="S496" s="661"/>
      <c r="T496" s="661"/>
      <c r="U496" s="661"/>
      <c r="V496" s="662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6" t="s">
        <v>77</v>
      </c>
      <c r="B497" s="666"/>
      <c r="C497" s="666"/>
      <c r="D497" s="666"/>
      <c r="E497" s="666"/>
      <c r="F497" s="666"/>
      <c r="G497" s="666"/>
      <c r="H497" s="666"/>
      <c r="I497" s="666"/>
      <c r="J497" s="666"/>
      <c r="K497" s="666"/>
      <c r="L497" s="666"/>
      <c r="M497" s="666"/>
      <c r="N497" s="666"/>
      <c r="O497" s="666"/>
      <c r="P497" s="666"/>
      <c r="Q497" s="666"/>
      <c r="R497" s="666"/>
      <c r="S497" s="666"/>
      <c r="T497" s="666"/>
      <c r="U497" s="666"/>
      <c r="V497" s="666"/>
      <c r="W497" s="666"/>
      <c r="X497" s="666"/>
      <c r="Y497" s="666"/>
      <c r="Z497" s="666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4301031407</v>
      </c>
      <c r="D498" s="667">
        <v>4680115886094</v>
      </c>
      <c r="E498" s="66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7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9"/>
      <c r="R498" s="669"/>
      <c r="S498" s="669"/>
      <c r="T498" s="670"/>
      <c r="U498" s="39" t="s">
        <v>46</v>
      </c>
      <c r="V498" s="39" t="s">
        <v>46</v>
      </c>
      <c r="W498" s="40" t="s">
        <v>0</v>
      </c>
      <c r="X498" s="58">
        <v>70</v>
      </c>
      <c r="Y498" s="55">
        <f>IFERROR(IF(X498="",0,CEILING((X498/$H498),1)*$H498),"")</f>
        <v>70.2</v>
      </c>
      <c r="Z498" s="41">
        <f>IFERROR(IF(Y498=0,"",ROUNDUP(Y498/H498,0)*0.00902),"")</f>
        <v>0.11726</v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72.462962962962962</v>
      </c>
      <c r="BN498" s="78">
        <f>IFERROR(Y498*I498/H498,"0")</f>
        <v>72.67</v>
      </c>
      <c r="BO498" s="78">
        <f>IFERROR(1/J498*(X498/H498),"0")</f>
        <v>9.8204264870931535E-2</v>
      </c>
      <c r="BP498" s="78">
        <f>IFERROR(1/J498*(Y498/H498),"0")</f>
        <v>9.8484848484848481E-2</v>
      </c>
    </row>
    <row r="499" spans="1:68" ht="27" customHeight="1" x14ac:dyDescent="0.25">
      <c r="A499" s="63" t="s">
        <v>801</v>
      </c>
      <c r="B499" s="63" t="s">
        <v>802</v>
      </c>
      <c r="C499" s="36">
        <v>4301031373</v>
      </c>
      <c r="D499" s="667">
        <v>4680115880771</v>
      </c>
      <c r="E499" s="66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9"/>
      <c r="R499" s="669"/>
      <c r="S499" s="669"/>
      <c r="T499" s="670"/>
      <c r="U499" s="39" t="s">
        <v>46</v>
      </c>
      <c r="V499" s="39" t="s">
        <v>46</v>
      </c>
      <c r="W499" s="40" t="s">
        <v>0</v>
      </c>
      <c r="X499" s="58">
        <v>42</v>
      </c>
      <c r="Y499" s="55">
        <f>IFERROR(IF(X499="",0,CEILING((X499/$H499),1)*$H499),"")</f>
        <v>42</v>
      </c>
      <c r="Z499" s="41">
        <f>IFERROR(IF(Y499=0,"",ROUNDUP(Y499/H499,0)*0.00502),"")</f>
        <v>0.1255</v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45.25</v>
      </c>
      <c r="BN499" s="78">
        <f>IFERROR(Y499*I499/H499,"0")</f>
        <v>45.25</v>
      </c>
      <c r="BO499" s="78">
        <f>IFERROR(1/J499*(X499/H499),"0")</f>
        <v>0.10683760683760685</v>
      </c>
      <c r="BP499" s="78">
        <f>IFERROR(1/J499*(Y499/H499),"0")</f>
        <v>0.10683760683760685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667">
        <v>4607091389500</v>
      </c>
      <c r="E500" s="66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9"/>
      <c r="R500" s="669"/>
      <c r="S500" s="669"/>
      <c r="T500" s="67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663"/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4"/>
      <c r="P501" s="660" t="s">
        <v>40</v>
      </c>
      <c r="Q501" s="661"/>
      <c r="R501" s="661"/>
      <c r="S501" s="661"/>
      <c r="T501" s="661"/>
      <c r="U501" s="661"/>
      <c r="V501" s="662"/>
      <c r="W501" s="42" t="s">
        <v>39</v>
      </c>
      <c r="X501" s="43">
        <f>IFERROR(X498/H498,"0")+IFERROR(X499/H499,"0")+IFERROR(X500/H500,"0")</f>
        <v>37.962962962962962</v>
      </c>
      <c r="Y501" s="43">
        <f>IFERROR(Y498/H498,"0")+IFERROR(Y499/H499,"0")+IFERROR(Y500/H500,"0")</f>
        <v>38</v>
      </c>
      <c r="Z501" s="43">
        <f>IFERROR(IF(Z498="",0,Z498),"0")+IFERROR(IF(Z499="",0,Z499),"0")+IFERROR(IF(Z500="",0,Z500),"0")</f>
        <v>0.24276</v>
      </c>
      <c r="AA501" s="67"/>
      <c r="AB501" s="67"/>
      <c r="AC501" s="67"/>
    </row>
    <row r="502" spans="1:68" x14ac:dyDescent="0.2">
      <c r="A502" s="663"/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4"/>
      <c r="P502" s="660" t="s">
        <v>40</v>
      </c>
      <c r="Q502" s="661"/>
      <c r="R502" s="661"/>
      <c r="S502" s="661"/>
      <c r="T502" s="661"/>
      <c r="U502" s="661"/>
      <c r="V502" s="662"/>
      <c r="W502" s="42" t="s">
        <v>0</v>
      </c>
      <c r="X502" s="43">
        <f>IFERROR(SUM(X498:X500),"0")</f>
        <v>112</v>
      </c>
      <c r="Y502" s="43">
        <f>IFERROR(SUM(Y498:Y500),"0")</f>
        <v>112.2</v>
      </c>
      <c r="Z502" s="42"/>
      <c r="AA502" s="67"/>
      <c r="AB502" s="67"/>
      <c r="AC502" s="67"/>
    </row>
    <row r="503" spans="1:68" ht="27.75" hidden="1" customHeight="1" x14ac:dyDescent="0.2">
      <c r="A503" s="680" t="s">
        <v>806</v>
      </c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0"/>
      <c r="P503" s="680"/>
      <c r="Q503" s="680"/>
      <c r="R503" s="680"/>
      <c r="S503" s="680"/>
      <c r="T503" s="680"/>
      <c r="U503" s="680"/>
      <c r="V503" s="680"/>
      <c r="W503" s="680"/>
      <c r="X503" s="680"/>
      <c r="Y503" s="680"/>
      <c r="Z503" s="680"/>
      <c r="AA503" s="54"/>
      <c r="AB503" s="54"/>
      <c r="AC503" s="54"/>
    </row>
    <row r="504" spans="1:68" ht="16.5" hidden="1" customHeight="1" x14ac:dyDescent="0.25">
      <c r="A504" s="665" t="s">
        <v>806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5"/>
      <c r="AB504" s="65"/>
      <c r="AC504" s="79"/>
    </row>
    <row r="505" spans="1:68" ht="14.25" hidden="1" customHeight="1" x14ac:dyDescent="0.25">
      <c r="A505" s="666" t="s">
        <v>122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66"/>
      <c r="AB505" s="66"/>
      <c r="AC505" s="80"/>
    </row>
    <row r="506" spans="1:68" ht="27" customHeight="1" x14ac:dyDescent="0.25">
      <c r="A506" s="63" t="s">
        <v>807</v>
      </c>
      <c r="B506" s="63" t="s">
        <v>808</v>
      </c>
      <c r="C506" s="36">
        <v>4301011769</v>
      </c>
      <c r="D506" s="667">
        <v>4607091389067</v>
      </c>
      <c r="E506" s="66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9"/>
      <c r="R506" s="669"/>
      <c r="S506" s="669"/>
      <c r="T506" s="670"/>
      <c r="U506" s="39" t="s">
        <v>46</v>
      </c>
      <c r="V506" s="39" t="s">
        <v>46</v>
      </c>
      <c r="W506" s="40" t="s">
        <v>0</v>
      </c>
      <c r="X506" s="58">
        <v>150</v>
      </c>
      <c r="Y506" s="55">
        <f t="shared" ref="Y506:Y514" si="83">IFERROR(IF(X506="",0,CEILING((X506/$H506),1)*$H506),"")</f>
        <v>153.12</v>
      </c>
      <c r="Z506" s="41">
        <f t="shared" ref="Z506:Z511" si="84">IFERROR(IF(Y506=0,"",ROUNDUP(Y506/H506,0)*0.01196),"")</f>
        <v>0.34683999999999998</v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159.94318181818181</v>
      </c>
      <c r="BN506" s="78">
        <f t="shared" ref="BN506:BN514" si="86">IFERROR(Y506*I506/H506,"0")</f>
        <v>163.26999999999998</v>
      </c>
      <c r="BO506" s="78">
        <f t="shared" ref="BO506:BO514" si="87">IFERROR(1/J506*(X506/H506),"0")</f>
        <v>0.27316433566433568</v>
      </c>
      <c r="BP506" s="78">
        <f t="shared" ref="BP506:BP514" si="88">IFERROR(1/J506*(Y506/H506),"0")</f>
        <v>0.27884615384615385</v>
      </c>
    </row>
    <row r="507" spans="1:68" ht="16.5" hidden="1" customHeight="1" x14ac:dyDescent="0.25">
      <c r="A507" s="63" t="s">
        <v>809</v>
      </c>
      <c r="B507" s="63" t="s">
        <v>810</v>
      </c>
      <c r="C507" s="36">
        <v>4301012380</v>
      </c>
      <c r="D507" s="667">
        <v>4680115889576</v>
      </c>
      <c r="E507" s="66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7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9"/>
      <c r="R507" s="669"/>
      <c r="S507" s="669"/>
      <c r="T507" s="67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customHeight="1" x14ac:dyDescent="0.25">
      <c r="A508" s="63" t="s">
        <v>812</v>
      </c>
      <c r="B508" s="63" t="s">
        <v>813</v>
      </c>
      <c r="C508" s="36">
        <v>4301011961</v>
      </c>
      <c r="D508" s="667">
        <v>4680115885271</v>
      </c>
      <c r="E508" s="66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9"/>
      <c r="R508" s="669"/>
      <c r="S508" s="669"/>
      <c r="T508" s="670"/>
      <c r="U508" s="39" t="s">
        <v>46</v>
      </c>
      <c r="V508" s="39" t="s">
        <v>46</v>
      </c>
      <c r="W508" s="40" t="s">
        <v>0</v>
      </c>
      <c r="X508" s="58">
        <v>50</v>
      </c>
      <c r="Y508" s="55">
        <f t="shared" si="83"/>
        <v>52.800000000000004</v>
      </c>
      <c r="Z508" s="41">
        <f t="shared" si="84"/>
        <v>0.1196</v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53.314393939393938</v>
      </c>
      <c r="BN508" s="78">
        <f t="shared" si="86"/>
        <v>56.3</v>
      </c>
      <c r="BO508" s="78">
        <f t="shared" si="87"/>
        <v>9.1054778554778545E-2</v>
      </c>
      <c r="BP508" s="78">
        <f t="shared" si="88"/>
        <v>9.6153846153846159E-2</v>
      </c>
    </row>
    <row r="509" spans="1:68" ht="27" customHeight="1" x14ac:dyDescent="0.25">
      <c r="A509" s="63" t="s">
        <v>815</v>
      </c>
      <c r="B509" s="63" t="s">
        <v>816</v>
      </c>
      <c r="C509" s="36">
        <v>4301011369</v>
      </c>
      <c r="D509" s="667">
        <v>4680115885226</v>
      </c>
      <c r="E509" s="66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9"/>
      <c r="R509" s="669"/>
      <c r="S509" s="669"/>
      <c r="T509" s="670"/>
      <c r="U509" s="39" t="s">
        <v>46</v>
      </c>
      <c r="V509" s="39" t="s">
        <v>46</v>
      </c>
      <c r="W509" s="40" t="s">
        <v>0</v>
      </c>
      <c r="X509" s="58">
        <v>100</v>
      </c>
      <c r="Y509" s="55">
        <f t="shared" si="83"/>
        <v>100.32000000000001</v>
      </c>
      <c r="Z509" s="41">
        <f t="shared" si="84"/>
        <v>0.22724</v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106.62878787878788</v>
      </c>
      <c r="BN509" s="78">
        <f t="shared" si="86"/>
        <v>106.97</v>
      </c>
      <c r="BO509" s="78">
        <f t="shared" si="87"/>
        <v>0.18210955710955709</v>
      </c>
      <c r="BP509" s="78">
        <f t="shared" si="88"/>
        <v>0.18269230769230771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667">
        <v>4680115884502</v>
      </c>
      <c r="E510" s="66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6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9"/>
      <c r="R510" s="669"/>
      <c r="S510" s="669"/>
      <c r="T510" s="67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667">
        <v>4607091389104</v>
      </c>
      <c r="E511" s="66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6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9"/>
      <c r="R511" s="669"/>
      <c r="S511" s="669"/>
      <c r="T511" s="670"/>
      <c r="U511" s="39" t="s">
        <v>46</v>
      </c>
      <c r="V511" s="39" t="s">
        <v>46</v>
      </c>
      <c r="W511" s="40" t="s">
        <v>0</v>
      </c>
      <c r="X511" s="58">
        <v>150</v>
      </c>
      <c r="Y511" s="55">
        <f t="shared" si="83"/>
        <v>153.12</v>
      </c>
      <c r="Z511" s="41">
        <f t="shared" si="84"/>
        <v>0.34683999999999998</v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159.94318181818181</v>
      </c>
      <c r="BN511" s="78">
        <f t="shared" si="86"/>
        <v>163.26999999999998</v>
      </c>
      <c r="BO511" s="78">
        <f t="shared" si="87"/>
        <v>0.27316433566433568</v>
      </c>
      <c r="BP511" s="78">
        <f t="shared" si="88"/>
        <v>0.27884615384615385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667">
        <v>4680115886391</v>
      </c>
      <c r="E512" s="66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9"/>
      <c r="R512" s="669"/>
      <c r="S512" s="669"/>
      <c r="T512" s="67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4301012048</v>
      </c>
      <c r="D513" s="667">
        <v>4680115880603</v>
      </c>
      <c r="E513" s="66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6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9"/>
      <c r="R513" s="669"/>
      <c r="S513" s="669"/>
      <c r="T513" s="67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4301012034</v>
      </c>
      <c r="D514" s="667">
        <v>4607091389982</v>
      </c>
      <c r="E514" s="66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6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9"/>
      <c r="R514" s="669"/>
      <c r="S514" s="669"/>
      <c r="T514" s="67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x14ac:dyDescent="0.2">
      <c r="A515" s="663"/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4"/>
      <c r="P515" s="660" t="s">
        <v>40</v>
      </c>
      <c r="Q515" s="661"/>
      <c r="R515" s="661"/>
      <c r="S515" s="661"/>
      <c r="T515" s="661"/>
      <c r="U515" s="661"/>
      <c r="V515" s="662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85.22727272727272</v>
      </c>
      <c r="Y515" s="43">
        <f>IFERROR(Y506/H506,"0")+IFERROR(Y507/H507,"0")+IFERROR(Y508/H508,"0")+IFERROR(Y509/H509,"0")+IFERROR(Y510/H510,"0")+IFERROR(Y511/H511,"0")+IFERROR(Y512/H512,"0")+IFERROR(Y513/H513,"0")+IFERROR(Y514/H514,"0")</f>
        <v>87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1.0405199999999999</v>
      </c>
      <c r="AA515" s="67"/>
      <c r="AB515" s="67"/>
      <c r="AC515" s="67"/>
    </row>
    <row r="516" spans="1:68" x14ac:dyDescent="0.2">
      <c r="A516" s="663"/>
      <c r="B516" s="663"/>
      <c r="C516" s="663"/>
      <c r="D516" s="663"/>
      <c r="E516" s="663"/>
      <c r="F516" s="663"/>
      <c r="G516" s="663"/>
      <c r="H516" s="663"/>
      <c r="I516" s="663"/>
      <c r="J516" s="663"/>
      <c r="K516" s="663"/>
      <c r="L516" s="663"/>
      <c r="M516" s="663"/>
      <c r="N516" s="663"/>
      <c r="O516" s="664"/>
      <c r="P516" s="660" t="s">
        <v>40</v>
      </c>
      <c r="Q516" s="661"/>
      <c r="R516" s="661"/>
      <c r="S516" s="661"/>
      <c r="T516" s="661"/>
      <c r="U516" s="661"/>
      <c r="V516" s="662"/>
      <c r="W516" s="42" t="s">
        <v>0</v>
      </c>
      <c r="X516" s="43">
        <f>IFERROR(SUM(X506:X514),"0")</f>
        <v>450</v>
      </c>
      <c r="Y516" s="43">
        <f>IFERROR(SUM(Y506:Y514),"0")</f>
        <v>459.36</v>
      </c>
      <c r="Z516" s="42"/>
      <c r="AA516" s="67"/>
      <c r="AB516" s="67"/>
      <c r="AC516" s="67"/>
    </row>
    <row r="517" spans="1:68" ht="14.25" hidden="1" customHeight="1" x14ac:dyDescent="0.25">
      <c r="A517" s="666" t="s">
        <v>159</v>
      </c>
      <c r="B517" s="666"/>
      <c r="C517" s="666"/>
      <c r="D517" s="666"/>
      <c r="E517" s="666"/>
      <c r="F517" s="666"/>
      <c r="G517" s="666"/>
      <c r="H517" s="666"/>
      <c r="I517" s="666"/>
      <c r="J517" s="666"/>
      <c r="K517" s="666"/>
      <c r="L517" s="666"/>
      <c r="M517" s="666"/>
      <c r="N517" s="666"/>
      <c r="O517" s="666"/>
      <c r="P517" s="666"/>
      <c r="Q517" s="666"/>
      <c r="R517" s="666"/>
      <c r="S517" s="666"/>
      <c r="T517" s="666"/>
      <c r="U517" s="666"/>
      <c r="V517" s="666"/>
      <c r="W517" s="666"/>
      <c r="X517" s="666"/>
      <c r="Y517" s="666"/>
      <c r="Z517" s="66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667">
        <v>4607091388930</v>
      </c>
      <c r="E518" s="66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9"/>
      <c r="R518" s="669"/>
      <c r="S518" s="669"/>
      <c r="T518" s="670"/>
      <c r="U518" s="39" t="s">
        <v>46</v>
      </c>
      <c r="V518" s="39" t="s">
        <v>46</v>
      </c>
      <c r="W518" s="40" t="s">
        <v>0</v>
      </c>
      <c r="X518" s="58">
        <v>250</v>
      </c>
      <c r="Y518" s="55">
        <f>IFERROR(IF(X518="",0,CEILING((X518/$H518),1)*$H518),"")</f>
        <v>253.44</v>
      </c>
      <c r="Z518" s="41">
        <f>IFERROR(IF(Y518=0,"",ROUNDUP(Y518/H518,0)*0.01196),"")</f>
        <v>0.57408000000000003</v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266.57196969696969</v>
      </c>
      <c r="BN518" s="78">
        <f>IFERROR(Y518*I518/H518,"0")</f>
        <v>270.23999999999995</v>
      </c>
      <c r="BO518" s="78">
        <f>IFERROR(1/J518*(X518/H518),"0")</f>
        <v>0.45527389277389274</v>
      </c>
      <c r="BP518" s="78">
        <f>IFERROR(1/J518*(Y518/H518),"0")</f>
        <v>0.46153846153846156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667">
        <v>4680115886407</v>
      </c>
      <c r="E519" s="66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6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9"/>
      <c r="R519" s="669"/>
      <c r="S519" s="669"/>
      <c r="T519" s="67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4301020385</v>
      </c>
      <c r="D520" s="667">
        <v>4680115880054</v>
      </c>
      <c r="E520" s="66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9"/>
      <c r="R520" s="669"/>
      <c r="S520" s="669"/>
      <c r="T520" s="67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663"/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4"/>
      <c r="P521" s="660" t="s">
        <v>40</v>
      </c>
      <c r="Q521" s="661"/>
      <c r="R521" s="661"/>
      <c r="S521" s="661"/>
      <c r="T521" s="661"/>
      <c r="U521" s="661"/>
      <c r="V521" s="662"/>
      <c r="W521" s="42" t="s">
        <v>39</v>
      </c>
      <c r="X521" s="43">
        <f>IFERROR(X518/H518,"0")+IFERROR(X519/H519,"0")+IFERROR(X520/H520,"0")</f>
        <v>47.348484848484844</v>
      </c>
      <c r="Y521" s="43">
        <f>IFERROR(Y518/H518,"0")+IFERROR(Y519/H519,"0")+IFERROR(Y520/H520,"0")</f>
        <v>48</v>
      </c>
      <c r="Z521" s="43">
        <f>IFERROR(IF(Z518="",0,Z518),"0")+IFERROR(IF(Z519="",0,Z519),"0")+IFERROR(IF(Z520="",0,Z520),"0")</f>
        <v>0.57408000000000003</v>
      </c>
      <c r="AA521" s="67"/>
      <c r="AB521" s="67"/>
      <c r="AC521" s="67"/>
    </row>
    <row r="522" spans="1:68" x14ac:dyDescent="0.2">
      <c r="A522" s="663"/>
      <c r="B522" s="663"/>
      <c r="C522" s="663"/>
      <c r="D522" s="663"/>
      <c r="E522" s="663"/>
      <c r="F522" s="663"/>
      <c r="G522" s="663"/>
      <c r="H522" s="663"/>
      <c r="I522" s="663"/>
      <c r="J522" s="663"/>
      <c r="K522" s="663"/>
      <c r="L522" s="663"/>
      <c r="M522" s="663"/>
      <c r="N522" s="663"/>
      <c r="O522" s="664"/>
      <c r="P522" s="660" t="s">
        <v>40</v>
      </c>
      <c r="Q522" s="661"/>
      <c r="R522" s="661"/>
      <c r="S522" s="661"/>
      <c r="T522" s="661"/>
      <c r="U522" s="661"/>
      <c r="V522" s="662"/>
      <c r="W522" s="42" t="s">
        <v>0</v>
      </c>
      <c r="X522" s="43">
        <f>IFERROR(SUM(X518:X520),"0")</f>
        <v>250</v>
      </c>
      <c r="Y522" s="43">
        <f>IFERROR(SUM(Y518:Y520),"0")</f>
        <v>253.44</v>
      </c>
      <c r="Z522" s="42"/>
      <c r="AA522" s="67"/>
      <c r="AB522" s="67"/>
      <c r="AC522" s="67"/>
    </row>
    <row r="523" spans="1:68" ht="14.25" hidden="1" customHeight="1" x14ac:dyDescent="0.25">
      <c r="A523" s="666" t="s">
        <v>77</v>
      </c>
      <c r="B523" s="666"/>
      <c r="C523" s="666"/>
      <c r="D523" s="666"/>
      <c r="E523" s="666"/>
      <c r="F523" s="666"/>
      <c r="G523" s="666"/>
      <c r="H523" s="666"/>
      <c r="I523" s="666"/>
      <c r="J523" s="666"/>
      <c r="K523" s="666"/>
      <c r="L523" s="666"/>
      <c r="M523" s="666"/>
      <c r="N523" s="666"/>
      <c r="O523" s="666"/>
      <c r="P523" s="666"/>
      <c r="Q523" s="666"/>
      <c r="R523" s="666"/>
      <c r="S523" s="666"/>
      <c r="T523" s="666"/>
      <c r="U523" s="666"/>
      <c r="V523" s="666"/>
      <c r="W523" s="666"/>
      <c r="X523" s="666"/>
      <c r="Y523" s="666"/>
      <c r="Z523" s="666"/>
      <c r="AA523" s="66"/>
      <c r="AB523" s="66"/>
      <c r="AC523" s="80"/>
    </row>
    <row r="524" spans="1:68" ht="27" customHeight="1" x14ac:dyDescent="0.25">
      <c r="A524" s="63" t="s">
        <v>837</v>
      </c>
      <c r="B524" s="63" t="s">
        <v>838</v>
      </c>
      <c r="C524" s="36">
        <v>4301031349</v>
      </c>
      <c r="D524" s="667">
        <v>4680115883116</v>
      </c>
      <c r="E524" s="66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9"/>
      <c r="R524" s="669"/>
      <c r="S524" s="669"/>
      <c r="T524" s="670"/>
      <c r="U524" s="39" t="s">
        <v>46</v>
      </c>
      <c r="V524" s="39" t="s">
        <v>46</v>
      </c>
      <c r="W524" s="40" t="s">
        <v>0</v>
      </c>
      <c r="X524" s="58">
        <v>150</v>
      </c>
      <c r="Y524" s="55">
        <f t="shared" ref="Y524:Y530" si="89">IFERROR(IF(X524="",0,CEILING((X524/$H524),1)*$H524),"")</f>
        <v>153.12</v>
      </c>
      <c r="Z524" s="41">
        <f>IFERROR(IF(Y524=0,"",ROUNDUP(Y524/H524,0)*0.01196),"")</f>
        <v>0.34683999999999998</v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159.94318181818181</v>
      </c>
      <c r="BN524" s="78">
        <f t="shared" ref="BN524:BN530" si="91">IFERROR(Y524*I524/H524,"0")</f>
        <v>163.26999999999998</v>
      </c>
      <c r="BO524" s="78">
        <f t="shared" ref="BO524:BO530" si="92">IFERROR(1/J524*(X524/H524),"0")</f>
        <v>0.27316433566433568</v>
      </c>
      <c r="BP524" s="78">
        <f t="shared" ref="BP524:BP530" si="93">IFERROR(1/J524*(Y524/H524),"0")</f>
        <v>0.27884615384615385</v>
      </c>
    </row>
    <row r="525" spans="1:68" ht="27" customHeight="1" x14ac:dyDescent="0.25">
      <c r="A525" s="63" t="s">
        <v>840</v>
      </c>
      <c r="B525" s="63" t="s">
        <v>841</v>
      </c>
      <c r="C525" s="36">
        <v>4301031350</v>
      </c>
      <c r="D525" s="667">
        <v>4680115883093</v>
      </c>
      <c r="E525" s="66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9"/>
      <c r="R525" s="669"/>
      <c r="S525" s="669"/>
      <c r="T525" s="670"/>
      <c r="U525" s="39" t="s">
        <v>46</v>
      </c>
      <c r="V525" s="39" t="s">
        <v>46</v>
      </c>
      <c r="W525" s="40" t="s">
        <v>0</v>
      </c>
      <c r="X525" s="58">
        <v>150</v>
      </c>
      <c r="Y525" s="55">
        <f t="shared" si="89"/>
        <v>153.12</v>
      </c>
      <c r="Z525" s="41">
        <f>IFERROR(IF(Y525=0,"",ROUNDUP(Y525/H525,0)*0.01196),"")</f>
        <v>0.34683999999999998</v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159.94318181818181</v>
      </c>
      <c r="BN525" s="78">
        <f t="shared" si="91"/>
        <v>163.26999999999998</v>
      </c>
      <c r="BO525" s="78">
        <f t="shared" si="92"/>
        <v>0.27316433566433568</v>
      </c>
      <c r="BP525" s="78">
        <f t="shared" si="93"/>
        <v>0.27884615384615385</v>
      </c>
    </row>
    <row r="526" spans="1:68" ht="27" customHeight="1" x14ac:dyDescent="0.25">
      <c r="A526" s="63" t="s">
        <v>843</v>
      </c>
      <c r="B526" s="63" t="s">
        <v>844</v>
      </c>
      <c r="C526" s="36">
        <v>4301031353</v>
      </c>
      <c r="D526" s="667">
        <v>4680115883109</v>
      </c>
      <c r="E526" s="66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6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9"/>
      <c r="R526" s="669"/>
      <c r="S526" s="669"/>
      <c r="T526" s="670"/>
      <c r="U526" s="39" t="s">
        <v>46</v>
      </c>
      <c r="V526" s="39" t="s">
        <v>46</v>
      </c>
      <c r="W526" s="40" t="s">
        <v>0</v>
      </c>
      <c r="X526" s="58">
        <v>200</v>
      </c>
      <c r="Y526" s="55">
        <f t="shared" si="89"/>
        <v>200.64000000000001</v>
      </c>
      <c r="Z526" s="41">
        <f>IFERROR(IF(Y526=0,"",ROUNDUP(Y526/H526,0)*0.01196),"")</f>
        <v>0.45448</v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213.25757575757575</v>
      </c>
      <c r="BN526" s="78">
        <f t="shared" si="91"/>
        <v>213.94</v>
      </c>
      <c r="BO526" s="78">
        <f t="shared" si="92"/>
        <v>0.36421911421911418</v>
      </c>
      <c r="BP526" s="78">
        <f t="shared" si="93"/>
        <v>0.36538461538461542</v>
      </c>
    </row>
    <row r="527" spans="1:68" ht="27" hidden="1" customHeight="1" x14ac:dyDescent="0.25">
      <c r="A527" s="63" t="s">
        <v>846</v>
      </c>
      <c r="B527" s="63" t="s">
        <v>847</v>
      </c>
      <c r="C527" s="36">
        <v>4301031419</v>
      </c>
      <c r="D527" s="667">
        <v>4680115882072</v>
      </c>
      <c r="E527" s="66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6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9"/>
      <c r="R527" s="669"/>
      <c r="S527" s="669"/>
      <c r="T527" s="67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667">
        <v>4680115882102</v>
      </c>
      <c r="E528" s="66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9"/>
      <c r="R528" s="669"/>
      <c r="S528" s="669"/>
      <c r="T528" s="67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667">
        <v>4680115882102</v>
      </c>
      <c r="E529" s="66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9"/>
      <c r="R529" s="669"/>
      <c r="S529" s="669"/>
      <c r="T529" s="67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851</v>
      </c>
      <c r="B530" s="63" t="s">
        <v>852</v>
      </c>
      <c r="C530" s="36">
        <v>4301031417</v>
      </c>
      <c r="D530" s="667">
        <v>4680115882096</v>
      </c>
      <c r="E530" s="66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9"/>
      <c r="R530" s="669"/>
      <c r="S530" s="669"/>
      <c r="T530" s="67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2">
      <c r="A531" s="663"/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4"/>
      <c r="P531" s="660" t="s">
        <v>40</v>
      </c>
      <c r="Q531" s="661"/>
      <c r="R531" s="661"/>
      <c r="S531" s="661"/>
      <c r="T531" s="661"/>
      <c r="U531" s="661"/>
      <c r="V531" s="662"/>
      <c r="W531" s="42" t="s">
        <v>39</v>
      </c>
      <c r="X531" s="43">
        <f>IFERROR(X524/H524,"0")+IFERROR(X525/H525,"0")+IFERROR(X526/H526,"0")+IFERROR(X527/H527,"0")+IFERROR(X528/H528,"0")+IFERROR(X529/H529,"0")+IFERROR(X530/H530,"0")</f>
        <v>94.696969696969688</v>
      </c>
      <c r="Y531" s="43">
        <f>IFERROR(Y524/H524,"0")+IFERROR(Y525/H525,"0")+IFERROR(Y526/H526,"0")+IFERROR(Y527/H527,"0")+IFERROR(Y528/H528,"0")+IFERROR(Y529/H529,"0")+IFERROR(Y530/H530,"0")</f>
        <v>96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1.1481599999999998</v>
      </c>
      <c r="AA531" s="67"/>
      <c r="AB531" s="67"/>
      <c r="AC531" s="67"/>
    </row>
    <row r="532" spans="1:68" x14ac:dyDescent="0.2">
      <c r="A532" s="663"/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4"/>
      <c r="P532" s="660" t="s">
        <v>40</v>
      </c>
      <c r="Q532" s="661"/>
      <c r="R532" s="661"/>
      <c r="S532" s="661"/>
      <c r="T532" s="661"/>
      <c r="U532" s="661"/>
      <c r="V532" s="662"/>
      <c r="W532" s="42" t="s">
        <v>0</v>
      </c>
      <c r="X532" s="43">
        <f>IFERROR(SUM(X524:X530),"0")</f>
        <v>500</v>
      </c>
      <c r="Y532" s="43">
        <f>IFERROR(SUM(Y524:Y530),"0")</f>
        <v>506.88</v>
      </c>
      <c r="Z532" s="42"/>
      <c r="AA532" s="67"/>
      <c r="AB532" s="67"/>
      <c r="AC532" s="67"/>
    </row>
    <row r="533" spans="1:68" ht="27.75" hidden="1" customHeight="1" x14ac:dyDescent="0.2">
      <c r="A533" s="680" t="s">
        <v>853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54"/>
      <c r="AB533" s="54"/>
      <c r="AC533" s="54"/>
    </row>
    <row r="534" spans="1:68" ht="16.5" hidden="1" customHeight="1" x14ac:dyDescent="0.25">
      <c r="A534" s="665" t="s">
        <v>853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5"/>
      <c r="AB534" s="65"/>
      <c r="AC534" s="79"/>
    </row>
    <row r="535" spans="1:68" ht="14.25" hidden="1" customHeight="1" x14ac:dyDescent="0.25">
      <c r="A535" s="666" t="s">
        <v>122</v>
      </c>
      <c r="B535" s="666"/>
      <c r="C535" s="666"/>
      <c r="D535" s="666"/>
      <c r="E535" s="666"/>
      <c r="F535" s="666"/>
      <c r="G535" s="666"/>
      <c r="H535" s="666"/>
      <c r="I535" s="666"/>
      <c r="J535" s="666"/>
      <c r="K535" s="666"/>
      <c r="L535" s="666"/>
      <c r="M535" s="666"/>
      <c r="N535" s="666"/>
      <c r="O535" s="666"/>
      <c r="P535" s="666"/>
      <c r="Q535" s="666"/>
      <c r="R535" s="666"/>
      <c r="S535" s="666"/>
      <c r="T535" s="666"/>
      <c r="U535" s="666"/>
      <c r="V535" s="666"/>
      <c r="W535" s="666"/>
      <c r="X535" s="666"/>
      <c r="Y535" s="666"/>
      <c r="Z535" s="666"/>
      <c r="AA535" s="66"/>
      <c r="AB535" s="66"/>
      <c r="AC535" s="80"/>
    </row>
    <row r="536" spans="1:68" ht="27" customHeight="1" x14ac:dyDescent="0.25">
      <c r="A536" s="63" t="s">
        <v>854</v>
      </c>
      <c r="B536" s="63" t="s">
        <v>855</v>
      </c>
      <c r="C536" s="36">
        <v>4301012386</v>
      </c>
      <c r="D536" s="667">
        <v>4680115889736</v>
      </c>
      <c r="E536" s="66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8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669"/>
      <c r="R536" s="669"/>
      <c r="S536" s="669"/>
      <c r="T536" s="670"/>
      <c r="U536" s="39" t="s">
        <v>46</v>
      </c>
      <c r="V536" s="39" t="s">
        <v>46</v>
      </c>
      <c r="W536" s="40" t="s">
        <v>0</v>
      </c>
      <c r="X536" s="58">
        <v>100</v>
      </c>
      <c r="Y536" s="55">
        <f>IFERROR(IF(X536="",0,CEILING((X536/$H536),1)*$H536),"")</f>
        <v>108</v>
      </c>
      <c r="Z536" s="41">
        <f>IFERROR(IF(Y536=0,"",ROUNDUP(Y536/H536,0)*0.01898),"")</f>
        <v>0.17082</v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103.41666666666667</v>
      </c>
      <c r="BN536" s="78">
        <f>IFERROR(Y536*I536/H536,"0")</f>
        <v>111.69</v>
      </c>
      <c r="BO536" s="78">
        <f>IFERROR(1/J536*(X536/H536),"0")</f>
        <v>0.13020833333333334</v>
      </c>
      <c r="BP536" s="78">
        <f>IFERROR(1/J536*(Y536/H536),"0")</f>
        <v>0.140625</v>
      </c>
    </row>
    <row r="537" spans="1:68" x14ac:dyDescent="0.2">
      <c r="A537" s="663"/>
      <c r="B537" s="663"/>
      <c r="C537" s="663"/>
      <c r="D537" s="663"/>
      <c r="E537" s="663"/>
      <c r="F537" s="663"/>
      <c r="G537" s="663"/>
      <c r="H537" s="663"/>
      <c r="I537" s="663"/>
      <c r="J537" s="663"/>
      <c r="K537" s="663"/>
      <c r="L537" s="663"/>
      <c r="M537" s="663"/>
      <c r="N537" s="663"/>
      <c r="O537" s="664"/>
      <c r="P537" s="660" t="s">
        <v>40</v>
      </c>
      <c r="Q537" s="661"/>
      <c r="R537" s="661"/>
      <c r="S537" s="661"/>
      <c r="T537" s="661"/>
      <c r="U537" s="661"/>
      <c r="V537" s="662"/>
      <c r="W537" s="42" t="s">
        <v>39</v>
      </c>
      <c r="X537" s="43">
        <f>IFERROR(X536/H536,"0")</f>
        <v>8.3333333333333339</v>
      </c>
      <c r="Y537" s="43">
        <f>IFERROR(Y536/H536,"0")</f>
        <v>9</v>
      </c>
      <c r="Z537" s="43">
        <f>IFERROR(IF(Z536="",0,Z536),"0")</f>
        <v>0.17082</v>
      </c>
      <c r="AA537" s="67"/>
      <c r="AB537" s="67"/>
      <c r="AC537" s="67"/>
    </row>
    <row r="538" spans="1:68" x14ac:dyDescent="0.2">
      <c r="A538" s="663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4"/>
      <c r="P538" s="660" t="s">
        <v>40</v>
      </c>
      <c r="Q538" s="661"/>
      <c r="R538" s="661"/>
      <c r="S538" s="661"/>
      <c r="T538" s="661"/>
      <c r="U538" s="661"/>
      <c r="V538" s="662"/>
      <c r="W538" s="42" t="s">
        <v>0</v>
      </c>
      <c r="X538" s="43">
        <f>IFERROR(SUM(X536:X536),"0")</f>
        <v>100</v>
      </c>
      <c r="Y538" s="43">
        <f>IFERROR(SUM(Y536:Y536),"0")</f>
        <v>108</v>
      </c>
      <c r="Z538" s="42"/>
      <c r="AA538" s="67"/>
      <c r="AB538" s="67"/>
      <c r="AC538" s="67"/>
    </row>
    <row r="539" spans="1:68" ht="14.25" hidden="1" customHeight="1" x14ac:dyDescent="0.25">
      <c r="A539" s="666" t="s">
        <v>159</v>
      </c>
      <c r="B539" s="666"/>
      <c r="C539" s="666"/>
      <c r="D539" s="666"/>
      <c r="E539" s="666"/>
      <c r="F539" s="666"/>
      <c r="G539" s="666"/>
      <c r="H539" s="666"/>
      <c r="I539" s="666"/>
      <c r="J539" s="666"/>
      <c r="K539" s="666"/>
      <c r="L539" s="666"/>
      <c r="M539" s="666"/>
      <c r="N539" s="666"/>
      <c r="O539" s="666"/>
      <c r="P539" s="666"/>
      <c r="Q539" s="666"/>
      <c r="R539" s="666"/>
      <c r="S539" s="666"/>
      <c r="T539" s="666"/>
      <c r="U539" s="666"/>
      <c r="V539" s="666"/>
      <c r="W539" s="666"/>
      <c r="X539" s="666"/>
      <c r="Y539" s="666"/>
      <c r="Z539" s="66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667">
        <v>4680115889781</v>
      </c>
      <c r="E540" s="66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68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9"/>
      <c r="R540" s="669"/>
      <c r="S540" s="669"/>
      <c r="T540" s="67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3"/>
      <c r="B541" s="663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  <c r="M541" s="663"/>
      <c r="N541" s="663"/>
      <c r="O541" s="664"/>
      <c r="P541" s="660" t="s">
        <v>40</v>
      </c>
      <c r="Q541" s="661"/>
      <c r="R541" s="661"/>
      <c r="S541" s="661"/>
      <c r="T541" s="661"/>
      <c r="U541" s="661"/>
      <c r="V541" s="662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3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4"/>
      <c r="P542" s="660" t="s">
        <v>40</v>
      </c>
      <c r="Q542" s="661"/>
      <c r="R542" s="661"/>
      <c r="S542" s="661"/>
      <c r="T542" s="661"/>
      <c r="U542" s="661"/>
      <c r="V542" s="662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6" t="s">
        <v>77</v>
      </c>
      <c r="B543" s="666"/>
      <c r="C543" s="666"/>
      <c r="D543" s="666"/>
      <c r="E543" s="666"/>
      <c r="F543" s="666"/>
      <c r="G543" s="666"/>
      <c r="H543" s="666"/>
      <c r="I543" s="666"/>
      <c r="J543" s="666"/>
      <c r="K543" s="666"/>
      <c r="L543" s="666"/>
      <c r="M543" s="666"/>
      <c r="N543" s="666"/>
      <c r="O543" s="666"/>
      <c r="P543" s="666"/>
      <c r="Q543" s="666"/>
      <c r="R543" s="666"/>
      <c r="S543" s="666"/>
      <c r="T543" s="666"/>
      <c r="U543" s="666"/>
      <c r="V543" s="666"/>
      <c r="W543" s="666"/>
      <c r="X543" s="666"/>
      <c r="Y543" s="666"/>
      <c r="Z543" s="666"/>
      <c r="AA543" s="66"/>
      <c r="AB543" s="66"/>
      <c r="AC543" s="80"/>
    </row>
    <row r="544" spans="1:68" ht="27" customHeight="1" x14ac:dyDescent="0.25">
      <c r="A544" s="63" t="s">
        <v>859</v>
      </c>
      <c r="B544" s="63" t="s">
        <v>860</v>
      </c>
      <c r="C544" s="36">
        <v>4301031500</v>
      </c>
      <c r="D544" s="667">
        <v>4640242180595</v>
      </c>
      <c r="E544" s="66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9"/>
      <c r="R544" s="669"/>
      <c r="S544" s="669"/>
      <c r="T544" s="670"/>
      <c r="U544" s="39" t="s">
        <v>46</v>
      </c>
      <c r="V544" s="39" t="s">
        <v>46</v>
      </c>
      <c r="W544" s="40" t="s">
        <v>0</v>
      </c>
      <c r="X544" s="58">
        <v>80</v>
      </c>
      <c r="Y544" s="55">
        <f>IFERROR(IF(X544="",0,CEILING((X544/$H544),1)*$H544),"")</f>
        <v>84</v>
      </c>
      <c r="Z544" s="41">
        <f>IFERROR(IF(Y544=0,"",ROUNDUP(Y544/H544,0)*0.00902),"")</f>
        <v>0.1804</v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84.761904761904759</v>
      </c>
      <c r="BN544" s="78">
        <f>IFERROR(Y544*I544/H544,"0")</f>
        <v>89</v>
      </c>
      <c r="BO544" s="78">
        <f>IFERROR(1/J544*(X544/H544),"0")</f>
        <v>0.14430014430014429</v>
      </c>
      <c r="BP544" s="78">
        <f>IFERROR(1/J544*(Y544/H544),"0")</f>
        <v>0.15151515151515152</v>
      </c>
    </row>
    <row r="545" spans="1:68" x14ac:dyDescent="0.2">
      <c r="A545" s="663"/>
      <c r="B545" s="663"/>
      <c r="C545" s="663"/>
      <c r="D545" s="663"/>
      <c r="E545" s="663"/>
      <c r="F545" s="663"/>
      <c r="G545" s="663"/>
      <c r="H545" s="663"/>
      <c r="I545" s="663"/>
      <c r="J545" s="663"/>
      <c r="K545" s="663"/>
      <c r="L545" s="663"/>
      <c r="M545" s="663"/>
      <c r="N545" s="663"/>
      <c r="O545" s="664"/>
      <c r="P545" s="660" t="s">
        <v>40</v>
      </c>
      <c r="Q545" s="661"/>
      <c r="R545" s="661"/>
      <c r="S545" s="661"/>
      <c r="T545" s="661"/>
      <c r="U545" s="661"/>
      <c r="V545" s="662"/>
      <c r="W545" s="42" t="s">
        <v>39</v>
      </c>
      <c r="X545" s="43">
        <f>IFERROR(X544/H544,"0")</f>
        <v>19.047619047619047</v>
      </c>
      <c r="Y545" s="43">
        <f>IFERROR(Y544/H544,"0")</f>
        <v>20</v>
      </c>
      <c r="Z545" s="43">
        <f>IFERROR(IF(Z544="",0,Z544),"0")</f>
        <v>0.1804</v>
      </c>
      <c r="AA545" s="67"/>
      <c r="AB545" s="67"/>
      <c r="AC545" s="67"/>
    </row>
    <row r="546" spans="1:68" x14ac:dyDescent="0.2">
      <c r="A546" s="663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4"/>
      <c r="P546" s="660" t="s">
        <v>40</v>
      </c>
      <c r="Q546" s="661"/>
      <c r="R546" s="661"/>
      <c r="S546" s="661"/>
      <c r="T546" s="661"/>
      <c r="U546" s="661"/>
      <c r="V546" s="662"/>
      <c r="W546" s="42" t="s">
        <v>0</v>
      </c>
      <c r="X546" s="43">
        <f>IFERROR(SUM(X544:X544),"0")</f>
        <v>80</v>
      </c>
      <c r="Y546" s="43">
        <f>IFERROR(SUM(Y544:Y544),"0")</f>
        <v>84</v>
      </c>
      <c r="Z546" s="42"/>
      <c r="AA546" s="67"/>
      <c r="AB546" s="67"/>
      <c r="AC546" s="67"/>
    </row>
    <row r="547" spans="1:68" ht="14.25" hidden="1" customHeight="1" x14ac:dyDescent="0.25">
      <c r="A547" s="666" t="s">
        <v>86</v>
      </c>
      <c r="B547" s="666"/>
      <c r="C547" s="666"/>
      <c r="D547" s="666"/>
      <c r="E547" s="666"/>
      <c r="F547" s="666"/>
      <c r="G547" s="666"/>
      <c r="H547" s="666"/>
      <c r="I547" s="666"/>
      <c r="J547" s="666"/>
      <c r="K547" s="666"/>
      <c r="L547" s="666"/>
      <c r="M547" s="666"/>
      <c r="N547" s="666"/>
      <c r="O547" s="666"/>
      <c r="P547" s="666"/>
      <c r="Q547" s="666"/>
      <c r="R547" s="666"/>
      <c r="S547" s="666"/>
      <c r="T547" s="666"/>
      <c r="U547" s="666"/>
      <c r="V547" s="666"/>
      <c r="W547" s="666"/>
      <c r="X547" s="666"/>
      <c r="Y547" s="666"/>
      <c r="Z547" s="666"/>
      <c r="AA547" s="66"/>
      <c r="AB547" s="66"/>
      <c r="AC547" s="80"/>
    </row>
    <row r="548" spans="1:68" ht="27" customHeight="1" x14ac:dyDescent="0.25">
      <c r="A548" s="63" t="s">
        <v>862</v>
      </c>
      <c r="B548" s="63" t="s">
        <v>863</v>
      </c>
      <c r="C548" s="36">
        <v>4301052282</v>
      </c>
      <c r="D548" s="667">
        <v>4680115889811</v>
      </c>
      <c r="E548" s="66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6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9"/>
      <c r="R548" s="669"/>
      <c r="S548" s="669"/>
      <c r="T548" s="670"/>
      <c r="U548" s="39" t="s">
        <v>46</v>
      </c>
      <c r="V548" s="39" t="s">
        <v>46</v>
      </c>
      <c r="W548" s="40" t="s">
        <v>0</v>
      </c>
      <c r="X548" s="58">
        <v>600</v>
      </c>
      <c r="Y548" s="55">
        <f>IFERROR(IF(X548="",0,CEILING((X548/$H548),1)*$H548),"")</f>
        <v>603</v>
      </c>
      <c r="Z548" s="41">
        <f>IFERROR(IF(Y548=0,"",ROUNDUP(Y548/H548,0)*0.01898),"")</f>
        <v>1.27166</v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632.93333333333328</v>
      </c>
      <c r="BN548" s="78">
        <f>IFERROR(Y548*I548/H548,"0")</f>
        <v>636.09799999999996</v>
      </c>
      <c r="BO548" s="78">
        <f>IFERROR(1/J548*(X548/H548),"0")</f>
        <v>1.0416666666666667</v>
      </c>
      <c r="BP548" s="78">
        <f>IFERROR(1/J548*(Y548/H548),"0")</f>
        <v>1.046875</v>
      </c>
    </row>
    <row r="549" spans="1:68" x14ac:dyDescent="0.2">
      <c r="A549" s="663"/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4"/>
      <c r="P549" s="660" t="s">
        <v>40</v>
      </c>
      <c r="Q549" s="661"/>
      <c r="R549" s="661"/>
      <c r="S549" s="661"/>
      <c r="T549" s="661"/>
      <c r="U549" s="661"/>
      <c r="V549" s="662"/>
      <c r="W549" s="42" t="s">
        <v>39</v>
      </c>
      <c r="X549" s="43">
        <f>IFERROR(X548/H548,"0")</f>
        <v>66.666666666666671</v>
      </c>
      <c r="Y549" s="43">
        <f>IFERROR(Y548/H548,"0")</f>
        <v>67</v>
      </c>
      <c r="Z549" s="43">
        <f>IFERROR(IF(Z548="",0,Z548),"0")</f>
        <v>1.27166</v>
      </c>
      <c r="AA549" s="67"/>
      <c r="AB549" s="67"/>
      <c r="AC549" s="67"/>
    </row>
    <row r="550" spans="1:68" x14ac:dyDescent="0.2">
      <c r="A550" s="663"/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63"/>
      <c r="O550" s="664"/>
      <c r="P550" s="660" t="s">
        <v>40</v>
      </c>
      <c r="Q550" s="661"/>
      <c r="R550" s="661"/>
      <c r="S550" s="661"/>
      <c r="T550" s="661"/>
      <c r="U550" s="661"/>
      <c r="V550" s="662"/>
      <c r="W550" s="42" t="s">
        <v>0</v>
      </c>
      <c r="X550" s="43">
        <f>IFERROR(SUM(X548:X548),"0")</f>
        <v>600</v>
      </c>
      <c r="Y550" s="43">
        <f>IFERROR(SUM(Y548:Y548),"0")</f>
        <v>603</v>
      </c>
      <c r="Z550" s="42"/>
      <c r="AA550" s="67"/>
      <c r="AB550" s="67"/>
      <c r="AC550" s="67"/>
    </row>
    <row r="551" spans="1:68" ht="14.25" hidden="1" customHeight="1" x14ac:dyDescent="0.25">
      <c r="A551" s="666" t="s">
        <v>178</v>
      </c>
      <c r="B551" s="666"/>
      <c r="C551" s="666"/>
      <c r="D551" s="666"/>
      <c r="E551" s="666"/>
      <c r="F551" s="666"/>
      <c r="G551" s="666"/>
      <c r="H551" s="666"/>
      <c r="I551" s="666"/>
      <c r="J551" s="666"/>
      <c r="K551" s="666"/>
      <c r="L551" s="666"/>
      <c r="M551" s="666"/>
      <c r="N551" s="666"/>
      <c r="O551" s="666"/>
      <c r="P551" s="666"/>
      <c r="Q551" s="666"/>
      <c r="R551" s="666"/>
      <c r="S551" s="666"/>
      <c r="T551" s="666"/>
      <c r="U551" s="666"/>
      <c r="V551" s="666"/>
      <c r="W551" s="666"/>
      <c r="X551" s="666"/>
      <c r="Y551" s="666"/>
      <c r="Z551" s="66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667">
        <v>4680115889804</v>
      </c>
      <c r="E552" s="66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9"/>
      <c r="R552" s="669"/>
      <c r="S552" s="669"/>
      <c r="T552" s="67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667">
        <v>4680115889828</v>
      </c>
      <c r="E553" s="66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67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9"/>
      <c r="R553" s="669"/>
      <c r="S553" s="669"/>
      <c r="T553" s="67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3"/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4"/>
      <c r="P554" s="660" t="s">
        <v>40</v>
      </c>
      <c r="Q554" s="661"/>
      <c r="R554" s="661"/>
      <c r="S554" s="661"/>
      <c r="T554" s="661"/>
      <c r="U554" s="661"/>
      <c r="V554" s="662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3"/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4"/>
      <c r="P555" s="660" t="s">
        <v>40</v>
      </c>
      <c r="Q555" s="661"/>
      <c r="R555" s="661"/>
      <c r="S555" s="661"/>
      <c r="T555" s="661"/>
      <c r="U555" s="661"/>
      <c r="V555" s="662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65" t="s">
        <v>871</v>
      </c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5"/>
      <c r="AB556" s="65"/>
      <c r="AC556" s="79"/>
    </row>
    <row r="557" spans="1:68" ht="14.25" hidden="1" customHeight="1" x14ac:dyDescent="0.25">
      <c r="A557" s="666" t="s">
        <v>159</v>
      </c>
      <c r="B557" s="666"/>
      <c r="C557" s="666"/>
      <c r="D557" s="666"/>
      <c r="E557" s="666"/>
      <c r="F557" s="666"/>
      <c r="G557" s="666"/>
      <c r="H557" s="666"/>
      <c r="I557" s="666"/>
      <c r="J557" s="666"/>
      <c r="K557" s="666"/>
      <c r="L557" s="666"/>
      <c r="M557" s="666"/>
      <c r="N557" s="666"/>
      <c r="O557" s="666"/>
      <c r="P557" s="666"/>
      <c r="Q557" s="666"/>
      <c r="R557" s="666"/>
      <c r="S557" s="666"/>
      <c r="T557" s="666"/>
      <c r="U557" s="666"/>
      <c r="V557" s="666"/>
      <c r="W557" s="666"/>
      <c r="X557" s="666"/>
      <c r="Y557" s="666"/>
      <c r="Z557" s="66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667">
        <v>4680115889798</v>
      </c>
      <c r="E558" s="66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9"/>
      <c r="R558" s="669"/>
      <c r="S558" s="669"/>
      <c r="T558" s="67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64"/>
      <c r="P559" s="660" t="s">
        <v>40</v>
      </c>
      <c r="Q559" s="661"/>
      <c r="R559" s="661"/>
      <c r="S559" s="661"/>
      <c r="T559" s="661"/>
      <c r="U559" s="661"/>
      <c r="V559" s="662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64"/>
      <c r="P560" s="660" t="s">
        <v>40</v>
      </c>
      <c r="Q560" s="661"/>
      <c r="R560" s="661"/>
      <c r="S560" s="661"/>
      <c r="T560" s="661"/>
      <c r="U560" s="661"/>
      <c r="V560" s="662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74"/>
      <c r="P561" s="671" t="s">
        <v>33</v>
      </c>
      <c r="Q561" s="672"/>
      <c r="R561" s="672"/>
      <c r="S561" s="672"/>
      <c r="T561" s="672"/>
      <c r="U561" s="672"/>
      <c r="V561" s="67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15561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15784.580000000002</v>
      </c>
      <c r="Z561" s="42"/>
      <c r="AA561" s="67"/>
      <c r="AB561" s="67"/>
      <c r="AC561" s="67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74"/>
      <c r="P562" s="671" t="s">
        <v>34</v>
      </c>
      <c r="Q562" s="672"/>
      <c r="R562" s="672"/>
      <c r="S562" s="672"/>
      <c r="T562" s="672"/>
      <c r="U562" s="672"/>
      <c r="V562" s="673"/>
      <c r="W562" s="42" t="s">
        <v>0</v>
      </c>
      <c r="X562" s="43">
        <f>IFERROR(SUM(BM22:BM558),"0")</f>
        <v>16251.284171979574</v>
      </c>
      <c r="Y562" s="43">
        <f>IFERROR(SUM(BN22:BN558),"0")</f>
        <v>16485.644999999997</v>
      </c>
      <c r="Z562" s="42"/>
      <c r="AA562" s="67"/>
      <c r="AB562" s="67"/>
      <c r="AC562" s="67"/>
    </row>
    <row r="563" spans="1:32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74"/>
      <c r="P563" s="671" t="s">
        <v>35</v>
      </c>
      <c r="Q563" s="672"/>
      <c r="R563" s="672"/>
      <c r="S563" s="672"/>
      <c r="T563" s="672"/>
      <c r="U563" s="672"/>
      <c r="V563" s="673"/>
      <c r="W563" s="42" t="s">
        <v>20</v>
      </c>
      <c r="X563" s="44">
        <f>ROUNDUP(SUM(BO22:BO558),0)</f>
        <v>25</v>
      </c>
      <c r="Y563" s="44">
        <f>ROUNDUP(SUM(BP22:BP558),0)</f>
        <v>26</v>
      </c>
      <c r="Z563" s="42"/>
      <c r="AA563" s="67"/>
      <c r="AB563" s="67"/>
      <c r="AC563" s="67"/>
    </row>
    <row r="564" spans="1:32" x14ac:dyDescent="0.2">
      <c r="A564" s="663"/>
      <c r="B564" s="663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N564" s="663"/>
      <c r="O564" s="674"/>
      <c r="P564" s="671" t="s">
        <v>36</v>
      </c>
      <c r="Q564" s="672"/>
      <c r="R564" s="672"/>
      <c r="S564" s="672"/>
      <c r="T564" s="672"/>
      <c r="U564" s="672"/>
      <c r="V564" s="673"/>
      <c r="W564" s="42" t="s">
        <v>0</v>
      </c>
      <c r="X564" s="43">
        <f>GrossWeightTotal+PalletQtyTotal*25</f>
        <v>16876.284171979576</v>
      </c>
      <c r="Y564" s="43">
        <f>GrossWeightTotalR+PalletQtyTotalR*25</f>
        <v>17135.644999999997</v>
      </c>
      <c r="Z564" s="42"/>
      <c r="AA564" s="67"/>
      <c r="AB564" s="67"/>
      <c r="AC564" s="67"/>
    </row>
    <row r="565" spans="1:32" x14ac:dyDescent="0.2">
      <c r="A565" s="663"/>
      <c r="B565" s="663"/>
      <c r="C565" s="663"/>
      <c r="D565" s="663"/>
      <c r="E565" s="663"/>
      <c r="F565" s="663"/>
      <c r="G565" s="663"/>
      <c r="H565" s="663"/>
      <c r="I565" s="663"/>
      <c r="J565" s="663"/>
      <c r="K565" s="663"/>
      <c r="L565" s="663"/>
      <c r="M565" s="663"/>
      <c r="N565" s="663"/>
      <c r="O565" s="674"/>
      <c r="P565" s="671" t="s">
        <v>37</v>
      </c>
      <c r="Q565" s="672"/>
      <c r="R565" s="672"/>
      <c r="S565" s="672"/>
      <c r="T565" s="672"/>
      <c r="U565" s="672"/>
      <c r="V565" s="67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1980.4983692340018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2011</v>
      </c>
      <c r="Z565" s="42"/>
      <c r="AA565" s="67"/>
      <c r="AB565" s="67"/>
      <c r="AC565" s="67"/>
    </row>
    <row r="566" spans="1:32" ht="14.25" hidden="1" x14ac:dyDescent="0.2">
      <c r="A566" s="663"/>
      <c r="B566" s="663"/>
      <c r="C566" s="663"/>
      <c r="D566" s="663"/>
      <c r="E566" s="663"/>
      <c r="F566" s="663"/>
      <c r="G566" s="663"/>
      <c r="H566" s="663"/>
      <c r="I566" s="663"/>
      <c r="J566" s="663"/>
      <c r="K566" s="663"/>
      <c r="L566" s="663"/>
      <c r="M566" s="663"/>
      <c r="N566" s="663"/>
      <c r="O566" s="674"/>
      <c r="P566" s="671" t="s">
        <v>38</v>
      </c>
      <c r="Q566" s="672"/>
      <c r="R566" s="672"/>
      <c r="S566" s="672"/>
      <c r="T566" s="672"/>
      <c r="U566" s="672"/>
      <c r="V566" s="67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28.750879999999999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656" t="s">
        <v>120</v>
      </c>
      <c r="E568" s="656" t="s">
        <v>120</v>
      </c>
      <c r="F568" s="656" t="s">
        <v>120</v>
      </c>
      <c r="G568" s="656" t="s">
        <v>120</v>
      </c>
      <c r="H568" s="656" t="s">
        <v>120</v>
      </c>
      <c r="I568" s="656" t="s">
        <v>120</v>
      </c>
      <c r="J568" s="656" t="s">
        <v>120</v>
      </c>
      <c r="K568" s="656" t="s">
        <v>346</v>
      </c>
      <c r="L568" s="656" t="s">
        <v>346</v>
      </c>
      <c r="M568" s="656" t="s">
        <v>346</v>
      </c>
      <c r="N568" s="657"/>
      <c r="O568" s="656" t="s">
        <v>346</v>
      </c>
      <c r="P568" s="656" t="s">
        <v>346</v>
      </c>
      <c r="Q568" s="656" t="s">
        <v>346</v>
      </c>
      <c r="R568" s="656" t="s">
        <v>346</v>
      </c>
      <c r="S568" s="656" t="s">
        <v>346</v>
      </c>
      <c r="T568" s="656" t="s">
        <v>346</v>
      </c>
      <c r="U568" s="656" t="s">
        <v>346</v>
      </c>
      <c r="V568" s="656" t="s">
        <v>346</v>
      </c>
      <c r="W568" s="656" t="s">
        <v>704</v>
      </c>
      <c r="X568" s="656" t="s">
        <v>704</v>
      </c>
      <c r="Y568" s="656" t="s">
        <v>770</v>
      </c>
      <c r="Z568" s="656" t="s">
        <v>770</v>
      </c>
      <c r="AA568" s="85" t="s">
        <v>806</v>
      </c>
      <c r="AB568" s="656" t="s">
        <v>853</v>
      </c>
      <c r="AC568" s="656" t="s">
        <v>853</v>
      </c>
      <c r="AF568" s="1"/>
    </row>
    <row r="569" spans="1:32" ht="14.25" customHeight="1" thickTop="1" x14ac:dyDescent="0.2">
      <c r="A569" s="658" t="s">
        <v>10</v>
      </c>
      <c r="B569" s="656" t="s">
        <v>76</v>
      </c>
      <c r="C569" s="656" t="s">
        <v>104</v>
      </c>
      <c r="D569" s="656" t="s">
        <v>121</v>
      </c>
      <c r="E569" s="656" t="s">
        <v>137</v>
      </c>
      <c r="F569" s="656" t="s">
        <v>186</v>
      </c>
      <c r="G569" s="656" t="s">
        <v>210</v>
      </c>
      <c r="H569" s="656" t="s">
        <v>250</v>
      </c>
      <c r="I569" s="656" t="s">
        <v>263</v>
      </c>
      <c r="J569" s="656" t="s">
        <v>120</v>
      </c>
      <c r="K569" s="656" t="s">
        <v>347</v>
      </c>
      <c r="L569" s="656" t="s">
        <v>368</v>
      </c>
      <c r="M569" s="656" t="s">
        <v>442</v>
      </c>
      <c r="N569" s="1"/>
      <c r="O569" s="656" t="s">
        <v>510</v>
      </c>
      <c r="P569" s="656" t="s">
        <v>542</v>
      </c>
      <c r="Q569" s="656" t="s">
        <v>562</v>
      </c>
      <c r="R569" s="656" t="s">
        <v>571</v>
      </c>
      <c r="S569" s="656" t="s">
        <v>592</v>
      </c>
      <c r="T569" s="656" t="s">
        <v>601</v>
      </c>
      <c r="U569" s="656" t="s">
        <v>687</v>
      </c>
      <c r="V569" s="656" t="s">
        <v>694</v>
      </c>
      <c r="W569" s="656" t="s">
        <v>705</v>
      </c>
      <c r="X569" s="656" t="s">
        <v>754</v>
      </c>
      <c r="Y569" s="656" t="s">
        <v>771</v>
      </c>
      <c r="Z569" s="656" t="s">
        <v>794</v>
      </c>
      <c r="AA569" s="656" t="s">
        <v>806</v>
      </c>
      <c r="AB569" s="656" t="s">
        <v>853</v>
      </c>
      <c r="AC569" s="656" t="s">
        <v>871</v>
      </c>
      <c r="AF569" s="1"/>
    </row>
    <row r="570" spans="1:32" ht="13.5" thickBot="1" x14ac:dyDescent="0.25">
      <c r="A570" s="659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299.20000000000005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394.5</v>
      </c>
      <c r="F571" s="52">
        <f>IFERROR(Y87*1,"0")+IFERROR(Y88*1,"0")+IFERROR(Y89*1,"0")+IFERROR(Y90*1,"0")+IFERROR(Y91*1,"0")+IFERROR(Y92*1,"0")+IFERROR(Y96*1,"0")+IFERROR(Y97*1,"0")+IFERROR(Y98*1,"0")+IFERROR(Y99*1,"0")</f>
        <v>315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422.1</v>
      </c>
      <c r="H571" s="52">
        <f>IFERROR(Y134*1,"0")+IFERROR(Y135*1,"0")+IFERROR(Y139*1,"0")+IFERROR(Y140*1,"0")+IFERROR(Y144*1,"0")+IFERROR(Y145*1,"0")</f>
        <v>0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206.5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256.2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1938.3000000000004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216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514.79999999999995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494.70000000000005</v>
      </c>
      <c r="U571" s="52">
        <f>IFERROR(Y419*1,"0")+IFERROR(Y420*1,"0")</f>
        <v>0</v>
      </c>
      <c r="V571" s="52">
        <f>IFERROR(Y425*1,"0")+IFERROR(Y426*1,"0")+IFERROR(Y427*1,"0")</f>
        <v>277.8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7590</v>
      </c>
      <c r="X571" s="52">
        <f>IFERROR(Y462*1,"0")+IFERROR(Y463*1,"0")+IFERROR(Y467*1,"0")+IFERROR(Y471*1,"0")+IFERROR(Y472*1,"0")+IFERROR(Y473*1,"0")</f>
        <v>471</v>
      </c>
      <c r="Y571" s="52">
        <f>IFERROR(Y479*1,"0")+IFERROR(Y480*1,"0")+IFERROR(Y481*1,"0")+IFERROR(Y482*1,"0")+IFERROR(Y483*1,"0")+IFERROR(Y484*1,"0")+IFERROR(Y488*1,"0")+IFERROR(Y489*1,"0")</f>
        <v>261.60000000000002</v>
      </c>
      <c r="Z571" s="52">
        <f>IFERROR(Y494*1,"0")+IFERROR(Y498*1,"0")+IFERROR(Y499*1,"0")+IFERROR(Y500*1,"0")</f>
        <v>112.2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1219.68</v>
      </c>
      <c r="AB571" s="52">
        <f>IFERROR(Y536*1,"0")+IFERROR(Y540*1,"0")+IFERROR(Y544*1,"0")+IFERROR(Y548*1,"0")+IFERROR(Y552*1,"0")+IFERROR(Y553*1,"0")</f>
        <v>795</v>
      </c>
      <c r="AC571" s="52">
        <f>IFERROR(Y558*1,"0")</f>
        <v>0</v>
      </c>
      <c r="AF571" s="1"/>
    </row>
  </sheetData>
  <sheetProtection algorithmName="SHA-512" hashValue="FRmOWdpCyPt+IWGLp0q7uxnUmnVoHOqMrioNiZ9B7u6nnpTi0CuwBePiNwD3KETP3et6N4IoUyneUowWaZqEkw==" saltValue="BQz59yMgtv+RurdFzZ+RY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500,00"/>
        <filter val="1 600,00"/>
        <filter val="1 980,50"/>
        <filter val="10,00"/>
        <filter val="100,00"/>
        <filter val="106,67"/>
        <filter val="11,90"/>
        <filter val="112,00"/>
        <filter val="120,00"/>
        <filter val="122,50"/>
        <filter val="13,33"/>
        <filter val="14,26"/>
        <filter val="15 561,00"/>
        <filter val="150,00"/>
        <filter val="154,28"/>
        <filter val="16 251,28"/>
        <filter val="16 876,28"/>
        <filter val="16,67"/>
        <filter val="17,00"/>
        <filter val="17,59"/>
        <filter val="18,52"/>
        <filter val="19,05"/>
        <filter val="19,23"/>
        <filter val="2 000,00"/>
        <filter val="20,00"/>
        <filter val="200,00"/>
        <filter val="22,22"/>
        <filter val="22,50"/>
        <filter val="222,22"/>
        <filter val="25"/>
        <filter val="250,00"/>
        <filter val="255,00"/>
        <filter val="260,00"/>
        <filter val="267,50"/>
        <filter val="272,50"/>
        <filter val="290,00"/>
        <filter val="30,68"/>
        <filter val="300,00"/>
        <filter val="33,15"/>
        <filter val="34,00"/>
        <filter val="35,00"/>
        <filter val="37,96"/>
        <filter val="373,33"/>
        <filter val="40,00"/>
        <filter val="42,00"/>
        <filter val="45,00"/>
        <filter val="450,00"/>
        <filter val="47,22"/>
        <filter val="47,35"/>
        <filter val="49,69"/>
        <filter val="5 600,00"/>
        <filter val="5,00"/>
        <filter val="50,00"/>
        <filter val="500,00"/>
        <filter val="52,50"/>
        <filter val="57,14"/>
        <filter val="60,00"/>
        <filter val="600,00"/>
        <filter val="64,10"/>
        <filter val="66,67"/>
        <filter val="67,50"/>
        <filter val="690,00"/>
        <filter val="70,00"/>
        <filter val="76,19"/>
        <filter val="76,85"/>
        <filter val="77,78"/>
        <filter val="8,33"/>
        <filter val="80,00"/>
        <filter val="85,23"/>
        <filter val="9,26"/>
        <filter val="94,7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9" spans="2:8" x14ac:dyDescent="0.2">
      <c r="B9" s="53" t="s">
        <v>884</v>
      </c>
      <c r="C9" s="53" t="s">
        <v>879</v>
      </c>
      <c r="D9" s="53" t="s">
        <v>46</v>
      </c>
      <c r="E9" s="53" t="s">
        <v>46</v>
      </c>
    </row>
    <row r="11" spans="2:8" x14ac:dyDescent="0.2">
      <c r="B11" s="53" t="s">
        <v>884</v>
      </c>
      <c r="C11" s="53" t="s">
        <v>882</v>
      </c>
      <c r="D11" s="53" t="s">
        <v>46</v>
      </c>
      <c r="E11" s="53" t="s">
        <v>46</v>
      </c>
    </row>
    <row r="13" spans="2:8" x14ac:dyDescent="0.2">
      <c r="B13" s="53" t="s">
        <v>885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</sheetData>
  <sheetProtection algorithmName="SHA-512" hashValue="up530GI2DPsPhiBlXTxM8xOnndsBPn2f8hb4Q8I+OVx7FGylKyKVWQiH9F5DZ8tecfedItHB8zRt0ULNRLYyvg==" saltValue="BNPIcJm5p39v2zpUYIrIo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2026-10-07T12:21:17Z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