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08D6269-180B-497B-86A3-9A902A0E519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P543" i="2"/>
  <c r="X540" i="2"/>
  <c r="X539" i="2"/>
  <c r="BO538" i="2"/>
  <c r="BM538" i="2"/>
  <c r="Y538" i="2"/>
  <c r="BP538" i="2" s="1"/>
  <c r="P538" i="2"/>
  <c r="BO537" i="2"/>
  <c r="BM537" i="2"/>
  <c r="Y537" i="2"/>
  <c r="Y539" i="2" s="1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BO509" i="2"/>
  <c r="BM509" i="2"/>
  <c r="Y509" i="2"/>
  <c r="P509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BP499" i="2" s="1"/>
  <c r="P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N493" i="2" s="1"/>
  <c r="P493" i="2"/>
  <c r="BO492" i="2"/>
  <c r="BM492" i="2"/>
  <c r="Y492" i="2"/>
  <c r="BP492" i="2" s="1"/>
  <c r="P492" i="2"/>
  <c r="X488" i="2"/>
  <c r="X487" i="2"/>
  <c r="BO486" i="2"/>
  <c r="BM486" i="2"/>
  <c r="Y486" i="2"/>
  <c r="BN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P480" i="2"/>
  <c r="BO480" i="2"/>
  <c r="BM480" i="2"/>
  <c r="Y480" i="2"/>
  <c r="Y481" i="2" s="1"/>
  <c r="P480" i="2"/>
  <c r="X477" i="2"/>
  <c r="X476" i="2"/>
  <c r="BO475" i="2"/>
  <c r="BM475" i="2"/>
  <c r="Y475" i="2"/>
  <c r="Y477" i="2" s="1"/>
  <c r="P475" i="2"/>
  <c r="X473" i="2"/>
  <c r="X472" i="2"/>
  <c r="BO471" i="2"/>
  <c r="BM471" i="2"/>
  <c r="Y471" i="2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N468" i="2" s="1"/>
  <c r="P468" i="2"/>
  <c r="BO467" i="2"/>
  <c r="BM467" i="2"/>
  <c r="Y467" i="2"/>
  <c r="Z467" i="2" s="1"/>
  <c r="P467" i="2"/>
  <c r="BO466" i="2"/>
  <c r="BM466" i="2"/>
  <c r="Y466" i="2"/>
  <c r="P466" i="2"/>
  <c r="X462" i="2"/>
  <c r="X461" i="2"/>
  <c r="BO460" i="2"/>
  <c r="BM460" i="2"/>
  <c r="Y460" i="2"/>
  <c r="BP460" i="2" s="1"/>
  <c r="P460" i="2"/>
  <c r="BO459" i="2"/>
  <c r="BM459" i="2"/>
  <c r="Y459" i="2"/>
  <c r="Z459" i="2" s="1"/>
  <c r="P459" i="2"/>
  <c r="BO458" i="2"/>
  <c r="BM458" i="2"/>
  <c r="Y458" i="2"/>
  <c r="Z458" i="2" s="1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BP450" i="2" s="1"/>
  <c r="P450" i="2"/>
  <c r="BO449" i="2"/>
  <c r="BM449" i="2"/>
  <c r="Y449" i="2"/>
  <c r="Y451" i="2" s="1"/>
  <c r="P449" i="2"/>
  <c r="X446" i="2"/>
  <c r="X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BN431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P423" i="2" s="1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P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Z393" i="2" s="1"/>
  <c r="P393" i="2"/>
  <c r="X391" i="2"/>
  <c r="X390" i="2"/>
  <c r="BO389" i="2"/>
  <c r="BM389" i="2"/>
  <c r="Y389" i="2"/>
  <c r="BN389" i="2" s="1"/>
  <c r="P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BP381" i="2" s="1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Z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BP364" i="2" s="1"/>
  <c r="P364" i="2"/>
  <c r="BO363" i="2"/>
  <c r="BM363" i="2"/>
  <c r="Y363" i="2"/>
  <c r="P363" i="2"/>
  <c r="X361" i="2"/>
  <c r="X360" i="2"/>
  <c r="BO359" i="2"/>
  <c r="BM359" i="2"/>
  <c r="Y359" i="2"/>
  <c r="BP359" i="2" s="1"/>
  <c r="P359" i="2"/>
  <c r="BO358" i="2"/>
  <c r="BM358" i="2"/>
  <c r="Y358" i="2"/>
  <c r="Z358" i="2" s="1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P353" i="2"/>
  <c r="X350" i="2"/>
  <c r="X349" i="2"/>
  <c r="BO348" i="2"/>
  <c r="BM348" i="2"/>
  <c r="Y348" i="2"/>
  <c r="BP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BN339" i="2" s="1"/>
  <c r="P339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BN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2" i="2"/>
  <c r="X311" i="2"/>
  <c r="BO310" i="2"/>
  <c r="BM310" i="2"/>
  <c r="Y310" i="2"/>
  <c r="Z310" i="2" s="1"/>
  <c r="P310" i="2"/>
  <c r="BO309" i="2"/>
  <c r="BM309" i="2"/>
  <c r="Y309" i="2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N286" i="2" s="1"/>
  <c r="P286" i="2"/>
  <c r="BO285" i="2"/>
  <c r="BM285" i="2"/>
  <c r="Y285" i="2"/>
  <c r="P285" i="2"/>
  <c r="X283" i="2"/>
  <c r="X282" i="2"/>
  <c r="BO281" i="2"/>
  <c r="BM281" i="2"/>
  <c r="Y281" i="2"/>
  <c r="BN281" i="2" s="1"/>
  <c r="P281" i="2"/>
  <c r="BO280" i="2"/>
  <c r="BM280" i="2"/>
  <c r="Y280" i="2"/>
  <c r="BN280" i="2" s="1"/>
  <c r="P280" i="2"/>
  <c r="BO279" i="2"/>
  <c r="BM279" i="2"/>
  <c r="Y279" i="2"/>
  <c r="P279" i="2"/>
  <c r="BO278" i="2"/>
  <c r="BM278" i="2"/>
  <c r="Y278" i="2"/>
  <c r="P278" i="2"/>
  <c r="BO277" i="2"/>
  <c r="BM277" i="2"/>
  <c r="Y277" i="2"/>
  <c r="Z277" i="2" s="1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BN266" i="2" s="1"/>
  <c r="P266" i="2"/>
  <c r="BO265" i="2"/>
  <c r="BM265" i="2"/>
  <c r="Y265" i="2"/>
  <c r="Z265" i="2" s="1"/>
  <c r="P265" i="2"/>
  <c r="BO264" i="2"/>
  <c r="BM264" i="2"/>
  <c r="Y264" i="2"/>
  <c r="BN264" i="2" s="1"/>
  <c r="P264" i="2"/>
  <c r="BO263" i="2"/>
  <c r="BM263" i="2"/>
  <c r="Y263" i="2"/>
  <c r="BN263" i="2" s="1"/>
  <c r="P263" i="2"/>
  <c r="BO262" i="2"/>
  <c r="BM262" i="2"/>
  <c r="Y262" i="2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Z259" i="2" s="1"/>
  <c r="P259" i="2"/>
  <c r="X257" i="2"/>
  <c r="X256" i="2"/>
  <c r="BO255" i="2"/>
  <c r="BM255" i="2"/>
  <c r="Y255" i="2"/>
  <c r="BN255" i="2" s="1"/>
  <c r="P255" i="2"/>
  <c r="BO254" i="2"/>
  <c r="BM254" i="2"/>
  <c r="Y254" i="2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Z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Z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P215" i="2"/>
  <c r="BO214" i="2"/>
  <c r="BM214" i="2"/>
  <c r="Y214" i="2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Z201" i="2" s="1"/>
  <c r="P201" i="2"/>
  <c r="BO200" i="2"/>
  <c r="BM200" i="2"/>
  <c r="Y200" i="2"/>
  <c r="BN200" i="2" s="1"/>
  <c r="P200" i="2"/>
  <c r="BO199" i="2"/>
  <c r="BM199" i="2"/>
  <c r="Y199" i="2"/>
  <c r="P199" i="2"/>
  <c r="X195" i="2"/>
  <c r="X194" i="2"/>
  <c r="BO193" i="2"/>
  <c r="BM193" i="2"/>
  <c r="Y193" i="2"/>
  <c r="Y194" i="2" s="1"/>
  <c r="P193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BP185" i="2" s="1"/>
  <c r="P185" i="2"/>
  <c r="BO184" i="2"/>
  <c r="BM184" i="2"/>
  <c r="Y184" i="2"/>
  <c r="BP184" i="2" s="1"/>
  <c r="P184" i="2"/>
  <c r="X182" i="2"/>
  <c r="X181" i="2"/>
  <c r="BO180" i="2"/>
  <c r="BM180" i="2"/>
  <c r="Y180" i="2"/>
  <c r="Z180" i="2" s="1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P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BO147" i="2"/>
  <c r="BM147" i="2"/>
  <c r="Y147" i="2"/>
  <c r="Y152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P132" i="2"/>
  <c r="BO131" i="2"/>
  <c r="BM131" i="2"/>
  <c r="Y131" i="2"/>
  <c r="BN131" i="2" s="1"/>
  <c r="P131" i="2"/>
  <c r="X128" i="2"/>
  <c r="X127" i="2"/>
  <c r="BO126" i="2"/>
  <c r="BM126" i="2"/>
  <c r="Y126" i="2"/>
  <c r="Y127" i="2" s="1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Z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P79" i="2" s="1"/>
  <c r="P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BN72" i="2" s="1"/>
  <c r="P72" i="2"/>
  <c r="X70" i="2"/>
  <c r="X69" i="2"/>
  <c r="BO68" i="2"/>
  <c r="BM68" i="2"/>
  <c r="Y68" i="2"/>
  <c r="Z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BO54" i="2"/>
  <c r="BM54" i="2"/>
  <c r="Y54" i="2"/>
  <c r="P54" i="2"/>
  <c r="X51" i="2"/>
  <c r="X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BO36" i="2"/>
  <c r="BM36" i="2"/>
  <c r="Y36" i="2"/>
  <c r="Z36" i="2" s="1"/>
  <c r="P36" i="2"/>
  <c r="X32" i="2"/>
  <c r="X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BO26" i="2"/>
  <c r="BM26" i="2"/>
  <c r="Y26" i="2"/>
  <c r="Z26" i="2" s="1"/>
  <c r="P26" i="2"/>
  <c r="X24" i="2"/>
  <c r="X23" i="2"/>
  <c r="BO22" i="2"/>
  <c r="BM22" i="2"/>
  <c r="Y22" i="2"/>
  <c r="Y23" i="2" s="1"/>
  <c r="P22" i="2"/>
  <c r="H10" i="2"/>
  <c r="A9" i="2"/>
  <c r="J9" i="2" s="1"/>
  <c r="D7" i="2"/>
  <c r="Q6" i="2"/>
  <c r="P2" i="2"/>
  <c r="BN122" i="2" l="1"/>
  <c r="BN184" i="2"/>
  <c r="BN193" i="2"/>
  <c r="BP200" i="2"/>
  <c r="BN244" i="2"/>
  <c r="BN315" i="2"/>
  <c r="BN354" i="2"/>
  <c r="BN374" i="2"/>
  <c r="BN427" i="2"/>
  <c r="BN467" i="2"/>
  <c r="BN102" i="2"/>
  <c r="BN179" i="2"/>
  <c r="Y190" i="2"/>
  <c r="Z200" i="2"/>
  <c r="Z219" i="2"/>
  <c r="BN219" i="2"/>
  <c r="BN238" i="2"/>
  <c r="BN249" i="2"/>
  <c r="Z264" i="2"/>
  <c r="BN292" i="2"/>
  <c r="BN359" i="2"/>
  <c r="BN425" i="2"/>
  <c r="Y535" i="2"/>
  <c r="BN301" i="2"/>
  <c r="BN499" i="2"/>
  <c r="BN512" i="2"/>
  <c r="BN55" i="2"/>
  <c r="BN68" i="2"/>
  <c r="BN89" i="2"/>
  <c r="BP65" i="2"/>
  <c r="Z65" i="2"/>
  <c r="Y397" i="2"/>
  <c r="BN272" i="2"/>
  <c r="BN367" i="2"/>
  <c r="BN458" i="2"/>
  <c r="Y540" i="2"/>
  <c r="BP537" i="2"/>
  <c r="Z537" i="2"/>
  <c r="Z533" i="2"/>
  <c r="Z534" i="2" s="1"/>
  <c r="BP525" i="2"/>
  <c r="Z525" i="2"/>
  <c r="Z526" i="2" s="1"/>
  <c r="Z521" i="2"/>
  <c r="Z522" i="2" s="1"/>
  <c r="Y523" i="2"/>
  <c r="Y516" i="2"/>
  <c r="BN509" i="2"/>
  <c r="Z497" i="2"/>
  <c r="BN492" i="2"/>
  <c r="Z485" i="2"/>
  <c r="BN485" i="2"/>
  <c r="Y482" i="2"/>
  <c r="Y476" i="2"/>
  <c r="BN475" i="2"/>
  <c r="BN460" i="2"/>
  <c r="BN450" i="2"/>
  <c r="BN439" i="2"/>
  <c r="Z437" i="2"/>
  <c r="Y440" i="2"/>
  <c r="BN433" i="2"/>
  <c r="Z431" i="2"/>
  <c r="BP431" i="2"/>
  <c r="BN423" i="2"/>
  <c r="Z423" i="2"/>
  <c r="Y416" i="2"/>
  <c r="Z407" i="2"/>
  <c r="Y409" i="2"/>
  <c r="BP407" i="2"/>
  <c r="BN401" i="2"/>
  <c r="Y402" i="2"/>
  <c r="BN395" i="2"/>
  <c r="BP393" i="2"/>
  <c r="BN387" i="2"/>
  <c r="BN381" i="2"/>
  <c r="BP366" i="2"/>
  <c r="BN364" i="2"/>
  <c r="Z359" i="2"/>
  <c r="BN357" i="2"/>
  <c r="BP356" i="2"/>
  <c r="BN348" i="2"/>
  <c r="BN346" i="2"/>
  <c r="BN341" i="2"/>
  <c r="BP339" i="2"/>
  <c r="Z339" i="2"/>
  <c r="BN333" i="2"/>
  <c r="Z327" i="2"/>
  <c r="BP327" i="2"/>
  <c r="BN318" i="2"/>
  <c r="BN316" i="2"/>
  <c r="BN293" i="2"/>
  <c r="Z292" i="2"/>
  <c r="BP286" i="2"/>
  <c r="BP281" i="2"/>
  <c r="Z281" i="2"/>
  <c r="Z280" i="2"/>
  <c r="BN277" i="2"/>
  <c r="BP276" i="2"/>
  <c r="BN274" i="2"/>
  <c r="BN271" i="2"/>
  <c r="Z271" i="2"/>
  <c r="BP266" i="2"/>
  <c r="BP264" i="2"/>
  <c r="BN261" i="2"/>
  <c r="Y245" i="2"/>
  <c r="BN233" i="2"/>
  <c r="BN226" i="2"/>
  <c r="BN223" i="2"/>
  <c r="BP222" i="2"/>
  <c r="BP221" i="2"/>
  <c r="Z221" i="2"/>
  <c r="BN217" i="2"/>
  <c r="BN202" i="2"/>
  <c r="BN201" i="2"/>
  <c r="BN189" i="2"/>
  <c r="Z184" i="2"/>
  <c r="BN177" i="2"/>
  <c r="Z174" i="2"/>
  <c r="Y164" i="2"/>
  <c r="BN159" i="2"/>
  <c r="BP150" i="2"/>
  <c r="Z150" i="2"/>
  <c r="BN142" i="2"/>
  <c r="Y134" i="2"/>
  <c r="BP126" i="2"/>
  <c r="Z126" i="2"/>
  <c r="Z127" i="2" s="1"/>
  <c r="BP115" i="2"/>
  <c r="BN111" i="2"/>
  <c r="BP95" i="2"/>
  <c r="Z95" i="2"/>
  <c r="Z89" i="2"/>
  <c r="BN87" i="2"/>
  <c r="BN85" i="2"/>
  <c r="BP78" i="2"/>
  <c r="Z78" i="2"/>
  <c r="Z73" i="2"/>
  <c r="BP73" i="2"/>
  <c r="Y75" i="2"/>
  <c r="Z72" i="2"/>
  <c r="Z74" i="2" s="1"/>
  <c r="Y74" i="2"/>
  <c r="BP72" i="2"/>
  <c r="BN58" i="2"/>
  <c r="Y50" i="2"/>
  <c r="BN46" i="2"/>
  <c r="BN39" i="2"/>
  <c r="BP29" i="2"/>
  <c r="Z29" i="2"/>
  <c r="Z27" i="2"/>
  <c r="BP27" i="2"/>
  <c r="BN320" i="2"/>
  <c r="BP320" i="2"/>
  <c r="Y384" i="2"/>
  <c r="Y383" i="2"/>
  <c r="BN380" i="2"/>
  <c r="Y456" i="2"/>
  <c r="Y455" i="2"/>
  <c r="BN454" i="2"/>
  <c r="BP454" i="2"/>
  <c r="Z454" i="2"/>
  <c r="Z455" i="2" s="1"/>
  <c r="BP47" i="2"/>
  <c r="BP57" i="2"/>
  <c r="BP101" i="2"/>
  <c r="F10" i="2"/>
  <c r="BP67" i="2"/>
  <c r="Z88" i="2"/>
  <c r="Z106" i="2"/>
  <c r="BP106" i="2"/>
  <c r="Y124" i="2"/>
  <c r="BP119" i="2"/>
  <c r="Y155" i="2"/>
  <c r="BN154" i="2"/>
  <c r="BP154" i="2"/>
  <c r="BN166" i="2"/>
  <c r="Y169" i="2"/>
  <c r="BP166" i="2"/>
  <c r="BP176" i="2"/>
  <c r="BN218" i="2"/>
  <c r="BP218" i="2"/>
  <c r="Z218" i="2"/>
  <c r="Y288" i="2"/>
  <c r="BN285" i="2"/>
  <c r="BP373" i="2"/>
  <c r="Y378" i="2"/>
  <c r="BN382" i="2"/>
  <c r="BP382" i="2"/>
  <c r="Z382" i="2"/>
  <c r="BN510" i="2"/>
  <c r="BP510" i="2"/>
  <c r="Z510" i="2"/>
  <c r="A10" i="2"/>
  <c r="BP112" i="2"/>
  <c r="Z178" i="2"/>
  <c r="BN178" i="2"/>
  <c r="BN262" i="2"/>
  <c r="BP262" i="2"/>
  <c r="Z262" i="2"/>
  <c r="BP279" i="2"/>
  <c r="BN279" i="2"/>
  <c r="Z279" i="2"/>
  <c r="BN295" i="2"/>
  <c r="BP295" i="2"/>
  <c r="Z295" i="2"/>
  <c r="F9" i="2"/>
  <c r="H9" i="2"/>
  <c r="X548" i="2"/>
  <c r="Z39" i="2"/>
  <c r="BP46" i="2"/>
  <c r="BN47" i="2"/>
  <c r="Z55" i="2"/>
  <c r="BN57" i="2"/>
  <c r="BP58" i="2"/>
  <c r="Y70" i="2"/>
  <c r="Z85" i="2"/>
  <c r="Z87" i="2"/>
  <c r="BP102" i="2"/>
  <c r="BP111" i="2"/>
  <c r="BN112" i="2"/>
  <c r="Z119" i="2"/>
  <c r="Z154" i="2"/>
  <c r="Z155" i="2" s="1"/>
  <c r="Z166" i="2"/>
  <c r="BN171" i="2"/>
  <c r="BP171" i="2"/>
  <c r="BP173" i="2"/>
  <c r="Z173" i="2"/>
  <c r="Z176" i="2"/>
  <c r="BN250" i="2"/>
  <c r="Z250" i="2"/>
  <c r="Y328" i="2"/>
  <c r="BN376" i="2"/>
  <c r="BP376" i="2"/>
  <c r="BN421" i="2"/>
  <c r="BP421" i="2"/>
  <c r="Z421" i="2"/>
  <c r="Y228" i="2"/>
  <c r="BN214" i="2"/>
  <c r="BP214" i="2"/>
  <c r="Z214" i="2"/>
  <c r="BN254" i="2"/>
  <c r="BP254" i="2"/>
  <c r="Z254" i="2"/>
  <c r="Y32" i="2"/>
  <c r="BN67" i="2"/>
  <c r="BP68" i="2"/>
  <c r="BN88" i="2"/>
  <c r="Z121" i="2"/>
  <c r="BN121" i="2"/>
  <c r="BP131" i="2"/>
  <c r="Z131" i="2"/>
  <c r="BP174" i="2"/>
  <c r="BP178" i="2"/>
  <c r="BN231" i="2"/>
  <c r="BP231" i="2"/>
  <c r="Z231" i="2"/>
  <c r="Z235" i="2" s="1"/>
  <c r="BN239" i="2"/>
  <c r="BP239" i="2"/>
  <c r="Z239" i="2"/>
  <c r="BP260" i="2"/>
  <c r="BN260" i="2"/>
  <c r="BN309" i="2"/>
  <c r="Y311" i="2"/>
  <c r="BP309" i="2"/>
  <c r="BN326" i="2"/>
  <c r="BP326" i="2"/>
  <c r="Z326" i="2"/>
  <c r="BP369" i="2"/>
  <c r="BN369" i="2"/>
  <c r="Z369" i="2"/>
  <c r="Z399" i="2"/>
  <c r="BN399" i="2"/>
  <c r="BN126" i="2"/>
  <c r="BP175" i="2"/>
  <c r="BP203" i="2"/>
  <c r="BP224" i="2"/>
  <c r="BP234" i="2"/>
  <c r="Y298" i="2"/>
  <c r="Y299" i="2"/>
  <c r="BP310" i="2"/>
  <c r="BP470" i="2"/>
  <c r="BP495" i="2"/>
  <c r="BP505" i="2"/>
  <c r="BP515" i="2"/>
  <c r="BP529" i="2"/>
  <c r="BP122" i="2"/>
  <c r="Y128" i="2"/>
  <c r="Z142" i="2"/>
  <c r="Y168" i="2"/>
  <c r="BP167" i="2"/>
  <c r="BP177" i="2"/>
  <c r="BP179" i="2"/>
  <c r="Z189" i="2"/>
  <c r="Z190" i="2" s="1"/>
  <c r="BP189" i="2"/>
  <c r="BP230" i="2"/>
  <c r="Z238" i="2"/>
  <c r="Z244" i="2"/>
  <c r="Z245" i="2" s="1"/>
  <c r="BP244" i="2"/>
  <c r="Y252" i="2"/>
  <c r="BP259" i="2"/>
  <c r="Z261" i="2"/>
  <c r="Z272" i="2"/>
  <c r="Z274" i="2"/>
  <c r="BP277" i="2"/>
  <c r="Z293" i="2"/>
  <c r="BP297" i="2"/>
  <c r="Z316" i="2"/>
  <c r="Z318" i="2"/>
  <c r="BP367" i="2"/>
  <c r="Z374" i="2"/>
  <c r="Z381" i="2"/>
  <c r="BN393" i="2"/>
  <c r="BN437" i="2"/>
  <c r="Z439" i="2"/>
  <c r="Y452" i="2"/>
  <c r="BP458" i="2"/>
  <c r="Z460" i="2"/>
  <c r="Z461" i="2" s="1"/>
  <c r="BP467" i="2"/>
  <c r="Z475" i="2"/>
  <c r="Z476" i="2" s="1"/>
  <c r="BP475" i="2"/>
  <c r="BN497" i="2"/>
  <c r="Z499" i="2"/>
  <c r="Z509" i="2"/>
  <c r="BP509" i="2"/>
  <c r="BN525" i="2"/>
  <c r="Y526" i="2"/>
  <c r="BN537" i="2"/>
  <c r="BP202" i="2"/>
  <c r="BN203" i="2"/>
  <c r="Z220" i="2"/>
  <c r="BP223" i="2"/>
  <c r="BN224" i="2"/>
  <c r="BP233" i="2"/>
  <c r="BN234" i="2"/>
  <c r="BN270" i="2"/>
  <c r="BN291" i="2"/>
  <c r="BN310" i="2"/>
  <c r="Z315" i="2"/>
  <c r="Y329" i="2"/>
  <c r="Z333" i="2"/>
  <c r="Z341" i="2"/>
  <c r="BP346" i="2"/>
  <c r="Z348" i="2"/>
  <c r="Z349" i="2" s="1"/>
  <c r="Z354" i="2"/>
  <c r="BP357" i="2"/>
  <c r="Z364" i="2"/>
  <c r="Z387" i="2"/>
  <c r="Z395" i="2"/>
  <c r="Z401" i="2"/>
  <c r="BN414" i="2"/>
  <c r="Z425" i="2"/>
  <c r="BN426" i="2"/>
  <c r="Z427" i="2"/>
  <c r="Z433" i="2"/>
  <c r="BN449" i="2"/>
  <c r="Z450" i="2"/>
  <c r="Y461" i="2"/>
  <c r="BN470" i="2"/>
  <c r="BN495" i="2"/>
  <c r="BN505" i="2"/>
  <c r="BP512" i="2"/>
  <c r="BN515" i="2"/>
  <c r="BN529" i="2"/>
  <c r="Y530" i="2"/>
  <c r="Q556" i="2"/>
  <c r="BN199" i="2"/>
  <c r="Y207" i="2"/>
  <c r="K556" i="2"/>
  <c r="BP205" i="2"/>
  <c r="Z205" i="2"/>
  <c r="Z340" i="2"/>
  <c r="BN340" i="2"/>
  <c r="BP368" i="2"/>
  <c r="BN368" i="2"/>
  <c r="BP468" i="2"/>
  <c r="Z468" i="2"/>
  <c r="Y63" i="2"/>
  <c r="Z141" i="2"/>
  <c r="Z162" i="2"/>
  <c r="Z199" i="2"/>
  <c r="BN353" i="2"/>
  <c r="T556" i="2"/>
  <c r="Z353" i="2"/>
  <c r="Y361" i="2"/>
  <c r="Z368" i="2"/>
  <c r="BN205" i="2"/>
  <c r="BP365" i="2"/>
  <c r="Z365" i="2"/>
  <c r="Y507" i="2"/>
  <c r="BP503" i="2"/>
  <c r="Z503" i="2"/>
  <c r="Z84" i="2"/>
  <c r="Z105" i="2"/>
  <c r="BN265" i="2"/>
  <c r="Z335" i="2"/>
  <c r="BP340" i="2"/>
  <c r="Y428" i="2"/>
  <c r="Z420" i="2"/>
  <c r="W556" i="2"/>
  <c r="BN420" i="2"/>
  <c r="Y473" i="2"/>
  <c r="Z486" i="2"/>
  <c r="Y109" i="2"/>
  <c r="BP141" i="2"/>
  <c r="BP199" i="2"/>
  <c r="BP332" i="2"/>
  <c r="Z332" i="2"/>
  <c r="R556" i="2"/>
  <c r="Y336" i="2"/>
  <c r="BP347" i="2"/>
  <c r="BN347" i="2"/>
  <c r="S556" i="2"/>
  <c r="BP353" i="2"/>
  <c r="Y360" i="2"/>
  <c r="BN365" i="2"/>
  <c r="Z394" i="2"/>
  <c r="BN394" i="2"/>
  <c r="Y445" i="2"/>
  <c r="BP443" i="2"/>
  <c r="Z443" i="2"/>
  <c r="BN503" i="2"/>
  <c r="BP162" i="2"/>
  <c r="Y206" i="2"/>
  <c r="BP220" i="2"/>
  <c r="Y235" i="2"/>
  <c r="Y242" i="2"/>
  <c r="Y241" i="2"/>
  <c r="BN240" i="2"/>
  <c r="BP265" i="2"/>
  <c r="BP280" i="2"/>
  <c r="BP319" i="2"/>
  <c r="Z319" i="2"/>
  <c r="BN406" i="2"/>
  <c r="U556" i="2"/>
  <c r="Z406" i="2"/>
  <c r="BP432" i="2"/>
  <c r="BN432" i="2"/>
  <c r="Z432" i="2"/>
  <c r="Y434" i="2"/>
  <c r="J556" i="2"/>
  <c r="BP105" i="2"/>
  <c r="Z148" i="2"/>
  <c r="Y227" i="2"/>
  <c r="Z240" i="2"/>
  <c r="BP335" i="2"/>
  <c r="BP420" i="2"/>
  <c r="BN438" i="2"/>
  <c r="Y441" i="2"/>
  <c r="BP486" i="2"/>
  <c r="H556" i="2"/>
  <c r="BP56" i="2"/>
  <c r="BP37" i="2"/>
  <c r="Z37" i="2"/>
  <c r="BN215" i="2"/>
  <c r="Z215" i="2"/>
  <c r="BN232" i="2"/>
  <c r="Z263" i="2"/>
  <c r="BP296" i="2"/>
  <c r="Z296" i="2"/>
  <c r="BN319" i="2"/>
  <c r="Z389" i="2"/>
  <c r="BP394" i="2"/>
  <c r="Z438" i="2"/>
  <c r="Z498" i="2"/>
  <c r="F556" i="2"/>
  <c r="Y91" i="2"/>
  <c r="BN84" i="2"/>
  <c r="BN26" i="2"/>
  <c r="Y31" i="2"/>
  <c r="E556" i="2"/>
  <c r="BN54" i="2"/>
  <c r="Y62" i="2"/>
  <c r="Z40" i="2"/>
  <c r="BN40" i="2"/>
  <c r="BP93" i="2"/>
  <c r="Z93" i="2"/>
  <c r="Y97" i="2"/>
  <c r="BP160" i="2"/>
  <c r="BN160" i="2"/>
  <c r="Y187" i="2"/>
  <c r="Y186" i="2"/>
  <c r="BN185" i="2"/>
  <c r="BP278" i="2"/>
  <c r="BN278" i="2"/>
  <c r="BN363" i="2"/>
  <c r="Z363" i="2"/>
  <c r="Y371" i="2"/>
  <c r="BP386" i="2"/>
  <c r="Z386" i="2"/>
  <c r="Y390" i="2"/>
  <c r="BP400" i="2"/>
  <c r="BN400" i="2"/>
  <c r="BP406" i="2"/>
  <c r="Z413" i="2"/>
  <c r="Y556" i="2"/>
  <c r="Y472" i="2"/>
  <c r="BP466" i="2"/>
  <c r="BN466" i="2"/>
  <c r="Z466" i="2"/>
  <c r="AC556" i="2"/>
  <c r="Y545" i="2"/>
  <c r="Y544" i="2"/>
  <c r="BP543" i="2"/>
  <c r="BN543" i="2"/>
  <c r="Z543" i="2"/>
  <c r="Z544" i="2" s="1"/>
  <c r="Z54" i="2"/>
  <c r="BN37" i="2"/>
  <c r="BN93" i="2"/>
  <c r="Z120" i="2"/>
  <c r="Y123" i="2"/>
  <c r="BP137" i="2"/>
  <c r="Z137" i="2"/>
  <c r="BP148" i="2"/>
  <c r="Z160" i="2"/>
  <c r="Z171" i="2"/>
  <c r="Z185" i="2"/>
  <c r="Z186" i="2" s="1"/>
  <c r="BP193" i="2"/>
  <c r="Z193" i="2"/>
  <c r="Z194" i="2" s="1"/>
  <c r="Y195" i="2"/>
  <c r="Y212" i="2"/>
  <c r="Y211" i="2"/>
  <c r="BN210" i="2"/>
  <c r="L556" i="2"/>
  <c r="BP232" i="2"/>
  <c r="BP240" i="2"/>
  <c r="Y257" i="2"/>
  <c r="Y256" i="2"/>
  <c r="Z255" i="2"/>
  <c r="Z278" i="2"/>
  <c r="BN296" i="2"/>
  <c r="Y337" i="2"/>
  <c r="BP375" i="2"/>
  <c r="Z375" i="2"/>
  <c r="Z400" i="2"/>
  <c r="Y488" i="2"/>
  <c r="BP484" i="2"/>
  <c r="Y487" i="2"/>
  <c r="BN484" i="2"/>
  <c r="BP513" i="2"/>
  <c r="Z513" i="2"/>
  <c r="BP113" i="2"/>
  <c r="BN113" i="2"/>
  <c r="BP60" i="2"/>
  <c r="Z60" i="2"/>
  <c r="BP40" i="2"/>
  <c r="BP48" i="2"/>
  <c r="BN48" i="2"/>
  <c r="BP54" i="2"/>
  <c r="BP103" i="2"/>
  <c r="BN103" i="2"/>
  <c r="BP180" i="2"/>
  <c r="BN180" i="2"/>
  <c r="Z210" i="2"/>
  <c r="Z211" i="2" s="1"/>
  <c r="BP215" i="2"/>
  <c r="BN230" i="2"/>
  <c r="Y236" i="2"/>
  <c r="BP263" i="2"/>
  <c r="BP275" i="2"/>
  <c r="Z275" i="2"/>
  <c r="Z305" i="2"/>
  <c r="Z306" i="2" s="1"/>
  <c r="Y307" i="2"/>
  <c r="Y306" i="2"/>
  <c r="BN305" i="2"/>
  <c r="BN386" i="2"/>
  <c r="BP389" i="2"/>
  <c r="BP438" i="2"/>
  <c r="Z484" i="2"/>
  <c r="AA556" i="2"/>
  <c r="BP498" i="2"/>
  <c r="Z113" i="2"/>
  <c r="C556" i="2"/>
  <c r="BP36" i="2"/>
  <c r="BN36" i="2"/>
  <c r="Y41" i="2"/>
  <c r="BP136" i="2"/>
  <c r="BN136" i="2"/>
  <c r="Y139" i="2"/>
  <c r="BP26" i="2"/>
  <c r="Z96" i="2"/>
  <c r="BN96" i="2"/>
  <c r="Z30" i="2"/>
  <c r="X550" i="2"/>
  <c r="Z48" i="2"/>
  <c r="Z66" i="2"/>
  <c r="Z69" i="2" s="1"/>
  <c r="Y69" i="2"/>
  <c r="BN79" i="2"/>
  <c r="Z79" i="2"/>
  <c r="Z103" i="2"/>
  <c r="Z115" i="2"/>
  <c r="BN120" i="2"/>
  <c r="BP149" i="2"/>
  <c r="Z149" i="2"/>
  <c r="Y321" i="2"/>
  <c r="BN317" i="2"/>
  <c r="Z317" i="2"/>
  <c r="BP358" i="2"/>
  <c r="BN358" i="2"/>
  <c r="BP363" i="2"/>
  <c r="Y370" i="2"/>
  <c r="BN375" i="2"/>
  <c r="BP413" i="2"/>
  <c r="BP459" i="2"/>
  <c r="BN459" i="2"/>
  <c r="BN513" i="2"/>
  <c r="X546" i="2"/>
  <c r="Z56" i="2"/>
  <c r="Y90" i="2"/>
  <c r="Y342" i="2"/>
  <c r="BP59" i="2"/>
  <c r="BN59" i="2"/>
  <c r="BP114" i="2"/>
  <c r="Z114" i="2"/>
  <c r="BP132" i="2"/>
  <c r="Y133" i="2"/>
  <c r="X547" i="2"/>
  <c r="BN30" i="2"/>
  <c r="Z38" i="2"/>
  <c r="Z61" i="2"/>
  <c r="BN66" i="2"/>
  <c r="Z94" i="2"/>
  <c r="Z132" i="2"/>
  <c r="Z133" i="2" s="1"/>
  <c r="Y143" i="2"/>
  <c r="BN149" i="2"/>
  <c r="BP161" i="2"/>
  <c r="Z161" i="2"/>
  <c r="BP204" i="2"/>
  <c r="BN204" i="2"/>
  <c r="BP210" i="2"/>
  <c r="Z216" i="2"/>
  <c r="BP255" i="2"/>
  <c r="Y268" i="2"/>
  <c r="BN294" i="2"/>
  <c r="Z294" i="2"/>
  <c r="BP305" i="2"/>
  <c r="BP355" i="2"/>
  <c r="Z355" i="2"/>
  <c r="Y391" i="2"/>
  <c r="BP496" i="2"/>
  <c r="BN496" i="2"/>
  <c r="Y138" i="2"/>
  <c r="BP172" i="2"/>
  <c r="Z172" i="2"/>
  <c r="BP225" i="2"/>
  <c r="BN225" i="2"/>
  <c r="Y282" i="2"/>
  <c r="Y343" i="2"/>
  <c r="Y429" i="2"/>
  <c r="Y446" i="2"/>
  <c r="Z496" i="2"/>
  <c r="Z136" i="2"/>
  <c r="BP104" i="2"/>
  <c r="Z104" i="2"/>
  <c r="Z107" i="2"/>
  <c r="BN107" i="2"/>
  <c r="BN132" i="2"/>
  <c r="Y181" i="2"/>
  <c r="Z225" i="2"/>
  <c r="BP250" i="2"/>
  <c r="P556" i="2"/>
  <c r="Y349" i="2"/>
  <c r="Y377" i="2"/>
  <c r="BN373" i="2"/>
  <c r="Z373" i="2"/>
  <c r="BP422" i="2"/>
  <c r="BN422" i="2"/>
  <c r="Z422" i="2"/>
  <c r="BP471" i="2"/>
  <c r="BN471" i="2"/>
  <c r="Y151" i="2"/>
  <c r="I556" i="2"/>
  <c r="BN147" i="2"/>
  <c r="Z147" i="2"/>
  <c r="BP147" i="2"/>
  <c r="Y24" i="2"/>
  <c r="BN22" i="2"/>
  <c r="B556" i="2"/>
  <c r="Z22" i="2"/>
  <c r="Z23" i="2" s="1"/>
  <c r="Y42" i="2"/>
  <c r="Y98" i="2"/>
  <c r="BP22" i="2"/>
  <c r="BP49" i="2"/>
  <c r="Z49" i="2"/>
  <c r="Z86" i="2"/>
  <c r="BN86" i="2"/>
  <c r="Z28" i="2"/>
  <c r="BN28" i="2"/>
  <c r="BP38" i="2"/>
  <c r="D556" i="2"/>
  <c r="BP61" i="2"/>
  <c r="Y81" i="2"/>
  <c r="BP77" i="2"/>
  <c r="Y80" i="2"/>
  <c r="BP94" i="2"/>
  <c r="G556" i="2"/>
  <c r="Y144" i="2"/>
  <c r="BN172" i="2"/>
  <c r="Z175" i="2"/>
  <c r="BP216" i="2"/>
  <c r="BN222" i="2"/>
  <c r="BN273" i="2"/>
  <c r="Z273" i="2"/>
  <c r="BP294" i="2"/>
  <c r="Y322" i="2"/>
  <c r="Z396" i="2"/>
  <c r="Y396" i="2"/>
  <c r="Y435" i="2"/>
  <c r="Z471" i="2"/>
  <c r="Y500" i="2"/>
  <c r="BP493" i="2"/>
  <c r="Z493" i="2"/>
  <c r="Y501" i="2"/>
  <c r="M556" i="2"/>
  <c r="BN49" i="2"/>
  <c r="Z77" i="2"/>
  <c r="BN104" i="2"/>
  <c r="Y117" i="2"/>
  <c r="Z167" i="2"/>
  <c r="Z168" i="2" s="1"/>
  <c r="Y182" i="2"/>
  <c r="BP201" i="2"/>
  <c r="BN259" i="2"/>
  <c r="Y267" i="2"/>
  <c r="Y287" i="2"/>
  <c r="BP285" i="2"/>
  <c r="Z285" i="2"/>
  <c r="Y408" i="2"/>
  <c r="Z434" i="2"/>
  <c r="Z556" i="2"/>
  <c r="Y506" i="2"/>
  <c r="Y283" i="2"/>
  <c r="O556" i="2"/>
  <c r="Y51" i="2"/>
  <c r="Y108" i="2"/>
  <c r="Z217" i="2"/>
  <c r="Z260" i="2"/>
  <c r="Z270" i="2"/>
  <c r="Z291" i="2"/>
  <c r="Z301" i="2"/>
  <c r="Z302" i="2" s="1"/>
  <c r="Z325" i="2"/>
  <c r="Z328" i="2" s="1"/>
  <c r="Y350" i="2"/>
  <c r="Z380" i="2"/>
  <c r="Y403" i="2"/>
  <c r="Z414" i="2"/>
  <c r="Z426" i="2"/>
  <c r="Z449" i="2"/>
  <c r="Z451" i="2" s="1"/>
  <c r="Y462" i="2"/>
  <c r="Z511" i="2"/>
  <c r="Y116" i="2"/>
  <c r="Y163" i="2"/>
  <c r="Y251" i="2"/>
  <c r="BP291" i="2"/>
  <c r="BP301" i="2"/>
  <c r="Y312" i="2"/>
  <c r="BP325" i="2"/>
  <c r="Z334" i="2"/>
  <c r="BP380" i="2"/>
  <c r="Z388" i="2"/>
  <c r="Z412" i="2"/>
  <c r="Z424" i="2"/>
  <c r="BP449" i="2"/>
  <c r="Y517" i="2"/>
  <c r="Y531" i="2"/>
  <c r="BN511" i="2"/>
  <c r="Z46" i="2"/>
  <c r="Z101" i="2"/>
  <c r="Z108" i="2" s="1"/>
  <c r="Z266" i="2"/>
  <c r="Z276" i="2"/>
  <c r="Z286" i="2"/>
  <c r="Z297" i="2"/>
  <c r="Y302" i="2"/>
  <c r="Z309" i="2"/>
  <c r="Z311" i="2" s="1"/>
  <c r="Z320" i="2"/>
  <c r="BN334" i="2"/>
  <c r="Z356" i="2"/>
  <c r="Z366" i="2"/>
  <c r="Z376" i="2"/>
  <c r="BN388" i="2"/>
  <c r="BN412" i="2"/>
  <c r="Y415" i="2"/>
  <c r="BN424" i="2"/>
  <c r="Z444" i="2"/>
  <c r="Z469" i="2"/>
  <c r="Z494" i="2"/>
  <c r="Z504" i="2"/>
  <c r="Z514" i="2"/>
  <c r="V556" i="2"/>
  <c r="BP412" i="2"/>
  <c r="BN444" i="2"/>
  <c r="BN469" i="2"/>
  <c r="Z480" i="2"/>
  <c r="Z481" i="2" s="1"/>
  <c r="BN494" i="2"/>
  <c r="BN504" i="2"/>
  <c r="BN514" i="2"/>
  <c r="Z538" i="2"/>
  <c r="X556" i="2"/>
  <c r="Z226" i="2"/>
  <c r="Z249" i="2"/>
  <c r="Z251" i="2" s="1"/>
  <c r="BN521" i="2"/>
  <c r="BN533" i="2"/>
  <c r="BN480" i="2"/>
  <c r="Z492" i="2"/>
  <c r="BN538" i="2"/>
  <c r="BP521" i="2"/>
  <c r="BP533" i="2"/>
  <c r="AB556" i="2"/>
  <c r="Z159" i="2"/>
  <c r="Z539" i="2" l="1"/>
  <c r="Z31" i="2"/>
  <c r="Z487" i="2"/>
  <c r="Z408" i="2"/>
  <c r="Z402" i="2"/>
  <c r="Z440" i="2"/>
  <c r="Z383" i="2"/>
  <c r="Z321" i="2"/>
  <c r="Z267" i="2"/>
  <c r="Z256" i="2"/>
  <c r="Z241" i="2"/>
  <c r="Z151" i="2"/>
  <c r="Z123" i="2"/>
  <c r="Z50" i="2"/>
  <c r="X549" i="2"/>
  <c r="Y547" i="2"/>
  <c r="Z116" i="2"/>
  <c r="Z227" i="2"/>
  <c r="Z336" i="2"/>
  <c r="Z90" i="2"/>
  <c r="Z287" i="2"/>
  <c r="Y550" i="2"/>
  <c r="Z342" i="2"/>
  <c r="Z500" i="2"/>
  <c r="Z41" i="2"/>
  <c r="Z143" i="2"/>
  <c r="Z181" i="2"/>
  <c r="Z506" i="2"/>
  <c r="Z472" i="2"/>
  <c r="Y546" i="2"/>
  <c r="Z97" i="2"/>
  <c r="Z445" i="2"/>
  <c r="Z360" i="2"/>
  <c r="Z62" i="2"/>
  <c r="Z390" i="2"/>
  <c r="Z282" i="2"/>
  <c r="Z428" i="2"/>
  <c r="Z206" i="2"/>
  <c r="Z415" i="2"/>
  <c r="Z377" i="2"/>
  <c r="Z370" i="2"/>
  <c r="Z516" i="2"/>
  <c r="Z163" i="2"/>
  <c r="Z138" i="2"/>
  <c r="Z298" i="2"/>
  <c r="Y548" i="2"/>
  <c r="Z80" i="2"/>
  <c r="Y549" i="2" l="1"/>
  <c r="Z551" i="2"/>
</calcChain>
</file>

<file path=xl/sharedStrings.xml><?xml version="1.0" encoding="utf-8"?>
<sst xmlns="http://schemas.openxmlformats.org/spreadsheetml/2006/main" count="4118" uniqueCount="871">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</sst>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870</v>
      </c>
      <c r="I5" s="631"/>
      <c r="J5" s="631"/>
      <c r="K5" s="631"/>
      <c r="L5" s="631"/>
      <c r="M5" s="631"/>
      <c r="N5" s="72"/>
      <c r="P5" s="27" t="s">
        <v>4</v>
      </c>
      <c r="Q5" s="633">
        <v>46304</v>
      </c>
      <c r="R5" s="633"/>
      <c r="T5" s="634" t="s">
        <v>3</v>
      </c>
      <c r="U5" s="635"/>
      <c r="V5" s="636" t="s">
        <v>851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852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Пятница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8.3333333333333329E-2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97">
        <v>4680115889071</v>
      </c>
      <c r="E22" s="697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04"/>
      <c r="B23" s="704"/>
      <c r="C23" s="704"/>
      <c r="D23" s="704"/>
      <c r="E23" s="704"/>
      <c r="F23" s="704"/>
      <c r="G23" s="704"/>
      <c r="H23" s="704"/>
      <c r="I23" s="704"/>
      <c r="J23" s="704"/>
      <c r="K23" s="704"/>
      <c r="L23" s="704"/>
      <c r="M23" s="704"/>
      <c r="N23" s="704"/>
      <c r="O23" s="705"/>
      <c r="P23" s="701" t="s">
        <v>40</v>
      </c>
      <c r="Q23" s="702"/>
      <c r="R23" s="702"/>
      <c r="S23" s="702"/>
      <c r="T23" s="702"/>
      <c r="U23" s="702"/>
      <c r="V23" s="703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04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5"/>
      <c r="P24" s="701" t="s">
        <v>40</v>
      </c>
      <c r="Q24" s="702"/>
      <c r="R24" s="702"/>
      <c r="S24" s="702"/>
      <c r="T24" s="702"/>
      <c r="U24" s="702"/>
      <c r="V24" s="703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96" t="s">
        <v>83</v>
      </c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96"/>
      <c r="Q25" s="696"/>
      <c r="R25" s="696"/>
      <c r="S25" s="696"/>
      <c r="T25" s="696"/>
      <c r="U25" s="696"/>
      <c r="V25" s="696"/>
      <c r="W25" s="696"/>
      <c r="X25" s="696"/>
      <c r="Y25" s="696"/>
      <c r="Z25" s="696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97">
        <v>4680115885912</v>
      </c>
      <c r="E26" s="697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99"/>
      <c r="R26" s="699"/>
      <c r="S26" s="699"/>
      <c r="T26" s="700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97">
        <v>4607091388237</v>
      </c>
      <c r="E27" s="697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0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4301052063</v>
      </c>
      <c r="D28" s="697">
        <v>4680115887350</v>
      </c>
      <c r="E28" s="697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12</v>
      </c>
      <c r="Y28" s="55">
        <f>IFERROR(IF(X28="",0,CEILING((X28/$H28),1)*$H28),"")</f>
        <v>12.6</v>
      </c>
      <c r="Z28" s="41">
        <f>IFERROR(IF(Y28=0,"",ROUNDUP(Y28/H28,0)*0.00651),"")</f>
        <v>4.5569999999999999E-2</v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21.200000000000003</v>
      </c>
      <c r="BN28" s="78">
        <f>IFERROR(Y28*I28/H28,"0")</f>
        <v>22.259999999999998</v>
      </c>
      <c r="BO28" s="78">
        <f>IFERROR(1/J28*(X28/H28),"0")</f>
        <v>3.6630036630036632E-2</v>
      </c>
      <c r="BP28" s="78">
        <f>IFERROR(1/J28*(Y28/H28),"0")</f>
        <v>3.8461538461538464E-2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97">
        <v>4680115885905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97">
        <v>4680115887619</v>
      </c>
      <c r="E30" s="697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704"/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4"/>
      <c r="N31" s="704"/>
      <c r="O31" s="705"/>
      <c r="P31" s="701" t="s">
        <v>40</v>
      </c>
      <c r="Q31" s="702"/>
      <c r="R31" s="702"/>
      <c r="S31" s="702"/>
      <c r="T31" s="702"/>
      <c r="U31" s="702"/>
      <c r="V31" s="703"/>
      <c r="W31" s="42" t="s">
        <v>39</v>
      </c>
      <c r="X31" s="43">
        <f>IFERROR(X26/H26,"0")+IFERROR(X27/H27,"0")+IFERROR(X28/H28,"0")+IFERROR(X29/H29,"0")+IFERROR(X30/H30,"0")</f>
        <v>6.6666666666666661</v>
      </c>
      <c r="Y31" s="43">
        <f>IFERROR(Y26/H26,"0")+IFERROR(Y27/H27,"0")+IFERROR(Y28/H28,"0")+IFERROR(Y29/H29,"0")+IFERROR(Y30/H30,"0")</f>
        <v>7</v>
      </c>
      <c r="Z31" s="43">
        <f>IFERROR(IF(Z26="",0,Z26),"0")+IFERROR(IF(Z27="",0,Z27),"0")+IFERROR(IF(Z28="",0,Z28),"0")+IFERROR(IF(Z29="",0,Z29),"0")+IFERROR(IF(Z30="",0,Z30),"0")</f>
        <v>4.5569999999999999E-2</v>
      </c>
      <c r="AA31" s="67"/>
      <c r="AB31" s="67"/>
      <c r="AC31" s="67"/>
    </row>
    <row r="32" spans="1:68" x14ac:dyDescent="0.2">
      <c r="A32" s="704"/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4"/>
      <c r="N32" s="704"/>
      <c r="O32" s="705"/>
      <c r="P32" s="701" t="s">
        <v>40</v>
      </c>
      <c r="Q32" s="702"/>
      <c r="R32" s="702"/>
      <c r="S32" s="702"/>
      <c r="T32" s="702"/>
      <c r="U32" s="702"/>
      <c r="V32" s="703"/>
      <c r="W32" s="42" t="s">
        <v>0</v>
      </c>
      <c r="X32" s="43">
        <f>IFERROR(SUM(X26:X30),"0")</f>
        <v>12</v>
      </c>
      <c r="Y32" s="43">
        <f>IFERROR(SUM(Y26:Y30),"0")</f>
        <v>12.6</v>
      </c>
      <c r="Z32" s="42"/>
      <c r="AA32" s="67"/>
      <c r="AB32" s="67"/>
      <c r="AC32" s="67"/>
    </row>
    <row r="33" spans="1:68" ht="27.75" hidden="1" customHeight="1" x14ac:dyDescent="0.2">
      <c r="A33" s="694" t="s">
        <v>45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54"/>
      <c r="AB33" s="54"/>
      <c r="AC33" s="54"/>
    </row>
    <row r="34" spans="1:68" ht="16.5" hidden="1" customHeight="1" x14ac:dyDescent="0.25">
      <c r="A34" s="695" t="s">
        <v>101</v>
      </c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695"/>
      <c r="U34" s="695"/>
      <c r="V34" s="695"/>
      <c r="W34" s="695"/>
      <c r="X34" s="695"/>
      <c r="Y34" s="695"/>
      <c r="Z34" s="695"/>
      <c r="AA34" s="65"/>
      <c r="AB34" s="65"/>
      <c r="AC34" s="79"/>
    </row>
    <row r="35" spans="1:68" ht="14.25" hidden="1" customHeight="1" x14ac:dyDescent="0.25">
      <c r="A35" s="696" t="s">
        <v>83</v>
      </c>
      <c r="B35" s="696"/>
      <c r="C35" s="696"/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96"/>
      <c r="O35" s="696"/>
      <c r="P35" s="696"/>
      <c r="Q35" s="696"/>
      <c r="R35" s="696"/>
      <c r="S35" s="696"/>
      <c r="T35" s="696"/>
      <c r="U35" s="696"/>
      <c r="V35" s="696"/>
      <c r="W35" s="696"/>
      <c r="X35" s="696"/>
      <c r="Y35" s="696"/>
      <c r="Z35" s="696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97">
        <v>4680115889354</v>
      </c>
      <c r="E36" s="697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99"/>
      <c r="R36" s="699"/>
      <c r="S36" s="699"/>
      <c r="T36" s="70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97">
        <v>4680115888463</v>
      </c>
      <c r="E37" s="69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99"/>
      <c r="R37" s="699"/>
      <c r="S37" s="699"/>
      <c r="T37" s="70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97">
        <v>4680115889590</v>
      </c>
      <c r="E38" s="697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7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99"/>
      <c r="R38" s="699"/>
      <c r="S38" s="699"/>
      <c r="T38" s="70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97">
        <v>4680115888272</v>
      </c>
      <c r="E39" s="69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99"/>
      <c r="R39" s="699"/>
      <c r="S39" s="699"/>
      <c r="T39" s="70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97">
        <v>4680115888364</v>
      </c>
      <c r="E40" s="69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99"/>
      <c r="R40" s="699"/>
      <c r="S40" s="699"/>
      <c r="T40" s="70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704"/>
      <c r="B41" s="704"/>
      <c r="C41" s="704"/>
      <c r="D41" s="704"/>
      <c r="E41" s="704"/>
      <c r="F41" s="704"/>
      <c r="G41" s="704"/>
      <c r="H41" s="704"/>
      <c r="I41" s="704"/>
      <c r="J41" s="704"/>
      <c r="K41" s="704"/>
      <c r="L41" s="704"/>
      <c r="M41" s="704"/>
      <c r="N41" s="704"/>
      <c r="O41" s="705"/>
      <c r="P41" s="701" t="s">
        <v>40</v>
      </c>
      <c r="Q41" s="702"/>
      <c r="R41" s="702"/>
      <c r="S41" s="702"/>
      <c r="T41" s="702"/>
      <c r="U41" s="702"/>
      <c r="V41" s="703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704"/>
      <c r="B42" s="704"/>
      <c r="C42" s="704"/>
      <c r="D42" s="704"/>
      <c r="E42" s="704"/>
      <c r="F42" s="704"/>
      <c r="G42" s="704"/>
      <c r="H42" s="704"/>
      <c r="I42" s="704"/>
      <c r="J42" s="704"/>
      <c r="K42" s="704"/>
      <c r="L42" s="704"/>
      <c r="M42" s="704"/>
      <c r="N42" s="704"/>
      <c r="O42" s="705"/>
      <c r="P42" s="701" t="s">
        <v>40</v>
      </c>
      <c r="Q42" s="702"/>
      <c r="R42" s="702"/>
      <c r="S42" s="702"/>
      <c r="T42" s="702"/>
      <c r="U42" s="702"/>
      <c r="V42" s="703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94" t="s">
        <v>117</v>
      </c>
      <c r="B43" s="694"/>
      <c r="C43" s="694"/>
      <c r="D43" s="694"/>
      <c r="E43" s="694"/>
      <c r="F43" s="694"/>
      <c r="G43" s="694"/>
      <c r="H43" s="694"/>
      <c r="I43" s="694"/>
      <c r="J43" s="694"/>
      <c r="K43" s="694"/>
      <c r="L43" s="694"/>
      <c r="M43" s="694"/>
      <c r="N43" s="694"/>
      <c r="O43" s="694"/>
      <c r="P43" s="694"/>
      <c r="Q43" s="694"/>
      <c r="R43" s="694"/>
      <c r="S43" s="694"/>
      <c r="T43" s="694"/>
      <c r="U43" s="694"/>
      <c r="V43" s="694"/>
      <c r="W43" s="694"/>
      <c r="X43" s="694"/>
      <c r="Y43" s="694"/>
      <c r="Z43" s="694"/>
      <c r="AA43" s="54"/>
      <c r="AB43" s="54"/>
      <c r="AC43" s="54"/>
    </row>
    <row r="44" spans="1:68" ht="16.5" hidden="1" customHeight="1" x14ac:dyDescent="0.25">
      <c r="A44" s="695" t="s">
        <v>118</v>
      </c>
      <c r="B44" s="695"/>
      <c r="C44" s="695"/>
      <c r="D44" s="695"/>
      <c r="E44" s="695"/>
      <c r="F44" s="695"/>
      <c r="G44" s="695"/>
      <c r="H44" s="695"/>
      <c r="I44" s="695"/>
      <c r="J44" s="695"/>
      <c r="K44" s="695"/>
      <c r="L44" s="695"/>
      <c r="M44" s="695"/>
      <c r="N44" s="695"/>
      <c r="O44" s="695"/>
      <c r="P44" s="695"/>
      <c r="Q44" s="695"/>
      <c r="R44" s="695"/>
      <c r="S44" s="695"/>
      <c r="T44" s="695"/>
      <c r="U44" s="695"/>
      <c r="V44" s="695"/>
      <c r="W44" s="695"/>
      <c r="X44" s="695"/>
      <c r="Y44" s="695"/>
      <c r="Z44" s="695"/>
      <c r="AA44" s="65"/>
      <c r="AB44" s="65"/>
      <c r="AC44" s="79"/>
    </row>
    <row r="45" spans="1:68" ht="14.25" hidden="1" customHeight="1" x14ac:dyDescent="0.25">
      <c r="A45" s="696" t="s">
        <v>119</v>
      </c>
      <c r="B45" s="696"/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6"/>
      <c r="U45" s="696"/>
      <c r="V45" s="696"/>
      <c r="W45" s="696"/>
      <c r="X45" s="696"/>
      <c r="Y45" s="696"/>
      <c r="Z45" s="696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97">
        <v>4607091385670</v>
      </c>
      <c r="E46" s="697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99"/>
      <c r="R46" s="699"/>
      <c r="S46" s="699"/>
      <c r="T46" s="700"/>
      <c r="U46" s="39" t="s">
        <v>46</v>
      </c>
      <c r="V46" s="39" t="s">
        <v>46</v>
      </c>
      <c r="W46" s="40" t="s">
        <v>0</v>
      </c>
      <c r="X46" s="58">
        <v>200</v>
      </c>
      <c r="Y46" s="55">
        <f>IFERROR(IF(X46="",0,CEILING((X46/$H46),1)*$H46),"")</f>
        <v>205.20000000000002</v>
      </c>
      <c r="Z46" s="41">
        <f>IFERROR(IF(Y46=0,"",ROUNDUP(Y46/H46,0)*0.01898),"")</f>
        <v>0.36062</v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207.59259259259258</v>
      </c>
      <c r="BN46" s="78">
        <f>IFERROR(Y46*I46/H46,"0")</f>
        <v>212.99</v>
      </c>
      <c r="BO46" s="78">
        <f>IFERROR(1/J46*(X46/H46),"0")</f>
        <v>0.28935185185185186</v>
      </c>
      <c r="BP46" s="78">
        <f>IFERROR(1/J46*(Y46/H46),"0")</f>
        <v>0.296875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97">
        <v>4680115887725</v>
      </c>
      <c r="E47" s="697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99"/>
      <c r="R47" s="699"/>
      <c r="S47" s="699"/>
      <c r="T47" s="70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129</v>
      </c>
      <c r="B48" s="63" t="s">
        <v>130</v>
      </c>
      <c r="C48" s="36">
        <v>4301011382</v>
      </c>
      <c r="D48" s="697">
        <v>4607091385687</v>
      </c>
      <c r="E48" s="697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99"/>
      <c r="R48" s="699"/>
      <c r="S48" s="699"/>
      <c r="T48" s="700"/>
      <c r="U48" s="39" t="s">
        <v>46</v>
      </c>
      <c r="V48" s="39" t="s">
        <v>46</v>
      </c>
      <c r="W48" s="40" t="s">
        <v>0</v>
      </c>
      <c r="X48" s="58">
        <v>80</v>
      </c>
      <c r="Y48" s="55">
        <f>IFERROR(IF(X48="",0,CEILING((X48/$H48),1)*$H48),"")</f>
        <v>80</v>
      </c>
      <c r="Z48" s="41">
        <f>IFERROR(IF(Y48=0,"",ROUNDUP(Y48/H48,0)*0.00902),"")</f>
        <v>0.1804</v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83.800000000000011</v>
      </c>
      <c r="BN48" s="78">
        <f>IFERROR(Y48*I48/H48,"0")</f>
        <v>83.800000000000011</v>
      </c>
      <c r="BO48" s="78">
        <f>IFERROR(1/J48*(X48/H48),"0")</f>
        <v>0.15151515151515152</v>
      </c>
      <c r="BP48" s="78">
        <f>IFERROR(1/J48*(Y48/H48),"0")</f>
        <v>0.15151515151515152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97">
        <v>4680115882539</v>
      </c>
      <c r="E49" s="697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99"/>
      <c r="R49" s="699"/>
      <c r="S49" s="699"/>
      <c r="T49" s="70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704"/>
      <c r="B50" s="704"/>
      <c r="C50" s="704"/>
      <c r="D50" s="704"/>
      <c r="E50" s="704"/>
      <c r="F50" s="704"/>
      <c r="G50" s="704"/>
      <c r="H50" s="704"/>
      <c r="I50" s="704"/>
      <c r="J50" s="704"/>
      <c r="K50" s="704"/>
      <c r="L50" s="704"/>
      <c r="M50" s="704"/>
      <c r="N50" s="704"/>
      <c r="O50" s="705"/>
      <c r="P50" s="701" t="s">
        <v>40</v>
      </c>
      <c r="Q50" s="702"/>
      <c r="R50" s="702"/>
      <c r="S50" s="702"/>
      <c r="T50" s="702"/>
      <c r="U50" s="702"/>
      <c r="V50" s="703"/>
      <c r="W50" s="42" t="s">
        <v>39</v>
      </c>
      <c r="X50" s="43">
        <f>IFERROR(X46/H46,"0")+IFERROR(X47/H47,"0")+IFERROR(X48/H48,"0")+IFERROR(X49/H49,"0")</f>
        <v>38.518518518518519</v>
      </c>
      <c r="Y50" s="43">
        <f>IFERROR(Y46/H46,"0")+IFERROR(Y47/H47,"0")+IFERROR(Y48/H48,"0")+IFERROR(Y49/H49,"0")</f>
        <v>39</v>
      </c>
      <c r="Z50" s="43">
        <f>IFERROR(IF(Z46="",0,Z46),"0")+IFERROR(IF(Z47="",0,Z47),"0")+IFERROR(IF(Z48="",0,Z48),"0")+IFERROR(IF(Z49="",0,Z49),"0")</f>
        <v>0.54102000000000006</v>
      </c>
      <c r="AA50" s="67"/>
      <c r="AB50" s="67"/>
      <c r="AC50" s="67"/>
    </row>
    <row r="51" spans="1:68" x14ac:dyDescent="0.2">
      <c r="A51" s="704"/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5"/>
      <c r="P51" s="701" t="s">
        <v>40</v>
      </c>
      <c r="Q51" s="702"/>
      <c r="R51" s="702"/>
      <c r="S51" s="702"/>
      <c r="T51" s="702"/>
      <c r="U51" s="702"/>
      <c r="V51" s="703"/>
      <c r="W51" s="42" t="s">
        <v>0</v>
      </c>
      <c r="X51" s="43">
        <f>IFERROR(SUM(X46:X49),"0")</f>
        <v>280</v>
      </c>
      <c r="Y51" s="43">
        <f>IFERROR(SUM(Y46:Y49),"0")</f>
        <v>285.20000000000005</v>
      </c>
      <c r="Z51" s="42"/>
      <c r="AA51" s="67"/>
      <c r="AB51" s="67"/>
      <c r="AC51" s="67"/>
    </row>
    <row r="52" spans="1:68" ht="16.5" hidden="1" customHeight="1" x14ac:dyDescent="0.25">
      <c r="A52" s="695" t="s">
        <v>134</v>
      </c>
      <c r="B52" s="695"/>
      <c r="C52" s="695"/>
      <c r="D52" s="695"/>
      <c r="E52" s="695"/>
      <c r="F52" s="695"/>
      <c r="G52" s="695"/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5"/>
      <c r="T52" s="695"/>
      <c r="U52" s="695"/>
      <c r="V52" s="695"/>
      <c r="W52" s="695"/>
      <c r="X52" s="695"/>
      <c r="Y52" s="695"/>
      <c r="Z52" s="695"/>
      <c r="AA52" s="65"/>
      <c r="AB52" s="65"/>
      <c r="AC52" s="79"/>
    </row>
    <row r="53" spans="1:68" ht="14.25" hidden="1" customHeight="1" x14ac:dyDescent="0.25">
      <c r="A53" s="696" t="s">
        <v>119</v>
      </c>
      <c r="B53" s="696"/>
      <c r="C53" s="696"/>
      <c r="D53" s="696"/>
      <c r="E53" s="696"/>
      <c r="F53" s="696"/>
      <c r="G53" s="696"/>
      <c r="H53" s="696"/>
      <c r="I53" s="696"/>
      <c r="J53" s="696"/>
      <c r="K53" s="696"/>
      <c r="L53" s="696"/>
      <c r="M53" s="696"/>
      <c r="N53" s="696"/>
      <c r="O53" s="696"/>
      <c r="P53" s="696"/>
      <c r="Q53" s="696"/>
      <c r="R53" s="696"/>
      <c r="S53" s="696"/>
      <c r="T53" s="696"/>
      <c r="U53" s="696"/>
      <c r="V53" s="696"/>
      <c r="W53" s="696"/>
      <c r="X53" s="696"/>
      <c r="Y53" s="696"/>
      <c r="Z53" s="696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97">
        <v>4680115885882</v>
      </c>
      <c r="E54" s="697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7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customHeight="1" x14ac:dyDescent="0.25">
      <c r="A55" s="63" t="s">
        <v>138</v>
      </c>
      <c r="B55" s="63" t="s">
        <v>139</v>
      </c>
      <c r="C55" s="36">
        <v>4301011816</v>
      </c>
      <c r="D55" s="697">
        <v>4680115881426</v>
      </c>
      <c r="E55" s="697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7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99"/>
      <c r="R55" s="699"/>
      <c r="S55" s="699"/>
      <c r="T55" s="700"/>
      <c r="U55" s="39" t="s">
        <v>46</v>
      </c>
      <c r="V55" s="39" t="s">
        <v>46</v>
      </c>
      <c r="W55" s="40" t="s">
        <v>0</v>
      </c>
      <c r="X55" s="58">
        <v>100</v>
      </c>
      <c r="Y55" s="55">
        <f t="shared" si="0"/>
        <v>108</v>
      </c>
      <c r="Z55" s="41">
        <f>IFERROR(IF(Y55=0,"",ROUNDUP(Y55/H55,0)*0.01898),"")</f>
        <v>0.1898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103.79629629629629</v>
      </c>
      <c r="BN55" s="78">
        <f t="shared" si="2"/>
        <v>112.1</v>
      </c>
      <c r="BO55" s="78">
        <f t="shared" si="3"/>
        <v>0.14467592592592593</v>
      </c>
      <c r="BP55" s="78">
        <f t="shared" si="4"/>
        <v>0.15625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97">
        <v>4680115881426</v>
      </c>
      <c r="E56" s="69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72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99"/>
      <c r="R56" s="699"/>
      <c r="S56" s="699"/>
      <c r="T56" s="70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97">
        <v>4680115880283</v>
      </c>
      <c r="E57" s="697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99"/>
      <c r="R57" s="699"/>
      <c r="S57" s="699"/>
      <c r="T57" s="70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97">
        <v>4680115881525</v>
      </c>
      <c r="E58" s="697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99"/>
      <c r="R58" s="699"/>
      <c r="S58" s="699"/>
      <c r="T58" s="70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97">
        <v>4680115881525</v>
      </c>
      <c r="E59" s="69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7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97">
        <v>4680115885899</v>
      </c>
      <c r="E60" s="697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152</v>
      </c>
      <c r="B61" s="63" t="s">
        <v>153</v>
      </c>
      <c r="C61" s="36">
        <v>4301012158</v>
      </c>
      <c r="D61" s="697">
        <v>4680115881419</v>
      </c>
      <c r="E61" s="697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72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230</v>
      </c>
      <c r="Y61" s="55">
        <f t="shared" si="0"/>
        <v>234</v>
      </c>
      <c r="Z61" s="41">
        <f>IFERROR(IF(Y61=0,"",ROUNDUP(Y61/H61,0)*0.00902),"")</f>
        <v>0.46904000000000001</v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239.71111111111111</v>
      </c>
      <c r="BN61" s="78">
        <f t="shared" si="2"/>
        <v>243.88</v>
      </c>
      <c r="BO61" s="78">
        <f t="shared" si="3"/>
        <v>0.38720538720538722</v>
      </c>
      <c r="BP61" s="78">
        <f t="shared" si="4"/>
        <v>0.39393939393939392</v>
      </c>
    </row>
    <row r="62" spans="1:68" x14ac:dyDescent="0.2">
      <c r="A62" s="704"/>
      <c r="B62" s="704"/>
      <c r="C62" s="704"/>
      <c r="D62" s="704"/>
      <c r="E62" s="704"/>
      <c r="F62" s="704"/>
      <c r="G62" s="704"/>
      <c r="H62" s="704"/>
      <c r="I62" s="704"/>
      <c r="J62" s="704"/>
      <c r="K62" s="704"/>
      <c r="L62" s="704"/>
      <c r="M62" s="704"/>
      <c r="N62" s="704"/>
      <c r="O62" s="705"/>
      <c r="P62" s="701" t="s">
        <v>40</v>
      </c>
      <c r="Q62" s="702"/>
      <c r="R62" s="702"/>
      <c r="S62" s="702"/>
      <c r="T62" s="702"/>
      <c r="U62" s="702"/>
      <c r="V62" s="703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60.370370370370374</v>
      </c>
      <c r="Y62" s="43">
        <f>IFERROR(Y54/H54,"0")+IFERROR(Y55/H55,"0")+IFERROR(Y56/H56,"0")+IFERROR(Y57/H57,"0")+IFERROR(Y58/H58,"0")+IFERROR(Y59/H59,"0")+IFERROR(Y60/H60,"0")+IFERROR(Y61/H61,"0")</f>
        <v>62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0.65883999999999998</v>
      </c>
      <c r="AA62" s="67"/>
      <c r="AB62" s="67"/>
      <c r="AC62" s="67"/>
    </row>
    <row r="63" spans="1:68" x14ac:dyDescent="0.2">
      <c r="A63" s="704"/>
      <c r="B63" s="704"/>
      <c r="C63" s="704"/>
      <c r="D63" s="704"/>
      <c r="E63" s="704"/>
      <c r="F63" s="704"/>
      <c r="G63" s="704"/>
      <c r="H63" s="704"/>
      <c r="I63" s="704"/>
      <c r="J63" s="704"/>
      <c r="K63" s="704"/>
      <c r="L63" s="704"/>
      <c r="M63" s="704"/>
      <c r="N63" s="704"/>
      <c r="O63" s="705"/>
      <c r="P63" s="701" t="s">
        <v>40</v>
      </c>
      <c r="Q63" s="702"/>
      <c r="R63" s="702"/>
      <c r="S63" s="702"/>
      <c r="T63" s="702"/>
      <c r="U63" s="702"/>
      <c r="V63" s="703"/>
      <c r="W63" s="42" t="s">
        <v>0</v>
      </c>
      <c r="X63" s="43">
        <f>IFERROR(SUM(X54:X61),"0")</f>
        <v>330</v>
      </c>
      <c r="Y63" s="43">
        <f>IFERROR(SUM(Y54:Y61),"0")</f>
        <v>342</v>
      </c>
      <c r="Z63" s="42"/>
      <c r="AA63" s="67"/>
      <c r="AB63" s="67"/>
      <c r="AC63" s="67"/>
    </row>
    <row r="64" spans="1:68" ht="14.25" hidden="1" customHeight="1" x14ac:dyDescent="0.25">
      <c r="A64" s="696" t="s">
        <v>154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696"/>
      <c r="O64" s="696"/>
      <c r="P64" s="696"/>
      <c r="Q64" s="696"/>
      <c r="R64" s="696"/>
      <c r="S64" s="696"/>
      <c r="T64" s="696"/>
      <c r="U64" s="696"/>
      <c r="V64" s="696"/>
      <c r="W64" s="696"/>
      <c r="X64" s="696"/>
      <c r="Y64" s="696"/>
      <c r="Z64" s="696"/>
      <c r="AA64" s="66"/>
      <c r="AB64" s="66"/>
      <c r="AC64" s="80"/>
    </row>
    <row r="65" spans="1:68" ht="27" customHeight="1" x14ac:dyDescent="0.25">
      <c r="A65" s="63" t="s">
        <v>155</v>
      </c>
      <c r="B65" s="63" t="s">
        <v>156</v>
      </c>
      <c r="C65" s="36">
        <v>4301020390</v>
      </c>
      <c r="D65" s="697">
        <v>4680115881440</v>
      </c>
      <c r="E65" s="697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7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100</v>
      </c>
      <c r="Y65" s="55">
        <f>IFERROR(IF(X65="",0,CEILING((X65/$H65),1)*$H65),"")</f>
        <v>108</v>
      </c>
      <c r="Z65" s="41">
        <f>IFERROR(IF(Y65=0,"",ROUNDUP(Y65/H65,0)*0.01898),"")</f>
        <v>0.1898</v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103.79629629629629</v>
      </c>
      <c r="BN65" s="78">
        <f>IFERROR(Y65*I65/H65,"0")</f>
        <v>112.1</v>
      </c>
      <c r="BO65" s="78">
        <f>IFERROR(1/J65*(X65/H65),"0")</f>
        <v>0.14467592592592593</v>
      </c>
      <c r="BP65" s="78">
        <f>IFERROR(1/J65*(Y65/H65),"0")</f>
        <v>0.15625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97">
        <v>4680115885950</v>
      </c>
      <c r="E66" s="697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97">
        <v>4680115887688</v>
      </c>
      <c r="E67" s="697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99"/>
      <c r="R67" s="699"/>
      <c r="S67" s="699"/>
      <c r="T67" s="70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97">
        <v>4680115881433</v>
      </c>
      <c r="E68" s="697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7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99"/>
      <c r="R68" s="699"/>
      <c r="S68" s="699"/>
      <c r="T68" s="700"/>
      <c r="U68" s="39" t="s">
        <v>46</v>
      </c>
      <c r="V68" s="39" t="s">
        <v>46</v>
      </c>
      <c r="W68" s="40" t="s">
        <v>0</v>
      </c>
      <c r="X68" s="58">
        <v>45</v>
      </c>
      <c r="Y68" s="55">
        <f>IFERROR(IF(X68="",0,CEILING((X68/$H68),1)*$H68),"")</f>
        <v>45.900000000000006</v>
      </c>
      <c r="Z68" s="41">
        <f>IFERROR(IF(Y68=0,"",ROUNDUP(Y68/H68,0)*0.00651),"")</f>
        <v>0.11067</v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47.999999999999993</v>
      </c>
      <c r="BN68" s="78">
        <f>IFERROR(Y68*I68/H68,"0")</f>
        <v>48.96</v>
      </c>
      <c r="BO68" s="78">
        <f>IFERROR(1/J68*(X68/H68),"0")</f>
        <v>9.1575091575091569E-2</v>
      </c>
      <c r="BP68" s="78">
        <f>IFERROR(1/J68*(Y68/H68),"0")</f>
        <v>9.3406593406593408E-2</v>
      </c>
    </row>
    <row r="69" spans="1:68" x14ac:dyDescent="0.2">
      <c r="A69" s="704"/>
      <c r="B69" s="704"/>
      <c r="C69" s="704"/>
      <c r="D69" s="704"/>
      <c r="E69" s="704"/>
      <c r="F69" s="704"/>
      <c r="G69" s="704"/>
      <c r="H69" s="704"/>
      <c r="I69" s="704"/>
      <c r="J69" s="704"/>
      <c r="K69" s="704"/>
      <c r="L69" s="704"/>
      <c r="M69" s="704"/>
      <c r="N69" s="704"/>
      <c r="O69" s="705"/>
      <c r="P69" s="701" t="s">
        <v>40</v>
      </c>
      <c r="Q69" s="702"/>
      <c r="R69" s="702"/>
      <c r="S69" s="702"/>
      <c r="T69" s="702"/>
      <c r="U69" s="702"/>
      <c r="V69" s="703"/>
      <c r="W69" s="42" t="s">
        <v>39</v>
      </c>
      <c r="X69" s="43">
        <f>IFERROR(X65/H65,"0")+IFERROR(X66/H66,"0")+IFERROR(X67/H67,"0")+IFERROR(X68/H68,"0")</f>
        <v>25.925925925925924</v>
      </c>
      <c r="Y69" s="43">
        <f>IFERROR(Y65/H65,"0")+IFERROR(Y66/H66,"0")+IFERROR(Y67/H67,"0")+IFERROR(Y68/H68,"0")</f>
        <v>27</v>
      </c>
      <c r="Z69" s="43">
        <f>IFERROR(IF(Z65="",0,Z65),"0")+IFERROR(IF(Z66="",0,Z66),"0")+IFERROR(IF(Z67="",0,Z67),"0")+IFERROR(IF(Z68="",0,Z68),"0")</f>
        <v>0.30047000000000001</v>
      </c>
      <c r="AA69" s="67"/>
      <c r="AB69" s="67"/>
      <c r="AC69" s="67"/>
    </row>
    <row r="70" spans="1:68" x14ac:dyDescent="0.2">
      <c r="A70" s="704"/>
      <c r="B70" s="704"/>
      <c r="C70" s="704"/>
      <c r="D70" s="704"/>
      <c r="E70" s="704"/>
      <c r="F70" s="704"/>
      <c r="G70" s="704"/>
      <c r="H70" s="704"/>
      <c r="I70" s="704"/>
      <c r="J70" s="704"/>
      <c r="K70" s="704"/>
      <c r="L70" s="704"/>
      <c r="M70" s="704"/>
      <c r="N70" s="704"/>
      <c r="O70" s="705"/>
      <c r="P70" s="701" t="s">
        <v>40</v>
      </c>
      <c r="Q70" s="702"/>
      <c r="R70" s="702"/>
      <c r="S70" s="702"/>
      <c r="T70" s="702"/>
      <c r="U70" s="702"/>
      <c r="V70" s="703"/>
      <c r="W70" s="42" t="s">
        <v>0</v>
      </c>
      <c r="X70" s="43">
        <f>IFERROR(SUM(X65:X68),"0")</f>
        <v>145</v>
      </c>
      <c r="Y70" s="43">
        <f>IFERROR(SUM(Y65:Y68),"0")</f>
        <v>153.9</v>
      </c>
      <c r="Z70" s="42"/>
      <c r="AA70" s="67"/>
      <c r="AB70" s="67"/>
      <c r="AC70" s="67"/>
    </row>
    <row r="71" spans="1:68" ht="14.25" hidden="1" customHeight="1" x14ac:dyDescent="0.25">
      <c r="A71" s="696" t="s">
        <v>83</v>
      </c>
      <c r="B71" s="696"/>
      <c r="C71" s="696"/>
      <c r="D71" s="696"/>
      <c r="E71" s="696"/>
      <c r="F71" s="696"/>
      <c r="G71" s="696"/>
      <c r="H71" s="696"/>
      <c r="I71" s="696"/>
      <c r="J71" s="696"/>
      <c r="K71" s="696"/>
      <c r="L71" s="696"/>
      <c r="M71" s="696"/>
      <c r="N71" s="696"/>
      <c r="O71" s="696"/>
      <c r="P71" s="696"/>
      <c r="Q71" s="696"/>
      <c r="R71" s="696"/>
      <c r="S71" s="696"/>
      <c r="T71" s="696"/>
      <c r="U71" s="696"/>
      <c r="V71" s="696"/>
      <c r="W71" s="696"/>
      <c r="X71" s="696"/>
      <c r="Y71" s="696"/>
      <c r="Z71" s="696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697">
        <v>4680115884311</v>
      </c>
      <c r="E72" s="697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97">
        <v>4680115884403</v>
      </c>
      <c r="E73" s="697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7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04"/>
      <c r="B74" s="704"/>
      <c r="C74" s="704"/>
      <c r="D74" s="704"/>
      <c r="E74" s="704"/>
      <c r="F74" s="704"/>
      <c r="G74" s="704"/>
      <c r="H74" s="704"/>
      <c r="I74" s="704"/>
      <c r="J74" s="704"/>
      <c r="K74" s="704"/>
      <c r="L74" s="704"/>
      <c r="M74" s="704"/>
      <c r="N74" s="704"/>
      <c r="O74" s="705"/>
      <c r="P74" s="701" t="s">
        <v>40</v>
      </c>
      <c r="Q74" s="702"/>
      <c r="R74" s="702"/>
      <c r="S74" s="702"/>
      <c r="T74" s="702"/>
      <c r="U74" s="702"/>
      <c r="V74" s="703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04"/>
      <c r="B75" s="704"/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4"/>
      <c r="N75" s="704"/>
      <c r="O75" s="705"/>
      <c r="P75" s="701" t="s">
        <v>40</v>
      </c>
      <c r="Q75" s="702"/>
      <c r="R75" s="702"/>
      <c r="S75" s="702"/>
      <c r="T75" s="702"/>
      <c r="U75" s="702"/>
      <c r="V75" s="703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96" t="s">
        <v>172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27" customHeight="1" x14ac:dyDescent="0.25">
      <c r="A77" s="63" t="s">
        <v>173</v>
      </c>
      <c r="B77" s="63" t="s">
        <v>174</v>
      </c>
      <c r="C77" s="36">
        <v>4301060455</v>
      </c>
      <c r="D77" s="697">
        <v>4680115881532</v>
      </c>
      <c r="E77" s="697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40</v>
      </c>
      <c r="Y77" s="55">
        <f>IFERROR(IF(X77="",0,CEILING((X77/$H77),1)*$H77),"")</f>
        <v>46.8</v>
      </c>
      <c r="Z77" s="41">
        <f>IFERROR(IF(Y77=0,"",ROUNDUP(Y77/H77,0)*0.01898),"")</f>
        <v>0.11388000000000001</v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42.102564102564109</v>
      </c>
      <c r="BN77" s="78">
        <f>IFERROR(Y77*I77/H77,"0")</f>
        <v>49.260000000000005</v>
      </c>
      <c r="BO77" s="78">
        <f>IFERROR(1/J77*(X77/H77),"0")</f>
        <v>8.0128205128205135E-2</v>
      </c>
      <c r="BP77" s="78">
        <f>IFERROR(1/J77*(Y77/H77),"0")</f>
        <v>9.375E-2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97">
        <v>4680115881532</v>
      </c>
      <c r="E78" s="69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73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97">
        <v>4680115881464</v>
      </c>
      <c r="E79" s="69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73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99"/>
      <c r="R79" s="699"/>
      <c r="S79" s="699"/>
      <c r="T79" s="70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04"/>
      <c r="B80" s="704"/>
      <c r="C80" s="704"/>
      <c r="D80" s="704"/>
      <c r="E80" s="704"/>
      <c r="F80" s="704"/>
      <c r="G80" s="704"/>
      <c r="H80" s="704"/>
      <c r="I80" s="704"/>
      <c r="J80" s="704"/>
      <c r="K80" s="704"/>
      <c r="L80" s="704"/>
      <c r="M80" s="704"/>
      <c r="N80" s="704"/>
      <c r="O80" s="705"/>
      <c r="P80" s="701" t="s">
        <v>40</v>
      </c>
      <c r="Q80" s="702"/>
      <c r="R80" s="702"/>
      <c r="S80" s="702"/>
      <c r="T80" s="702"/>
      <c r="U80" s="702"/>
      <c r="V80" s="703"/>
      <c r="W80" s="42" t="s">
        <v>39</v>
      </c>
      <c r="X80" s="43">
        <f>IFERROR(X77/H77,"0")+IFERROR(X78/H78,"0")+IFERROR(X79/H79,"0")</f>
        <v>5.1282051282051286</v>
      </c>
      <c r="Y80" s="43">
        <f>IFERROR(Y77/H77,"0")+IFERROR(Y78/H78,"0")+IFERROR(Y79/H79,"0")</f>
        <v>6</v>
      </c>
      <c r="Z80" s="43">
        <f>IFERROR(IF(Z77="",0,Z77),"0")+IFERROR(IF(Z78="",0,Z78),"0")+IFERROR(IF(Z79="",0,Z79),"0")</f>
        <v>0.11388000000000001</v>
      </c>
      <c r="AA80" s="67"/>
      <c r="AB80" s="67"/>
      <c r="AC80" s="67"/>
    </row>
    <row r="81" spans="1:68" x14ac:dyDescent="0.2">
      <c r="A81" s="704"/>
      <c r="B81" s="704"/>
      <c r="C81" s="704"/>
      <c r="D81" s="704"/>
      <c r="E81" s="704"/>
      <c r="F81" s="704"/>
      <c r="G81" s="704"/>
      <c r="H81" s="704"/>
      <c r="I81" s="704"/>
      <c r="J81" s="704"/>
      <c r="K81" s="704"/>
      <c r="L81" s="704"/>
      <c r="M81" s="704"/>
      <c r="N81" s="704"/>
      <c r="O81" s="705"/>
      <c r="P81" s="701" t="s">
        <v>40</v>
      </c>
      <c r="Q81" s="702"/>
      <c r="R81" s="702"/>
      <c r="S81" s="702"/>
      <c r="T81" s="702"/>
      <c r="U81" s="702"/>
      <c r="V81" s="703"/>
      <c r="W81" s="42" t="s">
        <v>0</v>
      </c>
      <c r="X81" s="43">
        <f>IFERROR(SUM(X77:X79),"0")</f>
        <v>40</v>
      </c>
      <c r="Y81" s="43">
        <f>IFERROR(SUM(Y77:Y79),"0")</f>
        <v>46.8</v>
      </c>
      <c r="Z81" s="42"/>
      <c r="AA81" s="67"/>
      <c r="AB81" s="67"/>
      <c r="AC81" s="67"/>
    </row>
    <row r="82" spans="1:68" ht="16.5" hidden="1" customHeight="1" x14ac:dyDescent="0.25">
      <c r="A82" s="695" t="s">
        <v>180</v>
      </c>
      <c r="B82" s="695"/>
      <c r="C82" s="695"/>
      <c r="D82" s="695"/>
      <c r="E82" s="695"/>
      <c r="F82" s="695"/>
      <c r="G82" s="695"/>
      <c r="H82" s="695"/>
      <c r="I82" s="695"/>
      <c r="J82" s="695"/>
      <c r="K82" s="695"/>
      <c r="L82" s="695"/>
      <c r="M82" s="695"/>
      <c r="N82" s="695"/>
      <c r="O82" s="695"/>
      <c r="P82" s="695"/>
      <c r="Q82" s="695"/>
      <c r="R82" s="695"/>
      <c r="S82" s="695"/>
      <c r="T82" s="695"/>
      <c r="U82" s="695"/>
      <c r="V82" s="695"/>
      <c r="W82" s="695"/>
      <c r="X82" s="695"/>
      <c r="Y82" s="695"/>
      <c r="Z82" s="695"/>
      <c r="AA82" s="65"/>
      <c r="AB82" s="65"/>
      <c r="AC82" s="79"/>
    </row>
    <row r="83" spans="1:68" ht="14.25" hidden="1" customHeight="1" x14ac:dyDescent="0.25">
      <c r="A83" s="696" t="s">
        <v>119</v>
      </c>
      <c r="B83" s="696"/>
      <c r="C83" s="696"/>
      <c r="D83" s="696"/>
      <c r="E83" s="696"/>
      <c r="F83" s="696"/>
      <c r="G83" s="696"/>
      <c r="H83" s="696"/>
      <c r="I83" s="696"/>
      <c r="J83" s="696"/>
      <c r="K83" s="696"/>
      <c r="L83" s="696"/>
      <c r="M83" s="696"/>
      <c r="N83" s="696"/>
      <c r="O83" s="696"/>
      <c r="P83" s="696"/>
      <c r="Q83" s="696"/>
      <c r="R83" s="696"/>
      <c r="S83" s="696"/>
      <c r="T83" s="696"/>
      <c r="U83" s="696"/>
      <c r="V83" s="696"/>
      <c r="W83" s="696"/>
      <c r="X83" s="696"/>
      <c r="Y83" s="696"/>
      <c r="Z83" s="696"/>
      <c r="AA83" s="66"/>
      <c r="AB83" s="66"/>
      <c r="AC83" s="80"/>
    </row>
    <row r="84" spans="1:68" ht="27" customHeight="1" x14ac:dyDescent="0.25">
      <c r="A84" s="63" t="s">
        <v>181</v>
      </c>
      <c r="B84" s="63" t="s">
        <v>182</v>
      </c>
      <c r="C84" s="36">
        <v>4301011468</v>
      </c>
      <c r="D84" s="697">
        <v>4680115881327</v>
      </c>
      <c r="E84" s="69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7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99"/>
      <c r="R84" s="699"/>
      <c r="S84" s="699"/>
      <c r="T84" s="700"/>
      <c r="U84" s="39" t="s">
        <v>46</v>
      </c>
      <c r="V84" s="39" t="s">
        <v>46</v>
      </c>
      <c r="W84" s="40" t="s">
        <v>0</v>
      </c>
      <c r="X84" s="58">
        <v>100</v>
      </c>
      <c r="Y84" s="55">
        <f t="shared" ref="Y84:Y89" si="5">IFERROR(IF(X84="",0,CEILING((X84/$H84),1)*$H84),"")</f>
        <v>108</v>
      </c>
      <c r="Z84" s="41">
        <f>IFERROR(IF(Y84=0,"",ROUNDUP(Y84/H84,0)*0.01898),"")</f>
        <v>0.1898</v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103.79629629629629</v>
      </c>
      <c r="BN84" s="78">
        <f t="shared" ref="BN84:BN89" si="7">IFERROR(Y84*I84/H84,"0")</f>
        <v>112.1</v>
      </c>
      <c r="BO84" s="78">
        <f t="shared" ref="BO84:BO89" si="8">IFERROR(1/J84*(X84/H84),"0")</f>
        <v>0.14467592592592593</v>
      </c>
      <c r="BP84" s="78">
        <f t="shared" ref="BP84:BP89" si="9">IFERROR(1/J84*(Y84/H84),"0")</f>
        <v>0.15625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97">
        <v>4680115881327</v>
      </c>
      <c r="E85" s="69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73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99"/>
      <c r="R85" s="699"/>
      <c r="S85" s="699"/>
      <c r="T85" s="700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97">
        <v>4680115887732</v>
      </c>
      <c r="E86" s="697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73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99"/>
      <c r="R86" s="699"/>
      <c r="S86" s="699"/>
      <c r="T86" s="700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97">
        <v>4680115881518</v>
      </c>
      <c r="E87" s="69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99"/>
      <c r="R87" s="699"/>
      <c r="S87" s="699"/>
      <c r="T87" s="70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97">
        <v>4680115881518</v>
      </c>
      <c r="E88" s="69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74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4301012250</v>
      </c>
      <c r="D89" s="697">
        <v>4680115881303</v>
      </c>
      <c r="E89" s="69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74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315</v>
      </c>
      <c r="Y89" s="55">
        <f t="shared" si="5"/>
        <v>315</v>
      </c>
      <c r="Z89" s="41">
        <f>IFERROR(IF(Y89=0,"",ROUNDUP(Y89/H89,0)*0.00902),"")</f>
        <v>0.63139999999999996</v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328.3</v>
      </c>
      <c r="BN89" s="78">
        <f t="shared" si="7"/>
        <v>328.3</v>
      </c>
      <c r="BO89" s="78">
        <f t="shared" si="8"/>
        <v>0.53030303030303028</v>
      </c>
      <c r="BP89" s="78">
        <f t="shared" si="9"/>
        <v>0.53030303030303028</v>
      </c>
    </row>
    <row r="90" spans="1:68" x14ac:dyDescent="0.2">
      <c r="A90" s="704"/>
      <c r="B90" s="704"/>
      <c r="C90" s="704"/>
      <c r="D90" s="704"/>
      <c r="E90" s="704"/>
      <c r="F90" s="704"/>
      <c r="G90" s="704"/>
      <c r="H90" s="704"/>
      <c r="I90" s="704"/>
      <c r="J90" s="704"/>
      <c r="K90" s="704"/>
      <c r="L90" s="704"/>
      <c r="M90" s="704"/>
      <c r="N90" s="704"/>
      <c r="O90" s="705"/>
      <c r="P90" s="701" t="s">
        <v>40</v>
      </c>
      <c r="Q90" s="702"/>
      <c r="R90" s="702"/>
      <c r="S90" s="702"/>
      <c r="T90" s="702"/>
      <c r="U90" s="702"/>
      <c r="V90" s="703"/>
      <c r="W90" s="42" t="s">
        <v>39</v>
      </c>
      <c r="X90" s="43">
        <f>IFERROR(X84/H84,"0")+IFERROR(X85/H85,"0")+IFERROR(X86/H86,"0")+IFERROR(X87/H87,"0")+IFERROR(X88/H88,"0")+IFERROR(X89/H89,"0")</f>
        <v>79.259259259259267</v>
      </c>
      <c r="Y90" s="43">
        <f>IFERROR(Y84/H84,"0")+IFERROR(Y85/H85,"0")+IFERROR(Y86/H86,"0")+IFERROR(Y87/H87,"0")+IFERROR(Y88/H88,"0")+IFERROR(Y89/H89,"0")</f>
        <v>80</v>
      </c>
      <c r="Z90" s="43">
        <f>IFERROR(IF(Z84="",0,Z84),"0")+IFERROR(IF(Z85="",0,Z85),"0")+IFERROR(IF(Z86="",0,Z86),"0")+IFERROR(IF(Z87="",0,Z87),"0")+IFERROR(IF(Z88="",0,Z88),"0")+IFERROR(IF(Z89="",0,Z89),"0")</f>
        <v>0.82119999999999993</v>
      </c>
      <c r="AA90" s="67"/>
      <c r="AB90" s="67"/>
      <c r="AC90" s="67"/>
    </row>
    <row r="91" spans="1:68" x14ac:dyDescent="0.2">
      <c r="A91" s="704"/>
      <c r="B91" s="704"/>
      <c r="C91" s="704"/>
      <c r="D91" s="704"/>
      <c r="E91" s="704"/>
      <c r="F91" s="704"/>
      <c r="G91" s="704"/>
      <c r="H91" s="704"/>
      <c r="I91" s="704"/>
      <c r="J91" s="704"/>
      <c r="K91" s="704"/>
      <c r="L91" s="704"/>
      <c r="M91" s="704"/>
      <c r="N91" s="704"/>
      <c r="O91" s="705"/>
      <c r="P91" s="701" t="s">
        <v>40</v>
      </c>
      <c r="Q91" s="702"/>
      <c r="R91" s="702"/>
      <c r="S91" s="702"/>
      <c r="T91" s="702"/>
      <c r="U91" s="702"/>
      <c r="V91" s="703"/>
      <c r="W91" s="42" t="s">
        <v>0</v>
      </c>
      <c r="X91" s="43">
        <f>IFERROR(SUM(X84:X89),"0")</f>
        <v>415</v>
      </c>
      <c r="Y91" s="43">
        <f>IFERROR(SUM(Y84:Y89),"0")</f>
        <v>423</v>
      </c>
      <c r="Z91" s="42"/>
      <c r="AA91" s="67"/>
      <c r="AB91" s="67"/>
      <c r="AC91" s="67"/>
    </row>
    <row r="92" spans="1:68" ht="14.25" hidden="1" customHeight="1" x14ac:dyDescent="0.25">
      <c r="A92" s="696" t="s">
        <v>83</v>
      </c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6"/>
      <c r="P92" s="696"/>
      <c r="Q92" s="696"/>
      <c r="R92" s="696"/>
      <c r="S92" s="696"/>
      <c r="T92" s="696"/>
      <c r="U92" s="696"/>
      <c r="V92" s="696"/>
      <c r="W92" s="696"/>
      <c r="X92" s="696"/>
      <c r="Y92" s="696"/>
      <c r="Z92" s="696"/>
      <c r="AA92" s="66"/>
      <c r="AB92" s="66"/>
      <c r="AC92" s="80"/>
    </row>
    <row r="93" spans="1:68" ht="27" customHeight="1" x14ac:dyDescent="0.25">
      <c r="A93" s="63" t="s">
        <v>193</v>
      </c>
      <c r="B93" s="63" t="s">
        <v>194</v>
      </c>
      <c r="C93" s="36">
        <v>4301052101</v>
      </c>
      <c r="D93" s="697">
        <v>4607091386967</v>
      </c>
      <c r="E93" s="69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74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99"/>
      <c r="R93" s="699"/>
      <c r="S93" s="699"/>
      <c r="T93" s="700"/>
      <c r="U93" s="39" t="s">
        <v>46</v>
      </c>
      <c r="V93" s="39" t="s">
        <v>46</v>
      </c>
      <c r="W93" s="40" t="s">
        <v>0</v>
      </c>
      <c r="X93" s="58">
        <v>200</v>
      </c>
      <c r="Y93" s="55">
        <f>IFERROR(IF(X93="",0,CEILING((X93/$H93),1)*$H93),"")</f>
        <v>202.5</v>
      </c>
      <c r="Z93" s="41">
        <f>IFERROR(IF(Y93=0,"",ROUNDUP(Y93/H93,0)*0.01898),"")</f>
        <v>0.47450000000000003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212.19753086419755</v>
      </c>
      <c r="BN93" s="78">
        <f>IFERROR(Y93*I93/H93,"0")</f>
        <v>214.85</v>
      </c>
      <c r="BO93" s="78">
        <f>IFERROR(1/J93*(X93/H93),"0")</f>
        <v>0.38580246913580246</v>
      </c>
      <c r="BP93" s="78">
        <f>IFERROR(1/J93*(Y93/H93),"0")</f>
        <v>0.390625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97">
        <v>4680115884953</v>
      </c>
      <c r="E94" s="69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74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99"/>
      <c r="R94" s="699"/>
      <c r="S94" s="699"/>
      <c r="T94" s="70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199</v>
      </c>
      <c r="B95" s="63" t="s">
        <v>200</v>
      </c>
      <c r="C95" s="36">
        <v>4301052094</v>
      </c>
      <c r="D95" s="697">
        <v>4607091385731</v>
      </c>
      <c r="E95" s="69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225</v>
      </c>
      <c r="Y95" s="55">
        <f>IFERROR(IF(X95="",0,CEILING((X95/$H95),1)*$H95),"")</f>
        <v>226.8</v>
      </c>
      <c r="Z95" s="41">
        <f>IFERROR(IF(Y95=0,"",ROUNDUP(Y95/H95,0)*0.00651),"")</f>
        <v>0.54683999999999999</v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246</v>
      </c>
      <c r="BN95" s="78">
        <f>IFERROR(Y95*I95/H95,"0")</f>
        <v>247.96799999999999</v>
      </c>
      <c r="BO95" s="78">
        <f>IFERROR(1/J95*(X95/H95),"0")</f>
        <v>0.45787545787545786</v>
      </c>
      <c r="BP95" s="78">
        <f>IFERROR(1/J95*(Y95/H95),"0")</f>
        <v>0.46153846153846156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97">
        <v>4680115880894</v>
      </c>
      <c r="E96" s="69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704"/>
      <c r="B97" s="704"/>
      <c r="C97" s="704"/>
      <c r="D97" s="704"/>
      <c r="E97" s="704"/>
      <c r="F97" s="704"/>
      <c r="G97" s="704"/>
      <c r="H97" s="704"/>
      <c r="I97" s="704"/>
      <c r="J97" s="704"/>
      <c r="K97" s="704"/>
      <c r="L97" s="704"/>
      <c r="M97" s="704"/>
      <c r="N97" s="704"/>
      <c r="O97" s="705"/>
      <c r="P97" s="701" t="s">
        <v>40</v>
      </c>
      <c r="Q97" s="702"/>
      <c r="R97" s="702"/>
      <c r="S97" s="702"/>
      <c r="T97" s="702"/>
      <c r="U97" s="702"/>
      <c r="V97" s="703"/>
      <c r="W97" s="42" t="s">
        <v>39</v>
      </c>
      <c r="X97" s="43">
        <f>IFERROR(X93/H93,"0")+IFERROR(X94/H94,"0")+IFERROR(X95/H95,"0")+IFERROR(X96/H96,"0")</f>
        <v>108.02469135802468</v>
      </c>
      <c r="Y97" s="43">
        <f>IFERROR(Y93/H93,"0")+IFERROR(Y94/H94,"0")+IFERROR(Y95/H95,"0")+IFERROR(Y96/H96,"0")</f>
        <v>109</v>
      </c>
      <c r="Z97" s="43">
        <f>IFERROR(IF(Z93="",0,Z93),"0")+IFERROR(IF(Z94="",0,Z94),"0")+IFERROR(IF(Z95="",0,Z95),"0")+IFERROR(IF(Z96="",0,Z96),"0")</f>
        <v>1.0213399999999999</v>
      </c>
      <c r="AA97" s="67"/>
      <c r="AB97" s="67"/>
      <c r="AC97" s="67"/>
    </row>
    <row r="98" spans="1:68" x14ac:dyDescent="0.2">
      <c r="A98" s="704"/>
      <c r="B98" s="704"/>
      <c r="C98" s="704"/>
      <c r="D98" s="704"/>
      <c r="E98" s="704"/>
      <c r="F98" s="704"/>
      <c r="G98" s="704"/>
      <c r="H98" s="704"/>
      <c r="I98" s="704"/>
      <c r="J98" s="704"/>
      <c r="K98" s="704"/>
      <c r="L98" s="704"/>
      <c r="M98" s="704"/>
      <c r="N98" s="704"/>
      <c r="O98" s="705"/>
      <c r="P98" s="701" t="s">
        <v>40</v>
      </c>
      <c r="Q98" s="702"/>
      <c r="R98" s="702"/>
      <c r="S98" s="702"/>
      <c r="T98" s="702"/>
      <c r="U98" s="702"/>
      <c r="V98" s="703"/>
      <c r="W98" s="42" t="s">
        <v>0</v>
      </c>
      <c r="X98" s="43">
        <f>IFERROR(SUM(X93:X96),"0")</f>
        <v>425</v>
      </c>
      <c r="Y98" s="43">
        <f>IFERROR(SUM(Y93:Y96),"0")</f>
        <v>429.3</v>
      </c>
      <c r="Z98" s="42"/>
      <c r="AA98" s="67"/>
      <c r="AB98" s="67"/>
      <c r="AC98" s="67"/>
    </row>
    <row r="99" spans="1:68" ht="16.5" hidden="1" customHeight="1" x14ac:dyDescent="0.25">
      <c r="A99" s="695" t="s">
        <v>204</v>
      </c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5"/>
      <c r="P99" s="695"/>
      <c r="Q99" s="695"/>
      <c r="R99" s="695"/>
      <c r="S99" s="695"/>
      <c r="T99" s="695"/>
      <c r="U99" s="695"/>
      <c r="V99" s="695"/>
      <c r="W99" s="695"/>
      <c r="X99" s="695"/>
      <c r="Y99" s="695"/>
      <c r="Z99" s="695"/>
      <c r="AA99" s="65"/>
      <c r="AB99" s="65"/>
      <c r="AC99" s="79"/>
    </row>
    <row r="100" spans="1:68" ht="14.25" hidden="1" customHeight="1" x14ac:dyDescent="0.25">
      <c r="A100" s="696" t="s">
        <v>119</v>
      </c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6"/>
      <c r="P100" s="696"/>
      <c r="Q100" s="696"/>
      <c r="R100" s="696"/>
      <c r="S100" s="696"/>
      <c r="T100" s="696"/>
      <c r="U100" s="696"/>
      <c r="V100" s="696"/>
      <c r="W100" s="696"/>
      <c r="X100" s="696"/>
      <c r="Y100" s="696"/>
      <c r="Z100" s="696"/>
      <c r="AA100" s="66"/>
      <c r="AB100" s="66"/>
      <c r="AC100" s="80"/>
    </row>
    <row r="101" spans="1:68" ht="37.5" customHeight="1" x14ac:dyDescent="0.25">
      <c r="A101" s="63" t="s">
        <v>205</v>
      </c>
      <c r="B101" s="63" t="s">
        <v>206</v>
      </c>
      <c r="C101" s="36">
        <v>4301011514</v>
      </c>
      <c r="D101" s="697">
        <v>4680115882133</v>
      </c>
      <c r="E101" s="69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99"/>
      <c r="R101" s="699"/>
      <c r="S101" s="699"/>
      <c r="T101" s="700"/>
      <c r="U101" s="39" t="s">
        <v>46</v>
      </c>
      <c r="V101" s="39" t="s">
        <v>46</v>
      </c>
      <c r="W101" s="40" t="s">
        <v>0</v>
      </c>
      <c r="X101" s="58">
        <v>50</v>
      </c>
      <c r="Y101" s="55">
        <f t="shared" ref="Y101:Y107" si="10">IFERROR(IF(X101="",0,CEILING((X101/$H101),1)*$H101),"")</f>
        <v>54</v>
      </c>
      <c r="Z101" s="41">
        <f>IFERROR(IF(Y101=0,"",ROUNDUP(Y101/H101,0)*0.01898),"")</f>
        <v>9.4899999999999998E-2</v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51.898148148148145</v>
      </c>
      <c r="BN101" s="78">
        <f t="shared" ref="BN101:BN107" si="12">IFERROR(Y101*I101/H101,"0")</f>
        <v>56.05</v>
      </c>
      <c r="BO101" s="78">
        <f t="shared" ref="BO101:BO107" si="13">IFERROR(1/J101*(X101/H101),"0")</f>
        <v>7.2337962962962965E-2</v>
      </c>
      <c r="BP101" s="78">
        <f t="shared" ref="BP101:BP107" si="14">IFERROR(1/J101*(Y101/H101),"0")</f>
        <v>7.8125E-2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97">
        <v>4680115882133</v>
      </c>
      <c r="E102" s="69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74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99"/>
      <c r="R102" s="699"/>
      <c r="S102" s="699"/>
      <c r="T102" s="70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97">
        <v>4680115887718</v>
      </c>
      <c r="E103" s="697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74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97">
        <v>4680115880269</v>
      </c>
      <c r="E104" s="697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75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215</v>
      </c>
      <c r="B105" s="63" t="s">
        <v>216</v>
      </c>
      <c r="C105" s="36">
        <v>4301012254</v>
      </c>
      <c r="D105" s="697">
        <v>4680115880429</v>
      </c>
      <c r="E105" s="697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75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360</v>
      </c>
      <c r="Y105" s="55">
        <f t="shared" si="10"/>
        <v>360</v>
      </c>
      <c r="Z105" s="41">
        <f>IFERROR(IF(Y105=0,"",ROUNDUP(Y105/H105,0)*0.00902),"")</f>
        <v>0.72160000000000002</v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375.20000000000005</v>
      </c>
      <c r="BN105" s="78">
        <f t="shared" si="12"/>
        <v>375.20000000000005</v>
      </c>
      <c r="BO105" s="78">
        <f t="shared" si="13"/>
        <v>0.60606060606060608</v>
      </c>
      <c r="BP105" s="78">
        <f t="shared" si="14"/>
        <v>0.60606060606060608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97">
        <v>4680115881457</v>
      </c>
      <c r="E106" s="697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75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97">
        <v>4680115889477</v>
      </c>
      <c r="E107" s="697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75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04"/>
      <c r="B108" s="704"/>
      <c r="C108" s="704"/>
      <c r="D108" s="704"/>
      <c r="E108" s="704"/>
      <c r="F108" s="704"/>
      <c r="G108" s="704"/>
      <c r="H108" s="704"/>
      <c r="I108" s="704"/>
      <c r="J108" s="704"/>
      <c r="K108" s="704"/>
      <c r="L108" s="704"/>
      <c r="M108" s="704"/>
      <c r="N108" s="704"/>
      <c r="O108" s="705"/>
      <c r="P108" s="701" t="s">
        <v>40</v>
      </c>
      <c r="Q108" s="702"/>
      <c r="R108" s="702"/>
      <c r="S108" s="702"/>
      <c r="T108" s="702"/>
      <c r="U108" s="702"/>
      <c r="V108" s="703"/>
      <c r="W108" s="42" t="s">
        <v>39</v>
      </c>
      <c r="X108" s="43">
        <f>IFERROR(X101/H101,"0")+IFERROR(X102/H102,"0")+IFERROR(X103/H103,"0")+IFERROR(X104/H104,"0")+IFERROR(X105/H105,"0")+IFERROR(X106/H106,"0")+IFERROR(X107/H107,"0")</f>
        <v>84.629629629629633</v>
      </c>
      <c r="Y108" s="43">
        <f>IFERROR(Y101/H101,"0")+IFERROR(Y102/H102,"0")+IFERROR(Y103/H103,"0")+IFERROR(Y104/H104,"0")+IFERROR(Y105/H105,"0")+IFERROR(Y106/H106,"0")+IFERROR(Y107/H107,"0")</f>
        <v>85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0.8165</v>
      </c>
      <c r="AA108" s="67"/>
      <c r="AB108" s="67"/>
      <c r="AC108" s="67"/>
    </row>
    <row r="109" spans="1:68" x14ac:dyDescent="0.2">
      <c r="A109" s="704"/>
      <c r="B109" s="704"/>
      <c r="C109" s="704"/>
      <c r="D109" s="704"/>
      <c r="E109" s="704"/>
      <c r="F109" s="704"/>
      <c r="G109" s="704"/>
      <c r="H109" s="704"/>
      <c r="I109" s="704"/>
      <c r="J109" s="704"/>
      <c r="K109" s="704"/>
      <c r="L109" s="704"/>
      <c r="M109" s="704"/>
      <c r="N109" s="704"/>
      <c r="O109" s="705"/>
      <c r="P109" s="701" t="s">
        <v>40</v>
      </c>
      <c r="Q109" s="702"/>
      <c r="R109" s="702"/>
      <c r="S109" s="702"/>
      <c r="T109" s="702"/>
      <c r="U109" s="702"/>
      <c r="V109" s="703"/>
      <c r="W109" s="42" t="s">
        <v>0</v>
      </c>
      <c r="X109" s="43">
        <f>IFERROR(SUM(X101:X107),"0")</f>
        <v>410</v>
      </c>
      <c r="Y109" s="43">
        <f>IFERROR(SUM(Y101:Y107),"0")</f>
        <v>414</v>
      </c>
      <c r="Z109" s="42"/>
      <c r="AA109" s="67"/>
      <c r="AB109" s="67"/>
      <c r="AC109" s="67"/>
    </row>
    <row r="110" spans="1:68" ht="14.25" hidden="1" customHeight="1" x14ac:dyDescent="0.25">
      <c r="A110" s="696" t="s">
        <v>154</v>
      </c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6"/>
      <c r="P110" s="696"/>
      <c r="Q110" s="696"/>
      <c r="R110" s="696"/>
      <c r="S110" s="696"/>
      <c r="T110" s="696"/>
      <c r="U110" s="696"/>
      <c r="V110" s="696"/>
      <c r="W110" s="696"/>
      <c r="X110" s="696"/>
      <c r="Y110" s="696"/>
      <c r="Z110" s="696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97">
        <v>4680115881488</v>
      </c>
      <c r="E111" s="697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75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99"/>
      <c r="R111" s="699"/>
      <c r="S111" s="699"/>
      <c r="T111" s="70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97">
        <v>4680115887664</v>
      </c>
      <c r="E112" s="697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75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99"/>
      <c r="R112" s="699"/>
      <c r="S112" s="699"/>
      <c r="T112" s="700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97">
        <v>4680115887664</v>
      </c>
      <c r="E113" s="697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97">
        <v>4680115882775</v>
      </c>
      <c r="E114" s="697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7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4301020392</v>
      </c>
      <c r="D115" s="697">
        <v>4680115880658</v>
      </c>
      <c r="E115" s="697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7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04"/>
      <c r="B116" s="704"/>
      <c r="C116" s="704"/>
      <c r="D116" s="704"/>
      <c r="E116" s="704"/>
      <c r="F116" s="704"/>
      <c r="G116" s="704"/>
      <c r="H116" s="704"/>
      <c r="I116" s="704"/>
      <c r="J116" s="704"/>
      <c r="K116" s="704"/>
      <c r="L116" s="704"/>
      <c r="M116" s="704"/>
      <c r="N116" s="704"/>
      <c r="O116" s="705"/>
      <c r="P116" s="701" t="s">
        <v>40</v>
      </c>
      <c r="Q116" s="702"/>
      <c r="R116" s="702"/>
      <c r="S116" s="702"/>
      <c r="T116" s="702"/>
      <c r="U116" s="702"/>
      <c r="V116" s="703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04"/>
      <c r="B117" s="704"/>
      <c r="C117" s="704"/>
      <c r="D117" s="704"/>
      <c r="E117" s="704"/>
      <c r="F117" s="704"/>
      <c r="G117" s="704"/>
      <c r="H117" s="704"/>
      <c r="I117" s="704"/>
      <c r="J117" s="704"/>
      <c r="K117" s="704"/>
      <c r="L117" s="704"/>
      <c r="M117" s="704"/>
      <c r="N117" s="704"/>
      <c r="O117" s="705"/>
      <c r="P117" s="701" t="s">
        <v>40</v>
      </c>
      <c r="Q117" s="702"/>
      <c r="R117" s="702"/>
      <c r="S117" s="702"/>
      <c r="T117" s="702"/>
      <c r="U117" s="702"/>
      <c r="V117" s="703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96" t="s">
        <v>83</v>
      </c>
      <c r="B118" s="696"/>
      <c r="C118" s="696"/>
      <c r="D118" s="696"/>
      <c r="E118" s="696"/>
      <c r="F118" s="696"/>
      <c r="G118" s="696"/>
      <c r="H118" s="696"/>
      <c r="I118" s="696"/>
      <c r="J118" s="696"/>
      <c r="K118" s="696"/>
      <c r="L118" s="696"/>
      <c r="M118" s="696"/>
      <c r="N118" s="696"/>
      <c r="O118" s="696"/>
      <c r="P118" s="696"/>
      <c r="Q118" s="696"/>
      <c r="R118" s="696"/>
      <c r="S118" s="696"/>
      <c r="T118" s="696"/>
      <c r="U118" s="696"/>
      <c r="V118" s="696"/>
      <c r="W118" s="696"/>
      <c r="X118" s="696"/>
      <c r="Y118" s="696"/>
      <c r="Z118" s="696"/>
      <c r="AA118" s="66"/>
      <c r="AB118" s="66"/>
      <c r="AC118" s="80"/>
    </row>
    <row r="119" spans="1:68" ht="27" customHeight="1" x14ac:dyDescent="0.25">
      <c r="A119" s="63" t="s">
        <v>235</v>
      </c>
      <c r="B119" s="63" t="s">
        <v>236</v>
      </c>
      <c r="C119" s="36">
        <v>4301052088</v>
      </c>
      <c r="D119" s="697">
        <v>4607091385168</v>
      </c>
      <c r="E119" s="697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75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99"/>
      <c r="R119" s="699"/>
      <c r="S119" s="699"/>
      <c r="T119" s="700"/>
      <c r="U119" s="39" t="s">
        <v>46</v>
      </c>
      <c r="V119" s="39" t="s">
        <v>46</v>
      </c>
      <c r="W119" s="40" t="s">
        <v>0</v>
      </c>
      <c r="X119" s="58">
        <v>320</v>
      </c>
      <c r="Y119" s="55">
        <f>IFERROR(IF(X119="",0,CEILING((X119/$H119),1)*$H119),"")</f>
        <v>324</v>
      </c>
      <c r="Z119" s="41">
        <f>IFERROR(IF(Y119=0,"",ROUNDUP(Y119/H119,0)*0.01898),"")</f>
        <v>0.75919999999999999</v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339.27901234567901</v>
      </c>
      <c r="BN119" s="78">
        <f>IFERROR(Y119*I119/H119,"0")</f>
        <v>343.52</v>
      </c>
      <c r="BO119" s="78">
        <f>IFERROR(1/J119*(X119/H119),"0")</f>
        <v>0.61728395061728403</v>
      </c>
      <c r="BP119" s="78">
        <f>IFERROR(1/J119*(Y119/H119),"0")</f>
        <v>0.625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97">
        <v>4607091383256</v>
      </c>
      <c r="E120" s="697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76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240</v>
      </c>
      <c r="B121" s="63" t="s">
        <v>241</v>
      </c>
      <c r="C121" s="36">
        <v>4301052086</v>
      </c>
      <c r="D121" s="697">
        <v>4607091385748</v>
      </c>
      <c r="E121" s="697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76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450</v>
      </c>
      <c r="Y121" s="55">
        <f>IFERROR(IF(X121="",0,CEILING((X121/$H121),1)*$H121),"")</f>
        <v>450.90000000000003</v>
      </c>
      <c r="Z121" s="41">
        <f>IFERROR(IF(Y121=0,"",ROUNDUP(Y121/H121,0)*0.00651),"")</f>
        <v>1.08717</v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492</v>
      </c>
      <c r="BN121" s="78">
        <f>IFERROR(Y121*I121/H121,"0")</f>
        <v>492.98399999999998</v>
      </c>
      <c r="BO121" s="78">
        <f>IFERROR(1/J121*(X121/H121),"0")</f>
        <v>0.91575091575091572</v>
      </c>
      <c r="BP121" s="78">
        <f>IFERROR(1/J121*(Y121/H121),"0")</f>
        <v>0.91758241758241765</v>
      </c>
    </row>
    <row r="122" spans="1:68" ht="16.5" hidden="1" customHeight="1" x14ac:dyDescent="0.25">
      <c r="A122" s="63" t="s">
        <v>242</v>
      </c>
      <c r="B122" s="63" t="s">
        <v>243</v>
      </c>
      <c r="C122" s="36">
        <v>4301052085</v>
      </c>
      <c r="D122" s="697">
        <v>4680115884533</v>
      </c>
      <c r="E122" s="697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76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704"/>
      <c r="B123" s="704"/>
      <c r="C123" s="704"/>
      <c r="D123" s="704"/>
      <c r="E123" s="704"/>
      <c r="F123" s="704"/>
      <c r="G123" s="704"/>
      <c r="H123" s="704"/>
      <c r="I123" s="704"/>
      <c r="J123" s="704"/>
      <c r="K123" s="704"/>
      <c r="L123" s="704"/>
      <c r="M123" s="704"/>
      <c r="N123" s="704"/>
      <c r="O123" s="705"/>
      <c r="P123" s="701" t="s">
        <v>40</v>
      </c>
      <c r="Q123" s="702"/>
      <c r="R123" s="702"/>
      <c r="S123" s="702"/>
      <c r="T123" s="702"/>
      <c r="U123" s="702"/>
      <c r="V123" s="703"/>
      <c r="W123" s="42" t="s">
        <v>39</v>
      </c>
      <c r="X123" s="43">
        <f>IFERROR(X119/H119,"0")+IFERROR(X120/H120,"0")+IFERROR(X121/H121,"0")+IFERROR(X122/H122,"0")</f>
        <v>206.17283950617283</v>
      </c>
      <c r="Y123" s="43">
        <f>IFERROR(Y119/H119,"0")+IFERROR(Y120/H120,"0")+IFERROR(Y121/H121,"0")+IFERROR(Y122/H122,"0")</f>
        <v>207</v>
      </c>
      <c r="Z123" s="43">
        <f>IFERROR(IF(Z119="",0,Z119),"0")+IFERROR(IF(Z120="",0,Z120),"0")+IFERROR(IF(Z121="",0,Z121),"0")+IFERROR(IF(Z122="",0,Z122),"0")</f>
        <v>1.8463699999999998</v>
      </c>
      <c r="AA123" s="67"/>
      <c r="AB123" s="67"/>
      <c r="AC123" s="67"/>
    </row>
    <row r="124" spans="1:68" x14ac:dyDescent="0.2">
      <c r="A124" s="704"/>
      <c r="B124" s="704"/>
      <c r="C124" s="704"/>
      <c r="D124" s="704"/>
      <c r="E124" s="704"/>
      <c r="F124" s="704"/>
      <c r="G124" s="704"/>
      <c r="H124" s="704"/>
      <c r="I124" s="704"/>
      <c r="J124" s="704"/>
      <c r="K124" s="704"/>
      <c r="L124" s="704"/>
      <c r="M124" s="704"/>
      <c r="N124" s="704"/>
      <c r="O124" s="705"/>
      <c r="P124" s="701" t="s">
        <v>40</v>
      </c>
      <c r="Q124" s="702"/>
      <c r="R124" s="702"/>
      <c r="S124" s="702"/>
      <c r="T124" s="702"/>
      <c r="U124" s="702"/>
      <c r="V124" s="703"/>
      <c r="W124" s="42" t="s">
        <v>0</v>
      </c>
      <c r="X124" s="43">
        <f>IFERROR(SUM(X119:X122),"0")</f>
        <v>770</v>
      </c>
      <c r="Y124" s="43">
        <f>IFERROR(SUM(Y119:Y122),"0")</f>
        <v>774.90000000000009</v>
      </c>
      <c r="Z124" s="42"/>
      <c r="AA124" s="67"/>
      <c r="AB124" s="67"/>
      <c r="AC124" s="67"/>
    </row>
    <row r="125" spans="1:68" ht="14.25" hidden="1" customHeight="1" x14ac:dyDescent="0.25">
      <c r="A125" s="696" t="s">
        <v>172</v>
      </c>
      <c r="B125" s="696"/>
      <c r="C125" s="696"/>
      <c r="D125" s="696"/>
      <c r="E125" s="696"/>
      <c r="F125" s="696"/>
      <c r="G125" s="696"/>
      <c r="H125" s="696"/>
      <c r="I125" s="696"/>
      <c r="J125" s="696"/>
      <c r="K125" s="696"/>
      <c r="L125" s="696"/>
      <c r="M125" s="696"/>
      <c r="N125" s="696"/>
      <c r="O125" s="696"/>
      <c r="P125" s="696"/>
      <c r="Q125" s="696"/>
      <c r="R125" s="696"/>
      <c r="S125" s="696"/>
      <c r="T125" s="696"/>
      <c r="U125" s="696"/>
      <c r="V125" s="696"/>
      <c r="W125" s="696"/>
      <c r="X125" s="696"/>
      <c r="Y125" s="696"/>
      <c r="Z125" s="696"/>
      <c r="AA125" s="66"/>
      <c r="AB125" s="66"/>
      <c r="AC125" s="80"/>
    </row>
    <row r="126" spans="1:68" ht="16.5" hidden="1" customHeight="1" x14ac:dyDescent="0.25">
      <c r="A126" s="63" t="s">
        <v>245</v>
      </c>
      <c r="B126" s="63" t="s">
        <v>246</v>
      </c>
      <c r="C126" s="36">
        <v>4301060525</v>
      </c>
      <c r="D126" s="697">
        <v>4680115880238</v>
      </c>
      <c r="E126" s="697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7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99"/>
      <c r="R126" s="699"/>
      <c r="S126" s="699"/>
      <c r="T126" s="700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04"/>
      <c r="B127" s="704"/>
      <c r="C127" s="704"/>
      <c r="D127" s="704"/>
      <c r="E127" s="704"/>
      <c r="F127" s="704"/>
      <c r="G127" s="704"/>
      <c r="H127" s="704"/>
      <c r="I127" s="704"/>
      <c r="J127" s="704"/>
      <c r="K127" s="704"/>
      <c r="L127" s="704"/>
      <c r="M127" s="704"/>
      <c r="N127" s="704"/>
      <c r="O127" s="705"/>
      <c r="P127" s="701" t="s">
        <v>40</v>
      </c>
      <c r="Q127" s="702"/>
      <c r="R127" s="702"/>
      <c r="S127" s="702"/>
      <c r="T127" s="702"/>
      <c r="U127" s="702"/>
      <c r="V127" s="703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704"/>
      <c r="B128" s="704"/>
      <c r="C128" s="704"/>
      <c r="D128" s="704"/>
      <c r="E128" s="704"/>
      <c r="F128" s="704"/>
      <c r="G128" s="704"/>
      <c r="H128" s="704"/>
      <c r="I128" s="704"/>
      <c r="J128" s="704"/>
      <c r="K128" s="704"/>
      <c r="L128" s="704"/>
      <c r="M128" s="704"/>
      <c r="N128" s="704"/>
      <c r="O128" s="705"/>
      <c r="P128" s="701" t="s">
        <v>40</v>
      </c>
      <c r="Q128" s="702"/>
      <c r="R128" s="702"/>
      <c r="S128" s="702"/>
      <c r="T128" s="702"/>
      <c r="U128" s="702"/>
      <c r="V128" s="703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95" t="s">
        <v>248</v>
      </c>
      <c r="B129" s="695"/>
      <c r="C129" s="695"/>
      <c r="D129" s="695"/>
      <c r="E129" s="695"/>
      <c r="F129" s="695"/>
      <c r="G129" s="695"/>
      <c r="H129" s="695"/>
      <c r="I129" s="695"/>
      <c r="J129" s="695"/>
      <c r="K129" s="695"/>
      <c r="L129" s="695"/>
      <c r="M129" s="695"/>
      <c r="N129" s="695"/>
      <c r="O129" s="695"/>
      <c r="P129" s="695"/>
      <c r="Q129" s="695"/>
      <c r="R129" s="695"/>
      <c r="S129" s="695"/>
      <c r="T129" s="695"/>
      <c r="U129" s="695"/>
      <c r="V129" s="695"/>
      <c r="W129" s="695"/>
      <c r="X129" s="695"/>
      <c r="Y129" s="695"/>
      <c r="Z129" s="695"/>
      <c r="AA129" s="65"/>
      <c r="AB129" s="65"/>
      <c r="AC129" s="79"/>
    </row>
    <row r="130" spans="1:68" ht="14.25" hidden="1" customHeight="1" x14ac:dyDescent="0.25">
      <c r="A130" s="696" t="s">
        <v>119</v>
      </c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6"/>
      <c r="P130" s="696"/>
      <c r="Q130" s="696"/>
      <c r="R130" s="696"/>
      <c r="S130" s="696"/>
      <c r="T130" s="696"/>
      <c r="U130" s="696"/>
      <c r="V130" s="696"/>
      <c r="W130" s="696"/>
      <c r="X130" s="696"/>
      <c r="Y130" s="696"/>
      <c r="Z130" s="696"/>
      <c r="AA130" s="66"/>
      <c r="AB130" s="66"/>
      <c r="AC130" s="80"/>
    </row>
    <row r="131" spans="1:68" ht="27" hidden="1" customHeight="1" x14ac:dyDescent="0.25">
      <c r="A131" s="63" t="s">
        <v>249</v>
      </c>
      <c r="B131" s="63" t="s">
        <v>250</v>
      </c>
      <c r="C131" s="36">
        <v>4301011562</v>
      </c>
      <c r="D131" s="697">
        <v>4680115882577</v>
      </c>
      <c r="E131" s="69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7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99"/>
      <c r="R131" s="699"/>
      <c r="S131" s="699"/>
      <c r="T131" s="70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249</v>
      </c>
      <c r="B132" s="63" t="s">
        <v>253</v>
      </c>
      <c r="C132" s="36">
        <v>4301011564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7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60</v>
      </c>
      <c r="Y132" s="55">
        <f>IFERROR(IF(X132="",0,CEILING((X132/$H132),1)*$H132),"")</f>
        <v>60.800000000000004</v>
      </c>
      <c r="Z132" s="41">
        <f>IFERROR(IF(Y132=0,"",ROUNDUP(Y132/H132,0)*0.00651),"")</f>
        <v>0.12369000000000001</v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63.374999999999993</v>
      </c>
      <c r="BN132" s="78">
        <f>IFERROR(Y132*I132/H132,"0")</f>
        <v>64.22</v>
      </c>
      <c r="BO132" s="78">
        <f>IFERROR(1/J132*(X132/H132),"0")</f>
        <v>0.10302197802197803</v>
      </c>
      <c r="BP132" s="78">
        <f>IFERROR(1/J132*(Y132/H132),"0")</f>
        <v>0.1043956043956044</v>
      </c>
    </row>
    <row r="133" spans="1:68" x14ac:dyDescent="0.2">
      <c r="A133" s="704"/>
      <c r="B133" s="704"/>
      <c r="C133" s="704"/>
      <c r="D133" s="704"/>
      <c r="E133" s="704"/>
      <c r="F133" s="704"/>
      <c r="G133" s="704"/>
      <c r="H133" s="704"/>
      <c r="I133" s="704"/>
      <c r="J133" s="704"/>
      <c r="K133" s="704"/>
      <c r="L133" s="704"/>
      <c r="M133" s="704"/>
      <c r="N133" s="704"/>
      <c r="O133" s="705"/>
      <c r="P133" s="701" t="s">
        <v>40</v>
      </c>
      <c r="Q133" s="702"/>
      <c r="R133" s="702"/>
      <c r="S133" s="702"/>
      <c r="T133" s="702"/>
      <c r="U133" s="702"/>
      <c r="V133" s="703"/>
      <c r="W133" s="42" t="s">
        <v>39</v>
      </c>
      <c r="X133" s="43">
        <f>IFERROR(X131/H131,"0")+IFERROR(X132/H132,"0")</f>
        <v>18.75</v>
      </c>
      <c r="Y133" s="43">
        <f>IFERROR(Y131/H131,"0")+IFERROR(Y132/H132,"0")</f>
        <v>19</v>
      </c>
      <c r="Z133" s="43">
        <f>IFERROR(IF(Z131="",0,Z131),"0")+IFERROR(IF(Z132="",0,Z132),"0")</f>
        <v>0.12369000000000001</v>
      </c>
      <c r="AA133" s="67"/>
      <c r="AB133" s="67"/>
      <c r="AC133" s="67"/>
    </row>
    <row r="134" spans="1:68" x14ac:dyDescent="0.2">
      <c r="A134" s="704"/>
      <c r="B134" s="704"/>
      <c r="C134" s="704"/>
      <c r="D134" s="704"/>
      <c r="E134" s="704"/>
      <c r="F134" s="704"/>
      <c r="G134" s="704"/>
      <c r="H134" s="704"/>
      <c r="I134" s="704"/>
      <c r="J134" s="704"/>
      <c r="K134" s="704"/>
      <c r="L134" s="704"/>
      <c r="M134" s="704"/>
      <c r="N134" s="704"/>
      <c r="O134" s="705"/>
      <c r="P134" s="701" t="s">
        <v>40</v>
      </c>
      <c r="Q134" s="702"/>
      <c r="R134" s="702"/>
      <c r="S134" s="702"/>
      <c r="T134" s="702"/>
      <c r="U134" s="702"/>
      <c r="V134" s="703"/>
      <c r="W134" s="42" t="s">
        <v>0</v>
      </c>
      <c r="X134" s="43">
        <f>IFERROR(SUM(X131:X132),"0")</f>
        <v>60</v>
      </c>
      <c r="Y134" s="43">
        <f>IFERROR(SUM(Y131:Y132),"0")</f>
        <v>60.800000000000004</v>
      </c>
      <c r="Z134" s="42"/>
      <c r="AA134" s="67"/>
      <c r="AB134" s="67"/>
      <c r="AC134" s="67"/>
    </row>
    <row r="135" spans="1:68" ht="14.25" hidden="1" customHeight="1" x14ac:dyDescent="0.25">
      <c r="A135" s="696" t="s">
        <v>77</v>
      </c>
      <c r="B135" s="696"/>
      <c r="C135" s="696"/>
      <c r="D135" s="696"/>
      <c r="E135" s="696"/>
      <c r="F135" s="696"/>
      <c r="G135" s="696"/>
      <c r="H135" s="696"/>
      <c r="I135" s="696"/>
      <c r="J135" s="696"/>
      <c r="K135" s="696"/>
      <c r="L135" s="696"/>
      <c r="M135" s="696"/>
      <c r="N135" s="696"/>
      <c r="O135" s="696"/>
      <c r="P135" s="696"/>
      <c r="Q135" s="696"/>
      <c r="R135" s="696"/>
      <c r="S135" s="696"/>
      <c r="T135" s="696"/>
      <c r="U135" s="696"/>
      <c r="V135" s="696"/>
      <c r="W135" s="696"/>
      <c r="X135" s="696"/>
      <c r="Y135" s="696"/>
      <c r="Z135" s="696"/>
      <c r="AA135" s="66"/>
      <c r="AB135" s="66"/>
      <c r="AC135" s="80"/>
    </row>
    <row r="136" spans="1:68" ht="27" customHeight="1" x14ac:dyDescent="0.25">
      <c r="A136" s="63" t="s">
        <v>254</v>
      </c>
      <c r="B136" s="63" t="s">
        <v>255</v>
      </c>
      <c r="C136" s="36">
        <v>4301031234</v>
      </c>
      <c r="D136" s="697">
        <v>4680115883444</v>
      </c>
      <c r="E136" s="69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7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99"/>
      <c r="R136" s="699"/>
      <c r="S136" s="699"/>
      <c r="T136" s="700"/>
      <c r="U136" s="39" t="s">
        <v>46</v>
      </c>
      <c r="V136" s="39" t="s">
        <v>46</v>
      </c>
      <c r="W136" s="40" t="s">
        <v>0</v>
      </c>
      <c r="X136" s="58">
        <v>70</v>
      </c>
      <c r="Y136" s="55">
        <f>IFERROR(IF(X136="",0,CEILING((X136/$H136),1)*$H136),"")</f>
        <v>70</v>
      </c>
      <c r="Z136" s="41">
        <f>IFERROR(IF(Y136=0,"",ROUNDUP(Y136/H136,0)*0.00651),"")</f>
        <v>0.16275000000000001</v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76.7</v>
      </c>
      <c r="BN136" s="78">
        <f>IFERROR(Y136*I136/H136,"0")</f>
        <v>76.7</v>
      </c>
      <c r="BO136" s="78">
        <f>IFERROR(1/J136*(X136/H136),"0")</f>
        <v>0.13736263736263737</v>
      </c>
      <c r="BP136" s="78">
        <f>IFERROR(1/J136*(Y136/H136),"0")</f>
        <v>0.13736263736263737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7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04"/>
      <c r="B138" s="704"/>
      <c r="C138" s="704"/>
      <c r="D138" s="704"/>
      <c r="E138" s="704"/>
      <c r="F138" s="704"/>
      <c r="G138" s="704"/>
      <c r="H138" s="704"/>
      <c r="I138" s="704"/>
      <c r="J138" s="704"/>
      <c r="K138" s="704"/>
      <c r="L138" s="704"/>
      <c r="M138" s="704"/>
      <c r="N138" s="704"/>
      <c r="O138" s="705"/>
      <c r="P138" s="701" t="s">
        <v>40</v>
      </c>
      <c r="Q138" s="702"/>
      <c r="R138" s="702"/>
      <c r="S138" s="702"/>
      <c r="T138" s="702"/>
      <c r="U138" s="702"/>
      <c r="V138" s="703"/>
      <c r="W138" s="42" t="s">
        <v>39</v>
      </c>
      <c r="X138" s="43">
        <f>IFERROR(X136/H136,"0")+IFERROR(X137/H137,"0")</f>
        <v>25</v>
      </c>
      <c r="Y138" s="43">
        <f>IFERROR(Y136/H136,"0")+IFERROR(Y137/H137,"0")</f>
        <v>25</v>
      </c>
      <c r="Z138" s="43">
        <f>IFERROR(IF(Z136="",0,Z136),"0")+IFERROR(IF(Z137="",0,Z137),"0")</f>
        <v>0.16275000000000001</v>
      </c>
      <c r="AA138" s="67"/>
      <c r="AB138" s="67"/>
      <c r="AC138" s="67"/>
    </row>
    <row r="139" spans="1:68" x14ac:dyDescent="0.2">
      <c r="A139" s="704"/>
      <c r="B139" s="704"/>
      <c r="C139" s="704"/>
      <c r="D139" s="704"/>
      <c r="E139" s="704"/>
      <c r="F139" s="704"/>
      <c r="G139" s="704"/>
      <c r="H139" s="704"/>
      <c r="I139" s="704"/>
      <c r="J139" s="704"/>
      <c r="K139" s="704"/>
      <c r="L139" s="704"/>
      <c r="M139" s="704"/>
      <c r="N139" s="704"/>
      <c r="O139" s="705"/>
      <c r="P139" s="701" t="s">
        <v>40</v>
      </c>
      <c r="Q139" s="702"/>
      <c r="R139" s="702"/>
      <c r="S139" s="702"/>
      <c r="T139" s="702"/>
      <c r="U139" s="702"/>
      <c r="V139" s="703"/>
      <c r="W139" s="42" t="s">
        <v>0</v>
      </c>
      <c r="X139" s="43">
        <f>IFERROR(SUM(X136:X137),"0")</f>
        <v>70</v>
      </c>
      <c r="Y139" s="43">
        <f>IFERROR(SUM(Y136:Y137),"0")</f>
        <v>70</v>
      </c>
      <c r="Z139" s="42"/>
      <c r="AA139" s="67"/>
      <c r="AB139" s="67"/>
      <c r="AC139" s="67"/>
    </row>
    <row r="140" spans="1:68" ht="14.25" hidden="1" customHeight="1" x14ac:dyDescent="0.25">
      <c r="A140" s="696" t="s">
        <v>83</v>
      </c>
      <c r="B140" s="696"/>
      <c r="C140" s="696"/>
      <c r="D140" s="696"/>
      <c r="E140" s="696"/>
      <c r="F140" s="696"/>
      <c r="G140" s="696"/>
      <c r="H140" s="696"/>
      <c r="I140" s="696"/>
      <c r="J140" s="696"/>
      <c r="K140" s="696"/>
      <c r="L140" s="696"/>
      <c r="M140" s="696"/>
      <c r="N140" s="696"/>
      <c r="O140" s="696"/>
      <c r="P140" s="696"/>
      <c r="Q140" s="696"/>
      <c r="R140" s="696"/>
      <c r="S140" s="696"/>
      <c r="T140" s="696"/>
      <c r="U140" s="696"/>
      <c r="V140" s="696"/>
      <c r="W140" s="696"/>
      <c r="X140" s="696"/>
      <c r="Y140" s="696"/>
      <c r="Z140" s="696"/>
      <c r="AA140" s="66"/>
      <c r="AB140" s="66"/>
      <c r="AC140" s="80"/>
    </row>
    <row r="141" spans="1:68" ht="16.5" customHeight="1" x14ac:dyDescent="0.25">
      <c r="A141" s="63" t="s">
        <v>258</v>
      </c>
      <c r="B141" s="63" t="s">
        <v>259</v>
      </c>
      <c r="C141" s="36">
        <v>4301051476</v>
      </c>
      <c r="D141" s="697">
        <v>4680115882584</v>
      </c>
      <c r="E141" s="697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76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99"/>
      <c r="R141" s="699"/>
      <c r="S141" s="699"/>
      <c r="T141" s="700"/>
      <c r="U141" s="39" t="s">
        <v>46</v>
      </c>
      <c r="V141" s="39" t="s">
        <v>46</v>
      </c>
      <c r="W141" s="40" t="s">
        <v>0</v>
      </c>
      <c r="X141" s="58">
        <v>73</v>
      </c>
      <c r="Y141" s="55">
        <f>IFERROR(IF(X141="",0,CEILING((X141/$H141),1)*$H141),"")</f>
        <v>73.92</v>
      </c>
      <c r="Z141" s="41">
        <f>IFERROR(IF(Y141=0,"",ROUNDUP(Y141/H141,0)*0.00651),"")</f>
        <v>0.18228</v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80.410606060606057</v>
      </c>
      <c r="BN141" s="78">
        <f>IFERROR(Y141*I141/H141,"0")</f>
        <v>81.423999999999992</v>
      </c>
      <c r="BO141" s="78">
        <f>IFERROR(1/J141*(X141/H141),"0")</f>
        <v>0.15193140193140192</v>
      </c>
      <c r="BP141" s="78">
        <f>IFERROR(1/J141*(Y141/H141),"0")</f>
        <v>0.15384615384615385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7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04"/>
      <c r="B143" s="704"/>
      <c r="C143" s="704"/>
      <c r="D143" s="704"/>
      <c r="E143" s="704"/>
      <c r="F143" s="704"/>
      <c r="G143" s="704"/>
      <c r="H143" s="704"/>
      <c r="I143" s="704"/>
      <c r="J143" s="704"/>
      <c r="K143" s="704"/>
      <c r="L143" s="704"/>
      <c r="M143" s="704"/>
      <c r="N143" s="704"/>
      <c r="O143" s="705"/>
      <c r="P143" s="701" t="s">
        <v>40</v>
      </c>
      <c r="Q143" s="702"/>
      <c r="R143" s="702"/>
      <c r="S143" s="702"/>
      <c r="T143" s="702"/>
      <c r="U143" s="702"/>
      <c r="V143" s="703"/>
      <c r="W143" s="42" t="s">
        <v>39</v>
      </c>
      <c r="X143" s="43">
        <f>IFERROR(X141/H141,"0")+IFERROR(X142/H142,"0")</f>
        <v>27.651515151515149</v>
      </c>
      <c r="Y143" s="43">
        <f>IFERROR(Y141/H141,"0")+IFERROR(Y142/H142,"0")</f>
        <v>28</v>
      </c>
      <c r="Z143" s="43">
        <f>IFERROR(IF(Z141="",0,Z141),"0")+IFERROR(IF(Z142="",0,Z142),"0")</f>
        <v>0.18228</v>
      </c>
      <c r="AA143" s="67"/>
      <c r="AB143" s="67"/>
      <c r="AC143" s="67"/>
    </row>
    <row r="144" spans="1:68" x14ac:dyDescent="0.2">
      <c r="A144" s="704"/>
      <c r="B144" s="704"/>
      <c r="C144" s="704"/>
      <c r="D144" s="704"/>
      <c r="E144" s="704"/>
      <c r="F144" s="704"/>
      <c r="G144" s="704"/>
      <c r="H144" s="704"/>
      <c r="I144" s="704"/>
      <c r="J144" s="704"/>
      <c r="K144" s="704"/>
      <c r="L144" s="704"/>
      <c r="M144" s="704"/>
      <c r="N144" s="704"/>
      <c r="O144" s="705"/>
      <c r="P144" s="701" t="s">
        <v>40</v>
      </c>
      <c r="Q144" s="702"/>
      <c r="R144" s="702"/>
      <c r="S144" s="702"/>
      <c r="T144" s="702"/>
      <c r="U144" s="702"/>
      <c r="V144" s="703"/>
      <c r="W144" s="42" t="s">
        <v>0</v>
      </c>
      <c r="X144" s="43">
        <f>IFERROR(SUM(X141:X142),"0")</f>
        <v>73</v>
      </c>
      <c r="Y144" s="43">
        <f>IFERROR(SUM(Y141:Y142),"0")</f>
        <v>73.92</v>
      </c>
      <c r="Z144" s="42"/>
      <c r="AA144" s="67"/>
      <c r="AB144" s="67"/>
      <c r="AC144" s="67"/>
    </row>
    <row r="145" spans="1:68" ht="16.5" hidden="1" customHeight="1" x14ac:dyDescent="0.25">
      <c r="A145" s="695" t="s">
        <v>261</v>
      </c>
      <c r="B145" s="695"/>
      <c r="C145" s="695"/>
      <c r="D145" s="695"/>
      <c r="E145" s="695"/>
      <c r="F145" s="695"/>
      <c r="G145" s="695"/>
      <c r="H145" s="695"/>
      <c r="I145" s="695"/>
      <c r="J145" s="695"/>
      <c r="K145" s="695"/>
      <c r="L145" s="695"/>
      <c r="M145" s="695"/>
      <c r="N145" s="695"/>
      <c r="O145" s="695"/>
      <c r="P145" s="695"/>
      <c r="Q145" s="695"/>
      <c r="R145" s="695"/>
      <c r="S145" s="695"/>
      <c r="T145" s="695"/>
      <c r="U145" s="695"/>
      <c r="V145" s="695"/>
      <c r="W145" s="695"/>
      <c r="X145" s="695"/>
      <c r="Y145" s="695"/>
      <c r="Z145" s="695"/>
      <c r="AA145" s="65"/>
      <c r="AB145" s="65"/>
      <c r="AC145" s="79"/>
    </row>
    <row r="146" spans="1:68" ht="14.25" hidden="1" customHeight="1" x14ac:dyDescent="0.25">
      <c r="A146" s="696" t="s">
        <v>83</v>
      </c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6"/>
      <c r="P146" s="696"/>
      <c r="Q146" s="696"/>
      <c r="R146" s="696"/>
      <c r="S146" s="696"/>
      <c r="T146" s="696"/>
      <c r="U146" s="696"/>
      <c r="V146" s="696"/>
      <c r="W146" s="696"/>
      <c r="X146" s="696"/>
      <c r="Y146" s="696"/>
      <c r="Z146" s="696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97">
        <v>4680115888203</v>
      </c>
      <c r="E147" s="697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7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99"/>
      <c r="R147" s="699"/>
      <c r="S147" s="699"/>
      <c r="T147" s="70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97">
        <v>4680115888180</v>
      </c>
      <c r="E148" s="697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77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97">
        <v>4680115888197</v>
      </c>
      <c r="E149" s="69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7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97">
        <v>4680115888210</v>
      </c>
      <c r="E150" s="69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7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704"/>
      <c r="B151" s="704"/>
      <c r="C151" s="704"/>
      <c r="D151" s="704"/>
      <c r="E151" s="704"/>
      <c r="F151" s="704"/>
      <c r="G151" s="704"/>
      <c r="H151" s="704"/>
      <c r="I151" s="704"/>
      <c r="J151" s="704"/>
      <c r="K151" s="704"/>
      <c r="L151" s="704"/>
      <c r="M151" s="704"/>
      <c r="N151" s="704"/>
      <c r="O151" s="705"/>
      <c r="P151" s="701" t="s">
        <v>40</v>
      </c>
      <c r="Q151" s="702"/>
      <c r="R151" s="702"/>
      <c r="S151" s="702"/>
      <c r="T151" s="702"/>
      <c r="U151" s="702"/>
      <c r="V151" s="703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704"/>
      <c r="B152" s="704"/>
      <c r="C152" s="704"/>
      <c r="D152" s="704"/>
      <c r="E152" s="704"/>
      <c r="F152" s="704"/>
      <c r="G152" s="704"/>
      <c r="H152" s="704"/>
      <c r="I152" s="704"/>
      <c r="J152" s="704"/>
      <c r="K152" s="704"/>
      <c r="L152" s="704"/>
      <c r="M152" s="704"/>
      <c r="N152" s="704"/>
      <c r="O152" s="705"/>
      <c r="P152" s="701" t="s">
        <v>40</v>
      </c>
      <c r="Q152" s="702"/>
      <c r="R152" s="702"/>
      <c r="S152" s="702"/>
      <c r="T152" s="702"/>
      <c r="U152" s="702"/>
      <c r="V152" s="703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96" t="s">
        <v>274</v>
      </c>
      <c r="B153" s="696"/>
      <c r="C153" s="696"/>
      <c r="D153" s="696"/>
      <c r="E153" s="696"/>
      <c r="F153" s="696"/>
      <c r="G153" s="696"/>
      <c r="H153" s="696"/>
      <c r="I153" s="696"/>
      <c r="J153" s="696"/>
      <c r="K153" s="696"/>
      <c r="L153" s="696"/>
      <c r="M153" s="696"/>
      <c r="N153" s="696"/>
      <c r="O153" s="696"/>
      <c r="P153" s="696"/>
      <c r="Q153" s="696"/>
      <c r="R153" s="696"/>
      <c r="S153" s="696"/>
      <c r="T153" s="696"/>
      <c r="U153" s="696"/>
      <c r="V153" s="696"/>
      <c r="W153" s="696"/>
      <c r="X153" s="696"/>
      <c r="Y153" s="696"/>
      <c r="Z153" s="696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97">
        <v>4680115889132</v>
      </c>
      <c r="E154" s="697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7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99"/>
      <c r="R154" s="699"/>
      <c r="S154" s="699"/>
      <c r="T154" s="70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04"/>
      <c r="B155" s="704"/>
      <c r="C155" s="704"/>
      <c r="D155" s="704"/>
      <c r="E155" s="704"/>
      <c r="F155" s="704"/>
      <c r="G155" s="704"/>
      <c r="H155" s="704"/>
      <c r="I155" s="704"/>
      <c r="J155" s="704"/>
      <c r="K155" s="704"/>
      <c r="L155" s="704"/>
      <c r="M155" s="704"/>
      <c r="N155" s="704"/>
      <c r="O155" s="705"/>
      <c r="P155" s="701" t="s">
        <v>40</v>
      </c>
      <c r="Q155" s="702"/>
      <c r="R155" s="702"/>
      <c r="S155" s="702"/>
      <c r="T155" s="702"/>
      <c r="U155" s="702"/>
      <c r="V155" s="703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704"/>
      <c r="B156" s="704"/>
      <c r="C156" s="704"/>
      <c r="D156" s="704"/>
      <c r="E156" s="704"/>
      <c r="F156" s="704"/>
      <c r="G156" s="704"/>
      <c r="H156" s="704"/>
      <c r="I156" s="704"/>
      <c r="J156" s="704"/>
      <c r="K156" s="704"/>
      <c r="L156" s="704"/>
      <c r="M156" s="704"/>
      <c r="N156" s="704"/>
      <c r="O156" s="705"/>
      <c r="P156" s="701" t="s">
        <v>40</v>
      </c>
      <c r="Q156" s="702"/>
      <c r="R156" s="702"/>
      <c r="S156" s="702"/>
      <c r="T156" s="702"/>
      <c r="U156" s="702"/>
      <c r="V156" s="703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95" t="s">
        <v>117</v>
      </c>
      <c r="B157" s="695"/>
      <c r="C157" s="695"/>
      <c r="D157" s="695"/>
      <c r="E157" s="695"/>
      <c r="F157" s="695"/>
      <c r="G157" s="695"/>
      <c r="H157" s="695"/>
      <c r="I157" s="695"/>
      <c r="J157" s="695"/>
      <c r="K157" s="695"/>
      <c r="L157" s="695"/>
      <c r="M157" s="695"/>
      <c r="N157" s="695"/>
      <c r="O157" s="695"/>
      <c r="P157" s="695"/>
      <c r="Q157" s="695"/>
      <c r="R157" s="695"/>
      <c r="S157" s="695"/>
      <c r="T157" s="695"/>
      <c r="U157" s="695"/>
      <c r="V157" s="695"/>
      <c r="W157" s="695"/>
      <c r="X157" s="695"/>
      <c r="Y157" s="695"/>
      <c r="Z157" s="695"/>
      <c r="AA157" s="65"/>
      <c r="AB157" s="65"/>
      <c r="AC157" s="79"/>
    </row>
    <row r="158" spans="1:68" ht="14.25" hidden="1" customHeight="1" x14ac:dyDescent="0.25">
      <c r="A158" s="696" t="s">
        <v>119</v>
      </c>
      <c r="B158" s="696"/>
      <c r="C158" s="696"/>
      <c r="D158" s="696"/>
      <c r="E158" s="696"/>
      <c r="F158" s="696"/>
      <c r="G158" s="696"/>
      <c r="H158" s="696"/>
      <c r="I158" s="696"/>
      <c r="J158" s="696"/>
      <c r="K158" s="696"/>
      <c r="L158" s="696"/>
      <c r="M158" s="696"/>
      <c r="N158" s="696"/>
      <c r="O158" s="696"/>
      <c r="P158" s="696"/>
      <c r="Q158" s="696"/>
      <c r="R158" s="696"/>
      <c r="S158" s="696"/>
      <c r="T158" s="696"/>
      <c r="U158" s="696"/>
      <c r="V158" s="696"/>
      <c r="W158" s="696"/>
      <c r="X158" s="696"/>
      <c r="Y158" s="696"/>
      <c r="Z158" s="696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97">
        <v>4680115887374</v>
      </c>
      <c r="E159" s="697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7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99"/>
      <c r="R159" s="699"/>
      <c r="S159" s="699"/>
      <c r="T159" s="70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97">
        <v>4607091384604</v>
      </c>
      <c r="E160" s="69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7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99"/>
      <c r="R160" s="699"/>
      <c r="S160" s="699"/>
      <c r="T160" s="70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97">
        <v>4607091384604</v>
      </c>
      <c r="E161" s="697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77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99"/>
      <c r="R161" s="699"/>
      <c r="S161" s="699"/>
      <c r="T161" s="70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97">
        <v>4680115888876</v>
      </c>
      <c r="E162" s="697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77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4"/>
      <c r="B163" s="704"/>
      <c r="C163" s="704"/>
      <c r="D163" s="704"/>
      <c r="E163" s="704"/>
      <c r="F163" s="704"/>
      <c r="G163" s="704"/>
      <c r="H163" s="704"/>
      <c r="I163" s="704"/>
      <c r="J163" s="704"/>
      <c r="K163" s="704"/>
      <c r="L163" s="704"/>
      <c r="M163" s="704"/>
      <c r="N163" s="704"/>
      <c r="O163" s="705"/>
      <c r="P163" s="701" t="s">
        <v>40</v>
      </c>
      <c r="Q163" s="702"/>
      <c r="R163" s="702"/>
      <c r="S163" s="702"/>
      <c r="T163" s="702"/>
      <c r="U163" s="702"/>
      <c r="V163" s="703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04"/>
      <c r="B164" s="704"/>
      <c r="C164" s="704"/>
      <c r="D164" s="704"/>
      <c r="E164" s="704"/>
      <c r="F164" s="704"/>
      <c r="G164" s="704"/>
      <c r="H164" s="704"/>
      <c r="I164" s="704"/>
      <c r="J164" s="704"/>
      <c r="K164" s="704"/>
      <c r="L164" s="704"/>
      <c r="M164" s="704"/>
      <c r="N164" s="704"/>
      <c r="O164" s="705"/>
      <c r="P164" s="701" t="s">
        <v>40</v>
      </c>
      <c r="Q164" s="702"/>
      <c r="R164" s="702"/>
      <c r="S164" s="702"/>
      <c r="T164" s="702"/>
      <c r="U164" s="702"/>
      <c r="V164" s="703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154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16.5" customHeight="1" x14ac:dyDescent="0.25">
      <c r="A166" s="63" t="s">
        <v>291</v>
      </c>
      <c r="B166" s="63" t="s">
        <v>292</v>
      </c>
      <c r="C166" s="36">
        <v>4301020410</v>
      </c>
      <c r="D166" s="697">
        <v>4680115887695</v>
      </c>
      <c r="E166" s="697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12</v>
      </c>
      <c r="Y166" s="55">
        <f>IFERROR(IF(X166="",0,CEILING((X166/$H166),1)*$H166),"")</f>
        <v>12.24</v>
      </c>
      <c r="Z166" s="41">
        <f>IFERROR(IF(Y166=0,"",ROUNDUP(Y166/H166,0)*0.00556),"")</f>
        <v>9.4519999999999993E-2</v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14.166666666666666</v>
      </c>
      <c r="BN166" s="78">
        <f>IFERROR(Y166*I166/H166,"0")</f>
        <v>14.450000000000001</v>
      </c>
      <c r="BO166" s="78">
        <f>IFERROR(1/J166*(X166/H166),"0")</f>
        <v>6.6137566137566134E-2</v>
      </c>
      <c r="BP166" s="78">
        <f>IFERROR(1/J166*(Y166/H166),"0")</f>
        <v>6.7460317460317457E-2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97">
        <v>4680115889491</v>
      </c>
      <c r="E167" s="697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78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x14ac:dyDescent="0.2">
      <c r="A168" s="704"/>
      <c r="B168" s="704"/>
      <c r="C168" s="704"/>
      <c r="D168" s="704"/>
      <c r="E168" s="704"/>
      <c r="F168" s="704"/>
      <c r="G168" s="704"/>
      <c r="H168" s="704"/>
      <c r="I168" s="704"/>
      <c r="J168" s="704"/>
      <c r="K168" s="704"/>
      <c r="L168" s="704"/>
      <c r="M168" s="704"/>
      <c r="N168" s="704"/>
      <c r="O168" s="705"/>
      <c r="P168" s="701" t="s">
        <v>40</v>
      </c>
      <c r="Q168" s="702"/>
      <c r="R168" s="702"/>
      <c r="S168" s="702"/>
      <c r="T168" s="702"/>
      <c r="U168" s="702"/>
      <c r="V168" s="703"/>
      <c r="W168" s="42" t="s">
        <v>39</v>
      </c>
      <c r="X168" s="43">
        <f>IFERROR(X166/H166,"0")+IFERROR(X167/H167,"0")</f>
        <v>16.666666666666668</v>
      </c>
      <c r="Y168" s="43">
        <f>IFERROR(Y166/H166,"0")+IFERROR(Y167/H167,"0")</f>
        <v>17</v>
      </c>
      <c r="Z168" s="43">
        <f>IFERROR(IF(Z166="",0,Z166),"0")+IFERROR(IF(Z167="",0,Z167),"0")</f>
        <v>9.4519999999999993E-2</v>
      </c>
      <c r="AA168" s="67"/>
      <c r="AB168" s="67"/>
      <c r="AC168" s="67"/>
    </row>
    <row r="169" spans="1:68" x14ac:dyDescent="0.2">
      <c r="A169" s="704"/>
      <c r="B169" s="704"/>
      <c r="C169" s="704"/>
      <c r="D169" s="704"/>
      <c r="E169" s="704"/>
      <c r="F169" s="704"/>
      <c r="G169" s="704"/>
      <c r="H169" s="704"/>
      <c r="I169" s="704"/>
      <c r="J169" s="704"/>
      <c r="K169" s="704"/>
      <c r="L169" s="704"/>
      <c r="M169" s="704"/>
      <c r="N169" s="704"/>
      <c r="O169" s="705"/>
      <c r="P169" s="701" t="s">
        <v>40</v>
      </c>
      <c r="Q169" s="702"/>
      <c r="R169" s="702"/>
      <c r="S169" s="702"/>
      <c r="T169" s="702"/>
      <c r="U169" s="702"/>
      <c r="V169" s="703"/>
      <c r="W169" s="42" t="s">
        <v>0</v>
      </c>
      <c r="X169" s="43">
        <f>IFERROR(SUM(X166:X167),"0")</f>
        <v>12</v>
      </c>
      <c r="Y169" s="43">
        <f>IFERROR(SUM(Y166:Y167),"0")</f>
        <v>12.24</v>
      </c>
      <c r="Z169" s="42"/>
      <c r="AA169" s="67"/>
      <c r="AB169" s="67"/>
      <c r="AC169" s="67"/>
    </row>
    <row r="170" spans="1:68" ht="14.25" hidden="1" customHeight="1" x14ac:dyDescent="0.25">
      <c r="A170" s="696" t="s">
        <v>77</v>
      </c>
      <c r="B170" s="696"/>
      <c r="C170" s="696"/>
      <c r="D170" s="696"/>
      <c r="E170" s="696"/>
      <c r="F170" s="696"/>
      <c r="G170" s="696"/>
      <c r="H170" s="696"/>
      <c r="I170" s="696"/>
      <c r="J170" s="696"/>
      <c r="K170" s="696"/>
      <c r="L170" s="696"/>
      <c r="M170" s="696"/>
      <c r="N170" s="696"/>
      <c r="O170" s="696"/>
      <c r="P170" s="696"/>
      <c r="Q170" s="696"/>
      <c r="R170" s="696"/>
      <c r="S170" s="696"/>
      <c r="T170" s="696"/>
      <c r="U170" s="696"/>
      <c r="V170" s="696"/>
      <c r="W170" s="696"/>
      <c r="X170" s="696"/>
      <c r="Y170" s="696"/>
      <c r="Z170" s="696"/>
      <c r="AA170" s="66"/>
      <c r="AB170" s="66"/>
      <c r="AC170" s="80"/>
    </row>
    <row r="171" spans="1:68" ht="27" customHeight="1" x14ac:dyDescent="0.25">
      <c r="A171" s="63" t="s">
        <v>297</v>
      </c>
      <c r="B171" s="63" t="s">
        <v>298</v>
      </c>
      <c r="C171" s="36">
        <v>4301031496</v>
      </c>
      <c r="D171" s="697">
        <v>4680115887428</v>
      </c>
      <c r="E171" s="69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78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250</v>
      </c>
      <c r="Y171" s="55">
        <f t="shared" ref="Y171:Y180" si="15">IFERROR(IF(X171="",0,CEILING((X171/$H171),1)*$H171),"")</f>
        <v>252</v>
      </c>
      <c r="Z171" s="41">
        <f>IFERROR(IF(Y171=0,"",ROUNDUP(Y171/H171,0)*0.00902),"")</f>
        <v>0.64944000000000002</v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263.57142857142856</v>
      </c>
      <c r="BN171" s="78">
        <f t="shared" ref="BN171:BN180" si="17">IFERROR(Y171*I171/H171,"0")</f>
        <v>265.68</v>
      </c>
      <c r="BO171" s="78">
        <f t="shared" ref="BO171:BO180" si="18">IFERROR(1/J171*(X171/H171),"0")</f>
        <v>0.54112554112554112</v>
      </c>
      <c r="BP171" s="78">
        <f t="shared" ref="BP171:BP180" si="19">IFERROR(1/J171*(Y171/H171),"0")</f>
        <v>0.54545454545454541</v>
      </c>
    </row>
    <row r="172" spans="1:68" ht="27" hidden="1" customHeight="1" x14ac:dyDescent="0.25">
      <c r="A172" s="63" t="s">
        <v>300</v>
      </c>
      <c r="B172" s="63" t="s">
        <v>301</v>
      </c>
      <c r="C172" s="36">
        <v>4301031509</v>
      </c>
      <c r="D172" s="697">
        <v>4680115889170</v>
      </c>
      <c r="E172" s="697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78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303</v>
      </c>
      <c r="B173" s="63" t="s">
        <v>304</v>
      </c>
      <c r="C173" s="36">
        <v>4301031522</v>
      </c>
      <c r="D173" s="697">
        <v>4680115887398</v>
      </c>
      <c r="E173" s="697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600</v>
      </c>
      <c r="Y173" s="55">
        <f t="shared" si="15"/>
        <v>602</v>
      </c>
      <c r="Z173" s="41">
        <f>IFERROR(IF(Y173=0,"",ROUNDUP(Y173/H173,0)*0.00902),"")</f>
        <v>1.5514399999999999</v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632.57142857142856</v>
      </c>
      <c r="BN173" s="78">
        <f t="shared" si="17"/>
        <v>634.68000000000006</v>
      </c>
      <c r="BO173" s="78">
        <f t="shared" si="18"/>
        <v>1.2987012987012987</v>
      </c>
      <c r="BP173" s="78">
        <f t="shared" si="19"/>
        <v>1.303030303030303</v>
      </c>
    </row>
    <row r="174" spans="1:68" ht="27" customHeight="1" x14ac:dyDescent="0.25">
      <c r="A174" s="63" t="s">
        <v>306</v>
      </c>
      <c r="B174" s="63" t="s">
        <v>307</v>
      </c>
      <c r="C174" s="36">
        <v>4301031520</v>
      </c>
      <c r="D174" s="697">
        <v>4680115887336</v>
      </c>
      <c r="E174" s="697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650</v>
      </c>
      <c r="Y174" s="55">
        <f t="shared" si="15"/>
        <v>651</v>
      </c>
      <c r="Z174" s="41">
        <f>IFERROR(IF(Y174=0,"",ROUNDUP(Y174/H174,0)*0.00902),"")</f>
        <v>1.6777200000000001</v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685.28571428571433</v>
      </c>
      <c r="BN174" s="78">
        <f t="shared" si="17"/>
        <v>686.34</v>
      </c>
      <c r="BO174" s="78">
        <f t="shared" si="18"/>
        <v>1.4069264069264071</v>
      </c>
      <c r="BP174" s="78">
        <f t="shared" si="19"/>
        <v>1.4090909090909092</v>
      </c>
    </row>
    <row r="175" spans="1:68" ht="16.5" customHeight="1" x14ac:dyDescent="0.25">
      <c r="A175" s="63" t="s">
        <v>309</v>
      </c>
      <c r="B175" s="63" t="s">
        <v>310</v>
      </c>
      <c r="C175" s="36">
        <v>4301031528</v>
      </c>
      <c r="D175" s="697">
        <v>4680115887787</v>
      </c>
      <c r="E175" s="697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7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9</v>
      </c>
      <c r="Y175" s="55">
        <f t="shared" si="15"/>
        <v>9</v>
      </c>
      <c r="Z175" s="41">
        <f>IFERROR(IF(Y175=0,"",ROUNDUP(Y175/H175,0)*0.00726),"")</f>
        <v>7.2599999999999998E-2</v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11.1</v>
      </c>
      <c r="BN175" s="78">
        <f t="shared" si="17"/>
        <v>11.1</v>
      </c>
      <c r="BO175" s="78">
        <f t="shared" si="18"/>
        <v>5.2083333333333329E-2</v>
      </c>
      <c r="BP175" s="78">
        <f t="shared" si="19"/>
        <v>5.2083333333333329E-2</v>
      </c>
    </row>
    <row r="176" spans="1:68" ht="27" customHeight="1" x14ac:dyDescent="0.25">
      <c r="A176" s="63" t="s">
        <v>312</v>
      </c>
      <c r="B176" s="63" t="s">
        <v>313</v>
      </c>
      <c r="C176" s="36">
        <v>4301031448</v>
      </c>
      <c r="D176" s="697">
        <v>4680115887503</v>
      </c>
      <c r="E176" s="69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140</v>
      </c>
      <c r="Y176" s="55">
        <f t="shared" si="15"/>
        <v>141.12</v>
      </c>
      <c r="Z176" s="41">
        <f>IFERROR(IF(Y176=0,"",ROUNDUP(Y176/H176,0)*0.00502),"")</f>
        <v>0.42168</v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148.33333333333334</v>
      </c>
      <c r="BN176" s="78">
        <f t="shared" si="17"/>
        <v>149.52000000000001</v>
      </c>
      <c r="BO176" s="78">
        <f t="shared" si="18"/>
        <v>0.35612535612535623</v>
      </c>
      <c r="BP176" s="78">
        <f t="shared" si="19"/>
        <v>0.35897435897435903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4301031389</v>
      </c>
      <c r="D177" s="697">
        <v>4680115887763</v>
      </c>
      <c r="E177" s="697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customHeight="1" x14ac:dyDescent="0.25">
      <c r="A178" s="63" t="s">
        <v>317</v>
      </c>
      <c r="B178" s="63" t="s">
        <v>318</v>
      </c>
      <c r="C178" s="36">
        <v>4301031521</v>
      </c>
      <c r="D178" s="697">
        <v>4680115887480</v>
      </c>
      <c r="E178" s="69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78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99"/>
      <c r="R178" s="699"/>
      <c r="S178" s="699"/>
      <c r="T178" s="700"/>
      <c r="U178" s="39" t="s">
        <v>46</v>
      </c>
      <c r="V178" s="39" t="s">
        <v>46</v>
      </c>
      <c r="W178" s="40" t="s">
        <v>0</v>
      </c>
      <c r="X178" s="58">
        <v>140</v>
      </c>
      <c r="Y178" s="55">
        <f t="shared" si="15"/>
        <v>141.12</v>
      </c>
      <c r="Z178" s="41">
        <f>IFERROR(IF(Y178=0,"",ROUNDUP(Y178/H178,0)*0.00502),"")</f>
        <v>0.42168</v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148.33333333333334</v>
      </c>
      <c r="BN178" s="78">
        <f t="shared" si="17"/>
        <v>149.52000000000001</v>
      </c>
      <c r="BO178" s="78">
        <f t="shared" si="18"/>
        <v>0.35612535612535623</v>
      </c>
      <c r="BP178" s="78">
        <f t="shared" si="19"/>
        <v>0.35897435897435903</v>
      </c>
    </row>
    <row r="179" spans="1:68" ht="27" hidden="1" customHeight="1" x14ac:dyDescent="0.25">
      <c r="A179" s="63" t="s">
        <v>319</v>
      </c>
      <c r="B179" s="63" t="s">
        <v>320</v>
      </c>
      <c r="C179" s="36">
        <v>4301031434</v>
      </c>
      <c r="D179" s="697">
        <v>4680115888067</v>
      </c>
      <c r="E179" s="697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99"/>
      <c r="R179" s="699"/>
      <c r="S179" s="699"/>
      <c r="T179" s="70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customHeight="1" x14ac:dyDescent="0.25">
      <c r="A180" s="63" t="s">
        <v>322</v>
      </c>
      <c r="B180" s="63" t="s">
        <v>323</v>
      </c>
      <c r="C180" s="36">
        <v>4301031519</v>
      </c>
      <c r="D180" s="697">
        <v>4680115887435</v>
      </c>
      <c r="E180" s="69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79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99"/>
      <c r="R180" s="699"/>
      <c r="S180" s="699"/>
      <c r="T180" s="700"/>
      <c r="U180" s="39" t="s">
        <v>46</v>
      </c>
      <c r="V180" s="39" t="s">
        <v>46</v>
      </c>
      <c r="W180" s="40" t="s">
        <v>0</v>
      </c>
      <c r="X180" s="58">
        <v>112</v>
      </c>
      <c r="Y180" s="55">
        <f t="shared" si="15"/>
        <v>112.56</v>
      </c>
      <c r="Z180" s="41">
        <f>IFERROR(IF(Y180=0,"",ROUNDUP(Y180/H180,0)*0.00502),"")</f>
        <v>0.33634000000000003</v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118.66666666666669</v>
      </c>
      <c r="BN180" s="78">
        <f t="shared" si="17"/>
        <v>119.26000000000002</v>
      </c>
      <c r="BO180" s="78">
        <f t="shared" si="18"/>
        <v>0.28490028490028496</v>
      </c>
      <c r="BP180" s="78">
        <f t="shared" si="19"/>
        <v>0.28632478632478636</v>
      </c>
    </row>
    <row r="181" spans="1:68" x14ac:dyDescent="0.2">
      <c r="A181" s="704"/>
      <c r="B181" s="704"/>
      <c r="C181" s="704"/>
      <c r="D181" s="704"/>
      <c r="E181" s="704"/>
      <c r="F181" s="704"/>
      <c r="G181" s="704"/>
      <c r="H181" s="704"/>
      <c r="I181" s="704"/>
      <c r="J181" s="704"/>
      <c r="K181" s="704"/>
      <c r="L181" s="704"/>
      <c r="M181" s="704"/>
      <c r="N181" s="704"/>
      <c r="O181" s="705"/>
      <c r="P181" s="701" t="s">
        <v>40</v>
      </c>
      <c r="Q181" s="702"/>
      <c r="R181" s="702"/>
      <c r="S181" s="702"/>
      <c r="T181" s="702"/>
      <c r="U181" s="702"/>
      <c r="V181" s="703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671.90476190476193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675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5.1308999999999996</v>
      </c>
      <c r="AA181" s="67"/>
      <c r="AB181" s="67"/>
      <c r="AC181" s="67"/>
    </row>
    <row r="182" spans="1:68" x14ac:dyDescent="0.2">
      <c r="A182" s="704"/>
      <c r="B182" s="704"/>
      <c r="C182" s="704"/>
      <c r="D182" s="704"/>
      <c r="E182" s="704"/>
      <c r="F182" s="704"/>
      <c r="G182" s="704"/>
      <c r="H182" s="704"/>
      <c r="I182" s="704"/>
      <c r="J182" s="704"/>
      <c r="K182" s="704"/>
      <c r="L182" s="704"/>
      <c r="M182" s="704"/>
      <c r="N182" s="704"/>
      <c r="O182" s="705"/>
      <c r="P182" s="701" t="s">
        <v>40</v>
      </c>
      <c r="Q182" s="702"/>
      <c r="R182" s="702"/>
      <c r="S182" s="702"/>
      <c r="T182" s="702"/>
      <c r="U182" s="702"/>
      <c r="V182" s="703"/>
      <c r="W182" s="42" t="s">
        <v>0</v>
      </c>
      <c r="X182" s="43">
        <f>IFERROR(SUM(X171:X180),"0")</f>
        <v>1901</v>
      </c>
      <c r="Y182" s="43">
        <f>IFERROR(SUM(Y171:Y180),"0")</f>
        <v>1908.7999999999997</v>
      </c>
      <c r="Z182" s="42"/>
      <c r="AA182" s="67"/>
      <c r="AB182" s="67"/>
      <c r="AC182" s="67"/>
    </row>
    <row r="183" spans="1:68" ht="14.25" hidden="1" customHeight="1" x14ac:dyDescent="0.25">
      <c r="A183" s="696" t="s">
        <v>83</v>
      </c>
      <c r="B183" s="696"/>
      <c r="C183" s="696"/>
      <c r="D183" s="696"/>
      <c r="E183" s="696"/>
      <c r="F183" s="696"/>
      <c r="G183" s="696"/>
      <c r="H183" s="696"/>
      <c r="I183" s="696"/>
      <c r="J183" s="696"/>
      <c r="K183" s="696"/>
      <c r="L183" s="696"/>
      <c r="M183" s="696"/>
      <c r="N183" s="696"/>
      <c r="O183" s="696"/>
      <c r="P183" s="696"/>
      <c r="Q183" s="696"/>
      <c r="R183" s="696"/>
      <c r="S183" s="696"/>
      <c r="T183" s="696"/>
      <c r="U183" s="696"/>
      <c r="V183" s="696"/>
      <c r="W183" s="696"/>
      <c r="X183" s="696"/>
      <c r="Y183" s="696"/>
      <c r="Z183" s="696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97">
        <v>4680115888395</v>
      </c>
      <c r="E184" s="697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79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99"/>
      <c r="R184" s="699"/>
      <c r="S184" s="699"/>
      <c r="T184" s="70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97">
        <v>4680115888371</v>
      </c>
      <c r="E185" s="697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79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99"/>
      <c r="R185" s="699"/>
      <c r="S185" s="699"/>
      <c r="T185" s="700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704"/>
      <c r="B186" s="704"/>
      <c r="C186" s="704"/>
      <c r="D186" s="704"/>
      <c r="E186" s="704"/>
      <c r="F186" s="704"/>
      <c r="G186" s="704"/>
      <c r="H186" s="704"/>
      <c r="I186" s="704"/>
      <c r="J186" s="704"/>
      <c r="K186" s="704"/>
      <c r="L186" s="704"/>
      <c r="M186" s="704"/>
      <c r="N186" s="704"/>
      <c r="O186" s="705"/>
      <c r="P186" s="701" t="s">
        <v>40</v>
      </c>
      <c r="Q186" s="702"/>
      <c r="R186" s="702"/>
      <c r="S186" s="702"/>
      <c r="T186" s="702"/>
      <c r="U186" s="702"/>
      <c r="V186" s="703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704"/>
      <c r="B187" s="704"/>
      <c r="C187" s="704"/>
      <c r="D187" s="704"/>
      <c r="E187" s="704"/>
      <c r="F187" s="704"/>
      <c r="G187" s="704"/>
      <c r="H187" s="704"/>
      <c r="I187" s="704"/>
      <c r="J187" s="704"/>
      <c r="K187" s="704"/>
      <c r="L187" s="704"/>
      <c r="M187" s="704"/>
      <c r="N187" s="704"/>
      <c r="O187" s="705"/>
      <c r="P187" s="701" t="s">
        <v>40</v>
      </c>
      <c r="Q187" s="702"/>
      <c r="R187" s="702"/>
      <c r="S187" s="702"/>
      <c r="T187" s="702"/>
      <c r="U187" s="702"/>
      <c r="V187" s="703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96" t="s">
        <v>274</v>
      </c>
      <c r="B188" s="696"/>
      <c r="C188" s="696"/>
      <c r="D188" s="696"/>
      <c r="E188" s="696"/>
      <c r="F188" s="696"/>
      <c r="G188" s="696"/>
      <c r="H188" s="696"/>
      <c r="I188" s="696"/>
      <c r="J188" s="696"/>
      <c r="K188" s="696"/>
      <c r="L188" s="696"/>
      <c r="M188" s="696"/>
      <c r="N188" s="696"/>
      <c r="O188" s="696"/>
      <c r="P188" s="696"/>
      <c r="Q188" s="696"/>
      <c r="R188" s="696"/>
      <c r="S188" s="696"/>
      <c r="T188" s="696"/>
      <c r="U188" s="696"/>
      <c r="V188" s="696"/>
      <c r="W188" s="696"/>
      <c r="X188" s="696"/>
      <c r="Y188" s="696"/>
      <c r="Z188" s="696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97">
        <v>4680115889026</v>
      </c>
      <c r="E189" s="69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79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99"/>
      <c r="R189" s="699"/>
      <c r="S189" s="699"/>
      <c r="T189" s="70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04"/>
      <c r="B190" s="704"/>
      <c r="C190" s="704"/>
      <c r="D190" s="704"/>
      <c r="E190" s="704"/>
      <c r="F190" s="704"/>
      <c r="G190" s="704"/>
      <c r="H190" s="704"/>
      <c r="I190" s="704"/>
      <c r="J190" s="704"/>
      <c r="K190" s="704"/>
      <c r="L190" s="704"/>
      <c r="M190" s="704"/>
      <c r="N190" s="704"/>
      <c r="O190" s="705"/>
      <c r="P190" s="701" t="s">
        <v>40</v>
      </c>
      <c r="Q190" s="702"/>
      <c r="R190" s="702"/>
      <c r="S190" s="702"/>
      <c r="T190" s="702"/>
      <c r="U190" s="702"/>
      <c r="V190" s="703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704"/>
      <c r="B191" s="704"/>
      <c r="C191" s="704"/>
      <c r="D191" s="704"/>
      <c r="E191" s="704"/>
      <c r="F191" s="704"/>
      <c r="G191" s="704"/>
      <c r="H191" s="704"/>
      <c r="I191" s="704"/>
      <c r="J191" s="704"/>
      <c r="K191" s="704"/>
      <c r="L191" s="704"/>
      <c r="M191" s="704"/>
      <c r="N191" s="704"/>
      <c r="O191" s="705"/>
      <c r="P191" s="701" t="s">
        <v>40</v>
      </c>
      <c r="Q191" s="702"/>
      <c r="R191" s="702"/>
      <c r="S191" s="702"/>
      <c r="T191" s="702"/>
      <c r="U191" s="702"/>
      <c r="V191" s="703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96" t="s">
        <v>334</v>
      </c>
      <c r="B192" s="696"/>
      <c r="C192" s="696"/>
      <c r="D192" s="696"/>
      <c r="E192" s="696"/>
      <c r="F192" s="696"/>
      <c r="G192" s="696"/>
      <c r="H192" s="696"/>
      <c r="I192" s="696"/>
      <c r="J192" s="696"/>
      <c r="K192" s="696"/>
      <c r="L192" s="696"/>
      <c r="M192" s="696"/>
      <c r="N192" s="696"/>
      <c r="O192" s="696"/>
      <c r="P192" s="696"/>
      <c r="Q192" s="696"/>
      <c r="R192" s="696"/>
      <c r="S192" s="696"/>
      <c r="T192" s="696"/>
      <c r="U192" s="696"/>
      <c r="V192" s="696"/>
      <c r="W192" s="696"/>
      <c r="X192" s="696"/>
      <c r="Y192" s="696"/>
      <c r="Z192" s="696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97">
        <v>4680115889033</v>
      </c>
      <c r="E193" s="69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7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99"/>
      <c r="R193" s="699"/>
      <c r="S193" s="699"/>
      <c r="T193" s="70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04"/>
      <c r="B194" s="704"/>
      <c r="C194" s="704"/>
      <c r="D194" s="704"/>
      <c r="E194" s="704"/>
      <c r="F194" s="704"/>
      <c r="G194" s="704"/>
      <c r="H194" s="704"/>
      <c r="I194" s="704"/>
      <c r="J194" s="704"/>
      <c r="K194" s="704"/>
      <c r="L194" s="704"/>
      <c r="M194" s="704"/>
      <c r="N194" s="704"/>
      <c r="O194" s="705"/>
      <c r="P194" s="701" t="s">
        <v>40</v>
      </c>
      <c r="Q194" s="702"/>
      <c r="R194" s="702"/>
      <c r="S194" s="702"/>
      <c r="T194" s="702"/>
      <c r="U194" s="702"/>
      <c r="V194" s="703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04"/>
      <c r="B195" s="704"/>
      <c r="C195" s="704"/>
      <c r="D195" s="704"/>
      <c r="E195" s="704"/>
      <c r="F195" s="704"/>
      <c r="G195" s="704"/>
      <c r="H195" s="704"/>
      <c r="I195" s="704"/>
      <c r="J195" s="704"/>
      <c r="K195" s="704"/>
      <c r="L195" s="704"/>
      <c r="M195" s="704"/>
      <c r="N195" s="704"/>
      <c r="O195" s="705"/>
      <c r="P195" s="701" t="s">
        <v>40</v>
      </c>
      <c r="Q195" s="702"/>
      <c r="R195" s="702"/>
      <c r="S195" s="702"/>
      <c r="T195" s="702"/>
      <c r="U195" s="702"/>
      <c r="V195" s="703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94" t="s">
        <v>338</v>
      </c>
      <c r="B196" s="694"/>
      <c r="C196" s="694"/>
      <c r="D196" s="694"/>
      <c r="E196" s="694"/>
      <c r="F196" s="694"/>
      <c r="G196" s="694"/>
      <c r="H196" s="694"/>
      <c r="I196" s="694"/>
      <c r="J196" s="694"/>
      <c r="K196" s="694"/>
      <c r="L196" s="694"/>
      <c r="M196" s="694"/>
      <c r="N196" s="694"/>
      <c r="O196" s="694"/>
      <c r="P196" s="694"/>
      <c r="Q196" s="694"/>
      <c r="R196" s="694"/>
      <c r="S196" s="694"/>
      <c r="T196" s="694"/>
      <c r="U196" s="694"/>
      <c r="V196" s="694"/>
      <c r="W196" s="694"/>
      <c r="X196" s="694"/>
      <c r="Y196" s="694"/>
      <c r="Z196" s="694"/>
      <c r="AA196" s="54"/>
      <c r="AB196" s="54"/>
      <c r="AC196" s="54"/>
    </row>
    <row r="197" spans="1:68" ht="16.5" hidden="1" customHeight="1" x14ac:dyDescent="0.25">
      <c r="A197" s="695" t="s">
        <v>339</v>
      </c>
      <c r="B197" s="695"/>
      <c r="C197" s="695"/>
      <c r="D197" s="695"/>
      <c r="E197" s="695"/>
      <c r="F197" s="695"/>
      <c r="G197" s="695"/>
      <c r="H197" s="695"/>
      <c r="I197" s="695"/>
      <c r="J197" s="695"/>
      <c r="K197" s="695"/>
      <c r="L197" s="695"/>
      <c r="M197" s="695"/>
      <c r="N197" s="695"/>
      <c r="O197" s="695"/>
      <c r="P197" s="695"/>
      <c r="Q197" s="695"/>
      <c r="R197" s="695"/>
      <c r="S197" s="695"/>
      <c r="T197" s="695"/>
      <c r="U197" s="695"/>
      <c r="V197" s="695"/>
      <c r="W197" s="695"/>
      <c r="X197" s="695"/>
      <c r="Y197" s="695"/>
      <c r="Z197" s="695"/>
      <c r="AA197" s="65"/>
      <c r="AB197" s="65"/>
      <c r="AC197" s="79"/>
    </row>
    <row r="198" spans="1:68" ht="14.25" hidden="1" customHeight="1" x14ac:dyDescent="0.25">
      <c r="A198" s="696" t="s">
        <v>119</v>
      </c>
      <c r="B198" s="696"/>
      <c r="C198" s="696"/>
      <c r="D198" s="696"/>
      <c r="E198" s="696"/>
      <c r="F198" s="696"/>
      <c r="G198" s="696"/>
      <c r="H198" s="696"/>
      <c r="I198" s="696"/>
      <c r="J198" s="696"/>
      <c r="K198" s="696"/>
      <c r="L198" s="696"/>
      <c r="M198" s="696"/>
      <c r="N198" s="696"/>
      <c r="O198" s="696"/>
      <c r="P198" s="696"/>
      <c r="Q198" s="696"/>
      <c r="R198" s="696"/>
      <c r="S198" s="696"/>
      <c r="T198" s="696"/>
      <c r="U198" s="696"/>
      <c r="V198" s="696"/>
      <c r="W198" s="696"/>
      <c r="X198" s="696"/>
      <c r="Y198" s="696"/>
      <c r="Z198" s="696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97">
        <v>4607091383423</v>
      </c>
      <c r="E199" s="697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97">
        <v>4680115888760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97">
        <v>4680115888807</v>
      </c>
      <c r="E201" s="697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97">
        <v>4680115888852</v>
      </c>
      <c r="E202" s="697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97">
        <v>4680115886957</v>
      </c>
      <c r="E203" s="69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354</v>
      </c>
      <c r="B204" s="63" t="s">
        <v>355</v>
      </c>
      <c r="C204" s="36">
        <v>4301012098</v>
      </c>
      <c r="D204" s="697">
        <v>4680115885660</v>
      </c>
      <c r="E204" s="69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100</v>
      </c>
      <c r="Y204" s="55">
        <f t="shared" si="20"/>
        <v>108</v>
      </c>
      <c r="Z204" s="41">
        <f t="shared" si="21"/>
        <v>0.1898</v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103.79629629629629</v>
      </c>
      <c r="BN204" s="78">
        <f t="shared" si="23"/>
        <v>112.1</v>
      </c>
      <c r="BO204" s="78">
        <f t="shared" si="24"/>
        <v>0.14467592592592593</v>
      </c>
      <c r="BP204" s="78">
        <f t="shared" si="25"/>
        <v>0.15625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97">
        <v>4680115886773</v>
      </c>
      <c r="E205" s="69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99"/>
      <c r="R205" s="699"/>
      <c r="S205" s="699"/>
      <c r="T205" s="70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x14ac:dyDescent="0.2">
      <c r="A206" s="704"/>
      <c r="B206" s="704"/>
      <c r="C206" s="704"/>
      <c r="D206" s="704"/>
      <c r="E206" s="704"/>
      <c r="F206" s="704"/>
      <c r="G206" s="704"/>
      <c r="H206" s="704"/>
      <c r="I206" s="704"/>
      <c r="J206" s="704"/>
      <c r="K206" s="704"/>
      <c r="L206" s="704"/>
      <c r="M206" s="704"/>
      <c r="N206" s="704"/>
      <c r="O206" s="705"/>
      <c r="P206" s="701" t="s">
        <v>40</v>
      </c>
      <c r="Q206" s="702"/>
      <c r="R206" s="702"/>
      <c r="S206" s="702"/>
      <c r="T206" s="702"/>
      <c r="U206" s="702"/>
      <c r="V206" s="703"/>
      <c r="W206" s="42" t="s">
        <v>39</v>
      </c>
      <c r="X206" s="43">
        <f>IFERROR(X199/H199,"0")+IFERROR(X200/H200,"0")+IFERROR(X201/H201,"0")+IFERROR(X202/H202,"0")+IFERROR(X203/H203,"0")+IFERROR(X204/H204,"0")+IFERROR(X205/H205,"0")</f>
        <v>9.2592592592592595</v>
      </c>
      <c r="Y206" s="43">
        <f>IFERROR(Y199/H199,"0")+IFERROR(Y200/H200,"0")+IFERROR(Y201/H201,"0")+IFERROR(Y202/H202,"0")+IFERROR(Y203/H203,"0")+IFERROR(Y204/H204,"0")+IFERROR(Y205/H205,"0")</f>
        <v>10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0.1898</v>
      </c>
      <c r="AA206" s="67"/>
      <c r="AB206" s="67"/>
      <c r="AC206" s="67"/>
    </row>
    <row r="207" spans="1:68" x14ac:dyDescent="0.2">
      <c r="A207" s="704"/>
      <c r="B207" s="704"/>
      <c r="C207" s="704"/>
      <c r="D207" s="704"/>
      <c r="E207" s="704"/>
      <c r="F207" s="704"/>
      <c r="G207" s="704"/>
      <c r="H207" s="704"/>
      <c r="I207" s="704"/>
      <c r="J207" s="704"/>
      <c r="K207" s="704"/>
      <c r="L207" s="704"/>
      <c r="M207" s="704"/>
      <c r="N207" s="704"/>
      <c r="O207" s="705"/>
      <c r="P207" s="701" t="s">
        <v>40</v>
      </c>
      <c r="Q207" s="702"/>
      <c r="R207" s="702"/>
      <c r="S207" s="702"/>
      <c r="T207" s="702"/>
      <c r="U207" s="702"/>
      <c r="V207" s="703"/>
      <c r="W207" s="42" t="s">
        <v>0</v>
      </c>
      <c r="X207" s="43">
        <f>IFERROR(SUM(X199:X205),"0")</f>
        <v>100</v>
      </c>
      <c r="Y207" s="43">
        <f>IFERROR(SUM(Y199:Y205),"0")</f>
        <v>108</v>
      </c>
      <c r="Z207" s="42"/>
      <c r="AA207" s="67"/>
      <c r="AB207" s="67"/>
      <c r="AC207" s="67"/>
    </row>
    <row r="208" spans="1:68" ht="16.5" hidden="1" customHeight="1" x14ac:dyDescent="0.25">
      <c r="A208" s="695" t="s">
        <v>360</v>
      </c>
      <c r="B208" s="695"/>
      <c r="C208" s="695"/>
      <c r="D208" s="695"/>
      <c r="E208" s="695"/>
      <c r="F208" s="695"/>
      <c r="G208" s="695"/>
      <c r="H208" s="695"/>
      <c r="I208" s="695"/>
      <c r="J208" s="695"/>
      <c r="K208" s="695"/>
      <c r="L208" s="695"/>
      <c r="M208" s="695"/>
      <c r="N208" s="695"/>
      <c r="O208" s="695"/>
      <c r="P208" s="695"/>
      <c r="Q208" s="695"/>
      <c r="R208" s="695"/>
      <c r="S208" s="695"/>
      <c r="T208" s="695"/>
      <c r="U208" s="695"/>
      <c r="V208" s="695"/>
      <c r="W208" s="695"/>
      <c r="X208" s="695"/>
      <c r="Y208" s="695"/>
      <c r="Z208" s="695"/>
      <c r="AA208" s="65"/>
      <c r="AB208" s="65"/>
      <c r="AC208" s="79"/>
    </row>
    <row r="209" spans="1:68" ht="14.25" hidden="1" customHeight="1" x14ac:dyDescent="0.25">
      <c r="A209" s="696" t="s">
        <v>154</v>
      </c>
      <c r="B209" s="696"/>
      <c r="C209" s="696"/>
      <c r="D209" s="696"/>
      <c r="E209" s="696"/>
      <c r="F209" s="696"/>
      <c r="G209" s="696"/>
      <c r="H209" s="696"/>
      <c r="I209" s="696"/>
      <c r="J209" s="696"/>
      <c r="K209" s="696"/>
      <c r="L209" s="696"/>
      <c r="M209" s="696"/>
      <c r="N209" s="696"/>
      <c r="O209" s="696"/>
      <c r="P209" s="696"/>
      <c r="Q209" s="696"/>
      <c r="R209" s="696"/>
      <c r="S209" s="696"/>
      <c r="T209" s="696"/>
      <c r="U209" s="696"/>
      <c r="V209" s="696"/>
      <c r="W209" s="696"/>
      <c r="X209" s="696"/>
      <c r="Y209" s="696"/>
      <c r="Z209" s="696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97">
        <v>4680115886223</v>
      </c>
      <c r="E210" s="69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99"/>
      <c r="R210" s="699"/>
      <c r="S210" s="699"/>
      <c r="T210" s="70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704"/>
      <c r="B211" s="704"/>
      <c r="C211" s="704"/>
      <c r="D211" s="704"/>
      <c r="E211" s="704"/>
      <c r="F211" s="704"/>
      <c r="G211" s="704"/>
      <c r="H211" s="704"/>
      <c r="I211" s="704"/>
      <c r="J211" s="704"/>
      <c r="K211" s="704"/>
      <c r="L211" s="704"/>
      <c r="M211" s="704"/>
      <c r="N211" s="704"/>
      <c r="O211" s="705"/>
      <c r="P211" s="701" t="s">
        <v>40</v>
      </c>
      <c r="Q211" s="702"/>
      <c r="R211" s="702"/>
      <c r="S211" s="702"/>
      <c r="T211" s="702"/>
      <c r="U211" s="702"/>
      <c r="V211" s="703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704"/>
      <c r="B212" s="704"/>
      <c r="C212" s="704"/>
      <c r="D212" s="704"/>
      <c r="E212" s="704"/>
      <c r="F212" s="704"/>
      <c r="G212" s="704"/>
      <c r="H212" s="704"/>
      <c r="I212" s="704"/>
      <c r="J212" s="704"/>
      <c r="K212" s="704"/>
      <c r="L212" s="704"/>
      <c r="M212" s="704"/>
      <c r="N212" s="704"/>
      <c r="O212" s="705"/>
      <c r="P212" s="701" t="s">
        <v>40</v>
      </c>
      <c r="Q212" s="702"/>
      <c r="R212" s="702"/>
      <c r="S212" s="702"/>
      <c r="T212" s="702"/>
      <c r="U212" s="702"/>
      <c r="V212" s="703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96" t="s">
        <v>77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696"/>
      <c r="O213" s="696"/>
      <c r="P213" s="696"/>
      <c r="Q213" s="696"/>
      <c r="R213" s="696"/>
      <c r="S213" s="696"/>
      <c r="T213" s="696"/>
      <c r="U213" s="696"/>
      <c r="V213" s="696"/>
      <c r="W213" s="696"/>
      <c r="X213" s="696"/>
      <c r="Y213" s="696"/>
      <c r="Z213" s="696"/>
      <c r="AA213" s="66"/>
      <c r="AB213" s="66"/>
      <c r="AC213" s="80"/>
    </row>
    <row r="214" spans="1:68" ht="27" customHeight="1" x14ac:dyDescent="0.25">
      <c r="A214" s="63" t="s">
        <v>364</v>
      </c>
      <c r="B214" s="63" t="s">
        <v>365</v>
      </c>
      <c r="C214" s="36">
        <v>4301031191</v>
      </c>
      <c r="D214" s="697">
        <v>4680115880993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50</v>
      </c>
      <c r="Y214" s="55">
        <f t="shared" ref="Y214:Y226" si="26">IFERROR(IF(X214="",0,CEILING((X214/$H214),1)*$H214),"")</f>
        <v>50.400000000000006</v>
      </c>
      <c r="Z214" s="41">
        <f>IFERROR(IF(Y214=0,"",ROUNDUP(Y214/H214,0)*0.00902),"")</f>
        <v>0.10824</v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52.976190476190474</v>
      </c>
      <c r="BN214" s="78">
        <f t="shared" ref="BN214:BN226" si="28">IFERROR(Y214*I214/H214,"0")</f>
        <v>53.400000000000006</v>
      </c>
      <c r="BO214" s="78">
        <f t="shared" ref="BO214:BO226" si="29">IFERROR(1/J214*(X214/H214),"0")</f>
        <v>9.0187590187590191E-2</v>
      </c>
      <c r="BP214" s="78">
        <f t="shared" ref="BP214:BP226" si="30">IFERROR(1/J214*(Y214/H214),"0")</f>
        <v>9.0909090909090912E-2</v>
      </c>
    </row>
    <row r="215" spans="1:68" ht="27" hidden="1" customHeight="1" x14ac:dyDescent="0.25">
      <c r="A215" s="63" t="s">
        <v>367</v>
      </c>
      <c r="B215" s="63" t="s">
        <v>368</v>
      </c>
      <c r="C215" s="36">
        <v>4301031204</v>
      </c>
      <c r="D215" s="697">
        <v>4680115881761</v>
      </c>
      <c r="E215" s="69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370</v>
      </c>
      <c r="B216" s="63" t="s">
        <v>371</v>
      </c>
      <c r="C216" s="36">
        <v>4301031201</v>
      </c>
      <c r="D216" s="697">
        <v>4680115881563</v>
      </c>
      <c r="E216" s="69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60</v>
      </c>
      <c r="Y216" s="55">
        <f t="shared" si="26"/>
        <v>63</v>
      </c>
      <c r="Z216" s="41">
        <f>IFERROR(IF(Y216=0,"",ROUNDUP(Y216/H216,0)*0.00902),"")</f>
        <v>0.1353</v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62.714285714285708</v>
      </c>
      <c r="BN216" s="78">
        <f t="shared" si="28"/>
        <v>65.849999999999994</v>
      </c>
      <c r="BO216" s="78">
        <f t="shared" si="29"/>
        <v>0.10822510822510822</v>
      </c>
      <c r="BP216" s="78">
        <f t="shared" si="30"/>
        <v>0.11363636363636365</v>
      </c>
    </row>
    <row r="217" spans="1:68" ht="37.5" hidden="1" customHeight="1" x14ac:dyDescent="0.25">
      <c r="A217" s="63" t="s">
        <v>373</v>
      </c>
      <c r="B217" s="63" t="s">
        <v>374</v>
      </c>
      <c r="C217" s="36">
        <v>4301031447</v>
      </c>
      <c r="D217" s="697">
        <v>4680115887565</v>
      </c>
      <c r="E217" s="69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4301031199</v>
      </c>
      <c r="D218" s="697">
        <v>4680115880986</v>
      </c>
      <c r="E218" s="69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70</v>
      </c>
      <c r="Y218" s="55">
        <f t="shared" si="26"/>
        <v>71.400000000000006</v>
      </c>
      <c r="Z218" s="41">
        <f>IFERROR(IF(Y218=0,"",ROUNDUP(Y218/H218,0)*0.00502),"")</f>
        <v>0.17068</v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74.333333333333329</v>
      </c>
      <c r="BN218" s="78">
        <f t="shared" si="28"/>
        <v>75.820000000000007</v>
      </c>
      <c r="BO218" s="78">
        <f t="shared" si="29"/>
        <v>0.14245014245014245</v>
      </c>
      <c r="BP218" s="78">
        <f t="shared" si="30"/>
        <v>0.14529914529914531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97">
        <v>4680115887213</v>
      </c>
      <c r="E219" s="69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4301031205</v>
      </c>
      <c r="D220" s="697">
        <v>4680115881785</v>
      </c>
      <c r="E220" s="69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175</v>
      </c>
      <c r="Y220" s="55">
        <f t="shared" si="26"/>
        <v>176.4</v>
      </c>
      <c r="Z220" s="41">
        <f>IFERROR(IF(Y220=0,"",ROUNDUP(Y220/H220,0)*0.00502),"")</f>
        <v>0.42168</v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185.83333333333331</v>
      </c>
      <c r="BN220" s="78">
        <f t="shared" si="28"/>
        <v>187.32</v>
      </c>
      <c r="BO220" s="78">
        <f t="shared" si="29"/>
        <v>0.35612535612535612</v>
      </c>
      <c r="BP220" s="78">
        <f t="shared" si="30"/>
        <v>0.35897435897435903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97">
        <v>4680115888432</v>
      </c>
      <c r="E221" s="69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392</v>
      </c>
      <c r="B224" s="63" t="s">
        <v>393</v>
      </c>
      <c r="C224" s="36">
        <v>4301031530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1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175</v>
      </c>
      <c r="Y224" s="55">
        <f t="shared" si="26"/>
        <v>176.4</v>
      </c>
      <c r="Z224" s="41">
        <f>IFERROR(IF(Y224=0,"",ROUNDUP(Y224/H224,0)*0.00502),"")</f>
        <v>0.42168</v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183.33333333333334</v>
      </c>
      <c r="BN224" s="78">
        <f t="shared" si="28"/>
        <v>184.8</v>
      </c>
      <c r="BO224" s="78">
        <f t="shared" si="29"/>
        <v>0.35612535612535612</v>
      </c>
      <c r="BP224" s="78">
        <f t="shared" si="30"/>
        <v>0.35897435897435903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1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704"/>
      <c r="B227" s="704"/>
      <c r="C227" s="704"/>
      <c r="D227" s="704"/>
      <c r="E227" s="704"/>
      <c r="F227" s="704"/>
      <c r="G227" s="704"/>
      <c r="H227" s="704"/>
      <c r="I227" s="704"/>
      <c r="J227" s="704"/>
      <c r="K227" s="704"/>
      <c r="L227" s="704"/>
      <c r="M227" s="704"/>
      <c r="N227" s="704"/>
      <c r="O227" s="705"/>
      <c r="P227" s="701" t="s">
        <v>40</v>
      </c>
      <c r="Q227" s="702"/>
      <c r="R227" s="702"/>
      <c r="S227" s="702"/>
      <c r="T227" s="702"/>
      <c r="U227" s="702"/>
      <c r="V227" s="703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226.19047619047615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229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1.2575800000000001</v>
      </c>
      <c r="AA227" s="67"/>
      <c r="AB227" s="67"/>
      <c r="AC227" s="67"/>
    </row>
    <row r="228" spans="1:68" x14ac:dyDescent="0.2">
      <c r="A228" s="704"/>
      <c r="B228" s="704"/>
      <c r="C228" s="704"/>
      <c r="D228" s="704"/>
      <c r="E228" s="704"/>
      <c r="F228" s="704"/>
      <c r="G228" s="704"/>
      <c r="H228" s="704"/>
      <c r="I228" s="704"/>
      <c r="J228" s="704"/>
      <c r="K228" s="704"/>
      <c r="L228" s="704"/>
      <c r="M228" s="704"/>
      <c r="N228" s="704"/>
      <c r="O228" s="705"/>
      <c r="P228" s="701" t="s">
        <v>40</v>
      </c>
      <c r="Q228" s="702"/>
      <c r="R228" s="702"/>
      <c r="S228" s="702"/>
      <c r="T228" s="702"/>
      <c r="U228" s="702"/>
      <c r="V228" s="703"/>
      <c r="W228" s="42" t="s">
        <v>0</v>
      </c>
      <c r="X228" s="43">
        <f>IFERROR(SUM(X214:X226),"0")</f>
        <v>530</v>
      </c>
      <c r="Y228" s="43">
        <f>IFERROR(SUM(Y214:Y226),"0")</f>
        <v>537.6</v>
      </c>
      <c r="Z228" s="42"/>
      <c r="AA228" s="67"/>
      <c r="AB228" s="67"/>
      <c r="AC228" s="67"/>
    </row>
    <row r="229" spans="1:68" ht="14.25" hidden="1" customHeight="1" x14ac:dyDescent="0.25">
      <c r="A229" s="696" t="s">
        <v>83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97">
        <v>4680115888692</v>
      </c>
      <c r="E230" s="697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1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97">
        <v>4680115888722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1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405</v>
      </c>
      <c r="B232" s="63" t="s">
        <v>406</v>
      </c>
      <c r="C232" s="36">
        <v>4301052276</v>
      </c>
      <c r="D232" s="697">
        <v>4680115888951</v>
      </c>
      <c r="E232" s="697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1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72</v>
      </c>
      <c r="Y232" s="55">
        <f>IFERROR(IF(X232="",0,CEILING((X232/$H232),1)*$H232),"")</f>
        <v>73.44</v>
      </c>
      <c r="Z232" s="41">
        <f>IFERROR(IF(Y232=0,"",ROUNDUP(Y232/H232,0)*0.00902),"")</f>
        <v>0.30668000000000001</v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80.733333333333334</v>
      </c>
      <c r="BN232" s="78">
        <f>IFERROR(Y232*I232/H232,"0")</f>
        <v>82.347999999999999</v>
      </c>
      <c r="BO232" s="78">
        <f>IFERROR(1/J232*(X232/H232),"0")</f>
        <v>0.25252525252525249</v>
      </c>
      <c r="BP232" s="78">
        <f>IFERROR(1/J232*(Y232/H232),"0")</f>
        <v>0.25757575757575757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97">
        <v>4680115888975</v>
      </c>
      <c r="E233" s="697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1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704"/>
      <c r="B235" s="704"/>
      <c r="C235" s="704"/>
      <c r="D235" s="704"/>
      <c r="E235" s="704"/>
      <c r="F235" s="704"/>
      <c r="G235" s="704"/>
      <c r="H235" s="704"/>
      <c r="I235" s="704"/>
      <c r="J235" s="704"/>
      <c r="K235" s="704"/>
      <c r="L235" s="704"/>
      <c r="M235" s="704"/>
      <c r="N235" s="704"/>
      <c r="O235" s="705"/>
      <c r="P235" s="701" t="s">
        <v>40</v>
      </c>
      <c r="Q235" s="702"/>
      <c r="R235" s="702"/>
      <c r="S235" s="702"/>
      <c r="T235" s="702"/>
      <c r="U235" s="702"/>
      <c r="V235" s="703"/>
      <c r="W235" s="42" t="s">
        <v>39</v>
      </c>
      <c r="X235" s="43">
        <f>IFERROR(X230/H230,"0")+IFERROR(X231/H231,"0")+IFERROR(X232/H232,"0")+IFERROR(X233/H233,"0")+IFERROR(X234/H234,"0")</f>
        <v>33.333333333333329</v>
      </c>
      <c r="Y235" s="43">
        <f>IFERROR(Y230/H230,"0")+IFERROR(Y231/H231,"0")+IFERROR(Y232/H232,"0")+IFERROR(Y233/H233,"0")+IFERROR(Y234/H234,"0")</f>
        <v>34</v>
      </c>
      <c r="Z235" s="43">
        <f>IFERROR(IF(Z230="",0,Z230),"0")+IFERROR(IF(Z231="",0,Z231),"0")+IFERROR(IF(Z232="",0,Z232),"0")+IFERROR(IF(Z233="",0,Z233),"0")+IFERROR(IF(Z234="",0,Z234),"0")</f>
        <v>0.30668000000000001</v>
      </c>
      <c r="AA235" s="67"/>
      <c r="AB235" s="67"/>
      <c r="AC235" s="67"/>
    </row>
    <row r="236" spans="1:68" x14ac:dyDescent="0.2">
      <c r="A236" s="704"/>
      <c r="B236" s="704"/>
      <c r="C236" s="704"/>
      <c r="D236" s="704"/>
      <c r="E236" s="704"/>
      <c r="F236" s="704"/>
      <c r="G236" s="704"/>
      <c r="H236" s="704"/>
      <c r="I236" s="704"/>
      <c r="J236" s="704"/>
      <c r="K236" s="704"/>
      <c r="L236" s="704"/>
      <c r="M236" s="704"/>
      <c r="N236" s="704"/>
      <c r="O236" s="705"/>
      <c r="P236" s="701" t="s">
        <v>40</v>
      </c>
      <c r="Q236" s="702"/>
      <c r="R236" s="702"/>
      <c r="S236" s="702"/>
      <c r="T236" s="702"/>
      <c r="U236" s="702"/>
      <c r="V236" s="703"/>
      <c r="W236" s="42" t="s">
        <v>0</v>
      </c>
      <c r="X236" s="43">
        <f>IFERROR(SUM(X230:X234),"0")</f>
        <v>72</v>
      </c>
      <c r="Y236" s="43">
        <f>IFERROR(SUM(Y230:Y234),"0")</f>
        <v>73.44</v>
      </c>
      <c r="Z236" s="42"/>
      <c r="AA236" s="67"/>
      <c r="AB236" s="67"/>
      <c r="AC236" s="67"/>
    </row>
    <row r="237" spans="1:68" ht="14.25" hidden="1" customHeight="1" x14ac:dyDescent="0.25">
      <c r="A237" s="696" t="s">
        <v>274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hidden="1" customHeight="1" x14ac:dyDescent="0.25">
      <c r="A238" s="63" t="s">
        <v>412</v>
      </c>
      <c r="B238" s="63" t="s">
        <v>413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415</v>
      </c>
      <c r="B239" s="63" t="s">
        <v>416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418</v>
      </c>
      <c r="B240" s="63" t="s">
        <v>419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04"/>
      <c r="B241" s="704"/>
      <c r="C241" s="704"/>
      <c r="D241" s="704"/>
      <c r="E241" s="704"/>
      <c r="F241" s="704"/>
      <c r="G241" s="704"/>
      <c r="H241" s="704"/>
      <c r="I241" s="704"/>
      <c r="J241" s="704"/>
      <c r="K241" s="704"/>
      <c r="L241" s="704"/>
      <c r="M241" s="704"/>
      <c r="N241" s="704"/>
      <c r="O241" s="705"/>
      <c r="P241" s="701" t="s">
        <v>40</v>
      </c>
      <c r="Q241" s="702"/>
      <c r="R241" s="702"/>
      <c r="S241" s="702"/>
      <c r="T241" s="702"/>
      <c r="U241" s="702"/>
      <c r="V241" s="703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04"/>
      <c r="B242" s="704"/>
      <c r="C242" s="704"/>
      <c r="D242" s="704"/>
      <c r="E242" s="704"/>
      <c r="F242" s="704"/>
      <c r="G242" s="704"/>
      <c r="H242" s="704"/>
      <c r="I242" s="704"/>
      <c r="J242" s="704"/>
      <c r="K242" s="704"/>
      <c r="L242" s="704"/>
      <c r="M242" s="704"/>
      <c r="N242" s="704"/>
      <c r="O242" s="705"/>
      <c r="P242" s="701" t="s">
        <v>40</v>
      </c>
      <c r="Q242" s="702"/>
      <c r="R242" s="702"/>
      <c r="S242" s="702"/>
      <c r="T242" s="702"/>
      <c r="U242" s="702"/>
      <c r="V242" s="703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96" t="s">
        <v>420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4"/>
      <c r="B245" s="704"/>
      <c r="C245" s="704"/>
      <c r="D245" s="704"/>
      <c r="E245" s="704"/>
      <c r="F245" s="704"/>
      <c r="G245" s="704"/>
      <c r="H245" s="704"/>
      <c r="I245" s="704"/>
      <c r="J245" s="704"/>
      <c r="K245" s="704"/>
      <c r="L245" s="704"/>
      <c r="M245" s="704"/>
      <c r="N245" s="704"/>
      <c r="O245" s="705"/>
      <c r="P245" s="701" t="s">
        <v>40</v>
      </c>
      <c r="Q245" s="702"/>
      <c r="R245" s="702"/>
      <c r="S245" s="702"/>
      <c r="T245" s="702"/>
      <c r="U245" s="702"/>
      <c r="V245" s="703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4"/>
      <c r="B246" s="704"/>
      <c r="C246" s="704"/>
      <c r="D246" s="704"/>
      <c r="E246" s="704"/>
      <c r="F246" s="704"/>
      <c r="G246" s="704"/>
      <c r="H246" s="704"/>
      <c r="I246" s="704"/>
      <c r="J246" s="704"/>
      <c r="K246" s="704"/>
      <c r="L246" s="704"/>
      <c r="M246" s="704"/>
      <c r="N246" s="704"/>
      <c r="O246" s="705"/>
      <c r="P246" s="701" t="s">
        <v>40</v>
      </c>
      <c r="Q246" s="702"/>
      <c r="R246" s="702"/>
      <c r="S246" s="702"/>
      <c r="T246" s="702"/>
      <c r="U246" s="702"/>
      <c r="V246" s="703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5" t="s">
        <v>423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119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4"/>
      <c r="B251" s="704"/>
      <c r="C251" s="704"/>
      <c r="D251" s="704"/>
      <c r="E251" s="704"/>
      <c r="F251" s="704"/>
      <c r="G251" s="704"/>
      <c r="H251" s="704"/>
      <c r="I251" s="704"/>
      <c r="J251" s="704"/>
      <c r="K251" s="704"/>
      <c r="L251" s="704"/>
      <c r="M251" s="704"/>
      <c r="N251" s="704"/>
      <c r="O251" s="705"/>
      <c r="P251" s="701" t="s">
        <v>40</v>
      </c>
      <c r="Q251" s="702"/>
      <c r="R251" s="702"/>
      <c r="S251" s="702"/>
      <c r="T251" s="702"/>
      <c r="U251" s="702"/>
      <c r="V251" s="703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4"/>
      <c r="B252" s="704"/>
      <c r="C252" s="704"/>
      <c r="D252" s="704"/>
      <c r="E252" s="704"/>
      <c r="F252" s="704"/>
      <c r="G252" s="704"/>
      <c r="H252" s="704"/>
      <c r="I252" s="704"/>
      <c r="J252" s="704"/>
      <c r="K252" s="704"/>
      <c r="L252" s="704"/>
      <c r="M252" s="704"/>
      <c r="N252" s="704"/>
      <c r="O252" s="705"/>
      <c r="P252" s="701" t="s">
        <v>40</v>
      </c>
      <c r="Q252" s="702"/>
      <c r="R252" s="702"/>
      <c r="S252" s="702"/>
      <c r="T252" s="702"/>
      <c r="U252" s="702"/>
      <c r="V252" s="703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154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4"/>
      <c r="B256" s="704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4"/>
      <c r="N256" s="704"/>
      <c r="O256" s="705"/>
      <c r="P256" s="701" t="s">
        <v>40</v>
      </c>
      <c r="Q256" s="702"/>
      <c r="R256" s="702"/>
      <c r="S256" s="702"/>
      <c r="T256" s="702"/>
      <c r="U256" s="702"/>
      <c r="V256" s="703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4"/>
      <c r="B257" s="704"/>
      <c r="C257" s="704"/>
      <c r="D257" s="704"/>
      <c r="E257" s="704"/>
      <c r="F257" s="704"/>
      <c r="G257" s="704"/>
      <c r="H257" s="704"/>
      <c r="I257" s="704"/>
      <c r="J257" s="704"/>
      <c r="K257" s="704"/>
      <c r="L257" s="704"/>
      <c r="M257" s="704"/>
      <c r="N257" s="704"/>
      <c r="O257" s="705"/>
      <c r="P257" s="701" t="s">
        <v>40</v>
      </c>
      <c r="Q257" s="702"/>
      <c r="R257" s="702"/>
      <c r="S257" s="702"/>
      <c r="T257" s="702"/>
      <c r="U257" s="702"/>
      <c r="V257" s="703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200</v>
      </c>
      <c r="Y259" s="55">
        <f t="shared" ref="Y259:Y266" si="31">IFERROR(IF(X259="",0,CEILING((X259/$H259),1)*$H259),"")</f>
        <v>205.20000000000002</v>
      </c>
      <c r="Z259" s="41">
        <f>IFERROR(IF(Y259=0,"",ROUNDUP(Y259/H259,0)*0.00902),"")</f>
        <v>0.34276000000000001</v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207.03703703703701</v>
      </c>
      <c r="BN259" s="78">
        <f t="shared" ref="BN259:BN266" si="33">IFERROR(Y259*I259/H259,"0")</f>
        <v>212.42</v>
      </c>
      <c r="BO259" s="78">
        <f t="shared" ref="BO259:BO266" si="34">IFERROR(1/J259*(X259/H259),"0")</f>
        <v>0.28058361391694725</v>
      </c>
      <c r="BP259" s="78">
        <f t="shared" ref="BP259:BP266" si="35">IFERROR(1/J259*(Y259/H259),"0")</f>
        <v>0.2878787878787879</v>
      </c>
    </row>
    <row r="260" spans="1:68" ht="27" customHeight="1" x14ac:dyDescent="0.25">
      <c r="A260" s="63" t="s">
        <v>437</v>
      </c>
      <c r="B260" s="63" t="s">
        <v>438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20</v>
      </c>
      <c r="Y260" s="55">
        <f t="shared" si="31"/>
        <v>21.6</v>
      </c>
      <c r="Z260" s="41">
        <f>IFERROR(IF(Y260=0,"",ROUNDUP(Y260/H260,0)*0.00902),"")</f>
        <v>3.6080000000000001E-2</v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20.703703703703702</v>
      </c>
      <c r="BN260" s="78">
        <f t="shared" si="33"/>
        <v>22.36</v>
      </c>
      <c r="BO260" s="78">
        <f t="shared" si="34"/>
        <v>2.8058361391694722E-2</v>
      </c>
      <c r="BP260" s="78">
        <f t="shared" si="35"/>
        <v>3.0303030303030304E-2</v>
      </c>
    </row>
    <row r="261" spans="1:68" ht="27" customHeight="1" x14ac:dyDescent="0.25">
      <c r="A261" s="63" t="s">
        <v>440</v>
      </c>
      <c r="B261" s="63" t="s">
        <v>441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100</v>
      </c>
      <c r="Y261" s="55">
        <f t="shared" si="31"/>
        <v>102.60000000000001</v>
      </c>
      <c r="Z261" s="41">
        <f>IFERROR(IF(Y261=0,"",ROUNDUP(Y261/H261,0)*0.00902),"")</f>
        <v>0.17138</v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103.5185185185185</v>
      </c>
      <c r="BN261" s="78">
        <f t="shared" si="33"/>
        <v>106.21</v>
      </c>
      <c r="BO261" s="78">
        <f t="shared" si="34"/>
        <v>0.14029180695847362</v>
      </c>
      <c r="BP261" s="78">
        <f t="shared" si="35"/>
        <v>0.14393939393939395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60</v>
      </c>
      <c r="Y262" s="55">
        <f t="shared" si="31"/>
        <v>64.800000000000011</v>
      </c>
      <c r="Z262" s="41">
        <f>IFERROR(IF(Y262=0,"",ROUNDUP(Y262/H262,0)*0.00902),"")</f>
        <v>0.10824</v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62.1111111111111</v>
      </c>
      <c r="BN262" s="78">
        <f t="shared" si="33"/>
        <v>67.08</v>
      </c>
      <c r="BO262" s="78">
        <f t="shared" si="34"/>
        <v>8.4175084175084181E-2</v>
      </c>
      <c r="BP262" s="78">
        <f t="shared" si="35"/>
        <v>9.0909090909090925E-2</v>
      </c>
    </row>
    <row r="263" spans="1:68" ht="27" customHeight="1" x14ac:dyDescent="0.25">
      <c r="A263" s="63" t="s">
        <v>446</v>
      </c>
      <c r="B263" s="63" t="s">
        <v>447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90</v>
      </c>
      <c r="Y263" s="55">
        <f t="shared" si="31"/>
        <v>90</v>
      </c>
      <c r="Z263" s="41">
        <f>IFERROR(IF(Y263=0,"",ROUNDUP(Y263/H263,0)*0.00502),"")</f>
        <v>0.251</v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96.499999999999986</v>
      </c>
      <c r="BN263" s="78">
        <f t="shared" si="33"/>
        <v>96.499999999999986</v>
      </c>
      <c r="BO263" s="78">
        <f t="shared" si="34"/>
        <v>0.21367521367521369</v>
      </c>
      <c r="BP263" s="78">
        <f t="shared" si="35"/>
        <v>0.21367521367521369</v>
      </c>
    </row>
    <row r="264" spans="1:68" ht="27" customHeight="1" x14ac:dyDescent="0.25">
      <c r="A264" s="63" t="s">
        <v>448</v>
      </c>
      <c r="B264" s="63" t="s">
        <v>449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90</v>
      </c>
      <c r="Y264" s="55">
        <f t="shared" si="31"/>
        <v>90</v>
      </c>
      <c r="Z264" s="41">
        <f>IFERROR(IF(Y264=0,"",ROUNDUP(Y264/H264,0)*0.00502),"")</f>
        <v>0.251</v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95</v>
      </c>
      <c r="BN264" s="78">
        <f t="shared" si="33"/>
        <v>95</v>
      </c>
      <c r="BO264" s="78">
        <f t="shared" si="34"/>
        <v>0.21367521367521369</v>
      </c>
      <c r="BP264" s="78">
        <f t="shared" si="35"/>
        <v>0.21367521367521369</v>
      </c>
    </row>
    <row r="265" spans="1:68" ht="27" customHeight="1" x14ac:dyDescent="0.25">
      <c r="A265" s="63" t="s">
        <v>450</v>
      </c>
      <c r="B265" s="63" t="s">
        <v>451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90</v>
      </c>
      <c r="Y265" s="55">
        <f t="shared" si="31"/>
        <v>90</v>
      </c>
      <c r="Z265" s="41">
        <f>IFERROR(IF(Y265=0,"",ROUNDUP(Y265/H265,0)*0.00502),"")</f>
        <v>0.251</v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95</v>
      </c>
      <c r="BN265" s="78">
        <f t="shared" si="33"/>
        <v>95</v>
      </c>
      <c r="BO265" s="78">
        <f t="shared" si="34"/>
        <v>0.21367521367521369</v>
      </c>
      <c r="BP265" s="78">
        <f t="shared" si="35"/>
        <v>0.21367521367521369</v>
      </c>
    </row>
    <row r="266" spans="1:68" ht="27" customHeight="1" x14ac:dyDescent="0.25">
      <c r="A266" s="63" t="s">
        <v>452</v>
      </c>
      <c r="B266" s="63" t="s">
        <v>453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90</v>
      </c>
      <c r="Y266" s="55">
        <f t="shared" si="31"/>
        <v>90</v>
      </c>
      <c r="Z266" s="41">
        <f>IFERROR(IF(Y266=0,"",ROUNDUP(Y266/H266,0)*0.00502),"")</f>
        <v>0.251</v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95</v>
      </c>
      <c r="BN266" s="78">
        <f t="shared" si="33"/>
        <v>95</v>
      </c>
      <c r="BO266" s="78">
        <f t="shared" si="34"/>
        <v>0.21367521367521369</v>
      </c>
      <c r="BP266" s="78">
        <f t="shared" si="35"/>
        <v>0.21367521367521369</v>
      </c>
    </row>
    <row r="267" spans="1:68" x14ac:dyDescent="0.2">
      <c r="A267" s="704"/>
      <c r="B267" s="704"/>
      <c r="C267" s="704"/>
      <c r="D267" s="704"/>
      <c r="E267" s="704"/>
      <c r="F267" s="704"/>
      <c r="G267" s="704"/>
      <c r="H267" s="704"/>
      <c r="I267" s="704"/>
      <c r="J267" s="704"/>
      <c r="K267" s="704"/>
      <c r="L267" s="704"/>
      <c r="M267" s="704"/>
      <c r="N267" s="704"/>
      <c r="O267" s="705"/>
      <c r="P267" s="701" t="s">
        <v>40</v>
      </c>
      <c r="Q267" s="702"/>
      <c r="R267" s="702"/>
      <c r="S267" s="702"/>
      <c r="T267" s="702"/>
      <c r="U267" s="702"/>
      <c r="V267" s="703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270.37037037037038</v>
      </c>
      <c r="Y267" s="43">
        <f>IFERROR(Y259/H259,"0")+IFERROR(Y260/H260,"0")+IFERROR(Y261/H261,"0")+IFERROR(Y262/H262,"0")+IFERROR(Y263/H263,"0")+IFERROR(Y264/H264,"0")+IFERROR(Y265/H265,"0")+IFERROR(Y266/H266,"0")</f>
        <v>273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1.6624599999999998</v>
      </c>
      <c r="AA267" s="67"/>
      <c r="AB267" s="67"/>
      <c r="AC267" s="67"/>
    </row>
    <row r="268" spans="1:68" x14ac:dyDescent="0.2">
      <c r="A268" s="704"/>
      <c r="B268" s="704"/>
      <c r="C268" s="704"/>
      <c r="D268" s="704"/>
      <c r="E268" s="704"/>
      <c r="F268" s="704"/>
      <c r="G268" s="704"/>
      <c r="H268" s="704"/>
      <c r="I268" s="704"/>
      <c r="J268" s="704"/>
      <c r="K268" s="704"/>
      <c r="L268" s="704"/>
      <c r="M268" s="704"/>
      <c r="N268" s="704"/>
      <c r="O268" s="705"/>
      <c r="P268" s="701" t="s">
        <v>40</v>
      </c>
      <c r="Q268" s="702"/>
      <c r="R268" s="702"/>
      <c r="S268" s="702"/>
      <c r="T268" s="702"/>
      <c r="U268" s="702"/>
      <c r="V268" s="703"/>
      <c r="W268" s="42" t="s">
        <v>0</v>
      </c>
      <c r="X268" s="43">
        <f>IFERROR(SUM(X259:X266),"0")</f>
        <v>740</v>
      </c>
      <c r="Y268" s="43">
        <f>IFERROR(SUM(Y259:Y266),"0")</f>
        <v>754.2</v>
      </c>
      <c r="Z268" s="42"/>
      <c r="AA268" s="67"/>
      <c r="AB268" s="67"/>
      <c r="AC268" s="67"/>
    </row>
    <row r="269" spans="1:68" ht="14.25" hidden="1" customHeight="1" x14ac:dyDescent="0.25">
      <c r="A269" s="696" t="s">
        <v>83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customHeight="1" x14ac:dyDescent="0.25">
      <c r="A270" s="63" t="s">
        <v>454</v>
      </c>
      <c r="B270" s="63" t="s">
        <v>455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300</v>
      </c>
      <c r="Y270" s="55">
        <f t="shared" ref="Y270:Y281" si="36">IFERROR(IF(X270="",0,CEILING((X270/$H270),1)*$H270),"")</f>
        <v>307.8</v>
      </c>
      <c r="Z270" s="41">
        <f>IFERROR(IF(Y270=0,"",ROUNDUP(Y270/H270,0)*0.01898),"")</f>
        <v>0.72123999999999999</v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318.2962962962963</v>
      </c>
      <c r="BN270" s="78">
        <f t="shared" ref="BN270:BN281" si="38">IFERROR(Y270*I270/H270,"0")</f>
        <v>326.572</v>
      </c>
      <c r="BO270" s="78">
        <f t="shared" ref="BO270:BO281" si="39">IFERROR(1/J270*(X270/H270),"0")</f>
        <v>0.57870370370370372</v>
      </c>
      <c r="BP270" s="78">
        <f t="shared" ref="BP270:BP281" si="40">IFERROR(1/J270*(Y270/H270),"0")</f>
        <v>0.59375</v>
      </c>
    </row>
    <row r="271" spans="1:68" ht="27" customHeight="1" x14ac:dyDescent="0.25">
      <c r="A271" s="63" t="s">
        <v>457</v>
      </c>
      <c r="B271" s="63" t="s">
        <v>458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300</v>
      </c>
      <c r="Y271" s="55">
        <f t="shared" si="36"/>
        <v>307.8</v>
      </c>
      <c r="Z271" s="41">
        <f>IFERROR(IF(Y271=0,"",ROUNDUP(Y271/H271,0)*0.01898),"")</f>
        <v>0.72123999999999999</v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317.62962962962968</v>
      </c>
      <c r="BN271" s="78">
        <f t="shared" si="38"/>
        <v>325.88800000000003</v>
      </c>
      <c r="BO271" s="78">
        <f t="shared" si="39"/>
        <v>0.57870370370370372</v>
      </c>
      <c r="BP271" s="78">
        <f t="shared" si="40"/>
        <v>0.59375</v>
      </c>
    </row>
    <row r="272" spans="1:68" ht="27" customHeight="1" x14ac:dyDescent="0.25">
      <c r="A272" s="63" t="s">
        <v>460</v>
      </c>
      <c r="B272" s="63" t="s">
        <v>461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110</v>
      </c>
      <c r="Y272" s="55">
        <f t="shared" si="36"/>
        <v>113.1</v>
      </c>
      <c r="Z272" s="41">
        <f>IFERROR(IF(Y272=0,"",ROUNDUP(Y272/H272,0)*0.01898),"")</f>
        <v>0.24674000000000001</v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116.24597701149428</v>
      </c>
      <c r="BN272" s="78">
        <f t="shared" si="38"/>
        <v>119.52200000000001</v>
      </c>
      <c r="BO272" s="78">
        <f t="shared" si="39"/>
        <v>0.19755747126436785</v>
      </c>
      <c r="BP272" s="78">
        <f t="shared" si="40"/>
        <v>0.203125</v>
      </c>
    </row>
    <row r="273" spans="1:68" ht="27" customHeight="1" x14ac:dyDescent="0.25">
      <c r="A273" s="63" t="s">
        <v>463</v>
      </c>
      <c r="B273" s="63" t="s">
        <v>464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200</v>
      </c>
      <c r="Y273" s="55">
        <f t="shared" si="36"/>
        <v>201.6</v>
      </c>
      <c r="Z273" s="41">
        <f>IFERROR(IF(Y273=0,"",ROUNDUP(Y273/H273,0)*0.00651),"")</f>
        <v>0.54683999999999999</v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222.5</v>
      </c>
      <c r="BN273" s="78">
        <f t="shared" si="38"/>
        <v>224.27999999999997</v>
      </c>
      <c r="BO273" s="78">
        <f t="shared" si="39"/>
        <v>0.45787545787545797</v>
      </c>
      <c r="BP273" s="78">
        <f t="shared" si="40"/>
        <v>0.46153846153846156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customHeight="1" x14ac:dyDescent="0.25">
      <c r="A276" s="63" t="s">
        <v>470</v>
      </c>
      <c r="B276" s="63" t="s">
        <v>471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120</v>
      </c>
      <c r="Y276" s="55">
        <f t="shared" si="36"/>
        <v>120</v>
      </c>
      <c r="Z276" s="41">
        <f>IFERROR(IF(Y276=0,"",ROUNDUP(Y276/H276,0)*0.00651),"")</f>
        <v>0.32550000000000001</v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132.60000000000002</v>
      </c>
      <c r="BN276" s="78">
        <f t="shared" si="38"/>
        <v>132.60000000000002</v>
      </c>
      <c r="BO276" s="78">
        <f t="shared" si="39"/>
        <v>0.27472527472527475</v>
      </c>
      <c r="BP276" s="78">
        <f t="shared" si="40"/>
        <v>0.27472527472527475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200</v>
      </c>
      <c r="Y279" s="55">
        <f t="shared" si="36"/>
        <v>201.6</v>
      </c>
      <c r="Z279" s="41">
        <f>IFERROR(IF(Y279=0,"",ROUNDUP(Y279/H279,0)*0.00651),"")</f>
        <v>0.54683999999999999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221</v>
      </c>
      <c r="BN279" s="78">
        <f t="shared" si="38"/>
        <v>222.768</v>
      </c>
      <c r="BO279" s="78">
        <f t="shared" si="39"/>
        <v>0.45787545787545797</v>
      </c>
      <c r="BP279" s="78">
        <f t="shared" si="40"/>
        <v>0.46153846153846156</v>
      </c>
    </row>
    <row r="280" spans="1:68" ht="27" customHeight="1" x14ac:dyDescent="0.25">
      <c r="A280" s="63" t="s">
        <v>479</v>
      </c>
      <c r="B280" s="63" t="s">
        <v>480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240</v>
      </c>
      <c r="Y280" s="55">
        <f t="shared" si="36"/>
        <v>240</v>
      </c>
      <c r="Z280" s="41">
        <f>IFERROR(IF(Y280=0,"",ROUNDUP(Y280/H280,0)*0.00651),"")</f>
        <v>0.65100000000000002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265.8</v>
      </c>
      <c r="BN280" s="78">
        <f t="shared" si="38"/>
        <v>265.8</v>
      </c>
      <c r="BO280" s="78">
        <f t="shared" si="39"/>
        <v>0.5494505494505495</v>
      </c>
      <c r="BP280" s="78">
        <f t="shared" si="40"/>
        <v>0.5494505494505495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704"/>
      <c r="B282" s="704"/>
      <c r="C282" s="704"/>
      <c r="D282" s="704"/>
      <c r="E282" s="704"/>
      <c r="F282" s="704"/>
      <c r="G282" s="704"/>
      <c r="H282" s="704"/>
      <c r="I282" s="704"/>
      <c r="J282" s="704"/>
      <c r="K282" s="704"/>
      <c r="L282" s="704"/>
      <c r="M282" s="704"/>
      <c r="N282" s="704"/>
      <c r="O282" s="705"/>
      <c r="P282" s="701" t="s">
        <v>40</v>
      </c>
      <c r="Q282" s="702"/>
      <c r="R282" s="702"/>
      <c r="S282" s="702"/>
      <c r="T282" s="702"/>
      <c r="U282" s="702"/>
      <c r="V282" s="703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403.3844189016603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407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3.7594000000000003</v>
      </c>
      <c r="AA282" s="67"/>
      <c r="AB282" s="67"/>
      <c r="AC282" s="67"/>
    </row>
    <row r="283" spans="1:68" x14ac:dyDescent="0.2">
      <c r="A283" s="704"/>
      <c r="B283" s="704"/>
      <c r="C283" s="704"/>
      <c r="D283" s="704"/>
      <c r="E283" s="704"/>
      <c r="F283" s="704"/>
      <c r="G283" s="704"/>
      <c r="H283" s="704"/>
      <c r="I283" s="704"/>
      <c r="J283" s="704"/>
      <c r="K283" s="704"/>
      <c r="L283" s="704"/>
      <c r="M283" s="704"/>
      <c r="N283" s="704"/>
      <c r="O283" s="705"/>
      <c r="P283" s="701" t="s">
        <v>40</v>
      </c>
      <c r="Q283" s="702"/>
      <c r="R283" s="702"/>
      <c r="S283" s="702"/>
      <c r="T283" s="702"/>
      <c r="U283" s="702"/>
      <c r="V283" s="703"/>
      <c r="W283" s="42" t="s">
        <v>0</v>
      </c>
      <c r="X283" s="43">
        <f>IFERROR(SUM(X270:X281),"0")</f>
        <v>1470</v>
      </c>
      <c r="Y283" s="43">
        <f>IFERROR(SUM(Y270:Y281),"0")</f>
        <v>1491.9</v>
      </c>
      <c r="Z283" s="42"/>
      <c r="AA283" s="67"/>
      <c r="AB283" s="67"/>
      <c r="AC283" s="67"/>
    </row>
    <row r="284" spans="1:68" ht="14.25" hidden="1" customHeight="1" x14ac:dyDescent="0.25">
      <c r="A284" s="696" t="s">
        <v>172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485</v>
      </c>
      <c r="B285" s="63" t="s">
        <v>486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60</v>
      </c>
      <c r="Y285" s="55">
        <f>IFERROR(IF(X285="",0,CEILING((X285/$H285),1)*$H285),"")</f>
        <v>60</v>
      </c>
      <c r="Z285" s="41">
        <f>IFERROR(IF(Y285=0,"",ROUNDUP(Y285/H285,0)*0.00651),"")</f>
        <v>0.16275000000000001</v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66.300000000000011</v>
      </c>
      <c r="BN285" s="78">
        <f>IFERROR(Y285*I285/H285,"0")</f>
        <v>66.300000000000011</v>
      </c>
      <c r="BO285" s="78">
        <f>IFERROR(1/J285*(X285/H285),"0")</f>
        <v>0.13736263736263737</v>
      </c>
      <c r="BP285" s="78">
        <f>IFERROR(1/J285*(Y285/H285),"0")</f>
        <v>0.13736263736263737</v>
      </c>
    </row>
    <row r="286" spans="1:68" ht="27" customHeight="1" x14ac:dyDescent="0.25">
      <c r="A286" s="63" t="s">
        <v>488</v>
      </c>
      <c r="B286" s="63" t="s">
        <v>489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80</v>
      </c>
      <c r="Y286" s="55">
        <f>IFERROR(IF(X286="",0,CEILING((X286/$H286),1)*$H286),"")</f>
        <v>81.599999999999994</v>
      </c>
      <c r="Z286" s="41">
        <f>IFERROR(IF(Y286=0,"",ROUNDUP(Y286/H286,0)*0.00651),"")</f>
        <v>0.22134000000000001</v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88.40000000000002</v>
      </c>
      <c r="BN286" s="78">
        <f>IFERROR(Y286*I286/H286,"0")</f>
        <v>90.168000000000006</v>
      </c>
      <c r="BO286" s="78">
        <f>IFERROR(1/J286*(X286/H286),"0")</f>
        <v>0.18315018315018317</v>
      </c>
      <c r="BP286" s="78">
        <f>IFERROR(1/J286*(Y286/H286),"0")</f>
        <v>0.18681318681318682</v>
      </c>
    </row>
    <row r="287" spans="1:68" x14ac:dyDescent="0.2">
      <c r="A287" s="704"/>
      <c r="B287" s="704"/>
      <c r="C287" s="704"/>
      <c r="D287" s="704"/>
      <c r="E287" s="704"/>
      <c r="F287" s="704"/>
      <c r="G287" s="704"/>
      <c r="H287" s="704"/>
      <c r="I287" s="704"/>
      <c r="J287" s="704"/>
      <c r="K287" s="704"/>
      <c r="L287" s="704"/>
      <c r="M287" s="704"/>
      <c r="N287" s="704"/>
      <c r="O287" s="705"/>
      <c r="P287" s="701" t="s">
        <v>40</v>
      </c>
      <c r="Q287" s="702"/>
      <c r="R287" s="702"/>
      <c r="S287" s="702"/>
      <c r="T287" s="702"/>
      <c r="U287" s="702"/>
      <c r="V287" s="703"/>
      <c r="W287" s="42" t="s">
        <v>39</v>
      </c>
      <c r="X287" s="43">
        <f>IFERROR(X285/H285,"0")+IFERROR(X286/H286,"0")</f>
        <v>58.333333333333336</v>
      </c>
      <c r="Y287" s="43">
        <f>IFERROR(Y285/H285,"0")+IFERROR(Y286/H286,"0")</f>
        <v>59</v>
      </c>
      <c r="Z287" s="43">
        <f>IFERROR(IF(Z285="",0,Z285),"0")+IFERROR(IF(Z286="",0,Z286),"0")</f>
        <v>0.38409000000000004</v>
      </c>
      <c r="AA287" s="67"/>
      <c r="AB287" s="67"/>
      <c r="AC287" s="67"/>
    </row>
    <row r="288" spans="1:68" x14ac:dyDescent="0.2">
      <c r="A288" s="704"/>
      <c r="B288" s="704"/>
      <c r="C288" s="704"/>
      <c r="D288" s="704"/>
      <c r="E288" s="704"/>
      <c r="F288" s="704"/>
      <c r="G288" s="704"/>
      <c r="H288" s="704"/>
      <c r="I288" s="704"/>
      <c r="J288" s="704"/>
      <c r="K288" s="704"/>
      <c r="L288" s="704"/>
      <c r="M288" s="704"/>
      <c r="N288" s="704"/>
      <c r="O288" s="705"/>
      <c r="P288" s="701" t="s">
        <v>40</v>
      </c>
      <c r="Q288" s="702"/>
      <c r="R288" s="702"/>
      <c r="S288" s="702"/>
      <c r="T288" s="702"/>
      <c r="U288" s="702"/>
      <c r="V288" s="703"/>
      <c r="W288" s="42" t="s">
        <v>0</v>
      </c>
      <c r="X288" s="43">
        <f>IFERROR(SUM(X285:X286),"0")</f>
        <v>140</v>
      </c>
      <c r="Y288" s="43">
        <f>IFERROR(SUM(Y285:Y286),"0")</f>
        <v>141.6</v>
      </c>
      <c r="Z288" s="42"/>
      <c r="AA288" s="67"/>
      <c r="AB288" s="67"/>
      <c r="AC288" s="67"/>
    </row>
    <row r="289" spans="1:68" ht="16.5" hidden="1" customHeight="1" x14ac:dyDescent="0.25">
      <c r="A289" s="695" t="s">
        <v>491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119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500</v>
      </c>
      <c r="B294" s="63" t="s">
        <v>501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508</v>
      </c>
      <c r="B297" s="63" t="s">
        <v>509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idden="1" x14ac:dyDescent="0.2">
      <c r="A298" s="704"/>
      <c r="B298" s="704"/>
      <c r="C298" s="704"/>
      <c r="D298" s="704"/>
      <c r="E298" s="704"/>
      <c r="F298" s="704"/>
      <c r="G298" s="704"/>
      <c r="H298" s="704"/>
      <c r="I298" s="704"/>
      <c r="J298" s="704"/>
      <c r="K298" s="704"/>
      <c r="L298" s="704"/>
      <c r="M298" s="704"/>
      <c r="N298" s="704"/>
      <c r="O298" s="705"/>
      <c r="P298" s="701" t="s">
        <v>40</v>
      </c>
      <c r="Q298" s="702"/>
      <c r="R298" s="702"/>
      <c r="S298" s="702"/>
      <c r="T298" s="702"/>
      <c r="U298" s="702"/>
      <c r="V298" s="703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704"/>
      <c r="B299" s="704"/>
      <c r="C299" s="704"/>
      <c r="D299" s="704"/>
      <c r="E299" s="704"/>
      <c r="F299" s="704"/>
      <c r="G299" s="704"/>
      <c r="H299" s="704"/>
      <c r="I299" s="704"/>
      <c r="J299" s="704"/>
      <c r="K299" s="704"/>
      <c r="L299" s="704"/>
      <c r="M299" s="704"/>
      <c r="N299" s="704"/>
      <c r="O299" s="705"/>
      <c r="P299" s="701" t="s">
        <v>40</v>
      </c>
      <c r="Q299" s="702"/>
      <c r="R299" s="702"/>
      <c r="S299" s="702"/>
      <c r="T299" s="702"/>
      <c r="U299" s="702"/>
      <c r="V299" s="703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96" t="s">
        <v>154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customHeight="1" x14ac:dyDescent="0.25">
      <c r="A301" s="63" t="s">
        <v>510</v>
      </c>
      <c r="B301" s="63" t="s">
        <v>511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16</v>
      </c>
      <c r="Y301" s="55">
        <f>IFERROR(IF(X301="",0,CEILING((X301/$H301),1)*$H301),"")</f>
        <v>17.82</v>
      </c>
      <c r="Z301" s="41">
        <f>IFERROR(IF(Y301=0,"",ROUNDUP(Y301/H301,0)*0.00502),"")</f>
        <v>4.5179999999999998E-2</v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16.80808080808081</v>
      </c>
      <c r="BN301" s="78">
        <f>IFERROR(Y301*I301/H301,"0")</f>
        <v>18.720000000000002</v>
      </c>
      <c r="BO301" s="78">
        <f>IFERROR(1/J301*(X301/H301),"0")</f>
        <v>3.4533367866701206E-2</v>
      </c>
      <c r="BP301" s="78">
        <f>IFERROR(1/J301*(Y301/H301),"0")</f>
        <v>3.8461538461538464E-2</v>
      </c>
    </row>
    <row r="302" spans="1:68" x14ac:dyDescent="0.2">
      <c r="A302" s="704"/>
      <c r="B302" s="704"/>
      <c r="C302" s="704"/>
      <c r="D302" s="704"/>
      <c r="E302" s="704"/>
      <c r="F302" s="704"/>
      <c r="G302" s="704"/>
      <c r="H302" s="704"/>
      <c r="I302" s="704"/>
      <c r="J302" s="704"/>
      <c r="K302" s="704"/>
      <c r="L302" s="704"/>
      <c r="M302" s="704"/>
      <c r="N302" s="704"/>
      <c r="O302" s="705"/>
      <c r="P302" s="701" t="s">
        <v>40</v>
      </c>
      <c r="Q302" s="702"/>
      <c r="R302" s="702"/>
      <c r="S302" s="702"/>
      <c r="T302" s="702"/>
      <c r="U302" s="702"/>
      <c r="V302" s="703"/>
      <c r="W302" s="42" t="s">
        <v>39</v>
      </c>
      <c r="X302" s="43">
        <f>IFERROR(X301/H301,"0")</f>
        <v>8.0808080808080813</v>
      </c>
      <c r="Y302" s="43">
        <f>IFERROR(Y301/H301,"0")</f>
        <v>9</v>
      </c>
      <c r="Z302" s="43">
        <f>IFERROR(IF(Z301="",0,Z301),"0")</f>
        <v>4.5179999999999998E-2</v>
      </c>
      <c r="AA302" s="67"/>
      <c r="AB302" s="67"/>
      <c r="AC302" s="67"/>
    </row>
    <row r="303" spans="1:68" x14ac:dyDescent="0.2">
      <c r="A303" s="704"/>
      <c r="B303" s="704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4"/>
      <c r="N303" s="704"/>
      <c r="O303" s="705"/>
      <c r="P303" s="701" t="s">
        <v>40</v>
      </c>
      <c r="Q303" s="702"/>
      <c r="R303" s="702"/>
      <c r="S303" s="702"/>
      <c r="T303" s="702"/>
      <c r="U303" s="702"/>
      <c r="V303" s="703"/>
      <c r="W303" s="42" t="s">
        <v>0</v>
      </c>
      <c r="X303" s="43">
        <f>IFERROR(SUM(X301:X301),"0")</f>
        <v>16</v>
      </c>
      <c r="Y303" s="43">
        <f>IFERROR(SUM(Y301:Y301),"0")</f>
        <v>17.82</v>
      </c>
      <c r="Z303" s="42"/>
      <c r="AA303" s="67"/>
      <c r="AB303" s="67"/>
      <c r="AC303" s="67"/>
    </row>
    <row r="304" spans="1:68" ht="14.25" hidden="1" customHeight="1" x14ac:dyDescent="0.25">
      <c r="A304" s="696" t="s">
        <v>513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04"/>
      <c r="B306" s="704"/>
      <c r="C306" s="704"/>
      <c r="D306" s="704"/>
      <c r="E306" s="704"/>
      <c r="F306" s="704"/>
      <c r="G306" s="704"/>
      <c r="H306" s="704"/>
      <c r="I306" s="704"/>
      <c r="J306" s="704"/>
      <c r="K306" s="704"/>
      <c r="L306" s="704"/>
      <c r="M306" s="704"/>
      <c r="N306" s="704"/>
      <c r="O306" s="705"/>
      <c r="P306" s="701" t="s">
        <v>40</v>
      </c>
      <c r="Q306" s="702"/>
      <c r="R306" s="702"/>
      <c r="S306" s="702"/>
      <c r="T306" s="702"/>
      <c r="U306" s="702"/>
      <c r="V306" s="703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04"/>
      <c r="B307" s="704"/>
      <c r="C307" s="704"/>
      <c r="D307" s="704"/>
      <c r="E307" s="704"/>
      <c r="F307" s="704"/>
      <c r="G307" s="704"/>
      <c r="H307" s="704"/>
      <c r="I307" s="704"/>
      <c r="J307" s="704"/>
      <c r="K307" s="704"/>
      <c r="L307" s="704"/>
      <c r="M307" s="704"/>
      <c r="N307" s="704"/>
      <c r="O307" s="705"/>
      <c r="P307" s="701" t="s">
        <v>40</v>
      </c>
      <c r="Q307" s="702"/>
      <c r="R307" s="702"/>
      <c r="S307" s="702"/>
      <c r="T307" s="702"/>
      <c r="U307" s="702"/>
      <c r="V307" s="703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hidden="1" customHeight="1" x14ac:dyDescent="0.25">
      <c r="A309" s="63" t="s">
        <v>517</v>
      </c>
      <c r="B309" s="63" t="s">
        <v>518</v>
      </c>
      <c r="C309" s="36">
        <v>4301041008</v>
      </c>
      <c r="D309" s="697">
        <v>4680115886681</v>
      </c>
      <c r="E309" s="697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97">
        <v>4680115886735</v>
      </c>
      <c r="E310" s="697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idden="1" x14ac:dyDescent="0.2">
      <c r="A311" s="704"/>
      <c r="B311" s="704"/>
      <c r="C311" s="704"/>
      <c r="D311" s="704"/>
      <c r="E311" s="704"/>
      <c r="F311" s="704"/>
      <c r="G311" s="704"/>
      <c r="H311" s="704"/>
      <c r="I311" s="704"/>
      <c r="J311" s="704"/>
      <c r="K311" s="704"/>
      <c r="L311" s="704"/>
      <c r="M311" s="704"/>
      <c r="N311" s="704"/>
      <c r="O311" s="705"/>
      <c r="P311" s="701" t="s">
        <v>40</v>
      </c>
      <c r="Q311" s="702"/>
      <c r="R311" s="702"/>
      <c r="S311" s="702"/>
      <c r="T311" s="702"/>
      <c r="U311" s="702"/>
      <c r="V311" s="703"/>
      <c r="W311" s="42" t="s">
        <v>39</v>
      </c>
      <c r="X311" s="43">
        <f>IFERROR(X309/H309,"0")+IFERROR(X310/H310,"0")</f>
        <v>0</v>
      </c>
      <c r="Y311" s="43">
        <f>IFERROR(Y309/H309,"0")+IFERROR(Y310/H310,"0")</f>
        <v>0</v>
      </c>
      <c r="Z311" s="43">
        <f>IFERROR(IF(Z309="",0,Z309),"0")+IFERROR(IF(Z310="",0,Z310),"0")</f>
        <v>0</v>
      </c>
      <c r="AA311" s="67"/>
      <c r="AB311" s="67"/>
      <c r="AC311" s="67"/>
    </row>
    <row r="312" spans="1:68" hidden="1" x14ac:dyDescent="0.2">
      <c r="A312" s="704"/>
      <c r="B312" s="704"/>
      <c r="C312" s="704"/>
      <c r="D312" s="704"/>
      <c r="E312" s="704"/>
      <c r="F312" s="704"/>
      <c r="G312" s="704"/>
      <c r="H312" s="704"/>
      <c r="I312" s="704"/>
      <c r="J312" s="704"/>
      <c r="K312" s="704"/>
      <c r="L312" s="704"/>
      <c r="M312" s="704"/>
      <c r="N312" s="704"/>
      <c r="O312" s="705"/>
      <c r="P312" s="701" t="s">
        <v>40</v>
      </c>
      <c r="Q312" s="702"/>
      <c r="R312" s="702"/>
      <c r="S312" s="702"/>
      <c r="T312" s="702"/>
      <c r="U312" s="702"/>
      <c r="V312" s="703"/>
      <c r="W312" s="42" t="s">
        <v>0</v>
      </c>
      <c r="X312" s="43">
        <f>IFERROR(SUM(X309:X310),"0")</f>
        <v>0</v>
      </c>
      <c r="Y312" s="43">
        <f>IFERROR(SUM(Y309:Y310),"0")</f>
        <v>0</v>
      </c>
      <c r="Z312" s="42"/>
      <c r="AA312" s="67"/>
      <c r="AB312" s="67"/>
      <c r="AC312" s="67"/>
    </row>
    <row r="313" spans="1:68" ht="16.5" hidden="1" customHeight="1" x14ac:dyDescent="0.25">
      <c r="A313" s="695" t="s">
        <v>522</v>
      </c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5"/>
      <c r="P313" s="695"/>
      <c r="Q313" s="695"/>
      <c r="R313" s="695"/>
      <c r="S313" s="695"/>
      <c r="T313" s="695"/>
      <c r="U313" s="695"/>
      <c r="V313" s="695"/>
      <c r="W313" s="695"/>
      <c r="X313" s="695"/>
      <c r="Y313" s="695"/>
      <c r="Z313" s="695"/>
      <c r="AA313" s="65"/>
      <c r="AB313" s="65"/>
      <c r="AC313" s="79"/>
    </row>
    <row r="314" spans="1:68" ht="14.25" hidden="1" customHeight="1" x14ac:dyDescent="0.25">
      <c r="A314" s="696" t="s">
        <v>119</v>
      </c>
      <c r="B314" s="696"/>
      <c r="C314" s="696"/>
      <c r="D314" s="696"/>
      <c r="E314" s="696"/>
      <c r="F314" s="696"/>
      <c r="G314" s="696"/>
      <c r="H314" s="696"/>
      <c r="I314" s="696"/>
      <c r="J314" s="696"/>
      <c r="K314" s="696"/>
      <c r="L314" s="696"/>
      <c r="M314" s="696"/>
      <c r="N314" s="696"/>
      <c r="O314" s="696"/>
      <c r="P314" s="696"/>
      <c r="Q314" s="696"/>
      <c r="R314" s="696"/>
      <c r="S314" s="696"/>
      <c r="T314" s="696"/>
      <c r="U314" s="696"/>
      <c r="V314" s="696"/>
      <c r="W314" s="696"/>
      <c r="X314" s="696"/>
      <c r="Y314" s="696"/>
      <c r="Z314" s="696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97">
        <v>4680115885837</v>
      </c>
      <c r="E315" s="697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8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99"/>
      <c r="R315" s="699"/>
      <c r="S315" s="699"/>
      <c r="T315" s="700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97">
        <v>4680115889637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704"/>
      <c r="B321" s="704"/>
      <c r="C321" s="704"/>
      <c r="D321" s="704"/>
      <c r="E321" s="704"/>
      <c r="F321" s="704"/>
      <c r="G321" s="704"/>
      <c r="H321" s="704"/>
      <c r="I321" s="704"/>
      <c r="J321" s="704"/>
      <c r="K321" s="704"/>
      <c r="L321" s="704"/>
      <c r="M321" s="704"/>
      <c r="N321" s="704"/>
      <c r="O321" s="705"/>
      <c r="P321" s="701" t="s">
        <v>40</v>
      </c>
      <c r="Q321" s="702"/>
      <c r="R321" s="702"/>
      <c r="S321" s="702"/>
      <c r="T321" s="702"/>
      <c r="U321" s="702"/>
      <c r="V321" s="703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4"/>
      <c r="B322" s="704"/>
      <c r="C322" s="704"/>
      <c r="D322" s="704"/>
      <c r="E322" s="704"/>
      <c r="F322" s="704"/>
      <c r="G322" s="704"/>
      <c r="H322" s="704"/>
      <c r="I322" s="704"/>
      <c r="J322" s="704"/>
      <c r="K322" s="704"/>
      <c r="L322" s="704"/>
      <c r="M322" s="704"/>
      <c r="N322" s="704"/>
      <c r="O322" s="705"/>
      <c r="P322" s="701" t="s">
        <v>40</v>
      </c>
      <c r="Q322" s="702"/>
      <c r="R322" s="702"/>
      <c r="S322" s="702"/>
      <c r="T322" s="702"/>
      <c r="U322" s="702"/>
      <c r="V322" s="703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541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83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545</v>
      </c>
      <c r="B326" s="63" t="s">
        <v>546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120</v>
      </c>
      <c r="Y326" s="55">
        <f>IFERROR(IF(X326="",0,CEILING((X326/$H326),1)*$H326),"")</f>
        <v>120</v>
      </c>
      <c r="Z326" s="41">
        <f>IFERROR(IF(Y326=0,"",ROUNDUP(Y326/H326,0)*0.00651),"")</f>
        <v>0.32550000000000001</v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132.60000000000002</v>
      </c>
      <c r="BN326" s="78">
        <f>IFERROR(Y326*I326/H326,"0")</f>
        <v>132.60000000000002</v>
      </c>
      <c r="BO326" s="78">
        <f>IFERROR(1/J326*(X326/H326),"0")</f>
        <v>0.27472527472527475</v>
      </c>
      <c r="BP326" s="78">
        <f>IFERROR(1/J326*(Y326/H326),"0")</f>
        <v>0.27472527472527475</v>
      </c>
    </row>
    <row r="327" spans="1:68" ht="27" customHeight="1" x14ac:dyDescent="0.25">
      <c r="A327" s="63" t="s">
        <v>548</v>
      </c>
      <c r="B327" s="63" t="s">
        <v>549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200</v>
      </c>
      <c r="Y327" s="55">
        <f>IFERROR(IF(X327="",0,CEILING((X327/$H327),1)*$H327),"")</f>
        <v>201.6</v>
      </c>
      <c r="Z327" s="41">
        <f>IFERROR(IF(Y327=0,"",ROUNDUP(Y327/H327,0)*0.00651),"")</f>
        <v>0.54683999999999999</v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215</v>
      </c>
      <c r="BN327" s="78">
        <f>IFERROR(Y327*I327/H327,"0")</f>
        <v>216.72000000000003</v>
      </c>
      <c r="BO327" s="78">
        <f>IFERROR(1/J327*(X327/H327),"0")</f>
        <v>0.45787545787545797</v>
      </c>
      <c r="BP327" s="78">
        <f>IFERROR(1/J327*(Y327/H327),"0")</f>
        <v>0.46153846153846156</v>
      </c>
    </row>
    <row r="328" spans="1:68" x14ac:dyDescent="0.2">
      <c r="A328" s="704"/>
      <c r="B328" s="704"/>
      <c r="C328" s="704"/>
      <c r="D328" s="704"/>
      <c r="E328" s="704"/>
      <c r="F328" s="704"/>
      <c r="G328" s="704"/>
      <c r="H328" s="704"/>
      <c r="I328" s="704"/>
      <c r="J328" s="704"/>
      <c r="K328" s="704"/>
      <c r="L328" s="704"/>
      <c r="M328" s="704"/>
      <c r="N328" s="704"/>
      <c r="O328" s="705"/>
      <c r="P328" s="701" t="s">
        <v>40</v>
      </c>
      <c r="Q328" s="702"/>
      <c r="R328" s="702"/>
      <c r="S328" s="702"/>
      <c r="T328" s="702"/>
      <c r="U328" s="702"/>
      <c r="V328" s="703"/>
      <c r="W328" s="42" t="s">
        <v>39</v>
      </c>
      <c r="X328" s="43">
        <f>IFERROR(X325/H325,"0")+IFERROR(X326/H326,"0")+IFERROR(X327/H327,"0")</f>
        <v>133.33333333333334</v>
      </c>
      <c r="Y328" s="43">
        <f>IFERROR(Y325/H325,"0")+IFERROR(Y326/H326,"0")+IFERROR(Y327/H327,"0")</f>
        <v>134</v>
      </c>
      <c r="Z328" s="43">
        <f>IFERROR(IF(Z325="",0,Z325),"0")+IFERROR(IF(Z326="",0,Z326),"0")+IFERROR(IF(Z327="",0,Z327),"0")</f>
        <v>0.87234</v>
      </c>
      <c r="AA328" s="67"/>
      <c r="AB328" s="67"/>
      <c r="AC328" s="67"/>
    </row>
    <row r="329" spans="1:68" x14ac:dyDescent="0.2">
      <c r="A329" s="704"/>
      <c r="B329" s="704"/>
      <c r="C329" s="704"/>
      <c r="D329" s="704"/>
      <c r="E329" s="704"/>
      <c r="F329" s="704"/>
      <c r="G329" s="704"/>
      <c r="H329" s="704"/>
      <c r="I329" s="704"/>
      <c r="J329" s="704"/>
      <c r="K329" s="704"/>
      <c r="L329" s="704"/>
      <c r="M329" s="704"/>
      <c r="N329" s="704"/>
      <c r="O329" s="705"/>
      <c r="P329" s="701" t="s">
        <v>40</v>
      </c>
      <c r="Q329" s="702"/>
      <c r="R329" s="702"/>
      <c r="S329" s="702"/>
      <c r="T329" s="702"/>
      <c r="U329" s="702"/>
      <c r="V329" s="703"/>
      <c r="W329" s="42" t="s">
        <v>0</v>
      </c>
      <c r="X329" s="43">
        <f>IFERROR(SUM(X325:X327),"0")</f>
        <v>320</v>
      </c>
      <c r="Y329" s="43">
        <f>IFERROR(SUM(Y325:Y327),"0")</f>
        <v>321.60000000000002</v>
      </c>
      <c r="Z329" s="42"/>
      <c r="AA329" s="67"/>
      <c r="AB329" s="67"/>
      <c r="AC329" s="67"/>
    </row>
    <row r="330" spans="1:68" ht="16.5" hidden="1" customHeight="1" x14ac:dyDescent="0.25">
      <c r="A330" s="695" t="s">
        <v>550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04"/>
      <c r="B336" s="704"/>
      <c r="C336" s="704"/>
      <c r="D336" s="704"/>
      <c r="E336" s="704"/>
      <c r="F336" s="704"/>
      <c r="G336" s="704"/>
      <c r="H336" s="704"/>
      <c r="I336" s="704"/>
      <c r="J336" s="704"/>
      <c r="K336" s="704"/>
      <c r="L336" s="704"/>
      <c r="M336" s="704"/>
      <c r="N336" s="704"/>
      <c r="O336" s="705"/>
      <c r="P336" s="701" t="s">
        <v>40</v>
      </c>
      <c r="Q336" s="702"/>
      <c r="R336" s="702"/>
      <c r="S336" s="702"/>
      <c r="T336" s="702"/>
      <c r="U336" s="702"/>
      <c r="V336" s="703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04"/>
      <c r="B337" s="704"/>
      <c r="C337" s="704"/>
      <c r="D337" s="704"/>
      <c r="E337" s="704"/>
      <c r="F337" s="704"/>
      <c r="G337" s="704"/>
      <c r="H337" s="704"/>
      <c r="I337" s="704"/>
      <c r="J337" s="704"/>
      <c r="K337" s="704"/>
      <c r="L337" s="704"/>
      <c r="M337" s="704"/>
      <c r="N337" s="704"/>
      <c r="O337" s="705"/>
      <c r="P337" s="701" t="s">
        <v>40</v>
      </c>
      <c r="Q337" s="702"/>
      <c r="R337" s="702"/>
      <c r="S337" s="702"/>
      <c r="T337" s="702"/>
      <c r="U337" s="702"/>
      <c r="V337" s="703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96" t="s">
        <v>83</v>
      </c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6"/>
      <c r="P338" s="696"/>
      <c r="Q338" s="696"/>
      <c r="R338" s="696"/>
      <c r="S338" s="696"/>
      <c r="T338" s="696"/>
      <c r="U338" s="696"/>
      <c r="V338" s="696"/>
      <c r="W338" s="696"/>
      <c r="X338" s="696"/>
      <c r="Y338" s="696"/>
      <c r="Z338" s="696"/>
      <c r="AA338" s="66"/>
      <c r="AB338" s="66"/>
      <c r="AC338" s="80"/>
    </row>
    <row r="339" spans="1:68" ht="27" hidden="1" customHeight="1" x14ac:dyDescent="0.25">
      <c r="A339" s="63" t="s">
        <v>563</v>
      </c>
      <c r="B339" s="63" t="s">
        <v>564</v>
      </c>
      <c r="C339" s="36">
        <v>4301051782</v>
      </c>
      <c r="D339" s="697">
        <v>4680115884618</v>
      </c>
      <c r="E339" s="697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99"/>
      <c r="R339" s="699"/>
      <c r="S339" s="699"/>
      <c r="T339" s="70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97">
        <v>4680115887114</v>
      </c>
      <c r="E340" s="697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97">
        <v>4680115887466</v>
      </c>
      <c r="E341" s="697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4"/>
      <c r="B342" s="704"/>
      <c r="C342" s="704"/>
      <c r="D342" s="704"/>
      <c r="E342" s="704"/>
      <c r="F342" s="704"/>
      <c r="G342" s="704"/>
      <c r="H342" s="704"/>
      <c r="I342" s="704"/>
      <c r="J342" s="704"/>
      <c r="K342" s="704"/>
      <c r="L342" s="704"/>
      <c r="M342" s="704"/>
      <c r="N342" s="704"/>
      <c r="O342" s="705"/>
      <c r="P342" s="701" t="s">
        <v>40</v>
      </c>
      <c r="Q342" s="702"/>
      <c r="R342" s="702"/>
      <c r="S342" s="702"/>
      <c r="T342" s="702"/>
      <c r="U342" s="702"/>
      <c r="V342" s="703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704"/>
      <c r="B343" s="704"/>
      <c r="C343" s="704"/>
      <c r="D343" s="704"/>
      <c r="E343" s="704"/>
      <c r="F343" s="704"/>
      <c r="G343" s="704"/>
      <c r="H343" s="704"/>
      <c r="I343" s="704"/>
      <c r="J343" s="704"/>
      <c r="K343" s="704"/>
      <c r="L343" s="704"/>
      <c r="M343" s="704"/>
      <c r="N343" s="704"/>
      <c r="O343" s="705"/>
      <c r="P343" s="701" t="s">
        <v>40</v>
      </c>
      <c r="Q343" s="702"/>
      <c r="R343" s="702"/>
      <c r="S343" s="702"/>
      <c r="T343" s="702"/>
      <c r="U343" s="702"/>
      <c r="V343" s="703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572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119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300</v>
      </c>
      <c r="Y346" s="55">
        <f>IFERROR(IF(X346="",0,CEILING((X346/$H346),1)*$H346),"")</f>
        <v>304.2</v>
      </c>
      <c r="Z346" s="41">
        <f>IFERROR(IF(Y346=0,"",ROUNDUP(Y346/H346,0)*0.01898),"")</f>
        <v>0.74021999999999999</v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315.76923076923083</v>
      </c>
      <c r="BN346" s="78">
        <f>IFERROR(Y346*I346/H346,"0")</f>
        <v>320.19</v>
      </c>
      <c r="BO346" s="78">
        <f>IFERROR(1/J346*(X346/H346),"0")</f>
        <v>0.60096153846153844</v>
      </c>
      <c r="BP346" s="78">
        <f>IFERROR(1/J346*(Y346/H346),"0")</f>
        <v>0.609375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350</v>
      </c>
      <c r="Y347" s="55">
        <f>IFERROR(IF(X347="",0,CEILING((X347/$H347),1)*$H347),"")</f>
        <v>351</v>
      </c>
      <c r="Z347" s="41">
        <f>IFERROR(IF(Y347=0,"",ROUNDUP(Y347/H347,0)*0.01898),"")</f>
        <v>0.85409999999999997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368.39743589743597</v>
      </c>
      <c r="BN347" s="78">
        <f>IFERROR(Y347*I347/H347,"0")</f>
        <v>369.45000000000005</v>
      </c>
      <c r="BO347" s="78">
        <f>IFERROR(1/J347*(X347/H347),"0")</f>
        <v>0.70112179487179493</v>
      </c>
      <c r="BP347" s="78">
        <f>IFERROR(1/J347*(Y347/H347),"0")</f>
        <v>0.703125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100</v>
      </c>
      <c r="Y348" s="55">
        <f>IFERROR(IF(X348="",0,CEILING((X348/$H348),1)*$H348),"")</f>
        <v>101.39999999999999</v>
      </c>
      <c r="Z348" s="41">
        <f>IFERROR(IF(Y348=0,"",ROUNDUP(Y348/H348,0)*0.01898),"")</f>
        <v>0.24674000000000001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105.25641025641028</v>
      </c>
      <c r="BN348" s="78">
        <f>IFERROR(Y348*I348/H348,"0")</f>
        <v>106.73</v>
      </c>
      <c r="BO348" s="78">
        <f>IFERROR(1/J348*(X348/H348),"0")</f>
        <v>0.20032051282051283</v>
      </c>
      <c r="BP348" s="78">
        <f>IFERROR(1/J348*(Y348/H348),"0")</f>
        <v>0.203125</v>
      </c>
    </row>
    <row r="349" spans="1:68" x14ac:dyDescent="0.2">
      <c r="A349" s="704"/>
      <c r="B349" s="704"/>
      <c r="C349" s="704"/>
      <c r="D349" s="704"/>
      <c r="E349" s="704"/>
      <c r="F349" s="704"/>
      <c r="G349" s="704"/>
      <c r="H349" s="704"/>
      <c r="I349" s="704"/>
      <c r="J349" s="704"/>
      <c r="K349" s="704"/>
      <c r="L349" s="704"/>
      <c r="M349" s="704"/>
      <c r="N349" s="704"/>
      <c r="O349" s="705"/>
      <c r="P349" s="701" t="s">
        <v>40</v>
      </c>
      <c r="Q349" s="702"/>
      <c r="R349" s="702"/>
      <c r="S349" s="702"/>
      <c r="T349" s="702"/>
      <c r="U349" s="702"/>
      <c r="V349" s="703"/>
      <c r="W349" s="42" t="s">
        <v>39</v>
      </c>
      <c r="X349" s="43">
        <f>IFERROR(X346/H346,"0")+IFERROR(X347/H347,"0")+IFERROR(X348/H348,"0")</f>
        <v>96.15384615384616</v>
      </c>
      <c r="Y349" s="43">
        <f>IFERROR(Y346/H346,"0")+IFERROR(Y347/H347,"0")+IFERROR(Y348/H348,"0")</f>
        <v>97</v>
      </c>
      <c r="Z349" s="43">
        <f>IFERROR(IF(Z346="",0,Z346),"0")+IFERROR(IF(Z347="",0,Z347),"0")+IFERROR(IF(Z348="",0,Z348),"0")</f>
        <v>1.8410599999999999</v>
      </c>
      <c r="AA349" s="67"/>
      <c r="AB349" s="67"/>
      <c r="AC349" s="67"/>
    </row>
    <row r="350" spans="1:68" x14ac:dyDescent="0.2">
      <c r="A350" s="704"/>
      <c r="B350" s="704"/>
      <c r="C350" s="704"/>
      <c r="D350" s="704"/>
      <c r="E350" s="704"/>
      <c r="F350" s="704"/>
      <c r="G350" s="704"/>
      <c r="H350" s="704"/>
      <c r="I350" s="704"/>
      <c r="J350" s="704"/>
      <c r="K350" s="704"/>
      <c r="L350" s="704"/>
      <c r="M350" s="704"/>
      <c r="N350" s="704"/>
      <c r="O350" s="705"/>
      <c r="P350" s="701" t="s">
        <v>40</v>
      </c>
      <c r="Q350" s="702"/>
      <c r="R350" s="702"/>
      <c r="S350" s="702"/>
      <c r="T350" s="702"/>
      <c r="U350" s="702"/>
      <c r="V350" s="703"/>
      <c r="W350" s="42" t="s">
        <v>0</v>
      </c>
      <c r="X350" s="43">
        <f>IFERROR(SUM(X346:X348),"0")</f>
        <v>750</v>
      </c>
      <c r="Y350" s="43">
        <f>IFERROR(SUM(Y346:Y348),"0")</f>
        <v>756.6</v>
      </c>
      <c r="Z350" s="42"/>
      <c r="AA350" s="67"/>
      <c r="AB350" s="67"/>
      <c r="AC350" s="67"/>
    </row>
    <row r="351" spans="1:68" ht="16.5" hidden="1" customHeight="1" x14ac:dyDescent="0.25">
      <c r="A351" s="695" t="s">
        <v>581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119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4301012360</v>
      </c>
      <c r="D353" s="697">
        <v>4680115889293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88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9" si="51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0</v>
      </c>
      <c r="BN353" s="78">
        <f t="shared" ref="BN353:BN359" si="53">IFERROR(Y353*I353/H353,"0")</f>
        <v>0</v>
      </c>
      <c r="BO353" s="78">
        <f t="shared" ref="BO353:BO359" si="54">IFERROR(1/J353*(X353/H353),"0")</f>
        <v>0</v>
      </c>
      <c r="BP353" s="78">
        <f t="shared" ref="BP353:BP359" si="55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97">
        <v>4680115889880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88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97">
        <v>4680115887138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88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customHeight="1" x14ac:dyDescent="0.25">
      <c r="A357" s="63" t="s">
        <v>593</v>
      </c>
      <c r="B357" s="63" t="s">
        <v>594</v>
      </c>
      <c r="C357" s="36">
        <v>4301012016</v>
      </c>
      <c r="D357" s="697">
        <v>4680115885554</v>
      </c>
      <c r="E357" s="697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8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200</v>
      </c>
      <c r="Y357" s="55">
        <f t="shared" si="51"/>
        <v>205.20000000000002</v>
      </c>
      <c r="Z357" s="41">
        <f>IFERROR(IF(Y357=0,"",ROUNDUP(Y357/H357,0)*0.01898),"")</f>
        <v>0.36062</v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207.59259259259258</v>
      </c>
      <c r="BN357" s="78">
        <f t="shared" si="53"/>
        <v>212.99</v>
      </c>
      <c r="BO357" s="78">
        <f t="shared" si="54"/>
        <v>0.28935185185185186</v>
      </c>
      <c r="BP357" s="78">
        <f t="shared" si="55"/>
        <v>0.296875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97">
        <v>4680115887220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88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hidden="1" customHeight="1" x14ac:dyDescent="0.25">
      <c r="A359" s="63" t="s">
        <v>598</v>
      </c>
      <c r="B359" s="63" t="s">
        <v>599</v>
      </c>
      <c r="C359" s="36">
        <v>4301011859</v>
      </c>
      <c r="D359" s="697">
        <v>4680115885608</v>
      </c>
      <c r="E359" s="69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8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99"/>
      <c r="R359" s="699"/>
      <c r="S359" s="699"/>
      <c r="T359" s="70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51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0</v>
      </c>
      <c r="BN359" s="78">
        <f t="shared" si="53"/>
        <v>0</v>
      </c>
      <c r="BO359" s="78">
        <f t="shared" si="54"/>
        <v>0</v>
      </c>
      <c r="BP359" s="78">
        <f t="shared" si="55"/>
        <v>0</v>
      </c>
    </row>
    <row r="360" spans="1:68" x14ac:dyDescent="0.2">
      <c r="A360" s="704"/>
      <c r="B360" s="704"/>
      <c r="C360" s="704"/>
      <c r="D360" s="704"/>
      <c r="E360" s="704"/>
      <c r="F360" s="704"/>
      <c r="G360" s="704"/>
      <c r="H360" s="704"/>
      <c r="I360" s="704"/>
      <c r="J360" s="704"/>
      <c r="K360" s="704"/>
      <c r="L360" s="704"/>
      <c r="M360" s="704"/>
      <c r="N360" s="704"/>
      <c r="O360" s="705"/>
      <c r="P360" s="701" t="s">
        <v>40</v>
      </c>
      <c r="Q360" s="702"/>
      <c r="R360" s="702"/>
      <c r="S360" s="702"/>
      <c r="T360" s="702"/>
      <c r="U360" s="702"/>
      <c r="V360" s="703"/>
      <c r="W360" s="42" t="s">
        <v>39</v>
      </c>
      <c r="X360" s="43">
        <f>IFERROR(X353/H353,"0")+IFERROR(X354/H354,"0")+IFERROR(X355/H355,"0")+IFERROR(X356/H356,"0")+IFERROR(X357/H357,"0")+IFERROR(X358/H358,"0")+IFERROR(X359/H359,"0")</f>
        <v>18.518518518518519</v>
      </c>
      <c r="Y360" s="43">
        <f>IFERROR(Y353/H353,"0")+IFERROR(Y354/H354,"0")+IFERROR(Y355/H355,"0")+IFERROR(Y356/H356,"0")+IFERROR(Y357/H357,"0")+IFERROR(Y358/H358,"0")+IFERROR(Y359/H359,"0")</f>
        <v>19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0.36062</v>
      </c>
      <c r="AA360" s="67"/>
      <c r="AB360" s="67"/>
      <c r="AC360" s="67"/>
    </row>
    <row r="361" spans="1:68" x14ac:dyDescent="0.2">
      <c r="A361" s="704"/>
      <c r="B361" s="704"/>
      <c r="C361" s="704"/>
      <c r="D361" s="704"/>
      <c r="E361" s="704"/>
      <c r="F361" s="704"/>
      <c r="G361" s="704"/>
      <c r="H361" s="704"/>
      <c r="I361" s="704"/>
      <c r="J361" s="704"/>
      <c r="K361" s="704"/>
      <c r="L361" s="704"/>
      <c r="M361" s="704"/>
      <c r="N361" s="704"/>
      <c r="O361" s="705"/>
      <c r="P361" s="701" t="s">
        <v>40</v>
      </c>
      <c r="Q361" s="702"/>
      <c r="R361" s="702"/>
      <c r="S361" s="702"/>
      <c r="T361" s="702"/>
      <c r="U361" s="702"/>
      <c r="V361" s="703"/>
      <c r="W361" s="42" t="s">
        <v>0</v>
      </c>
      <c r="X361" s="43">
        <f>IFERROR(SUM(X353:X359),"0")</f>
        <v>200</v>
      </c>
      <c r="Y361" s="43">
        <f>IFERROR(SUM(Y353:Y359),"0")</f>
        <v>205.20000000000002</v>
      </c>
      <c r="Z361" s="42"/>
      <c r="AA361" s="67"/>
      <c r="AB361" s="67"/>
      <c r="AC361" s="67"/>
    </row>
    <row r="362" spans="1:68" ht="14.25" hidden="1" customHeight="1" x14ac:dyDescent="0.25">
      <c r="A362" s="696" t="s">
        <v>77</v>
      </c>
      <c r="B362" s="696"/>
      <c r="C362" s="696"/>
      <c r="D362" s="696"/>
      <c r="E362" s="696"/>
      <c r="F362" s="696"/>
      <c r="G362" s="696"/>
      <c r="H362" s="696"/>
      <c r="I362" s="696"/>
      <c r="J362" s="696"/>
      <c r="K362" s="696"/>
      <c r="L362" s="696"/>
      <c r="M362" s="696"/>
      <c r="N362" s="696"/>
      <c r="O362" s="696"/>
      <c r="P362" s="696"/>
      <c r="Q362" s="696"/>
      <c r="R362" s="696"/>
      <c r="S362" s="696"/>
      <c r="T362" s="696"/>
      <c r="U362" s="696"/>
      <c r="V362" s="696"/>
      <c r="W362" s="696"/>
      <c r="X362" s="696"/>
      <c r="Y362" s="696"/>
      <c r="Z362" s="696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97">
        <v>4607091387193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8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customHeight="1" x14ac:dyDescent="0.25">
      <c r="A364" s="63" t="s">
        <v>604</v>
      </c>
      <c r="B364" s="63" t="s">
        <v>605</v>
      </c>
      <c r="C364" s="36">
        <v>4301031153</v>
      </c>
      <c r="D364" s="697">
        <v>4607091387230</v>
      </c>
      <c r="E364" s="697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8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80</v>
      </c>
      <c r="Y364" s="55">
        <f t="shared" si="56"/>
        <v>84</v>
      </c>
      <c r="Z364" s="41">
        <f>IFERROR(IF(Y364=0,"",ROUNDUP(Y364/H364,0)*0.00902),"")</f>
        <v>0.1804</v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84.761904761904759</v>
      </c>
      <c r="BN364" s="78">
        <f t="shared" si="58"/>
        <v>89</v>
      </c>
      <c r="BO364" s="78">
        <f t="shared" si="59"/>
        <v>0.14430014430014429</v>
      </c>
      <c r="BP364" s="78">
        <f t="shared" si="60"/>
        <v>0.15151515151515152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97">
        <v>4607091387292</v>
      </c>
      <c r="E365" s="697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89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4301031152</v>
      </c>
      <c r="D366" s="697">
        <v>4607091387285</v>
      </c>
      <c r="E366" s="697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6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0</v>
      </c>
      <c r="BN366" s="78">
        <f t="shared" si="58"/>
        <v>0</v>
      </c>
      <c r="BO366" s="78">
        <f t="shared" si="59"/>
        <v>0</v>
      </c>
      <c r="BP366" s="78">
        <f t="shared" si="60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4301031305</v>
      </c>
      <c r="D367" s="697">
        <v>4607091389845</v>
      </c>
      <c r="E367" s="697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8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175</v>
      </c>
      <c r="Y367" s="55">
        <f t="shared" si="56"/>
        <v>176.4</v>
      </c>
      <c r="Z367" s="41">
        <f>IFERROR(IF(Y367=0,"",ROUNDUP(Y367/H367,0)*0.00502),"")</f>
        <v>0.42168</v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183.33333333333334</v>
      </c>
      <c r="BN367" s="78">
        <f t="shared" si="58"/>
        <v>184.8</v>
      </c>
      <c r="BO367" s="78">
        <f t="shared" si="59"/>
        <v>0.35612535612535612</v>
      </c>
      <c r="BP367" s="78">
        <f t="shared" si="60"/>
        <v>0.35897435897435903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97">
        <v>4680115887442</v>
      </c>
      <c r="E368" s="697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8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customHeight="1" x14ac:dyDescent="0.25">
      <c r="A369" s="63" t="s">
        <v>617</v>
      </c>
      <c r="B369" s="63" t="s">
        <v>618</v>
      </c>
      <c r="C369" s="36">
        <v>4301031066</v>
      </c>
      <c r="D369" s="697">
        <v>4607091383836</v>
      </c>
      <c r="E369" s="697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8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99"/>
      <c r="R369" s="699"/>
      <c r="S369" s="699"/>
      <c r="T369" s="700"/>
      <c r="U369" s="39" t="s">
        <v>46</v>
      </c>
      <c r="V369" s="39" t="s">
        <v>46</v>
      </c>
      <c r="W369" s="40" t="s">
        <v>0</v>
      </c>
      <c r="X369" s="58">
        <v>30</v>
      </c>
      <c r="Y369" s="55">
        <f t="shared" si="56"/>
        <v>30.6</v>
      </c>
      <c r="Z369" s="41">
        <f>IFERROR(IF(Y369=0,"",ROUNDUP(Y369/H369,0)*0.00651),"")</f>
        <v>0.11067</v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33.800000000000004</v>
      </c>
      <c r="BN369" s="78">
        <f t="shared" si="58"/>
        <v>34.475999999999999</v>
      </c>
      <c r="BO369" s="78">
        <f t="shared" si="59"/>
        <v>9.1575091575091583E-2</v>
      </c>
      <c r="BP369" s="78">
        <f t="shared" si="60"/>
        <v>9.3406593406593408E-2</v>
      </c>
    </row>
    <row r="370" spans="1:68" x14ac:dyDescent="0.2">
      <c r="A370" s="704"/>
      <c r="B370" s="704"/>
      <c r="C370" s="704"/>
      <c r="D370" s="704"/>
      <c r="E370" s="704"/>
      <c r="F370" s="704"/>
      <c r="G370" s="704"/>
      <c r="H370" s="704"/>
      <c r="I370" s="704"/>
      <c r="J370" s="704"/>
      <c r="K370" s="704"/>
      <c r="L370" s="704"/>
      <c r="M370" s="704"/>
      <c r="N370" s="704"/>
      <c r="O370" s="705"/>
      <c r="P370" s="701" t="s">
        <v>40</v>
      </c>
      <c r="Q370" s="702"/>
      <c r="R370" s="702"/>
      <c r="S370" s="702"/>
      <c r="T370" s="702"/>
      <c r="U370" s="702"/>
      <c r="V370" s="703"/>
      <c r="W370" s="42" t="s">
        <v>39</v>
      </c>
      <c r="X370" s="43">
        <f>IFERROR(X363/H363,"0")+IFERROR(X364/H364,"0")+IFERROR(X365/H365,"0")+IFERROR(X366/H366,"0")+IFERROR(X367/H367,"0")+IFERROR(X368/H368,"0")+IFERROR(X369/H369,"0")</f>
        <v>119.04761904761905</v>
      </c>
      <c r="Y370" s="43">
        <f>IFERROR(Y363/H363,"0")+IFERROR(Y364/H364,"0")+IFERROR(Y365/H365,"0")+IFERROR(Y366/H366,"0")+IFERROR(Y367/H367,"0")+IFERROR(Y368/H368,"0")+IFERROR(Y369/H369,"0")</f>
        <v>121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0.71274999999999999</v>
      </c>
      <c r="AA370" s="67"/>
      <c r="AB370" s="67"/>
      <c r="AC370" s="67"/>
    </row>
    <row r="371" spans="1:68" x14ac:dyDescent="0.2">
      <c r="A371" s="704"/>
      <c r="B371" s="704"/>
      <c r="C371" s="704"/>
      <c r="D371" s="704"/>
      <c r="E371" s="704"/>
      <c r="F371" s="704"/>
      <c r="G371" s="704"/>
      <c r="H371" s="704"/>
      <c r="I371" s="704"/>
      <c r="J371" s="704"/>
      <c r="K371" s="704"/>
      <c r="L371" s="704"/>
      <c r="M371" s="704"/>
      <c r="N371" s="704"/>
      <c r="O371" s="705"/>
      <c r="P371" s="701" t="s">
        <v>40</v>
      </c>
      <c r="Q371" s="702"/>
      <c r="R371" s="702"/>
      <c r="S371" s="702"/>
      <c r="T371" s="702"/>
      <c r="U371" s="702"/>
      <c r="V371" s="703"/>
      <c r="W371" s="42" t="s">
        <v>0</v>
      </c>
      <c r="X371" s="43">
        <f>IFERROR(SUM(X363:X369),"0")</f>
        <v>285</v>
      </c>
      <c r="Y371" s="43">
        <f>IFERROR(SUM(Y363:Y369),"0")</f>
        <v>291</v>
      </c>
      <c r="Z371" s="42"/>
      <c r="AA371" s="67"/>
      <c r="AB371" s="67"/>
      <c r="AC371" s="67"/>
    </row>
    <row r="372" spans="1:68" ht="14.25" hidden="1" customHeight="1" x14ac:dyDescent="0.25">
      <c r="A372" s="696" t="s">
        <v>83</v>
      </c>
      <c r="B372" s="696"/>
      <c r="C372" s="696"/>
      <c r="D372" s="696"/>
      <c r="E372" s="696"/>
      <c r="F372" s="696"/>
      <c r="G372" s="696"/>
      <c r="H372" s="696"/>
      <c r="I372" s="696"/>
      <c r="J372" s="696"/>
      <c r="K372" s="696"/>
      <c r="L372" s="696"/>
      <c r="M372" s="696"/>
      <c r="N372" s="696"/>
      <c r="O372" s="696"/>
      <c r="P372" s="696"/>
      <c r="Q372" s="696"/>
      <c r="R372" s="696"/>
      <c r="S372" s="696"/>
      <c r="T372" s="696"/>
      <c r="U372" s="696"/>
      <c r="V372" s="696"/>
      <c r="W372" s="696"/>
      <c r="X372" s="696"/>
      <c r="Y372" s="696"/>
      <c r="Z372" s="696"/>
      <c r="AA372" s="66"/>
      <c r="AB372" s="66"/>
      <c r="AC372" s="80"/>
    </row>
    <row r="373" spans="1:68" ht="27" customHeight="1" x14ac:dyDescent="0.25">
      <c r="A373" s="63" t="s">
        <v>620</v>
      </c>
      <c r="B373" s="63" t="s">
        <v>621</v>
      </c>
      <c r="C373" s="36">
        <v>4301051100</v>
      </c>
      <c r="D373" s="697">
        <v>4607091387766</v>
      </c>
      <c r="E373" s="697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8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140</v>
      </c>
      <c r="Y373" s="55">
        <f>IFERROR(IF(X373="",0,CEILING((X373/$H373),1)*$H373),"")</f>
        <v>140.4</v>
      </c>
      <c r="Z373" s="41">
        <f>IFERROR(IF(Y373=0,"",ROUNDUP(Y373/H373,0)*0.01898),"")</f>
        <v>0.34164</v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148.75897435897434</v>
      </c>
      <c r="BN373" s="78">
        <f>IFERROR(Y373*I373/H373,"0")</f>
        <v>149.18400000000003</v>
      </c>
      <c r="BO373" s="78">
        <f>IFERROR(1/J373*(X373/H373),"0")</f>
        <v>0.28044871794871795</v>
      </c>
      <c r="BP373" s="78">
        <f>IFERROR(1/J373*(Y373/H373),"0")</f>
        <v>0.28125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97">
        <v>4607091387957</v>
      </c>
      <c r="E374" s="697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8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97">
        <v>4607091387964</v>
      </c>
      <c r="E375" s="697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8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97">
        <v>4680115884588</v>
      </c>
      <c r="E376" s="697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8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99"/>
      <c r="R376" s="699"/>
      <c r="S376" s="699"/>
      <c r="T376" s="70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704"/>
      <c r="B377" s="704"/>
      <c r="C377" s="704"/>
      <c r="D377" s="704"/>
      <c r="E377" s="704"/>
      <c r="F377" s="704"/>
      <c r="G377" s="704"/>
      <c r="H377" s="704"/>
      <c r="I377" s="704"/>
      <c r="J377" s="704"/>
      <c r="K377" s="704"/>
      <c r="L377" s="704"/>
      <c r="M377" s="704"/>
      <c r="N377" s="704"/>
      <c r="O377" s="705"/>
      <c r="P377" s="701" t="s">
        <v>40</v>
      </c>
      <c r="Q377" s="702"/>
      <c r="R377" s="702"/>
      <c r="S377" s="702"/>
      <c r="T377" s="702"/>
      <c r="U377" s="702"/>
      <c r="V377" s="703"/>
      <c r="W377" s="42" t="s">
        <v>39</v>
      </c>
      <c r="X377" s="43">
        <f>IFERROR(X373/H373,"0")+IFERROR(X374/H374,"0")+IFERROR(X375/H375,"0")+IFERROR(X376/H376,"0")</f>
        <v>17.948717948717949</v>
      </c>
      <c r="Y377" s="43">
        <f>IFERROR(Y373/H373,"0")+IFERROR(Y374/H374,"0")+IFERROR(Y375/H375,"0")+IFERROR(Y376/H376,"0")</f>
        <v>18</v>
      </c>
      <c r="Z377" s="43">
        <f>IFERROR(IF(Z373="",0,Z373),"0")+IFERROR(IF(Z374="",0,Z374),"0")+IFERROR(IF(Z375="",0,Z375),"0")+IFERROR(IF(Z376="",0,Z376),"0")</f>
        <v>0.34164</v>
      </c>
      <c r="AA377" s="67"/>
      <c r="AB377" s="67"/>
      <c r="AC377" s="67"/>
    </row>
    <row r="378" spans="1:68" x14ac:dyDescent="0.2">
      <c r="A378" s="704"/>
      <c r="B378" s="704"/>
      <c r="C378" s="704"/>
      <c r="D378" s="704"/>
      <c r="E378" s="704"/>
      <c r="F378" s="704"/>
      <c r="G378" s="704"/>
      <c r="H378" s="704"/>
      <c r="I378" s="704"/>
      <c r="J378" s="704"/>
      <c r="K378" s="704"/>
      <c r="L378" s="704"/>
      <c r="M378" s="704"/>
      <c r="N378" s="704"/>
      <c r="O378" s="705"/>
      <c r="P378" s="701" t="s">
        <v>40</v>
      </c>
      <c r="Q378" s="702"/>
      <c r="R378" s="702"/>
      <c r="S378" s="702"/>
      <c r="T378" s="702"/>
      <c r="U378" s="702"/>
      <c r="V378" s="703"/>
      <c r="W378" s="42" t="s">
        <v>0</v>
      </c>
      <c r="X378" s="43">
        <f>IFERROR(SUM(X373:X376),"0")</f>
        <v>140</v>
      </c>
      <c r="Y378" s="43">
        <f>IFERROR(SUM(Y373:Y376),"0")</f>
        <v>140.4</v>
      </c>
      <c r="Z378" s="42"/>
      <c r="AA378" s="67"/>
      <c r="AB378" s="67"/>
      <c r="AC378" s="67"/>
    </row>
    <row r="379" spans="1:68" ht="14.25" hidden="1" customHeight="1" x14ac:dyDescent="0.25">
      <c r="A379" s="696" t="s">
        <v>172</v>
      </c>
      <c r="B379" s="696"/>
      <c r="C379" s="696"/>
      <c r="D379" s="696"/>
      <c r="E379" s="696"/>
      <c r="F379" s="696"/>
      <c r="G379" s="696"/>
      <c r="H379" s="696"/>
      <c r="I379" s="696"/>
      <c r="J379" s="696"/>
      <c r="K379" s="696"/>
      <c r="L379" s="696"/>
      <c r="M379" s="696"/>
      <c r="N379" s="696"/>
      <c r="O379" s="696"/>
      <c r="P379" s="696"/>
      <c r="Q379" s="696"/>
      <c r="R379" s="696"/>
      <c r="S379" s="696"/>
      <c r="T379" s="696"/>
      <c r="U379" s="696"/>
      <c r="V379" s="696"/>
      <c r="W379" s="696"/>
      <c r="X379" s="696"/>
      <c r="Y379" s="696"/>
      <c r="Z379" s="696"/>
      <c r="AA379" s="66"/>
      <c r="AB379" s="66"/>
      <c r="AC379" s="80"/>
    </row>
    <row r="380" spans="1:68" ht="27" customHeight="1" x14ac:dyDescent="0.25">
      <c r="A380" s="63" t="s">
        <v>631</v>
      </c>
      <c r="B380" s="63" t="s">
        <v>632</v>
      </c>
      <c r="C380" s="36">
        <v>4301060387</v>
      </c>
      <c r="D380" s="697">
        <v>4607091380880</v>
      </c>
      <c r="E380" s="697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8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300</v>
      </c>
      <c r="Y380" s="55">
        <f>IFERROR(IF(X380="",0,CEILING((X380/$H380),1)*$H380),"")</f>
        <v>302.40000000000003</v>
      </c>
      <c r="Z380" s="41">
        <f>IFERROR(IF(Y380=0,"",ROUNDUP(Y380/H380,0)*0.01898),"")</f>
        <v>0.68328</v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317.64285714285711</v>
      </c>
      <c r="BN380" s="78">
        <f>IFERROR(Y380*I380/H380,"0")</f>
        <v>320.18400000000003</v>
      </c>
      <c r="BO380" s="78">
        <f>IFERROR(1/J380*(X380/H380),"0")</f>
        <v>0.5580357142857143</v>
      </c>
      <c r="BP380" s="78">
        <f>IFERROR(1/J380*(Y380/H380),"0")</f>
        <v>0.5625</v>
      </c>
    </row>
    <row r="381" spans="1:68" ht="27" customHeight="1" x14ac:dyDescent="0.25">
      <c r="A381" s="63" t="s">
        <v>634</v>
      </c>
      <c r="B381" s="63" t="s">
        <v>635</v>
      </c>
      <c r="C381" s="36">
        <v>4301060406</v>
      </c>
      <c r="D381" s="697">
        <v>4607091384482</v>
      </c>
      <c r="E381" s="69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9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250</v>
      </c>
      <c r="Y381" s="55">
        <f>IFERROR(IF(X381="",0,CEILING((X381/$H381),1)*$H381),"")</f>
        <v>257.39999999999998</v>
      </c>
      <c r="Z381" s="41">
        <f>IFERROR(IF(Y381=0,"",ROUNDUP(Y381/H381,0)*0.01898),"")</f>
        <v>0.62634000000000001</v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265.83333333333331</v>
      </c>
      <c r="BN381" s="78">
        <f>IFERROR(Y381*I381/H381,"0")</f>
        <v>273.702</v>
      </c>
      <c r="BO381" s="78">
        <f>IFERROR(1/J381*(X381/H381),"0")</f>
        <v>0.50080128205128205</v>
      </c>
      <c r="BP381" s="78">
        <f>IFERROR(1/J381*(Y381/H381),"0")</f>
        <v>0.515625</v>
      </c>
    </row>
    <row r="382" spans="1:68" ht="27" customHeight="1" x14ac:dyDescent="0.25">
      <c r="A382" s="63" t="s">
        <v>637</v>
      </c>
      <c r="B382" s="63" t="s">
        <v>638</v>
      </c>
      <c r="C382" s="36">
        <v>4301060484</v>
      </c>
      <c r="D382" s="697">
        <v>4607091380897</v>
      </c>
      <c r="E382" s="697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99"/>
      <c r="R382" s="699"/>
      <c r="S382" s="699"/>
      <c r="T382" s="700"/>
      <c r="U382" s="39" t="s">
        <v>46</v>
      </c>
      <c r="V382" s="39" t="s">
        <v>46</v>
      </c>
      <c r="W382" s="40" t="s">
        <v>0</v>
      </c>
      <c r="X382" s="58">
        <v>50</v>
      </c>
      <c r="Y382" s="55">
        <f>IFERROR(IF(X382="",0,CEILING((X382/$H382),1)*$H382),"")</f>
        <v>50.400000000000006</v>
      </c>
      <c r="Z382" s="41">
        <f>IFERROR(IF(Y382=0,"",ROUNDUP(Y382/H382,0)*0.01898),"")</f>
        <v>0.11388000000000001</v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52.94047619047619</v>
      </c>
      <c r="BN382" s="78">
        <f>IFERROR(Y382*I382/H382,"0")</f>
        <v>53.364000000000004</v>
      </c>
      <c r="BO382" s="78">
        <f>IFERROR(1/J382*(X382/H382),"0")</f>
        <v>9.3005952380952384E-2</v>
      </c>
      <c r="BP382" s="78">
        <f>IFERROR(1/J382*(Y382/H382),"0")</f>
        <v>9.375E-2</v>
      </c>
    </row>
    <row r="383" spans="1:68" x14ac:dyDescent="0.2">
      <c r="A383" s="704"/>
      <c r="B383" s="704"/>
      <c r="C383" s="704"/>
      <c r="D383" s="704"/>
      <c r="E383" s="704"/>
      <c r="F383" s="704"/>
      <c r="G383" s="704"/>
      <c r="H383" s="704"/>
      <c r="I383" s="704"/>
      <c r="J383" s="704"/>
      <c r="K383" s="704"/>
      <c r="L383" s="704"/>
      <c r="M383" s="704"/>
      <c r="N383" s="704"/>
      <c r="O383" s="705"/>
      <c r="P383" s="701" t="s">
        <v>40</v>
      </c>
      <c r="Q383" s="702"/>
      <c r="R383" s="702"/>
      <c r="S383" s="702"/>
      <c r="T383" s="702"/>
      <c r="U383" s="702"/>
      <c r="V383" s="703"/>
      <c r="W383" s="42" t="s">
        <v>39</v>
      </c>
      <c r="X383" s="43">
        <f>IFERROR(X380/H380,"0")+IFERROR(X381/H381,"0")+IFERROR(X382/H382,"0")</f>
        <v>73.717948717948715</v>
      </c>
      <c r="Y383" s="43">
        <f>IFERROR(Y380/H380,"0")+IFERROR(Y381/H381,"0")+IFERROR(Y382/H382,"0")</f>
        <v>75</v>
      </c>
      <c r="Z383" s="43">
        <f>IFERROR(IF(Z380="",0,Z380),"0")+IFERROR(IF(Z381="",0,Z381),"0")+IFERROR(IF(Z382="",0,Z382),"0")</f>
        <v>1.4235</v>
      </c>
      <c r="AA383" s="67"/>
      <c r="AB383" s="67"/>
      <c r="AC383" s="67"/>
    </row>
    <row r="384" spans="1:68" x14ac:dyDescent="0.2">
      <c r="A384" s="704"/>
      <c r="B384" s="704"/>
      <c r="C384" s="704"/>
      <c r="D384" s="704"/>
      <c r="E384" s="704"/>
      <c r="F384" s="704"/>
      <c r="G384" s="704"/>
      <c r="H384" s="704"/>
      <c r="I384" s="704"/>
      <c r="J384" s="704"/>
      <c r="K384" s="704"/>
      <c r="L384" s="704"/>
      <c r="M384" s="704"/>
      <c r="N384" s="704"/>
      <c r="O384" s="705"/>
      <c r="P384" s="701" t="s">
        <v>40</v>
      </c>
      <c r="Q384" s="702"/>
      <c r="R384" s="702"/>
      <c r="S384" s="702"/>
      <c r="T384" s="702"/>
      <c r="U384" s="702"/>
      <c r="V384" s="703"/>
      <c r="W384" s="42" t="s">
        <v>0</v>
      </c>
      <c r="X384" s="43">
        <f>IFERROR(SUM(X380:X382),"0")</f>
        <v>600</v>
      </c>
      <c r="Y384" s="43">
        <f>IFERROR(SUM(Y380:Y382),"0")</f>
        <v>610.19999999999993</v>
      </c>
      <c r="Z384" s="42"/>
      <c r="AA384" s="67"/>
      <c r="AB384" s="67"/>
      <c r="AC384" s="67"/>
    </row>
    <row r="385" spans="1:68" ht="14.25" hidden="1" customHeight="1" x14ac:dyDescent="0.25">
      <c r="A385" s="696" t="s">
        <v>274</v>
      </c>
      <c r="B385" s="696"/>
      <c r="C385" s="696"/>
      <c r="D385" s="696"/>
      <c r="E385" s="696"/>
      <c r="F385" s="696"/>
      <c r="G385" s="696"/>
      <c r="H385" s="696"/>
      <c r="I385" s="696"/>
      <c r="J385" s="696"/>
      <c r="K385" s="696"/>
      <c r="L385" s="696"/>
      <c r="M385" s="696"/>
      <c r="N385" s="696"/>
      <c r="O385" s="696"/>
      <c r="P385" s="696"/>
      <c r="Q385" s="696"/>
      <c r="R385" s="696"/>
      <c r="S385" s="696"/>
      <c r="T385" s="696"/>
      <c r="U385" s="696"/>
      <c r="V385" s="696"/>
      <c r="W385" s="696"/>
      <c r="X385" s="696"/>
      <c r="Y385" s="696"/>
      <c r="Z385" s="69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97">
        <v>4607091388381</v>
      </c>
      <c r="E386" s="697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97">
        <v>4607091388374</v>
      </c>
      <c r="E387" s="697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645</v>
      </c>
      <c r="B388" s="63" t="s">
        <v>646</v>
      </c>
      <c r="C388" s="36">
        <v>4301032015</v>
      </c>
      <c r="D388" s="697">
        <v>4607091383102</v>
      </c>
      <c r="E388" s="697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102</v>
      </c>
      <c r="Y388" s="55">
        <f>IFERROR(IF(X388="",0,CEILING((X388/$H388),1)*$H388),"")</f>
        <v>102</v>
      </c>
      <c r="Z388" s="41">
        <f>IFERROR(IF(Y388=0,"",ROUNDUP(Y388/H388,0)*0.00651),"")</f>
        <v>0.26040000000000002</v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118.20000000000002</v>
      </c>
      <c r="BN388" s="78">
        <f>IFERROR(Y388*I388/H388,"0")</f>
        <v>118.20000000000002</v>
      </c>
      <c r="BO388" s="78">
        <f>IFERROR(1/J388*(X388/H388),"0")</f>
        <v>0.2197802197802198</v>
      </c>
      <c r="BP388" s="78">
        <f>IFERROR(1/J388*(Y388/H388),"0")</f>
        <v>0.2197802197802198</v>
      </c>
    </row>
    <row r="389" spans="1:68" ht="27" customHeight="1" x14ac:dyDescent="0.25">
      <c r="A389" s="63" t="s">
        <v>647</v>
      </c>
      <c r="B389" s="63" t="s">
        <v>648</v>
      </c>
      <c r="C389" s="36">
        <v>4301030233</v>
      </c>
      <c r="D389" s="697">
        <v>4607091388404</v>
      </c>
      <c r="E389" s="697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9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99"/>
      <c r="R389" s="699"/>
      <c r="S389" s="699"/>
      <c r="T389" s="700"/>
      <c r="U389" s="39" t="s">
        <v>46</v>
      </c>
      <c r="V389" s="39" t="s">
        <v>46</v>
      </c>
      <c r="W389" s="40" t="s">
        <v>0</v>
      </c>
      <c r="X389" s="58">
        <v>425</v>
      </c>
      <c r="Y389" s="55">
        <f>IFERROR(IF(X389="",0,CEILING((X389/$H389),1)*$H389),"")</f>
        <v>425.84999999999997</v>
      </c>
      <c r="Z389" s="41">
        <f>IFERROR(IF(Y389=0,"",ROUNDUP(Y389/H389,0)*0.00651),"")</f>
        <v>1.08717</v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480.00000000000006</v>
      </c>
      <c r="BN389" s="78">
        <f>IFERROR(Y389*I389/H389,"0")</f>
        <v>480.96</v>
      </c>
      <c r="BO389" s="78">
        <f>IFERROR(1/J389*(X389/H389),"0")</f>
        <v>0.91575091575091594</v>
      </c>
      <c r="BP389" s="78">
        <f>IFERROR(1/J389*(Y389/H389),"0")</f>
        <v>0.91758241758241765</v>
      </c>
    </row>
    <row r="390" spans="1:68" x14ac:dyDescent="0.2">
      <c r="A390" s="704"/>
      <c r="B390" s="704"/>
      <c r="C390" s="704"/>
      <c r="D390" s="704"/>
      <c r="E390" s="704"/>
      <c r="F390" s="704"/>
      <c r="G390" s="704"/>
      <c r="H390" s="704"/>
      <c r="I390" s="704"/>
      <c r="J390" s="704"/>
      <c r="K390" s="704"/>
      <c r="L390" s="704"/>
      <c r="M390" s="704"/>
      <c r="N390" s="704"/>
      <c r="O390" s="705"/>
      <c r="P390" s="701" t="s">
        <v>40</v>
      </c>
      <c r="Q390" s="702"/>
      <c r="R390" s="702"/>
      <c r="S390" s="702"/>
      <c r="T390" s="702"/>
      <c r="U390" s="702"/>
      <c r="V390" s="703"/>
      <c r="W390" s="42" t="s">
        <v>39</v>
      </c>
      <c r="X390" s="43">
        <f>IFERROR(X386/H386,"0")+IFERROR(X387/H387,"0")+IFERROR(X388/H388,"0")+IFERROR(X389/H389,"0")</f>
        <v>206.66666666666669</v>
      </c>
      <c r="Y390" s="43">
        <f>IFERROR(Y386/H386,"0")+IFERROR(Y387/H387,"0")+IFERROR(Y388/H388,"0")+IFERROR(Y389/H389,"0")</f>
        <v>207</v>
      </c>
      <c r="Z390" s="43">
        <f>IFERROR(IF(Z386="",0,Z386),"0")+IFERROR(IF(Z387="",0,Z387),"0")+IFERROR(IF(Z388="",0,Z388),"0")+IFERROR(IF(Z389="",0,Z389),"0")</f>
        <v>1.3475699999999999</v>
      </c>
      <c r="AA390" s="67"/>
      <c r="AB390" s="67"/>
      <c r="AC390" s="67"/>
    </row>
    <row r="391" spans="1:68" x14ac:dyDescent="0.2">
      <c r="A391" s="704"/>
      <c r="B391" s="704"/>
      <c r="C391" s="704"/>
      <c r="D391" s="704"/>
      <c r="E391" s="704"/>
      <c r="F391" s="704"/>
      <c r="G391" s="704"/>
      <c r="H391" s="704"/>
      <c r="I391" s="704"/>
      <c r="J391" s="704"/>
      <c r="K391" s="704"/>
      <c r="L391" s="704"/>
      <c r="M391" s="704"/>
      <c r="N391" s="704"/>
      <c r="O391" s="705"/>
      <c r="P391" s="701" t="s">
        <v>40</v>
      </c>
      <c r="Q391" s="702"/>
      <c r="R391" s="702"/>
      <c r="S391" s="702"/>
      <c r="T391" s="702"/>
      <c r="U391" s="702"/>
      <c r="V391" s="703"/>
      <c r="W391" s="42" t="s">
        <v>0</v>
      </c>
      <c r="X391" s="43">
        <f>IFERROR(SUM(X386:X389),"0")</f>
        <v>527</v>
      </c>
      <c r="Y391" s="43">
        <f>IFERROR(SUM(Y386:Y389),"0")</f>
        <v>527.84999999999991</v>
      </c>
      <c r="Z391" s="42"/>
      <c r="AA391" s="67"/>
      <c r="AB391" s="67"/>
      <c r="AC391" s="67"/>
    </row>
    <row r="392" spans="1:68" ht="14.25" hidden="1" customHeight="1" x14ac:dyDescent="0.25">
      <c r="A392" s="696" t="s">
        <v>649</v>
      </c>
      <c r="B392" s="696"/>
      <c r="C392" s="696"/>
      <c r="D392" s="696"/>
      <c r="E392" s="696"/>
      <c r="F392" s="696"/>
      <c r="G392" s="696"/>
      <c r="H392" s="696"/>
      <c r="I392" s="696"/>
      <c r="J392" s="696"/>
      <c r="K392" s="696"/>
      <c r="L392" s="696"/>
      <c r="M392" s="696"/>
      <c r="N392" s="696"/>
      <c r="O392" s="696"/>
      <c r="P392" s="696"/>
      <c r="Q392" s="696"/>
      <c r="R392" s="696"/>
      <c r="S392" s="696"/>
      <c r="T392" s="696"/>
      <c r="U392" s="696"/>
      <c r="V392" s="696"/>
      <c r="W392" s="696"/>
      <c r="X392" s="696"/>
      <c r="Y392" s="696"/>
      <c r="Z392" s="696"/>
      <c r="AA392" s="66"/>
      <c r="AB392" s="66"/>
      <c r="AC392" s="80"/>
    </row>
    <row r="393" spans="1:68" ht="16.5" customHeight="1" x14ac:dyDescent="0.25">
      <c r="A393" s="63" t="s">
        <v>650</v>
      </c>
      <c r="B393" s="63" t="s">
        <v>651</v>
      </c>
      <c r="C393" s="36">
        <v>4301180007</v>
      </c>
      <c r="D393" s="697">
        <v>4680115881808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100</v>
      </c>
      <c r="Y393" s="55">
        <f>IFERROR(IF(X393="",0,CEILING((X393/$H393),1)*$H393),"")</f>
        <v>100</v>
      </c>
      <c r="Z393" s="41">
        <f>IFERROR(IF(Y393=0,"",ROUNDUP(Y393/H393,0)*0.00474),"")</f>
        <v>0.23700000000000002</v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112.00000000000001</v>
      </c>
      <c r="BN393" s="78">
        <f>IFERROR(Y393*I393/H393,"0")</f>
        <v>112.00000000000001</v>
      </c>
      <c r="BO393" s="78">
        <f>IFERROR(1/J393*(X393/H393),"0")</f>
        <v>0.21008403361344538</v>
      </c>
      <c r="BP393" s="78">
        <f>IFERROR(1/J393*(Y393/H393),"0")</f>
        <v>0.21008403361344538</v>
      </c>
    </row>
    <row r="394" spans="1:68" ht="27" customHeight="1" x14ac:dyDescent="0.25">
      <c r="A394" s="63" t="s">
        <v>654</v>
      </c>
      <c r="B394" s="63" t="s">
        <v>655</v>
      </c>
      <c r="C394" s="36">
        <v>4301180006</v>
      </c>
      <c r="D394" s="697">
        <v>4680115881822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60</v>
      </c>
      <c r="Y394" s="55">
        <f>IFERROR(IF(X394="",0,CEILING((X394/$H394),1)*$H394),"")</f>
        <v>60</v>
      </c>
      <c r="Z394" s="41">
        <f>IFERROR(IF(Y394=0,"",ROUNDUP(Y394/H394,0)*0.00474),"")</f>
        <v>0.14220000000000002</v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67.2</v>
      </c>
      <c r="BN394" s="78">
        <f>IFERROR(Y394*I394/H394,"0")</f>
        <v>67.2</v>
      </c>
      <c r="BO394" s="78">
        <f>IFERROR(1/J394*(X394/H394),"0")</f>
        <v>0.12605042016806722</v>
      </c>
      <c r="BP394" s="78">
        <f>IFERROR(1/J394*(Y394/H394),"0")</f>
        <v>0.12605042016806722</v>
      </c>
    </row>
    <row r="395" spans="1:68" ht="27" customHeight="1" x14ac:dyDescent="0.25">
      <c r="A395" s="63" t="s">
        <v>656</v>
      </c>
      <c r="B395" s="63" t="s">
        <v>657</v>
      </c>
      <c r="C395" s="36">
        <v>4301180001</v>
      </c>
      <c r="D395" s="697">
        <v>4680115880016</v>
      </c>
      <c r="E395" s="697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9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99"/>
      <c r="R395" s="699"/>
      <c r="S395" s="699"/>
      <c r="T395" s="700"/>
      <c r="U395" s="39" t="s">
        <v>46</v>
      </c>
      <c r="V395" s="39" t="s">
        <v>46</v>
      </c>
      <c r="W395" s="40" t="s">
        <v>0</v>
      </c>
      <c r="X395" s="58">
        <v>100</v>
      </c>
      <c r="Y395" s="55">
        <f>IFERROR(IF(X395="",0,CEILING((X395/$H395),1)*$H395),"")</f>
        <v>100</v>
      </c>
      <c r="Z395" s="41">
        <f>IFERROR(IF(Y395=0,"",ROUNDUP(Y395/H395,0)*0.00474),"")</f>
        <v>0.23700000000000002</v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112.00000000000001</v>
      </c>
      <c r="BN395" s="78">
        <f>IFERROR(Y395*I395/H395,"0")</f>
        <v>112.00000000000001</v>
      </c>
      <c r="BO395" s="78">
        <f>IFERROR(1/J395*(X395/H395),"0")</f>
        <v>0.21008403361344538</v>
      </c>
      <c r="BP395" s="78">
        <f>IFERROR(1/J395*(Y395/H395),"0")</f>
        <v>0.21008403361344538</v>
      </c>
    </row>
    <row r="396" spans="1:68" x14ac:dyDescent="0.2">
      <c r="A396" s="704"/>
      <c r="B396" s="704"/>
      <c r="C396" s="704"/>
      <c r="D396" s="704"/>
      <c r="E396" s="704"/>
      <c r="F396" s="704"/>
      <c r="G396" s="704"/>
      <c r="H396" s="704"/>
      <c r="I396" s="704"/>
      <c r="J396" s="704"/>
      <c r="K396" s="704"/>
      <c r="L396" s="704"/>
      <c r="M396" s="704"/>
      <c r="N396" s="704"/>
      <c r="O396" s="705"/>
      <c r="P396" s="701" t="s">
        <v>40</v>
      </c>
      <c r="Q396" s="702"/>
      <c r="R396" s="702"/>
      <c r="S396" s="702"/>
      <c r="T396" s="702"/>
      <c r="U396" s="702"/>
      <c r="V396" s="703"/>
      <c r="W396" s="42" t="s">
        <v>39</v>
      </c>
      <c r="X396" s="43">
        <f>IFERROR(X393/H393,"0")+IFERROR(X394/H394,"0")+IFERROR(X395/H395,"0")</f>
        <v>130</v>
      </c>
      <c r="Y396" s="43">
        <f>IFERROR(Y393/H393,"0")+IFERROR(Y394/H394,"0")+IFERROR(Y395/H395,"0")</f>
        <v>130</v>
      </c>
      <c r="Z396" s="43">
        <f>IFERROR(IF(Z393="",0,Z393),"0")+IFERROR(IF(Z394="",0,Z394),"0")+IFERROR(IF(Z395="",0,Z395),"0")</f>
        <v>0.61620000000000008</v>
      </c>
      <c r="AA396" s="67"/>
      <c r="AB396" s="67"/>
      <c r="AC396" s="67"/>
    </row>
    <row r="397" spans="1:68" x14ac:dyDescent="0.2">
      <c r="A397" s="704"/>
      <c r="B397" s="704"/>
      <c r="C397" s="704"/>
      <c r="D397" s="704"/>
      <c r="E397" s="704"/>
      <c r="F397" s="704"/>
      <c r="G397" s="704"/>
      <c r="H397" s="704"/>
      <c r="I397" s="704"/>
      <c r="J397" s="704"/>
      <c r="K397" s="704"/>
      <c r="L397" s="704"/>
      <c r="M397" s="704"/>
      <c r="N397" s="704"/>
      <c r="O397" s="705"/>
      <c r="P397" s="701" t="s">
        <v>40</v>
      </c>
      <c r="Q397" s="702"/>
      <c r="R397" s="702"/>
      <c r="S397" s="702"/>
      <c r="T397" s="702"/>
      <c r="U397" s="702"/>
      <c r="V397" s="703"/>
      <c r="W397" s="42" t="s">
        <v>0</v>
      </c>
      <c r="X397" s="43">
        <f>IFERROR(SUM(X393:X395),"0")</f>
        <v>260</v>
      </c>
      <c r="Y397" s="43">
        <f>IFERROR(SUM(Y393:Y395),"0")</f>
        <v>260</v>
      </c>
      <c r="Z397" s="42"/>
      <c r="AA397" s="67"/>
      <c r="AB397" s="67"/>
      <c r="AC397" s="67"/>
    </row>
    <row r="398" spans="1:68" ht="14.25" hidden="1" customHeight="1" x14ac:dyDescent="0.25">
      <c r="A398" s="696" t="s">
        <v>658</v>
      </c>
      <c r="B398" s="696"/>
      <c r="C398" s="696"/>
      <c r="D398" s="696"/>
      <c r="E398" s="696"/>
      <c r="F398" s="696"/>
      <c r="G398" s="696"/>
      <c r="H398" s="696"/>
      <c r="I398" s="696"/>
      <c r="J398" s="696"/>
      <c r="K398" s="696"/>
      <c r="L398" s="696"/>
      <c r="M398" s="696"/>
      <c r="N398" s="696"/>
      <c r="O398" s="696"/>
      <c r="P398" s="696"/>
      <c r="Q398" s="696"/>
      <c r="R398" s="696"/>
      <c r="S398" s="696"/>
      <c r="T398" s="696"/>
      <c r="U398" s="696"/>
      <c r="V398" s="696"/>
      <c r="W398" s="696"/>
      <c r="X398" s="696"/>
      <c r="Y398" s="696"/>
      <c r="Z398" s="696"/>
      <c r="AA398" s="66"/>
      <c r="AB398" s="66"/>
      <c r="AC398" s="80"/>
    </row>
    <row r="399" spans="1:68" ht="27" customHeight="1" x14ac:dyDescent="0.25">
      <c r="A399" s="63" t="s">
        <v>659</v>
      </c>
      <c r="B399" s="63" t="s">
        <v>660</v>
      </c>
      <c r="C399" s="36">
        <v>4301220003</v>
      </c>
      <c r="D399" s="697">
        <v>4680115888678</v>
      </c>
      <c r="E399" s="697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8</v>
      </c>
      <c r="Y399" s="55">
        <f>IFERROR(IF(X399="",0,CEILING((X399/$H399),1)*$H399),"")</f>
        <v>9</v>
      </c>
      <c r="Z399" s="41">
        <f>IFERROR(IF(Y399=0,"",ROUNDUP(Y399/H399,0)*0.0045),"")</f>
        <v>1.3499999999999998E-2</v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8.5866666666666678</v>
      </c>
      <c r="BN399" s="78">
        <f>IFERROR(Y399*I399/H399,"0")</f>
        <v>9.66</v>
      </c>
      <c r="BO399" s="78">
        <f>IFERROR(1/J399*(X399/H399),"0")</f>
        <v>1.1904761904761904E-2</v>
      </c>
      <c r="BP399" s="78">
        <f>IFERROR(1/J399*(Y399/H399),"0")</f>
        <v>1.3392857142857142E-2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97">
        <v>4680115888654</v>
      </c>
      <c r="E400" s="697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91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4301220002</v>
      </c>
      <c r="D401" s="697">
        <v>4680115888753</v>
      </c>
      <c r="E401" s="697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99"/>
      <c r="R401" s="699"/>
      <c r="S401" s="699"/>
      <c r="T401" s="70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704"/>
      <c r="B402" s="704"/>
      <c r="C402" s="704"/>
      <c r="D402" s="704"/>
      <c r="E402" s="704"/>
      <c r="F402" s="704"/>
      <c r="G402" s="704"/>
      <c r="H402" s="704"/>
      <c r="I402" s="704"/>
      <c r="J402" s="704"/>
      <c r="K402" s="704"/>
      <c r="L402" s="704"/>
      <c r="M402" s="704"/>
      <c r="N402" s="704"/>
      <c r="O402" s="705"/>
      <c r="P402" s="701" t="s">
        <v>40</v>
      </c>
      <c r="Q402" s="702"/>
      <c r="R402" s="702"/>
      <c r="S402" s="702"/>
      <c r="T402" s="702"/>
      <c r="U402" s="702"/>
      <c r="V402" s="703"/>
      <c r="W402" s="42" t="s">
        <v>39</v>
      </c>
      <c r="X402" s="43">
        <f>IFERROR(X399/H399,"0")+IFERROR(X400/H400,"0")+IFERROR(X401/H401,"0")</f>
        <v>2.6666666666666665</v>
      </c>
      <c r="Y402" s="43">
        <f>IFERROR(Y399/H399,"0")+IFERROR(Y400/H400,"0")+IFERROR(Y401/H401,"0")</f>
        <v>3</v>
      </c>
      <c r="Z402" s="43">
        <f>IFERROR(IF(Z399="",0,Z399),"0")+IFERROR(IF(Z400="",0,Z400),"0")+IFERROR(IF(Z401="",0,Z401),"0")</f>
        <v>1.3499999999999998E-2</v>
      </c>
      <c r="AA402" s="67"/>
      <c r="AB402" s="67"/>
      <c r="AC402" s="67"/>
    </row>
    <row r="403" spans="1:68" x14ac:dyDescent="0.2">
      <c r="A403" s="704"/>
      <c r="B403" s="704"/>
      <c r="C403" s="704"/>
      <c r="D403" s="704"/>
      <c r="E403" s="704"/>
      <c r="F403" s="704"/>
      <c r="G403" s="704"/>
      <c r="H403" s="704"/>
      <c r="I403" s="704"/>
      <c r="J403" s="704"/>
      <c r="K403" s="704"/>
      <c r="L403" s="704"/>
      <c r="M403" s="704"/>
      <c r="N403" s="704"/>
      <c r="O403" s="705"/>
      <c r="P403" s="701" t="s">
        <v>40</v>
      </c>
      <c r="Q403" s="702"/>
      <c r="R403" s="702"/>
      <c r="S403" s="702"/>
      <c r="T403" s="702"/>
      <c r="U403" s="702"/>
      <c r="V403" s="703"/>
      <c r="W403" s="42" t="s">
        <v>0</v>
      </c>
      <c r="X403" s="43">
        <f>IFERROR(SUM(X399:X401),"0")</f>
        <v>8</v>
      </c>
      <c r="Y403" s="43">
        <f>IFERROR(SUM(Y399:Y401),"0")</f>
        <v>9</v>
      </c>
      <c r="Z403" s="42"/>
      <c r="AA403" s="67"/>
      <c r="AB403" s="67"/>
      <c r="AC403" s="67"/>
    </row>
    <row r="404" spans="1:68" ht="16.5" hidden="1" customHeight="1" x14ac:dyDescent="0.25">
      <c r="A404" s="695" t="s">
        <v>667</v>
      </c>
      <c r="B404" s="695"/>
      <c r="C404" s="695"/>
      <c r="D404" s="695"/>
      <c r="E404" s="695"/>
      <c r="F404" s="695"/>
      <c r="G404" s="695"/>
      <c r="H404" s="695"/>
      <c r="I404" s="695"/>
      <c r="J404" s="695"/>
      <c r="K404" s="695"/>
      <c r="L404" s="695"/>
      <c r="M404" s="695"/>
      <c r="N404" s="695"/>
      <c r="O404" s="695"/>
      <c r="P404" s="695"/>
      <c r="Q404" s="695"/>
      <c r="R404" s="695"/>
      <c r="S404" s="695"/>
      <c r="T404" s="695"/>
      <c r="U404" s="695"/>
      <c r="V404" s="695"/>
      <c r="W404" s="695"/>
      <c r="X404" s="695"/>
      <c r="Y404" s="695"/>
      <c r="Z404" s="695"/>
      <c r="AA404" s="65"/>
      <c r="AB404" s="65"/>
      <c r="AC404" s="79"/>
    </row>
    <row r="405" spans="1:68" ht="14.25" hidden="1" customHeight="1" x14ac:dyDescent="0.25">
      <c r="A405" s="696" t="s">
        <v>83</v>
      </c>
      <c r="B405" s="696"/>
      <c r="C405" s="696"/>
      <c r="D405" s="696"/>
      <c r="E405" s="696"/>
      <c r="F405" s="696"/>
      <c r="G405" s="696"/>
      <c r="H405" s="696"/>
      <c r="I405" s="696"/>
      <c r="J405" s="696"/>
      <c r="K405" s="696"/>
      <c r="L405" s="696"/>
      <c r="M405" s="696"/>
      <c r="N405" s="696"/>
      <c r="O405" s="696"/>
      <c r="P405" s="696"/>
      <c r="Q405" s="696"/>
      <c r="R405" s="696"/>
      <c r="S405" s="696"/>
      <c r="T405" s="696"/>
      <c r="U405" s="696"/>
      <c r="V405" s="696"/>
      <c r="W405" s="696"/>
      <c r="X405" s="696"/>
      <c r="Y405" s="696"/>
      <c r="Z405" s="696"/>
      <c r="AA405" s="66"/>
      <c r="AB405" s="66"/>
      <c r="AC405" s="80"/>
    </row>
    <row r="406" spans="1:68" ht="16.5" customHeight="1" x14ac:dyDescent="0.25">
      <c r="A406" s="63" t="s">
        <v>668</v>
      </c>
      <c r="B406" s="63" t="s">
        <v>669</v>
      </c>
      <c r="C406" s="36">
        <v>4301052235</v>
      </c>
      <c r="D406" s="697">
        <v>4680115889415</v>
      </c>
      <c r="E406" s="697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91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50</v>
      </c>
      <c r="Y406" s="55">
        <f>IFERROR(IF(X406="",0,CEILING((X406/$H406),1)*$H406),"")</f>
        <v>54.6</v>
      </c>
      <c r="Z406" s="41">
        <f>IFERROR(IF(Y406=0,"",ROUNDUP(Y406/H406,0)*0.01898),"")</f>
        <v>0.13286000000000001</v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52.628205128205138</v>
      </c>
      <c r="BN406" s="78">
        <f>IFERROR(Y406*I406/H406,"0")</f>
        <v>57.470000000000013</v>
      </c>
      <c r="BO406" s="78">
        <f>IFERROR(1/J406*(X406/H406),"0")</f>
        <v>0.10016025641025642</v>
      </c>
      <c r="BP406" s="78">
        <f>IFERROR(1/J406*(Y406/H406),"0")</f>
        <v>0.109375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97">
        <v>4680115889422</v>
      </c>
      <c r="E407" s="697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9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">
      <c r="A408" s="704"/>
      <c r="B408" s="704"/>
      <c r="C408" s="704"/>
      <c r="D408" s="704"/>
      <c r="E408" s="704"/>
      <c r="F408" s="704"/>
      <c r="G408" s="704"/>
      <c r="H408" s="704"/>
      <c r="I408" s="704"/>
      <c r="J408" s="704"/>
      <c r="K408" s="704"/>
      <c r="L408" s="704"/>
      <c r="M408" s="704"/>
      <c r="N408" s="704"/>
      <c r="O408" s="705"/>
      <c r="P408" s="701" t="s">
        <v>40</v>
      </c>
      <c r="Q408" s="702"/>
      <c r="R408" s="702"/>
      <c r="S408" s="702"/>
      <c r="T408" s="702"/>
      <c r="U408" s="702"/>
      <c r="V408" s="703"/>
      <c r="W408" s="42" t="s">
        <v>39</v>
      </c>
      <c r="X408" s="43">
        <f>IFERROR(X406/H406,"0")+IFERROR(X407/H407,"0")</f>
        <v>6.4102564102564106</v>
      </c>
      <c r="Y408" s="43">
        <f>IFERROR(Y406/H406,"0")+IFERROR(Y407/H407,"0")</f>
        <v>7</v>
      </c>
      <c r="Z408" s="43">
        <f>IFERROR(IF(Z406="",0,Z406),"0")+IFERROR(IF(Z407="",0,Z407),"0")</f>
        <v>0.13286000000000001</v>
      </c>
      <c r="AA408" s="67"/>
      <c r="AB408" s="67"/>
      <c r="AC408" s="67"/>
    </row>
    <row r="409" spans="1:68" x14ac:dyDescent="0.2">
      <c r="A409" s="704"/>
      <c r="B409" s="704"/>
      <c r="C409" s="704"/>
      <c r="D409" s="704"/>
      <c r="E409" s="704"/>
      <c r="F409" s="704"/>
      <c r="G409" s="704"/>
      <c r="H409" s="704"/>
      <c r="I409" s="704"/>
      <c r="J409" s="704"/>
      <c r="K409" s="704"/>
      <c r="L409" s="704"/>
      <c r="M409" s="704"/>
      <c r="N409" s="704"/>
      <c r="O409" s="705"/>
      <c r="P409" s="701" t="s">
        <v>40</v>
      </c>
      <c r="Q409" s="702"/>
      <c r="R409" s="702"/>
      <c r="S409" s="702"/>
      <c r="T409" s="702"/>
      <c r="U409" s="702"/>
      <c r="V409" s="703"/>
      <c r="W409" s="42" t="s">
        <v>0</v>
      </c>
      <c r="X409" s="43">
        <f>IFERROR(SUM(X406:X407),"0")</f>
        <v>50</v>
      </c>
      <c r="Y409" s="43">
        <f>IFERROR(SUM(Y406:Y407),"0")</f>
        <v>54.6</v>
      </c>
      <c r="Z409" s="42"/>
      <c r="AA409" s="67"/>
      <c r="AB409" s="67"/>
      <c r="AC409" s="67"/>
    </row>
    <row r="410" spans="1:68" ht="16.5" hidden="1" customHeight="1" x14ac:dyDescent="0.25">
      <c r="A410" s="695" t="s">
        <v>674</v>
      </c>
      <c r="B410" s="695"/>
      <c r="C410" s="695"/>
      <c r="D410" s="695"/>
      <c r="E410" s="695"/>
      <c r="F410" s="695"/>
      <c r="G410" s="695"/>
      <c r="H410" s="695"/>
      <c r="I410" s="695"/>
      <c r="J410" s="695"/>
      <c r="K410" s="695"/>
      <c r="L410" s="695"/>
      <c r="M410" s="695"/>
      <c r="N410" s="695"/>
      <c r="O410" s="695"/>
      <c r="P410" s="695"/>
      <c r="Q410" s="695"/>
      <c r="R410" s="695"/>
      <c r="S410" s="695"/>
      <c r="T410" s="695"/>
      <c r="U410" s="695"/>
      <c r="V410" s="695"/>
      <c r="W410" s="695"/>
      <c r="X410" s="695"/>
      <c r="Y410" s="695"/>
      <c r="Z410" s="695"/>
      <c r="AA410" s="65"/>
      <c r="AB410" s="65"/>
      <c r="AC410" s="79"/>
    </row>
    <row r="411" spans="1:68" ht="14.25" hidden="1" customHeight="1" x14ac:dyDescent="0.25">
      <c r="A411" s="696" t="s">
        <v>83</v>
      </c>
      <c r="B411" s="696"/>
      <c r="C411" s="696"/>
      <c r="D411" s="696"/>
      <c r="E411" s="696"/>
      <c r="F411" s="696"/>
      <c r="G411" s="696"/>
      <c r="H411" s="696"/>
      <c r="I411" s="696"/>
      <c r="J411" s="696"/>
      <c r="K411" s="696"/>
      <c r="L411" s="696"/>
      <c r="M411" s="696"/>
      <c r="N411" s="696"/>
      <c r="O411" s="696"/>
      <c r="P411" s="696"/>
      <c r="Q411" s="696"/>
      <c r="R411" s="696"/>
      <c r="S411" s="696"/>
      <c r="T411" s="696"/>
      <c r="U411" s="696"/>
      <c r="V411" s="696"/>
      <c r="W411" s="696"/>
      <c r="X411" s="696"/>
      <c r="Y411" s="696"/>
      <c r="Z411" s="696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97">
        <v>4607091387919</v>
      </c>
      <c r="E412" s="697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9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99"/>
      <c r="R412" s="699"/>
      <c r="S412" s="699"/>
      <c r="T412" s="70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678</v>
      </c>
      <c r="B413" s="63" t="s">
        <v>679</v>
      </c>
      <c r="C413" s="36">
        <v>4301051461</v>
      </c>
      <c r="D413" s="697">
        <v>4680115883604</v>
      </c>
      <c r="E413" s="697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9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1750</v>
      </c>
      <c r="Y413" s="55">
        <f>IFERROR(IF(X413="",0,CEILING((X413/$H413),1)*$H413),"")</f>
        <v>1751.4</v>
      </c>
      <c r="Z413" s="41">
        <f>IFERROR(IF(Y413=0,"",ROUNDUP(Y413/H413,0)*0.00651),"")</f>
        <v>5.4293399999999998</v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1960</v>
      </c>
      <c r="BN413" s="78">
        <f>IFERROR(Y413*I413/H413,"0")</f>
        <v>1961.568</v>
      </c>
      <c r="BO413" s="78">
        <f>IFERROR(1/J413*(X413/H413),"0")</f>
        <v>4.5787545787545785</v>
      </c>
      <c r="BP413" s="78">
        <f>IFERROR(1/J413*(Y413/H413),"0")</f>
        <v>4.582417582417583</v>
      </c>
    </row>
    <row r="414" spans="1:68" ht="27" customHeight="1" x14ac:dyDescent="0.25">
      <c r="A414" s="63" t="s">
        <v>681</v>
      </c>
      <c r="B414" s="63" t="s">
        <v>682</v>
      </c>
      <c r="C414" s="36">
        <v>4301051864</v>
      </c>
      <c r="D414" s="697">
        <v>4680115883567</v>
      </c>
      <c r="E414" s="697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9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350</v>
      </c>
      <c r="Y414" s="55">
        <f>IFERROR(IF(X414="",0,CEILING((X414/$H414),1)*$H414),"")</f>
        <v>350.7</v>
      </c>
      <c r="Z414" s="41">
        <f>IFERROR(IF(Y414=0,"",ROUNDUP(Y414/H414,0)*0.00651),"")</f>
        <v>1.08717</v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390</v>
      </c>
      <c r="BN414" s="78">
        <f>IFERROR(Y414*I414/H414,"0")</f>
        <v>390.78</v>
      </c>
      <c r="BO414" s="78">
        <f>IFERROR(1/J414*(X414/H414),"0")</f>
        <v>0.91575091575091572</v>
      </c>
      <c r="BP414" s="78">
        <f>IFERROR(1/J414*(Y414/H414),"0")</f>
        <v>0.91758241758241765</v>
      </c>
    </row>
    <row r="415" spans="1:68" x14ac:dyDescent="0.2">
      <c r="A415" s="704"/>
      <c r="B415" s="704"/>
      <c r="C415" s="704"/>
      <c r="D415" s="704"/>
      <c r="E415" s="704"/>
      <c r="F415" s="704"/>
      <c r="G415" s="704"/>
      <c r="H415" s="704"/>
      <c r="I415" s="704"/>
      <c r="J415" s="704"/>
      <c r="K415" s="704"/>
      <c r="L415" s="704"/>
      <c r="M415" s="704"/>
      <c r="N415" s="704"/>
      <c r="O415" s="705"/>
      <c r="P415" s="701" t="s">
        <v>40</v>
      </c>
      <c r="Q415" s="702"/>
      <c r="R415" s="702"/>
      <c r="S415" s="702"/>
      <c r="T415" s="702"/>
      <c r="U415" s="702"/>
      <c r="V415" s="703"/>
      <c r="W415" s="42" t="s">
        <v>39</v>
      </c>
      <c r="X415" s="43">
        <f>IFERROR(X412/H412,"0")+IFERROR(X413/H413,"0")+IFERROR(X414/H414,"0")</f>
        <v>999.99999999999989</v>
      </c>
      <c r="Y415" s="43">
        <f>IFERROR(Y412/H412,"0")+IFERROR(Y413/H413,"0")+IFERROR(Y414/H414,"0")</f>
        <v>1001</v>
      </c>
      <c r="Z415" s="43">
        <f>IFERROR(IF(Z412="",0,Z412),"0")+IFERROR(IF(Z413="",0,Z413),"0")+IFERROR(IF(Z414="",0,Z414),"0")</f>
        <v>6.5165100000000002</v>
      </c>
      <c r="AA415" s="67"/>
      <c r="AB415" s="67"/>
      <c r="AC415" s="67"/>
    </row>
    <row r="416" spans="1:68" x14ac:dyDescent="0.2">
      <c r="A416" s="704"/>
      <c r="B416" s="704"/>
      <c r="C416" s="704"/>
      <c r="D416" s="704"/>
      <c r="E416" s="704"/>
      <c r="F416" s="704"/>
      <c r="G416" s="704"/>
      <c r="H416" s="704"/>
      <c r="I416" s="704"/>
      <c r="J416" s="704"/>
      <c r="K416" s="704"/>
      <c r="L416" s="704"/>
      <c r="M416" s="704"/>
      <c r="N416" s="704"/>
      <c r="O416" s="705"/>
      <c r="P416" s="701" t="s">
        <v>40</v>
      </c>
      <c r="Q416" s="702"/>
      <c r="R416" s="702"/>
      <c r="S416" s="702"/>
      <c r="T416" s="702"/>
      <c r="U416" s="702"/>
      <c r="V416" s="703"/>
      <c r="W416" s="42" t="s">
        <v>0</v>
      </c>
      <c r="X416" s="43">
        <f>IFERROR(SUM(X412:X414),"0")</f>
        <v>2100</v>
      </c>
      <c r="Y416" s="43">
        <f>IFERROR(SUM(Y412:Y414),"0")</f>
        <v>2102.1</v>
      </c>
      <c r="Z416" s="42"/>
      <c r="AA416" s="67"/>
      <c r="AB416" s="67"/>
      <c r="AC416" s="67"/>
    </row>
    <row r="417" spans="1:68" ht="27.75" hidden="1" customHeight="1" x14ac:dyDescent="0.2">
      <c r="A417" s="694" t="s">
        <v>684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54"/>
      <c r="AB417" s="54"/>
      <c r="AC417" s="54"/>
    </row>
    <row r="418" spans="1:68" ht="16.5" hidden="1" customHeight="1" x14ac:dyDescent="0.25">
      <c r="A418" s="695" t="s">
        <v>685</v>
      </c>
      <c r="B418" s="695"/>
      <c r="C418" s="695"/>
      <c r="D418" s="695"/>
      <c r="E418" s="695"/>
      <c r="F418" s="695"/>
      <c r="G418" s="695"/>
      <c r="H418" s="695"/>
      <c r="I418" s="695"/>
      <c r="J418" s="695"/>
      <c r="K418" s="695"/>
      <c r="L418" s="695"/>
      <c r="M418" s="695"/>
      <c r="N418" s="695"/>
      <c r="O418" s="695"/>
      <c r="P418" s="695"/>
      <c r="Q418" s="695"/>
      <c r="R418" s="695"/>
      <c r="S418" s="695"/>
      <c r="T418" s="695"/>
      <c r="U418" s="695"/>
      <c r="V418" s="695"/>
      <c r="W418" s="695"/>
      <c r="X418" s="695"/>
      <c r="Y418" s="695"/>
      <c r="Z418" s="695"/>
      <c r="AA418" s="65"/>
      <c r="AB418" s="65"/>
      <c r="AC418" s="79"/>
    </row>
    <row r="419" spans="1:68" ht="14.25" hidden="1" customHeight="1" x14ac:dyDescent="0.25">
      <c r="A419" s="696" t="s">
        <v>119</v>
      </c>
      <c r="B419" s="696"/>
      <c r="C419" s="696"/>
      <c r="D419" s="696"/>
      <c r="E419" s="696"/>
      <c r="F419" s="696"/>
      <c r="G419" s="696"/>
      <c r="H419" s="696"/>
      <c r="I419" s="696"/>
      <c r="J419" s="696"/>
      <c r="K419" s="696"/>
      <c r="L419" s="696"/>
      <c r="M419" s="696"/>
      <c r="N419" s="696"/>
      <c r="O419" s="696"/>
      <c r="P419" s="696"/>
      <c r="Q419" s="696"/>
      <c r="R419" s="696"/>
      <c r="S419" s="696"/>
      <c r="T419" s="696"/>
      <c r="U419" s="696"/>
      <c r="V419" s="696"/>
      <c r="W419" s="696"/>
      <c r="X419" s="696"/>
      <c r="Y419" s="696"/>
      <c r="Z419" s="696"/>
      <c r="AA419" s="66"/>
      <c r="AB419" s="66"/>
      <c r="AC419" s="80"/>
    </row>
    <row r="420" spans="1:68" ht="27" customHeight="1" x14ac:dyDescent="0.25">
      <c r="A420" s="63" t="s">
        <v>686</v>
      </c>
      <c r="B420" s="63" t="s">
        <v>687</v>
      </c>
      <c r="C420" s="36">
        <v>4301012332</v>
      </c>
      <c r="D420" s="697">
        <v>4680115888401</v>
      </c>
      <c r="E420" s="697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9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200</v>
      </c>
      <c r="Y420" s="55">
        <f t="shared" ref="Y420:Y427" si="61">IFERROR(IF(X420="",0,CEILING((X420/$H420),1)*$H420),"")</f>
        <v>210</v>
      </c>
      <c r="Z420" s="41">
        <f>IFERROR(IF(Y420=0,"",ROUNDUP(Y420/H420,0)*0.02175),"")</f>
        <v>0.30449999999999999</v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206.26666666666668</v>
      </c>
      <c r="BN420" s="78">
        <f t="shared" ref="BN420:BN427" si="63">IFERROR(Y420*I420/H420,"0")</f>
        <v>216.58</v>
      </c>
      <c r="BO420" s="78">
        <f t="shared" ref="BO420:BO427" si="64">IFERROR(1/J420*(X420/H420),"0")</f>
        <v>0.27777777777777779</v>
      </c>
      <c r="BP420" s="78">
        <f t="shared" ref="BP420:BP427" si="65">IFERROR(1/J420*(Y420/H420),"0")</f>
        <v>0.29166666666666663</v>
      </c>
    </row>
    <row r="421" spans="1:68" ht="37.5" hidden="1" customHeight="1" x14ac:dyDescent="0.25">
      <c r="A421" s="63" t="s">
        <v>689</v>
      </c>
      <c r="B421" s="63" t="s">
        <v>690</v>
      </c>
      <c r="C421" s="36">
        <v>4301011869</v>
      </c>
      <c r="D421" s="697">
        <v>4680115884847</v>
      </c>
      <c r="E421" s="697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9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99"/>
      <c r="R421" s="699"/>
      <c r="S421" s="699"/>
      <c r="T421" s="700"/>
      <c r="U421" s="39" t="s">
        <v>46</v>
      </c>
      <c r="V421" s="39" t="s">
        <v>46</v>
      </c>
      <c r="W421" s="40" t="s">
        <v>0</v>
      </c>
      <c r="X421" s="58">
        <v>0</v>
      </c>
      <c r="Y421" s="55">
        <f t="shared" si="61"/>
        <v>0</v>
      </c>
      <c r="Z421" s="41" t="str">
        <f>IFERROR(IF(Y421=0,"",ROUNDUP(Y421/H421,0)*0.02175),"")</f>
        <v/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0</v>
      </c>
      <c r="BN421" s="78">
        <f t="shared" si="63"/>
        <v>0</v>
      </c>
      <c r="BO421" s="78">
        <f t="shared" si="64"/>
        <v>0</v>
      </c>
      <c r="BP421" s="78">
        <f t="shared" si="65"/>
        <v>0</v>
      </c>
    </row>
    <row r="422" spans="1:68" ht="27" hidden="1" customHeight="1" x14ac:dyDescent="0.25">
      <c r="A422" s="63" t="s">
        <v>692</v>
      </c>
      <c r="B422" s="63" t="s">
        <v>693</v>
      </c>
      <c r="C422" s="36">
        <v>4301012083</v>
      </c>
      <c r="D422" s="697">
        <v>4680115884854</v>
      </c>
      <c r="E422" s="69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9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99"/>
      <c r="R422" s="699"/>
      <c r="S422" s="699"/>
      <c r="T422" s="700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si="61"/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0</v>
      </c>
      <c r="BN422" s="78">
        <f t="shared" si="63"/>
        <v>0</v>
      </c>
      <c r="BO422" s="78">
        <f t="shared" si="64"/>
        <v>0</v>
      </c>
      <c r="BP422" s="78">
        <f t="shared" si="65"/>
        <v>0</v>
      </c>
    </row>
    <row r="423" spans="1:68" ht="27" hidden="1" customHeight="1" x14ac:dyDescent="0.25">
      <c r="A423" s="63" t="s">
        <v>695</v>
      </c>
      <c r="B423" s="63" t="s">
        <v>696</v>
      </c>
      <c r="C423" s="36">
        <v>4301011867</v>
      </c>
      <c r="D423" s="697">
        <v>4680115884830</v>
      </c>
      <c r="E423" s="69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9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99"/>
      <c r="R423" s="699"/>
      <c r="S423" s="699"/>
      <c r="T423" s="700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si="61"/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0</v>
      </c>
      <c r="BN423" s="78">
        <f t="shared" si="63"/>
        <v>0</v>
      </c>
      <c r="BO423" s="78">
        <f t="shared" si="64"/>
        <v>0</v>
      </c>
      <c r="BP423" s="78">
        <f t="shared" si="65"/>
        <v>0</v>
      </c>
    </row>
    <row r="424" spans="1:68" ht="27" customHeight="1" x14ac:dyDescent="0.25">
      <c r="A424" s="63" t="s">
        <v>698</v>
      </c>
      <c r="B424" s="63" t="s">
        <v>699</v>
      </c>
      <c r="C424" s="36">
        <v>4301012356</v>
      </c>
      <c r="D424" s="697">
        <v>4680115889231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9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450</v>
      </c>
      <c r="Y424" s="55">
        <f t="shared" si="61"/>
        <v>450</v>
      </c>
      <c r="Z424" s="41">
        <f>IFERROR(IF(Y424=0,"",ROUNDUP(Y424/H424,0)*0.02175),"")</f>
        <v>0.65249999999999997</v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464.1</v>
      </c>
      <c r="BN424" s="78">
        <f t="shared" si="63"/>
        <v>464.1</v>
      </c>
      <c r="BO424" s="78">
        <f t="shared" si="64"/>
        <v>0.625</v>
      </c>
      <c r="BP424" s="78">
        <f t="shared" si="65"/>
        <v>0.625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97">
        <v>4680115882638</v>
      </c>
      <c r="E425" s="697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9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97">
        <v>4680115884922</v>
      </c>
      <c r="E426" s="697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9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hidden="1" customHeight="1" x14ac:dyDescent="0.25">
      <c r="A427" s="63" t="s">
        <v>707</v>
      </c>
      <c r="B427" s="63" t="s">
        <v>708</v>
      </c>
      <c r="C427" s="36">
        <v>4301011868</v>
      </c>
      <c r="D427" s="697">
        <v>4680115884861</v>
      </c>
      <c r="E427" s="697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9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99"/>
      <c r="R427" s="699"/>
      <c r="S427" s="699"/>
      <c r="T427" s="70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1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0</v>
      </c>
      <c r="BN427" s="78">
        <f t="shared" si="63"/>
        <v>0</v>
      </c>
      <c r="BO427" s="78">
        <f t="shared" si="64"/>
        <v>0</v>
      </c>
      <c r="BP427" s="78">
        <f t="shared" si="65"/>
        <v>0</v>
      </c>
    </row>
    <row r="428" spans="1:68" x14ac:dyDescent="0.2">
      <c r="A428" s="704"/>
      <c r="B428" s="704"/>
      <c r="C428" s="704"/>
      <c r="D428" s="704"/>
      <c r="E428" s="704"/>
      <c r="F428" s="704"/>
      <c r="G428" s="704"/>
      <c r="H428" s="704"/>
      <c r="I428" s="704"/>
      <c r="J428" s="704"/>
      <c r="K428" s="704"/>
      <c r="L428" s="704"/>
      <c r="M428" s="704"/>
      <c r="N428" s="704"/>
      <c r="O428" s="705"/>
      <c r="P428" s="701" t="s">
        <v>40</v>
      </c>
      <c r="Q428" s="702"/>
      <c r="R428" s="702"/>
      <c r="S428" s="702"/>
      <c r="T428" s="702"/>
      <c r="U428" s="702"/>
      <c r="V428" s="703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43.333333333333336</v>
      </c>
      <c r="Y428" s="43">
        <f>IFERROR(Y420/H420,"0")+IFERROR(Y421/H421,"0")+IFERROR(Y422/H422,"0")+IFERROR(Y423/H423,"0")+IFERROR(Y424/H424,"0")+IFERROR(Y425/H425,"0")+IFERROR(Y426/H426,"0")+IFERROR(Y427/H427,"0")</f>
        <v>44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0.95699999999999996</v>
      </c>
      <c r="AA428" s="67"/>
      <c r="AB428" s="67"/>
      <c r="AC428" s="67"/>
    </row>
    <row r="429" spans="1:68" x14ac:dyDescent="0.2">
      <c r="A429" s="704"/>
      <c r="B429" s="704"/>
      <c r="C429" s="704"/>
      <c r="D429" s="704"/>
      <c r="E429" s="704"/>
      <c r="F429" s="704"/>
      <c r="G429" s="704"/>
      <c r="H429" s="704"/>
      <c r="I429" s="704"/>
      <c r="J429" s="704"/>
      <c r="K429" s="704"/>
      <c r="L429" s="704"/>
      <c r="M429" s="704"/>
      <c r="N429" s="704"/>
      <c r="O429" s="705"/>
      <c r="P429" s="701" t="s">
        <v>40</v>
      </c>
      <c r="Q429" s="702"/>
      <c r="R429" s="702"/>
      <c r="S429" s="702"/>
      <c r="T429" s="702"/>
      <c r="U429" s="702"/>
      <c r="V429" s="703"/>
      <c r="W429" s="42" t="s">
        <v>0</v>
      </c>
      <c r="X429" s="43">
        <f>IFERROR(SUM(X420:X427),"0")</f>
        <v>650</v>
      </c>
      <c r="Y429" s="43">
        <f>IFERROR(SUM(Y420:Y427),"0")</f>
        <v>660</v>
      </c>
      <c r="Z429" s="42"/>
      <c r="AA429" s="67"/>
      <c r="AB429" s="67"/>
      <c r="AC429" s="67"/>
    </row>
    <row r="430" spans="1:68" ht="14.25" hidden="1" customHeight="1" x14ac:dyDescent="0.25">
      <c r="A430" s="696" t="s">
        <v>154</v>
      </c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6"/>
      <c r="P430" s="696"/>
      <c r="Q430" s="696"/>
      <c r="R430" s="696"/>
      <c r="S430" s="696"/>
      <c r="T430" s="696"/>
      <c r="U430" s="696"/>
      <c r="V430" s="696"/>
      <c r="W430" s="696"/>
      <c r="X430" s="696"/>
      <c r="Y430" s="696"/>
      <c r="Z430" s="696"/>
      <c r="AA430" s="66"/>
      <c r="AB430" s="66"/>
      <c r="AC430" s="80"/>
    </row>
    <row r="431" spans="1:68" ht="27" customHeight="1" x14ac:dyDescent="0.25">
      <c r="A431" s="63" t="s">
        <v>710</v>
      </c>
      <c r="B431" s="63" t="s">
        <v>711</v>
      </c>
      <c r="C431" s="36">
        <v>4301020178</v>
      </c>
      <c r="D431" s="697">
        <v>4607091383980</v>
      </c>
      <c r="E431" s="69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9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250</v>
      </c>
      <c r="Y431" s="55">
        <f>IFERROR(IF(X431="",0,CEILING((X431/$H431),1)*$H431),"")</f>
        <v>255</v>
      </c>
      <c r="Z431" s="41">
        <f>IFERROR(IF(Y431=0,"",ROUNDUP(Y431/H431,0)*0.02175),"")</f>
        <v>0.36974999999999997</v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257.83333333333331</v>
      </c>
      <c r="BN431" s="78">
        <f>IFERROR(Y431*I431/H431,"0")</f>
        <v>262.99</v>
      </c>
      <c r="BO431" s="78">
        <f>IFERROR(1/J431*(X431/H431),"0")</f>
        <v>0.34722222222222221</v>
      </c>
      <c r="BP431" s="78">
        <f>IFERROR(1/J431*(Y431/H431),"0")</f>
        <v>0.35416666666666663</v>
      </c>
    </row>
    <row r="432" spans="1:68" ht="27" customHeight="1" x14ac:dyDescent="0.25">
      <c r="A432" s="63" t="s">
        <v>713</v>
      </c>
      <c r="B432" s="63" t="s">
        <v>714</v>
      </c>
      <c r="C432" s="36">
        <v>4301020355</v>
      </c>
      <c r="D432" s="697">
        <v>4680115888425</v>
      </c>
      <c r="E432" s="697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92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200</v>
      </c>
      <c r="Y432" s="55">
        <f>IFERROR(IF(X432="",0,CEILING((X432/$H432),1)*$H432),"")</f>
        <v>210</v>
      </c>
      <c r="Z432" s="41">
        <f>IFERROR(IF(Y432=0,"",ROUNDUP(Y432/H432,0)*0.02175),"")</f>
        <v>0.30449999999999999</v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206.26666666666668</v>
      </c>
      <c r="BN432" s="78">
        <f>IFERROR(Y432*I432/H432,"0")</f>
        <v>216.58</v>
      </c>
      <c r="BO432" s="78">
        <f>IFERROR(1/J432*(X432/H432),"0")</f>
        <v>0.27777777777777779</v>
      </c>
      <c r="BP432" s="78">
        <f>IFERROR(1/J432*(Y432/H432),"0")</f>
        <v>0.29166666666666663</v>
      </c>
    </row>
    <row r="433" spans="1:68" ht="27" hidden="1" customHeight="1" x14ac:dyDescent="0.25">
      <c r="A433" s="63" t="s">
        <v>716</v>
      </c>
      <c r="B433" s="63" t="s">
        <v>717</v>
      </c>
      <c r="C433" s="36">
        <v>4301020179</v>
      </c>
      <c r="D433" s="697">
        <v>4607091384178</v>
      </c>
      <c r="E433" s="697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92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99"/>
      <c r="R433" s="699"/>
      <c r="S433" s="699"/>
      <c r="T433" s="70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704"/>
      <c r="B434" s="704"/>
      <c r="C434" s="704"/>
      <c r="D434" s="704"/>
      <c r="E434" s="704"/>
      <c r="F434" s="704"/>
      <c r="G434" s="704"/>
      <c r="H434" s="704"/>
      <c r="I434" s="704"/>
      <c r="J434" s="704"/>
      <c r="K434" s="704"/>
      <c r="L434" s="704"/>
      <c r="M434" s="704"/>
      <c r="N434" s="704"/>
      <c r="O434" s="705"/>
      <c r="P434" s="701" t="s">
        <v>40</v>
      </c>
      <c r="Q434" s="702"/>
      <c r="R434" s="702"/>
      <c r="S434" s="702"/>
      <c r="T434" s="702"/>
      <c r="U434" s="702"/>
      <c r="V434" s="703"/>
      <c r="W434" s="42" t="s">
        <v>39</v>
      </c>
      <c r="X434" s="43">
        <f>IFERROR(X431/H431,"0")+IFERROR(X432/H432,"0")+IFERROR(X433/H433,"0")</f>
        <v>30</v>
      </c>
      <c r="Y434" s="43">
        <f>IFERROR(Y431/H431,"0")+IFERROR(Y432/H432,"0")+IFERROR(Y433/H433,"0")</f>
        <v>31</v>
      </c>
      <c r="Z434" s="43">
        <f>IFERROR(IF(Z431="",0,Z431),"0")+IFERROR(IF(Z432="",0,Z432),"0")+IFERROR(IF(Z433="",0,Z433),"0")</f>
        <v>0.67425000000000002</v>
      </c>
      <c r="AA434" s="67"/>
      <c r="AB434" s="67"/>
      <c r="AC434" s="67"/>
    </row>
    <row r="435" spans="1:68" x14ac:dyDescent="0.2">
      <c r="A435" s="704"/>
      <c r="B435" s="704"/>
      <c r="C435" s="704"/>
      <c r="D435" s="704"/>
      <c r="E435" s="704"/>
      <c r="F435" s="704"/>
      <c r="G435" s="704"/>
      <c r="H435" s="704"/>
      <c r="I435" s="704"/>
      <c r="J435" s="704"/>
      <c r="K435" s="704"/>
      <c r="L435" s="704"/>
      <c r="M435" s="704"/>
      <c r="N435" s="704"/>
      <c r="O435" s="705"/>
      <c r="P435" s="701" t="s">
        <v>40</v>
      </c>
      <c r="Q435" s="702"/>
      <c r="R435" s="702"/>
      <c r="S435" s="702"/>
      <c r="T435" s="702"/>
      <c r="U435" s="702"/>
      <c r="V435" s="703"/>
      <c r="W435" s="42" t="s">
        <v>0</v>
      </c>
      <c r="X435" s="43">
        <f>IFERROR(SUM(X431:X433),"0")</f>
        <v>450</v>
      </c>
      <c r="Y435" s="43">
        <f>IFERROR(SUM(Y431:Y433),"0")</f>
        <v>465</v>
      </c>
      <c r="Z435" s="42"/>
      <c r="AA435" s="67"/>
      <c r="AB435" s="67"/>
      <c r="AC435" s="67"/>
    </row>
    <row r="436" spans="1:68" ht="14.25" hidden="1" customHeight="1" x14ac:dyDescent="0.25">
      <c r="A436" s="696" t="s">
        <v>83</v>
      </c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6"/>
      <c r="P436" s="696"/>
      <c r="Q436" s="696"/>
      <c r="R436" s="696"/>
      <c r="S436" s="696"/>
      <c r="T436" s="696"/>
      <c r="U436" s="696"/>
      <c r="V436" s="696"/>
      <c r="W436" s="696"/>
      <c r="X436" s="696"/>
      <c r="Y436" s="696"/>
      <c r="Z436" s="696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97">
        <v>4607091383928</v>
      </c>
      <c r="E437" s="697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9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97">
        <v>4607091384260</v>
      </c>
      <c r="E438" s="69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9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99"/>
      <c r="R438" s="699"/>
      <c r="S438" s="699"/>
      <c r="T438" s="70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725</v>
      </c>
      <c r="B439" s="63" t="s">
        <v>726</v>
      </c>
      <c r="C439" s="36">
        <v>4301052220</v>
      </c>
      <c r="D439" s="697">
        <v>4680115889538</v>
      </c>
      <c r="E439" s="697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93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99"/>
      <c r="R439" s="699"/>
      <c r="S439" s="699"/>
      <c r="T439" s="700"/>
      <c r="U439" s="39" t="s">
        <v>46</v>
      </c>
      <c r="V439" s="39" t="s">
        <v>46</v>
      </c>
      <c r="W439" s="40" t="s">
        <v>0</v>
      </c>
      <c r="X439" s="58">
        <v>200</v>
      </c>
      <c r="Y439" s="55">
        <f>IFERROR(IF(X439="",0,CEILING((X439/$H439),1)*$H439),"")</f>
        <v>201.6</v>
      </c>
      <c r="Z439" s="41">
        <f>IFERROR(IF(Y439=0,"",ROUNDUP(Y439/H439,0)*0.01196),"")</f>
        <v>0.50231999999999999</v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217.33333333333334</v>
      </c>
      <c r="BN439" s="78">
        <f>IFERROR(Y439*I439/H439,"0")</f>
        <v>219.072</v>
      </c>
      <c r="BO439" s="78">
        <f>IFERROR(1/J439*(X439/H439),"0")</f>
        <v>0.40064102564102572</v>
      </c>
      <c r="BP439" s="78">
        <f>IFERROR(1/J439*(Y439/H439),"0")</f>
        <v>0.40384615384615385</v>
      </c>
    </row>
    <row r="440" spans="1:68" x14ac:dyDescent="0.2">
      <c r="A440" s="704"/>
      <c r="B440" s="704"/>
      <c r="C440" s="704"/>
      <c r="D440" s="704"/>
      <c r="E440" s="704"/>
      <c r="F440" s="704"/>
      <c r="G440" s="704"/>
      <c r="H440" s="704"/>
      <c r="I440" s="704"/>
      <c r="J440" s="704"/>
      <c r="K440" s="704"/>
      <c r="L440" s="704"/>
      <c r="M440" s="704"/>
      <c r="N440" s="704"/>
      <c r="O440" s="705"/>
      <c r="P440" s="701" t="s">
        <v>40</v>
      </c>
      <c r="Q440" s="702"/>
      <c r="R440" s="702"/>
      <c r="S440" s="702"/>
      <c r="T440" s="702"/>
      <c r="U440" s="702"/>
      <c r="V440" s="703"/>
      <c r="W440" s="42" t="s">
        <v>39</v>
      </c>
      <c r="X440" s="43">
        <f>IFERROR(X437/H437,"0")+IFERROR(X438/H438,"0")+IFERROR(X439/H439,"0")</f>
        <v>41.666666666666671</v>
      </c>
      <c r="Y440" s="43">
        <f>IFERROR(Y437/H437,"0")+IFERROR(Y438/H438,"0")+IFERROR(Y439/H439,"0")</f>
        <v>42</v>
      </c>
      <c r="Z440" s="43">
        <f>IFERROR(IF(Z437="",0,Z437),"0")+IFERROR(IF(Z438="",0,Z438),"0")+IFERROR(IF(Z439="",0,Z439),"0")</f>
        <v>0.50231999999999999</v>
      </c>
      <c r="AA440" s="67"/>
      <c r="AB440" s="67"/>
      <c r="AC440" s="67"/>
    </row>
    <row r="441" spans="1:68" x14ac:dyDescent="0.2">
      <c r="A441" s="704"/>
      <c r="B441" s="704"/>
      <c r="C441" s="704"/>
      <c r="D441" s="704"/>
      <c r="E441" s="704"/>
      <c r="F441" s="704"/>
      <c r="G441" s="704"/>
      <c r="H441" s="704"/>
      <c r="I441" s="704"/>
      <c r="J441" s="704"/>
      <c r="K441" s="704"/>
      <c r="L441" s="704"/>
      <c r="M441" s="704"/>
      <c r="N441" s="704"/>
      <c r="O441" s="705"/>
      <c r="P441" s="701" t="s">
        <v>40</v>
      </c>
      <c r="Q441" s="702"/>
      <c r="R441" s="702"/>
      <c r="S441" s="702"/>
      <c r="T441" s="702"/>
      <c r="U441" s="702"/>
      <c r="V441" s="703"/>
      <c r="W441" s="42" t="s">
        <v>0</v>
      </c>
      <c r="X441" s="43">
        <f>IFERROR(SUM(X437:X439),"0")</f>
        <v>200</v>
      </c>
      <c r="Y441" s="43">
        <f>IFERROR(SUM(Y437:Y439),"0")</f>
        <v>201.6</v>
      </c>
      <c r="Z441" s="42"/>
      <c r="AA441" s="67"/>
      <c r="AB441" s="67"/>
      <c r="AC441" s="67"/>
    </row>
    <row r="442" spans="1:68" ht="14.25" hidden="1" customHeight="1" x14ac:dyDescent="0.25">
      <c r="A442" s="696" t="s">
        <v>172</v>
      </c>
      <c r="B442" s="696"/>
      <c r="C442" s="696"/>
      <c r="D442" s="696"/>
      <c r="E442" s="696"/>
      <c r="F442" s="696"/>
      <c r="G442" s="696"/>
      <c r="H442" s="696"/>
      <c r="I442" s="696"/>
      <c r="J442" s="696"/>
      <c r="K442" s="696"/>
      <c r="L442" s="696"/>
      <c r="M442" s="696"/>
      <c r="N442" s="696"/>
      <c r="O442" s="696"/>
      <c r="P442" s="696"/>
      <c r="Q442" s="696"/>
      <c r="R442" s="696"/>
      <c r="S442" s="696"/>
      <c r="T442" s="696"/>
      <c r="U442" s="696"/>
      <c r="V442" s="696"/>
      <c r="W442" s="696"/>
      <c r="X442" s="696"/>
      <c r="Y442" s="696"/>
      <c r="Z442" s="696"/>
      <c r="AA442" s="66"/>
      <c r="AB442" s="66"/>
      <c r="AC442" s="80"/>
    </row>
    <row r="443" spans="1:68" ht="27" customHeight="1" x14ac:dyDescent="0.25">
      <c r="A443" s="63" t="s">
        <v>728</v>
      </c>
      <c r="B443" s="63" t="s">
        <v>729</v>
      </c>
      <c r="C443" s="36">
        <v>4301060537</v>
      </c>
      <c r="D443" s="697">
        <v>4680115889545</v>
      </c>
      <c r="E443" s="697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93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200</v>
      </c>
      <c r="Y443" s="55">
        <f>IFERROR(IF(X443="",0,CEILING((X443/$H443),1)*$H443),"")</f>
        <v>201.60000000000002</v>
      </c>
      <c r="Z443" s="41">
        <f>IFERROR(IF(Y443=0,"",ROUNDUP(Y443/H443,0)*0.01196),"")</f>
        <v>0.57408000000000003</v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219.8095238095238</v>
      </c>
      <c r="BN443" s="78">
        <f>IFERROR(Y443*I443/H443,"0")</f>
        <v>221.56799999999998</v>
      </c>
      <c r="BO443" s="78">
        <f>IFERROR(1/J443*(X443/H443),"0")</f>
        <v>0.45787545787545791</v>
      </c>
      <c r="BP443" s="78">
        <f>IFERROR(1/J443*(Y443/H443),"0")</f>
        <v>0.46153846153846156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97">
        <v>4607091384673</v>
      </c>
      <c r="E444" s="697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99"/>
      <c r="R444" s="699"/>
      <c r="S444" s="699"/>
      <c r="T444" s="70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04"/>
      <c r="B445" s="704"/>
      <c r="C445" s="704"/>
      <c r="D445" s="704"/>
      <c r="E445" s="704"/>
      <c r="F445" s="704"/>
      <c r="G445" s="704"/>
      <c r="H445" s="704"/>
      <c r="I445" s="704"/>
      <c r="J445" s="704"/>
      <c r="K445" s="704"/>
      <c r="L445" s="704"/>
      <c r="M445" s="704"/>
      <c r="N445" s="704"/>
      <c r="O445" s="705"/>
      <c r="P445" s="701" t="s">
        <v>40</v>
      </c>
      <c r="Q445" s="702"/>
      <c r="R445" s="702"/>
      <c r="S445" s="702"/>
      <c r="T445" s="702"/>
      <c r="U445" s="702"/>
      <c r="V445" s="703"/>
      <c r="W445" s="42" t="s">
        <v>39</v>
      </c>
      <c r="X445" s="43">
        <f>IFERROR(X443/H443,"0")+IFERROR(X444/H444,"0")</f>
        <v>47.61904761904762</v>
      </c>
      <c r="Y445" s="43">
        <f>IFERROR(Y443/H443,"0")+IFERROR(Y444/H444,"0")</f>
        <v>48</v>
      </c>
      <c r="Z445" s="43">
        <f>IFERROR(IF(Z443="",0,Z443),"0")+IFERROR(IF(Z444="",0,Z444),"0")</f>
        <v>0.57408000000000003</v>
      </c>
      <c r="AA445" s="67"/>
      <c r="AB445" s="67"/>
      <c r="AC445" s="67"/>
    </row>
    <row r="446" spans="1:68" x14ac:dyDescent="0.2">
      <c r="A446" s="704"/>
      <c r="B446" s="704"/>
      <c r="C446" s="704"/>
      <c r="D446" s="704"/>
      <c r="E446" s="704"/>
      <c r="F446" s="704"/>
      <c r="G446" s="704"/>
      <c r="H446" s="704"/>
      <c r="I446" s="704"/>
      <c r="J446" s="704"/>
      <c r="K446" s="704"/>
      <c r="L446" s="704"/>
      <c r="M446" s="704"/>
      <c r="N446" s="704"/>
      <c r="O446" s="705"/>
      <c r="P446" s="701" t="s">
        <v>40</v>
      </c>
      <c r="Q446" s="702"/>
      <c r="R446" s="702"/>
      <c r="S446" s="702"/>
      <c r="T446" s="702"/>
      <c r="U446" s="702"/>
      <c r="V446" s="703"/>
      <c r="W446" s="42" t="s">
        <v>0</v>
      </c>
      <c r="X446" s="43">
        <f>IFERROR(SUM(X443:X444),"0")</f>
        <v>200</v>
      </c>
      <c r="Y446" s="43">
        <f>IFERROR(SUM(Y443:Y444),"0")</f>
        <v>201.60000000000002</v>
      </c>
      <c r="Z446" s="42"/>
      <c r="AA446" s="67"/>
      <c r="AB446" s="67"/>
      <c r="AC446" s="67"/>
    </row>
    <row r="447" spans="1:68" ht="16.5" hidden="1" customHeight="1" x14ac:dyDescent="0.25">
      <c r="A447" s="695" t="s">
        <v>734</v>
      </c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5"/>
      <c r="P447" s="695"/>
      <c r="Q447" s="695"/>
      <c r="R447" s="695"/>
      <c r="S447" s="695"/>
      <c r="T447" s="695"/>
      <c r="U447" s="695"/>
      <c r="V447" s="695"/>
      <c r="W447" s="695"/>
      <c r="X447" s="695"/>
      <c r="Y447" s="695"/>
      <c r="Z447" s="695"/>
      <c r="AA447" s="65"/>
      <c r="AB447" s="65"/>
      <c r="AC447" s="79"/>
    </row>
    <row r="448" spans="1:68" ht="14.25" hidden="1" customHeight="1" x14ac:dyDescent="0.25">
      <c r="A448" s="696" t="s">
        <v>119</v>
      </c>
      <c r="B448" s="696"/>
      <c r="C448" s="696"/>
      <c r="D448" s="696"/>
      <c r="E448" s="696"/>
      <c r="F448" s="696"/>
      <c r="G448" s="696"/>
      <c r="H448" s="696"/>
      <c r="I448" s="696"/>
      <c r="J448" s="696"/>
      <c r="K448" s="696"/>
      <c r="L448" s="696"/>
      <c r="M448" s="696"/>
      <c r="N448" s="696"/>
      <c r="O448" s="696"/>
      <c r="P448" s="696"/>
      <c r="Q448" s="696"/>
      <c r="R448" s="696"/>
      <c r="S448" s="696"/>
      <c r="T448" s="696"/>
      <c r="U448" s="696"/>
      <c r="V448" s="696"/>
      <c r="W448" s="696"/>
      <c r="X448" s="696"/>
      <c r="Y448" s="696"/>
      <c r="Z448" s="696"/>
      <c r="AA448" s="66"/>
      <c r="AB448" s="66"/>
      <c r="AC448" s="80"/>
    </row>
    <row r="449" spans="1:68" ht="27" hidden="1" customHeight="1" x14ac:dyDescent="0.25">
      <c r="A449" s="63" t="s">
        <v>735</v>
      </c>
      <c r="B449" s="63" t="s">
        <v>736</v>
      </c>
      <c r="C449" s="36">
        <v>4301011875</v>
      </c>
      <c r="D449" s="697">
        <v>4680115884885</v>
      </c>
      <c r="E449" s="697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9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99"/>
      <c r="R449" s="699"/>
      <c r="S449" s="699"/>
      <c r="T449" s="700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97">
        <v>4680115884908</v>
      </c>
      <c r="E450" s="697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9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99"/>
      <c r="R450" s="699"/>
      <c r="S450" s="699"/>
      <c r="T450" s="70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04"/>
      <c r="B451" s="704"/>
      <c r="C451" s="704"/>
      <c r="D451" s="704"/>
      <c r="E451" s="704"/>
      <c r="F451" s="704"/>
      <c r="G451" s="704"/>
      <c r="H451" s="704"/>
      <c r="I451" s="704"/>
      <c r="J451" s="704"/>
      <c r="K451" s="704"/>
      <c r="L451" s="704"/>
      <c r="M451" s="704"/>
      <c r="N451" s="704"/>
      <c r="O451" s="705"/>
      <c r="P451" s="701" t="s">
        <v>40</v>
      </c>
      <c r="Q451" s="702"/>
      <c r="R451" s="702"/>
      <c r="S451" s="702"/>
      <c r="T451" s="702"/>
      <c r="U451" s="702"/>
      <c r="V451" s="703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04"/>
      <c r="B452" s="704"/>
      <c r="C452" s="704"/>
      <c r="D452" s="704"/>
      <c r="E452" s="704"/>
      <c r="F452" s="704"/>
      <c r="G452" s="704"/>
      <c r="H452" s="704"/>
      <c r="I452" s="704"/>
      <c r="J452" s="704"/>
      <c r="K452" s="704"/>
      <c r="L452" s="704"/>
      <c r="M452" s="704"/>
      <c r="N452" s="704"/>
      <c r="O452" s="705"/>
      <c r="P452" s="701" t="s">
        <v>40</v>
      </c>
      <c r="Q452" s="702"/>
      <c r="R452" s="702"/>
      <c r="S452" s="702"/>
      <c r="T452" s="702"/>
      <c r="U452" s="702"/>
      <c r="V452" s="703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96" t="s">
        <v>77</v>
      </c>
      <c r="B453" s="696"/>
      <c r="C453" s="696"/>
      <c r="D453" s="696"/>
      <c r="E453" s="696"/>
      <c r="F453" s="696"/>
      <c r="G453" s="696"/>
      <c r="H453" s="696"/>
      <c r="I453" s="696"/>
      <c r="J453" s="696"/>
      <c r="K453" s="696"/>
      <c r="L453" s="696"/>
      <c r="M453" s="696"/>
      <c r="N453" s="696"/>
      <c r="O453" s="696"/>
      <c r="P453" s="696"/>
      <c r="Q453" s="696"/>
      <c r="R453" s="696"/>
      <c r="S453" s="696"/>
      <c r="T453" s="696"/>
      <c r="U453" s="696"/>
      <c r="V453" s="696"/>
      <c r="W453" s="696"/>
      <c r="X453" s="696"/>
      <c r="Y453" s="696"/>
      <c r="Z453" s="696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97">
        <v>4607091384802</v>
      </c>
      <c r="E454" s="697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93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99"/>
      <c r="R454" s="699"/>
      <c r="S454" s="699"/>
      <c r="T454" s="700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704"/>
      <c r="B455" s="704"/>
      <c r="C455" s="704"/>
      <c r="D455" s="704"/>
      <c r="E455" s="704"/>
      <c r="F455" s="704"/>
      <c r="G455" s="704"/>
      <c r="H455" s="704"/>
      <c r="I455" s="704"/>
      <c r="J455" s="704"/>
      <c r="K455" s="704"/>
      <c r="L455" s="704"/>
      <c r="M455" s="704"/>
      <c r="N455" s="704"/>
      <c r="O455" s="705"/>
      <c r="P455" s="701" t="s">
        <v>40</v>
      </c>
      <c r="Q455" s="702"/>
      <c r="R455" s="702"/>
      <c r="S455" s="702"/>
      <c r="T455" s="702"/>
      <c r="U455" s="702"/>
      <c r="V455" s="703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704"/>
      <c r="B456" s="704"/>
      <c r="C456" s="704"/>
      <c r="D456" s="704"/>
      <c r="E456" s="704"/>
      <c r="F456" s="704"/>
      <c r="G456" s="704"/>
      <c r="H456" s="704"/>
      <c r="I456" s="704"/>
      <c r="J456" s="704"/>
      <c r="K456" s="704"/>
      <c r="L456" s="704"/>
      <c r="M456" s="704"/>
      <c r="N456" s="704"/>
      <c r="O456" s="705"/>
      <c r="P456" s="701" t="s">
        <v>40</v>
      </c>
      <c r="Q456" s="702"/>
      <c r="R456" s="702"/>
      <c r="S456" s="702"/>
      <c r="T456" s="702"/>
      <c r="U456" s="702"/>
      <c r="V456" s="703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96" t="s">
        <v>83</v>
      </c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6"/>
      <c r="P457" s="696"/>
      <c r="Q457" s="696"/>
      <c r="R457" s="696"/>
      <c r="S457" s="696"/>
      <c r="T457" s="696"/>
      <c r="U457" s="696"/>
      <c r="V457" s="696"/>
      <c r="W457" s="696"/>
      <c r="X457" s="696"/>
      <c r="Y457" s="696"/>
      <c r="Z457" s="696"/>
      <c r="AA457" s="66"/>
      <c r="AB457" s="66"/>
      <c r="AC457" s="80"/>
    </row>
    <row r="458" spans="1:68" ht="27" customHeight="1" x14ac:dyDescent="0.25">
      <c r="A458" s="63" t="s">
        <v>743</v>
      </c>
      <c r="B458" s="63" t="s">
        <v>744</v>
      </c>
      <c r="C458" s="36">
        <v>4301051899</v>
      </c>
      <c r="D458" s="697">
        <v>4607091384246</v>
      </c>
      <c r="E458" s="697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9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99"/>
      <c r="R458" s="699"/>
      <c r="S458" s="699"/>
      <c r="T458" s="700"/>
      <c r="U458" s="39" t="s">
        <v>46</v>
      </c>
      <c r="V458" s="39" t="s">
        <v>46</v>
      </c>
      <c r="W458" s="40" t="s">
        <v>0</v>
      </c>
      <c r="X458" s="58">
        <v>20</v>
      </c>
      <c r="Y458" s="55">
        <f>IFERROR(IF(X458="",0,CEILING((X458/$H458),1)*$H458),"")</f>
        <v>27</v>
      </c>
      <c r="Z458" s="41">
        <f>IFERROR(IF(Y458=0,"",ROUNDUP(Y458/H458,0)*0.01898),"")</f>
        <v>5.6940000000000004E-2</v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21.097777777777779</v>
      </c>
      <c r="BN458" s="78">
        <f>IFERROR(Y458*I458/H458,"0")</f>
        <v>28.481999999999996</v>
      </c>
      <c r="BO458" s="78">
        <f>IFERROR(1/J458*(X458/H458),"0")</f>
        <v>3.4722222222222224E-2</v>
      </c>
      <c r="BP458" s="78">
        <f>IFERROR(1/J458*(Y458/H458),"0")</f>
        <v>4.6875E-2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97">
        <v>4607091384253</v>
      </c>
      <c r="E459" s="697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97">
        <v>4607091384253</v>
      </c>
      <c r="E460" s="697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93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04"/>
      <c r="B461" s="704"/>
      <c r="C461" s="704"/>
      <c r="D461" s="704"/>
      <c r="E461" s="704"/>
      <c r="F461" s="704"/>
      <c r="G461" s="704"/>
      <c r="H461" s="704"/>
      <c r="I461" s="704"/>
      <c r="J461" s="704"/>
      <c r="K461" s="704"/>
      <c r="L461" s="704"/>
      <c r="M461" s="704"/>
      <c r="N461" s="704"/>
      <c r="O461" s="705"/>
      <c r="P461" s="701" t="s">
        <v>40</v>
      </c>
      <c r="Q461" s="702"/>
      <c r="R461" s="702"/>
      <c r="S461" s="702"/>
      <c r="T461" s="702"/>
      <c r="U461" s="702"/>
      <c r="V461" s="703"/>
      <c r="W461" s="42" t="s">
        <v>39</v>
      </c>
      <c r="X461" s="43">
        <f>IFERROR(X458/H458,"0")+IFERROR(X459/H459,"0")+IFERROR(X460/H460,"0")</f>
        <v>2.2222222222222223</v>
      </c>
      <c r="Y461" s="43">
        <f>IFERROR(Y458/H458,"0")+IFERROR(Y459/H459,"0")+IFERROR(Y460/H460,"0")</f>
        <v>3</v>
      </c>
      <c r="Z461" s="43">
        <f>IFERROR(IF(Z458="",0,Z458),"0")+IFERROR(IF(Z459="",0,Z459),"0")+IFERROR(IF(Z460="",0,Z460),"0")</f>
        <v>5.6940000000000004E-2</v>
      </c>
      <c r="AA461" s="67"/>
      <c r="AB461" s="67"/>
      <c r="AC461" s="67"/>
    </row>
    <row r="462" spans="1:68" x14ac:dyDescent="0.2">
      <c r="A462" s="704"/>
      <c r="B462" s="704"/>
      <c r="C462" s="704"/>
      <c r="D462" s="704"/>
      <c r="E462" s="704"/>
      <c r="F462" s="704"/>
      <c r="G462" s="704"/>
      <c r="H462" s="704"/>
      <c r="I462" s="704"/>
      <c r="J462" s="704"/>
      <c r="K462" s="704"/>
      <c r="L462" s="704"/>
      <c r="M462" s="704"/>
      <c r="N462" s="704"/>
      <c r="O462" s="705"/>
      <c r="P462" s="701" t="s">
        <v>40</v>
      </c>
      <c r="Q462" s="702"/>
      <c r="R462" s="702"/>
      <c r="S462" s="702"/>
      <c r="T462" s="702"/>
      <c r="U462" s="702"/>
      <c r="V462" s="703"/>
      <c r="W462" s="42" t="s">
        <v>0</v>
      </c>
      <c r="X462" s="43">
        <f>IFERROR(SUM(X458:X460),"0")</f>
        <v>20</v>
      </c>
      <c r="Y462" s="43">
        <f>IFERROR(SUM(Y458:Y460),"0")</f>
        <v>27</v>
      </c>
      <c r="Z462" s="42"/>
      <c r="AA462" s="67"/>
      <c r="AB462" s="67"/>
      <c r="AC462" s="67"/>
    </row>
    <row r="463" spans="1:68" ht="27.75" hidden="1" customHeight="1" x14ac:dyDescent="0.2">
      <c r="A463" s="694" t="s">
        <v>750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54"/>
      <c r="AB463" s="54"/>
      <c r="AC463" s="54"/>
    </row>
    <row r="464" spans="1:68" ht="16.5" hidden="1" customHeight="1" x14ac:dyDescent="0.25">
      <c r="A464" s="695" t="s">
        <v>751</v>
      </c>
      <c r="B464" s="695"/>
      <c r="C464" s="695"/>
      <c r="D464" s="695"/>
      <c r="E464" s="695"/>
      <c r="F464" s="695"/>
      <c r="G464" s="695"/>
      <c r="H464" s="695"/>
      <c r="I464" s="695"/>
      <c r="J464" s="695"/>
      <c r="K464" s="695"/>
      <c r="L464" s="695"/>
      <c r="M464" s="695"/>
      <c r="N464" s="695"/>
      <c r="O464" s="695"/>
      <c r="P464" s="695"/>
      <c r="Q464" s="695"/>
      <c r="R464" s="695"/>
      <c r="S464" s="695"/>
      <c r="T464" s="695"/>
      <c r="U464" s="695"/>
      <c r="V464" s="695"/>
      <c r="W464" s="695"/>
      <c r="X464" s="695"/>
      <c r="Y464" s="695"/>
      <c r="Z464" s="695"/>
      <c r="AA464" s="65"/>
      <c r="AB464" s="65"/>
      <c r="AC464" s="79"/>
    </row>
    <row r="465" spans="1:68" ht="14.25" hidden="1" customHeight="1" x14ac:dyDescent="0.25">
      <c r="A465" s="696" t="s">
        <v>77</v>
      </c>
      <c r="B465" s="696"/>
      <c r="C465" s="696"/>
      <c r="D465" s="696"/>
      <c r="E465" s="696"/>
      <c r="F465" s="696"/>
      <c r="G465" s="696"/>
      <c r="H465" s="696"/>
      <c r="I465" s="696"/>
      <c r="J465" s="696"/>
      <c r="K465" s="696"/>
      <c r="L465" s="696"/>
      <c r="M465" s="696"/>
      <c r="N465" s="696"/>
      <c r="O465" s="696"/>
      <c r="P465" s="696"/>
      <c r="Q465" s="696"/>
      <c r="R465" s="696"/>
      <c r="S465" s="696"/>
      <c r="T465" s="696"/>
      <c r="U465" s="696"/>
      <c r="V465" s="696"/>
      <c r="W465" s="696"/>
      <c r="X465" s="696"/>
      <c r="Y465" s="696"/>
      <c r="Z465" s="696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97">
        <v>4680115886100</v>
      </c>
      <c r="E466" s="697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99"/>
      <c r="R466" s="699"/>
      <c r="S466" s="699"/>
      <c r="T466" s="700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hidden="1" customHeight="1" x14ac:dyDescent="0.25">
      <c r="A467" s="63" t="s">
        <v>755</v>
      </c>
      <c r="B467" s="63" t="s">
        <v>756</v>
      </c>
      <c r="C467" s="36">
        <v>4301031402</v>
      </c>
      <c r="D467" s="697">
        <v>4680115886124</v>
      </c>
      <c r="E467" s="697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94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99"/>
      <c r="R467" s="699"/>
      <c r="S467" s="699"/>
      <c r="T467" s="700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hidden="1" customHeight="1" x14ac:dyDescent="0.25">
      <c r="A468" s="63" t="s">
        <v>758</v>
      </c>
      <c r="B468" s="63" t="s">
        <v>759</v>
      </c>
      <c r="C468" s="36">
        <v>4301031362</v>
      </c>
      <c r="D468" s="697">
        <v>4607091384338</v>
      </c>
      <c r="E468" s="697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4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97">
        <v>4680115883161</v>
      </c>
      <c r="E469" s="697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9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hidden="1" customHeight="1" x14ac:dyDescent="0.25">
      <c r="A470" s="63" t="s">
        <v>763</v>
      </c>
      <c r="B470" s="63" t="s">
        <v>764</v>
      </c>
      <c r="C470" s="36">
        <v>4301031358</v>
      </c>
      <c r="D470" s="697">
        <v>4607091389531</v>
      </c>
      <c r="E470" s="69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99"/>
      <c r="R470" s="699"/>
      <c r="S470" s="699"/>
      <c r="T470" s="70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hidden="1" customHeight="1" x14ac:dyDescent="0.25">
      <c r="A471" s="63" t="s">
        <v>766</v>
      </c>
      <c r="B471" s="63" t="s">
        <v>767</v>
      </c>
      <c r="C471" s="36">
        <v>4301031360</v>
      </c>
      <c r="D471" s="697">
        <v>4607091384345</v>
      </c>
      <c r="E471" s="697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99"/>
      <c r="R471" s="699"/>
      <c r="S471" s="699"/>
      <c r="T471" s="70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hidden="1" x14ac:dyDescent="0.2">
      <c r="A472" s="704"/>
      <c r="B472" s="704"/>
      <c r="C472" s="704"/>
      <c r="D472" s="704"/>
      <c r="E472" s="704"/>
      <c r="F472" s="704"/>
      <c r="G472" s="704"/>
      <c r="H472" s="704"/>
      <c r="I472" s="704"/>
      <c r="J472" s="704"/>
      <c r="K472" s="704"/>
      <c r="L472" s="704"/>
      <c r="M472" s="704"/>
      <c r="N472" s="704"/>
      <c r="O472" s="705"/>
      <c r="P472" s="701" t="s">
        <v>40</v>
      </c>
      <c r="Q472" s="702"/>
      <c r="R472" s="702"/>
      <c r="S472" s="702"/>
      <c r="T472" s="702"/>
      <c r="U472" s="702"/>
      <c r="V472" s="703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04"/>
      <c r="B473" s="704"/>
      <c r="C473" s="704"/>
      <c r="D473" s="704"/>
      <c r="E473" s="704"/>
      <c r="F473" s="704"/>
      <c r="G473" s="704"/>
      <c r="H473" s="704"/>
      <c r="I473" s="704"/>
      <c r="J473" s="704"/>
      <c r="K473" s="704"/>
      <c r="L473" s="704"/>
      <c r="M473" s="704"/>
      <c r="N473" s="704"/>
      <c r="O473" s="705"/>
      <c r="P473" s="701" t="s">
        <v>40</v>
      </c>
      <c r="Q473" s="702"/>
      <c r="R473" s="702"/>
      <c r="S473" s="702"/>
      <c r="T473" s="702"/>
      <c r="U473" s="702"/>
      <c r="V473" s="703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96" t="s">
        <v>83</v>
      </c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6"/>
      <c r="P474" s="696"/>
      <c r="Q474" s="696"/>
      <c r="R474" s="696"/>
      <c r="S474" s="696"/>
      <c r="T474" s="696"/>
      <c r="U474" s="696"/>
      <c r="V474" s="696"/>
      <c r="W474" s="696"/>
      <c r="X474" s="696"/>
      <c r="Y474" s="696"/>
      <c r="Z474" s="696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97">
        <v>4607091384352</v>
      </c>
      <c r="E475" s="697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99"/>
      <c r="R475" s="699"/>
      <c r="S475" s="699"/>
      <c r="T475" s="700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704"/>
      <c r="B476" s="704"/>
      <c r="C476" s="704"/>
      <c r="D476" s="704"/>
      <c r="E476" s="704"/>
      <c r="F476" s="704"/>
      <c r="G476" s="704"/>
      <c r="H476" s="704"/>
      <c r="I476" s="704"/>
      <c r="J476" s="704"/>
      <c r="K476" s="704"/>
      <c r="L476" s="704"/>
      <c r="M476" s="704"/>
      <c r="N476" s="704"/>
      <c r="O476" s="705"/>
      <c r="P476" s="701" t="s">
        <v>40</v>
      </c>
      <c r="Q476" s="702"/>
      <c r="R476" s="702"/>
      <c r="S476" s="702"/>
      <c r="T476" s="702"/>
      <c r="U476" s="702"/>
      <c r="V476" s="70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704"/>
      <c r="B477" s="704"/>
      <c r="C477" s="704"/>
      <c r="D477" s="704"/>
      <c r="E477" s="704"/>
      <c r="F477" s="704"/>
      <c r="G477" s="704"/>
      <c r="H477" s="704"/>
      <c r="I477" s="704"/>
      <c r="J477" s="704"/>
      <c r="K477" s="704"/>
      <c r="L477" s="704"/>
      <c r="M477" s="704"/>
      <c r="N477" s="704"/>
      <c r="O477" s="705"/>
      <c r="P477" s="701" t="s">
        <v>40</v>
      </c>
      <c r="Q477" s="702"/>
      <c r="R477" s="702"/>
      <c r="S477" s="702"/>
      <c r="T477" s="702"/>
      <c r="U477" s="702"/>
      <c r="V477" s="70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95" t="s">
        <v>771</v>
      </c>
      <c r="B478" s="695"/>
      <c r="C478" s="695"/>
      <c r="D478" s="695"/>
      <c r="E478" s="695"/>
      <c r="F478" s="695"/>
      <c r="G478" s="695"/>
      <c r="H478" s="695"/>
      <c r="I478" s="695"/>
      <c r="J478" s="695"/>
      <c r="K478" s="695"/>
      <c r="L478" s="695"/>
      <c r="M478" s="695"/>
      <c r="N478" s="695"/>
      <c r="O478" s="695"/>
      <c r="P478" s="695"/>
      <c r="Q478" s="695"/>
      <c r="R478" s="695"/>
      <c r="S478" s="695"/>
      <c r="T478" s="695"/>
      <c r="U478" s="695"/>
      <c r="V478" s="695"/>
      <c r="W478" s="695"/>
      <c r="X478" s="695"/>
      <c r="Y478" s="695"/>
      <c r="Z478" s="695"/>
      <c r="AA478" s="65"/>
      <c r="AB478" s="65"/>
      <c r="AC478" s="79"/>
    </row>
    <row r="479" spans="1:68" ht="14.25" hidden="1" customHeight="1" x14ac:dyDescent="0.25">
      <c r="A479" s="696" t="s">
        <v>154</v>
      </c>
      <c r="B479" s="696"/>
      <c r="C479" s="696"/>
      <c r="D479" s="696"/>
      <c r="E479" s="696"/>
      <c r="F479" s="696"/>
      <c r="G479" s="696"/>
      <c r="H479" s="696"/>
      <c r="I479" s="696"/>
      <c r="J479" s="696"/>
      <c r="K479" s="696"/>
      <c r="L479" s="696"/>
      <c r="M479" s="696"/>
      <c r="N479" s="696"/>
      <c r="O479" s="696"/>
      <c r="P479" s="696"/>
      <c r="Q479" s="696"/>
      <c r="R479" s="696"/>
      <c r="S479" s="696"/>
      <c r="T479" s="696"/>
      <c r="U479" s="696"/>
      <c r="V479" s="696"/>
      <c r="W479" s="696"/>
      <c r="X479" s="696"/>
      <c r="Y479" s="696"/>
      <c r="Z479" s="696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97">
        <v>4680115885240</v>
      </c>
      <c r="E480" s="697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94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4"/>
      <c r="B481" s="704"/>
      <c r="C481" s="704"/>
      <c r="D481" s="704"/>
      <c r="E481" s="704"/>
      <c r="F481" s="704"/>
      <c r="G481" s="704"/>
      <c r="H481" s="704"/>
      <c r="I481" s="704"/>
      <c r="J481" s="704"/>
      <c r="K481" s="704"/>
      <c r="L481" s="704"/>
      <c r="M481" s="704"/>
      <c r="N481" s="704"/>
      <c r="O481" s="705"/>
      <c r="P481" s="701" t="s">
        <v>40</v>
      </c>
      <c r="Q481" s="702"/>
      <c r="R481" s="702"/>
      <c r="S481" s="702"/>
      <c r="T481" s="702"/>
      <c r="U481" s="702"/>
      <c r="V481" s="703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704"/>
      <c r="B482" s="704"/>
      <c r="C482" s="704"/>
      <c r="D482" s="704"/>
      <c r="E482" s="704"/>
      <c r="F482" s="704"/>
      <c r="G482" s="704"/>
      <c r="H482" s="704"/>
      <c r="I482" s="704"/>
      <c r="J482" s="704"/>
      <c r="K482" s="704"/>
      <c r="L482" s="704"/>
      <c r="M482" s="704"/>
      <c r="N482" s="704"/>
      <c r="O482" s="705"/>
      <c r="P482" s="701" t="s">
        <v>40</v>
      </c>
      <c r="Q482" s="702"/>
      <c r="R482" s="702"/>
      <c r="S482" s="702"/>
      <c r="T482" s="702"/>
      <c r="U482" s="702"/>
      <c r="V482" s="703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96" t="s">
        <v>77</v>
      </c>
      <c r="B483" s="696"/>
      <c r="C483" s="696"/>
      <c r="D483" s="696"/>
      <c r="E483" s="696"/>
      <c r="F483" s="696"/>
      <c r="G483" s="696"/>
      <c r="H483" s="696"/>
      <c r="I483" s="696"/>
      <c r="J483" s="696"/>
      <c r="K483" s="696"/>
      <c r="L483" s="696"/>
      <c r="M483" s="696"/>
      <c r="N483" s="696"/>
      <c r="O483" s="696"/>
      <c r="P483" s="696"/>
      <c r="Q483" s="696"/>
      <c r="R483" s="696"/>
      <c r="S483" s="696"/>
      <c r="T483" s="696"/>
      <c r="U483" s="696"/>
      <c r="V483" s="696"/>
      <c r="W483" s="696"/>
      <c r="X483" s="696"/>
      <c r="Y483" s="696"/>
      <c r="Z483" s="696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4301031407</v>
      </c>
      <c r="D484" s="697">
        <v>4680115886094</v>
      </c>
      <c r="E484" s="697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9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99"/>
      <c r="R484" s="699"/>
      <c r="S484" s="699"/>
      <c r="T484" s="700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97">
        <v>4680115880771</v>
      </c>
      <c r="E485" s="697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99"/>
      <c r="R485" s="699"/>
      <c r="S485" s="699"/>
      <c r="T485" s="70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97">
        <v>4607091389500</v>
      </c>
      <c r="E486" s="697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04"/>
      <c r="B487" s="704"/>
      <c r="C487" s="704"/>
      <c r="D487" s="704"/>
      <c r="E487" s="704"/>
      <c r="F487" s="704"/>
      <c r="G487" s="704"/>
      <c r="H487" s="704"/>
      <c r="I487" s="704"/>
      <c r="J487" s="704"/>
      <c r="K487" s="704"/>
      <c r="L487" s="704"/>
      <c r="M487" s="704"/>
      <c r="N487" s="704"/>
      <c r="O487" s="705"/>
      <c r="P487" s="701" t="s">
        <v>40</v>
      </c>
      <c r="Q487" s="702"/>
      <c r="R487" s="702"/>
      <c r="S487" s="702"/>
      <c r="T487" s="702"/>
      <c r="U487" s="702"/>
      <c r="V487" s="703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704"/>
      <c r="B488" s="704"/>
      <c r="C488" s="704"/>
      <c r="D488" s="704"/>
      <c r="E488" s="704"/>
      <c r="F488" s="704"/>
      <c r="G488" s="704"/>
      <c r="H488" s="704"/>
      <c r="I488" s="704"/>
      <c r="J488" s="704"/>
      <c r="K488" s="704"/>
      <c r="L488" s="704"/>
      <c r="M488" s="704"/>
      <c r="N488" s="704"/>
      <c r="O488" s="705"/>
      <c r="P488" s="701" t="s">
        <v>40</v>
      </c>
      <c r="Q488" s="702"/>
      <c r="R488" s="702"/>
      <c r="S488" s="702"/>
      <c r="T488" s="702"/>
      <c r="U488" s="702"/>
      <c r="V488" s="703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hidden="1" customHeight="1" x14ac:dyDescent="0.2">
      <c r="A489" s="694" t="s">
        <v>783</v>
      </c>
      <c r="B489" s="694"/>
      <c r="C489" s="694"/>
      <c r="D489" s="694"/>
      <c r="E489" s="694"/>
      <c r="F489" s="694"/>
      <c r="G489" s="694"/>
      <c r="H489" s="694"/>
      <c r="I489" s="694"/>
      <c r="J489" s="694"/>
      <c r="K489" s="694"/>
      <c r="L489" s="694"/>
      <c r="M489" s="694"/>
      <c r="N489" s="694"/>
      <c r="O489" s="694"/>
      <c r="P489" s="694"/>
      <c r="Q489" s="694"/>
      <c r="R489" s="694"/>
      <c r="S489" s="694"/>
      <c r="T489" s="694"/>
      <c r="U489" s="694"/>
      <c r="V489" s="694"/>
      <c r="W489" s="694"/>
      <c r="X489" s="694"/>
      <c r="Y489" s="694"/>
      <c r="Z489" s="694"/>
      <c r="AA489" s="54"/>
      <c r="AB489" s="54"/>
      <c r="AC489" s="54"/>
    </row>
    <row r="490" spans="1:68" ht="16.5" hidden="1" customHeight="1" x14ac:dyDescent="0.25">
      <c r="A490" s="695" t="s">
        <v>783</v>
      </c>
      <c r="B490" s="695"/>
      <c r="C490" s="695"/>
      <c r="D490" s="695"/>
      <c r="E490" s="695"/>
      <c r="F490" s="695"/>
      <c r="G490" s="695"/>
      <c r="H490" s="695"/>
      <c r="I490" s="695"/>
      <c r="J490" s="695"/>
      <c r="K490" s="695"/>
      <c r="L490" s="695"/>
      <c r="M490" s="695"/>
      <c r="N490" s="695"/>
      <c r="O490" s="695"/>
      <c r="P490" s="695"/>
      <c r="Q490" s="695"/>
      <c r="R490" s="695"/>
      <c r="S490" s="695"/>
      <c r="T490" s="695"/>
      <c r="U490" s="695"/>
      <c r="V490" s="695"/>
      <c r="W490" s="695"/>
      <c r="X490" s="695"/>
      <c r="Y490" s="695"/>
      <c r="Z490" s="695"/>
      <c r="AA490" s="65"/>
      <c r="AB490" s="65"/>
      <c r="AC490" s="79"/>
    </row>
    <row r="491" spans="1:68" ht="14.25" hidden="1" customHeight="1" x14ac:dyDescent="0.25">
      <c r="A491" s="696" t="s">
        <v>119</v>
      </c>
      <c r="B491" s="696"/>
      <c r="C491" s="696"/>
      <c r="D491" s="696"/>
      <c r="E491" s="696"/>
      <c r="F491" s="696"/>
      <c r="G491" s="696"/>
      <c r="H491" s="696"/>
      <c r="I491" s="696"/>
      <c r="J491" s="696"/>
      <c r="K491" s="696"/>
      <c r="L491" s="696"/>
      <c r="M491" s="696"/>
      <c r="N491" s="696"/>
      <c r="O491" s="696"/>
      <c r="P491" s="696"/>
      <c r="Q491" s="696"/>
      <c r="R491" s="696"/>
      <c r="S491" s="696"/>
      <c r="T491" s="696"/>
      <c r="U491" s="696"/>
      <c r="V491" s="696"/>
      <c r="W491" s="696"/>
      <c r="X491" s="696"/>
      <c r="Y491" s="696"/>
      <c r="Z491" s="696"/>
      <c r="AA491" s="66"/>
      <c r="AB491" s="66"/>
      <c r="AC491" s="80"/>
    </row>
    <row r="492" spans="1:68" ht="27" customHeight="1" x14ac:dyDescent="0.25">
      <c r="A492" s="63" t="s">
        <v>784</v>
      </c>
      <c r="B492" s="63" t="s">
        <v>785</v>
      </c>
      <c r="C492" s="36">
        <v>4301011769</v>
      </c>
      <c r="D492" s="697">
        <v>4607091389067</v>
      </c>
      <c r="E492" s="69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60</v>
      </c>
      <c r="Y492" s="55">
        <f t="shared" ref="Y492:Y499" si="71">IFERROR(IF(X492="",0,CEILING((X492/$H492),1)*$H492),"")</f>
        <v>63.36</v>
      </c>
      <c r="Z492" s="41">
        <f>IFERROR(IF(Y492=0,"",ROUNDUP(Y492/H492,0)*0.01196),"")</f>
        <v>0.14352000000000001</v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63.977272727272727</v>
      </c>
      <c r="BN492" s="78">
        <f t="shared" ref="BN492:BN499" si="73">IFERROR(Y492*I492/H492,"0")</f>
        <v>67.559999999999988</v>
      </c>
      <c r="BO492" s="78">
        <f t="shared" ref="BO492:BO499" si="74">IFERROR(1/J492*(X492/H492),"0")</f>
        <v>0.10926573426573427</v>
      </c>
      <c r="BP492" s="78">
        <f t="shared" ref="BP492:BP499" si="75">IFERROR(1/J492*(Y492/H492),"0")</f>
        <v>0.11538461538461539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97">
        <v>4680115889576</v>
      </c>
      <c r="E493" s="69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95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97">
        <v>4680115885271</v>
      </c>
      <c r="E494" s="697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9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4301011369</v>
      </c>
      <c r="D495" s="697">
        <v>4680115885226</v>
      </c>
      <c r="E495" s="69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9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99"/>
      <c r="R495" s="699"/>
      <c r="S495" s="699"/>
      <c r="T495" s="700"/>
      <c r="U495" s="39" t="s">
        <v>46</v>
      </c>
      <c r="V495" s="39" t="s">
        <v>46</v>
      </c>
      <c r="W495" s="40" t="s">
        <v>0</v>
      </c>
      <c r="X495" s="58">
        <v>200</v>
      </c>
      <c r="Y495" s="55">
        <f t="shared" si="71"/>
        <v>200.64000000000001</v>
      </c>
      <c r="Z495" s="41">
        <f>IFERROR(IF(Y495=0,"",ROUNDUP(Y495/H495,0)*0.01196),"")</f>
        <v>0.45448</v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213.25757575757575</v>
      </c>
      <c r="BN495" s="78">
        <f t="shared" si="73"/>
        <v>213.94</v>
      </c>
      <c r="BO495" s="78">
        <f t="shared" si="74"/>
        <v>0.36421911421911418</v>
      </c>
      <c r="BP495" s="78">
        <f t="shared" si="75"/>
        <v>0.36538461538461542</v>
      </c>
    </row>
    <row r="496" spans="1:68" ht="27" customHeight="1" x14ac:dyDescent="0.25">
      <c r="A496" s="63" t="s">
        <v>795</v>
      </c>
      <c r="B496" s="63" t="s">
        <v>796</v>
      </c>
      <c r="C496" s="36">
        <v>4301011771</v>
      </c>
      <c r="D496" s="697">
        <v>4607091389104</v>
      </c>
      <c r="E496" s="69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9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99"/>
      <c r="R496" s="699"/>
      <c r="S496" s="699"/>
      <c r="T496" s="700"/>
      <c r="U496" s="39" t="s">
        <v>46</v>
      </c>
      <c r="V496" s="39" t="s">
        <v>46</v>
      </c>
      <c r="W496" s="40" t="s">
        <v>0</v>
      </c>
      <c r="X496" s="58">
        <v>300</v>
      </c>
      <c r="Y496" s="55">
        <f t="shared" si="71"/>
        <v>300.96000000000004</v>
      </c>
      <c r="Z496" s="41">
        <f>IFERROR(IF(Y496=0,"",ROUNDUP(Y496/H496,0)*0.01196),"")</f>
        <v>0.68171999999999999</v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319.88636363636363</v>
      </c>
      <c r="BN496" s="78">
        <f t="shared" si="73"/>
        <v>320.91000000000003</v>
      </c>
      <c r="BO496" s="78">
        <f t="shared" si="74"/>
        <v>0.54632867132867136</v>
      </c>
      <c r="BP496" s="78">
        <f t="shared" si="75"/>
        <v>0.54807692307692313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97">
        <v>4680115886391</v>
      </c>
      <c r="E497" s="697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9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99"/>
      <c r="R497" s="699"/>
      <c r="S497" s="699"/>
      <c r="T497" s="70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customHeight="1" x14ac:dyDescent="0.25">
      <c r="A498" s="63" t="s">
        <v>800</v>
      </c>
      <c r="B498" s="63" t="s">
        <v>801</v>
      </c>
      <c r="C498" s="36">
        <v>4301012048</v>
      </c>
      <c r="D498" s="697">
        <v>4680115880603</v>
      </c>
      <c r="E498" s="697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150</v>
      </c>
      <c r="Y498" s="55">
        <f t="shared" si="71"/>
        <v>153.6</v>
      </c>
      <c r="Z498" s="41">
        <f>IFERROR(IF(Y498=0,"",ROUNDUP(Y498/H498,0)*0.00902),"")</f>
        <v>0.28864000000000001</v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215.9375</v>
      </c>
      <c r="BN498" s="78">
        <f t="shared" si="73"/>
        <v>221.12</v>
      </c>
      <c r="BO498" s="78">
        <f t="shared" si="74"/>
        <v>0.23674242424242425</v>
      </c>
      <c r="BP498" s="78">
        <f t="shared" si="75"/>
        <v>0.24242424242424243</v>
      </c>
    </row>
    <row r="499" spans="1:68" ht="27" customHeight="1" x14ac:dyDescent="0.25">
      <c r="A499" s="63" t="s">
        <v>802</v>
      </c>
      <c r="B499" s="63" t="s">
        <v>803</v>
      </c>
      <c r="C499" s="36">
        <v>4301012034</v>
      </c>
      <c r="D499" s="697">
        <v>4607091389982</v>
      </c>
      <c r="E499" s="69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9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240</v>
      </c>
      <c r="Y499" s="55">
        <f t="shared" si="71"/>
        <v>240</v>
      </c>
      <c r="Z499" s="41">
        <f>IFERROR(IF(Y499=0,"",ROUNDUP(Y499/H499,0)*0.00902),"")</f>
        <v>0.45100000000000001</v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345.50000000000006</v>
      </c>
      <c r="BN499" s="78">
        <f t="shared" si="73"/>
        <v>345.50000000000006</v>
      </c>
      <c r="BO499" s="78">
        <f t="shared" si="74"/>
        <v>0.37878787878787878</v>
      </c>
      <c r="BP499" s="78">
        <f t="shared" si="75"/>
        <v>0.37878787878787878</v>
      </c>
    </row>
    <row r="500" spans="1:68" x14ac:dyDescent="0.2">
      <c r="A500" s="704"/>
      <c r="B500" s="704"/>
      <c r="C500" s="704"/>
      <c r="D500" s="704"/>
      <c r="E500" s="704"/>
      <c r="F500" s="704"/>
      <c r="G500" s="704"/>
      <c r="H500" s="704"/>
      <c r="I500" s="704"/>
      <c r="J500" s="704"/>
      <c r="K500" s="704"/>
      <c r="L500" s="704"/>
      <c r="M500" s="704"/>
      <c r="N500" s="704"/>
      <c r="O500" s="705"/>
      <c r="P500" s="701" t="s">
        <v>40</v>
      </c>
      <c r="Q500" s="702"/>
      <c r="R500" s="702"/>
      <c r="S500" s="702"/>
      <c r="T500" s="702"/>
      <c r="U500" s="702"/>
      <c r="V500" s="703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187.31060606060606</v>
      </c>
      <c r="Y500" s="43">
        <f>IFERROR(Y492/H492,"0")+IFERROR(Y493/H493,"0")+IFERROR(Y494/H494,"0")+IFERROR(Y495/H495,"0")+IFERROR(Y496/H496,"0")+IFERROR(Y497/H497,"0")+IFERROR(Y498/H498,"0")+IFERROR(Y499/H499,"0")</f>
        <v>189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2.0193599999999998</v>
      </c>
      <c r="AA500" s="67"/>
      <c r="AB500" s="67"/>
      <c r="AC500" s="67"/>
    </row>
    <row r="501" spans="1:68" x14ac:dyDescent="0.2">
      <c r="A501" s="704"/>
      <c r="B501" s="704"/>
      <c r="C501" s="704"/>
      <c r="D501" s="704"/>
      <c r="E501" s="704"/>
      <c r="F501" s="704"/>
      <c r="G501" s="704"/>
      <c r="H501" s="704"/>
      <c r="I501" s="704"/>
      <c r="J501" s="704"/>
      <c r="K501" s="704"/>
      <c r="L501" s="704"/>
      <c r="M501" s="704"/>
      <c r="N501" s="704"/>
      <c r="O501" s="705"/>
      <c r="P501" s="701" t="s">
        <v>40</v>
      </c>
      <c r="Q501" s="702"/>
      <c r="R501" s="702"/>
      <c r="S501" s="702"/>
      <c r="T501" s="702"/>
      <c r="U501" s="702"/>
      <c r="V501" s="703"/>
      <c r="W501" s="42" t="s">
        <v>0</v>
      </c>
      <c r="X501" s="43">
        <f>IFERROR(SUM(X492:X499),"0")</f>
        <v>950</v>
      </c>
      <c r="Y501" s="43">
        <f>IFERROR(SUM(Y492:Y499),"0")</f>
        <v>958.56000000000006</v>
      </c>
      <c r="Z501" s="42"/>
      <c r="AA501" s="67"/>
      <c r="AB501" s="67"/>
      <c r="AC501" s="67"/>
    </row>
    <row r="502" spans="1:68" ht="14.25" hidden="1" customHeight="1" x14ac:dyDescent="0.25">
      <c r="A502" s="696" t="s">
        <v>154</v>
      </c>
      <c r="B502" s="696"/>
      <c r="C502" s="696"/>
      <c r="D502" s="696"/>
      <c r="E502" s="696"/>
      <c r="F502" s="696"/>
      <c r="G502" s="696"/>
      <c r="H502" s="696"/>
      <c r="I502" s="696"/>
      <c r="J502" s="696"/>
      <c r="K502" s="696"/>
      <c r="L502" s="696"/>
      <c r="M502" s="696"/>
      <c r="N502" s="696"/>
      <c r="O502" s="696"/>
      <c r="P502" s="696"/>
      <c r="Q502" s="696"/>
      <c r="R502" s="696"/>
      <c r="S502" s="696"/>
      <c r="T502" s="696"/>
      <c r="U502" s="696"/>
      <c r="V502" s="696"/>
      <c r="W502" s="696"/>
      <c r="X502" s="696"/>
      <c r="Y502" s="696"/>
      <c r="Z502" s="696"/>
      <c r="AA502" s="66"/>
      <c r="AB502" s="66"/>
      <c r="AC502" s="80"/>
    </row>
    <row r="503" spans="1:68" ht="16.5" customHeight="1" x14ac:dyDescent="0.25">
      <c r="A503" s="63" t="s">
        <v>804</v>
      </c>
      <c r="B503" s="63" t="s">
        <v>805</v>
      </c>
      <c r="C503" s="36">
        <v>4301020334</v>
      </c>
      <c r="D503" s="697">
        <v>4607091388930</v>
      </c>
      <c r="E503" s="69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95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99"/>
      <c r="R503" s="699"/>
      <c r="S503" s="699"/>
      <c r="T503" s="700"/>
      <c r="U503" s="39" t="s">
        <v>46</v>
      </c>
      <c r="V503" s="39" t="s">
        <v>46</v>
      </c>
      <c r="W503" s="40" t="s">
        <v>0</v>
      </c>
      <c r="X503" s="58">
        <v>500</v>
      </c>
      <c r="Y503" s="55">
        <f>IFERROR(IF(X503="",0,CEILING((X503/$H503),1)*$H503),"")</f>
        <v>501.6</v>
      </c>
      <c r="Z503" s="41">
        <f>IFERROR(IF(Y503=0,"",ROUNDUP(Y503/H503,0)*0.01196),"")</f>
        <v>1.1362000000000001</v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533.14393939393938</v>
      </c>
      <c r="BN503" s="78">
        <f>IFERROR(Y503*I503/H503,"0")</f>
        <v>534.85</v>
      </c>
      <c r="BO503" s="78">
        <f>IFERROR(1/J503*(X503/H503),"0")</f>
        <v>0.91054778554778548</v>
      </c>
      <c r="BP503" s="78">
        <f>IFERROR(1/J503*(Y503/H503),"0")</f>
        <v>0.91346153846153855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97">
        <v>4680115886407</v>
      </c>
      <c r="E504" s="697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9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customHeight="1" x14ac:dyDescent="0.25">
      <c r="A505" s="63" t="s">
        <v>809</v>
      </c>
      <c r="B505" s="63" t="s">
        <v>810</v>
      </c>
      <c r="C505" s="36">
        <v>4301020385</v>
      </c>
      <c r="D505" s="697">
        <v>4680115880054</v>
      </c>
      <c r="E505" s="697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9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150</v>
      </c>
      <c r="Y505" s="55">
        <f>IFERROR(IF(X505="",0,CEILING((X505/$H505),1)*$H505),"")</f>
        <v>153.6</v>
      </c>
      <c r="Z505" s="41">
        <f>IFERROR(IF(Y505=0,"",ROUNDUP(Y505/H505,0)*0.00902),"")</f>
        <v>0.28864000000000001</v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215.9375</v>
      </c>
      <c r="BN505" s="78">
        <f>IFERROR(Y505*I505/H505,"0")</f>
        <v>221.12</v>
      </c>
      <c r="BO505" s="78">
        <f>IFERROR(1/J505*(X505/H505),"0")</f>
        <v>0.23674242424242425</v>
      </c>
      <c r="BP505" s="78">
        <f>IFERROR(1/J505*(Y505/H505),"0")</f>
        <v>0.24242424242424243</v>
      </c>
    </row>
    <row r="506" spans="1:68" x14ac:dyDescent="0.2">
      <c r="A506" s="704"/>
      <c r="B506" s="704"/>
      <c r="C506" s="704"/>
      <c r="D506" s="704"/>
      <c r="E506" s="704"/>
      <c r="F506" s="704"/>
      <c r="G506" s="704"/>
      <c r="H506" s="704"/>
      <c r="I506" s="704"/>
      <c r="J506" s="704"/>
      <c r="K506" s="704"/>
      <c r="L506" s="704"/>
      <c r="M506" s="704"/>
      <c r="N506" s="704"/>
      <c r="O506" s="705"/>
      <c r="P506" s="701" t="s">
        <v>40</v>
      </c>
      <c r="Q506" s="702"/>
      <c r="R506" s="702"/>
      <c r="S506" s="702"/>
      <c r="T506" s="702"/>
      <c r="U506" s="702"/>
      <c r="V506" s="703"/>
      <c r="W506" s="42" t="s">
        <v>39</v>
      </c>
      <c r="X506" s="43">
        <f>IFERROR(X503/H503,"0")+IFERROR(X504/H504,"0")+IFERROR(X505/H505,"0")</f>
        <v>125.94696969696969</v>
      </c>
      <c r="Y506" s="43">
        <f>IFERROR(Y503/H503,"0")+IFERROR(Y504/H504,"0")+IFERROR(Y505/H505,"0")</f>
        <v>127</v>
      </c>
      <c r="Z506" s="43">
        <f>IFERROR(IF(Z503="",0,Z503),"0")+IFERROR(IF(Z504="",0,Z504),"0")+IFERROR(IF(Z505="",0,Z505),"0")</f>
        <v>1.4248400000000001</v>
      </c>
      <c r="AA506" s="67"/>
      <c r="AB506" s="67"/>
      <c r="AC506" s="67"/>
    </row>
    <row r="507" spans="1:68" x14ac:dyDescent="0.2">
      <c r="A507" s="704"/>
      <c r="B507" s="704"/>
      <c r="C507" s="704"/>
      <c r="D507" s="704"/>
      <c r="E507" s="704"/>
      <c r="F507" s="704"/>
      <c r="G507" s="704"/>
      <c r="H507" s="704"/>
      <c r="I507" s="704"/>
      <c r="J507" s="704"/>
      <c r="K507" s="704"/>
      <c r="L507" s="704"/>
      <c r="M507" s="704"/>
      <c r="N507" s="704"/>
      <c r="O507" s="705"/>
      <c r="P507" s="701" t="s">
        <v>40</v>
      </c>
      <c r="Q507" s="702"/>
      <c r="R507" s="702"/>
      <c r="S507" s="702"/>
      <c r="T507" s="702"/>
      <c r="U507" s="702"/>
      <c r="V507" s="703"/>
      <c r="W507" s="42" t="s">
        <v>0</v>
      </c>
      <c r="X507" s="43">
        <f>IFERROR(SUM(X503:X505),"0")</f>
        <v>650</v>
      </c>
      <c r="Y507" s="43">
        <f>IFERROR(SUM(Y503:Y505),"0")</f>
        <v>655.20000000000005</v>
      </c>
      <c r="Z507" s="42"/>
      <c r="AA507" s="67"/>
      <c r="AB507" s="67"/>
      <c r="AC507" s="67"/>
    </row>
    <row r="508" spans="1:68" ht="14.25" hidden="1" customHeight="1" x14ac:dyDescent="0.25">
      <c r="A508" s="696" t="s">
        <v>77</v>
      </c>
      <c r="B508" s="696"/>
      <c r="C508" s="696"/>
      <c r="D508" s="696"/>
      <c r="E508" s="696"/>
      <c r="F508" s="696"/>
      <c r="G508" s="696"/>
      <c r="H508" s="696"/>
      <c r="I508" s="696"/>
      <c r="J508" s="696"/>
      <c r="K508" s="696"/>
      <c r="L508" s="696"/>
      <c r="M508" s="696"/>
      <c r="N508" s="696"/>
      <c r="O508" s="696"/>
      <c r="P508" s="696"/>
      <c r="Q508" s="696"/>
      <c r="R508" s="696"/>
      <c r="S508" s="696"/>
      <c r="T508" s="696"/>
      <c r="U508" s="696"/>
      <c r="V508" s="696"/>
      <c r="W508" s="696"/>
      <c r="X508" s="696"/>
      <c r="Y508" s="696"/>
      <c r="Z508" s="696"/>
      <c r="AA508" s="66"/>
      <c r="AB508" s="66"/>
      <c r="AC508" s="80"/>
    </row>
    <row r="509" spans="1:68" ht="27" customHeight="1" x14ac:dyDescent="0.25">
      <c r="A509" s="63" t="s">
        <v>811</v>
      </c>
      <c r="B509" s="63" t="s">
        <v>812</v>
      </c>
      <c r="C509" s="36">
        <v>4301031349</v>
      </c>
      <c r="D509" s="697">
        <v>4680115883116</v>
      </c>
      <c r="E509" s="69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9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80</v>
      </c>
      <c r="Y509" s="55">
        <f t="shared" ref="Y509:Y515" si="76">IFERROR(IF(X509="",0,CEILING((X509/$H509),1)*$H509),"")</f>
        <v>84.48</v>
      </c>
      <c r="Z509" s="41">
        <f>IFERROR(IF(Y509=0,"",ROUNDUP(Y509/H509,0)*0.01196),"")</f>
        <v>0.19136</v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85.303030303030297</v>
      </c>
      <c r="BN509" s="78">
        <f t="shared" ref="BN509:BN515" si="78">IFERROR(Y509*I509/H509,"0")</f>
        <v>90.08</v>
      </c>
      <c r="BO509" s="78">
        <f t="shared" ref="BO509:BO515" si="79">IFERROR(1/J509*(X509/H509),"0")</f>
        <v>0.14568764568764569</v>
      </c>
      <c r="BP509" s="78">
        <f t="shared" ref="BP509:BP515" si="80">IFERROR(1/J509*(Y509/H509),"0")</f>
        <v>0.15384615384615385</v>
      </c>
    </row>
    <row r="510" spans="1:68" ht="27" customHeight="1" x14ac:dyDescent="0.25">
      <c r="A510" s="63" t="s">
        <v>814</v>
      </c>
      <c r="B510" s="63" t="s">
        <v>815</v>
      </c>
      <c r="C510" s="36">
        <v>4301031350</v>
      </c>
      <c r="D510" s="697">
        <v>4680115883093</v>
      </c>
      <c r="E510" s="69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30</v>
      </c>
      <c r="Y510" s="55">
        <f t="shared" si="76"/>
        <v>31.68</v>
      </c>
      <c r="Z510" s="41">
        <f>IFERROR(IF(Y510=0,"",ROUNDUP(Y510/H510,0)*0.01196),"")</f>
        <v>7.1760000000000004E-2</v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31.988636363636363</v>
      </c>
      <c r="BN510" s="78">
        <f t="shared" si="78"/>
        <v>33.779999999999994</v>
      </c>
      <c r="BO510" s="78">
        <f t="shared" si="79"/>
        <v>5.4632867132867136E-2</v>
      </c>
      <c r="BP510" s="78">
        <f t="shared" si="80"/>
        <v>5.7692307692307696E-2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97">
        <v>4680115883109</v>
      </c>
      <c r="E511" s="69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99"/>
      <c r="R511" s="699"/>
      <c r="S511" s="699"/>
      <c r="T511" s="700"/>
      <c r="U511" s="39" t="s">
        <v>46</v>
      </c>
      <c r="V511" s="39" t="s">
        <v>46</v>
      </c>
      <c r="W511" s="40" t="s">
        <v>0</v>
      </c>
      <c r="X511" s="58">
        <v>360</v>
      </c>
      <c r="Y511" s="55">
        <f t="shared" si="76"/>
        <v>364.32</v>
      </c>
      <c r="Z511" s="41">
        <f>IFERROR(IF(Y511=0,"",ROUNDUP(Y511/H511,0)*0.01196),"")</f>
        <v>0.82523999999999997</v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383.86363636363632</v>
      </c>
      <c r="BN511" s="78">
        <f t="shared" si="78"/>
        <v>388.46999999999997</v>
      </c>
      <c r="BO511" s="78">
        <f t="shared" si="79"/>
        <v>0.65559440559440552</v>
      </c>
      <c r="BP511" s="78">
        <f t="shared" si="80"/>
        <v>0.66346153846153855</v>
      </c>
    </row>
    <row r="512" spans="1:68" ht="27" customHeight="1" x14ac:dyDescent="0.25">
      <c r="A512" s="63" t="s">
        <v>820</v>
      </c>
      <c r="B512" s="63" t="s">
        <v>821</v>
      </c>
      <c r="C512" s="36">
        <v>4301031419</v>
      </c>
      <c r="D512" s="697">
        <v>4680115882072</v>
      </c>
      <c r="E512" s="697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9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99"/>
      <c r="R512" s="699"/>
      <c r="S512" s="699"/>
      <c r="T512" s="700"/>
      <c r="U512" s="39" t="s">
        <v>46</v>
      </c>
      <c r="V512" s="39" t="s">
        <v>46</v>
      </c>
      <c r="W512" s="40" t="s">
        <v>0</v>
      </c>
      <c r="X512" s="58">
        <v>78</v>
      </c>
      <c r="Y512" s="55">
        <f t="shared" si="76"/>
        <v>81.599999999999994</v>
      </c>
      <c r="Z512" s="41">
        <f>IFERROR(IF(Y512=0,"",ROUNDUP(Y512/H512,0)*0.00902),"")</f>
        <v>0.15334</v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112.28750000000001</v>
      </c>
      <c r="BN512" s="78">
        <f t="shared" si="78"/>
        <v>117.47</v>
      </c>
      <c r="BO512" s="78">
        <f t="shared" si="79"/>
        <v>0.12310606060606061</v>
      </c>
      <c r="BP512" s="78">
        <f t="shared" si="80"/>
        <v>0.12878787878787878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97">
        <v>4680115882102</v>
      </c>
      <c r="E513" s="697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9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99"/>
      <c r="R513" s="699"/>
      <c r="S513" s="699"/>
      <c r="T513" s="70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822</v>
      </c>
      <c r="B514" s="63" t="s">
        <v>824</v>
      </c>
      <c r="C514" s="36">
        <v>4301031418</v>
      </c>
      <c r="D514" s="697">
        <v>4680115882102</v>
      </c>
      <c r="E514" s="697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9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99"/>
      <c r="R514" s="699"/>
      <c r="S514" s="699"/>
      <c r="T514" s="70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6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customHeight="1" x14ac:dyDescent="0.25">
      <c r="A515" s="63" t="s">
        <v>825</v>
      </c>
      <c r="B515" s="63" t="s">
        <v>826</v>
      </c>
      <c r="C515" s="36">
        <v>4301031417</v>
      </c>
      <c r="D515" s="697">
        <v>4680115882096</v>
      </c>
      <c r="E515" s="697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9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99"/>
      <c r="R515" s="699"/>
      <c r="S515" s="699"/>
      <c r="T515" s="700"/>
      <c r="U515" s="39" t="s">
        <v>46</v>
      </c>
      <c r="V515" s="39" t="s">
        <v>46</v>
      </c>
      <c r="W515" s="40" t="s">
        <v>0</v>
      </c>
      <c r="X515" s="58">
        <v>180</v>
      </c>
      <c r="Y515" s="55">
        <f t="shared" si="76"/>
        <v>182.4</v>
      </c>
      <c r="Z515" s="41">
        <f>IFERROR(IF(Y515=0,"",ROUNDUP(Y515/H515,0)*0.00902),"")</f>
        <v>0.34276000000000001</v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250.125</v>
      </c>
      <c r="BN515" s="78">
        <f t="shared" si="78"/>
        <v>253.46</v>
      </c>
      <c r="BO515" s="78">
        <f t="shared" si="79"/>
        <v>0.28409090909090912</v>
      </c>
      <c r="BP515" s="78">
        <f t="shared" si="80"/>
        <v>0.2878787878787879</v>
      </c>
    </row>
    <row r="516" spans="1:68" x14ac:dyDescent="0.2">
      <c r="A516" s="704"/>
      <c r="B516" s="704"/>
      <c r="C516" s="704"/>
      <c r="D516" s="704"/>
      <c r="E516" s="704"/>
      <c r="F516" s="704"/>
      <c r="G516" s="704"/>
      <c r="H516" s="704"/>
      <c r="I516" s="704"/>
      <c r="J516" s="704"/>
      <c r="K516" s="704"/>
      <c r="L516" s="704"/>
      <c r="M516" s="704"/>
      <c r="N516" s="704"/>
      <c r="O516" s="705"/>
      <c r="P516" s="701" t="s">
        <v>40</v>
      </c>
      <c r="Q516" s="702"/>
      <c r="R516" s="702"/>
      <c r="S516" s="702"/>
      <c r="T516" s="702"/>
      <c r="U516" s="702"/>
      <c r="V516" s="703"/>
      <c r="W516" s="42" t="s">
        <v>39</v>
      </c>
      <c r="X516" s="43">
        <f>IFERROR(X509/H509,"0")+IFERROR(X510/H510,"0")+IFERROR(X511/H511,"0")+IFERROR(X512/H512,"0")+IFERROR(X513/H513,"0")+IFERROR(X514/H514,"0")+IFERROR(X515/H515,"0")</f>
        <v>142.7651515151515</v>
      </c>
      <c r="Y516" s="43">
        <f>IFERROR(Y509/H509,"0")+IFERROR(Y510/H510,"0")+IFERROR(Y511/H511,"0")+IFERROR(Y512/H512,"0")+IFERROR(Y513/H513,"0")+IFERROR(Y514/H514,"0")+IFERROR(Y515/H515,"0")</f>
        <v>146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1.58446</v>
      </c>
      <c r="AA516" s="67"/>
      <c r="AB516" s="67"/>
      <c r="AC516" s="67"/>
    </row>
    <row r="517" spans="1:68" x14ac:dyDescent="0.2">
      <c r="A517" s="704"/>
      <c r="B517" s="704"/>
      <c r="C517" s="704"/>
      <c r="D517" s="704"/>
      <c r="E517" s="704"/>
      <c r="F517" s="704"/>
      <c r="G517" s="704"/>
      <c r="H517" s="704"/>
      <c r="I517" s="704"/>
      <c r="J517" s="704"/>
      <c r="K517" s="704"/>
      <c r="L517" s="704"/>
      <c r="M517" s="704"/>
      <c r="N517" s="704"/>
      <c r="O517" s="705"/>
      <c r="P517" s="701" t="s">
        <v>40</v>
      </c>
      <c r="Q517" s="702"/>
      <c r="R517" s="702"/>
      <c r="S517" s="702"/>
      <c r="T517" s="702"/>
      <c r="U517" s="702"/>
      <c r="V517" s="703"/>
      <c r="W517" s="42" t="s">
        <v>0</v>
      </c>
      <c r="X517" s="43">
        <f>IFERROR(SUM(X509:X515),"0")</f>
        <v>728</v>
      </c>
      <c r="Y517" s="43">
        <f>IFERROR(SUM(Y509:Y515),"0")</f>
        <v>744.48</v>
      </c>
      <c r="Z517" s="42"/>
      <c r="AA517" s="67"/>
      <c r="AB517" s="67"/>
      <c r="AC517" s="67"/>
    </row>
    <row r="518" spans="1:68" ht="27.75" hidden="1" customHeight="1" x14ac:dyDescent="0.2">
      <c r="A518" s="694" t="s">
        <v>827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54"/>
      <c r="AB518" s="54"/>
      <c r="AC518" s="54"/>
    </row>
    <row r="519" spans="1:68" ht="16.5" hidden="1" customHeight="1" x14ac:dyDescent="0.25">
      <c r="A519" s="695" t="s">
        <v>827</v>
      </c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5"/>
      <c r="P519" s="695"/>
      <c r="Q519" s="695"/>
      <c r="R519" s="695"/>
      <c r="S519" s="695"/>
      <c r="T519" s="695"/>
      <c r="U519" s="695"/>
      <c r="V519" s="695"/>
      <c r="W519" s="695"/>
      <c r="X519" s="695"/>
      <c r="Y519" s="695"/>
      <c r="Z519" s="695"/>
      <c r="AA519" s="65"/>
      <c r="AB519" s="65"/>
      <c r="AC519" s="79"/>
    </row>
    <row r="520" spans="1:68" ht="14.25" hidden="1" customHeight="1" x14ac:dyDescent="0.25">
      <c r="A520" s="696" t="s">
        <v>119</v>
      </c>
      <c r="B520" s="696"/>
      <c r="C520" s="696"/>
      <c r="D520" s="696"/>
      <c r="E520" s="696"/>
      <c r="F520" s="696"/>
      <c r="G520" s="696"/>
      <c r="H520" s="696"/>
      <c r="I520" s="696"/>
      <c r="J520" s="696"/>
      <c r="K520" s="696"/>
      <c r="L520" s="696"/>
      <c r="M520" s="696"/>
      <c r="N520" s="696"/>
      <c r="O520" s="696"/>
      <c r="P520" s="696"/>
      <c r="Q520" s="696"/>
      <c r="R520" s="696"/>
      <c r="S520" s="696"/>
      <c r="T520" s="696"/>
      <c r="U520" s="696"/>
      <c r="V520" s="696"/>
      <c r="W520" s="696"/>
      <c r="X520" s="696"/>
      <c r="Y520" s="696"/>
      <c r="Z520" s="696"/>
      <c r="AA520" s="66"/>
      <c r="AB520" s="66"/>
      <c r="AC520" s="80"/>
    </row>
    <row r="521" spans="1:68" ht="27" customHeight="1" x14ac:dyDescent="0.25">
      <c r="A521" s="63" t="s">
        <v>828</v>
      </c>
      <c r="B521" s="63" t="s">
        <v>829</v>
      </c>
      <c r="C521" s="36">
        <v>4301012386</v>
      </c>
      <c r="D521" s="697">
        <v>4680115889736</v>
      </c>
      <c r="E521" s="697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96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99"/>
      <c r="R521" s="699"/>
      <c r="S521" s="699"/>
      <c r="T521" s="700"/>
      <c r="U521" s="39" t="s">
        <v>46</v>
      </c>
      <c r="V521" s="39" t="s">
        <v>46</v>
      </c>
      <c r="W521" s="40" t="s">
        <v>0</v>
      </c>
      <c r="X521" s="58">
        <v>80</v>
      </c>
      <c r="Y521" s="55">
        <f>IFERROR(IF(X521="",0,CEILING((X521/$H521),1)*$H521),"")</f>
        <v>84</v>
      </c>
      <c r="Z521" s="41">
        <f>IFERROR(IF(Y521=0,"",ROUNDUP(Y521/H521,0)*0.01898),"")</f>
        <v>0.13286000000000001</v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82.733333333333334</v>
      </c>
      <c r="BN521" s="78">
        <f>IFERROR(Y521*I521/H521,"0")</f>
        <v>86.87</v>
      </c>
      <c r="BO521" s="78">
        <f>IFERROR(1/J521*(X521/H521),"0")</f>
        <v>0.10416666666666667</v>
      </c>
      <c r="BP521" s="78">
        <f>IFERROR(1/J521*(Y521/H521),"0")</f>
        <v>0.109375</v>
      </c>
    </row>
    <row r="522" spans="1:68" x14ac:dyDescent="0.2">
      <c r="A522" s="704"/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5"/>
      <c r="P522" s="701" t="s">
        <v>40</v>
      </c>
      <c r="Q522" s="702"/>
      <c r="R522" s="702"/>
      <c r="S522" s="702"/>
      <c r="T522" s="702"/>
      <c r="U522" s="702"/>
      <c r="V522" s="703"/>
      <c r="W522" s="42" t="s">
        <v>39</v>
      </c>
      <c r="X522" s="43">
        <f>IFERROR(X521/H521,"0")</f>
        <v>6.666666666666667</v>
      </c>
      <c r="Y522" s="43">
        <f>IFERROR(Y521/H521,"0")</f>
        <v>7</v>
      </c>
      <c r="Z522" s="43">
        <f>IFERROR(IF(Z521="",0,Z521),"0")</f>
        <v>0.13286000000000001</v>
      </c>
      <c r="AA522" s="67"/>
      <c r="AB522" s="67"/>
      <c r="AC522" s="67"/>
    </row>
    <row r="523" spans="1:68" x14ac:dyDescent="0.2">
      <c r="A523" s="704"/>
      <c r="B523" s="704"/>
      <c r="C523" s="704"/>
      <c r="D523" s="704"/>
      <c r="E523" s="704"/>
      <c r="F523" s="704"/>
      <c r="G523" s="704"/>
      <c r="H523" s="704"/>
      <c r="I523" s="704"/>
      <c r="J523" s="704"/>
      <c r="K523" s="704"/>
      <c r="L523" s="704"/>
      <c r="M523" s="704"/>
      <c r="N523" s="704"/>
      <c r="O523" s="705"/>
      <c r="P523" s="701" t="s">
        <v>40</v>
      </c>
      <c r="Q523" s="702"/>
      <c r="R523" s="702"/>
      <c r="S523" s="702"/>
      <c r="T523" s="702"/>
      <c r="U523" s="702"/>
      <c r="V523" s="703"/>
      <c r="W523" s="42" t="s">
        <v>0</v>
      </c>
      <c r="X523" s="43">
        <f>IFERROR(SUM(X521:X521),"0")</f>
        <v>80</v>
      </c>
      <c r="Y523" s="43">
        <f>IFERROR(SUM(Y521:Y521),"0")</f>
        <v>84</v>
      </c>
      <c r="Z523" s="42"/>
      <c r="AA523" s="67"/>
      <c r="AB523" s="67"/>
      <c r="AC523" s="67"/>
    </row>
    <row r="524" spans="1:68" ht="14.25" hidden="1" customHeight="1" x14ac:dyDescent="0.25">
      <c r="A524" s="696" t="s">
        <v>154</v>
      </c>
      <c r="B524" s="696"/>
      <c r="C524" s="696"/>
      <c r="D524" s="696"/>
      <c r="E524" s="696"/>
      <c r="F524" s="696"/>
      <c r="G524" s="696"/>
      <c r="H524" s="696"/>
      <c r="I524" s="696"/>
      <c r="J524" s="696"/>
      <c r="K524" s="696"/>
      <c r="L524" s="696"/>
      <c r="M524" s="696"/>
      <c r="N524" s="696"/>
      <c r="O524" s="696"/>
      <c r="P524" s="696"/>
      <c r="Q524" s="696"/>
      <c r="R524" s="696"/>
      <c r="S524" s="696"/>
      <c r="T524" s="696"/>
      <c r="U524" s="696"/>
      <c r="V524" s="696"/>
      <c r="W524" s="696"/>
      <c r="X524" s="696"/>
      <c r="Y524" s="696"/>
      <c r="Z524" s="696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97">
        <v>4680115889781</v>
      </c>
      <c r="E525" s="69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96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4"/>
      <c r="B526" s="704"/>
      <c r="C526" s="704"/>
      <c r="D526" s="704"/>
      <c r="E526" s="704"/>
      <c r="F526" s="704"/>
      <c r="G526" s="704"/>
      <c r="H526" s="704"/>
      <c r="I526" s="704"/>
      <c r="J526" s="704"/>
      <c r="K526" s="704"/>
      <c r="L526" s="704"/>
      <c r="M526" s="704"/>
      <c r="N526" s="704"/>
      <c r="O526" s="705"/>
      <c r="P526" s="701" t="s">
        <v>40</v>
      </c>
      <c r="Q526" s="702"/>
      <c r="R526" s="702"/>
      <c r="S526" s="702"/>
      <c r="T526" s="702"/>
      <c r="U526" s="702"/>
      <c r="V526" s="703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04"/>
      <c r="B527" s="704"/>
      <c r="C527" s="704"/>
      <c r="D527" s="704"/>
      <c r="E527" s="704"/>
      <c r="F527" s="704"/>
      <c r="G527" s="704"/>
      <c r="H527" s="704"/>
      <c r="I527" s="704"/>
      <c r="J527" s="704"/>
      <c r="K527" s="704"/>
      <c r="L527" s="704"/>
      <c r="M527" s="704"/>
      <c r="N527" s="704"/>
      <c r="O527" s="705"/>
      <c r="P527" s="701" t="s">
        <v>40</v>
      </c>
      <c r="Q527" s="702"/>
      <c r="R527" s="702"/>
      <c r="S527" s="702"/>
      <c r="T527" s="702"/>
      <c r="U527" s="702"/>
      <c r="V527" s="703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77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833</v>
      </c>
      <c r="B529" s="63" t="s">
        <v>834</v>
      </c>
      <c r="C529" s="36">
        <v>4301031523</v>
      </c>
      <c r="D529" s="697">
        <v>4680115889774</v>
      </c>
      <c r="E529" s="697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97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4"/>
      <c r="B530" s="704"/>
      <c r="C530" s="704"/>
      <c r="D530" s="704"/>
      <c r="E530" s="704"/>
      <c r="F530" s="704"/>
      <c r="G530" s="704"/>
      <c r="H530" s="704"/>
      <c r="I530" s="704"/>
      <c r="J530" s="704"/>
      <c r="K530" s="704"/>
      <c r="L530" s="704"/>
      <c r="M530" s="704"/>
      <c r="N530" s="704"/>
      <c r="O530" s="705"/>
      <c r="P530" s="701" t="s">
        <v>40</v>
      </c>
      <c r="Q530" s="702"/>
      <c r="R530" s="702"/>
      <c r="S530" s="702"/>
      <c r="T530" s="702"/>
      <c r="U530" s="702"/>
      <c r="V530" s="703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4"/>
      <c r="B531" s="704"/>
      <c r="C531" s="704"/>
      <c r="D531" s="704"/>
      <c r="E531" s="704"/>
      <c r="F531" s="704"/>
      <c r="G531" s="704"/>
      <c r="H531" s="704"/>
      <c r="I531" s="704"/>
      <c r="J531" s="704"/>
      <c r="K531" s="704"/>
      <c r="L531" s="704"/>
      <c r="M531" s="704"/>
      <c r="N531" s="704"/>
      <c r="O531" s="705"/>
      <c r="P531" s="701" t="s">
        <v>40</v>
      </c>
      <c r="Q531" s="702"/>
      <c r="R531" s="702"/>
      <c r="S531" s="702"/>
      <c r="T531" s="702"/>
      <c r="U531" s="702"/>
      <c r="V531" s="703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83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836</v>
      </c>
      <c r="B533" s="63" t="s">
        <v>837</v>
      </c>
      <c r="C533" s="36">
        <v>4301052282</v>
      </c>
      <c r="D533" s="697">
        <v>4680115889811</v>
      </c>
      <c r="E533" s="697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9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04"/>
      <c r="B534" s="704"/>
      <c r="C534" s="704"/>
      <c r="D534" s="704"/>
      <c r="E534" s="704"/>
      <c r="F534" s="704"/>
      <c r="G534" s="704"/>
      <c r="H534" s="704"/>
      <c r="I534" s="704"/>
      <c r="J534" s="704"/>
      <c r="K534" s="704"/>
      <c r="L534" s="704"/>
      <c r="M534" s="704"/>
      <c r="N534" s="704"/>
      <c r="O534" s="705"/>
      <c r="P534" s="701" t="s">
        <v>40</v>
      </c>
      <c r="Q534" s="702"/>
      <c r="R534" s="702"/>
      <c r="S534" s="702"/>
      <c r="T534" s="702"/>
      <c r="U534" s="702"/>
      <c r="V534" s="703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04"/>
      <c r="B535" s="704"/>
      <c r="C535" s="704"/>
      <c r="D535" s="704"/>
      <c r="E535" s="704"/>
      <c r="F535" s="704"/>
      <c r="G535" s="704"/>
      <c r="H535" s="704"/>
      <c r="I535" s="704"/>
      <c r="J535" s="704"/>
      <c r="K535" s="704"/>
      <c r="L535" s="704"/>
      <c r="M535" s="704"/>
      <c r="N535" s="704"/>
      <c r="O535" s="705"/>
      <c r="P535" s="701" t="s">
        <v>40</v>
      </c>
      <c r="Q535" s="702"/>
      <c r="R535" s="702"/>
      <c r="S535" s="702"/>
      <c r="T535" s="702"/>
      <c r="U535" s="702"/>
      <c r="V535" s="703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96" t="s">
        <v>172</v>
      </c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696"/>
      <c r="P536" s="696"/>
      <c r="Q536" s="696"/>
      <c r="R536" s="696"/>
      <c r="S536" s="696"/>
      <c r="T536" s="696"/>
      <c r="U536" s="696"/>
      <c r="V536" s="696"/>
      <c r="W536" s="696"/>
      <c r="X536" s="696"/>
      <c r="Y536" s="696"/>
      <c r="Z536" s="696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97">
        <v>4680115889804</v>
      </c>
      <c r="E537" s="697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97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99"/>
      <c r="R537" s="699"/>
      <c r="S537" s="699"/>
      <c r="T537" s="70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97">
        <v>4680115889828</v>
      </c>
      <c r="E538" s="697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97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99"/>
      <c r="R538" s="699"/>
      <c r="S538" s="699"/>
      <c r="T538" s="70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04"/>
      <c r="B539" s="704"/>
      <c r="C539" s="704"/>
      <c r="D539" s="704"/>
      <c r="E539" s="704"/>
      <c r="F539" s="704"/>
      <c r="G539" s="704"/>
      <c r="H539" s="704"/>
      <c r="I539" s="704"/>
      <c r="J539" s="704"/>
      <c r="K539" s="704"/>
      <c r="L539" s="704"/>
      <c r="M539" s="704"/>
      <c r="N539" s="704"/>
      <c r="O539" s="705"/>
      <c r="P539" s="701" t="s">
        <v>40</v>
      </c>
      <c r="Q539" s="702"/>
      <c r="R539" s="702"/>
      <c r="S539" s="702"/>
      <c r="T539" s="702"/>
      <c r="U539" s="702"/>
      <c r="V539" s="703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704"/>
      <c r="B540" s="704"/>
      <c r="C540" s="704"/>
      <c r="D540" s="704"/>
      <c r="E540" s="704"/>
      <c r="F540" s="704"/>
      <c r="G540" s="704"/>
      <c r="H540" s="704"/>
      <c r="I540" s="704"/>
      <c r="J540" s="704"/>
      <c r="K540" s="704"/>
      <c r="L540" s="704"/>
      <c r="M540" s="704"/>
      <c r="N540" s="704"/>
      <c r="O540" s="705"/>
      <c r="P540" s="701" t="s">
        <v>40</v>
      </c>
      <c r="Q540" s="702"/>
      <c r="R540" s="702"/>
      <c r="S540" s="702"/>
      <c r="T540" s="702"/>
      <c r="U540" s="702"/>
      <c r="V540" s="703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95" t="s">
        <v>845</v>
      </c>
      <c r="B541" s="695"/>
      <c r="C541" s="695"/>
      <c r="D541" s="695"/>
      <c r="E541" s="695"/>
      <c r="F541" s="695"/>
      <c r="G541" s="695"/>
      <c r="H541" s="695"/>
      <c r="I541" s="695"/>
      <c r="J541" s="695"/>
      <c r="K541" s="695"/>
      <c r="L541" s="695"/>
      <c r="M541" s="695"/>
      <c r="N541" s="695"/>
      <c r="O541" s="695"/>
      <c r="P541" s="695"/>
      <c r="Q541" s="695"/>
      <c r="R541" s="695"/>
      <c r="S541" s="695"/>
      <c r="T541" s="695"/>
      <c r="U541" s="695"/>
      <c r="V541" s="695"/>
      <c r="W541" s="695"/>
      <c r="X541" s="695"/>
      <c r="Y541" s="695"/>
      <c r="Z541" s="695"/>
      <c r="AA541" s="65"/>
      <c r="AB541" s="65"/>
      <c r="AC541" s="79"/>
    </row>
    <row r="542" spans="1:68" ht="14.25" hidden="1" customHeight="1" x14ac:dyDescent="0.25">
      <c r="A542" s="696" t="s">
        <v>154</v>
      </c>
      <c r="B542" s="696"/>
      <c r="C542" s="696"/>
      <c r="D542" s="696"/>
      <c r="E542" s="696"/>
      <c r="F542" s="696"/>
      <c r="G542" s="696"/>
      <c r="H542" s="696"/>
      <c r="I542" s="696"/>
      <c r="J542" s="696"/>
      <c r="K542" s="696"/>
      <c r="L542" s="696"/>
      <c r="M542" s="696"/>
      <c r="N542" s="696"/>
      <c r="O542" s="696"/>
      <c r="P542" s="696"/>
      <c r="Q542" s="696"/>
      <c r="R542" s="696"/>
      <c r="S542" s="696"/>
      <c r="T542" s="696"/>
      <c r="U542" s="696"/>
      <c r="V542" s="696"/>
      <c r="W542" s="696"/>
      <c r="X542" s="696"/>
      <c r="Y542" s="696"/>
      <c r="Z542" s="696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97">
        <v>4680115889798</v>
      </c>
      <c r="E543" s="697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97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99"/>
      <c r="R543" s="699"/>
      <c r="S543" s="699"/>
      <c r="T543" s="700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04"/>
      <c r="B544" s="704"/>
      <c r="C544" s="704"/>
      <c r="D544" s="704"/>
      <c r="E544" s="704"/>
      <c r="F544" s="704"/>
      <c r="G544" s="704"/>
      <c r="H544" s="704"/>
      <c r="I544" s="704"/>
      <c r="J544" s="704"/>
      <c r="K544" s="704"/>
      <c r="L544" s="704"/>
      <c r="M544" s="704"/>
      <c r="N544" s="704"/>
      <c r="O544" s="705"/>
      <c r="P544" s="701" t="s">
        <v>40</v>
      </c>
      <c r="Q544" s="702"/>
      <c r="R544" s="702"/>
      <c r="S544" s="702"/>
      <c r="T544" s="702"/>
      <c r="U544" s="702"/>
      <c r="V544" s="703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704"/>
      <c r="B545" s="704"/>
      <c r="C545" s="704"/>
      <c r="D545" s="704"/>
      <c r="E545" s="704"/>
      <c r="F545" s="704"/>
      <c r="G545" s="704"/>
      <c r="H545" s="704"/>
      <c r="I545" s="704"/>
      <c r="J545" s="704"/>
      <c r="K545" s="704"/>
      <c r="L545" s="704"/>
      <c r="M545" s="704"/>
      <c r="N545" s="704"/>
      <c r="O545" s="705"/>
      <c r="P545" s="701" t="s">
        <v>40</v>
      </c>
      <c r="Q545" s="702"/>
      <c r="R545" s="702"/>
      <c r="S545" s="702"/>
      <c r="T545" s="702"/>
      <c r="U545" s="702"/>
      <c r="V545" s="703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704"/>
      <c r="B546" s="704"/>
      <c r="C546" s="704"/>
      <c r="D546" s="704"/>
      <c r="E546" s="704"/>
      <c r="F546" s="704"/>
      <c r="G546" s="704"/>
      <c r="H546" s="704"/>
      <c r="I546" s="704"/>
      <c r="J546" s="704"/>
      <c r="K546" s="704"/>
      <c r="L546" s="704"/>
      <c r="M546" s="704"/>
      <c r="N546" s="704"/>
      <c r="O546" s="978"/>
      <c r="P546" s="975" t="s">
        <v>33</v>
      </c>
      <c r="Q546" s="976"/>
      <c r="R546" s="976"/>
      <c r="S546" s="976"/>
      <c r="T546" s="976"/>
      <c r="U546" s="976"/>
      <c r="V546" s="97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17179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17408.010000000002</v>
      </c>
      <c r="Z546" s="42"/>
      <c r="AA546" s="67"/>
      <c r="AB546" s="67"/>
      <c r="AC546" s="67"/>
    </row>
    <row r="547" spans="1:32" x14ac:dyDescent="0.2">
      <c r="A547" s="704"/>
      <c r="B547" s="704"/>
      <c r="C547" s="704"/>
      <c r="D547" s="704"/>
      <c r="E547" s="704"/>
      <c r="F547" s="704"/>
      <c r="G547" s="704"/>
      <c r="H547" s="704"/>
      <c r="I547" s="704"/>
      <c r="J547" s="704"/>
      <c r="K547" s="704"/>
      <c r="L547" s="704"/>
      <c r="M547" s="704"/>
      <c r="N547" s="704"/>
      <c r="O547" s="978"/>
      <c r="P547" s="975" t="s">
        <v>34</v>
      </c>
      <c r="Q547" s="976"/>
      <c r="R547" s="976"/>
      <c r="S547" s="976"/>
      <c r="T547" s="976"/>
      <c r="U547" s="976"/>
      <c r="V547" s="977"/>
      <c r="W547" s="42" t="s">
        <v>0</v>
      </c>
      <c r="X547" s="43">
        <f>IFERROR(SUM(BM22:BM543),"0")</f>
        <v>18704.304495375847</v>
      </c>
      <c r="Y547" s="43">
        <f>IFERROR(SUM(BN22:BN543),"0")</f>
        <v>18950.771999999994</v>
      </c>
      <c r="Z547" s="42"/>
      <c r="AA547" s="67"/>
      <c r="AB547" s="67"/>
      <c r="AC547" s="67"/>
    </row>
    <row r="548" spans="1:32" x14ac:dyDescent="0.2">
      <c r="A548" s="704"/>
      <c r="B548" s="704"/>
      <c r="C548" s="704"/>
      <c r="D548" s="704"/>
      <c r="E548" s="704"/>
      <c r="F548" s="704"/>
      <c r="G548" s="704"/>
      <c r="H548" s="704"/>
      <c r="I548" s="704"/>
      <c r="J548" s="704"/>
      <c r="K548" s="704"/>
      <c r="L548" s="704"/>
      <c r="M548" s="704"/>
      <c r="N548" s="704"/>
      <c r="O548" s="978"/>
      <c r="P548" s="975" t="s">
        <v>35</v>
      </c>
      <c r="Q548" s="976"/>
      <c r="R548" s="976"/>
      <c r="S548" s="976"/>
      <c r="T548" s="976"/>
      <c r="U548" s="976"/>
      <c r="V548" s="977"/>
      <c r="W548" s="42" t="s">
        <v>20</v>
      </c>
      <c r="X548" s="44">
        <f>ROUNDUP(SUM(BO22:BO543),0)</f>
        <v>35</v>
      </c>
      <c r="Y548" s="44">
        <f>ROUNDUP(SUM(BP22:BP543),0)</f>
        <v>35</v>
      </c>
      <c r="Z548" s="42"/>
      <c r="AA548" s="67"/>
      <c r="AB548" s="67"/>
      <c r="AC548" s="67"/>
    </row>
    <row r="549" spans="1:32" x14ac:dyDescent="0.2">
      <c r="A549" s="704"/>
      <c r="B549" s="704"/>
      <c r="C549" s="704"/>
      <c r="D549" s="704"/>
      <c r="E549" s="704"/>
      <c r="F549" s="704"/>
      <c r="G549" s="704"/>
      <c r="H549" s="704"/>
      <c r="I549" s="704"/>
      <c r="J549" s="704"/>
      <c r="K549" s="704"/>
      <c r="L549" s="704"/>
      <c r="M549" s="704"/>
      <c r="N549" s="704"/>
      <c r="O549" s="978"/>
      <c r="P549" s="975" t="s">
        <v>36</v>
      </c>
      <c r="Q549" s="976"/>
      <c r="R549" s="976"/>
      <c r="S549" s="976"/>
      <c r="T549" s="976"/>
      <c r="U549" s="976"/>
      <c r="V549" s="977"/>
      <c r="W549" s="42" t="s">
        <v>0</v>
      </c>
      <c r="X549" s="43">
        <f>GrossWeightTotal+PalletQtyTotal*25</f>
        <v>19579.304495375847</v>
      </c>
      <c r="Y549" s="43">
        <f>GrossWeightTotalR+PalletQtyTotalR*25</f>
        <v>19825.771999999994</v>
      </c>
      <c r="Z549" s="42"/>
      <c r="AA549" s="67"/>
      <c r="AB549" s="67"/>
      <c r="AC549" s="67"/>
    </row>
    <row r="550" spans="1:32" x14ac:dyDescent="0.2">
      <c r="A550" s="704"/>
      <c r="B550" s="704"/>
      <c r="C550" s="704"/>
      <c r="D550" s="704"/>
      <c r="E550" s="704"/>
      <c r="F550" s="704"/>
      <c r="G550" s="704"/>
      <c r="H550" s="704"/>
      <c r="I550" s="704"/>
      <c r="J550" s="704"/>
      <c r="K550" s="704"/>
      <c r="L550" s="704"/>
      <c r="M550" s="704"/>
      <c r="N550" s="704"/>
      <c r="O550" s="978"/>
      <c r="P550" s="975" t="s">
        <v>37</v>
      </c>
      <c r="Q550" s="976"/>
      <c r="R550" s="976"/>
      <c r="S550" s="976"/>
      <c r="T550" s="976"/>
      <c r="U550" s="976"/>
      <c r="V550" s="97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4815.6152867991959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4856</v>
      </c>
      <c r="Z550" s="42"/>
      <c r="AA550" s="67"/>
      <c r="AB550" s="67"/>
      <c r="AC550" s="67"/>
    </row>
    <row r="551" spans="1:32" ht="14.25" hidden="1" x14ac:dyDescent="0.2">
      <c r="A551" s="704"/>
      <c r="B551" s="704"/>
      <c r="C551" s="704"/>
      <c r="D551" s="704"/>
      <c r="E551" s="704"/>
      <c r="F551" s="704"/>
      <c r="G551" s="704"/>
      <c r="H551" s="704"/>
      <c r="I551" s="704"/>
      <c r="J551" s="704"/>
      <c r="K551" s="704"/>
      <c r="L551" s="704"/>
      <c r="M551" s="704"/>
      <c r="N551" s="704"/>
      <c r="O551" s="978"/>
      <c r="P551" s="975" t="s">
        <v>38</v>
      </c>
      <c r="Q551" s="976"/>
      <c r="R551" s="976"/>
      <c r="S551" s="976"/>
      <c r="T551" s="976"/>
      <c r="U551" s="976"/>
      <c r="V551" s="97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41.569180000000003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979" t="s">
        <v>117</v>
      </c>
      <c r="E553" s="979" t="s">
        <v>117</v>
      </c>
      <c r="F553" s="979" t="s">
        <v>117</v>
      </c>
      <c r="G553" s="979" t="s">
        <v>117</v>
      </c>
      <c r="H553" s="979" t="s">
        <v>117</v>
      </c>
      <c r="I553" s="979" t="s">
        <v>117</v>
      </c>
      <c r="J553" s="979" t="s">
        <v>117</v>
      </c>
      <c r="K553" s="979" t="s">
        <v>338</v>
      </c>
      <c r="L553" s="979" t="s">
        <v>338</v>
      </c>
      <c r="M553" s="979" t="s">
        <v>338</v>
      </c>
      <c r="N553" s="980"/>
      <c r="O553" s="979" t="s">
        <v>338</v>
      </c>
      <c r="P553" s="979" t="s">
        <v>338</v>
      </c>
      <c r="Q553" s="979" t="s">
        <v>338</v>
      </c>
      <c r="R553" s="979" t="s">
        <v>338</v>
      </c>
      <c r="S553" s="979" t="s">
        <v>338</v>
      </c>
      <c r="T553" s="979" t="s">
        <v>338</v>
      </c>
      <c r="U553" s="979" t="s">
        <v>338</v>
      </c>
      <c r="V553" s="979" t="s">
        <v>338</v>
      </c>
      <c r="W553" s="979" t="s">
        <v>684</v>
      </c>
      <c r="X553" s="979" t="s">
        <v>684</v>
      </c>
      <c r="Y553" s="979" t="s">
        <v>750</v>
      </c>
      <c r="Z553" s="979" t="s">
        <v>750</v>
      </c>
      <c r="AA553" s="85" t="s">
        <v>783</v>
      </c>
      <c r="AB553" s="979" t="s">
        <v>827</v>
      </c>
      <c r="AC553" s="979" t="s">
        <v>827</v>
      </c>
      <c r="AF553" s="1"/>
    </row>
    <row r="554" spans="1:32" ht="14.25" customHeight="1" thickTop="1" x14ac:dyDescent="0.2">
      <c r="A554" s="981" t="s">
        <v>10</v>
      </c>
      <c r="B554" s="979" t="s">
        <v>76</v>
      </c>
      <c r="C554" s="979" t="s">
        <v>101</v>
      </c>
      <c r="D554" s="979" t="s">
        <v>118</v>
      </c>
      <c r="E554" s="979" t="s">
        <v>134</v>
      </c>
      <c r="F554" s="979" t="s">
        <v>180</v>
      </c>
      <c r="G554" s="979" t="s">
        <v>204</v>
      </c>
      <c r="H554" s="979" t="s">
        <v>248</v>
      </c>
      <c r="I554" s="979" t="s">
        <v>261</v>
      </c>
      <c r="J554" s="979" t="s">
        <v>117</v>
      </c>
      <c r="K554" s="979" t="s">
        <v>339</v>
      </c>
      <c r="L554" s="979" t="s">
        <v>360</v>
      </c>
      <c r="M554" s="979" t="s">
        <v>423</v>
      </c>
      <c r="N554" s="1"/>
      <c r="O554" s="979" t="s">
        <v>491</v>
      </c>
      <c r="P554" s="979" t="s">
        <v>522</v>
      </c>
      <c r="Q554" s="979" t="s">
        <v>541</v>
      </c>
      <c r="R554" s="979" t="s">
        <v>550</v>
      </c>
      <c r="S554" s="979" t="s">
        <v>572</v>
      </c>
      <c r="T554" s="979" t="s">
        <v>581</v>
      </c>
      <c r="U554" s="979" t="s">
        <v>667</v>
      </c>
      <c r="V554" s="979" t="s">
        <v>674</v>
      </c>
      <c r="W554" s="979" t="s">
        <v>685</v>
      </c>
      <c r="X554" s="979" t="s">
        <v>734</v>
      </c>
      <c r="Y554" s="979" t="s">
        <v>751</v>
      </c>
      <c r="Z554" s="979" t="s">
        <v>771</v>
      </c>
      <c r="AA554" s="979" t="s">
        <v>783</v>
      </c>
      <c r="AB554" s="979" t="s">
        <v>827</v>
      </c>
      <c r="AC554" s="979" t="s">
        <v>845</v>
      </c>
      <c r="AF554" s="1"/>
    </row>
    <row r="555" spans="1:32" ht="13.5" thickBot="1" x14ac:dyDescent="0.25">
      <c r="A555" s="982"/>
      <c r="B555" s="979"/>
      <c r="C555" s="979"/>
      <c r="D555" s="979"/>
      <c r="E555" s="979"/>
      <c r="F555" s="979"/>
      <c r="G555" s="979"/>
      <c r="H555" s="979"/>
      <c r="I555" s="979"/>
      <c r="J555" s="979"/>
      <c r="K555" s="979"/>
      <c r="L555" s="979"/>
      <c r="M555" s="979"/>
      <c r="N555" s="1"/>
      <c r="O555" s="979"/>
      <c r="P555" s="979"/>
      <c r="Q555" s="979"/>
      <c r="R555" s="979"/>
      <c r="S555" s="979"/>
      <c r="T555" s="979"/>
      <c r="U555" s="979"/>
      <c r="V555" s="979"/>
      <c r="W555" s="979"/>
      <c r="X555" s="979"/>
      <c r="Y555" s="979"/>
      <c r="Z555" s="979"/>
      <c r="AA555" s="979"/>
      <c r="AB555" s="979"/>
      <c r="AC555" s="979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12.6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285.20000000000005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542.69999999999993</v>
      </c>
      <c r="F556" s="52">
        <f>IFERROR(Y84*1,"0")+IFERROR(Y85*1,"0")+IFERROR(Y86*1,"0")+IFERROR(Y87*1,"0")+IFERROR(Y88*1,"0")+IFERROR(Y89*1,"0")+IFERROR(Y93*1,"0")+IFERROR(Y94*1,"0")+IFERROR(Y95*1,"0")+IFERROR(Y96*1,"0")</f>
        <v>852.3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1188.9000000000001</v>
      </c>
      <c r="H556" s="52">
        <f>IFERROR(Y131*1,"0")+IFERROR(Y132*1,"0")+IFERROR(Y136*1,"0")+IFERROR(Y137*1,"0")+IFERROR(Y141*1,"0")+IFERROR(Y142*1,"0")</f>
        <v>204.72000000000003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1921.04</v>
      </c>
      <c r="K556" s="52">
        <f>IFERROR(Y199*1,"0")+IFERROR(Y200*1,"0")+IFERROR(Y201*1,"0")+IFERROR(Y202*1,"0")+IFERROR(Y203*1,"0")+IFERROR(Y204*1,"0")+IFERROR(Y205*1,"0")</f>
        <v>108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611.04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2387.6999999999994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17.82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321.60000000000002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756.6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2043.65</v>
      </c>
      <c r="U556" s="52">
        <f>IFERROR(Y406*1,"0")+IFERROR(Y407*1,"0")</f>
        <v>54.6</v>
      </c>
      <c r="V556" s="52">
        <f>IFERROR(Y412*1,"0")+IFERROR(Y413*1,"0")+IFERROR(Y414*1,"0")</f>
        <v>2102.1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1528.1999999999998</v>
      </c>
      <c r="X556" s="52">
        <f>IFERROR(Y449*1,"0")+IFERROR(Y450*1,"0")+IFERROR(Y454*1,"0")+IFERROR(Y458*1,"0")+IFERROR(Y459*1,"0")+IFERROR(Y460*1,"0")</f>
        <v>27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2358.2400000000002</v>
      </c>
      <c r="AB556" s="52">
        <f>IFERROR(Y521*1,"0")+IFERROR(Y525*1,"0")+IFERROR(Y529*1,"0")+IFERROR(Y533*1,"0")+IFERROR(Y537*1,"0")+IFERROR(Y538*1,"0")</f>
        <v>84</v>
      </c>
      <c r="AC556" s="52">
        <f>IFERROR(Y543*1,"0")</f>
        <v>0</v>
      </c>
      <c r="AF556" s="1"/>
    </row>
  </sheetData>
  <sheetProtection algorithmName="SHA-512" hashValue="XwtGQvBDgkamz2fK5g+Q4jYMWN6YYT5w1Fyd+QbGvp6bDOUSWyy16PB7a1fdYGRCTOTjU9aVeKus9dSvQ/83mg==" saltValue="BqpICxC4lHYJcL/ZsQWtyQ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470,00"/>
        <filter val="1 750,00"/>
        <filter val="1 901,00"/>
        <filter val="100,00"/>
        <filter val="102,00"/>
        <filter val="108,02"/>
        <filter val="110,00"/>
        <filter val="112,00"/>
        <filter val="119,05"/>
        <filter val="12,00"/>
        <filter val="120,00"/>
        <filter val="125,95"/>
        <filter val="130,00"/>
        <filter val="133,33"/>
        <filter val="140,00"/>
        <filter val="142,77"/>
        <filter val="145,00"/>
        <filter val="150,00"/>
        <filter val="16,00"/>
        <filter val="16,67"/>
        <filter val="17 179,00"/>
        <filter val="17,95"/>
        <filter val="175,00"/>
        <filter val="18 704,30"/>
        <filter val="18,52"/>
        <filter val="18,75"/>
        <filter val="180,00"/>
        <filter val="187,31"/>
        <filter val="19 579,30"/>
        <filter val="2 100,00"/>
        <filter val="2,22"/>
        <filter val="2,67"/>
        <filter val="20,00"/>
        <filter val="200,00"/>
        <filter val="206,17"/>
        <filter val="206,67"/>
        <filter val="225,00"/>
        <filter val="226,19"/>
        <filter val="230,00"/>
        <filter val="240,00"/>
        <filter val="25,00"/>
        <filter val="25,93"/>
        <filter val="250,00"/>
        <filter val="260,00"/>
        <filter val="27,65"/>
        <filter val="270,37"/>
        <filter val="280,00"/>
        <filter val="285,00"/>
        <filter val="30,00"/>
        <filter val="300,00"/>
        <filter val="315,00"/>
        <filter val="320,00"/>
        <filter val="33,33"/>
        <filter val="330,00"/>
        <filter val="35"/>
        <filter val="350,00"/>
        <filter val="360,00"/>
        <filter val="38,52"/>
        <filter val="4 815,62"/>
        <filter val="40,00"/>
        <filter val="403,38"/>
        <filter val="41,67"/>
        <filter val="410,00"/>
        <filter val="415,00"/>
        <filter val="425,00"/>
        <filter val="43,33"/>
        <filter val="45,00"/>
        <filter val="450,00"/>
        <filter val="47,62"/>
        <filter val="5,13"/>
        <filter val="50,00"/>
        <filter val="500,00"/>
        <filter val="527,00"/>
        <filter val="530,00"/>
        <filter val="58,33"/>
        <filter val="6,41"/>
        <filter val="6,67"/>
        <filter val="60,00"/>
        <filter val="60,37"/>
        <filter val="600,00"/>
        <filter val="650,00"/>
        <filter val="671,90"/>
        <filter val="70,00"/>
        <filter val="72,00"/>
        <filter val="728,00"/>
        <filter val="73,00"/>
        <filter val="73,72"/>
        <filter val="740,00"/>
        <filter val="750,00"/>
        <filter val="770,00"/>
        <filter val="78,00"/>
        <filter val="79,26"/>
        <filter val="8,00"/>
        <filter val="8,08"/>
        <filter val="80,00"/>
        <filter val="84,63"/>
        <filter val="9,00"/>
        <filter val="9,26"/>
        <filter val="90,00"/>
        <filter val="950,00"/>
        <filter val="96,15"/>
      </filters>
    </filterColumn>
    <filterColumn colId="29" showButton="0"/>
    <filterColumn colId="30" showButton="0"/>
  </autoFilter>
  <dataConsolidate/>
  <mergeCells count="977"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9" spans="2:8" x14ac:dyDescent="0.2">
      <c r="B9" s="53" t="s">
        <v>858</v>
      </c>
      <c r="C9" s="53" t="s">
        <v>853</v>
      </c>
      <c r="D9" s="53" t="s">
        <v>46</v>
      </c>
      <c r="E9" s="53" t="s">
        <v>46</v>
      </c>
    </row>
    <row r="11" spans="2:8" x14ac:dyDescent="0.2">
      <c r="B11" s="53" t="s">
        <v>858</v>
      </c>
      <c r="C11" s="53" t="s">
        <v>856</v>
      </c>
      <c r="D11" s="53" t="s">
        <v>46</v>
      </c>
      <c r="E11" s="53" t="s">
        <v>46</v>
      </c>
    </row>
    <row r="13" spans="2:8" x14ac:dyDescent="0.2">
      <c r="B13" s="53" t="s">
        <v>859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868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869</v>
      </c>
      <c r="C23" s="53" t="s">
        <v>46</v>
      </c>
      <c r="D23" s="53" t="s">
        <v>46</v>
      </c>
      <c r="E23" s="53" t="s">
        <v>46</v>
      </c>
    </row>
  </sheetData>
  <sheetProtection algorithmName="SHA-512" hashValue="+bCzvZF5rUMDw89kfkYhpZDkO246RsrlIAa2e4fVL+hDKpqNsot5AF71b/GJY8lXPTxv2IU9T3XVtAl4h+x1cw==" saltValue="Frq4ZsUUiySd8pwD/4Mf2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2026-10-07T12:20:01Z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