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A7C6F7E-C8FE-4FE1-B6EB-AD6F9D970E0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2" l="1"/>
  <c r="X560" i="2"/>
  <c r="BO559" i="2"/>
  <c r="BM559" i="2"/>
  <c r="Y559" i="2"/>
  <c r="AD572" i="2" s="1"/>
  <c r="P559" i="2"/>
  <c r="X556" i="2"/>
  <c r="X555" i="2"/>
  <c r="BO554" i="2"/>
  <c r="BM554" i="2"/>
  <c r="Y554" i="2"/>
  <c r="P554" i="2"/>
  <c r="BO553" i="2"/>
  <c r="BM553" i="2"/>
  <c r="Y553" i="2"/>
  <c r="Y555" i="2" s="1"/>
  <c r="P553" i="2"/>
  <c r="X551" i="2"/>
  <c r="X550" i="2"/>
  <c r="BO549" i="2"/>
  <c r="BM549" i="2"/>
  <c r="Y549" i="2"/>
  <c r="Y550" i="2" s="1"/>
  <c r="P549" i="2"/>
  <c r="X547" i="2"/>
  <c r="X546" i="2"/>
  <c r="BO545" i="2"/>
  <c r="BM545" i="2"/>
  <c r="Y545" i="2"/>
  <c r="Z545" i="2" s="1"/>
  <c r="Z546" i="2" s="1"/>
  <c r="P545" i="2"/>
  <c r="X543" i="2"/>
  <c r="X542" i="2"/>
  <c r="BO541" i="2"/>
  <c r="BM541" i="2"/>
  <c r="Y541" i="2"/>
  <c r="Y543" i="2" s="1"/>
  <c r="P541" i="2"/>
  <c r="X539" i="2"/>
  <c r="X538" i="2"/>
  <c r="BO537" i="2"/>
  <c r="BM537" i="2"/>
  <c r="Y537" i="2"/>
  <c r="P537" i="2"/>
  <c r="X533" i="2"/>
  <c r="X532" i="2"/>
  <c r="BO531" i="2"/>
  <c r="BM531" i="2"/>
  <c r="Y531" i="2"/>
  <c r="Z531" i="2" s="1"/>
  <c r="P531" i="2"/>
  <c r="BO530" i="2"/>
  <c r="BM530" i="2"/>
  <c r="Y530" i="2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P526" i="2"/>
  <c r="BO525" i="2"/>
  <c r="BM525" i="2"/>
  <c r="Y525" i="2"/>
  <c r="P525" i="2"/>
  <c r="X523" i="2"/>
  <c r="X522" i="2"/>
  <c r="BO521" i="2"/>
  <c r="BM521" i="2"/>
  <c r="Y521" i="2"/>
  <c r="Z521" i="2" s="1"/>
  <c r="P521" i="2"/>
  <c r="BO520" i="2"/>
  <c r="BM520" i="2"/>
  <c r="Y520" i="2"/>
  <c r="P520" i="2"/>
  <c r="BO519" i="2"/>
  <c r="BM519" i="2"/>
  <c r="Y519" i="2"/>
  <c r="Y523" i="2" s="1"/>
  <c r="P519" i="2"/>
  <c r="X517" i="2"/>
  <c r="X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P508" i="2"/>
  <c r="X504" i="2"/>
  <c r="X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Y504" i="2" s="1"/>
  <c r="P500" i="2"/>
  <c r="X498" i="2"/>
  <c r="X497" i="2"/>
  <c r="BO496" i="2"/>
  <c r="BM496" i="2"/>
  <c r="Y496" i="2"/>
  <c r="BP496" i="2" s="1"/>
  <c r="P496" i="2"/>
  <c r="X493" i="2"/>
  <c r="X492" i="2"/>
  <c r="BO491" i="2"/>
  <c r="BM491" i="2"/>
  <c r="Y491" i="2"/>
  <c r="Y492" i="2" s="1"/>
  <c r="P491" i="2"/>
  <c r="X489" i="2"/>
  <c r="X488" i="2"/>
  <c r="BO487" i="2"/>
  <c r="BM487" i="2"/>
  <c r="Y487" i="2"/>
  <c r="BP487" i="2" s="1"/>
  <c r="P487" i="2"/>
  <c r="BO486" i="2"/>
  <c r="BM486" i="2"/>
  <c r="Y486" i="2"/>
  <c r="Z486" i="2" s="1"/>
  <c r="P486" i="2"/>
  <c r="BO485" i="2"/>
  <c r="BM485" i="2"/>
  <c r="Y485" i="2"/>
  <c r="BP485" i="2" s="1"/>
  <c r="P485" i="2"/>
  <c r="BO484" i="2"/>
  <c r="BM484" i="2"/>
  <c r="Y484" i="2"/>
  <c r="BP484" i="2" s="1"/>
  <c r="P484" i="2"/>
  <c r="BO483" i="2"/>
  <c r="BM483" i="2"/>
  <c r="Y483" i="2"/>
  <c r="Z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Z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Z466" i="2" s="1"/>
  <c r="P466" i="2"/>
  <c r="BO465" i="2"/>
  <c r="BM465" i="2"/>
  <c r="Y465" i="2"/>
  <c r="Z465" i="2" s="1"/>
  <c r="P465" i="2"/>
  <c r="X462" i="2"/>
  <c r="X461" i="2"/>
  <c r="BO460" i="2"/>
  <c r="BM460" i="2"/>
  <c r="Y460" i="2"/>
  <c r="BN460" i="2" s="1"/>
  <c r="P460" i="2"/>
  <c r="BO459" i="2"/>
  <c r="BM459" i="2"/>
  <c r="Y459" i="2"/>
  <c r="P459" i="2"/>
  <c r="X457" i="2"/>
  <c r="X456" i="2"/>
  <c r="BO455" i="2"/>
  <c r="BM455" i="2"/>
  <c r="Y455" i="2"/>
  <c r="P455" i="2"/>
  <c r="BO454" i="2"/>
  <c r="BM454" i="2"/>
  <c r="Y454" i="2"/>
  <c r="BP454" i="2" s="1"/>
  <c r="P454" i="2"/>
  <c r="BO453" i="2"/>
  <c r="BM453" i="2"/>
  <c r="Y453" i="2"/>
  <c r="Y457" i="2" s="1"/>
  <c r="P453" i="2"/>
  <c r="X451" i="2"/>
  <c r="X450" i="2"/>
  <c r="BO449" i="2"/>
  <c r="BM449" i="2"/>
  <c r="Y449" i="2"/>
  <c r="P449" i="2"/>
  <c r="BO448" i="2"/>
  <c r="BM448" i="2"/>
  <c r="Y448" i="2"/>
  <c r="BN448" i="2" s="1"/>
  <c r="P448" i="2"/>
  <c r="BO447" i="2"/>
  <c r="BM447" i="2"/>
  <c r="Y447" i="2"/>
  <c r="BP447" i="2" s="1"/>
  <c r="P447" i="2"/>
  <c r="X445" i="2"/>
  <c r="X444" i="2"/>
  <c r="BO443" i="2"/>
  <c r="BM443" i="2"/>
  <c r="Y443" i="2"/>
  <c r="Z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P440" i="2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P436" i="2"/>
  <c r="X432" i="2"/>
  <c r="X431" i="2"/>
  <c r="BO430" i="2"/>
  <c r="BM430" i="2"/>
  <c r="Y430" i="2"/>
  <c r="P430" i="2"/>
  <c r="BO429" i="2"/>
  <c r="BM429" i="2"/>
  <c r="Y429" i="2"/>
  <c r="P429" i="2"/>
  <c r="BO428" i="2"/>
  <c r="BM428" i="2"/>
  <c r="Y428" i="2"/>
  <c r="P428" i="2"/>
  <c r="X425" i="2"/>
  <c r="X424" i="2"/>
  <c r="BO423" i="2"/>
  <c r="BM423" i="2"/>
  <c r="Y423" i="2"/>
  <c r="BP423" i="2" s="1"/>
  <c r="BO422" i="2"/>
  <c r="BM422" i="2"/>
  <c r="Y422" i="2"/>
  <c r="P422" i="2"/>
  <c r="BO421" i="2"/>
  <c r="BM421" i="2"/>
  <c r="Y421" i="2"/>
  <c r="Z421" i="2" s="1"/>
  <c r="P421" i="2"/>
  <c r="BO420" i="2"/>
  <c r="BM420" i="2"/>
  <c r="Y420" i="2"/>
  <c r="P420" i="2"/>
  <c r="X417" i="2"/>
  <c r="X416" i="2"/>
  <c r="BO415" i="2"/>
  <c r="BM415" i="2"/>
  <c r="Y415" i="2"/>
  <c r="BP415" i="2" s="1"/>
  <c r="P415" i="2"/>
  <c r="BO414" i="2"/>
  <c r="BM414" i="2"/>
  <c r="Y414" i="2"/>
  <c r="P414" i="2"/>
  <c r="BO413" i="2"/>
  <c r="BM413" i="2"/>
  <c r="Y413" i="2"/>
  <c r="BP413" i="2" s="1"/>
  <c r="P413" i="2"/>
  <c r="X411" i="2"/>
  <c r="X410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BP403" i="2" s="1"/>
  <c r="P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Z400" i="2" s="1"/>
  <c r="P400" i="2"/>
  <c r="X398" i="2"/>
  <c r="X397" i="2"/>
  <c r="BO396" i="2"/>
  <c r="BM396" i="2"/>
  <c r="Y396" i="2"/>
  <c r="BN396" i="2" s="1"/>
  <c r="P396" i="2"/>
  <c r="BO395" i="2"/>
  <c r="BM395" i="2"/>
  <c r="Y395" i="2"/>
  <c r="P395" i="2"/>
  <c r="BO394" i="2"/>
  <c r="BM394" i="2"/>
  <c r="Y394" i="2"/>
  <c r="P394" i="2"/>
  <c r="X392" i="2"/>
  <c r="X391" i="2"/>
  <c r="BO390" i="2"/>
  <c r="BM390" i="2"/>
  <c r="Y390" i="2"/>
  <c r="P390" i="2"/>
  <c r="BO389" i="2"/>
  <c r="BM389" i="2"/>
  <c r="Y389" i="2"/>
  <c r="BN389" i="2" s="1"/>
  <c r="P389" i="2"/>
  <c r="BO388" i="2"/>
  <c r="BM388" i="2"/>
  <c r="Y388" i="2"/>
  <c r="Z388" i="2" s="1"/>
  <c r="P388" i="2"/>
  <c r="BO387" i="2"/>
  <c r="BM387" i="2"/>
  <c r="Y387" i="2"/>
  <c r="BN387" i="2" s="1"/>
  <c r="P387" i="2"/>
  <c r="X385" i="2"/>
  <c r="X384" i="2"/>
  <c r="BO383" i="2"/>
  <c r="BM383" i="2"/>
  <c r="Y383" i="2"/>
  <c r="P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BN380" i="2" s="1"/>
  <c r="P380" i="2"/>
  <c r="BO379" i="2"/>
  <c r="BM379" i="2"/>
  <c r="Y379" i="2"/>
  <c r="P379" i="2"/>
  <c r="BO378" i="2"/>
  <c r="BM378" i="2"/>
  <c r="Y378" i="2"/>
  <c r="P378" i="2"/>
  <c r="BO377" i="2"/>
  <c r="BM377" i="2"/>
  <c r="Y377" i="2"/>
  <c r="BN377" i="2" s="1"/>
  <c r="P377" i="2"/>
  <c r="X375" i="2"/>
  <c r="X374" i="2"/>
  <c r="BO373" i="2"/>
  <c r="BM373" i="2"/>
  <c r="Y373" i="2"/>
  <c r="BN373" i="2" s="1"/>
  <c r="P373" i="2"/>
  <c r="BO372" i="2"/>
  <c r="BM372" i="2"/>
  <c r="Y372" i="2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BN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X364" i="2"/>
  <c r="X363" i="2"/>
  <c r="BO362" i="2"/>
  <c r="BM362" i="2"/>
  <c r="Y362" i="2"/>
  <c r="P362" i="2"/>
  <c r="BO361" i="2"/>
  <c r="BM361" i="2"/>
  <c r="Y361" i="2"/>
  <c r="P361" i="2"/>
  <c r="BO360" i="2"/>
  <c r="BM360" i="2"/>
  <c r="Y360" i="2"/>
  <c r="Z360" i="2" s="1"/>
  <c r="P360" i="2"/>
  <c r="X357" i="2"/>
  <c r="X356" i="2"/>
  <c r="BO355" i="2"/>
  <c r="BM355" i="2"/>
  <c r="Y355" i="2"/>
  <c r="Y356" i="2" s="1"/>
  <c r="P355" i="2"/>
  <c r="X353" i="2"/>
  <c r="X352" i="2"/>
  <c r="BO351" i="2"/>
  <c r="BM351" i="2"/>
  <c r="Y351" i="2"/>
  <c r="Z351" i="2" s="1"/>
  <c r="Z352" i="2" s="1"/>
  <c r="P351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BP344" i="2" s="1"/>
  <c r="P344" i="2"/>
  <c r="X342" i="2"/>
  <c r="X341" i="2"/>
  <c r="BO340" i="2"/>
  <c r="BM340" i="2"/>
  <c r="Y340" i="2"/>
  <c r="Z340" i="2" s="1"/>
  <c r="P340" i="2"/>
  <c r="BO339" i="2"/>
  <c r="BM339" i="2"/>
  <c r="Y339" i="2"/>
  <c r="P339" i="2"/>
  <c r="BO338" i="2"/>
  <c r="BM338" i="2"/>
  <c r="Y338" i="2"/>
  <c r="BP338" i="2" s="1"/>
  <c r="P338" i="2"/>
  <c r="BO337" i="2"/>
  <c r="BM337" i="2"/>
  <c r="Y337" i="2"/>
  <c r="BN337" i="2" s="1"/>
  <c r="P337" i="2"/>
  <c r="X334" i="2"/>
  <c r="X333" i="2"/>
  <c r="BO332" i="2"/>
  <c r="BM332" i="2"/>
  <c r="Y332" i="2"/>
  <c r="Z332" i="2" s="1"/>
  <c r="P332" i="2"/>
  <c r="BO331" i="2"/>
  <c r="BM331" i="2"/>
  <c r="Y331" i="2"/>
  <c r="BP331" i="2" s="1"/>
  <c r="P331" i="2"/>
  <c r="BO330" i="2"/>
  <c r="BM330" i="2"/>
  <c r="Y330" i="2"/>
  <c r="P330" i="2"/>
  <c r="X327" i="2"/>
  <c r="X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P321" i="2"/>
  <c r="BO320" i="2"/>
  <c r="BM320" i="2"/>
  <c r="Y320" i="2"/>
  <c r="BN320" i="2" s="1"/>
  <c r="P320" i="2"/>
  <c r="BO319" i="2"/>
  <c r="BM319" i="2"/>
  <c r="Y319" i="2"/>
  <c r="BP319" i="2" s="1"/>
  <c r="P319" i="2"/>
  <c r="BO318" i="2"/>
  <c r="BM318" i="2"/>
  <c r="Y318" i="2"/>
  <c r="BN318" i="2" s="1"/>
  <c r="P318" i="2"/>
  <c r="X315" i="2"/>
  <c r="X314" i="2"/>
  <c r="BO313" i="2"/>
  <c r="BM313" i="2"/>
  <c r="Y313" i="2"/>
  <c r="BP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X308" i="2"/>
  <c r="X307" i="2"/>
  <c r="BO306" i="2"/>
  <c r="BM306" i="2"/>
  <c r="Y306" i="2"/>
  <c r="Y308" i="2" s="1"/>
  <c r="P306" i="2"/>
  <c r="X304" i="2"/>
  <c r="X303" i="2"/>
  <c r="BO302" i="2"/>
  <c r="BM302" i="2"/>
  <c r="Y302" i="2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BP294" i="2" s="1"/>
  <c r="P294" i="2"/>
  <c r="BO293" i="2"/>
  <c r="BM293" i="2"/>
  <c r="Y293" i="2"/>
  <c r="P293" i="2"/>
  <c r="BO292" i="2"/>
  <c r="BM292" i="2"/>
  <c r="Y292" i="2"/>
  <c r="P292" i="2"/>
  <c r="X289" i="2"/>
  <c r="X288" i="2"/>
  <c r="BO287" i="2"/>
  <c r="BM287" i="2"/>
  <c r="Y287" i="2"/>
  <c r="Z287" i="2" s="1"/>
  <c r="P287" i="2"/>
  <c r="BO286" i="2"/>
  <c r="BM286" i="2"/>
  <c r="Y286" i="2"/>
  <c r="P286" i="2"/>
  <c r="X284" i="2"/>
  <c r="X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P271" i="2"/>
  <c r="X269" i="2"/>
  <c r="X268" i="2"/>
  <c r="BO267" i="2"/>
  <c r="BM267" i="2"/>
  <c r="Y267" i="2"/>
  <c r="P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BN263" i="2" s="1"/>
  <c r="P263" i="2"/>
  <c r="BO262" i="2"/>
  <c r="BM262" i="2"/>
  <c r="Y262" i="2"/>
  <c r="BN262" i="2" s="1"/>
  <c r="P262" i="2"/>
  <c r="BO261" i="2"/>
  <c r="BM261" i="2"/>
  <c r="Y261" i="2"/>
  <c r="P261" i="2"/>
  <c r="BO260" i="2"/>
  <c r="BM260" i="2"/>
  <c r="Y260" i="2"/>
  <c r="Z260" i="2" s="1"/>
  <c r="P260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N251" i="2" s="1"/>
  <c r="BO250" i="2"/>
  <c r="BM250" i="2"/>
  <c r="Y250" i="2"/>
  <c r="BP250" i="2" s="1"/>
  <c r="P250" i="2"/>
  <c r="BO249" i="2"/>
  <c r="BM249" i="2"/>
  <c r="Y249" i="2"/>
  <c r="BN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P232" i="2"/>
  <c r="BO231" i="2"/>
  <c r="BM231" i="2"/>
  <c r="Y231" i="2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X212" i="2"/>
  <c r="X211" i="2"/>
  <c r="BO210" i="2"/>
  <c r="BM210" i="2"/>
  <c r="Y210" i="2"/>
  <c r="BN210" i="2" s="1"/>
  <c r="P210" i="2"/>
  <c r="X207" i="2"/>
  <c r="X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P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BP199" i="2" s="1"/>
  <c r="P199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Y191" i="2" s="1"/>
  <c r="P189" i="2"/>
  <c r="X187" i="2"/>
  <c r="X186" i="2"/>
  <c r="BO185" i="2"/>
  <c r="BM185" i="2"/>
  <c r="Y185" i="2"/>
  <c r="P185" i="2"/>
  <c r="BO184" i="2"/>
  <c r="BM184" i="2"/>
  <c r="Y184" i="2"/>
  <c r="Y187" i="2" s="1"/>
  <c r="P184" i="2"/>
  <c r="X182" i="2"/>
  <c r="X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N171" i="2" s="1"/>
  <c r="P171" i="2"/>
  <c r="BO170" i="2"/>
  <c r="BM170" i="2"/>
  <c r="Y170" i="2"/>
  <c r="P170" i="2"/>
  <c r="X168" i="2"/>
  <c r="X167" i="2"/>
  <c r="BO166" i="2"/>
  <c r="BM166" i="2"/>
  <c r="Y166" i="2"/>
  <c r="P166" i="2"/>
  <c r="BO165" i="2"/>
  <c r="BM165" i="2"/>
  <c r="Y165" i="2"/>
  <c r="BN165" i="2" s="1"/>
  <c r="P165" i="2"/>
  <c r="X163" i="2"/>
  <c r="X162" i="2"/>
  <c r="BO161" i="2"/>
  <c r="BM161" i="2"/>
  <c r="Y161" i="2"/>
  <c r="P161" i="2"/>
  <c r="BO160" i="2"/>
  <c r="BM160" i="2"/>
  <c r="Y160" i="2"/>
  <c r="Z160" i="2" s="1"/>
  <c r="P160" i="2"/>
  <c r="BO159" i="2"/>
  <c r="BM159" i="2"/>
  <c r="Y159" i="2"/>
  <c r="P159" i="2"/>
  <c r="BO158" i="2"/>
  <c r="BM158" i="2"/>
  <c r="Y158" i="2"/>
  <c r="BP158" i="2" s="1"/>
  <c r="P158" i="2"/>
  <c r="X155" i="2"/>
  <c r="X154" i="2"/>
  <c r="BO153" i="2"/>
  <c r="BM153" i="2"/>
  <c r="Y153" i="2"/>
  <c r="Z153" i="2" s="1"/>
  <c r="Z154" i="2" s="1"/>
  <c r="P153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P147" i="2"/>
  <c r="BO146" i="2"/>
  <c r="BM146" i="2"/>
  <c r="Y146" i="2"/>
  <c r="P146" i="2"/>
  <c r="X143" i="2"/>
  <c r="X142" i="2"/>
  <c r="BO141" i="2"/>
  <c r="BM141" i="2"/>
  <c r="Y141" i="2"/>
  <c r="Z141" i="2" s="1"/>
  <c r="P141" i="2"/>
  <c r="BO140" i="2"/>
  <c r="BM140" i="2"/>
  <c r="Y140" i="2"/>
  <c r="Y143" i="2" s="1"/>
  <c r="P140" i="2"/>
  <c r="X138" i="2"/>
  <c r="X137" i="2"/>
  <c r="BO136" i="2"/>
  <c r="BM136" i="2"/>
  <c r="Y136" i="2"/>
  <c r="P136" i="2"/>
  <c r="BO135" i="2"/>
  <c r="BM135" i="2"/>
  <c r="Y135" i="2"/>
  <c r="P135" i="2"/>
  <c r="X133" i="2"/>
  <c r="X132" i="2"/>
  <c r="BO131" i="2"/>
  <c r="BM131" i="2"/>
  <c r="Y131" i="2"/>
  <c r="BP131" i="2" s="1"/>
  <c r="P131" i="2"/>
  <c r="BO130" i="2"/>
  <c r="BM130" i="2"/>
  <c r="Y130" i="2"/>
  <c r="Z130" i="2" s="1"/>
  <c r="P130" i="2"/>
  <c r="X127" i="2"/>
  <c r="X126" i="2"/>
  <c r="BO125" i="2"/>
  <c r="BM125" i="2"/>
  <c r="Y125" i="2"/>
  <c r="P125" i="2"/>
  <c r="X123" i="2"/>
  <c r="X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BN119" i="2" s="1"/>
  <c r="P119" i="2"/>
  <c r="BO118" i="2"/>
  <c r="BM118" i="2"/>
  <c r="Y118" i="2"/>
  <c r="Z118" i="2" s="1"/>
  <c r="P118" i="2"/>
  <c r="X116" i="2"/>
  <c r="X115" i="2"/>
  <c r="BO114" i="2"/>
  <c r="BM114" i="2"/>
  <c r="Y114" i="2"/>
  <c r="P114" i="2"/>
  <c r="BO113" i="2"/>
  <c r="BM113" i="2"/>
  <c r="Y113" i="2"/>
  <c r="Z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Y109" i="2" s="1"/>
  <c r="P102" i="2"/>
  <c r="X99" i="2"/>
  <c r="X98" i="2"/>
  <c r="BO97" i="2"/>
  <c r="BM97" i="2"/>
  <c r="Y97" i="2"/>
  <c r="BP97" i="2" s="1"/>
  <c r="P97" i="2"/>
  <c r="BO96" i="2"/>
  <c r="BM96" i="2"/>
  <c r="Y96" i="2"/>
  <c r="Z96" i="2" s="1"/>
  <c r="P96" i="2"/>
  <c r="BO95" i="2"/>
  <c r="BM95" i="2"/>
  <c r="Y95" i="2"/>
  <c r="P95" i="2"/>
  <c r="BO94" i="2"/>
  <c r="BM94" i="2"/>
  <c r="Y94" i="2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P86" i="2"/>
  <c r="BO85" i="2"/>
  <c r="BM85" i="2"/>
  <c r="Y85" i="2"/>
  <c r="BN85" i="2" s="1"/>
  <c r="P85" i="2"/>
  <c r="X82" i="2"/>
  <c r="X81" i="2"/>
  <c r="BO80" i="2"/>
  <c r="BM80" i="2"/>
  <c r="Y80" i="2"/>
  <c r="BN80" i="2" s="1"/>
  <c r="P80" i="2"/>
  <c r="BO79" i="2"/>
  <c r="BM79" i="2"/>
  <c r="Y79" i="2"/>
  <c r="BP79" i="2" s="1"/>
  <c r="P79" i="2"/>
  <c r="BO78" i="2"/>
  <c r="BM78" i="2"/>
  <c r="Y78" i="2"/>
  <c r="Y82" i="2" s="1"/>
  <c r="P78" i="2"/>
  <c r="X76" i="2"/>
  <c r="X75" i="2"/>
  <c r="BO74" i="2"/>
  <c r="BM74" i="2"/>
  <c r="Y74" i="2"/>
  <c r="Z74" i="2" s="1"/>
  <c r="P74" i="2"/>
  <c r="BO73" i="2"/>
  <c r="BM73" i="2"/>
  <c r="Y73" i="2"/>
  <c r="Z73" i="2" s="1"/>
  <c r="Z75" i="2" s="1"/>
  <c r="P73" i="2"/>
  <c r="X71" i="2"/>
  <c r="X70" i="2"/>
  <c r="BO69" i="2"/>
  <c r="BM69" i="2"/>
  <c r="Y69" i="2"/>
  <c r="Z69" i="2" s="1"/>
  <c r="P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BP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BN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N50" i="2" s="1"/>
  <c r="P50" i="2"/>
  <c r="BO49" i="2"/>
  <c r="BM49" i="2"/>
  <c r="Y49" i="2"/>
  <c r="Z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Z37" i="2" s="1"/>
  <c r="P37" i="2"/>
  <c r="X33" i="2"/>
  <c r="X32" i="2"/>
  <c r="BO31" i="2"/>
  <c r="BM31" i="2"/>
  <c r="Y31" i="2"/>
  <c r="BP31" i="2" s="1"/>
  <c r="P31" i="2"/>
  <c r="BO30" i="2"/>
  <c r="BM30" i="2"/>
  <c r="Y30" i="2"/>
  <c r="P30" i="2"/>
  <c r="X28" i="2"/>
  <c r="X27" i="2"/>
  <c r="BO26" i="2"/>
  <c r="BM26" i="2"/>
  <c r="Y26" i="2"/>
  <c r="Z26" i="2" s="1"/>
  <c r="P26" i="2"/>
  <c r="BO25" i="2"/>
  <c r="BM25" i="2"/>
  <c r="Y25" i="2"/>
  <c r="BN25" i="2" s="1"/>
  <c r="P25" i="2"/>
  <c r="BO24" i="2"/>
  <c r="BM24" i="2"/>
  <c r="Y24" i="2"/>
  <c r="BN24" i="2" s="1"/>
  <c r="P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F9" i="2" s="1"/>
  <c r="D7" i="2"/>
  <c r="Q6" i="2"/>
  <c r="P2" i="2"/>
  <c r="Y334" i="2" l="1"/>
  <c r="Z373" i="2"/>
  <c r="Z90" i="2"/>
  <c r="Z216" i="2"/>
  <c r="BN216" i="2"/>
  <c r="Z282" i="2"/>
  <c r="Z23" i="2"/>
  <c r="Z177" i="2"/>
  <c r="Z224" i="2"/>
  <c r="BN224" i="2"/>
  <c r="Z234" i="2"/>
  <c r="Z262" i="2"/>
  <c r="Z67" i="2"/>
  <c r="BN67" i="2"/>
  <c r="Y71" i="2"/>
  <c r="BP149" i="2"/>
  <c r="Z201" i="2"/>
  <c r="Z221" i="2"/>
  <c r="Z337" i="2"/>
  <c r="Z367" i="2"/>
  <c r="Z381" i="2"/>
  <c r="Z439" i="2"/>
  <c r="Y498" i="2"/>
  <c r="Z22" i="2"/>
  <c r="Z57" i="2"/>
  <c r="Z80" i="2"/>
  <c r="Z200" i="2"/>
  <c r="Z218" i="2"/>
  <c r="Z223" i="2"/>
  <c r="Z251" i="2"/>
  <c r="Z263" i="2"/>
  <c r="Z325" i="2"/>
  <c r="BN325" i="2"/>
  <c r="Z338" i="2"/>
  <c r="BN338" i="2"/>
  <c r="S572" i="2"/>
  <c r="Z368" i="2"/>
  <c r="Z380" i="2"/>
  <c r="Z387" i="2"/>
  <c r="Z413" i="2"/>
  <c r="Z448" i="2"/>
  <c r="Y467" i="2"/>
  <c r="Z491" i="2"/>
  <c r="Z492" i="2" s="1"/>
  <c r="BP541" i="2"/>
  <c r="BN39" i="2"/>
  <c r="BP55" i="2"/>
  <c r="BN62" i="2"/>
  <c r="BN69" i="2"/>
  <c r="BN103" i="2"/>
  <c r="BN106" i="2"/>
  <c r="BN118" i="2"/>
  <c r="BN141" i="2"/>
  <c r="BN147" i="2"/>
  <c r="Z147" i="2"/>
  <c r="BN160" i="2"/>
  <c r="BN180" i="2"/>
  <c r="Z180" i="2"/>
  <c r="BP203" i="2"/>
  <c r="BN203" i="2"/>
  <c r="Z203" i="2"/>
  <c r="Y211" i="2"/>
  <c r="BN217" i="2"/>
  <c r="BP217" i="2"/>
  <c r="BN271" i="2"/>
  <c r="Z271" i="2"/>
  <c r="BP273" i="2"/>
  <c r="BN273" i="2"/>
  <c r="Z273" i="2"/>
  <c r="BP346" i="2"/>
  <c r="Z346" i="2"/>
  <c r="BN361" i="2"/>
  <c r="Z361" i="2"/>
  <c r="BN379" i="2"/>
  <c r="BP379" i="2"/>
  <c r="BN382" i="2"/>
  <c r="Z382" i="2"/>
  <c r="BN441" i="2"/>
  <c r="BN455" i="2"/>
  <c r="Z455" i="2"/>
  <c r="BN509" i="2"/>
  <c r="BP22" i="2"/>
  <c r="BN48" i="2"/>
  <c r="Z55" i="2"/>
  <c r="Z56" i="2"/>
  <c r="BP57" i="2"/>
  <c r="BN59" i="2"/>
  <c r="BN113" i="2"/>
  <c r="Z120" i="2"/>
  <c r="Y122" i="2"/>
  <c r="BP147" i="2"/>
  <c r="BN148" i="2"/>
  <c r="BN158" i="2"/>
  <c r="Z158" i="2"/>
  <c r="BP180" i="2"/>
  <c r="BN185" i="2"/>
  <c r="BP185" i="2"/>
  <c r="BN202" i="2"/>
  <c r="Z202" i="2"/>
  <c r="BN220" i="2"/>
  <c r="BP220" i="2"/>
  <c r="BP232" i="2"/>
  <c r="Z232" i="2"/>
  <c r="BN256" i="2"/>
  <c r="BP271" i="2"/>
  <c r="BN272" i="2"/>
  <c r="Z272" i="2"/>
  <c r="BN276" i="2"/>
  <c r="BP293" i="2"/>
  <c r="BN293" i="2"/>
  <c r="Z293" i="2"/>
  <c r="Y303" i="2"/>
  <c r="BP302" i="2"/>
  <c r="BN302" i="2"/>
  <c r="Z302" i="2"/>
  <c r="Z303" i="2" s="1"/>
  <c r="BN331" i="2"/>
  <c r="BP361" i="2"/>
  <c r="BP362" i="2"/>
  <c r="BN362" i="2"/>
  <c r="Z362" i="2"/>
  <c r="BP371" i="2"/>
  <c r="Z371" i="2"/>
  <c r="BP382" i="2"/>
  <c r="BP383" i="2"/>
  <c r="BN383" i="2"/>
  <c r="Z383" i="2"/>
  <c r="BP394" i="2"/>
  <c r="BN394" i="2"/>
  <c r="Z394" i="2"/>
  <c r="BN407" i="2"/>
  <c r="BN415" i="2"/>
  <c r="Z415" i="2"/>
  <c r="BP429" i="2"/>
  <c r="BN429" i="2"/>
  <c r="Z429" i="2"/>
  <c r="BP455" i="2"/>
  <c r="BN466" i="2"/>
  <c r="BN485" i="2"/>
  <c r="Z526" i="2"/>
  <c r="BP526" i="2"/>
  <c r="BN531" i="2"/>
  <c r="BN545" i="2"/>
  <c r="BN193" i="2"/>
  <c r="BP200" i="2"/>
  <c r="BN204" i="2"/>
  <c r="BP221" i="2"/>
  <c r="BP223" i="2"/>
  <c r="BN225" i="2"/>
  <c r="BP234" i="2"/>
  <c r="BP251" i="2"/>
  <c r="BN255" i="2"/>
  <c r="Y257" i="2"/>
  <c r="BP262" i="2"/>
  <c r="BP263" i="2"/>
  <c r="BN264" i="2"/>
  <c r="BP282" i="2"/>
  <c r="BN287" i="2"/>
  <c r="BN295" i="2"/>
  <c r="BN310" i="2"/>
  <c r="BP337" i="2"/>
  <c r="BP351" i="2"/>
  <c r="BN355" i="2"/>
  <c r="Y357" i="2"/>
  <c r="T572" i="2"/>
  <c r="BP367" i="2"/>
  <c r="BP373" i="2"/>
  <c r="BP380" i="2"/>
  <c r="BP387" i="2"/>
  <c r="BN400" i="2"/>
  <c r="BN443" i="2"/>
  <c r="BN484" i="2"/>
  <c r="BN510" i="2"/>
  <c r="BN521" i="2"/>
  <c r="BN527" i="2"/>
  <c r="BN549" i="2"/>
  <c r="BP24" i="2"/>
  <c r="BP37" i="2"/>
  <c r="BP49" i="2"/>
  <c r="BP74" i="2"/>
  <c r="BN79" i="2"/>
  <c r="BP121" i="2"/>
  <c r="Z121" i="2"/>
  <c r="Y127" i="2"/>
  <c r="BP125" i="2"/>
  <c r="Z136" i="2"/>
  <c r="BN136" i="2"/>
  <c r="BN173" i="2"/>
  <c r="Z173" i="2"/>
  <c r="BP205" i="2"/>
  <c r="BN205" i="2"/>
  <c r="BN231" i="2"/>
  <c r="BP231" i="2"/>
  <c r="Z231" i="2"/>
  <c r="Y300" i="2"/>
  <c r="BN292" i="2"/>
  <c r="BP292" i="2"/>
  <c r="Z292" i="2"/>
  <c r="Z298" i="2"/>
  <c r="BN298" i="2"/>
  <c r="BN345" i="2"/>
  <c r="BP345" i="2"/>
  <c r="Z345" i="2"/>
  <c r="BP378" i="2"/>
  <c r="Z378" i="2"/>
  <c r="Z414" i="2"/>
  <c r="BN414" i="2"/>
  <c r="W572" i="2"/>
  <c r="BP428" i="2"/>
  <c r="Y432" i="2"/>
  <c r="BP449" i="2"/>
  <c r="Z449" i="2"/>
  <c r="BP60" i="2"/>
  <c r="Y167" i="2"/>
  <c r="BN166" i="2"/>
  <c r="BP166" i="2"/>
  <c r="Y182" i="2"/>
  <c r="BP170" i="2"/>
  <c r="Z170" i="2"/>
  <c r="BN176" i="2"/>
  <c r="BP176" i="2"/>
  <c r="Z176" i="2"/>
  <c r="BN215" i="2"/>
  <c r="BP215" i="2"/>
  <c r="Z215" i="2"/>
  <c r="BN233" i="2"/>
  <c r="BP233" i="2"/>
  <c r="Z233" i="2"/>
  <c r="BN261" i="2"/>
  <c r="BP261" i="2"/>
  <c r="Z261" i="2"/>
  <c r="BN281" i="2"/>
  <c r="BP281" i="2"/>
  <c r="Z281" i="2"/>
  <c r="BP286" i="2"/>
  <c r="BN286" i="2"/>
  <c r="Z321" i="2"/>
  <c r="BN321" i="2"/>
  <c r="V572" i="2"/>
  <c r="BN420" i="2"/>
  <c r="BP420" i="2"/>
  <c r="Z420" i="2"/>
  <c r="Z423" i="2"/>
  <c r="BN423" i="2"/>
  <c r="X572" i="2"/>
  <c r="BN436" i="2"/>
  <c r="BP436" i="2"/>
  <c r="Z436" i="2"/>
  <c r="BN438" i="2"/>
  <c r="BP438" i="2"/>
  <c r="Z438" i="2"/>
  <c r="Y488" i="2"/>
  <c r="Y517" i="2"/>
  <c r="BN508" i="2"/>
  <c r="BP525" i="2"/>
  <c r="BN525" i="2"/>
  <c r="BN554" i="2"/>
  <c r="BP554" i="2"/>
  <c r="BP25" i="2"/>
  <c r="BN37" i="2"/>
  <c r="Y52" i="2"/>
  <c r="BP48" i="2"/>
  <c r="BN49" i="2"/>
  <c r="BP69" i="2"/>
  <c r="BN74" i="2"/>
  <c r="Z79" i="2"/>
  <c r="Z104" i="2"/>
  <c r="BN104" i="2"/>
  <c r="BP119" i="2"/>
  <c r="Z119" i="2"/>
  <c r="BN121" i="2"/>
  <c r="Z166" i="2"/>
  <c r="BP171" i="2"/>
  <c r="BN178" i="2"/>
  <c r="BP178" i="2"/>
  <c r="Z178" i="2"/>
  <c r="BP226" i="2"/>
  <c r="BN226" i="2"/>
  <c r="BP266" i="2"/>
  <c r="BN266" i="2"/>
  <c r="BN339" i="2"/>
  <c r="BP339" i="2"/>
  <c r="Z339" i="2"/>
  <c r="BN370" i="2"/>
  <c r="BP370" i="2"/>
  <c r="Z370" i="2"/>
  <c r="BN390" i="2"/>
  <c r="BP390" i="2"/>
  <c r="Z390" i="2"/>
  <c r="BN422" i="2"/>
  <c r="BP422" i="2"/>
  <c r="BN440" i="2"/>
  <c r="BP440" i="2"/>
  <c r="BP459" i="2"/>
  <c r="Y462" i="2"/>
  <c r="BN459" i="2"/>
  <c r="Y472" i="2"/>
  <c r="BP470" i="2"/>
  <c r="BP520" i="2"/>
  <c r="BN520" i="2"/>
  <c r="AC572" i="2"/>
  <c r="BN537" i="2"/>
  <c r="Y28" i="2"/>
  <c r="Z25" i="2"/>
  <c r="Y42" i="2"/>
  <c r="Y63" i="2"/>
  <c r="BP59" i="2"/>
  <c r="BN60" i="2"/>
  <c r="Z66" i="2"/>
  <c r="Y75" i="2"/>
  <c r="Y76" i="2"/>
  <c r="BP90" i="2"/>
  <c r="BP94" i="2"/>
  <c r="Y98" i="2"/>
  <c r="Y99" i="2"/>
  <c r="BN95" i="2"/>
  <c r="BP114" i="2"/>
  <c r="BN114" i="2"/>
  <c r="BP136" i="2"/>
  <c r="Y142" i="2"/>
  <c r="Z140" i="2"/>
  <c r="Z142" i="2" s="1"/>
  <c r="BP161" i="2"/>
  <c r="BN161" i="2"/>
  <c r="BN170" i="2"/>
  <c r="Z171" i="2"/>
  <c r="BP173" i="2"/>
  <c r="BN240" i="2"/>
  <c r="BP240" i="2"/>
  <c r="Z274" i="2"/>
  <c r="BN274" i="2"/>
  <c r="BN372" i="2"/>
  <c r="BP372" i="2"/>
  <c r="Z372" i="2"/>
  <c r="Y398" i="2"/>
  <c r="BN395" i="2"/>
  <c r="BP395" i="2"/>
  <c r="Z395" i="2"/>
  <c r="BP414" i="2"/>
  <c r="BP430" i="2"/>
  <c r="Z430" i="2"/>
  <c r="BP442" i="2"/>
  <c r="Z442" i="2"/>
  <c r="AA572" i="2"/>
  <c r="Y497" i="2"/>
  <c r="Z496" i="2"/>
  <c r="Z497" i="2" s="1"/>
  <c r="BN515" i="2"/>
  <c r="Z515" i="2"/>
  <c r="BP530" i="2"/>
  <c r="BN530" i="2"/>
  <c r="Y241" i="2"/>
  <c r="BP238" i="2"/>
  <c r="Y252" i="2"/>
  <c r="BP249" i="2"/>
  <c r="BN250" i="2"/>
  <c r="Y258" i="2"/>
  <c r="BP264" i="2"/>
  <c r="BN265" i="2"/>
  <c r="BN277" i="2"/>
  <c r="BN294" i="2"/>
  <c r="BP295" i="2"/>
  <c r="BN297" i="2"/>
  <c r="Y304" i="2"/>
  <c r="Y326" i="2"/>
  <c r="BP318" i="2"/>
  <c r="BN332" i="2"/>
  <c r="Y342" i="2"/>
  <c r="BN340" i="2"/>
  <c r="Y348" i="2"/>
  <c r="Y364" i="2"/>
  <c r="Y384" i="2"/>
  <c r="Y385" i="2"/>
  <c r="BP407" i="2"/>
  <c r="Y411" i="2"/>
  <c r="BP443" i="2"/>
  <c r="Y451" i="2"/>
  <c r="Y461" i="2"/>
  <c r="Y572" i="2"/>
  <c r="BN474" i="2"/>
  <c r="BN483" i="2"/>
  <c r="BN486" i="2"/>
  <c r="BN511" i="2"/>
  <c r="BN528" i="2"/>
  <c r="BP103" i="2"/>
  <c r="BP113" i="2"/>
  <c r="Y123" i="2"/>
  <c r="BP141" i="2"/>
  <c r="BP160" i="2"/>
  <c r="BP165" i="2"/>
  <c r="BP172" i="2"/>
  <c r="BP175" i="2"/>
  <c r="Z184" i="2"/>
  <c r="K572" i="2"/>
  <c r="Z204" i="2"/>
  <c r="BP210" i="2"/>
  <c r="Y212" i="2"/>
  <c r="Z219" i="2"/>
  <c r="Z225" i="2"/>
  <c r="BP230" i="2"/>
  <c r="Y284" i="2"/>
  <c r="BP306" i="2"/>
  <c r="R572" i="2"/>
  <c r="BN351" i="2"/>
  <c r="Y352" i="2"/>
  <c r="BP369" i="2"/>
  <c r="Z377" i="2"/>
  <c r="BP377" i="2"/>
  <c r="Y392" i="2"/>
  <c r="BP389" i="2"/>
  <c r="BP396" i="2"/>
  <c r="Y417" i="2"/>
  <c r="Z441" i="2"/>
  <c r="BP448" i="2"/>
  <c r="BP466" i="2"/>
  <c r="Y468" i="2"/>
  <c r="Y489" i="2"/>
  <c r="Y493" i="2"/>
  <c r="BP118" i="2"/>
  <c r="I572" i="2"/>
  <c r="Z148" i="2"/>
  <c r="J572" i="2"/>
  <c r="Z174" i="2"/>
  <c r="BP218" i="2"/>
  <c r="Z222" i="2"/>
  <c r="Y236" i="2"/>
  <c r="Y242" i="2"/>
  <c r="Y253" i="2"/>
  <c r="Y269" i="2"/>
  <c r="Y299" i="2"/>
  <c r="Z294" i="2"/>
  <c r="Y327" i="2"/>
  <c r="BP340" i="2"/>
  <c r="Y347" i="2"/>
  <c r="U572" i="2"/>
  <c r="Y375" i="2"/>
  <c r="Y410" i="2"/>
  <c r="Y425" i="2"/>
  <c r="Y444" i="2"/>
  <c r="BP483" i="2"/>
  <c r="BP491" i="2"/>
  <c r="Z135" i="2"/>
  <c r="Y137" i="2"/>
  <c r="BP135" i="2"/>
  <c r="BN135" i="2"/>
  <c r="BN30" i="2"/>
  <c r="Z30" i="2"/>
  <c r="Y33" i="2"/>
  <c r="Y32" i="2"/>
  <c r="BN88" i="2"/>
  <c r="Z88" i="2"/>
  <c r="BP30" i="2"/>
  <c r="Z112" i="2"/>
  <c r="Y116" i="2"/>
  <c r="BP112" i="2"/>
  <c r="BN112" i="2"/>
  <c r="Y115" i="2"/>
  <c r="Z102" i="2"/>
  <c r="Y110" i="2"/>
  <c r="G572" i="2"/>
  <c r="BP102" i="2"/>
  <c r="BN102" i="2"/>
  <c r="E572" i="2"/>
  <c r="Z179" i="2"/>
  <c r="Y181" i="2"/>
  <c r="BP179" i="2"/>
  <c r="BN179" i="2"/>
  <c r="Z267" i="2"/>
  <c r="BN267" i="2"/>
  <c r="BP267" i="2"/>
  <c r="H572" i="2"/>
  <c r="Y133" i="2"/>
  <c r="BN130" i="2"/>
  <c r="BP130" i="2"/>
  <c r="Y43" i="2"/>
  <c r="BN40" i="2"/>
  <c r="BP40" i="2"/>
  <c r="Z40" i="2"/>
  <c r="BN86" i="2"/>
  <c r="BP86" i="2"/>
  <c r="X563" i="2"/>
  <c r="X564" i="2"/>
  <c r="Z86" i="2"/>
  <c r="BN96" i="2"/>
  <c r="BP96" i="2"/>
  <c r="Y138" i="2"/>
  <c r="B572" i="2"/>
  <c r="BN107" i="2"/>
  <c r="BP107" i="2"/>
  <c r="Z107" i="2"/>
  <c r="Z159" i="2"/>
  <c r="Y163" i="2"/>
  <c r="BP159" i="2"/>
  <c r="Y162" i="2"/>
  <c r="BN159" i="2"/>
  <c r="Z467" i="2"/>
  <c r="Z68" i="2"/>
  <c r="Y70" i="2"/>
  <c r="BP68" i="2"/>
  <c r="BN68" i="2"/>
  <c r="Y132" i="2"/>
  <c r="BP88" i="2"/>
  <c r="X566" i="2"/>
  <c r="Z47" i="2"/>
  <c r="D572" i="2"/>
  <c r="Y51" i="2"/>
  <c r="BP47" i="2"/>
  <c r="BN47" i="2"/>
  <c r="Y92" i="2"/>
  <c r="Z58" i="2"/>
  <c r="BP58" i="2"/>
  <c r="BN58" i="2"/>
  <c r="Y64" i="2"/>
  <c r="X562" i="2"/>
  <c r="Y155" i="2"/>
  <c r="Y154" i="2"/>
  <c r="BN153" i="2"/>
  <c r="BP153" i="2"/>
  <c r="Y477" i="2"/>
  <c r="L572" i="2"/>
  <c r="H9" i="2"/>
  <c r="BP23" i="2"/>
  <c r="Z31" i="2"/>
  <c r="BP80" i="2"/>
  <c r="Z89" i="2"/>
  <c r="Z146" i="2"/>
  <c r="Z244" i="2"/>
  <c r="Z245" i="2" s="1"/>
  <c r="Z280" i="2"/>
  <c r="Z313" i="2"/>
  <c r="Z324" i="2"/>
  <c r="Y341" i="2"/>
  <c r="Z403" i="2"/>
  <c r="Y424" i="2"/>
  <c r="Y445" i="2"/>
  <c r="Z454" i="2"/>
  <c r="BN491" i="2"/>
  <c r="Z502" i="2"/>
  <c r="Z514" i="2"/>
  <c r="BN526" i="2"/>
  <c r="Y539" i="2"/>
  <c r="Y551" i="2"/>
  <c r="M572" i="2"/>
  <c r="Z78" i="2"/>
  <c r="Z189" i="2"/>
  <c r="Z190" i="2" s="1"/>
  <c r="Y194" i="2"/>
  <c r="Y206" i="2"/>
  <c r="Z214" i="2"/>
  <c r="Y227" i="2"/>
  <c r="J9" i="2"/>
  <c r="BN26" i="2"/>
  <c r="Z38" i="2"/>
  <c r="Z50" i="2"/>
  <c r="Z61" i="2"/>
  <c r="BN73" i="2"/>
  <c r="Z94" i="2"/>
  <c r="Z105" i="2"/>
  <c r="BN140" i="2"/>
  <c r="BN174" i="2"/>
  <c r="BN184" i="2"/>
  <c r="BN219" i="2"/>
  <c r="BN239" i="2"/>
  <c r="Z250" i="2"/>
  <c r="Z255" i="2"/>
  <c r="Z265" i="2"/>
  <c r="Z275" i="2"/>
  <c r="BP277" i="2"/>
  <c r="BP287" i="2"/>
  <c r="Z296" i="2"/>
  <c r="BP298" i="2"/>
  <c r="BP310" i="2"/>
  <c r="Z319" i="2"/>
  <c r="BP321" i="2"/>
  <c r="Z330" i="2"/>
  <c r="BP332" i="2"/>
  <c r="BN368" i="2"/>
  <c r="BN378" i="2"/>
  <c r="BN388" i="2"/>
  <c r="Y391" i="2"/>
  <c r="BP400" i="2"/>
  <c r="Z408" i="2"/>
  <c r="BN421" i="2"/>
  <c r="BN439" i="2"/>
  <c r="BN449" i="2"/>
  <c r="Z459" i="2"/>
  <c r="BP474" i="2"/>
  <c r="Z484" i="2"/>
  <c r="BP486" i="2"/>
  <c r="Z509" i="2"/>
  <c r="BP511" i="2"/>
  <c r="Z519" i="2"/>
  <c r="BP521" i="2"/>
  <c r="Z529" i="2"/>
  <c r="BP531" i="2"/>
  <c r="BP545" i="2"/>
  <c r="Y556" i="2"/>
  <c r="O572" i="2"/>
  <c r="BN31" i="2"/>
  <c r="BN78" i="2"/>
  <c r="Y81" i="2"/>
  <c r="BN89" i="2"/>
  <c r="BN146" i="2"/>
  <c r="BN189" i="2"/>
  <c r="BN214" i="2"/>
  <c r="BN244" i="2"/>
  <c r="BN280" i="2"/>
  <c r="Y283" i="2"/>
  <c r="BN313" i="2"/>
  <c r="BN324" i="2"/>
  <c r="BN403" i="2"/>
  <c r="BN454" i="2"/>
  <c r="Y478" i="2"/>
  <c r="BN502" i="2"/>
  <c r="BN514" i="2"/>
  <c r="P572" i="2"/>
  <c r="F10" i="2"/>
  <c r="Z24" i="2"/>
  <c r="BP26" i="2"/>
  <c r="BN38" i="2"/>
  <c r="BP73" i="2"/>
  <c r="BN94" i="2"/>
  <c r="BN105" i="2"/>
  <c r="BP140" i="2"/>
  <c r="Z149" i="2"/>
  <c r="Y207" i="2"/>
  <c r="Y228" i="2"/>
  <c r="BP239" i="2"/>
  <c r="Y268" i="2"/>
  <c r="BN275" i="2"/>
  <c r="Y288" i="2"/>
  <c r="BN296" i="2"/>
  <c r="Z306" i="2"/>
  <c r="Z307" i="2" s="1"/>
  <c r="BN319" i="2"/>
  <c r="BN330" i="2"/>
  <c r="Y333" i="2"/>
  <c r="BP388" i="2"/>
  <c r="Z396" i="2"/>
  <c r="BN408" i="2"/>
  <c r="BP421" i="2"/>
  <c r="Z437" i="2"/>
  <c r="Z447" i="2"/>
  <c r="Z470" i="2"/>
  <c r="Z471" i="2" s="1"/>
  <c r="BN519" i="2"/>
  <c r="Y522" i="2"/>
  <c r="BN529" i="2"/>
  <c r="Y532" i="2"/>
  <c r="Z541" i="2"/>
  <c r="Z542" i="2" s="1"/>
  <c r="Y546" i="2"/>
  <c r="Z553" i="2"/>
  <c r="Q572" i="2"/>
  <c r="BN66" i="2"/>
  <c r="BP78" i="2"/>
  <c r="Z87" i="2"/>
  <c r="Z97" i="2"/>
  <c r="Z108" i="2"/>
  <c r="BN120" i="2"/>
  <c r="Z131" i="2"/>
  <c r="Z132" i="2" s="1"/>
  <c r="BP146" i="2"/>
  <c r="Y168" i="2"/>
  <c r="BN177" i="2"/>
  <c r="BP189" i="2"/>
  <c r="BN201" i="2"/>
  <c r="BN222" i="2"/>
  <c r="BN232" i="2"/>
  <c r="Y235" i="2"/>
  <c r="BP244" i="2"/>
  <c r="BN260" i="2"/>
  <c r="Z278" i="2"/>
  <c r="Z311" i="2"/>
  <c r="Z322" i="2"/>
  <c r="BN346" i="2"/>
  <c r="BN360" i="2"/>
  <c r="Y363" i="2"/>
  <c r="BN371" i="2"/>
  <c r="Y374" i="2"/>
  <c r="BN381" i="2"/>
  <c r="Z401" i="2"/>
  <c r="BN413" i="2"/>
  <c r="Y416" i="2"/>
  <c r="BN430" i="2"/>
  <c r="BN442" i="2"/>
  <c r="BN465" i="2"/>
  <c r="Z475" i="2"/>
  <c r="Z487" i="2"/>
  <c r="Z500" i="2"/>
  <c r="Z512" i="2"/>
  <c r="Z559" i="2"/>
  <c r="Z560" i="2" s="1"/>
  <c r="BP184" i="2"/>
  <c r="Y195" i="2"/>
  <c r="Z217" i="2"/>
  <c r="Y27" i="2"/>
  <c r="BP50" i="2"/>
  <c r="BN125" i="2"/>
  <c r="BN172" i="2"/>
  <c r="BN306" i="2"/>
  <c r="BP330" i="2"/>
  <c r="Y353" i="2"/>
  <c r="BN437" i="2"/>
  <c r="BN447" i="2"/>
  <c r="Y450" i="2"/>
  <c r="BN470" i="2"/>
  <c r="Z482" i="2"/>
  <c r="BP519" i="2"/>
  <c r="Z527" i="2"/>
  <c r="BN541" i="2"/>
  <c r="BN553" i="2"/>
  <c r="A10" i="2"/>
  <c r="BN61" i="2"/>
  <c r="Z125" i="2"/>
  <c r="Z126" i="2" s="1"/>
  <c r="Z41" i="2"/>
  <c r="BN56" i="2"/>
  <c r="BN41" i="2"/>
  <c r="BN87" i="2"/>
  <c r="BN97" i="2"/>
  <c r="BN108" i="2"/>
  <c r="BN131" i="2"/>
  <c r="Z165" i="2"/>
  <c r="Z175" i="2"/>
  <c r="Z185" i="2"/>
  <c r="Y190" i="2"/>
  <c r="Z199" i="2"/>
  <c r="Z210" i="2"/>
  <c r="Z211" i="2" s="1"/>
  <c r="Z220" i="2"/>
  <c r="Z230" i="2"/>
  <c r="Z240" i="2"/>
  <c r="Z241" i="2" s="1"/>
  <c r="Y245" i="2"/>
  <c r="BP260" i="2"/>
  <c r="BN278" i="2"/>
  <c r="Y289" i="2"/>
  <c r="BN311" i="2"/>
  <c r="Y314" i="2"/>
  <c r="BN322" i="2"/>
  <c r="Z344" i="2"/>
  <c r="BP360" i="2"/>
  <c r="Z369" i="2"/>
  <c r="Z379" i="2"/>
  <c r="Z389" i="2"/>
  <c r="BN401" i="2"/>
  <c r="Y404" i="2"/>
  <c r="Z422" i="2"/>
  <c r="Z428" i="2"/>
  <c r="Z440" i="2"/>
  <c r="BP465" i="2"/>
  <c r="BN475" i="2"/>
  <c r="BN487" i="2"/>
  <c r="BN500" i="2"/>
  <c r="Y503" i="2"/>
  <c r="BN512" i="2"/>
  <c r="Y533" i="2"/>
  <c r="Y547" i="2"/>
  <c r="BN559" i="2"/>
  <c r="BP553" i="2"/>
  <c r="Z39" i="2"/>
  <c r="Z62" i="2"/>
  <c r="Z85" i="2"/>
  <c r="Z95" i="2"/>
  <c r="Z106" i="2"/>
  <c r="BN199" i="2"/>
  <c r="Z256" i="2"/>
  <c r="Z266" i="2"/>
  <c r="Z276" i="2"/>
  <c r="Z286" i="2"/>
  <c r="Z288" i="2" s="1"/>
  <c r="Z297" i="2"/>
  <c r="Z320" i="2"/>
  <c r="Z331" i="2"/>
  <c r="BN344" i="2"/>
  <c r="Z355" i="2"/>
  <c r="Z356" i="2" s="1"/>
  <c r="Z409" i="2"/>
  <c r="BN428" i="2"/>
  <c r="Y431" i="2"/>
  <c r="Z460" i="2"/>
  <c r="Z485" i="2"/>
  <c r="BP500" i="2"/>
  <c r="Z510" i="2"/>
  <c r="Z520" i="2"/>
  <c r="Z530" i="2"/>
  <c r="BP559" i="2"/>
  <c r="C572" i="2"/>
  <c r="Y126" i="2"/>
  <c r="Y150" i="2"/>
  <c r="Y307" i="2"/>
  <c r="Y315" i="2"/>
  <c r="Y397" i="2"/>
  <c r="Y405" i="2"/>
  <c r="Y471" i="2"/>
  <c r="BP482" i="2"/>
  <c r="Z525" i="2"/>
  <c r="Z537" i="2"/>
  <c r="Z538" i="2" s="1"/>
  <c r="Y542" i="2"/>
  <c r="Z549" i="2"/>
  <c r="Z550" i="2" s="1"/>
  <c r="Z554" i="2"/>
  <c r="Y560" i="2"/>
  <c r="Z279" i="2"/>
  <c r="Z312" i="2"/>
  <c r="Z323" i="2"/>
  <c r="Z402" i="2"/>
  <c r="Z453" i="2"/>
  <c r="Z476" i="2"/>
  <c r="Z501" i="2"/>
  <c r="Z513" i="2"/>
  <c r="F572" i="2"/>
  <c r="BP85" i="2"/>
  <c r="BP95" i="2"/>
  <c r="Z114" i="2"/>
  <c r="Y151" i="2"/>
  <c r="Z161" i="2"/>
  <c r="Y186" i="2"/>
  <c r="Z193" i="2"/>
  <c r="Z194" i="2" s="1"/>
  <c r="Z205" i="2"/>
  <c r="Z226" i="2"/>
  <c r="BN238" i="2"/>
  <c r="Z249" i="2"/>
  <c r="Z318" i="2"/>
  <c r="BP320" i="2"/>
  <c r="BP355" i="2"/>
  <c r="BP409" i="2"/>
  <c r="BP460" i="2"/>
  <c r="BN496" i="2"/>
  <c r="Z508" i="2"/>
  <c r="Z528" i="2"/>
  <c r="Z572" i="2"/>
  <c r="Y91" i="2"/>
  <c r="BN279" i="2"/>
  <c r="BN312" i="2"/>
  <c r="BN323" i="2"/>
  <c r="BN402" i="2"/>
  <c r="BN453" i="2"/>
  <c r="Y456" i="2"/>
  <c r="BN476" i="2"/>
  <c r="BN501" i="2"/>
  <c r="BN513" i="2"/>
  <c r="Y516" i="2"/>
  <c r="BP537" i="2"/>
  <c r="BP549" i="2"/>
  <c r="Y561" i="2"/>
  <c r="AB572" i="2"/>
  <c r="BP453" i="2"/>
  <c r="Y538" i="2"/>
  <c r="BP508" i="2"/>
  <c r="Z341" i="2" l="1"/>
  <c r="Z431" i="2"/>
  <c r="Z167" i="2"/>
  <c r="Z27" i="2"/>
  <c r="Z235" i="2"/>
  <c r="Z81" i="2"/>
  <c r="Z137" i="2"/>
  <c r="Z122" i="2"/>
  <c r="Z416" i="2"/>
  <c r="Z363" i="2"/>
  <c r="Z91" i="2"/>
  <c r="Z391" i="2"/>
  <c r="Z374" i="2"/>
  <c r="Z347" i="2"/>
  <c r="Z186" i="2"/>
  <c r="Z450" i="2"/>
  <c r="Z397" i="2"/>
  <c r="Z410" i="2"/>
  <c r="Z252" i="2"/>
  <c r="Z424" i="2"/>
  <c r="Z384" i="2"/>
  <c r="Z181" i="2"/>
  <c r="Z488" i="2"/>
  <c r="Z70" i="2"/>
  <c r="Y563" i="2"/>
  <c r="Z283" i="2"/>
  <c r="Z444" i="2"/>
  <c r="Y562" i="2"/>
  <c r="Z51" i="2"/>
  <c r="Z162" i="2"/>
  <c r="Z477" i="2"/>
  <c r="Y564" i="2"/>
  <c r="Z333" i="2"/>
  <c r="Z115" i="2"/>
  <c r="Z42" i="2"/>
  <c r="Z206" i="2"/>
  <c r="Z503" i="2"/>
  <c r="Z404" i="2"/>
  <c r="Z314" i="2"/>
  <c r="Z555" i="2"/>
  <c r="Z299" i="2"/>
  <c r="Z268" i="2"/>
  <c r="X565" i="2"/>
  <c r="Z326" i="2"/>
  <c r="Z98" i="2"/>
  <c r="Z532" i="2"/>
  <c r="Z522" i="2"/>
  <c r="Z32" i="2"/>
  <c r="Z109" i="2"/>
  <c r="Z461" i="2"/>
  <c r="Z227" i="2"/>
  <c r="Y566" i="2"/>
  <c r="Z257" i="2"/>
  <c r="Z456" i="2"/>
  <c r="Z150" i="2"/>
  <c r="Z516" i="2"/>
  <c r="Z63" i="2"/>
  <c r="Y565" i="2" l="1"/>
  <c r="Z567" i="2"/>
</calcChain>
</file>

<file path=xl/sharedStrings.xml><?xml version="1.0" encoding="utf-8"?>
<sst xmlns="http://schemas.openxmlformats.org/spreadsheetml/2006/main" count="4250" uniqueCount="899">
  <si>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</si>
  <si>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</si>
  <si>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</si>
  <si>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</si>
  <si>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</si>
  <si>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</si>
  <si>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</si>
  <si>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</si>
  <si>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</si>
  <si>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</si>
  <si>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</si>
  <si>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</si>
  <si>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</si>
  <si>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</si>
  <si>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</si>
  <si>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</si>
  <si>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</si>
  <si>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</si>
  <si>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</si>
  <si>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</si>
  <si>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</si>
  <si>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</si>
  <si>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</si>
  <si>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</si>
  <si>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</si>
  <si>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</si>
  <si>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</si>
  <si>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</si>
  <si>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</si>
  <si>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</si>
  <si>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</si>
  <si>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</si>
  <si>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</si>
  <si>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</si>
  <si>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</si>
  <si>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</si>
  <si>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</si>
  <si>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</si>
  <si>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</si>
  <si>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</si>
  <si>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</si>
  <si>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</si>
  <si>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</si>
  <si>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</si>
  <si>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</si>
  <si>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</si>
  <si>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</si>
  <si>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</si>
  <si>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</si>
  <si>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</si>
  <si>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</si>
  <si>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</si>
  <si>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</si>
  <si>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</si>
  <si>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</si>
  <si>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</si>
  <si>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</si>
  <si>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</si>
  <si>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</si>
  <si>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</si>
  <si>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</si>
  <si>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</si>
  <si>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</si>
  <si>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</si>
  <si>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</si>
  <si>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</si>
  <si>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</si>
  <si>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</si>
  <si>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02.11.2026</t>
  </si>
  <si>
    <t>28.10.2026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</si>
  <si>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</si>
  <si>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</si>
  <si>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</si>
  <si>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</si>
  <si>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</si>
  <si>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</si>
  <si>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</si>
  <si>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</si>
  <si>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</si>
  <si>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</si>
  <si>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</si>
  <si>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</si>
  <si>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</si>
  <si>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</si>
  <si>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</si>
  <si>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</si>
  <si>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</si>
  <si>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</si>
  <si>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</si>
  <si>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</si>
  <si>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</si>
  <si>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</si>
  <si>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</si>
  <si>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</si>
  <si>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</si>
  <si>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</si>
  <si>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</si>
  <si>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</si>
  <si>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</si>
  <si>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</si>
  <si>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</si>
  <si>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</si>
  <si>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</si>
  <si>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</si>
  <si>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</si>
  <si>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</si>
  <si>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</si>
  <si>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</si>
  <si>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</si>
  <si>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</si>
  <si>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</si>
  <si>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</si>
  <si>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</si>
  <si>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</si>
  <si>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</si>
  <si>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</si>
  <si>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</si>
  <si>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</si>
  <si>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</si>
  <si>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</si>
  <si>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</si>
  <si>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</si>
  <si>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</si>
  <si>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</si>
  <si>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</si>
  <si>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</si>
  <si>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</si>
  <si>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</si>
  <si>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</si>
  <si>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</si>
  <si>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</si>
  <si>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</si>
  <si>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</si>
  <si>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СК2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</si>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</sst>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Y13" sqref="Y1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 t="s">
        <v>898</v>
      </c>
      <c r="I5" s="986"/>
      <c r="J5" s="986"/>
      <c r="K5" s="986"/>
      <c r="L5" s="986"/>
      <c r="M5" s="986"/>
      <c r="N5" s="72"/>
      <c r="P5" s="27" t="s">
        <v>4</v>
      </c>
      <c r="Q5" s="988">
        <v>46329</v>
      </c>
      <c r="R5" s="988"/>
      <c r="T5" s="989" t="s">
        <v>3</v>
      </c>
      <c r="U5" s="990"/>
      <c r="V5" s="991" t="s">
        <v>879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 t="s">
        <v>880</v>
      </c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Вторник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 t="str">
        <f>IFERROR(VLOOKUP(DeliveryAddress,Table,3,0),1)</f>
        <v>1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0.41666666666666669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73" t="s">
        <v>48</v>
      </c>
      <c r="D17" s="975" t="s">
        <v>50</v>
      </c>
      <c r="E17" s="976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74"/>
      <c r="D18" s="977"/>
      <c r="E18" s="978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5"/>
      <c r="AB20" s="65"/>
      <c r="AC20" s="79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4301051866</v>
      </c>
      <c r="D22" s="649">
        <v>4680115885912</v>
      </c>
      <c r="E22" s="649"/>
      <c r="F22" s="62">
        <v>0.3</v>
      </c>
      <c r="G22" s="37">
        <v>6</v>
      </c>
      <c r="H22" s="62">
        <v>1.8</v>
      </c>
      <c r="I22" s="62">
        <v>3.18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4301051776</v>
      </c>
      <c r="D23" s="649">
        <v>4607091388237</v>
      </c>
      <c r="E23" s="649"/>
      <c r="F23" s="62">
        <v>0.42</v>
      </c>
      <c r="G23" s="37">
        <v>6</v>
      </c>
      <c r="H23" s="62">
        <v>2.52</v>
      </c>
      <c r="I23" s="62">
        <v>2.766</v>
      </c>
      <c r="J23" s="37">
        <v>182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IFERROR(IF(Y23=0,"",ROUNDUP(Y23/H23,0)*0.00651),"")</f>
        <v/>
      </c>
      <c r="AA23" s="68" t="s">
        <v>46</v>
      </c>
      <c r="AB23" s="69" t="s">
        <v>46</v>
      </c>
      <c r="AC23" s="88" t="s">
        <v>80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hidden="1" customHeight="1" x14ac:dyDescent="0.25">
      <c r="A24" s="63" t="s">
        <v>85</v>
      </c>
      <c r="B24" s="63" t="s">
        <v>86</v>
      </c>
      <c r="C24" s="36">
        <v>4301052063</v>
      </c>
      <c r="D24" s="649">
        <v>4680115887350</v>
      </c>
      <c r="E24" s="649"/>
      <c r="F24" s="62">
        <v>0.3</v>
      </c>
      <c r="G24" s="37">
        <v>6</v>
      </c>
      <c r="H24" s="62">
        <v>1.8</v>
      </c>
      <c r="I24" s="62">
        <v>3.18</v>
      </c>
      <c r="J24" s="37">
        <v>182</v>
      </c>
      <c r="K24" s="37" t="s">
        <v>82</v>
      </c>
      <c r="L24" s="37" t="s">
        <v>46</v>
      </c>
      <c r="M24" s="38" t="s">
        <v>88</v>
      </c>
      <c r="N24" s="38"/>
      <c r="O24" s="37">
        <v>40</v>
      </c>
      <c r="P24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51"/>
      <c r="R24" s="651"/>
      <c r="S24" s="651"/>
      <c r="T24" s="652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IFERROR(IF(Y24=0,"",ROUNDUP(Y24/H24,0)*0.00651),"")</f>
        <v/>
      </c>
      <c r="AA24" s="68" t="s">
        <v>46</v>
      </c>
      <c r="AB24" s="69" t="s">
        <v>46</v>
      </c>
      <c r="AC24" s="90" t="s">
        <v>87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ht="27" hidden="1" customHeight="1" x14ac:dyDescent="0.25">
      <c r="A25" s="63" t="s">
        <v>89</v>
      </c>
      <c r="B25" s="63" t="s">
        <v>90</v>
      </c>
      <c r="C25" s="36">
        <v>4301051863</v>
      </c>
      <c r="D25" s="649">
        <v>4680115885905</v>
      </c>
      <c r="E25" s="649"/>
      <c r="F25" s="62">
        <v>0.3</v>
      </c>
      <c r="G25" s="37">
        <v>6</v>
      </c>
      <c r="H25" s="62">
        <v>1.8</v>
      </c>
      <c r="I25" s="62">
        <v>3.18</v>
      </c>
      <c r="J25" s="37">
        <v>182</v>
      </c>
      <c r="K25" s="37" t="s">
        <v>82</v>
      </c>
      <c r="L25" s="37" t="s">
        <v>46</v>
      </c>
      <c r="M25" s="38" t="s">
        <v>88</v>
      </c>
      <c r="N25" s="38"/>
      <c r="O25" s="37">
        <v>40</v>
      </c>
      <c r="P25" s="9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51"/>
      <c r="R25" s="651"/>
      <c r="S25" s="651"/>
      <c r="T25" s="652"/>
      <c r="U25" s="39" t="s">
        <v>46</v>
      </c>
      <c r="V25" s="39" t="s">
        <v>46</v>
      </c>
      <c r="W25" s="40" t="s">
        <v>0</v>
      </c>
      <c r="X25" s="58">
        <v>0</v>
      </c>
      <c r="Y25" s="55">
        <f>IFERROR(IF(X25="",0,CEILING((X25/$H25),1)*$H25),"")</f>
        <v>0</v>
      </c>
      <c r="Z25" s="41" t="str">
        <f>IFERROR(IF(Y25=0,"",ROUNDUP(Y25/H25,0)*0.00651),"")</f>
        <v/>
      </c>
      <c r="AA25" s="68" t="s">
        <v>46</v>
      </c>
      <c r="AB25" s="69" t="s">
        <v>46</v>
      </c>
      <c r="AC25" s="92" t="s">
        <v>91</v>
      </c>
      <c r="AG25" s="78"/>
      <c r="AJ25" s="84" t="s">
        <v>46</v>
      </c>
      <c r="AK25" s="84">
        <v>0</v>
      </c>
      <c r="BB25" s="93" t="s">
        <v>67</v>
      </c>
      <c r="BM25" s="78">
        <f>IFERROR(X25*I25/H25,"0")</f>
        <v>0</v>
      </c>
      <c r="BN25" s="78">
        <f>IFERROR(Y25*I25/H25,"0")</f>
        <v>0</v>
      </c>
      <c r="BO25" s="78">
        <f>IFERROR(1/J25*(X25/H25),"0")</f>
        <v>0</v>
      </c>
      <c r="BP25" s="78">
        <f>IFERROR(1/J25*(Y25/H25),"0")</f>
        <v>0</v>
      </c>
    </row>
    <row r="26" spans="1:68" ht="27" hidden="1" customHeight="1" x14ac:dyDescent="0.25">
      <c r="A26" s="63" t="s">
        <v>92</v>
      </c>
      <c r="B26" s="63" t="s">
        <v>93</v>
      </c>
      <c r="C26" s="36">
        <v>4301052071</v>
      </c>
      <c r="D26" s="649">
        <v>4680115887619</v>
      </c>
      <c r="E26" s="649"/>
      <c r="F26" s="62">
        <v>0.33</v>
      </c>
      <c r="G26" s="37">
        <v>6</v>
      </c>
      <c r="H26" s="62">
        <v>1.98</v>
      </c>
      <c r="I26" s="62">
        <v>2.16</v>
      </c>
      <c r="J26" s="37">
        <v>182</v>
      </c>
      <c r="K26" s="37" t="s">
        <v>82</v>
      </c>
      <c r="L26" s="37" t="s">
        <v>46</v>
      </c>
      <c r="M26" s="38" t="s">
        <v>81</v>
      </c>
      <c r="N26" s="38"/>
      <c r="O26" s="37">
        <v>40</v>
      </c>
      <c r="P26" s="9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51"/>
      <c r="R26" s="651"/>
      <c r="S26" s="651"/>
      <c r="T26" s="65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94" t="s">
        <v>94</v>
      </c>
      <c r="AG26" s="78"/>
      <c r="AJ26" s="84" t="s">
        <v>46</v>
      </c>
      <c r="AK26" s="84">
        <v>0</v>
      </c>
      <c r="BB26" s="95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idden="1" x14ac:dyDescent="0.2">
      <c r="A27" s="656"/>
      <c r="B27" s="656"/>
      <c r="C27" s="656"/>
      <c r="D27" s="656"/>
      <c r="E27" s="656"/>
      <c r="F27" s="656"/>
      <c r="G27" s="656"/>
      <c r="H27" s="656"/>
      <c r="I27" s="656"/>
      <c r="J27" s="656"/>
      <c r="K27" s="656"/>
      <c r="L27" s="656"/>
      <c r="M27" s="656"/>
      <c r="N27" s="656"/>
      <c r="O27" s="657"/>
      <c r="P27" s="653" t="s">
        <v>40</v>
      </c>
      <c r="Q27" s="654"/>
      <c r="R27" s="654"/>
      <c r="S27" s="654"/>
      <c r="T27" s="654"/>
      <c r="U27" s="654"/>
      <c r="V27" s="655"/>
      <c r="W27" s="42" t="s">
        <v>39</v>
      </c>
      <c r="X27" s="43">
        <f>IFERROR(X22/H22,"0")+IFERROR(X23/H23,"0")+IFERROR(X24/H24,"0")+IFERROR(X25/H25,"0")+IFERROR(X26/H26,"0")</f>
        <v>0</v>
      </c>
      <c r="Y27" s="43">
        <f>IFERROR(Y22/H22,"0")+IFERROR(Y23/H23,"0")+IFERROR(Y24/H24,"0")+IFERROR(Y25/H25,"0")+IFERROR(Y26/H26,"0")</f>
        <v>0</v>
      </c>
      <c r="Z27" s="43">
        <f>IFERROR(IF(Z22="",0,Z22),"0")+IFERROR(IF(Z23="",0,Z23),"0")+IFERROR(IF(Z24="",0,Z24),"0")+IFERROR(IF(Z25="",0,Z25),"0")+IFERROR(IF(Z26="",0,Z26),"0")</f>
        <v>0</v>
      </c>
      <c r="AA27" s="67"/>
      <c r="AB27" s="67"/>
      <c r="AC27" s="67"/>
    </row>
    <row r="28" spans="1:68" hidden="1" x14ac:dyDescent="0.2">
      <c r="A28" s="656"/>
      <c r="B28" s="656"/>
      <c r="C28" s="656"/>
      <c r="D28" s="656"/>
      <c r="E28" s="656"/>
      <c r="F28" s="656"/>
      <c r="G28" s="656"/>
      <c r="H28" s="656"/>
      <c r="I28" s="656"/>
      <c r="J28" s="656"/>
      <c r="K28" s="656"/>
      <c r="L28" s="656"/>
      <c r="M28" s="656"/>
      <c r="N28" s="656"/>
      <c r="O28" s="657"/>
      <c r="P28" s="653" t="s">
        <v>40</v>
      </c>
      <c r="Q28" s="654"/>
      <c r="R28" s="654"/>
      <c r="S28" s="654"/>
      <c r="T28" s="654"/>
      <c r="U28" s="654"/>
      <c r="V28" s="655"/>
      <c r="W28" s="42" t="s">
        <v>0</v>
      </c>
      <c r="X28" s="43">
        <f>IFERROR(SUM(X22:X26),"0")</f>
        <v>0</v>
      </c>
      <c r="Y28" s="43">
        <f>IFERROR(SUM(Y22:Y26),"0")</f>
        <v>0</v>
      </c>
      <c r="Z28" s="42"/>
      <c r="AA28" s="67"/>
      <c r="AB28" s="67"/>
      <c r="AC28" s="67"/>
    </row>
    <row r="29" spans="1:68" ht="14.25" hidden="1" customHeight="1" x14ac:dyDescent="0.25">
      <c r="A29" s="648" t="s">
        <v>95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6"/>
      <c r="AB29" s="66"/>
      <c r="AC29" s="80"/>
    </row>
    <row r="30" spans="1:68" ht="27" hidden="1" customHeight="1" x14ac:dyDescent="0.25">
      <c r="A30" s="63" t="s">
        <v>96</v>
      </c>
      <c r="B30" s="63" t="s">
        <v>97</v>
      </c>
      <c r="C30" s="36">
        <v>4301032059</v>
      </c>
      <c r="D30" s="649">
        <v>4680115889262</v>
      </c>
      <c r="E30" s="649"/>
      <c r="F30" s="62">
        <v>0.05</v>
      </c>
      <c r="G30" s="37">
        <v>8</v>
      </c>
      <c r="H30" s="62">
        <v>0.4</v>
      </c>
      <c r="I30" s="62">
        <v>0.57999999999999996</v>
      </c>
      <c r="J30" s="37">
        <v>330</v>
      </c>
      <c r="K30" s="37" t="s">
        <v>102</v>
      </c>
      <c r="L30" s="37" t="s">
        <v>46</v>
      </c>
      <c r="M30" s="38" t="s">
        <v>101</v>
      </c>
      <c r="N30" s="38"/>
      <c r="O30" s="37">
        <v>180</v>
      </c>
      <c r="P30" s="93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IFERROR(IF(Y30=0,"",ROUNDUP(Y30/H30,0)*0.00337),"")</f>
        <v/>
      </c>
      <c r="AA30" s="68" t="s">
        <v>46</v>
      </c>
      <c r="AB30" s="69" t="s">
        <v>100</v>
      </c>
      <c r="AC30" s="96" t="s">
        <v>98</v>
      </c>
      <c r="AG30" s="78"/>
      <c r="AJ30" s="84" t="s">
        <v>46</v>
      </c>
      <c r="AK30" s="84">
        <v>0</v>
      </c>
      <c r="BB30" s="97" t="s">
        <v>99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103</v>
      </c>
      <c r="B31" s="63" t="s">
        <v>104</v>
      </c>
      <c r="C31" s="36">
        <v>4301032063</v>
      </c>
      <c r="D31" s="649">
        <v>4680115889040</v>
      </c>
      <c r="E31" s="649"/>
      <c r="F31" s="62">
        <v>0.04</v>
      </c>
      <c r="G31" s="37">
        <v>8</v>
      </c>
      <c r="H31" s="62">
        <v>0.32</v>
      </c>
      <c r="I31" s="62">
        <v>0.5</v>
      </c>
      <c r="J31" s="37">
        <v>330</v>
      </c>
      <c r="K31" s="37" t="s">
        <v>102</v>
      </c>
      <c r="L31" s="37" t="s">
        <v>46</v>
      </c>
      <c r="M31" s="38" t="s">
        <v>101</v>
      </c>
      <c r="N31" s="38"/>
      <c r="O31" s="37">
        <v>120</v>
      </c>
      <c r="P31" s="938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IFERROR(IF(Y31=0,"",ROUNDUP(Y31/H31,0)*0.00337),"")</f>
        <v/>
      </c>
      <c r="AA31" s="68" t="s">
        <v>46</v>
      </c>
      <c r="AB31" s="69" t="s">
        <v>100</v>
      </c>
      <c r="AC31" s="98" t="s">
        <v>105</v>
      </c>
      <c r="AG31" s="78"/>
      <c r="AJ31" s="84" t="s">
        <v>46</v>
      </c>
      <c r="AK31" s="84">
        <v>0</v>
      </c>
      <c r="BB31" s="99" t="s">
        <v>99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IFERROR(X30/H30,"0")+IFERROR(X31/H31,"0")</f>
        <v>0</v>
      </c>
      <c r="Y32" s="43">
        <f>IFERROR(Y30/H30,"0")+IFERROR(Y31/H31,"0")</f>
        <v>0</v>
      </c>
      <c r="Z32" s="43">
        <f>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IFERROR(SUM(X30:X31),"0")</f>
        <v>0</v>
      </c>
      <c r="Y33" s="43">
        <f>IFERROR(SUM(Y30:Y31),"0")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47" t="s">
        <v>106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5"/>
      <c r="AB35" s="65"/>
      <c r="AC35" s="79"/>
    </row>
    <row r="36" spans="1:68" ht="14.25" hidden="1" customHeight="1" x14ac:dyDescent="0.25">
      <c r="A36" s="648" t="s">
        <v>77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6"/>
      <c r="AB36" s="66"/>
      <c r="AC36" s="80"/>
    </row>
    <row r="37" spans="1:68" ht="27" hidden="1" customHeight="1" x14ac:dyDescent="0.25">
      <c r="A37" s="63" t="s">
        <v>107</v>
      </c>
      <c r="B37" s="63" t="s">
        <v>108</v>
      </c>
      <c r="C37" s="36">
        <v>4301052187</v>
      </c>
      <c r="D37" s="649">
        <v>4680115889354</v>
      </c>
      <c r="E37" s="64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82</v>
      </c>
      <c r="L37" s="37" t="s">
        <v>46</v>
      </c>
      <c r="M37" s="38" t="s">
        <v>88</v>
      </c>
      <c r="N37" s="38"/>
      <c r="O37" s="37">
        <v>40</v>
      </c>
      <c r="P37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109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110</v>
      </c>
      <c r="B38" s="63" t="s">
        <v>111</v>
      </c>
      <c r="C38" s="36">
        <v>4301052198</v>
      </c>
      <c r="D38" s="649">
        <v>4680115888463</v>
      </c>
      <c r="E38" s="64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82</v>
      </c>
      <c r="L38" s="37" t="s">
        <v>46</v>
      </c>
      <c r="M38" s="38" t="s">
        <v>81</v>
      </c>
      <c r="N38" s="38"/>
      <c r="O38" s="37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112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113</v>
      </c>
      <c r="B39" s="63" t="s">
        <v>114</v>
      </c>
      <c r="C39" s="36">
        <v>4301052259</v>
      </c>
      <c r="D39" s="649">
        <v>4680115889590</v>
      </c>
      <c r="E39" s="64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82</v>
      </c>
      <c r="L39" s="37" t="s">
        <v>46</v>
      </c>
      <c r="M39" s="38" t="s">
        <v>81</v>
      </c>
      <c r="N39" s="38"/>
      <c r="O39" s="37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115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116</v>
      </c>
      <c r="B40" s="63" t="s">
        <v>117</v>
      </c>
      <c r="C40" s="36">
        <v>4301052184</v>
      </c>
      <c r="D40" s="649">
        <v>4680115888272</v>
      </c>
      <c r="E40" s="64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82</v>
      </c>
      <c r="L40" s="37" t="s">
        <v>46</v>
      </c>
      <c r="M40" s="38" t="s">
        <v>81</v>
      </c>
      <c r="N40" s="38"/>
      <c r="O40" s="37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118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119</v>
      </c>
      <c r="B41" s="63" t="s">
        <v>120</v>
      </c>
      <c r="C41" s="36">
        <v>4301052188</v>
      </c>
      <c r="D41" s="649">
        <v>4680115888364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82</v>
      </c>
      <c r="L41" s="37" t="s">
        <v>46</v>
      </c>
      <c r="M41" s="38" t="s">
        <v>81</v>
      </c>
      <c r="N41" s="38"/>
      <c r="O41" s="37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121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122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47" t="s">
        <v>123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5"/>
      <c r="AB45" s="65"/>
      <c r="AC45" s="79"/>
    </row>
    <row r="46" spans="1:68" ht="14.25" hidden="1" customHeight="1" x14ac:dyDescent="0.25">
      <c r="A46" s="648" t="s">
        <v>124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6"/>
      <c r="AB46" s="66"/>
      <c r="AC46" s="80"/>
    </row>
    <row r="47" spans="1:68" ht="16.5" customHeight="1" x14ac:dyDescent="0.25">
      <c r="A47" s="63" t="s">
        <v>125</v>
      </c>
      <c r="B47" s="63" t="s">
        <v>126</v>
      </c>
      <c r="C47" s="36">
        <v>4301011380</v>
      </c>
      <c r="D47" s="649">
        <v>4607091385670</v>
      </c>
      <c r="E47" s="64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129</v>
      </c>
      <c r="L47" s="37" t="s">
        <v>46</v>
      </c>
      <c r="M47" s="38" t="s">
        <v>128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9" t="s">
        <v>46</v>
      </c>
      <c r="V47" s="39" t="s">
        <v>46</v>
      </c>
      <c r="W47" s="40" t="s">
        <v>0</v>
      </c>
      <c r="X47" s="58">
        <v>300</v>
      </c>
      <c r="Y47" s="55">
        <f>IFERROR(IF(X47="",0,CEILING((X47/$H47),1)*$H47),"")</f>
        <v>302.40000000000003</v>
      </c>
      <c r="Z47" s="41">
        <f>IFERROR(IF(Y47=0,"",ROUNDUP(Y47/H47,0)*0.01898),"")</f>
        <v>0.53144000000000002</v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311.38888888888891</v>
      </c>
      <c r="BN47" s="78">
        <f>IFERROR(Y47*I47/H47,"0")</f>
        <v>313.88</v>
      </c>
      <c r="BO47" s="78">
        <f>IFERROR(1/J47*(X47/H47),"0")</f>
        <v>0.43402777777777773</v>
      </c>
      <c r="BP47" s="78">
        <f>IFERROR(1/J47*(Y47/H47),"0")</f>
        <v>0.4375</v>
      </c>
    </row>
    <row r="48" spans="1:68" ht="27" hidden="1" customHeight="1" x14ac:dyDescent="0.25">
      <c r="A48" s="63" t="s">
        <v>130</v>
      </c>
      <c r="B48" s="63" t="s">
        <v>131</v>
      </c>
      <c r="C48" s="36">
        <v>4301012053</v>
      </c>
      <c r="D48" s="649">
        <v>4680115887725</v>
      </c>
      <c r="E48" s="64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134</v>
      </c>
      <c r="L48" s="37" t="s">
        <v>46</v>
      </c>
      <c r="M48" s="38" t="s">
        <v>133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135</v>
      </c>
      <c r="B49" s="63" t="s">
        <v>136</v>
      </c>
      <c r="C49" s="36">
        <v>4301011382</v>
      </c>
      <c r="D49" s="649">
        <v>4607091385687</v>
      </c>
      <c r="E49" s="64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137</v>
      </c>
      <c r="L49" s="37" t="s">
        <v>46</v>
      </c>
      <c r="M49" s="38" t="s">
        <v>81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9" t="s">
        <v>46</v>
      </c>
      <c r="V49" s="39" t="s">
        <v>46</v>
      </c>
      <c r="W49" s="40" t="s">
        <v>0</v>
      </c>
      <c r="X49" s="58">
        <v>72</v>
      </c>
      <c r="Y49" s="55">
        <f>IFERROR(IF(X49="",0,CEILING((X49/$H49),1)*$H49),"")</f>
        <v>72</v>
      </c>
      <c r="Z49" s="41">
        <f>IFERROR(IF(Y49=0,"",ROUNDUP(Y49/H49,0)*0.00902),"")</f>
        <v>0.16236</v>
      </c>
      <c r="AA49" s="68" t="s">
        <v>46</v>
      </c>
      <c r="AB49" s="69" t="s">
        <v>46</v>
      </c>
      <c r="AC49" s="114" t="s">
        <v>127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75.42</v>
      </c>
      <c r="BN49" s="78">
        <f>IFERROR(Y49*I49/H49,"0")</f>
        <v>75.42</v>
      </c>
      <c r="BO49" s="78">
        <f>IFERROR(1/J49*(X49/H49),"0")</f>
        <v>0.13636363636363635</v>
      </c>
      <c r="BP49" s="78">
        <f>IFERROR(1/J49*(Y49/H49),"0")</f>
        <v>0.13636363636363635</v>
      </c>
    </row>
    <row r="50" spans="1:68" ht="27" hidden="1" customHeight="1" x14ac:dyDescent="0.25">
      <c r="A50" s="63" t="s">
        <v>138</v>
      </c>
      <c r="B50" s="63" t="s">
        <v>139</v>
      </c>
      <c r="C50" s="36">
        <v>4301011565</v>
      </c>
      <c r="D50" s="649">
        <v>4680115882539</v>
      </c>
      <c r="E50" s="64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137</v>
      </c>
      <c r="L50" s="37" t="s">
        <v>46</v>
      </c>
      <c r="M50" s="38" t="s">
        <v>81</v>
      </c>
      <c r="N50" s="38"/>
      <c r="O50" s="37">
        <v>50</v>
      </c>
      <c r="P50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127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45.777777777777771</v>
      </c>
      <c r="Y51" s="43">
        <f>IFERROR(Y47/H47,"0")+IFERROR(Y48/H48,"0")+IFERROR(Y49/H49,"0")+IFERROR(Y50/H50,"0")</f>
        <v>46</v>
      </c>
      <c r="Z51" s="43">
        <f>IFERROR(IF(Z47="",0,Z47),"0")+IFERROR(IF(Z48="",0,Z48),"0")+IFERROR(IF(Z49="",0,Z49),"0")+IFERROR(IF(Z50="",0,Z50),"0")</f>
        <v>0.69379999999999997</v>
      </c>
      <c r="AA51" s="67"/>
      <c r="AB51" s="67"/>
      <c r="AC51" s="67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372</v>
      </c>
      <c r="Y52" s="43">
        <f>IFERROR(SUM(Y47:Y50),"0")</f>
        <v>374.40000000000003</v>
      </c>
      <c r="Z52" s="42"/>
      <c r="AA52" s="67"/>
      <c r="AB52" s="67"/>
      <c r="AC52" s="67"/>
    </row>
    <row r="53" spans="1:68" ht="16.5" hidden="1" customHeight="1" x14ac:dyDescent="0.25">
      <c r="A53" s="647" t="s">
        <v>140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5"/>
      <c r="AB53" s="65"/>
      <c r="AC53" s="79"/>
    </row>
    <row r="54" spans="1:68" ht="14.25" hidden="1" customHeight="1" x14ac:dyDescent="0.25">
      <c r="A54" s="648" t="s">
        <v>124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6"/>
      <c r="AB54" s="66"/>
      <c r="AC54" s="80"/>
    </row>
    <row r="55" spans="1:68" ht="27" hidden="1" customHeight="1" x14ac:dyDescent="0.25">
      <c r="A55" s="63" t="s">
        <v>141</v>
      </c>
      <c r="B55" s="63" t="s">
        <v>142</v>
      </c>
      <c r="C55" s="36">
        <v>4301012161</v>
      </c>
      <c r="D55" s="649">
        <v>4680115885882</v>
      </c>
      <c r="E55" s="64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129</v>
      </c>
      <c r="L55" s="37" t="s">
        <v>46</v>
      </c>
      <c r="M55" s="38" t="s">
        <v>128</v>
      </c>
      <c r="N55" s="38"/>
      <c r="O55" s="37">
        <v>50</v>
      </c>
      <c r="P55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143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4301011816</v>
      </c>
      <c r="D56" s="649">
        <v>4680115881426</v>
      </c>
      <c r="E56" s="64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129</v>
      </c>
      <c r="L56" s="37" t="s">
        <v>46</v>
      </c>
      <c r="M56" s="38" t="s">
        <v>128</v>
      </c>
      <c r="N56" s="38"/>
      <c r="O56" s="37">
        <v>50</v>
      </c>
      <c r="P56" s="92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9" t="s">
        <v>46</v>
      </c>
      <c r="V56" s="39" t="s">
        <v>46</v>
      </c>
      <c r="W56" s="40" t="s">
        <v>0</v>
      </c>
      <c r="X56" s="58">
        <v>60</v>
      </c>
      <c r="Y56" s="55">
        <f t="shared" si="0"/>
        <v>64.800000000000011</v>
      </c>
      <c r="Z56" s="41">
        <f>IFERROR(IF(Y56=0,"",ROUNDUP(Y56/H56,0)*0.01898),"")</f>
        <v>0.11388000000000001</v>
      </c>
      <c r="AA56" s="68" t="s">
        <v>46</v>
      </c>
      <c r="AB56" s="69" t="s">
        <v>46</v>
      </c>
      <c r="AC56" s="120" t="s">
        <v>146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62.277777777777779</v>
      </c>
      <c r="BN56" s="78">
        <f t="shared" si="2"/>
        <v>67.260000000000005</v>
      </c>
      <c r="BO56" s="78">
        <f t="shared" si="3"/>
        <v>8.6805555555555552E-2</v>
      </c>
      <c r="BP56" s="78">
        <f t="shared" si="4"/>
        <v>9.3750000000000014E-2</v>
      </c>
    </row>
    <row r="57" spans="1:68" ht="37.5" hidden="1" customHeight="1" x14ac:dyDescent="0.25">
      <c r="A57" s="63" t="s">
        <v>144</v>
      </c>
      <c r="B57" s="63" t="s">
        <v>147</v>
      </c>
      <c r="C57" s="36">
        <v>4301012162</v>
      </c>
      <c r="D57" s="649">
        <v>4680115881426</v>
      </c>
      <c r="E57" s="649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129</v>
      </c>
      <c r="L57" s="37" t="s">
        <v>46</v>
      </c>
      <c r="M57" s="38" t="s">
        <v>128</v>
      </c>
      <c r="N57" s="38"/>
      <c r="O57" s="37">
        <v>50</v>
      </c>
      <c r="P57" s="91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1"/>
      <c r="R57" s="651"/>
      <c r="S57" s="651"/>
      <c r="T57" s="65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148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149</v>
      </c>
      <c r="B58" s="63" t="s">
        <v>150</v>
      </c>
      <c r="C58" s="36">
        <v>4301012259</v>
      </c>
      <c r="D58" s="649">
        <v>4680115880283</v>
      </c>
      <c r="E58" s="649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128</v>
      </c>
      <c r="N58" s="38"/>
      <c r="O58" s="37">
        <v>45</v>
      </c>
      <c r="P58" s="9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1"/>
      <c r="R58" s="651"/>
      <c r="S58" s="651"/>
      <c r="T58" s="65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151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152</v>
      </c>
      <c r="B59" s="63" t="s">
        <v>153</v>
      </c>
      <c r="C59" s="36">
        <v>4301011806</v>
      </c>
      <c r="D59" s="649">
        <v>4680115881525</v>
      </c>
      <c r="E59" s="64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128</v>
      </c>
      <c r="N59" s="38"/>
      <c r="O59" s="37">
        <v>50</v>
      </c>
      <c r="P59" s="9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154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155</v>
      </c>
      <c r="C60" s="36">
        <v>4301012159</v>
      </c>
      <c r="D60" s="649">
        <v>4680115881525</v>
      </c>
      <c r="E60" s="649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137</v>
      </c>
      <c r="L60" s="37" t="s">
        <v>46</v>
      </c>
      <c r="M60" s="38" t="s">
        <v>128</v>
      </c>
      <c r="N60" s="38"/>
      <c r="O60" s="37">
        <v>50</v>
      </c>
      <c r="P60" s="92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156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157</v>
      </c>
      <c r="B61" s="63" t="s">
        <v>158</v>
      </c>
      <c r="C61" s="36">
        <v>4301012165</v>
      </c>
      <c r="D61" s="649">
        <v>4680115885899</v>
      </c>
      <c r="E61" s="649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128</v>
      </c>
      <c r="N61" s="38"/>
      <c r="O61" s="37">
        <v>50</v>
      </c>
      <c r="P61" s="92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143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159</v>
      </c>
      <c r="B62" s="63" t="s">
        <v>160</v>
      </c>
      <c r="C62" s="36">
        <v>4301012158</v>
      </c>
      <c r="D62" s="649">
        <v>4680115881419</v>
      </c>
      <c r="E62" s="649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137</v>
      </c>
      <c r="L62" s="37" t="s">
        <v>46</v>
      </c>
      <c r="M62" s="38" t="s">
        <v>128</v>
      </c>
      <c r="N62" s="38"/>
      <c r="O62" s="37">
        <v>50</v>
      </c>
      <c r="P62" s="922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54</v>
      </c>
      <c r="Y62" s="55">
        <f t="shared" si="0"/>
        <v>54</v>
      </c>
      <c r="Z62" s="41">
        <f>IFERROR(IF(Y62=0,"",ROUNDUP(Y62/H62,0)*0.00902),"")</f>
        <v>0.10824</v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56.28</v>
      </c>
      <c r="BN62" s="78">
        <f t="shared" si="2"/>
        <v>56.28</v>
      </c>
      <c r="BO62" s="78">
        <f t="shared" si="3"/>
        <v>9.0909090909090912E-2</v>
      </c>
      <c r="BP62" s="78">
        <f t="shared" si="4"/>
        <v>9.0909090909090912E-2</v>
      </c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17.555555555555557</v>
      </c>
      <c r="Y63" s="43">
        <f>IFERROR(Y55/H55,"0")+IFERROR(Y56/H56,"0")+IFERROR(Y57/H57,"0")+IFERROR(Y58/H58,"0")+IFERROR(Y59/H59,"0")+IFERROR(Y60/H60,"0")+IFERROR(Y61/H61,"0")+IFERROR(Y62/H62,"0")</f>
        <v>18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0.22212000000000001</v>
      </c>
      <c r="AA63" s="67"/>
      <c r="AB63" s="67"/>
      <c r="AC63" s="67"/>
    </row>
    <row r="64" spans="1:68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0</v>
      </c>
      <c r="X64" s="43">
        <f>IFERROR(SUM(X55:X62),"0")</f>
        <v>114</v>
      </c>
      <c r="Y64" s="43">
        <f>IFERROR(SUM(Y55:Y62),"0")</f>
        <v>118.80000000000001</v>
      </c>
      <c r="Z64" s="42"/>
      <c r="AA64" s="67"/>
      <c r="AB64" s="67"/>
      <c r="AC64" s="67"/>
    </row>
    <row r="65" spans="1:68" ht="14.25" hidden="1" customHeight="1" x14ac:dyDescent="0.25">
      <c r="A65" s="648" t="s">
        <v>161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6"/>
      <c r="AB65" s="66"/>
      <c r="AC65" s="80"/>
    </row>
    <row r="66" spans="1:68" ht="27" customHeight="1" x14ac:dyDescent="0.25">
      <c r="A66" s="63" t="s">
        <v>162</v>
      </c>
      <c r="B66" s="63" t="s">
        <v>163</v>
      </c>
      <c r="C66" s="36">
        <v>4301020390</v>
      </c>
      <c r="D66" s="649">
        <v>4680115881440</v>
      </c>
      <c r="E66" s="649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129</v>
      </c>
      <c r="L66" s="37" t="s">
        <v>46</v>
      </c>
      <c r="M66" s="38" t="s">
        <v>128</v>
      </c>
      <c r="N66" s="38"/>
      <c r="O66" s="37">
        <v>50</v>
      </c>
      <c r="P66" s="92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120</v>
      </c>
      <c r="Y66" s="55">
        <f>IFERROR(IF(X66="",0,CEILING((X66/$H66),1)*$H66),"")</f>
        <v>129.60000000000002</v>
      </c>
      <c r="Z66" s="41">
        <f>IFERROR(IF(Y66=0,"",ROUNDUP(Y66/H66,0)*0.01898),"")</f>
        <v>0.22776000000000002</v>
      </c>
      <c r="AA66" s="68" t="s">
        <v>46</v>
      </c>
      <c r="AB66" s="69" t="s">
        <v>46</v>
      </c>
      <c r="AC66" s="134" t="s">
        <v>164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124.55555555555556</v>
      </c>
      <c r="BN66" s="78">
        <f>IFERROR(Y66*I66/H66,"0")</f>
        <v>134.52000000000001</v>
      </c>
      <c r="BO66" s="78">
        <f>IFERROR(1/J66*(X66/H66),"0")</f>
        <v>0.1736111111111111</v>
      </c>
      <c r="BP66" s="78">
        <f>IFERROR(1/J66*(Y66/H66),"0")</f>
        <v>0.18750000000000003</v>
      </c>
    </row>
    <row r="67" spans="1:68" ht="16.5" hidden="1" customHeight="1" x14ac:dyDescent="0.25">
      <c r="A67" s="63" t="s">
        <v>165</v>
      </c>
      <c r="B67" s="63" t="s">
        <v>166</v>
      </c>
      <c r="C67" s="36">
        <v>4301020403</v>
      </c>
      <c r="D67" s="649">
        <v>4680115885950</v>
      </c>
      <c r="E67" s="649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128</v>
      </c>
      <c r="N67" s="38"/>
      <c r="O67" s="37">
        <v>50</v>
      </c>
      <c r="P67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51"/>
      <c r="R67" s="651"/>
      <c r="S67" s="651"/>
      <c r="T67" s="65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167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168</v>
      </c>
      <c r="B68" s="63" t="s">
        <v>169</v>
      </c>
      <c r="C68" s="36">
        <v>4301020371</v>
      </c>
      <c r="D68" s="649">
        <v>4680115887688</v>
      </c>
      <c r="E68" s="649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134</v>
      </c>
      <c r="L68" s="37" t="s">
        <v>46</v>
      </c>
      <c r="M68" s="38" t="s">
        <v>133</v>
      </c>
      <c r="N68" s="38"/>
      <c r="O68" s="37">
        <v>30</v>
      </c>
      <c r="P68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1"/>
      <c r="R68" s="651"/>
      <c r="S68" s="651"/>
      <c r="T68" s="65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170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171</v>
      </c>
      <c r="B69" s="63" t="s">
        <v>172</v>
      </c>
      <c r="C69" s="36">
        <v>4301020389</v>
      </c>
      <c r="D69" s="649">
        <v>4680115881433</v>
      </c>
      <c r="E69" s="649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128</v>
      </c>
      <c r="N69" s="38"/>
      <c r="O69" s="37">
        <v>50</v>
      </c>
      <c r="P69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51"/>
      <c r="R69" s="651"/>
      <c r="S69" s="651"/>
      <c r="T69" s="652"/>
      <c r="U69" s="39" t="s">
        <v>46</v>
      </c>
      <c r="V69" s="39" t="s">
        <v>46</v>
      </c>
      <c r="W69" s="40" t="s">
        <v>0</v>
      </c>
      <c r="X69" s="58">
        <v>54</v>
      </c>
      <c r="Y69" s="55">
        <f>IFERROR(IF(X69="",0,CEILING((X69/$H69),1)*$H69),"")</f>
        <v>54</v>
      </c>
      <c r="Z69" s="41">
        <f>IFERROR(IF(Y69=0,"",ROUNDUP(Y69/H69,0)*0.00651),"")</f>
        <v>0.13020000000000001</v>
      </c>
      <c r="AA69" s="68" t="s">
        <v>46</v>
      </c>
      <c r="AB69" s="69" t="s">
        <v>46</v>
      </c>
      <c r="AC69" s="140" t="s">
        <v>164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57.599999999999987</v>
      </c>
      <c r="BN69" s="78">
        <f>IFERROR(Y69*I69/H69,"0")</f>
        <v>57.599999999999987</v>
      </c>
      <c r="BO69" s="78">
        <f>IFERROR(1/J69*(X69/H69),"0")</f>
        <v>0.1098901098901099</v>
      </c>
      <c r="BP69" s="78">
        <f>IFERROR(1/J69*(Y69/H69),"0")</f>
        <v>0.1098901098901099</v>
      </c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2" t="s">
        <v>39</v>
      </c>
      <c r="X70" s="43">
        <f>IFERROR(X66/H66,"0")+IFERROR(X67/H67,"0")+IFERROR(X68/H68,"0")+IFERROR(X69/H69,"0")</f>
        <v>31.111111111111111</v>
      </c>
      <c r="Y70" s="43">
        <f>IFERROR(Y66/H66,"0")+IFERROR(Y67/H67,"0")+IFERROR(Y68/H68,"0")+IFERROR(Y69/H69,"0")</f>
        <v>32</v>
      </c>
      <c r="Z70" s="43">
        <f>IFERROR(IF(Z66="",0,Z66),"0")+IFERROR(IF(Z67="",0,Z67),"0")+IFERROR(IF(Z68="",0,Z68),"0")+IFERROR(IF(Z69="",0,Z69),"0")</f>
        <v>0.35796000000000006</v>
      </c>
      <c r="AA70" s="67"/>
      <c r="AB70" s="67"/>
      <c r="AC70" s="67"/>
    </row>
    <row r="71" spans="1:68" x14ac:dyDescent="0.2">
      <c r="A71" s="656"/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7"/>
      <c r="P71" s="653" t="s">
        <v>40</v>
      </c>
      <c r="Q71" s="654"/>
      <c r="R71" s="654"/>
      <c r="S71" s="654"/>
      <c r="T71" s="654"/>
      <c r="U71" s="654"/>
      <c r="V71" s="655"/>
      <c r="W71" s="42" t="s">
        <v>0</v>
      </c>
      <c r="X71" s="43">
        <f>IFERROR(SUM(X66:X69),"0")</f>
        <v>174</v>
      </c>
      <c r="Y71" s="43">
        <f>IFERROR(SUM(Y66:Y69),"0")</f>
        <v>183.60000000000002</v>
      </c>
      <c r="Z71" s="42"/>
      <c r="AA71" s="67"/>
      <c r="AB71" s="67"/>
      <c r="AC71" s="67"/>
    </row>
    <row r="72" spans="1:68" ht="14.25" hidden="1" customHeight="1" x14ac:dyDescent="0.25">
      <c r="A72" s="648" t="s">
        <v>77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6"/>
      <c r="AB72" s="66"/>
      <c r="AC72" s="80"/>
    </row>
    <row r="73" spans="1:68" ht="16.5" hidden="1" customHeight="1" x14ac:dyDescent="0.25">
      <c r="A73" s="63" t="s">
        <v>173</v>
      </c>
      <c r="B73" s="63" t="s">
        <v>174</v>
      </c>
      <c r="C73" s="36">
        <v>4301051837</v>
      </c>
      <c r="D73" s="649">
        <v>4680115884311</v>
      </c>
      <c r="E73" s="64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82</v>
      </c>
      <c r="L73" s="37" t="s">
        <v>46</v>
      </c>
      <c r="M73" s="38" t="s">
        <v>81</v>
      </c>
      <c r="N73" s="38"/>
      <c r="O73" s="37">
        <v>40</v>
      </c>
      <c r="P73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175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176</v>
      </c>
      <c r="B74" s="63" t="s">
        <v>177</v>
      </c>
      <c r="C74" s="36">
        <v>4301052083</v>
      </c>
      <c r="D74" s="649">
        <v>4680115884403</v>
      </c>
      <c r="E74" s="64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82</v>
      </c>
      <c r="L74" s="37" t="s">
        <v>46</v>
      </c>
      <c r="M74" s="38" t="s">
        <v>81</v>
      </c>
      <c r="N74" s="38"/>
      <c r="O74" s="37">
        <v>40</v>
      </c>
      <c r="P74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178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48" t="s">
        <v>179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6"/>
      <c r="AB77" s="66"/>
      <c r="AC77" s="80"/>
    </row>
    <row r="78" spans="1:68" ht="27" customHeight="1" x14ac:dyDescent="0.25">
      <c r="A78" s="63" t="s">
        <v>180</v>
      </c>
      <c r="B78" s="63" t="s">
        <v>181</v>
      </c>
      <c r="C78" s="36">
        <v>4301060455</v>
      </c>
      <c r="D78" s="649">
        <v>4680115881532</v>
      </c>
      <c r="E78" s="64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129</v>
      </c>
      <c r="L78" s="37" t="s">
        <v>46</v>
      </c>
      <c r="M78" s="38" t="s">
        <v>88</v>
      </c>
      <c r="N78" s="38"/>
      <c r="O78" s="37">
        <v>30</v>
      </c>
      <c r="P78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60</v>
      </c>
      <c r="Y78" s="55">
        <f>IFERROR(IF(X78="",0,CEILING((X78/$H78),1)*$H78),"")</f>
        <v>62.4</v>
      </c>
      <c r="Z78" s="41">
        <f>IFERROR(IF(Y78=0,"",ROUNDUP(Y78/H78,0)*0.01898),"")</f>
        <v>0.15184</v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63.15384615384616</v>
      </c>
      <c r="BN78" s="78">
        <f>IFERROR(Y78*I78/H78,"0")</f>
        <v>65.680000000000007</v>
      </c>
      <c r="BO78" s="78">
        <f>IFERROR(1/J78*(X78/H78),"0")</f>
        <v>0.1201923076923077</v>
      </c>
      <c r="BP78" s="78">
        <f>IFERROR(1/J78*(Y78/H78),"0")</f>
        <v>0.125</v>
      </c>
    </row>
    <row r="79" spans="1:68" ht="27" hidden="1" customHeight="1" x14ac:dyDescent="0.25">
      <c r="A79" s="63" t="s">
        <v>180</v>
      </c>
      <c r="B79" s="63" t="s">
        <v>183</v>
      </c>
      <c r="C79" s="36">
        <v>4301060526</v>
      </c>
      <c r="D79" s="649">
        <v>4680115881532</v>
      </c>
      <c r="E79" s="64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129</v>
      </c>
      <c r="L79" s="37" t="s">
        <v>46</v>
      </c>
      <c r="M79" s="38" t="s">
        <v>88</v>
      </c>
      <c r="N79" s="38"/>
      <c r="O79" s="37">
        <v>30</v>
      </c>
      <c r="P79" s="90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182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184</v>
      </c>
      <c r="B80" s="63" t="s">
        <v>185</v>
      </c>
      <c r="C80" s="36">
        <v>4301060527</v>
      </c>
      <c r="D80" s="649">
        <v>4680115881464</v>
      </c>
      <c r="E80" s="64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137</v>
      </c>
      <c r="L80" s="37" t="s">
        <v>46</v>
      </c>
      <c r="M80" s="38" t="s">
        <v>81</v>
      </c>
      <c r="N80" s="38"/>
      <c r="O80" s="37">
        <v>30</v>
      </c>
      <c r="P80" s="90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186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2" t="s">
        <v>39</v>
      </c>
      <c r="X81" s="43">
        <f>IFERROR(X78/H78,"0")+IFERROR(X79/H79,"0")+IFERROR(X80/H80,"0")</f>
        <v>7.6923076923076925</v>
      </c>
      <c r="Y81" s="43">
        <f>IFERROR(Y78/H78,"0")+IFERROR(Y79/H79,"0")+IFERROR(Y80/H80,"0")</f>
        <v>8</v>
      </c>
      <c r="Z81" s="43">
        <f>IFERROR(IF(Z78="",0,Z78),"0")+IFERROR(IF(Z79="",0,Z79),"0")+IFERROR(IF(Z80="",0,Z80),"0")</f>
        <v>0.15184</v>
      </c>
      <c r="AA81" s="67"/>
      <c r="AB81" s="67"/>
      <c r="AC81" s="67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2" t="s">
        <v>0</v>
      </c>
      <c r="X82" s="43">
        <f>IFERROR(SUM(X78:X80),"0")</f>
        <v>60</v>
      </c>
      <c r="Y82" s="43">
        <f>IFERROR(SUM(Y78:Y80),"0")</f>
        <v>62.4</v>
      </c>
      <c r="Z82" s="42"/>
      <c r="AA82" s="67"/>
      <c r="AB82" s="67"/>
      <c r="AC82" s="67"/>
    </row>
    <row r="83" spans="1:68" ht="16.5" hidden="1" customHeight="1" x14ac:dyDescent="0.25">
      <c r="A83" s="647" t="s">
        <v>187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5"/>
      <c r="AB83" s="65"/>
      <c r="AC83" s="79"/>
    </row>
    <row r="84" spans="1:68" ht="14.25" hidden="1" customHeight="1" x14ac:dyDescent="0.25">
      <c r="A84" s="648" t="s">
        <v>124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6"/>
      <c r="AB84" s="66"/>
      <c r="AC84" s="80"/>
    </row>
    <row r="85" spans="1:68" ht="27" customHeight="1" x14ac:dyDescent="0.25">
      <c r="A85" s="63" t="s">
        <v>188</v>
      </c>
      <c r="B85" s="63" t="s">
        <v>189</v>
      </c>
      <c r="C85" s="36">
        <v>4301011468</v>
      </c>
      <c r="D85" s="649">
        <v>4680115881327</v>
      </c>
      <c r="E85" s="64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129</v>
      </c>
      <c r="L85" s="37" t="s">
        <v>46</v>
      </c>
      <c r="M85" s="38" t="s">
        <v>88</v>
      </c>
      <c r="N85" s="38"/>
      <c r="O85" s="37">
        <v>50</v>
      </c>
      <c r="P85" s="9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9" t="s">
        <v>46</v>
      </c>
      <c r="V85" s="39" t="s">
        <v>46</v>
      </c>
      <c r="W85" s="40" t="s">
        <v>0</v>
      </c>
      <c r="X85" s="58">
        <v>250</v>
      </c>
      <c r="Y85" s="55">
        <f t="shared" ref="Y85:Y90" si="5">IFERROR(IF(X85="",0,CEILING((X85/$H85),1)*$H85),"")</f>
        <v>259.20000000000005</v>
      </c>
      <c r="Z85" s="41">
        <f>IFERROR(IF(Y85=0,"",ROUNDUP(Y85/H85,0)*0.01898),"")</f>
        <v>0.45552000000000004</v>
      </c>
      <c r="AA85" s="68" t="s">
        <v>46</v>
      </c>
      <c r="AB85" s="69" t="s">
        <v>46</v>
      </c>
      <c r="AC85" s="152" t="s">
        <v>190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259.4907407407407</v>
      </c>
      <c r="BN85" s="78">
        <f t="shared" ref="BN85:BN90" si="7">IFERROR(Y85*I85/H85,"0")</f>
        <v>269.04000000000002</v>
      </c>
      <c r="BO85" s="78">
        <f t="shared" ref="BO85:BO90" si="8">IFERROR(1/J85*(X85/H85),"0")</f>
        <v>0.36168981481481477</v>
      </c>
      <c r="BP85" s="78">
        <f t="shared" ref="BP85:BP90" si="9">IFERROR(1/J85*(Y85/H85),"0")</f>
        <v>0.37500000000000006</v>
      </c>
    </row>
    <row r="86" spans="1:68" ht="27" hidden="1" customHeight="1" x14ac:dyDescent="0.25">
      <c r="A86" s="63" t="s">
        <v>188</v>
      </c>
      <c r="B86" s="63" t="s">
        <v>191</v>
      </c>
      <c r="C86" s="36">
        <v>4301012251</v>
      </c>
      <c r="D86" s="649">
        <v>4680115881327</v>
      </c>
      <c r="E86" s="649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129</v>
      </c>
      <c r="L86" s="37" t="s">
        <v>46</v>
      </c>
      <c r="M86" s="38" t="s">
        <v>128</v>
      </c>
      <c r="N86" s="38"/>
      <c r="O86" s="37">
        <v>50</v>
      </c>
      <c r="P86" s="91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51"/>
      <c r="R86" s="651"/>
      <c r="S86" s="651"/>
      <c r="T86" s="65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IFERROR(IF(Y86=0,"",ROUNDUP(Y86/H86,0)*0.01898),"")</f>
        <v/>
      </c>
      <c r="AA86" s="68" t="s">
        <v>46</v>
      </c>
      <c r="AB86" s="69" t="s">
        <v>46</v>
      </c>
      <c r="AC86" s="154" t="s">
        <v>190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192</v>
      </c>
      <c r="B87" s="63" t="s">
        <v>193</v>
      </c>
      <c r="C87" s="36">
        <v>4301012392</v>
      </c>
      <c r="D87" s="649">
        <v>4680115887732</v>
      </c>
      <c r="E87" s="64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134</v>
      </c>
      <c r="L87" s="37" t="s">
        <v>46</v>
      </c>
      <c r="M87" s="38" t="s">
        <v>133</v>
      </c>
      <c r="N87" s="38"/>
      <c r="O87" s="37">
        <v>30</v>
      </c>
      <c r="P87" s="91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194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195</v>
      </c>
      <c r="B88" s="63" t="s">
        <v>196</v>
      </c>
      <c r="C88" s="36">
        <v>4301011476</v>
      </c>
      <c r="D88" s="649">
        <v>4680115881518</v>
      </c>
      <c r="E88" s="64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137</v>
      </c>
      <c r="L88" s="37" t="s">
        <v>46</v>
      </c>
      <c r="M88" s="38" t="s">
        <v>81</v>
      </c>
      <c r="N88" s="38"/>
      <c r="O88" s="37">
        <v>50</v>
      </c>
      <c r="P88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195</v>
      </c>
      <c r="B89" s="63" t="s">
        <v>197</v>
      </c>
      <c r="C89" s="36">
        <v>4301012252</v>
      </c>
      <c r="D89" s="649">
        <v>4680115881518</v>
      </c>
      <c r="E89" s="649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137</v>
      </c>
      <c r="L89" s="37" t="s">
        <v>46</v>
      </c>
      <c r="M89" s="38" t="s">
        <v>128</v>
      </c>
      <c r="N89" s="38"/>
      <c r="O89" s="37">
        <v>50</v>
      </c>
      <c r="P89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190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customHeight="1" x14ac:dyDescent="0.25">
      <c r="A90" s="63" t="s">
        <v>198</v>
      </c>
      <c r="B90" s="63" t="s">
        <v>199</v>
      </c>
      <c r="C90" s="36">
        <v>4301012250</v>
      </c>
      <c r="D90" s="649">
        <v>4680115881303</v>
      </c>
      <c r="E90" s="649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137</v>
      </c>
      <c r="L90" s="37" t="s">
        <v>46</v>
      </c>
      <c r="M90" s="38" t="s">
        <v>128</v>
      </c>
      <c r="N90" s="38"/>
      <c r="O90" s="37">
        <v>50</v>
      </c>
      <c r="P90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36</v>
      </c>
      <c r="Y90" s="55">
        <f t="shared" si="5"/>
        <v>36</v>
      </c>
      <c r="Z90" s="41">
        <f>IFERROR(IF(Y90=0,"",ROUNDUP(Y90/H90,0)*0.00902),"")</f>
        <v>7.2160000000000002E-2</v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37.520000000000003</v>
      </c>
      <c r="BN90" s="78">
        <f t="shared" si="7"/>
        <v>37.520000000000003</v>
      </c>
      <c r="BO90" s="78">
        <f t="shared" si="8"/>
        <v>6.0606060606060608E-2</v>
      </c>
      <c r="BP90" s="78">
        <f t="shared" si="9"/>
        <v>6.0606060606060608E-2</v>
      </c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2" t="s">
        <v>39</v>
      </c>
      <c r="X91" s="43">
        <f>IFERROR(X85/H85,"0")+IFERROR(X86/H86,"0")+IFERROR(X87/H87,"0")+IFERROR(X88/H88,"0")+IFERROR(X89/H89,"0")+IFERROR(X90/H90,"0")</f>
        <v>31.148148148148145</v>
      </c>
      <c r="Y91" s="43">
        <f>IFERROR(Y85/H85,"0")+IFERROR(Y86/H86,"0")+IFERROR(Y87/H87,"0")+IFERROR(Y88/H88,"0")+IFERROR(Y89/H89,"0")+IFERROR(Y90/H90,"0")</f>
        <v>32</v>
      </c>
      <c r="Z91" s="43">
        <f>IFERROR(IF(Z85="",0,Z85),"0")+IFERROR(IF(Z86="",0,Z86),"0")+IFERROR(IF(Z87="",0,Z87),"0")+IFERROR(IF(Z88="",0,Z88),"0")+IFERROR(IF(Z89="",0,Z89),"0")+IFERROR(IF(Z90="",0,Z90),"0")</f>
        <v>0.52768000000000004</v>
      </c>
      <c r="AA91" s="67"/>
      <c r="AB91" s="67"/>
      <c r="AC91" s="67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0</v>
      </c>
      <c r="X92" s="43">
        <f>IFERROR(SUM(X85:X90),"0")</f>
        <v>286</v>
      </c>
      <c r="Y92" s="43">
        <f>IFERROR(SUM(Y85:Y90),"0")</f>
        <v>295.20000000000005</v>
      </c>
      <c r="Z92" s="42"/>
      <c r="AA92" s="67"/>
      <c r="AB92" s="67"/>
      <c r="AC92" s="67"/>
    </row>
    <row r="93" spans="1:68" ht="14.25" hidden="1" customHeight="1" x14ac:dyDescent="0.25">
      <c r="A93" s="648" t="s">
        <v>77</v>
      </c>
      <c r="B93" s="648"/>
      <c r="C93" s="648"/>
      <c r="D93" s="648"/>
      <c r="E93" s="648"/>
      <c r="F93" s="648"/>
      <c r="G93" s="648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6"/>
      <c r="AB93" s="66"/>
      <c r="AC93" s="80"/>
    </row>
    <row r="94" spans="1:68" ht="27" customHeight="1" x14ac:dyDescent="0.25">
      <c r="A94" s="63" t="s">
        <v>200</v>
      </c>
      <c r="B94" s="63" t="s">
        <v>201</v>
      </c>
      <c r="C94" s="36">
        <v>4301052101</v>
      </c>
      <c r="D94" s="649">
        <v>4607091386967</v>
      </c>
      <c r="E94" s="649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129</v>
      </c>
      <c r="L94" s="37" t="s">
        <v>46</v>
      </c>
      <c r="M94" s="38" t="s">
        <v>88</v>
      </c>
      <c r="N94" s="38"/>
      <c r="O94" s="37">
        <v>45</v>
      </c>
      <c r="P94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1"/>
      <c r="R94" s="651"/>
      <c r="S94" s="651"/>
      <c r="T94" s="652"/>
      <c r="U94" s="39" t="s">
        <v>46</v>
      </c>
      <c r="V94" s="39" t="s">
        <v>46</v>
      </c>
      <c r="W94" s="40" t="s">
        <v>0</v>
      </c>
      <c r="X94" s="58">
        <v>200</v>
      </c>
      <c r="Y94" s="55">
        <f>IFERROR(IF(X94="",0,CEILING((X94/$H94),1)*$H94),"")</f>
        <v>202.5</v>
      </c>
      <c r="Z94" s="41">
        <f>IFERROR(IF(Y94=0,"",ROUNDUP(Y94/H94,0)*0.01898),"")</f>
        <v>0.47450000000000003</v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212.19753086419755</v>
      </c>
      <c r="BN94" s="78">
        <f>IFERROR(Y94*I94/H94,"0")</f>
        <v>214.85</v>
      </c>
      <c r="BO94" s="78">
        <f>IFERROR(1/J94*(X94/H94),"0")</f>
        <v>0.38580246913580246</v>
      </c>
      <c r="BP94" s="78">
        <f>IFERROR(1/J94*(Y94/H94),"0")</f>
        <v>0.390625</v>
      </c>
    </row>
    <row r="95" spans="1:68" ht="27" hidden="1" customHeight="1" x14ac:dyDescent="0.25">
      <c r="A95" s="63" t="s">
        <v>203</v>
      </c>
      <c r="B95" s="63" t="s">
        <v>204</v>
      </c>
      <c r="C95" s="36">
        <v>4301052090</v>
      </c>
      <c r="D95" s="649">
        <v>4680115884953</v>
      </c>
      <c r="E95" s="649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82</v>
      </c>
      <c r="L95" s="37" t="s">
        <v>46</v>
      </c>
      <c r="M95" s="38" t="s">
        <v>81</v>
      </c>
      <c r="N95" s="38"/>
      <c r="O95" s="37">
        <v>45</v>
      </c>
      <c r="P95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206</v>
      </c>
      <c r="B96" s="63" t="s">
        <v>207</v>
      </c>
      <c r="C96" s="36">
        <v>4301052094</v>
      </c>
      <c r="D96" s="649">
        <v>4607091385731</v>
      </c>
      <c r="E96" s="649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82</v>
      </c>
      <c r="L96" s="37" t="s">
        <v>46</v>
      </c>
      <c r="M96" s="38" t="s">
        <v>88</v>
      </c>
      <c r="N96" s="38"/>
      <c r="O96" s="37">
        <v>45</v>
      </c>
      <c r="P96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27</v>
      </c>
      <c r="Y96" s="55">
        <f>IFERROR(IF(X96="",0,CEILING((X96/$H96),1)*$H96),"")</f>
        <v>27</v>
      </c>
      <c r="Z96" s="41">
        <f>IFERROR(IF(Y96=0,"",ROUNDUP(Y96/H96,0)*0.00651),"")</f>
        <v>6.5100000000000005E-2</v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29.519999999999996</v>
      </c>
      <c r="BN96" s="78">
        <f>IFERROR(Y96*I96/H96,"0")</f>
        <v>29.519999999999996</v>
      </c>
      <c r="BO96" s="78">
        <f>IFERROR(1/J96*(X96/H96),"0")</f>
        <v>5.4945054945054951E-2</v>
      </c>
      <c r="BP96" s="78">
        <f>IFERROR(1/J96*(Y96/H96),"0")</f>
        <v>5.4945054945054951E-2</v>
      </c>
    </row>
    <row r="97" spans="1:68" ht="16.5" hidden="1" customHeight="1" x14ac:dyDescent="0.25">
      <c r="A97" s="63" t="s">
        <v>208</v>
      </c>
      <c r="B97" s="63" t="s">
        <v>209</v>
      </c>
      <c r="C97" s="36">
        <v>4301052092</v>
      </c>
      <c r="D97" s="649">
        <v>4680115880894</v>
      </c>
      <c r="E97" s="649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82</v>
      </c>
      <c r="L97" s="37" t="s">
        <v>46</v>
      </c>
      <c r="M97" s="38" t="s">
        <v>81</v>
      </c>
      <c r="N97" s="38"/>
      <c r="O97" s="37">
        <v>45</v>
      </c>
      <c r="P97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210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2" t="s">
        <v>39</v>
      </c>
      <c r="X98" s="43">
        <f>IFERROR(X94/H94,"0")+IFERROR(X95/H95,"0")+IFERROR(X96/H96,"0")+IFERROR(X97/H97,"0")</f>
        <v>34.691358024691354</v>
      </c>
      <c r="Y98" s="43">
        <f>IFERROR(Y94/H94,"0")+IFERROR(Y95/H95,"0")+IFERROR(Y96/H96,"0")+IFERROR(Y97/H97,"0")</f>
        <v>35</v>
      </c>
      <c r="Z98" s="43">
        <f>IFERROR(IF(Z94="",0,Z94),"0")+IFERROR(IF(Z95="",0,Z95),"0")+IFERROR(IF(Z96="",0,Z96),"0")+IFERROR(IF(Z97="",0,Z97),"0")</f>
        <v>0.53960000000000008</v>
      </c>
      <c r="AA98" s="67"/>
      <c r="AB98" s="67"/>
      <c r="AC98" s="67"/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0</v>
      </c>
      <c r="X99" s="43">
        <f>IFERROR(SUM(X94:X97),"0")</f>
        <v>227</v>
      </c>
      <c r="Y99" s="43">
        <f>IFERROR(SUM(Y94:Y97),"0")</f>
        <v>229.5</v>
      </c>
      <c r="Z99" s="42"/>
      <c r="AA99" s="67"/>
      <c r="AB99" s="67"/>
      <c r="AC99" s="67"/>
    </row>
    <row r="100" spans="1:68" ht="16.5" hidden="1" customHeight="1" x14ac:dyDescent="0.25">
      <c r="A100" s="647" t="s">
        <v>211</v>
      </c>
      <c r="B100" s="647"/>
      <c r="C100" s="647"/>
      <c r="D100" s="647"/>
      <c r="E100" s="647"/>
      <c r="F100" s="647"/>
      <c r="G100" s="647"/>
      <c r="H100" s="647"/>
      <c r="I100" s="647"/>
      <c r="J100" s="647"/>
      <c r="K100" s="647"/>
      <c r="L100" s="647"/>
      <c r="M100" s="647"/>
      <c r="N100" s="647"/>
      <c r="O100" s="647"/>
      <c r="P100" s="647"/>
      <c r="Q100" s="647"/>
      <c r="R100" s="647"/>
      <c r="S100" s="647"/>
      <c r="T100" s="647"/>
      <c r="U100" s="647"/>
      <c r="V100" s="647"/>
      <c r="W100" s="647"/>
      <c r="X100" s="647"/>
      <c r="Y100" s="647"/>
      <c r="Z100" s="647"/>
      <c r="AA100" s="65"/>
      <c r="AB100" s="65"/>
      <c r="AC100" s="79"/>
    </row>
    <row r="101" spans="1:68" ht="14.25" hidden="1" customHeight="1" x14ac:dyDescent="0.25">
      <c r="A101" s="648" t="s">
        <v>124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6"/>
      <c r="AB101" s="66"/>
      <c r="AC101" s="80"/>
    </row>
    <row r="102" spans="1:68" ht="37.5" customHeight="1" x14ac:dyDescent="0.25">
      <c r="A102" s="63" t="s">
        <v>212</v>
      </c>
      <c r="B102" s="63" t="s">
        <v>213</v>
      </c>
      <c r="C102" s="36">
        <v>4301011514</v>
      </c>
      <c r="D102" s="649">
        <v>4680115882133</v>
      </c>
      <c r="E102" s="64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129</v>
      </c>
      <c r="L102" s="37" t="s">
        <v>46</v>
      </c>
      <c r="M102" s="38" t="s">
        <v>128</v>
      </c>
      <c r="N102" s="38"/>
      <c r="O102" s="37">
        <v>50</v>
      </c>
      <c r="P102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1"/>
      <c r="R102" s="651"/>
      <c r="S102" s="651"/>
      <c r="T102" s="652"/>
      <c r="U102" s="39" t="s">
        <v>46</v>
      </c>
      <c r="V102" s="39" t="s">
        <v>46</v>
      </c>
      <c r="W102" s="40" t="s">
        <v>0</v>
      </c>
      <c r="X102" s="58">
        <v>250</v>
      </c>
      <c r="Y102" s="55">
        <f t="shared" ref="Y102:Y108" si="10">IFERROR(IF(X102="",0,CEILING((X102/$H102),1)*$H102),"")</f>
        <v>259.20000000000005</v>
      </c>
      <c r="Z102" s="41">
        <f>IFERROR(IF(Y102=0,"",ROUNDUP(Y102/H102,0)*0.01898),"")</f>
        <v>0.45552000000000004</v>
      </c>
      <c r="AA102" s="68" t="s">
        <v>46</v>
      </c>
      <c r="AB102" s="69" t="s">
        <v>46</v>
      </c>
      <c r="AC102" s="172" t="s">
        <v>214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8" si="11">IFERROR(X102*I102/H102,"0")</f>
        <v>259.4907407407407</v>
      </c>
      <c r="BN102" s="78">
        <f t="shared" ref="BN102:BN108" si="12">IFERROR(Y102*I102/H102,"0")</f>
        <v>269.04000000000002</v>
      </c>
      <c r="BO102" s="78">
        <f t="shared" ref="BO102:BO108" si="13">IFERROR(1/J102*(X102/H102),"0")</f>
        <v>0.36168981481481477</v>
      </c>
      <c r="BP102" s="78">
        <f t="shared" ref="BP102:BP108" si="14">IFERROR(1/J102*(Y102/H102),"0")</f>
        <v>0.37500000000000006</v>
      </c>
    </row>
    <row r="103" spans="1:68" ht="27" hidden="1" customHeight="1" x14ac:dyDescent="0.25">
      <c r="A103" s="63" t="s">
        <v>212</v>
      </c>
      <c r="B103" s="63" t="s">
        <v>215</v>
      </c>
      <c r="C103" s="36">
        <v>4301012256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129</v>
      </c>
      <c r="L103" s="37" t="s">
        <v>46</v>
      </c>
      <c r="M103" s="38" t="s">
        <v>128</v>
      </c>
      <c r="N103" s="38"/>
      <c r="O103" s="37">
        <v>50</v>
      </c>
      <c r="P103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216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217</v>
      </c>
      <c r="B104" s="63" t="s">
        <v>218</v>
      </c>
      <c r="C104" s="36">
        <v>4301012379</v>
      </c>
      <c r="D104" s="649">
        <v>4680115887718</v>
      </c>
      <c r="E104" s="649"/>
      <c r="F104" s="62">
        <v>0.11</v>
      </c>
      <c r="G104" s="37">
        <v>6</v>
      </c>
      <c r="H104" s="62">
        <v>0.66</v>
      </c>
      <c r="I104" s="62">
        <v>0.82599999999999996</v>
      </c>
      <c r="J104" s="37">
        <v>192</v>
      </c>
      <c r="K104" s="37" t="s">
        <v>134</v>
      </c>
      <c r="L104" s="37" t="s">
        <v>46</v>
      </c>
      <c r="M104" s="38" t="s">
        <v>133</v>
      </c>
      <c r="N104" s="38"/>
      <c r="O104" s="37">
        <v>30</v>
      </c>
      <c r="P104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220</v>
      </c>
      <c r="B105" s="63" t="s">
        <v>221</v>
      </c>
      <c r="C105" s="36">
        <v>4301012253</v>
      </c>
      <c r="D105" s="649">
        <v>4680115880269</v>
      </c>
      <c r="E105" s="649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137</v>
      </c>
      <c r="L105" s="37" t="s">
        <v>46</v>
      </c>
      <c r="M105" s="38" t="s">
        <v>128</v>
      </c>
      <c r="N105" s="38"/>
      <c r="O105" s="37">
        <v>50</v>
      </c>
      <c r="P105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222</v>
      </c>
      <c r="B106" s="63" t="s">
        <v>223</v>
      </c>
      <c r="C106" s="36">
        <v>4301012254</v>
      </c>
      <c r="D106" s="649">
        <v>4680115880429</v>
      </c>
      <c r="E106" s="649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137</v>
      </c>
      <c r="L106" s="37" t="s">
        <v>46</v>
      </c>
      <c r="M106" s="38" t="s">
        <v>128</v>
      </c>
      <c r="N106" s="38"/>
      <c r="O106" s="37">
        <v>50</v>
      </c>
      <c r="P106" s="89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216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224</v>
      </c>
      <c r="B107" s="63" t="s">
        <v>225</v>
      </c>
      <c r="C107" s="36">
        <v>4301012255</v>
      </c>
      <c r="D107" s="649">
        <v>4680115881457</v>
      </c>
      <c r="E107" s="64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137</v>
      </c>
      <c r="L107" s="37" t="s">
        <v>46</v>
      </c>
      <c r="M107" s="38" t="s">
        <v>128</v>
      </c>
      <c r="N107" s="38"/>
      <c r="O107" s="37">
        <v>50</v>
      </c>
      <c r="P107" s="89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216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226</v>
      </c>
      <c r="B108" s="63" t="s">
        <v>227</v>
      </c>
      <c r="C108" s="36">
        <v>4301012366</v>
      </c>
      <c r="D108" s="649">
        <v>4680115889477</v>
      </c>
      <c r="E108" s="64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82</v>
      </c>
      <c r="L108" s="37" t="s">
        <v>46</v>
      </c>
      <c r="M108" s="38" t="s">
        <v>128</v>
      </c>
      <c r="N108" s="38"/>
      <c r="O108" s="37">
        <v>55</v>
      </c>
      <c r="P108" s="8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228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2" t="s">
        <v>39</v>
      </c>
      <c r="X109" s="43">
        <f>IFERROR(X102/H102,"0")+IFERROR(X103/H103,"0")+IFERROR(X104/H104,"0")+IFERROR(X105/H105,"0")+IFERROR(X106/H106,"0")+IFERROR(X107/H107,"0")+IFERROR(X108/H108,"0")</f>
        <v>23.148148148148145</v>
      </c>
      <c r="Y109" s="43">
        <f>IFERROR(Y102/H102,"0")+IFERROR(Y103/H103,"0")+IFERROR(Y104/H104,"0")+IFERROR(Y105/H105,"0")+IFERROR(Y106/H106,"0")+IFERROR(Y107/H107,"0")+IFERROR(Y108/H108,"0")</f>
        <v>24.000000000000004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0.45552000000000004</v>
      </c>
      <c r="AA109" s="67"/>
      <c r="AB109" s="67"/>
      <c r="AC109" s="67"/>
    </row>
    <row r="110" spans="1:68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2" t="s">
        <v>0</v>
      </c>
      <c r="X110" s="43">
        <f>IFERROR(SUM(X102:X108),"0")</f>
        <v>250</v>
      </c>
      <c r="Y110" s="43">
        <f>IFERROR(SUM(Y102:Y108),"0")</f>
        <v>259.20000000000005</v>
      </c>
      <c r="Z110" s="42"/>
      <c r="AA110" s="67"/>
      <c r="AB110" s="67"/>
      <c r="AC110" s="67"/>
    </row>
    <row r="111" spans="1:68" ht="14.25" hidden="1" customHeight="1" x14ac:dyDescent="0.25">
      <c r="A111" s="648" t="s">
        <v>161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6"/>
      <c r="AB111" s="66"/>
      <c r="AC111" s="80"/>
    </row>
    <row r="112" spans="1:68" ht="27" hidden="1" customHeight="1" x14ac:dyDescent="0.25">
      <c r="A112" s="63" t="s">
        <v>229</v>
      </c>
      <c r="B112" s="63" t="s">
        <v>230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129</v>
      </c>
      <c r="L112" s="37" t="s">
        <v>46</v>
      </c>
      <c r="M112" s="38" t="s">
        <v>128</v>
      </c>
      <c r="N112" s="38"/>
      <c r="O112" s="37">
        <v>55</v>
      </c>
      <c r="P112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231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232</v>
      </c>
      <c r="B113" s="63" t="s">
        <v>233</v>
      </c>
      <c r="C113" s="36">
        <v>4301020393</v>
      </c>
      <c r="D113" s="649">
        <v>4680115882775</v>
      </c>
      <c r="E113" s="649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234</v>
      </c>
      <c r="L113" s="37" t="s">
        <v>46</v>
      </c>
      <c r="M113" s="38" t="s">
        <v>128</v>
      </c>
      <c r="N113" s="38"/>
      <c r="O113" s="37">
        <v>55</v>
      </c>
      <c r="P113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88" t="s">
        <v>231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235</v>
      </c>
      <c r="B114" s="63" t="s">
        <v>236</v>
      </c>
      <c r="C114" s="36">
        <v>4301020392</v>
      </c>
      <c r="D114" s="649">
        <v>4680115880658</v>
      </c>
      <c r="E114" s="649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128</v>
      </c>
      <c r="N114" s="38"/>
      <c r="O114" s="37">
        <v>55</v>
      </c>
      <c r="P114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90" t="s">
        <v>231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idden="1" x14ac:dyDescent="0.2">
      <c r="A115" s="656"/>
      <c r="B115" s="656"/>
      <c r="C115" s="656"/>
      <c r="D115" s="656"/>
      <c r="E115" s="656"/>
      <c r="F115" s="656"/>
      <c r="G115" s="656"/>
      <c r="H115" s="656"/>
      <c r="I115" s="656"/>
      <c r="J115" s="656"/>
      <c r="K115" s="656"/>
      <c r="L115" s="656"/>
      <c r="M115" s="656"/>
      <c r="N115" s="656"/>
      <c r="O115" s="657"/>
      <c r="P115" s="653" t="s">
        <v>40</v>
      </c>
      <c r="Q115" s="654"/>
      <c r="R115" s="654"/>
      <c r="S115" s="654"/>
      <c r="T115" s="654"/>
      <c r="U115" s="654"/>
      <c r="V115" s="655"/>
      <c r="W115" s="42" t="s">
        <v>39</v>
      </c>
      <c r="X115" s="43">
        <f>IFERROR(X112/H112,"0")+IFERROR(X113/H113,"0")+IFERROR(X114/H114,"0")</f>
        <v>0</v>
      </c>
      <c r="Y115" s="43">
        <f>IFERROR(Y112/H112,"0")+IFERROR(Y113/H113,"0")+IFERROR(Y114/H114,"0")</f>
        <v>0</v>
      </c>
      <c r="Z115" s="43">
        <f>IFERROR(IF(Z112="",0,Z112),"0")+IFERROR(IF(Z113="",0,Z113),"0")+IFERROR(IF(Z114="",0,Z114),"0")</f>
        <v>0</v>
      </c>
      <c r="AA115" s="67"/>
      <c r="AB115" s="67"/>
      <c r="AC115" s="67"/>
    </row>
    <row r="116" spans="1:68" hidden="1" x14ac:dyDescent="0.2">
      <c r="A116" s="656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53" t="s">
        <v>40</v>
      </c>
      <c r="Q116" s="654"/>
      <c r="R116" s="654"/>
      <c r="S116" s="654"/>
      <c r="T116" s="654"/>
      <c r="U116" s="654"/>
      <c r="V116" s="655"/>
      <c r="W116" s="42" t="s">
        <v>0</v>
      </c>
      <c r="X116" s="43">
        <f>IFERROR(SUM(X112:X114),"0")</f>
        <v>0</v>
      </c>
      <c r="Y116" s="43">
        <f>IFERROR(SUM(Y112:Y114),"0")</f>
        <v>0</v>
      </c>
      <c r="Z116" s="42"/>
      <c r="AA116" s="67"/>
      <c r="AB116" s="67"/>
      <c r="AC116" s="67"/>
    </row>
    <row r="117" spans="1:68" ht="14.25" hidden="1" customHeight="1" x14ac:dyDescent="0.25">
      <c r="A117" s="648" t="s">
        <v>77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6"/>
      <c r="AB117" s="66"/>
      <c r="AC117" s="80"/>
    </row>
    <row r="118" spans="1:68" ht="27" customHeight="1" x14ac:dyDescent="0.25">
      <c r="A118" s="63" t="s">
        <v>237</v>
      </c>
      <c r="B118" s="63" t="s">
        <v>238</v>
      </c>
      <c r="C118" s="36">
        <v>4301052088</v>
      </c>
      <c r="D118" s="649">
        <v>4607091385168</v>
      </c>
      <c r="E118" s="649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129</v>
      </c>
      <c r="L118" s="37" t="s">
        <v>46</v>
      </c>
      <c r="M118" s="38" t="s">
        <v>81</v>
      </c>
      <c r="N118" s="38"/>
      <c r="O118" s="37">
        <v>45</v>
      </c>
      <c r="P118" s="8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51"/>
      <c r="R118" s="651"/>
      <c r="S118" s="651"/>
      <c r="T118" s="652"/>
      <c r="U118" s="39" t="s">
        <v>46</v>
      </c>
      <c r="V118" s="39" t="s">
        <v>46</v>
      </c>
      <c r="W118" s="40" t="s">
        <v>0</v>
      </c>
      <c r="X118" s="58">
        <v>500</v>
      </c>
      <c r="Y118" s="55">
        <f>IFERROR(IF(X118="",0,CEILING((X118/$H118),1)*$H118),"")</f>
        <v>502.2</v>
      </c>
      <c r="Z118" s="41">
        <f>IFERROR(IF(Y118=0,"",ROUNDUP(Y118/H118,0)*0.01898),"")</f>
        <v>1.17676</v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530.12345679012344</v>
      </c>
      <c r="BN118" s="78">
        <f>IFERROR(Y118*I118/H118,"0")</f>
        <v>532.4559999999999</v>
      </c>
      <c r="BO118" s="78">
        <f>IFERROR(1/J118*(X118/H118),"0")</f>
        <v>0.96450617283950624</v>
      </c>
      <c r="BP118" s="78">
        <f>IFERROR(1/J118*(Y118/H118),"0")</f>
        <v>0.96875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4301052087</v>
      </c>
      <c r="D119" s="649">
        <v>4607091383256</v>
      </c>
      <c r="E119" s="649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81</v>
      </c>
      <c r="N119" s="38"/>
      <c r="O119" s="37">
        <v>45</v>
      </c>
      <c r="P119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51"/>
      <c r="R119" s="651"/>
      <c r="S119" s="651"/>
      <c r="T119" s="65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242</v>
      </c>
      <c r="B120" s="63" t="s">
        <v>243</v>
      </c>
      <c r="C120" s="36">
        <v>4301052086</v>
      </c>
      <c r="D120" s="649">
        <v>4607091385748</v>
      </c>
      <c r="E120" s="649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81</v>
      </c>
      <c r="N120" s="38"/>
      <c r="O120" s="37">
        <v>45</v>
      </c>
      <c r="P120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27</v>
      </c>
      <c r="Y120" s="55">
        <f>IFERROR(IF(X120="",0,CEILING((X120/$H120),1)*$H120),"")</f>
        <v>27</v>
      </c>
      <c r="Z120" s="41">
        <f>IFERROR(IF(Y120=0,"",ROUNDUP(Y120/H120,0)*0.00651),"")</f>
        <v>6.5100000000000005E-2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29.519999999999996</v>
      </c>
      <c r="BN120" s="78">
        <f>IFERROR(Y120*I120/H120,"0")</f>
        <v>29.519999999999996</v>
      </c>
      <c r="BO120" s="78">
        <f>IFERROR(1/J120*(X120/H120),"0")</f>
        <v>5.4945054945054951E-2</v>
      </c>
      <c r="BP120" s="78">
        <f>IFERROR(1/J120*(Y120/H120),"0")</f>
        <v>5.4945054945054951E-2</v>
      </c>
    </row>
    <row r="121" spans="1:68" ht="16.5" hidden="1" customHeight="1" x14ac:dyDescent="0.25">
      <c r="A121" s="63" t="s">
        <v>244</v>
      </c>
      <c r="B121" s="63" t="s">
        <v>245</v>
      </c>
      <c r="C121" s="36">
        <v>4301052085</v>
      </c>
      <c r="D121" s="649">
        <v>4680115884533</v>
      </c>
      <c r="E121" s="649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81</v>
      </c>
      <c r="N121" s="38"/>
      <c r="O121" s="37">
        <v>45</v>
      </c>
      <c r="P121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246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56"/>
      <c r="B122" s="656"/>
      <c r="C122" s="656"/>
      <c r="D122" s="656"/>
      <c r="E122" s="656"/>
      <c r="F122" s="656"/>
      <c r="G122" s="656"/>
      <c r="H122" s="656"/>
      <c r="I122" s="656"/>
      <c r="J122" s="656"/>
      <c r="K122" s="656"/>
      <c r="L122" s="656"/>
      <c r="M122" s="656"/>
      <c r="N122" s="656"/>
      <c r="O122" s="657"/>
      <c r="P122" s="653" t="s">
        <v>40</v>
      </c>
      <c r="Q122" s="654"/>
      <c r="R122" s="654"/>
      <c r="S122" s="654"/>
      <c r="T122" s="654"/>
      <c r="U122" s="654"/>
      <c r="V122" s="655"/>
      <c r="W122" s="42" t="s">
        <v>39</v>
      </c>
      <c r="X122" s="43">
        <f>IFERROR(X118/H118,"0")+IFERROR(X119/H119,"0")+IFERROR(X120/H120,"0")+IFERROR(X121/H121,"0")</f>
        <v>71.728395061728406</v>
      </c>
      <c r="Y122" s="43">
        <f>IFERROR(Y118/H118,"0")+IFERROR(Y119/H119,"0")+IFERROR(Y120/H120,"0")+IFERROR(Y121/H121,"0")</f>
        <v>72</v>
      </c>
      <c r="Z122" s="43">
        <f>IFERROR(IF(Z118="",0,Z118),"0")+IFERROR(IF(Z119="",0,Z119),"0")+IFERROR(IF(Z120="",0,Z120),"0")+IFERROR(IF(Z121="",0,Z121),"0")</f>
        <v>1.24186</v>
      </c>
      <c r="AA122" s="67"/>
      <c r="AB122" s="67"/>
      <c r="AC122" s="67"/>
    </row>
    <row r="123" spans="1:68" x14ac:dyDescent="0.2">
      <c r="A123" s="656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53" t="s">
        <v>40</v>
      </c>
      <c r="Q123" s="654"/>
      <c r="R123" s="654"/>
      <c r="S123" s="654"/>
      <c r="T123" s="654"/>
      <c r="U123" s="654"/>
      <c r="V123" s="655"/>
      <c r="W123" s="42" t="s">
        <v>0</v>
      </c>
      <c r="X123" s="43">
        <f>IFERROR(SUM(X118:X121),"0")</f>
        <v>527</v>
      </c>
      <c r="Y123" s="43">
        <f>IFERROR(SUM(Y118:Y121),"0")</f>
        <v>529.20000000000005</v>
      </c>
      <c r="Z123" s="42"/>
      <c r="AA123" s="67"/>
      <c r="AB123" s="67"/>
      <c r="AC123" s="67"/>
    </row>
    <row r="124" spans="1:68" ht="14.25" hidden="1" customHeight="1" x14ac:dyDescent="0.25">
      <c r="A124" s="648" t="s">
        <v>179</v>
      </c>
      <c r="B124" s="648"/>
      <c r="C124" s="648"/>
      <c r="D124" s="648"/>
      <c r="E124" s="648"/>
      <c r="F124" s="648"/>
      <c r="G124" s="648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6"/>
      <c r="AB124" s="66"/>
      <c r="AC124" s="80"/>
    </row>
    <row r="125" spans="1:68" ht="16.5" hidden="1" customHeight="1" x14ac:dyDescent="0.25">
      <c r="A125" s="63" t="s">
        <v>247</v>
      </c>
      <c r="B125" s="63" t="s">
        <v>248</v>
      </c>
      <c r="C125" s="36">
        <v>4301060525</v>
      </c>
      <c r="D125" s="649">
        <v>4680115880238</v>
      </c>
      <c r="E125" s="649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81</v>
      </c>
      <c r="N125" s="38"/>
      <c r="O125" s="37">
        <v>40</v>
      </c>
      <c r="P125" s="8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51"/>
      <c r="R125" s="651"/>
      <c r="S125" s="651"/>
      <c r="T125" s="652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656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53" t="s">
        <v>40</v>
      </c>
      <c r="Q127" s="654"/>
      <c r="R127" s="654"/>
      <c r="S127" s="654"/>
      <c r="T127" s="654"/>
      <c r="U127" s="654"/>
      <c r="V127" s="655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hidden="1" customHeight="1" x14ac:dyDescent="0.25">
      <c r="A128" s="647" t="s">
        <v>250</v>
      </c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47"/>
      <c r="P128" s="647"/>
      <c r="Q128" s="647"/>
      <c r="R128" s="647"/>
      <c r="S128" s="647"/>
      <c r="T128" s="647"/>
      <c r="U128" s="647"/>
      <c r="V128" s="647"/>
      <c r="W128" s="647"/>
      <c r="X128" s="647"/>
      <c r="Y128" s="647"/>
      <c r="Z128" s="647"/>
      <c r="AA128" s="65"/>
      <c r="AB128" s="65"/>
      <c r="AC128" s="79"/>
    </row>
    <row r="129" spans="1:68" ht="14.25" hidden="1" customHeight="1" x14ac:dyDescent="0.25">
      <c r="A129" s="648" t="s">
        <v>124</v>
      </c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6"/>
      <c r="AB129" s="66"/>
      <c r="AC129" s="80"/>
    </row>
    <row r="130" spans="1:68" ht="27" hidden="1" customHeight="1" x14ac:dyDescent="0.25">
      <c r="A130" s="63" t="s">
        <v>251</v>
      </c>
      <c r="B130" s="63" t="s">
        <v>252</v>
      </c>
      <c r="C130" s="36">
        <v>4301011562</v>
      </c>
      <c r="D130" s="649">
        <v>4680115882577</v>
      </c>
      <c r="E130" s="649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254</v>
      </c>
      <c r="N130" s="38"/>
      <c r="O130" s="37">
        <v>90</v>
      </c>
      <c r="P130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1"/>
      <c r="R130" s="651"/>
      <c r="S130" s="651"/>
      <c r="T130" s="652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253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251</v>
      </c>
      <c r="B131" s="63" t="s">
        <v>255</v>
      </c>
      <c r="C131" s="36">
        <v>4301011564</v>
      </c>
      <c r="D131" s="649">
        <v>4680115882577</v>
      </c>
      <c r="E131" s="64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254</v>
      </c>
      <c r="N131" s="38"/>
      <c r="O131" s="37">
        <v>90</v>
      </c>
      <c r="P131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1"/>
      <c r="R131" s="651"/>
      <c r="S131" s="651"/>
      <c r="T131" s="652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253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6"/>
      <c r="B132" s="656"/>
      <c r="C132" s="656"/>
      <c r="D132" s="656"/>
      <c r="E132" s="656"/>
      <c r="F132" s="656"/>
      <c r="G132" s="656"/>
      <c r="H132" s="656"/>
      <c r="I132" s="656"/>
      <c r="J132" s="656"/>
      <c r="K132" s="656"/>
      <c r="L132" s="656"/>
      <c r="M132" s="656"/>
      <c r="N132" s="656"/>
      <c r="O132" s="657"/>
      <c r="P132" s="653" t="s">
        <v>40</v>
      </c>
      <c r="Q132" s="654"/>
      <c r="R132" s="654"/>
      <c r="S132" s="654"/>
      <c r="T132" s="654"/>
      <c r="U132" s="654"/>
      <c r="V132" s="655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hidden="1" x14ac:dyDescent="0.2">
      <c r="A133" s="656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53" t="s">
        <v>40</v>
      </c>
      <c r="Q133" s="654"/>
      <c r="R133" s="654"/>
      <c r="S133" s="654"/>
      <c r="T133" s="654"/>
      <c r="U133" s="654"/>
      <c r="V133" s="655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48" t="s">
        <v>256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6"/>
      <c r="AB134" s="66"/>
      <c r="AC134" s="80"/>
    </row>
    <row r="135" spans="1:68" ht="27" hidden="1" customHeight="1" x14ac:dyDescent="0.25">
      <c r="A135" s="63" t="s">
        <v>257</v>
      </c>
      <c r="B135" s="63" t="s">
        <v>258</v>
      </c>
      <c r="C135" s="36">
        <v>4301031234</v>
      </c>
      <c r="D135" s="649">
        <v>4680115883444</v>
      </c>
      <c r="E135" s="649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254</v>
      </c>
      <c r="N135" s="38"/>
      <c r="O135" s="37">
        <v>90</v>
      </c>
      <c r="P135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257</v>
      </c>
      <c r="B136" s="63" t="s">
        <v>260</v>
      </c>
      <c r="C136" s="36">
        <v>4301031235</v>
      </c>
      <c r="D136" s="649">
        <v>4680115883444</v>
      </c>
      <c r="E136" s="64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254</v>
      </c>
      <c r="N136" s="38"/>
      <c r="O136" s="37">
        <v>90</v>
      </c>
      <c r="P136" s="8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1"/>
      <c r="R136" s="651"/>
      <c r="S136" s="651"/>
      <c r="T136" s="65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56"/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7"/>
      <c r="P137" s="653" t="s">
        <v>40</v>
      </c>
      <c r="Q137" s="654"/>
      <c r="R137" s="654"/>
      <c r="S137" s="654"/>
      <c r="T137" s="654"/>
      <c r="U137" s="654"/>
      <c r="V137" s="655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56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53" t="s">
        <v>40</v>
      </c>
      <c r="Q138" s="654"/>
      <c r="R138" s="654"/>
      <c r="S138" s="654"/>
      <c r="T138" s="654"/>
      <c r="U138" s="654"/>
      <c r="V138" s="655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48" t="s">
        <v>77</v>
      </c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6"/>
      <c r="AB139" s="66"/>
      <c r="AC139" s="80"/>
    </row>
    <row r="140" spans="1:68" ht="16.5" hidden="1" customHeight="1" x14ac:dyDescent="0.25">
      <c r="A140" s="63" t="s">
        <v>261</v>
      </c>
      <c r="B140" s="63" t="s">
        <v>262</v>
      </c>
      <c r="C140" s="36">
        <v>4301051476</v>
      </c>
      <c r="D140" s="649">
        <v>4680115882584</v>
      </c>
      <c r="E140" s="649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254</v>
      </c>
      <c r="N140" s="38"/>
      <c r="O140" s="37">
        <v>60</v>
      </c>
      <c r="P140" s="8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hidden="1" customHeight="1" x14ac:dyDescent="0.25">
      <c r="A141" s="63" t="s">
        <v>261</v>
      </c>
      <c r="B141" s="63" t="s">
        <v>263</v>
      </c>
      <c r="C141" s="36">
        <v>4301051477</v>
      </c>
      <c r="D141" s="649">
        <v>4680115882584</v>
      </c>
      <c r="E141" s="64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254</v>
      </c>
      <c r="N141" s="38"/>
      <c r="O141" s="37">
        <v>60</v>
      </c>
      <c r="P141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56"/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7"/>
      <c r="P142" s="653" t="s">
        <v>40</v>
      </c>
      <c r="Q142" s="654"/>
      <c r="R142" s="654"/>
      <c r="S142" s="654"/>
      <c r="T142" s="654"/>
      <c r="U142" s="654"/>
      <c r="V142" s="655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56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53" t="s">
        <v>40</v>
      </c>
      <c r="Q143" s="654"/>
      <c r="R143" s="654"/>
      <c r="S143" s="654"/>
      <c r="T143" s="654"/>
      <c r="U143" s="654"/>
      <c r="V143" s="655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hidden="1" customHeight="1" x14ac:dyDescent="0.25">
      <c r="A144" s="647" t="s">
        <v>264</v>
      </c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7"/>
      <c r="P144" s="647"/>
      <c r="Q144" s="647"/>
      <c r="R144" s="647"/>
      <c r="S144" s="647"/>
      <c r="T144" s="647"/>
      <c r="U144" s="647"/>
      <c r="V144" s="647"/>
      <c r="W144" s="647"/>
      <c r="X144" s="647"/>
      <c r="Y144" s="647"/>
      <c r="Z144" s="647"/>
      <c r="AA144" s="65"/>
      <c r="AB144" s="65"/>
      <c r="AC144" s="79"/>
    </row>
    <row r="145" spans="1:68" ht="14.25" hidden="1" customHeight="1" x14ac:dyDescent="0.25">
      <c r="A145" s="648" t="s">
        <v>77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6"/>
      <c r="AB145" s="66"/>
      <c r="AC145" s="80"/>
    </row>
    <row r="146" spans="1:68" ht="27" hidden="1" customHeight="1" x14ac:dyDescent="0.25">
      <c r="A146" s="63" t="s">
        <v>265</v>
      </c>
      <c r="B146" s="63" t="s">
        <v>266</v>
      </c>
      <c r="C146" s="36">
        <v>4301052254</v>
      </c>
      <c r="D146" s="649">
        <v>4680115888203</v>
      </c>
      <c r="E146" s="649"/>
      <c r="F146" s="62">
        <v>0.22</v>
      </c>
      <c r="G146" s="37">
        <v>6</v>
      </c>
      <c r="H146" s="62">
        <v>1.32</v>
      </c>
      <c r="I146" s="62">
        <v>1.5660000000000001</v>
      </c>
      <c r="J146" s="37">
        <v>182</v>
      </c>
      <c r="K146" s="37" t="s">
        <v>82</v>
      </c>
      <c r="L146" s="37" t="s">
        <v>46</v>
      </c>
      <c r="M146" s="38" t="s">
        <v>88</v>
      </c>
      <c r="N146" s="38"/>
      <c r="O146" s="37">
        <v>40</v>
      </c>
      <c r="P146" s="87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4" t="s">
        <v>267</v>
      </c>
      <c r="AG146" s="78"/>
      <c r="AJ146" s="84" t="s">
        <v>46</v>
      </c>
      <c r="AK146" s="84">
        <v>0</v>
      </c>
      <c r="BB146" s="215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hidden="1" customHeight="1" x14ac:dyDescent="0.25">
      <c r="A147" s="63" t="s">
        <v>268</v>
      </c>
      <c r="B147" s="63" t="s">
        <v>269</v>
      </c>
      <c r="C147" s="36">
        <v>4301052252</v>
      </c>
      <c r="D147" s="649">
        <v>4680115888180</v>
      </c>
      <c r="E147" s="64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82</v>
      </c>
      <c r="L147" s="37" t="s">
        <v>46</v>
      </c>
      <c r="M147" s="38" t="s">
        <v>88</v>
      </c>
      <c r="N147" s="38"/>
      <c r="O147" s="37">
        <v>40</v>
      </c>
      <c r="P147" s="8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270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271</v>
      </c>
      <c r="B148" s="63" t="s">
        <v>272</v>
      </c>
      <c r="C148" s="36">
        <v>4301052253</v>
      </c>
      <c r="D148" s="649">
        <v>4680115888197</v>
      </c>
      <c r="E148" s="64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82</v>
      </c>
      <c r="L148" s="37" t="s">
        <v>46</v>
      </c>
      <c r="M148" s="38" t="s">
        <v>88</v>
      </c>
      <c r="N148" s="38"/>
      <c r="O148" s="37">
        <v>40</v>
      </c>
      <c r="P148" s="87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273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274</v>
      </c>
      <c r="B149" s="63" t="s">
        <v>275</v>
      </c>
      <c r="C149" s="36">
        <v>4301052255</v>
      </c>
      <c r="D149" s="649">
        <v>4680115888210</v>
      </c>
      <c r="E149" s="64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82</v>
      </c>
      <c r="L149" s="37" t="s">
        <v>46</v>
      </c>
      <c r="M149" s="38" t="s">
        <v>88</v>
      </c>
      <c r="N149" s="38"/>
      <c r="O149" s="37">
        <v>40</v>
      </c>
      <c r="P149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276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4.25" hidden="1" customHeight="1" x14ac:dyDescent="0.25">
      <c r="A152" s="648" t="s">
        <v>95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6"/>
      <c r="AB152" s="66"/>
      <c r="AC152" s="80"/>
    </row>
    <row r="153" spans="1:68" ht="27" hidden="1" customHeight="1" x14ac:dyDescent="0.25">
      <c r="A153" s="63" t="s">
        <v>277</v>
      </c>
      <c r="B153" s="63" t="s">
        <v>278</v>
      </c>
      <c r="C153" s="36">
        <v>4301032067</v>
      </c>
      <c r="D153" s="649">
        <v>4680115889132</v>
      </c>
      <c r="E153" s="649"/>
      <c r="F153" s="62">
        <v>0.04</v>
      </c>
      <c r="G153" s="37">
        <v>8</v>
      </c>
      <c r="H153" s="62">
        <v>0.32</v>
      </c>
      <c r="I153" s="62">
        <v>0.5</v>
      </c>
      <c r="J153" s="37">
        <v>330</v>
      </c>
      <c r="K153" s="37" t="s">
        <v>102</v>
      </c>
      <c r="L153" s="37" t="s">
        <v>46</v>
      </c>
      <c r="M153" s="38" t="s">
        <v>101</v>
      </c>
      <c r="N153" s="38"/>
      <c r="O153" s="37">
        <v>120</v>
      </c>
      <c r="P153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51"/>
      <c r="R153" s="651"/>
      <c r="S153" s="651"/>
      <c r="T153" s="65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IFERROR(IF(Y153=0,"",ROUNDUP(Y153/H153,0)*0.00337),"")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99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47" t="s">
        <v>122</v>
      </c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7"/>
      <c r="P156" s="647"/>
      <c r="Q156" s="647"/>
      <c r="R156" s="647"/>
      <c r="S156" s="647"/>
      <c r="T156" s="647"/>
      <c r="U156" s="647"/>
      <c r="V156" s="647"/>
      <c r="W156" s="647"/>
      <c r="X156" s="647"/>
      <c r="Y156" s="647"/>
      <c r="Z156" s="647"/>
      <c r="AA156" s="65"/>
      <c r="AB156" s="65"/>
      <c r="AC156" s="79"/>
    </row>
    <row r="157" spans="1:68" ht="14.25" hidden="1" customHeight="1" x14ac:dyDescent="0.25">
      <c r="A157" s="648" t="s">
        <v>124</v>
      </c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6"/>
      <c r="AB157" s="66"/>
      <c r="AC157" s="80"/>
    </row>
    <row r="158" spans="1:68" ht="27" hidden="1" customHeight="1" x14ac:dyDescent="0.25">
      <c r="A158" s="63" t="s">
        <v>280</v>
      </c>
      <c r="B158" s="63" t="s">
        <v>281</v>
      </c>
      <c r="C158" s="36">
        <v>4301012338</v>
      </c>
      <c r="D158" s="649">
        <v>4680115887374</v>
      </c>
      <c r="E158" s="649"/>
      <c r="F158" s="62">
        <v>1</v>
      </c>
      <c r="G158" s="37">
        <v>6</v>
      </c>
      <c r="H158" s="62">
        <v>6</v>
      </c>
      <c r="I158" s="62">
        <v>6.35</v>
      </c>
      <c r="J158" s="37">
        <v>104</v>
      </c>
      <c r="K158" s="37" t="s">
        <v>129</v>
      </c>
      <c r="L158" s="37" t="s">
        <v>46</v>
      </c>
      <c r="M158" s="38" t="s">
        <v>128</v>
      </c>
      <c r="N158" s="38"/>
      <c r="O158" s="37">
        <v>55</v>
      </c>
      <c r="P158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51"/>
      <c r="R158" s="651"/>
      <c r="S158" s="651"/>
      <c r="T158" s="65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IFERROR(IF(Y158=0,"",ROUNDUP(Y158/H158,0)*0.01196),"")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283</v>
      </c>
      <c r="B159" s="63" t="s">
        <v>284</v>
      </c>
      <c r="C159" s="36">
        <v>4301011705</v>
      </c>
      <c r="D159" s="649">
        <v>4607091384604</v>
      </c>
      <c r="E159" s="649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137</v>
      </c>
      <c r="L159" s="37" t="s">
        <v>46</v>
      </c>
      <c r="M159" s="38" t="s">
        <v>128</v>
      </c>
      <c r="N159" s="38"/>
      <c r="O159" s="37">
        <v>50</v>
      </c>
      <c r="P159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51"/>
      <c r="R159" s="651"/>
      <c r="S159" s="651"/>
      <c r="T159" s="65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285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283</v>
      </c>
      <c r="B160" s="63" t="s">
        <v>286</v>
      </c>
      <c r="C160" s="36">
        <v>4301012258</v>
      </c>
      <c r="D160" s="649">
        <v>4607091384604</v>
      </c>
      <c r="E160" s="64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137</v>
      </c>
      <c r="L160" s="37" t="s">
        <v>46</v>
      </c>
      <c r="M160" s="38" t="s">
        <v>128</v>
      </c>
      <c r="N160" s="38"/>
      <c r="O160" s="37">
        <v>50</v>
      </c>
      <c r="P160" s="87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51"/>
      <c r="R160" s="651"/>
      <c r="S160" s="651"/>
      <c r="T160" s="65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285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16.5" hidden="1" customHeight="1" x14ac:dyDescent="0.25">
      <c r="A161" s="63" t="s">
        <v>287</v>
      </c>
      <c r="B161" s="63" t="s">
        <v>288</v>
      </c>
      <c r="C161" s="36">
        <v>4301012344</v>
      </c>
      <c r="D161" s="649">
        <v>4680115888876</v>
      </c>
      <c r="E161" s="649"/>
      <c r="F161" s="62">
        <v>0.43</v>
      </c>
      <c r="G161" s="37">
        <v>6</v>
      </c>
      <c r="H161" s="62">
        <v>2.58</v>
      </c>
      <c r="I161" s="62">
        <v>2.76</v>
      </c>
      <c r="J161" s="37">
        <v>182</v>
      </c>
      <c r="K161" s="37" t="s">
        <v>82</v>
      </c>
      <c r="L161" s="37" t="s">
        <v>46</v>
      </c>
      <c r="M161" s="38" t="s">
        <v>81</v>
      </c>
      <c r="N161" s="38"/>
      <c r="O161" s="37">
        <v>55</v>
      </c>
      <c r="P161" s="8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IFERROR(IF(Y161=0,"",ROUNDUP(Y161/H161,0)*0.00651),"")</f>
        <v/>
      </c>
      <c r="AA161" s="68" t="s">
        <v>46</v>
      </c>
      <c r="AB161" s="69" t="s">
        <v>46</v>
      </c>
      <c r="AC161" s="230" t="s">
        <v>289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2" t="s">
        <v>39</v>
      </c>
      <c r="X162" s="43">
        <f>IFERROR(X158/H158,"0")+IFERROR(X159/H159,"0")+IFERROR(X160/H160,"0")+IFERROR(X161/H161,"0")</f>
        <v>0</v>
      </c>
      <c r="Y162" s="43">
        <f>IFERROR(Y158/H158,"0")+IFERROR(Y159/H159,"0")+IFERROR(Y160/H160,"0")+IFERROR(Y161/H161,"0")</f>
        <v>0</v>
      </c>
      <c r="Z162" s="43">
        <f>IFERROR(IF(Z158="",0,Z158),"0")+IFERROR(IF(Z159="",0,Z159),"0")+IFERROR(IF(Z160="",0,Z160),"0")+IFERROR(IF(Z161="",0,Z161),"0")</f>
        <v>0</v>
      </c>
      <c r="AA162" s="67"/>
      <c r="AB162" s="67"/>
      <c r="AC162" s="67"/>
    </row>
    <row r="163" spans="1:68" hidden="1" x14ac:dyDescent="0.2">
      <c r="A163" s="656"/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7"/>
      <c r="P163" s="653" t="s">
        <v>40</v>
      </c>
      <c r="Q163" s="654"/>
      <c r="R163" s="654"/>
      <c r="S163" s="654"/>
      <c r="T163" s="654"/>
      <c r="U163" s="654"/>
      <c r="V163" s="655"/>
      <c r="W163" s="42" t="s">
        <v>0</v>
      </c>
      <c r="X163" s="43">
        <f>IFERROR(SUM(X158:X161),"0")</f>
        <v>0</v>
      </c>
      <c r="Y163" s="43">
        <f>IFERROR(SUM(Y158:Y161),"0")</f>
        <v>0</v>
      </c>
      <c r="Z163" s="42"/>
      <c r="AA163" s="67"/>
      <c r="AB163" s="67"/>
      <c r="AC163" s="67"/>
    </row>
    <row r="164" spans="1:68" ht="14.25" hidden="1" customHeight="1" x14ac:dyDescent="0.25">
      <c r="A164" s="648" t="s">
        <v>161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6"/>
      <c r="AB164" s="66"/>
      <c r="AC164" s="80"/>
    </row>
    <row r="165" spans="1:68" ht="16.5" hidden="1" customHeight="1" x14ac:dyDescent="0.25">
      <c r="A165" s="63" t="s">
        <v>290</v>
      </c>
      <c r="B165" s="63" t="s">
        <v>291</v>
      </c>
      <c r="C165" s="36">
        <v>4301020410</v>
      </c>
      <c r="D165" s="649">
        <v>4680115887695</v>
      </c>
      <c r="E165" s="649"/>
      <c r="F165" s="62">
        <v>0.12</v>
      </c>
      <c r="G165" s="37">
        <v>6</v>
      </c>
      <c r="H165" s="62">
        <v>0.72</v>
      </c>
      <c r="I165" s="62">
        <v>0.85</v>
      </c>
      <c r="J165" s="37">
        <v>234</v>
      </c>
      <c r="K165" s="37" t="s">
        <v>234</v>
      </c>
      <c r="L165" s="37" t="s">
        <v>46</v>
      </c>
      <c r="M165" s="38" t="s">
        <v>133</v>
      </c>
      <c r="N165" s="38"/>
      <c r="O165" s="37">
        <v>30</v>
      </c>
      <c r="P165" s="8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51"/>
      <c r="R165" s="651"/>
      <c r="S165" s="651"/>
      <c r="T165" s="652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292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4301020439</v>
      </c>
      <c r="D166" s="649">
        <v>4680115889491</v>
      </c>
      <c r="E166" s="649"/>
      <c r="F166" s="62">
        <v>0.3</v>
      </c>
      <c r="G166" s="37">
        <v>8</v>
      </c>
      <c r="H166" s="62">
        <v>2.4</v>
      </c>
      <c r="I166" s="62">
        <v>2.5</v>
      </c>
      <c r="J166" s="37">
        <v>234</v>
      </c>
      <c r="K166" s="37" t="s">
        <v>234</v>
      </c>
      <c r="L166" s="37" t="s">
        <v>46</v>
      </c>
      <c r="M166" s="38" t="s">
        <v>128</v>
      </c>
      <c r="N166" s="38"/>
      <c r="O166" s="37">
        <v>55</v>
      </c>
      <c r="P166" s="86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IFERROR(IF(Y166=0,"",ROUNDUP(Y166/H166,0)*0.00502),"")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IFERROR(X165/H165,"0")+IFERROR(X166/H166,"0")</f>
        <v>0</v>
      </c>
      <c r="Y167" s="43">
        <f>IFERROR(Y165/H165,"0")+IFERROR(Y166/H166,"0")</f>
        <v>0</v>
      </c>
      <c r="Z167" s="43">
        <f>IFERROR(IF(Z165="",0,Z165),"0")+IFERROR(IF(Z166="",0,Z166),"0")</f>
        <v>0</v>
      </c>
      <c r="AA167" s="67"/>
      <c r="AB167" s="67"/>
      <c r="AC167" s="67"/>
    </row>
    <row r="168" spans="1:68" hidden="1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IFERROR(SUM(X165:X166),"0")</f>
        <v>0</v>
      </c>
      <c r="Y168" s="43">
        <f>IFERROR(SUM(Y165:Y166),"0")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48" t="s">
        <v>256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6"/>
      <c r="AB169" s="66"/>
      <c r="AC169" s="80"/>
    </row>
    <row r="170" spans="1:68" ht="27" hidden="1" customHeight="1" x14ac:dyDescent="0.25">
      <c r="A170" s="63" t="s">
        <v>296</v>
      </c>
      <c r="B170" s="63" t="s">
        <v>297</v>
      </c>
      <c r="C170" s="36">
        <v>4301031527</v>
      </c>
      <c r="D170" s="649">
        <v>4680115889613</v>
      </c>
      <c r="E170" s="649"/>
      <c r="F170" s="62">
        <v>1.1499999999999999</v>
      </c>
      <c r="G170" s="37">
        <v>4</v>
      </c>
      <c r="H170" s="62">
        <v>4.5999999999999996</v>
      </c>
      <c r="I170" s="62">
        <v>4.95</v>
      </c>
      <c r="J170" s="37">
        <v>104</v>
      </c>
      <c r="K170" s="37" t="s">
        <v>129</v>
      </c>
      <c r="L170" s="37" t="s">
        <v>46</v>
      </c>
      <c r="M170" s="38" t="s">
        <v>133</v>
      </c>
      <c r="N170" s="38"/>
      <c r="O170" s="37">
        <v>45</v>
      </c>
      <c r="P170" s="865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51"/>
      <c r="R170" s="651"/>
      <c r="S170" s="651"/>
      <c r="T170" s="652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ref="Y170:Y180" si="15">IFERROR(IF(X170="",0,CEILING((X170/$H170),1)*$H170),"")</f>
        <v>0</v>
      </c>
      <c r="Z170" s="41" t="str">
        <f>IFERROR(IF(Y170=0,"",ROUNDUP(Y170/H170,0)*0.01196),"")</f>
        <v/>
      </c>
      <c r="AA170" s="68" t="s">
        <v>46</v>
      </c>
      <c r="AB170" s="69" t="s">
        <v>100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ref="BM170:BM180" si="16">IFERROR(X170*I170/H170,"0")</f>
        <v>0</v>
      </c>
      <c r="BN170" s="78">
        <f t="shared" ref="BN170:BN180" si="17">IFERROR(Y170*I170/H170,"0")</f>
        <v>0</v>
      </c>
      <c r="BO170" s="78">
        <f t="shared" ref="BO170:BO180" si="18">IFERROR(1/J170*(X170/H170),"0")</f>
        <v>0</v>
      </c>
      <c r="BP170" s="78">
        <f t="shared" ref="BP170:BP180" si="19">IFERROR(1/J170*(Y170/H170),"0")</f>
        <v>0</v>
      </c>
    </row>
    <row r="171" spans="1:68" ht="27" hidden="1" customHeight="1" x14ac:dyDescent="0.25">
      <c r="A171" s="63" t="s">
        <v>299</v>
      </c>
      <c r="B171" s="63" t="s">
        <v>300</v>
      </c>
      <c r="C171" s="36">
        <v>4301031496</v>
      </c>
      <c r="D171" s="649">
        <v>4680115887428</v>
      </c>
      <c r="E171" s="64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137</v>
      </c>
      <c r="L171" s="37" t="s">
        <v>46</v>
      </c>
      <c r="M171" s="38" t="s">
        <v>133</v>
      </c>
      <c r="N171" s="38"/>
      <c r="O171" s="37">
        <v>40</v>
      </c>
      <c r="P171" s="86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51"/>
      <c r="R171" s="651"/>
      <c r="S171" s="651"/>
      <c r="T171" s="65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4301031509</v>
      </c>
      <c r="D172" s="649">
        <v>4680115889170</v>
      </c>
      <c r="E172" s="64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137</v>
      </c>
      <c r="L172" s="37" t="s">
        <v>46</v>
      </c>
      <c r="M172" s="38" t="s">
        <v>133</v>
      </c>
      <c r="N172" s="38"/>
      <c r="O172" s="37">
        <v>45</v>
      </c>
      <c r="P172" s="86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305</v>
      </c>
      <c r="B173" s="63" t="s">
        <v>306</v>
      </c>
      <c r="C173" s="36">
        <v>4301031522</v>
      </c>
      <c r="D173" s="649">
        <v>4680115887398</v>
      </c>
      <c r="E173" s="64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137</v>
      </c>
      <c r="L173" s="37" t="s">
        <v>46</v>
      </c>
      <c r="M173" s="38" t="s">
        <v>133</v>
      </c>
      <c r="N173" s="38"/>
      <c r="O173" s="37">
        <v>45</v>
      </c>
      <c r="P173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307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308</v>
      </c>
      <c r="B174" s="63" t="s">
        <v>309</v>
      </c>
      <c r="C174" s="36">
        <v>4301031520</v>
      </c>
      <c r="D174" s="649">
        <v>4680115887336</v>
      </c>
      <c r="E174" s="64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133</v>
      </c>
      <c r="N174" s="38"/>
      <c r="O174" s="37">
        <v>45</v>
      </c>
      <c r="P174" s="85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51"/>
      <c r="R174" s="651"/>
      <c r="S174" s="651"/>
      <c r="T174" s="65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310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hidden="1" customHeight="1" x14ac:dyDescent="0.25">
      <c r="A175" s="63" t="s">
        <v>311</v>
      </c>
      <c r="B175" s="63" t="s">
        <v>312</v>
      </c>
      <c r="C175" s="36">
        <v>4301031528</v>
      </c>
      <c r="D175" s="649">
        <v>4680115887787</v>
      </c>
      <c r="E175" s="64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134</v>
      </c>
      <c r="L175" s="37" t="s">
        <v>46</v>
      </c>
      <c r="M175" s="38" t="s">
        <v>133</v>
      </c>
      <c r="N175" s="38"/>
      <c r="O175" s="37">
        <v>45</v>
      </c>
      <c r="P175" s="85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51"/>
      <c r="R175" s="651"/>
      <c r="S175" s="651"/>
      <c r="T175" s="65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313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314</v>
      </c>
      <c r="B176" s="63" t="s">
        <v>315</v>
      </c>
      <c r="C176" s="36">
        <v>4301031448</v>
      </c>
      <c r="D176" s="649">
        <v>4680115887503</v>
      </c>
      <c r="E176" s="64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234</v>
      </c>
      <c r="L176" s="37" t="s">
        <v>46</v>
      </c>
      <c r="M176" s="38" t="s">
        <v>133</v>
      </c>
      <c r="N176" s="38"/>
      <c r="O176" s="37">
        <v>40</v>
      </c>
      <c r="P176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51"/>
      <c r="R176" s="651"/>
      <c r="S176" s="651"/>
      <c r="T176" s="65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301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316</v>
      </c>
      <c r="B177" s="63" t="s">
        <v>317</v>
      </c>
      <c r="C177" s="36">
        <v>4301031389</v>
      </c>
      <c r="D177" s="649">
        <v>4680115887763</v>
      </c>
      <c r="E177" s="64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312</v>
      </c>
      <c r="K177" s="37" t="s">
        <v>134</v>
      </c>
      <c r="L177" s="37" t="s">
        <v>46</v>
      </c>
      <c r="M177" s="38" t="s">
        <v>133</v>
      </c>
      <c r="N177" s="38"/>
      <c r="O177" s="37">
        <v>45</v>
      </c>
      <c r="P177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319</v>
      </c>
      <c r="B178" s="63" t="s">
        <v>320</v>
      </c>
      <c r="C178" s="36">
        <v>4301031521</v>
      </c>
      <c r="D178" s="649">
        <v>4680115887480</v>
      </c>
      <c r="E178" s="64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234</v>
      </c>
      <c r="L178" s="37" t="s">
        <v>46</v>
      </c>
      <c r="M178" s="38" t="s">
        <v>133</v>
      </c>
      <c r="N178" s="38"/>
      <c r="O178" s="37">
        <v>45</v>
      </c>
      <c r="P178" s="86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307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321</v>
      </c>
      <c r="B179" s="63" t="s">
        <v>322</v>
      </c>
      <c r="C179" s="36">
        <v>4301031434</v>
      </c>
      <c r="D179" s="649">
        <v>4680115888067</v>
      </c>
      <c r="E179" s="649"/>
      <c r="F179" s="62">
        <v>0.09</v>
      </c>
      <c r="G179" s="37">
        <v>10</v>
      </c>
      <c r="H179" s="62">
        <v>0.9</v>
      </c>
      <c r="I179" s="62">
        <v>1</v>
      </c>
      <c r="J179" s="37">
        <v>312</v>
      </c>
      <c r="K179" s="37" t="s">
        <v>134</v>
      </c>
      <c r="L179" s="37" t="s">
        <v>46</v>
      </c>
      <c r="M179" s="38" t="s">
        <v>133</v>
      </c>
      <c r="N179" s="38"/>
      <c r="O179" s="37">
        <v>45</v>
      </c>
      <c r="P179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323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324</v>
      </c>
      <c r="B180" s="63" t="s">
        <v>325</v>
      </c>
      <c r="C180" s="36">
        <v>4301031519</v>
      </c>
      <c r="D180" s="649">
        <v>4680115887435</v>
      </c>
      <c r="E180" s="64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234</v>
      </c>
      <c r="L180" s="37" t="s">
        <v>46</v>
      </c>
      <c r="M180" s="38" t="s">
        <v>133</v>
      </c>
      <c r="N180" s="38"/>
      <c r="O180" s="37">
        <v>45</v>
      </c>
      <c r="P180" s="8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310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idden="1" x14ac:dyDescent="0.2">
      <c r="A181" s="656"/>
      <c r="B181" s="656"/>
      <c r="C181" s="656"/>
      <c r="D181" s="656"/>
      <c r="E181" s="656"/>
      <c r="F181" s="656"/>
      <c r="G181" s="656"/>
      <c r="H181" s="656"/>
      <c r="I181" s="656"/>
      <c r="J181" s="656"/>
      <c r="K181" s="656"/>
      <c r="L181" s="656"/>
      <c r="M181" s="656"/>
      <c r="N181" s="656"/>
      <c r="O181" s="657"/>
      <c r="P181" s="653" t="s">
        <v>40</v>
      </c>
      <c r="Q181" s="654"/>
      <c r="R181" s="654"/>
      <c r="S181" s="654"/>
      <c r="T181" s="654"/>
      <c r="U181" s="654"/>
      <c r="V181" s="655"/>
      <c r="W181" s="42" t="s">
        <v>39</v>
      </c>
      <c r="X181" s="43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hidden="1" x14ac:dyDescent="0.2">
      <c r="A182" s="656"/>
      <c r="B182" s="656"/>
      <c r="C182" s="656"/>
      <c r="D182" s="656"/>
      <c r="E182" s="656"/>
      <c r="F182" s="656"/>
      <c r="G182" s="656"/>
      <c r="H182" s="656"/>
      <c r="I182" s="656"/>
      <c r="J182" s="656"/>
      <c r="K182" s="656"/>
      <c r="L182" s="656"/>
      <c r="M182" s="656"/>
      <c r="N182" s="656"/>
      <c r="O182" s="657"/>
      <c r="P182" s="653" t="s">
        <v>40</v>
      </c>
      <c r="Q182" s="654"/>
      <c r="R182" s="654"/>
      <c r="S182" s="654"/>
      <c r="T182" s="654"/>
      <c r="U182" s="654"/>
      <c r="V182" s="655"/>
      <c r="W182" s="42" t="s">
        <v>0</v>
      </c>
      <c r="X182" s="43">
        <f>IFERROR(SUM(X170:X180),"0")</f>
        <v>0</v>
      </c>
      <c r="Y182" s="43">
        <f>IFERROR(SUM(Y170:Y180),"0")</f>
        <v>0</v>
      </c>
      <c r="Z182" s="42"/>
      <c r="AA182" s="67"/>
      <c r="AB182" s="67"/>
      <c r="AC182" s="67"/>
    </row>
    <row r="183" spans="1:68" ht="14.25" hidden="1" customHeight="1" x14ac:dyDescent="0.25">
      <c r="A183" s="648" t="s">
        <v>77</v>
      </c>
      <c r="B183" s="648"/>
      <c r="C183" s="648"/>
      <c r="D183" s="648"/>
      <c r="E183" s="648"/>
      <c r="F183" s="648"/>
      <c r="G183" s="648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6"/>
      <c r="AB183" s="66"/>
      <c r="AC183" s="80"/>
    </row>
    <row r="184" spans="1:68" ht="16.5" hidden="1" customHeight="1" x14ac:dyDescent="0.25">
      <c r="A184" s="63" t="s">
        <v>326</v>
      </c>
      <c r="B184" s="63" t="s">
        <v>327</v>
      </c>
      <c r="C184" s="36">
        <v>4301052193</v>
      </c>
      <c r="D184" s="649">
        <v>4680115888395</v>
      </c>
      <c r="E184" s="64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82</v>
      </c>
      <c r="L184" s="37" t="s">
        <v>46</v>
      </c>
      <c r="M184" s="38" t="s">
        <v>88</v>
      </c>
      <c r="N184" s="38"/>
      <c r="O184" s="37">
        <v>40</v>
      </c>
      <c r="P184" s="85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329</v>
      </c>
      <c r="B185" s="63" t="s">
        <v>330</v>
      </c>
      <c r="C185" s="36">
        <v>4301052191</v>
      </c>
      <c r="D185" s="649">
        <v>4680115888371</v>
      </c>
      <c r="E185" s="64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82</v>
      </c>
      <c r="L185" s="37" t="s">
        <v>46</v>
      </c>
      <c r="M185" s="38" t="s">
        <v>88</v>
      </c>
      <c r="N185" s="38"/>
      <c r="O185" s="37">
        <v>40</v>
      </c>
      <c r="P185" s="85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48" t="s">
        <v>95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6"/>
      <c r="AB188" s="66"/>
      <c r="AC188" s="80"/>
    </row>
    <row r="189" spans="1:68" ht="16.5" hidden="1" customHeight="1" x14ac:dyDescent="0.25">
      <c r="A189" s="63" t="s">
        <v>332</v>
      </c>
      <c r="B189" s="63" t="s">
        <v>333</v>
      </c>
      <c r="C189" s="36">
        <v>4301032058</v>
      </c>
      <c r="D189" s="649">
        <v>4680115889026</v>
      </c>
      <c r="E189" s="64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335</v>
      </c>
      <c r="L189" s="37" t="s">
        <v>46</v>
      </c>
      <c r="M189" s="38" t="s">
        <v>101</v>
      </c>
      <c r="N189" s="38"/>
      <c r="O189" s="37">
        <v>60</v>
      </c>
      <c r="P189" s="85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51"/>
      <c r="R189" s="651"/>
      <c r="S189" s="651"/>
      <c r="T189" s="65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56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53" t="s">
        <v>40</v>
      </c>
      <c r="Q190" s="654"/>
      <c r="R190" s="654"/>
      <c r="S190" s="654"/>
      <c r="T190" s="654"/>
      <c r="U190" s="654"/>
      <c r="V190" s="655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48" t="s">
        <v>336</v>
      </c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  <c r="Y192" s="648"/>
      <c r="Z192" s="648"/>
      <c r="AA192" s="66"/>
      <c r="AB192" s="66"/>
      <c r="AC192" s="80"/>
    </row>
    <row r="193" spans="1:68" ht="27" hidden="1" customHeight="1" x14ac:dyDescent="0.25">
      <c r="A193" s="63" t="s">
        <v>337</v>
      </c>
      <c r="B193" s="63" t="s">
        <v>338</v>
      </c>
      <c r="C193" s="36">
        <v>4301041009</v>
      </c>
      <c r="D193" s="649">
        <v>4680115889033</v>
      </c>
      <c r="E193" s="64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335</v>
      </c>
      <c r="L193" s="37" t="s">
        <v>46</v>
      </c>
      <c r="M193" s="38" t="s">
        <v>101</v>
      </c>
      <c r="N193" s="38"/>
      <c r="O193" s="37">
        <v>60</v>
      </c>
      <c r="P193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339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56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53" t="s">
        <v>40</v>
      </c>
      <c r="Q194" s="654"/>
      <c r="R194" s="654"/>
      <c r="S194" s="654"/>
      <c r="T194" s="654"/>
      <c r="U194" s="654"/>
      <c r="V194" s="655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66" t="s">
        <v>340</v>
      </c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54"/>
      <c r="AB196" s="54"/>
      <c r="AC196" s="54"/>
    </row>
    <row r="197" spans="1:68" ht="16.5" hidden="1" customHeight="1" x14ac:dyDescent="0.25">
      <c r="A197" s="647" t="s">
        <v>341</v>
      </c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47"/>
      <c r="P197" s="647"/>
      <c r="Q197" s="647"/>
      <c r="R197" s="647"/>
      <c r="S197" s="647"/>
      <c r="T197" s="647"/>
      <c r="U197" s="647"/>
      <c r="V197" s="647"/>
      <c r="W197" s="647"/>
      <c r="X197" s="647"/>
      <c r="Y197" s="647"/>
      <c r="Z197" s="647"/>
      <c r="AA197" s="65"/>
      <c r="AB197" s="65"/>
      <c r="AC197" s="79"/>
    </row>
    <row r="198" spans="1:68" ht="14.25" hidden="1" customHeight="1" x14ac:dyDescent="0.25">
      <c r="A198" s="648" t="s">
        <v>124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4301011223</v>
      </c>
      <c r="D199" s="649">
        <v>4607091383423</v>
      </c>
      <c r="E199" s="64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129</v>
      </c>
      <c r="L199" s="37" t="s">
        <v>46</v>
      </c>
      <c r="M199" s="38" t="s">
        <v>81</v>
      </c>
      <c r="N199" s="38"/>
      <c r="O199" s="37">
        <v>35</v>
      </c>
      <c r="P199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51"/>
      <c r="R199" s="651"/>
      <c r="S199" s="651"/>
      <c r="T199" s="65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127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4301012340</v>
      </c>
      <c r="D200" s="649">
        <v>4680115888760</v>
      </c>
      <c r="E200" s="64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129</v>
      </c>
      <c r="L200" s="37" t="s">
        <v>46</v>
      </c>
      <c r="M200" s="38" t="s">
        <v>81</v>
      </c>
      <c r="N200" s="38"/>
      <c r="O200" s="37">
        <v>35</v>
      </c>
      <c r="P200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51"/>
      <c r="R200" s="651"/>
      <c r="S200" s="651"/>
      <c r="T200" s="65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4301012341</v>
      </c>
      <c r="D201" s="649">
        <v>4680115888807</v>
      </c>
      <c r="E201" s="64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129</v>
      </c>
      <c r="L201" s="37" t="s">
        <v>46</v>
      </c>
      <c r="M201" s="38" t="s">
        <v>81</v>
      </c>
      <c r="N201" s="38"/>
      <c r="O201" s="37">
        <v>35</v>
      </c>
      <c r="P201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51"/>
      <c r="R201" s="651"/>
      <c r="S201" s="651"/>
      <c r="T201" s="65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4301012342</v>
      </c>
      <c r="D202" s="649">
        <v>4680115888852</v>
      </c>
      <c r="E202" s="64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129</v>
      </c>
      <c r="L202" s="37" t="s">
        <v>46</v>
      </c>
      <c r="M202" s="38" t="s">
        <v>81</v>
      </c>
      <c r="N202" s="38"/>
      <c r="O202" s="37">
        <v>35</v>
      </c>
      <c r="P202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352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353</v>
      </c>
      <c r="B203" s="63" t="s">
        <v>354</v>
      </c>
      <c r="C203" s="36">
        <v>4301012370</v>
      </c>
      <c r="D203" s="649">
        <v>4680115886957</v>
      </c>
      <c r="E203" s="64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129</v>
      </c>
      <c r="L203" s="37" t="s">
        <v>46</v>
      </c>
      <c r="M203" s="38" t="s">
        <v>81</v>
      </c>
      <c r="N203" s="38"/>
      <c r="O203" s="37">
        <v>35</v>
      </c>
      <c r="P203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51"/>
      <c r="R203" s="651"/>
      <c r="S203" s="651"/>
      <c r="T203" s="65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355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356</v>
      </c>
      <c r="B204" s="63" t="s">
        <v>357</v>
      </c>
      <c r="C204" s="36">
        <v>4301012098</v>
      </c>
      <c r="D204" s="649">
        <v>4680115885660</v>
      </c>
      <c r="E204" s="64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129</v>
      </c>
      <c r="L204" s="37" t="s">
        <v>46</v>
      </c>
      <c r="M204" s="38" t="s">
        <v>81</v>
      </c>
      <c r="N204" s="38"/>
      <c r="O204" s="37">
        <v>35</v>
      </c>
      <c r="P204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51"/>
      <c r="R204" s="651"/>
      <c r="S204" s="651"/>
      <c r="T204" s="65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358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359</v>
      </c>
      <c r="B205" s="63" t="s">
        <v>360</v>
      </c>
      <c r="C205" s="36">
        <v>4301012369</v>
      </c>
      <c r="D205" s="649">
        <v>4680115886773</v>
      </c>
      <c r="E205" s="64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129</v>
      </c>
      <c r="L205" s="37" t="s">
        <v>46</v>
      </c>
      <c r="M205" s="38" t="s">
        <v>81</v>
      </c>
      <c r="N205" s="38"/>
      <c r="O205" s="37">
        <v>35</v>
      </c>
      <c r="P205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51"/>
      <c r="R205" s="651"/>
      <c r="S205" s="651"/>
      <c r="T205" s="65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361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47" t="s">
        <v>362</v>
      </c>
      <c r="B208" s="647"/>
      <c r="C208" s="647"/>
      <c r="D208" s="647"/>
      <c r="E208" s="647"/>
      <c r="F208" s="647"/>
      <c r="G208" s="647"/>
      <c r="H208" s="647"/>
      <c r="I208" s="647"/>
      <c r="J208" s="647"/>
      <c r="K208" s="647"/>
      <c r="L208" s="647"/>
      <c r="M208" s="647"/>
      <c r="N208" s="647"/>
      <c r="O208" s="647"/>
      <c r="P208" s="647"/>
      <c r="Q208" s="647"/>
      <c r="R208" s="647"/>
      <c r="S208" s="647"/>
      <c r="T208" s="647"/>
      <c r="U208" s="647"/>
      <c r="V208" s="647"/>
      <c r="W208" s="647"/>
      <c r="X208" s="647"/>
      <c r="Y208" s="647"/>
      <c r="Z208" s="647"/>
      <c r="AA208" s="65"/>
      <c r="AB208" s="65"/>
      <c r="AC208" s="79"/>
    </row>
    <row r="209" spans="1:68" ht="14.25" hidden="1" customHeight="1" x14ac:dyDescent="0.25">
      <c r="A209" s="648" t="s">
        <v>161</v>
      </c>
      <c r="B209" s="648"/>
      <c r="C209" s="648"/>
      <c r="D209" s="648"/>
      <c r="E209" s="648"/>
      <c r="F209" s="648"/>
      <c r="G209" s="648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  <c r="Y209" s="648"/>
      <c r="Z209" s="648"/>
      <c r="AA209" s="66"/>
      <c r="AB209" s="66"/>
      <c r="AC209" s="80"/>
    </row>
    <row r="210" spans="1:68" ht="27" hidden="1" customHeight="1" x14ac:dyDescent="0.25">
      <c r="A210" s="63" t="s">
        <v>363</v>
      </c>
      <c r="B210" s="63" t="s">
        <v>364</v>
      </c>
      <c r="C210" s="36">
        <v>4301020323</v>
      </c>
      <c r="D210" s="649">
        <v>4680115886223</v>
      </c>
      <c r="E210" s="64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234</v>
      </c>
      <c r="L210" s="37" t="s">
        <v>46</v>
      </c>
      <c r="M210" s="38" t="s">
        <v>133</v>
      </c>
      <c r="N210" s="38"/>
      <c r="O210" s="37">
        <v>40</v>
      </c>
      <c r="P210" s="8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365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53" t="s">
        <v>40</v>
      </c>
      <c r="Q211" s="654"/>
      <c r="R211" s="654"/>
      <c r="S211" s="654"/>
      <c r="T211" s="654"/>
      <c r="U211" s="654"/>
      <c r="V211" s="655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48" t="s">
        <v>256</v>
      </c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  <c r="Y213" s="648"/>
      <c r="Z213" s="648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4301031191</v>
      </c>
      <c r="D214" s="649">
        <v>4680115880993</v>
      </c>
      <c r="E214" s="64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137</v>
      </c>
      <c r="L214" s="37" t="s">
        <v>46</v>
      </c>
      <c r="M214" s="38" t="s">
        <v>133</v>
      </c>
      <c r="N214" s="38"/>
      <c r="O214" s="37">
        <v>40</v>
      </c>
      <c r="P214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hidden="1" customHeight="1" x14ac:dyDescent="0.25">
      <c r="A215" s="63" t="s">
        <v>369</v>
      </c>
      <c r="B215" s="63" t="s">
        <v>370</v>
      </c>
      <c r="C215" s="36">
        <v>4301031204</v>
      </c>
      <c r="D215" s="649">
        <v>4680115881761</v>
      </c>
      <c r="E215" s="64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137</v>
      </c>
      <c r="L215" s="37" t="s">
        <v>46</v>
      </c>
      <c r="M215" s="38" t="s">
        <v>133</v>
      </c>
      <c r="N215" s="38"/>
      <c r="O215" s="37">
        <v>40</v>
      </c>
      <c r="P215" s="84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51"/>
      <c r="R215" s="651"/>
      <c r="S215" s="651"/>
      <c r="T215" s="65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372</v>
      </c>
      <c r="B216" s="63" t="s">
        <v>373</v>
      </c>
      <c r="C216" s="36">
        <v>4301031532</v>
      </c>
      <c r="D216" s="649">
        <v>4680115881563</v>
      </c>
      <c r="E216" s="64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137</v>
      </c>
      <c r="L216" s="37" t="s">
        <v>46</v>
      </c>
      <c r="M216" s="38" t="s">
        <v>133</v>
      </c>
      <c r="N216" s="38"/>
      <c r="O216" s="37">
        <v>45</v>
      </c>
      <c r="P216" s="833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51"/>
      <c r="R216" s="651"/>
      <c r="S216" s="651"/>
      <c r="T216" s="652"/>
      <c r="U216" s="39" t="s">
        <v>46</v>
      </c>
      <c r="V216" s="39" t="s">
        <v>46</v>
      </c>
      <c r="W216" s="40" t="s">
        <v>0</v>
      </c>
      <c r="X216" s="58">
        <v>60</v>
      </c>
      <c r="Y216" s="55">
        <f t="shared" si="26"/>
        <v>63</v>
      </c>
      <c r="Z216" s="41">
        <f>IFERROR(IF(Y216=0,"",ROUNDUP(Y216/H216,0)*0.00902),"")</f>
        <v>0.1353</v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62.714285714285708</v>
      </c>
      <c r="BN216" s="78">
        <f t="shared" si="28"/>
        <v>65.849999999999994</v>
      </c>
      <c r="BO216" s="78">
        <f t="shared" si="29"/>
        <v>0.10822510822510822</v>
      </c>
      <c r="BP216" s="78">
        <f t="shared" si="30"/>
        <v>0.11363636363636365</v>
      </c>
    </row>
    <row r="217" spans="1:68" ht="37.5" hidden="1" customHeight="1" x14ac:dyDescent="0.25">
      <c r="A217" s="63" t="s">
        <v>375</v>
      </c>
      <c r="B217" s="63" t="s">
        <v>376</v>
      </c>
      <c r="C217" s="36">
        <v>4301031447</v>
      </c>
      <c r="D217" s="649">
        <v>4680115887565</v>
      </c>
      <c r="E217" s="649"/>
      <c r="F217" s="62">
        <v>0.08</v>
      </c>
      <c r="G217" s="37">
        <v>10</v>
      </c>
      <c r="H217" s="62">
        <v>0.8</v>
      </c>
      <c r="I217" s="62">
        <v>0.93</v>
      </c>
      <c r="J217" s="37">
        <v>234</v>
      </c>
      <c r="K217" s="37" t="s">
        <v>234</v>
      </c>
      <c r="L217" s="37" t="s">
        <v>46</v>
      </c>
      <c r="M217" s="38" t="s">
        <v>133</v>
      </c>
      <c r="N217" s="38"/>
      <c r="O217" s="37">
        <v>45</v>
      </c>
      <c r="P217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51"/>
      <c r="R217" s="651"/>
      <c r="S217" s="651"/>
      <c r="T217" s="65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377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4301031199</v>
      </c>
      <c r="D218" s="649">
        <v>4680115880986</v>
      </c>
      <c r="E218" s="64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234</v>
      </c>
      <c r="L218" s="37" t="s">
        <v>46</v>
      </c>
      <c r="M218" s="38" t="s">
        <v>133</v>
      </c>
      <c r="N218" s="38"/>
      <c r="O218" s="37">
        <v>40</v>
      </c>
      <c r="P218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51"/>
      <c r="R218" s="651"/>
      <c r="S218" s="651"/>
      <c r="T218" s="65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380</v>
      </c>
      <c r="B219" s="63" t="s">
        <v>381</v>
      </c>
      <c r="C219" s="36">
        <v>4301031443</v>
      </c>
      <c r="D219" s="649">
        <v>4680115887213</v>
      </c>
      <c r="E219" s="64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234</v>
      </c>
      <c r="L219" s="37" t="s">
        <v>46</v>
      </c>
      <c r="M219" s="38" t="s">
        <v>133</v>
      </c>
      <c r="N219" s="38"/>
      <c r="O219" s="37">
        <v>45</v>
      </c>
      <c r="P219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4301031205</v>
      </c>
      <c r="D220" s="649">
        <v>4680115881785</v>
      </c>
      <c r="E220" s="64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234</v>
      </c>
      <c r="L220" s="37" t="s">
        <v>46</v>
      </c>
      <c r="M220" s="38" t="s">
        <v>133</v>
      </c>
      <c r="N220" s="38"/>
      <c r="O220" s="37">
        <v>40</v>
      </c>
      <c r="P220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51"/>
      <c r="R220" s="651"/>
      <c r="S220" s="651"/>
      <c r="T220" s="65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371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385</v>
      </c>
      <c r="B221" s="63" t="s">
        <v>386</v>
      </c>
      <c r="C221" s="36">
        <v>4301031499</v>
      </c>
      <c r="D221" s="649">
        <v>4680115888432</v>
      </c>
      <c r="E221" s="64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234</v>
      </c>
      <c r="L221" s="37" t="s">
        <v>46</v>
      </c>
      <c r="M221" s="38" t="s">
        <v>133</v>
      </c>
      <c r="N221" s="38"/>
      <c r="O221" s="37">
        <v>45</v>
      </c>
      <c r="P221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51"/>
      <c r="R221" s="651"/>
      <c r="S221" s="651"/>
      <c r="T221" s="65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388</v>
      </c>
      <c r="B222" s="63" t="s">
        <v>389</v>
      </c>
      <c r="C222" s="36">
        <v>4301031503</v>
      </c>
      <c r="D222" s="649">
        <v>4680115886537</v>
      </c>
      <c r="E222" s="64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234</v>
      </c>
      <c r="L222" s="37" t="s">
        <v>46</v>
      </c>
      <c r="M222" s="38" t="s">
        <v>133</v>
      </c>
      <c r="N222" s="38"/>
      <c r="O222" s="37">
        <v>45</v>
      </c>
      <c r="P222" s="83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51"/>
      <c r="R222" s="651"/>
      <c r="S222" s="651"/>
      <c r="T222" s="65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390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391</v>
      </c>
      <c r="B223" s="63" t="s">
        <v>392</v>
      </c>
      <c r="C223" s="36">
        <v>4301031279</v>
      </c>
      <c r="D223" s="649">
        <v>4680115887596</v>
      </c>
      <c r="E223" s="649"/>
      <c r="F223" s="62">
        <v>0.08</v>
      </c>
      <c r="G223" s="37">
        <v>10</v>
      </c>
      <c r="H223" s="62">
        <v>0.8</v>
      </c>
      <c r="I223" s="62">
        <v>1.01</v>
      </c>
      <c r="J223" s="37">
        <v>312</v>
      </c>
      <c r="K223" s="37" t="s">
        <v>134</v>
      </c>
      <c r="L223" s="37" t="s">
        <v>46</v>
      </c>
      <c r="M223" s="38" t="s">
        <v>133</v>
      </c>
      <c r="N223" s="38"/>
      <c r="O223" s="37">
        <v>45</v>
      </c>
      <c r="P223" s="84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393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394</v>
      </c>
      <c r="B224" s="63" t="s">
        <v>395</v>
      </c>
      <c r="C224" s="36">
        <v>4301031530</v>
      </c>
      <c r="D224" s="649">
        <v>4680115881679</v>
      </c>
      <c r="E224" s="64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234</v>
      </c>
      <c r="L224" s="37" t="s">
        <v>46</v>
      </c>
      <c r="M224" s="38" t="s">
        <v>133</v>
      </c>
      <c r="N224" s="38"/>
      <c r="O224" s="37">
        <v>45</v>
      </c>
      <c r="P224" s="84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374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396</v>
      </c>
      <c r="B225" s="63" t="s">
        <v>397</v>
      </c>
      <c r="C225" s="36">
        <v>4301031531</v>
      </c>
      <c r="D225" s="649">
        <v>4680115880191</v>
      </c>
      <c r="E225" s="64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82</v>
      </c>
      <c r="L225" s="37" t="s">
        <v>46</v>
      </c>
      <c r="M225" s="38" t="s">
        <v>133</v>
      </c>
      <c r="N225" s="38"/>
      <c r="O225" s="37">
        <v>45</v>
      </c>
      <c r="P225" s="82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4301031245</v>
      </c>
      <c r="D226" s="649">
        <v>4680115883963</v>
      </c>
      <c r="E226" s="64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234</v>
      </c>
      <c r="L226" s="37" t="s">
        <v>46</v>
      </c>
      <c r="M226" s="38" t="s">
        <v>133</v>
      </c>
      <c r="N226" s="38"/>
      <c r="O226" s="37">
        <v>40</v>
      </c>
      <c r="P226" s="8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400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56"/>
      <c r="B227" s="656"/>
      <c r="C227" s="656"/>
      <c r="D227" s="656"/>
      <c r="E227" s="656"/>
      <c r="F227" s="656"/>
      <c r="G227" s="656"/>
      <c r="H227" s="656"/>
      <c r="I227" s="656"/>
      <c r="J227" s="656"/>
      <c r="K227" s="656"/>
      <c r="L227" s="656"/>
      <c r="M227" s="656"/>
      <c r="N227" s="656"/>
      <c r="O227" s="657"/>
      <c r="P227" s="653" t="s">
        <v>40</v>
      </c>
      <c r="Q227" s="654"/>
      <c r="R227" s="654"/>
      <c r="S227" s="654"/>
      <c r="T227" s="654"/>
      <c r="U227" s="654"/>
      <c r="V227" s="655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14.285714285714285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15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0.1353</v>
      </c>
      <c r="AA227" s="67"/>
      <c r="AB227" s="67"/>
      <c r="AC227" s="67"/>
    </row>
    <row r="228" spans="1:68" x14ac:dyDescent="0.2">
      <c r="A228" s="656"/>
      <c r="B228" s="656"/>
      <c r="C228" s="656"/>
      <c r="D228" s="656"/>
      <c r="E228" s="656"/>
      <c r="F228" s="656"/>
      <c r="G228" s="656"/>
      <c r="H228" s="656"/>
      <c r="I228" s="656"/>
      <c r="J228" s="656"/>
      <c r="K228" s="656"/>
      <c r="L228" s="656"/>
      <c r="M228" s="656"/>
      <c r="N228" s="656"/>
      <c r="O228" s="657"/>
      <c r="P228" s="653" t="s">
        <v>40</v>
      </c>
      <c r="Q228" s="654"/>
      <c r="R228" s="654"/>
      <c r="S228" s="654"/>
      <c r="T228" s="654"/>
      <c r="U228" s="654"/>
      <c r="V228" s="655"/>
      <c r="W228" s="42" t="s">
        <v>0</v>
      </c>
      <c r="X228" s="43">
        <f>IFERROR(SUM(X214:X226),"0")</f>
        <v>60</v>
      </c>
      <c r="Y228" s="43">
        <f>IFERROR(SUM(Y214:Y226),"0")</f>
        <v>63</v>
      </c>
      <c r="Z228" s="42"/>
      <c r="AA228" s="67"/>
      <c r="AB228" s="67"/>
      <c r="AC228" s="67"/>
    </row>
    <row r="229" spans="1:68" ht="14.25" hidden="1" customHeight="1" x14ac:dyDescent="0.25">
      <c r="A229" s="648" t="s">
        <v>77</v>
      </c>
      <c r="B229" s="648"/>
      <c r="C229" s="648"/>
      <c r="D229" s="648"/>
      <c r="E229" s="648"/>
      <c r="F229" s="648"/>
      <c r="G229" s="648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  <c r="Y229" s="648"/>
      <c r="Z229" s="648"/>
      <c r="AA229" s="66"/>
      <c r="AB229" s="66"/>
      <c r="AC229" s="80"/>
    </row>
    <row r="230" spans="1:68" ht="16.5" hidden="1" customHeight="1" x14ac:dyDescent="0.25">
      <c r="A230" s="63" t="s">
        <v>401</v>
      </c>
      <c r="B230" s="63" t="s">
        <v>402</v>
      </c>
      <c r="C230" s="36">
        <v>4301052279</v>
      </c>
      <c r="D230" s="649">
        <v>4680115888692</v>
      </c>
      <c r="E230" s="64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129</v>
      </c>
      <c r="L230" s="37" t="s">
        <v>46</v>
      </c>
      <c r="M230" s="38" t="s">
        <v>88</v>
      </c>
      <c r="N230" s="38"/>
      <c r="O230" s="37">
        <v>40</v>
      </c>
      <c r="P230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403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4301052280</v>
      </c>
      <c r="D231" s="649">
        <v>4680115888722</v>
      </c>
      <c r="E231" s="64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129</v>
      </c>
      <c r="L231" s="37" t="s">
        <v>46</v>
      </c>
      <c r="M231" s="38" t="s">
        <v>88</v>
      </c>
      <c r="N231" s="38"/>
      <c r="O231" s="37">
        <v>40</v>
      </c>
      <c r="P231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406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407</v>
      </c>
      <c r="B232" s="63" t="s">
        <v>408</v>
      </c>
      <c r="C232" s="36">
        <v>4301052276</v>
      </c>
      <c r="D232" s="649">
        <v>4680115888951</v>
      </c>
      <c r="E232" s="64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137</v>
      </c>
      <c r="L232" s="37" t="s">
        <v>46</v>
      </c>
      <c r="M232" s="38" t="s">
        <v>88</v>
      </c>
      <c r="N232" s="38"/>
      <c r="O232" s="37">
        <v>40</v>
      </c>
      <c r="P232" s="8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403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4301052278</v>
      </c>
      <c r="D233" s="649">
        <v>4680115888975</v>
      </c>
      <c r="E233" s="64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137</v>
      </c>
      <c r="L233" s="37" t="s">
        <v>46</v>
      </c>
      <c r="M233" s="38" t="s">
        <v>88</v>
      </c>
      <c r="N233" s="38"/>
      <c r="O233" s="37">
        <v>40</v>
      </c>
      <c r="P233" s="83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4301052277</v>
      </c>
      <c r="D234" s="649">
        <v>4680115888982</v>
      </c>
      <c r="E234" s="64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137</v>
      </c>
      <c r="L234" s="37" t="s">
        <v>46</v>
      </c>
      <c r="M234" s="38" t="s">
        <v>88</v>
      </c>
      <c r="N234" s="38"/>
      <c r="O234" s="37">
        <v>40</v>
      </c>
      <c r="P234" s="83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406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48" t="s">
        <v>95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49">
        <v>4680115886780</v>
      </c>
      <c r="E238" s="64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335</v>
      </c>
      <c r="L238" s="37" t="s">
        <v>46</v>
      </c>
      <c r="M238" s="38" t="s">
        <v>101</v>
      </c>
      <c r="N238" s="38"/>
      <c r="O238" s="37">
        <v>60</v>
      </c>
      <c r="P23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51"/>
      <c r="R238" s="651"/>
      <c r="S238" s="651"/>
      <c r="T238" s="65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49">
        <v>4680115886742</v>
      </c>
      <c r="E239" s="64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335</v>
      </c>
      <c r="L239" s="37" t="s">
        <v>46</v>
      </c>
      <c r="M239" s="38" t="s">
        <v>101</v>
      </c>
      <c r="N239" s="38"/>
      <c r="O239" s="37">
        <v>90</v>
      </c>
      <c r="P23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51"/>
      <c r="R239" s="651"/>
      <c r="S239" s="651"/>
      <c r="T239" s="65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49">
        <v>4680115886766</v>
      </c>
      <c r="E240" s="64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335</v>
      </c>
      <c r="L240" s="37" t="s">
        <v>46</v>
      </c>
      <c r="M240" s="38" t="s">
        <v>101</v>
      </c>
      <c r="N240" s="38"/>
      <c r="O240" s="37">
        <v>90</v>
      </c>
      <c r="P24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48" t="s">
        <v>422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49">
        <v>4680115886797</v>
      </c>
      <c r="E244" s="64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335</v>
      </c>
      <c r="L244" s="37" t="s">
        <v>46</v>
      </c>
      <c r="M244" s="38" t="s">
        <v>101</v>
      </c>
      <c r="N244" s="38"/>
      <c r="O244" s="37">
        <v>90</v>
      </c>
      <c r="P24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56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53" t="s">
        <v>40</v>
      </c>
      <c r="Q245" s="654"/>
      <c r="R245" s="654"/>
      <c r="S245" s="654"/>
      <c r="T245" s="654"/>
      <c r="U245" s="654"/>
      <c r="V245" s="65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53" t="s">
        <v>40</v>
      </c>
      <c r="Q246" s="654"/>
      <c r="R246" s="654"/>
      <c r="S246" s="654"/>
      <c r="T246" s="654"/>
      <c r="U246" s="654"/>
      <c r="V246" s="65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47" t="s">
        <v>425</v>
      </c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7"/>
      <c r="P247" s="647"/>
      <c r="Q247" s="647"/>
      <c r="R247" s="647"/>
      <c r="S247" s="647"/>
      <c r="T247" s="647"/>
      <c r="U247" s="647"/>
      <c r="V247" s="647"/>
      <c r="W247" s="647"/>
      <c r="X247" s="647"/>
      <c r="Y247" s="647"/>
      <c r="Z247" s="647"/>
      <c r="AA247" s="65"/>
      <c r="AB247" s="65"/>
      <c r="AC247" s="79"/>
    </row>
    <row r="248" spans="1:68" ht="14.25" hidden="1" customHeight="1" x14ac:dyDescent="0.25">
      <c r="A248" s="648" t="s">
        <v>124</v>
      </c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  <c r="Y248" s="648"/>
      <c r="Z248" s="648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49">
        <v>4680115881402</v>
      </c>
      <c r="E249" s="64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129</v>
      </c>
      <c r="L249" s="37" t="s">
        <v>46</v>
      </c>
      <c r="M249" s="38" t="s">
        <v>128</v>
      </c>
      <c r="N249" s="38"/>
      <c r="O249" s="37">
        <v>55</v>
      </c>
      <c r="P24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49">
        <v>4680115881396</v>
      </c>
      <c r="E250" s="64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82</v>
      </c>
      <c r="L250" s="37" t="s">
        <v>46</v>
      </c>
      <c r="M250" s="38" t="s">
        <v>128</v>
      </c>
      <c r="N250" s="38"/>
      <c r="O250" s="37">
        <v>55</v>
      </c>
      <c r="P25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429</v>
      </c>
      <c r="B251" s="63" t="s">
        <v>431</v>
      </c>
      <c r="C251" s="36">
        <v>4301012403</v>
      </c>
      <c r="D251" s="649">
        <v>4680115889903</v>
      </c>
      <c r="E251" s="649"/>
      <c r="F251" s="62">
        <v>0.45</v>
      </c>
      <c r="G251" s="37">
        <v>6</v>
      </c>
      <c r="H251" s="62">
        <v>2.7</v>
      </c>
      <c r="I251" s="62">
        <v>2.88</v>
      </c>
      <c r="J251" s="37">
        <v>182</v>
      </c>
      <c r="K251" s="37" t="s">
        <v>82</v>
      </c>
      <c r="L251" s="37" t="s">
        <v>46</v>
      </c>
      <c r="M251" s="38" t="s">
        <v>128</v>
      </c>
      <c r="N251" s="38"/>
      <c r="O251" s="37">
        <v>55</v>
      </c>
      <c r="P251" s="819" t="s">
        <v>432</v>
      </c>
      <c r="Q251" s="651"/>
      <c r="R251" s="651"/>
      <c r="S251" s="651"/>
      <c r="T251" s="65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30" t="s">
        <v>433</v>
      </c>
      <c r="AG251" s="78"/>
      <c r="AJ251" s="84" t="s">
        <v>46</v>
      </c>
      <c r="AK251" s="84">
        <v>0</v>
      </c>
      <c r="BB251" s="33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2" t="s">
        <v>39</v>
      </c>
      <c r="X252" s="43">
        <f>IFERROR(X249/H249,"0")+IFERROR(X250/H250,"0")+IFERROR(X251/H251,"0")</f>
        <v>0</v>
      </c>
      <c r="Y252" s="43">
        <f>IFERROR(Y249/H249,"0")+IFERROR(Y250/H250,"0")+IFERROR(Y251/H251,"0")</f>
        <v>0</v>
      </c>
      <c r="Z252" s="43">
        <f>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0</v>
      </c>
      <c r="X253" s="43">
        <f>IFERROR(SUM(X249:X251),"0")</f>
        <v>0</v>
      </c>
      <c r="Y253" s="43">
        <f>IFERROR(SUM(Y249:Y251),"0")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48" t="s">
        <v>161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6"/>
      <c r="AB254" s="66"/>
      <c r="AC254" s="80"/>
    </row>
    <row r="255" spans="1:68" ht="16.5" hidden="1" customHeight="1" x14ac:dyDescent="0.25">
      <c r="A255" s="63" t="s">
        <v>434</v>
      </c>
      <c r="B255" s="63" t="s">
        <v>435</v>
      </c>
      <c r="C255" s="36">
        <v>4301020261</v>
      </c>
      <c r="D255" s="649">
        <v>4680115882935</v>
      </c>
      <c r="E255" s="64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129</v>
      </c>
      <c r="L255" s="37" t="s">
        <v>46</v>
      </c>
      <c r="M255" s="38" t="s">
        <v>128</v>
      </c>
      <c r="N255" s="38"/>
      <c r="O255" s="37">
        <v>50</v>
      </c>
      <c r="P255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51"/>
      <c r="R255" s="651"/>
      <c r="S255" s="651"/>
      <c r="T255" s="65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16.5" hidden="1" customHeight="1" x14ac:dyDescent="0.25">
      <c r="A256" s="63" t="s">
        <v>437</v>
      </c>
      <c r="B256" s="63" t="s">
        <v>438</v>
      </c>
      <c r="C256" s="36">
        <v>4301020220</v>
      </c>
      <c r="D256" s="649">
        <v>4680115880764</v>
      </c>
      <c r="E256" s="649"/>
      <c r="F256" s="62">
        <v>0.35</v>
      </c>
      <c r="G256" s="37">
        <v>6</v>
      </c>
      <c r="H256" s="62">
        <v>2.1</v>
      </c>
      <c r="I256" s="62">
        <v>2.2799999999999998</v>
      </c>
      <c r="J256" s="37">
        <v>182</v>
      </c>
      <c r="K256" s="37" t="s">
        <v>82</v>
      </c>
      <c r="L256" s="37" t="s">
        <v>46</v>
      </c>
      <c r="M256" s="38" t="s">
        <v>128</v>
      </c>
      <c r="N256" s="38"/>
      <c r="O256" s="37">
        <v>50</v>
      </c>
      <c r="P256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51"/>
      <c r="R256" s="651"/>
      <c r="S256" s="651"/>
      <c r="T256" s="65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48" t="s">
        <v>256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6"/>
      <c r="AB259" s="66"/>
      <c r="AC259" s="80"/>
    </row>
    <row r="260" spans="1:68" ht="27" customHeight="1" x14ac:dyDescent="0.25">
      <c r="A260" s="63" t="s">
        <v>439</v>
      </c>
      <c r="B260" s="63" t="s">
        <v>440</v>
      </c>
      <c r="C260" s="36">
        <v>4301031224</v>
      </c>
      <c r="D260" s="649">
        <v>4680115882683</v>
      </c>
      <c r="E260" s="64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137</v>
      </c>
      <c r="L260" s="37" t="s">
        <v>46</v>
      </c>
      <c r="M260" s="38" t="s">
        <v>133</v>
      </c>
      <c r="N260" s="38"/>
      <c r="O260" s="37">
        <v>40</v>
      </c>
      <c r="P260" s="8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150</v>
      </c>
      <c r="Y260" s="55">
        <f t="shared" ref="Y260:Y267" si="31">IFERROR(IF(X260="",0,CEILING((X260/$H260),1)*$H260),"")</f>
        <v>151.20000000000002</v>
      </c>
      <c r="Z260" s="41">
        <f>IFERROR(IF(Y260=0,"",ROUNDUP(Y260/H260,0)*0.00902),"")</f>
        <v>0.25256000000000001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ref="BM260:BM267" si="32">IFERROR(X260*I260/H260,"0")</f>
        <v>155.27777777777777</v>
      </c>
      <c r="BN260" s="78">
        <f t="shared" ref="BN260:BN267" si="33">IFERROR(Y260*I260/H260,"0")</f>
        <v>156.52000000000001</v>
      </c>
      <c r="BO260" s="78">
        <f t="shared" ref="BO260:BO267" si="34">IFERROR(1/J260*(X260/H260),"0")</f>
        <v>0.21043771043771042</v>
      </c>
      <c r="BP260" s="78">
        <f t="shared" ref="BP260:BP267" si="35">IFERROR(1/J260*(Y260/H260),"0")</f>
        <v>0.21212121212121213</v>
      </c>
    </row>
    <row r="261" spans="1:68" ht="27" hidden="1" customHeight="1" x14ac:dyDescent="0.25">
      <c r="A261" s="63" t="s">
        <v>442</v>
      </c>
      <c r="B261" s="63" t="s">
        <v>443</v>
      </c>
      <c r="C261" s="36">
        <v>4301031230</v>
      </c>
      <c r="D261" s="649">
        <v>4680115882690</v>
      </c>
      <c r="E261" s="64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137</v>
      </c>
      <c r="L261" s="37" t="s">
        <v>46</v>
      </c>
      <c r="M261" s="38" t="s">
        <v>133</v>
      </c>
      <c r="N261" s="38"/>
      <c r="O261" s="37">
        <v>40</v>
      </c>
      <c r="P261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51"/>
      <c r="R261" s="651"/>
      <c r="S261" s="651"/>
      <c r="T261" s="652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1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0</v>
      </c>
      <c r="BN261" s="78">
        <f t="shared" si="33"/>
        <v>0</v>
      </c>
      <c r="BO261" s="78">
        <f t="shared" si="34"/>
        <v>0</v>
      </c>
      <c r="BP261" s="78">
        <f t="shared" si="35"/>
        <v>0</v>
      </c>
    </row>
    <row r="262" spans="1:68" ht="27" customHeight="1" x14ac:dyDescent="0.25">
      <c r="A262" s="63" t="s">
        <v>445</v>
      </c>
      <c r="B262" s="63" t="s">
        <v>446</v>
      </c>
      <c r="C262" s="36">
        <v>4301031220</v>
      </c>
      <c r="D262" s="649">
        <v>4680115882669</v>
      </c>
      <c r="E262" s="64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137</v>
      </c>
      <c r="L262" s="37" t="s">
        <v>46</v>
      </c>
      <c r="M262" s="38" t="s">
        <v>133</v>
      </c>
      <c r="N262" s="38"/>
      <c r="O262" s="37">
        <v>40</v>
      </c>
      <c r="P262" s="8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51"/>
      <c r="R262" s="651"/>
      <c r="S262" s="651"/>
      <c r="T262" s="652"/>
      <c r="U262" s="39" t="s">
        <v>46</v>
      </c>
      <c r="V262" s="39" t="s">
        <v>46</v>
      </c>
      <c r="W262" s="40" t="s">
        <v>0</v>
      </c>
      <c r="X262" s="58">
        <v>150</v>
      </c>
      <c r="Y262" s="55">
        <f t="shared" si="31"/>
        <v>151.20000000000002</v>
      </c>
      <c r="Z262" s="41">
        <f>IFERROR(IF(Y262=0,"",ROUNDUP(Y262/H262,0)*0.00902),"")</f>
        <v>0.25256000000000001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155.27777777777777</v>
      </c>
      <c r="BN262" s="78">
        <f t="shared" si="33"/>
        <v>156.52000000000001</v>
      </c>
      <c r="BO262" s="78">
        <f t="shared" si="34"/>
        <v>0.21043771043771042</v>
      </c>
      <c r="BP262" s="78">
        <f t="shared" si="35"/>
        <v>0.21212121212121213</v>
      </c>
    </row>
    <row r="263" spans="1:68" ht="27" customHeight="1" x14ac:dyDescent="0.25">
      <c r="A263" s="63" t="s">
        <v>448</v>
      </c>
      <c r="B263" s="63" t="s">
        <v>449</v>
      </c>
      <c r="C263" s="36">
        <v>4301031221</v>
      </c>
      <c r="D263" s="649">
        <v>4680115882676</v>
      </c>
      <c r="E263" s="649"/>
      <c r="F263" s="62">
        <v>0.9</v>
      </c>
      <c r="G263" s="37">
        <v>6</v>
      </c>
      <c r="H263" s="62">
        <v>5.4</v>
      </c>
      <c r="I263" s="62">
        <v>5.59</v>
      </c>
      <c r="J263" s="37">
        <v>132</v>
      </c>
      <c r="K263" s="37" t="s">
        <v>137</v>
      </c>
      <c r="L263" s="37" t="s">
        <v>46</v>
      </c>
      <c r="M263" s="38" t="s">
        <v>133</v>
      </c>
      <c r="N263" s="38"/>
      <c r="O263" s="37">
        <v>40</v>
      </c>
      <c r="P263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51"/>
      <c r="R263" s="651"/>
      <c r="S263" s="651"/>
      <c r="T263" s="652"/>
      <c r="U263" s="39" t="s">
        <v>46</v>
      </c>
      <c r="V263" s="39" t="s">
        <v>46</v>
      </c>
      <c r="W263" s="40" t="s">
        <v>0</v>
      </c>
      <c r="X263" s="58">
        <v>150</v>
      </c>
      <c r="Y263" s="55">
        <f t="shared" si="31"/>
        <v>151.20000000000002</v>
      </c>
      <c r="Z263" s="41">
        <f>IFERROR(IF(Y263=0,"",ROUNDUP(Y263/H263,0)*0.00902),"")</f>
        <v>0.25256000000000001</v>
      </c>
      <c r="AA263" s="68" t="s">
        <v>46</v>
      </c>
      <c r="AB263" s="69" t="s">
        <v>46</v>
      </c>
      <c r="AC263" s="342" t="s">
        <v>450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155.27777777777777</v>
      </c>
      <c r="BN263" s="78">
        <f t="shared" si="33"/>
        <v>156.52000000000001</v>
      </c>
      <c r="BO263" s="78">
        <f t="shared" si="34"/>
        <v>0.21043771043771042</v>
      </c>
      <c r="BP263" s="78">
        <f t="shared" si="35"/>
        <v>0.21212121212121213</v>
      </c>
    </row>
    <row r="264" spans="1:68" ht="27" hidden="1" customHeight="1" x14ac:dyDescent="0.25">
      <c r="A264" s="63" t="s">
        <v>451</v>
      </c>
      <c r="B264" s="63" t="s">
        <v>452</v>
      </c>
      <c r="C264" s="36">
        <v>4301031223</v>
      </c>
      <c r="D264" s="649">
        <v>4680115884014</v>
      </c>
      <c r="E264" s="649"/>
      <c r="F264" s="62">
        <v>0.3</v>
      </c>
      <c r="G264" s="37">
        <v>6</v>
      </c>
      <c r="H264" s="62">
        <v>1.8</v>
      </c>
      <c r="I264" s="62">
        <v>1.93</v>
      </c>
      <c r="J264" s="37">
        <v>234</v>
      </c>
      <c r="K264" s="37" t="s">
        <v>234</v>
      </c>
      <c r="L264" s="37" t="s">
        <v>46</v>
      </c>
      <c r="M264" s="38" t="s">
        <v>133</v>
      </c>
      <c r="N264" s="38"/>
      <c r="O264" s="37">
        <v>40</v>
      </c>
      <c r="P264" s="8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453</v>
      </c>
      <c r="B265" s="63" t="s">
        <v>454</v>
      </c>
      <c r="C265" s="36">
        <v>4301031222</v>
      </c>
      <c r="D265" s="649">
        <v>4680115884007</v>
      </c>
      <c r="E265" s="64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234</v>
      </c>
      <c r="L265" s="37" t="s">
        <v>46</v>
      </c>
      <c r="M265" s="38" t="s">
        <v>133</v>
      </c>
      <c r="N265" s="38"/>
      <c r="O265" s="37">
        <v>40</v>
      </c>
      <c r="P265" s="8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455</v>
      </c>
      <c r="B266" s="63" t="s">
        <v>456</v>
      </c>
      <c r="C266" s="36">
        <v>4301031229</v>
      </c>
      <c r="D266" s="649">
        <v>4680115884038</v>
      </c>
      <c r="E266" s="64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234</v>
      </c>
      <c r="L266" s="37" t="s">
        <v>46</v>
      </c>
      <c r="M266" s="38" t="s">
        <v>133</v>
      </c>
      <c r="N266" s="38"/>
      <c r="O266" s="37">
        <v>40</v>
      </c>
      <c r="P266" s="8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51"/>
      <c r="R266" s="651"/>
      <c r="S266" s="651"/>
      <c r="T266" s="65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457</v>
      </c>
      <c r="B267" s="63" t="s">
        <v>458</v>
      </c>
      <c r="C267" s="36">
        <v>4301031225</v>
      </c>
      <c r="D267" s="649">
        <v>4680115884021</v>
      </c>
      <c r="E267" s="649"/>
      <c r="F267" s="62">
        <v>0.3</v>
      </c>
      <c r="G267" s="37">
        <v>6</v>
      </c>
      <c r="H267" s="62">
        <v>1.8</v>
      </c>
      <c r="I267" s="62">
        <v>1.9</v>
      </c>
      <c r="J267" s="37">
        <v>234</v>
      </c>
      <c r="K267" s="37" t="s">
        <v>234</v>
      </c>
      <c r="L267" s="37" t="s">
        <v>46</v>
      </c>
      <c r="M267" s="38" t="s">
        <v>133</v>
      </c>
      <c r="N267" s="38"/>
      <c r="O267" s="37">
        <v>40</v>
      </c>
      <c r="P267" s="8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51"/>
      <c r="R267" s="651"/>
      <c r="S267" s="651"/>
      <c r="T267" s="65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IFERROR(IF(Y267=0,"",ROUNDUP(Y267/H267,0)*0.00502),"")</f>
        <v/>
      </c>
      <c r="AA267" s="68" t="s">
        <v>46</v>
      </c>
      <c r="AB267" s="69" t="s">
        <v>46</v>
      </c>
      <c r="AC267" s="350" t="s">
        <v>450</v>
      </c>
      <c r="AG267" s="78"/>
      <c r="AJ267" s="84" t="s">
        <v>46</v>
      </c>
      <c r="AK267" s="84">
        <v>0</v>
      </c>
      <c r="BB267" s="351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IFERROR(X260/H260,"0")+IFERROR(X261/H261,"0")+IFERROR(X262/H262,"0")+IFERROR(X263/H263,"0")+IFERROR(X264/H264,"0")+IFERROR(X265/H265,"0")+IFERROR(X266/H266,"0")+IFERROR(X267/H267,"0")</f>
        <v>83.333333333333329</v>
      </c>
      <c r="Y268" s="43">
        <f>IFERROR(Y260/H260,"0")+IFERROR(Y261/H261,"0")+IFERROR(Y262/H262,"0")+IFERROR(Y263/H263,"0")+IFERROR(Y264/H264,"0")+IFERROR(Y265/H265,"0")+IFERROR(Y266/H266,"0")+IFERROR(Y267/H267,"0")</f>
        <v>84</v>
      </c>
      <c r="Z268" s="43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0.75768000000000002</v>
      </c>
      <c r="AA268" s="67"/>
      <c r="AB268" s="67"/>
      <c r="AC268" s="67"/>
    </row>
    <row r="269" spans="1:68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IFERROR(SUM(X260:X267),"0")</f>
        <v>450</v>
      </c>
      <c r="Y269" s="43">
        <f>IFERROR(SUM(Y260:Y267),"0")</f>
        <v>453.6</v>
      </c>
      <c r="Z269" s="42"/>
      <c r="AA269" s="67"/>
      <c r="AB269" s="67"/>
      <c r="AC269" s="67"/>
    </row>
    <row r="270" spans="1:68" ht="14.25" hidden="1" customHeight="1" x14ac:dyDescent="0.25">
      <c r="A270" s="648" t="s">
        <v>77</v>
      </c>
      <c r="B270" s="648"/>
      <c r="C270" s="648"/>
      <c r="D270" s="648"/>
      <c r="E270" s="648"/>
      <c r="F270" s="648"/>
      <c r="G270" s="648"/>
      <c r="H270" s="648"/>
      <c r="I270" s="648"/>
      <c r="J270" s="648"/>
      <c r="K270" s="648"/>
      <c r="L270" s="648"/>
      <c r="M270" s="648"/>
      <c r="N270" s="648"/>
      <c r="O270" s="648"/>
      <c r="P270" s="648"/>
      <c r="Q270" s="648"/>
      <c r="R270" s="648"/>
      <c r="S270" s="648"/>
      <c r="T270" s="648"/>
      <c r="U270" s="648"/>
      <c r="V270" s="648"/>
      <c r="W270" s="648"/>
      <c r="X270" s="648"/>
      <c r="Y270" s="648"/>
      <c r="Z270" s="648"/>
      <c r="AA270" s="66"/>
      <c r="AB270" s="66"/>
      <c r="AC270" s="80"/>
    </row>
    <row r="271" spans="1:68" ht="27" hidden="1" customHeight="1" x14ac:dyDescent="0.25">
      <c r="A271" s="63" t="s">
        <v>459</v>
      </c>
      <c r="B271" s="63" t="s">
        <v>460</v>
      </c>
      <c r="C271" s="36">
        <v>4301052272</v>
      </c>
      <c r="D271" s="649">
        <v>4680115889873</v>
      </c>
      <c r="E271" s="649"/>
      <c r="F271" s="62">
        <v>0.8</v>
      </c>
      <c r="G271" s="37">
        <v>6</v>
      </c>
      <c r="H271" s="62">
        <v>4.8</v>
      </c>
      <c r="I271" s="62">
        <v>5.1619999999999999</v>
      </c>
      <c r="J271" s="37">
        <v>104</v>
      </c>
      <c r="K271" s="37" t="s">
        <v>129</v>
      </c>
      <c r="L271" s="37" t="s">
        <v>46</v>
      </c>
      <c r="M271" s="38" t="s">
        <v>81</v>
      </c>
      <c r="N271" s="38"/>
      <c r="O271" s="37">
        <v>45</v>
      </c>
      <c r="P271" s="80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82" si="36">IFERROR(IF(X271="",0,CEILING((X271/$H271),1)*$H271),"")</f>
        <v>0</v>
      </c>
      <c r="Z271" s="41" t="str">
        <f>IFERROR(IF(Y271=0,"",ROUNDUP(Y271/H271,0)*0.01196),"")</f>
        <v/>
      </c>
      <c r="AA271" s="68" t="s">
        <v>46</v>
      </c>
      <c r="AB271" s="69" t="s">
        <v>100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ref="BM271:BM282" si="37">IFERROR(X271*I271/H271,"0")</f>
        <v>0</v>
      </c>
      <c r="BN271" s="78">
        <f t="shared" ref="BN271:BN282" si="38">IFERROR(Y271*I271/H271,"0")</f>
        <v>0</v>
      </c>
      <c r="BO271" s="78">
        <f t="shared" ref="BO271:BO282" si="39">IFERROR(1/J271*(X271/H271),"0")</f>
        <v>0</v>
      </c>
      <c r="BP271" s="78">
        <f t="shared" ref="BP271:BP282" si="40">IFERROR(1/J271*(Y271/H271),"0")</f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4301051408</v>
      </c>
      <c r="D272" s="649">
        <v>4680115881594</v>
      </c>
      <c r="E272" s="649"/>
      <c r="F272" s="62">
        <v>1.35</v>
      </c>
      <c r="G272" s="37">
        <v>6</v>
      </c>
      <c r="H272" s="62">
        <v>8.1</v>
      </c>
      <c r="I272" s="62">
        <v>8.5939999999999994</v>
      </c>
      <c r="J272" s="37">
        <v>64</v>
      </c>
      <c r="K272" s="37" t="s">
        <v>129</v>
      </c>
      <c r="L272" s="37" t="s">
        <v>46</v>
      </c>
      <c r="M272" s="38" t="s">
        <v>81</v>
      </c>
      <c r="N272" s="38"/>
      <c r="O272" s="37">
        <v>40</v>
      </c>
      <c r="P272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hidden="1" customHeight="1" x14ac:dyDescent="0.25">
      <c r="A273" s="63" t="s">
        <v>465</v>
      </c>
      <c r="B273" s="63" t="s">
        <v>466</v>
      </c>
      <c r="C273" s="36">
        <v>4301051411</v>
      </c>
      <c r="D273" s="649">
        <v>4680115881617</v>
      </c>
      <c r="E273" s="649"/>
      <c r="F273" s="62">
        <v>1.35</v>
      </c>
      <c r="G273" s="37">
        <v>6</v>
      </c>
      <c r="H273" s="62">
        <v>8.1</v>
      </c>
      <c r="I273" s="62">
        <v>8.5760000000000005</v>
      </c>
      <c r="J273" s="37">
        <v>64</v>
      </c>
      <c r="K273" s="37" t="s">
        <v>129</v>
      </c>
      <c r="L273" s="37" t="s">
        <v>46</v>
      </c>
      <c r="M273" s="38" t="s">
        <v>81</v>
      </c>
      <c r="N273" s="38"/>
      <c r="O273" s="37">
        <v>40</v>
      </c>
      <c r="P273" s="80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56" t="s">
        <v>467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hidden="1" customHeight="1" x14ac:dyDescent="0.25">
      <c r="A274" s="63" t="s">
        <v>468</v>
      </c>
      <c r="B274" s="63" t="s">
        <v>469</v>
      </c>
      <c r="C274" s="36">
        <v>4301051656</v>
      </c>
      <c r="D274" s="649">
        <v>4680115880573</v>
      </c>
      <c r="E274" s="649"/>
      <c r="F274" s="62">
        <v>1.45</v>
      </c>
      <c r="G274" s="37">
        <v>6</v>
      </c>
      <c r="H274" s="62">
        <v>8.6999999999999993</v>
      </c>
      <c r="I274" s="62">
        <v>9.1940000000000008</v>
      </c>
      <c r="J274" s="37">
        <v>64</v>
      </c>
      <c r="K274" s="37" t="s">
        <v>129</v>
      </c>
      <c r="L274" s="37" t="s">
        <v>46</v>
      </c>
      <c r="M274" s="38" t="s">
        <v>81</v>
      </c>
      <c r="N274" s="38"/>
      <c r="O274" s="37">
        <v>45</v>
      </c>
      <c r="P274" s="8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IFERROR(IF(Y274=0,"",ROUNDUP(Y274/H274,0)*0.01898),"")</f>
        <v/>
      </c>
      <c r="AA274" s="68" t="s">
        <v>46</v>
      </c>
      <c r="AB274" s="69" t="s">
        <v>46</v>
      </c>
      <c r="AC274" s="358" t="s">
        <v>461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customHeight="1" x14ac:dyDescent="0.25">
      <c r="A275" s="63" t="s">
        <v>470</v>
      </c>
      <c r="B275" s="63" t="s">
        <v>471</v>
      </c>
      <c r="C275" s="36">
        <v>4301051407</v>
      </c>
      <c r="D275" s="649">
        <v>4680115882195</v>
      </c>
      <c r="E275" s="649"/>
      <c r="F275" s="62">
        <v>0.4</v>
      </c>
      <c r="G275" s="37">
        <v>6</v>
      </c>
      <c r="H275" s="62">
        <v>2.4</v>
      </c>
      <c r="I275" s="62">
        <v>2.67</v>
      </c>
      <c r="J275" s="37">
        <v>182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48</v>
      </c>
      <c r="Y275" s="55">
        <f t="shared" si="36"/>
        <v>48</v>
      </c>
      <c r="Z275" s="41">
        <f>IFERROR(IF(Y275=0,"",ROUNDUP(Y275/H275,0)*0.00651),"")</f>
        <v>0.13020000000000001</v>
      </c>
      <c r="AA275" s="68" t="s">
        <v>46</v>
      </c>
      <c r="AB275" s="69" t="s">
        <v>46</v>
      </c>
      <c r="AC275" s="360" t="s">
        <v>464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53.4</v>
      </c>
      <c r="BN275" s="78">
        <f t="shared" si="38"/>
        <v>53.4</v>
      </c>
      <c r="BO275" s="78">
        <f t="shared" si="39"/>
        <v>0.1098901098901099</v>
      </c>
      <c r="BP275" s="78">
        <f t="shared" si="40"/>
        <v>0.1098901098901099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4301051752</v>
      </c>
      <c r="D276" s="649">
        <v>4680115882607</v>
      </c>
      <c r="E276" s="649"/>
      <c r="F276" s="62">
        <v>0.3</v>
      </c>
      <c r="G276" s="37">
        <v>6</v>
      </c>
      <c r="H276" s="62">
        <v>1.8</v>
      </c>
      <c r="I276" s="62">
        <v>2.052</v>
      </c>
      <c r="J276" s="37">
        <v>182</v>
      </c>
      <c r="K276" s="37" t="s">
        <v>82</v>
      </c>
      <c r="L276" s="37" t="s">
        <v>46</v>
      </c>
      <c r="M276" s="38" t="s">
        <v>88</v>
      </c>
      <c r="N276" s="38"/>
      <c r="O276" s="37">
        <v>45</v>
      </c>
      <c r="P276" s="8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461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4301051666</v>
      </c>
      <c r="D277" s="649">
        <v>4680115880092</v>
      </c>
      <c r="E277" s="649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82</v>
      </c>
      <c r="L277" s="37" t="s">
        <v>46</v>
      </c>
      <c r="M277" s="38" t="s">
        <v>81</v>
      </c>
      <c r="N277" s="38"/>
      <c r="O277" s="37">
        <v>45</v>
      </c>
      <c r="P277" s="8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51"/>
      <c r="R277" s="651"/>
      <c r="S277" s="651"/>
      <c r="T277" s="65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64" t="s">
        <v>461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4301052214</v>
      </c>
      <c r="D278" s="649">
        <v>4680115889064</v>
      </c>
      <c r="E278" s="649"/>
      <c r="F278" s="62">
        <v>0.7</v>
      </c>
      <c r="G278" s="37">
        <v>6</v>
      </c>
      <c r="H278" s="62">
        <v>4.2</v>
      </c>
      <c r="I278" s="62">
        <v>4.6159999999999997</v>
      </c>
      <c r="J278" s="37">
        <v>104</v>
      </c>
      <c r="K278" s="37" t="s">
        <v>129</v>
      </c>
      <c r="L278" s="37" t="s">
        <v>46</v>
      </c>
      <c r="M278" s="38" t="s">
        <v>81</v>
      </c>
      <c r="N278" s="38"/>
      <c r="O278" s="37">
        <v>45</v>
      </c>
      <c r="P278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51"/>
      <c r="R278" s="651"/>
      <c r="S278" s="651"/>
      <c r="T278" s="65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IFERROR(IF(Y278=0,"",ROUNDUP(Y278/H278,0)*0.01196),"")</f>
        <v/>
      </c>
      <c r="AA278" s="68" t="s">
        <v>46</v>
      </c>
      <c r="AB278" s="69" t="s">
        <v>46</v>
      </c>
      <c r="AC278" s="366" t="s">
        <v>478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479</v>
      </c>
      <c r="B279" s="63" t="s">
        <v>480</v>
      </c>
      <c r="C279" s="36">
        <v>4301051668</v>
      </c>
      <c r="D279" s="649">
        <v>4680115880221</v>
      </c>
      <c r="E279" s="64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82</v>
      </c>
      <c r="L279" s="37" t="s">
        <v>46</v>
      </c>
      <c r="M279" s="38" t="s">
        <v>81</v>
      </c>
      <c r="N279" s="38"/>
      <c r="O279" s="37">
        <v>45</v>
      </c>
      <c r="P279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51"/>
      <c r="R279" s="651"/>
      <c r="S279" s="651"/>
      <c r="T279" s="652"/>
      <c r="U279" s="39" t="s">
        <v>46</v>
      </c>
      <c r="V279" s="39" t="s">
        <v>46</v>
      </c>
      <c r="W279" s="40" t="s">
        <v>0</v>
      </c>
      <c r="X279" s="58">
        <v>48</v>
      </c>
      <c r="Y279" s="55">
        <f t="shared" si="36"/>
        <v>48</v>
      </c>
      <c r="Z279" s="41">
        <f>IFERROR(IF(Y279=0,"",ROUNDUP(Y279/H279,0)*0.00651),"")</f>
        <v>0.13020000000000001</v>
      </c>
      <c r="AA279" s="68" t="s">
        <v>46</v>
      </c>
      <c r="AB279" s="69" t="s">
        <v>46</v>
      </c>
      <c r="AC279" s="368" t="s">
        <v>461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53.040000000000006</v>
      </c>
      <c r="BN279" s="78">
        <f t="shared" si="38"/>
        <v>53.040000000000006</v>
      </c>
      <c r="BO279" s="78">
        <f t="shared" si="39"/>
        <v>0.1098901098901099</v>
      </c>
      <c r="BP279" s="78">
        <f t="shared" si="40"/>
        <v>0.1098901098901099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4301051945</v>
      </c>
      <c r="D280" s="649">
        <v>4680115880504</v>
      </c>
      <c r="E280" s="649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88</v>
      </c>
      <c r="N280" s="38"/>
      <c r="O280" s="37">
        <v>40</v>
      </c>
      <c r="P280" s="7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4301051410</v>
      </c>
      <c r="D281" s="649">
        <v>4680115882164</v>
      </c>
      <c r="E281" s="649"/>
      <c r="F281" s="62">
        <v>0.4</v>
      </c>
      <c r="G281" s="37">
        <v>6</v>
      </c>
      <c r="H281" s="62">
        <v>2.4</v>
      </c>
      <c r="I281" s="62">
        <v>2.6579999999999999</v>
      </c>
      <c r="J281" s="37">
        <v>182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48</v>
      </c>
      <c r="Y281" s="55">
        <f t="shared" si="36"/>
        <v>48</v>
      </c>
      <c r="Z281" s="41">
        <f>IFERROR(IF(Y281=0,"",ROUNDUP(Y281/H281,0)*0.00651),"")</f>
        <v>0.13020000000000001</v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53.160000000000004</v>
      </c>
      <c r="BN281" s="78">
        <f t="shared" si="38"/>
        <v>53.160000000000004</v>
      </c>
      <c r="BO281" s="78">
        <f t="shared" si="39"/>
        <v>0.1098901098901099</v>
      </c>
      <c r="BP281" s="78">
        <f t="shared" si="40"/>
        <v>0.1098901098901099</v>
      </c>
    </row>
    <row r="282" spans="1:68" ht="27" hidden="1" customHeight="1" x14ac:dyDescent="0.25">
      <c r="A282" s="63" t="s">
        <v>487</v>
      </c>
      <c r="B282" s="63" t="s">
        <v>488</v>
      </c>
      <c r="C282" s="36">
        <v>4301052180</v>
      </c>
      <c r="D282" s="649">
        <v>4680115888340</v>
      </c>
      <c r="E282" s="64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82</v>
      </c>
      <c r="L282" s="37" t="s">
        <v>46</v>
      </c>
      <c r="M282" s="38" t="s">
        <v>81</v>
      </c>
      <c r="N282" s="38"/>
      <c r="O282" s="37">
        <v>45</v>
      </c>
      <c r="P282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489</v>
      </c>
      <c r="AG282" s="78"/>
      <c r="AJ282" s="84" t="s">
        <v>46</v>
      </c>
      <c r="AK282" s="84">
        <v>0</v>
      </c>
      <c r="BB282" s="375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x14ac:dyDescent="0.2">
      <c r="A283" s="656"/>
      <c r="B283" s="656"/>
      <c r="C283" s="656"/>
      <c r="D283" s="656"/>
      <c r="E283" s="656"/>
      <c r="F283" s="656"/>
      <c r="G283" s="656"/>
      <c r="H283" s="656"/>
      <c r="I283" s="656"/>
      <c r="J283" s="656"/>
      <c r="K283" s="656"/>
      <c r="L283" s="656"/>
      <c r="M283" s="656"/>
      <c r="N283" s="656"/>
      <c r="O283" s="657"/>
      <c r="P283" s="653" t="s">
        <v>40</v>
      </c>
      <c r="Q283" s="654"/>
      <c r="R283" s="654"/>
      <c r="S283" s="654"/>
      <c r="T283" s="654"/>
      <c r="U283" s="654"/>
      <c r="V283" s="655"/>
      <c r="W283" s="42" t="s">
        <v>39</v>
      </c>
      <c r="X283" s="43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60</v>
      </c>
      <c r="Y283" s="43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60</v>
      </c>
      <c r="Z283" s="43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0.39060000000000006</v>
      </c>
      <c r="AA283" s="67"/>
      <c r="AB283" s="67"/>
      <c r="AC283" s="67"/>
    </row>
    <row r="284" spans="1:68" x14ac:dyDescent="0.2">
      <c r="A284" s="656"/>
      <c r="B284" s="656"/>
      <c r="C284" s="656"/>
      <c r="D284" s="656"/>
      <c r="E284" s="656"/>
      <c r="F284" s="656"/>
      <c r="G284" s="656"/>
      <c r="H284" s="656"/>
      <c r="I284" s="656"/>
      <c r="J284" s="656"/>
      <c r="K284" s="656"/>
      <c r="L284" s="656"/>
      <c r="M284" s="656"/>
      <c r="N284" s="656"/>
      <c r="O284" s="657"/>
      <c r="P284" s="653" t="s">
        <v>40</v>
      </c>
      <c r="Q284" s="654"/>
      <c r="R284" s="654"/>
      <c r="S284" s="654"/>
      <c r="T284" s="654"/>
      <c r="U284" s="654"/>
      <c r="V284" s="655"/>
      <c r="W284" s="42" t="s">
        <v>0</v>
      </c>
      <c r="X284" s="43">
        <f>IFERROR(SUM(X271:X282),"0")</f>
        <v>144</v>
      </c>
      <c r="Y284" s="43">
        <f>IFERROR(SUM(Y271:Y282),"0")</f>
        <v>144</v>
      </c>
      <c r="Z284" s="42"/>
      <c r="AA284" s="67"/>
      <c r="AB284" s="67"/>
      <c r="AC284" s="67"/>
    </row>
    <row r="285" spans="1:68" ht="14.25" hidden="1" customHeight="1" x14ac:dyDescent="0.25">
      <c r="A285" s="648" t="s">
        <v>179</v>
      </c>
      <c r="B285" s="648"/>
      <c r="C285" s="648"/>
      <c r="D285" s="648"/>
      <c r="E285" s="648"/>
      <c r="F285" s="648"/>
      <c r="G285" s="648"/>
      <c r="H285" s="648"/>
      <c r="I285" s="648"/>
      <c r="J285" s="648"/>
      <c r="K285" s="648"/>
      <c r="L285" s="648"/>
      <c r="M285" s="648"/>
      <c r="N285" s="648"/>
      <c r="O285" s="648"/>
      <c r="P285" s="648"/>
      <c r="Q285" s="648"/>
      <c r="R285" s="648"/>
      <c r="S285" s="648"/>
      <c r="T285" s="648"/>
      <c r="U285" s="648"/>
      <c r="V285" s="648"/>
      <c r="W285" s="648"/>
      <c r="X285" s="648"/>
      <c r="Y285" s="648"/>
      <c r="Z285" s="648"/>
      <c r="AA285" s="66"/>
      <c r="AB285" s="66"/>
      <c r="AC285" s="80"/>
    </row>
    <row r="286" spans="1:68" ht="27" hidden="1" customHeight="1" x14ac:dyDescent="0.25">
      <c r="A286" s="63" t="s">
        <v>490</v>
      </c>
      <c r="B286" s="63" t="s">
        <v>491</v>
      </c>
      <c r="C286" s="36">
        <v>4301060463</v>
      </c>
      <c r="D286" s="649">
        <v>4680115880818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82</v>
      </c>
      <c r="L286" s="37" t="s">
        <v>46</v>
      </c>
      <c r="M286" s="38" t="s">
        <v>88</v>
      </c>
      <c r="N286" s="38"/>
      <c r="O286" s="37">
        <v>40</v>
      </c>
      <c r="P28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4301060389</v>
      </c>
      <c r="D287" s="649">
        <v>4680115880801</v>
      </c>
      <c r="E287" s="649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82</v>
      </c>
      <c r="L287" s="37" t="s">
        <v>46</v>
      </c>
      <c r="M287" s="38" t="s">
        <v>81</v>
      </c>
      <c r="N287" s="38"/>
      <c r="O287" s="37">
        <v>40</v>
      </c>
      <c r="P287" s="80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656"/>
      <c r="B288" s="656"/>
      <c r="C288" s="656"/>
      <c r="D288" s="656"/>
      <c r="E288" s="656"/>
      <c r="F288" s="656"/>
      <c r="G288" s="656"/>
      <c r="H288" s="656"/>
      <c r="I288" s="656"/>
      <c r="J288" s="656"/>
      <c r="K288" s="656"/>
      <c r="L288" s="656"/>
      <c r="M288" s="656"/>
      <c r="N288" s="656"/>
      <c r="O288" s="657"/>
      <c r="P288" s="653" t="s">
        <v>40</v>
      </c>
      <c r="Q288" s="654"/>
      <c r="R288" s="654"/>
      <c r="S288" s="654"/>
      <c r="T288" s="654"/>
      <c r="U288" s="654"/>
      <c r="V288" s="655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6.5" hidden="1" customHeight="1" x14ac:dyDescent="0.25">
      <c r="A290" s="647" t="s">
        <v>496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5"/>
      <c r="AB290" s="65"/>
      <c r="AC290" s="79"/>
    </row>
    <row r="291" spans="1:68" ht="14.25" hidden="1" customHeight="1" x14ac:dyDescent="0.25">
      <c r="A291" s="648" t="s">
        <v>124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6"/>
      <c r="AB291" s="66"/>
      <c r="AC291" s="80"/>
    </row>
    <row r="292" spans="1:68" ht="27" hidden="1" customHeight="1" x14ac:dyDescent="0.25">
      <c r="A292" s="63" t="s">
        <v>497</v>
      </c>
      <c r="B292" s="63" t="s">
        <v>498</v>
      </c>
      <c r="C292" s="36">
        <v>4301011826</v>
      </c>
      <c r="D292" s="649">
        <v>4680115884137</v>
      </c>
      <c r="E292" s="64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129</v>
      </c>
      <c r="L292" s="37" t="s">
        <v>46</v>
      </c>
      <c r="M292" s="38" t="s">
        <v>128</v>
      </c>
      <c r="N292" s="38"/>
      <c r="O292" s="37">
        <v>55</v>
      </c>
      <c r="P292" s="7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51"/>
      <c r="R292" s="651"/>
      <c r="S292" s="651"/>
      <c r="T292" s="65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ref="Y292:Y298" si="41">IFERROR(IF(X292="",0,CEILING((X292/$H292),1)*$H292),"")</f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ref="BM292:BM298" si="42">IFERROR(X292*I292/H292,"0")</f>
        <v>0</v>
      </c>
      <c r="BN292" s="78">
        <f t="shared" ref="BN292:BN298" si="43">IFERROR(Y292*I292/H292,"0")</f>
        <v>0</v>
      </c>
      <c r="BO292" s="78">
        <f t="shared" ref="BO292:BO298" si="44">IFERROR(1/J292*(X292/H292),"0")</f>
        <v>0</v>
      </c>
      <c r="BP292" s="78">
        <f t="shared" ref="BP292:BP298" si="45">IFERROR(1/J292*(Y292/H292),"0")</f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4301011724</v>
      </c>
      <c r="D293" s="649">
        <v>4680115884236</v>
      </c>
      <c r="E293" s="64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129</v>
      </c>
      <c r="L293" s="37" t="s">
        <v>46</v>
      </c>
      <c r="M293" s="38" t="s">
        <v>128</v>
      </c>
      <c r="N293" s="38"/>
      <c r="O293" s="37">
        <v>55</v>
      </c>
      <c r="P293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51"/>
      <c r="R293" s="651"/>
      <c r="S293" s="651"/>
      <c r="T293" s="65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502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4301011721</v>
      </c>
      <c r="D294" s="649">
        <v>4680115884175</v>
      </c>
      <c r="E294" s="649"/>
      <c r="F294" s="62">
        <v>1.45</v>
      </c>
      <c r="G294" s="37">
        <v>8</v>
      </c>
      <c r="H294" s="62">
        <v>11.6</v>
      </c>
      <c r="I294" s="62">
        <v>12.01</v>
      </c>
      <c r="J294" s="37">
        <v>64</v>
      </c>
      <c r="K294" s="37" t="s">
        <v>129</v>
      </c>
      <c r="L294" s="37" t="s">
        <v>46</v>
      </c>
      <c r="M294" s="38" t="s">
        <v>128</v>
      </c>
      <c r="N294" s="38"/>
      <c r="O294" s="37">
        <v>55</v>
      </c>
      <c r="P294" s="7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51"/>
      <c r="R294" s="651"/>
      <c r="S294" s="651"/>
      <c r="T294" s="652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IFERROR(IF(Y294=0,"",ROUNDUP(Y294/H294,0)*0.01898),"")</f>
        <v/>
      </c>
      <c r="AA294" s="68" t="s">
        <v>46</v>
      </c>
      <c r="AB294" s="69" t="s">
        <v>46</v>
      </c>
      <c r="AC294" s="384" t="s">
        <v>358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hidden="1" customHeight="1" x14ac:dyDescent="0.25">
      <c r="A295" s="63" t="s">
        <v>505</v>
      </c>
      <c r="B295" s="63" t="s">
        <v>506</v>
      </c>
      <c r="C295" s="36">
        <v>4301011824</v>
      </c>
      <c r="D295" s="649">
        <v>4680115884144</v>
      </c>
      <c r="E295" s="64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137</v>
      </c>
      <c r="L295" s="37" t="s">
        <v>46</v>
      </c>
      <c r="M295" s="38" t="s">
        <v>128</v>
      </c>
      <c r="N295" s="38"/>
      <c r="O295" s="37">
        <v>55</v>
      </c>
      <c r="P295" s="7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499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4301012149</v>
      </c>
      <c r="D296" s="649">
        <v>4680115886551</v>
      </c>
      <c r="E296" s="649"/>
      <c r="F296" s="62">
        <v>0.4</v>
      </c>
      <c r="G296" s="37">
        <v>10</v>
      </c>
      <c r="H296" s="62">
        <v>4</v>
      </c>
      <c r="I296" s="62">
        <v>4.1900000000000004</v>
      </c>
      <c r="J296" s="37">
        <v>132</v>
      </c>
      <c r="K296" s="37" t="s">
        <v>137</v>
      </c>
      <c r="L296" s="37" t="s">
        <v>46</v>
      </c>
      <c r="M296" s="38" t="s">
        <v>128</v>
      </c>
      <c r="N296" s="38"/>
      <c r="O296" s="37">
        <v>55</v>
      </c>
      <c r="P296" s="7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IFERROR(IF(Y296=0,"",ROUNDUP(Y296/H296,0)*0.00902),"")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4301012228</v>
      </c>
      <c r="D297" s="649">
        <v>4680115887282</v>
      </c>
      <c r="E297" s="649"/>
      <c r="F297" s="62">
        <v>0.4</v>
      </c>
      <c r="G297" s="37">
        <v>6</v>
      </c>
      <c r="H297" s="62">
        <v>2.4</v>
      </c>
      <c r="I297" s="62">
        <v>2.58</v>
      </c>
      <c r="J297" s="37">
        <v>182</v>
      </c>
      <c r="K297" s="37" t="s">
        <v>82</v>
      </c>
      <c r="L297" s="37" t="s">
        <v>46</v>
      </c>
      <c r="M297" s="38" t="s">
        <v>128</v>
      </c>
      <c r="N297" s="38"/>
      <c r="O297" s="37">
        <v>55</v>
      </c>
      <c r="P297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51"/>
      <c r="R297" s="651"/>
      <c r="S297" s="651"/>
      <c r="T297" s="65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0" t="s">
        <v>512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513</v>
      </c>
      <c r="B298" s="63" t="s">
        <v>514</v>
      </c>
      <c r="C298" s="36">
        <v>4301011722</v>
      </c>
      <c r="D298" s="649">
        <v>4680115884205</v>
      </c>
      <c r="E298" s="649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137</v>
      </c>
      <c r="L298" s="37" t="s">
        <v>46</v>
      </c>
      <c r="M298" s="38" t="s">
        <v>128</v>
      </c>
      <c r="N298" s="38"/>
      <c r="O298" s="37">
        <v>55</v>
      </c>
      <c r="P298" s="7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51"/>
      <c r="R298" s="651"/>
      <c r="S298" s="651"/>
      <c r="T298" s="65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92" t="s">
        <v>358</v>
      </c>
      <c r="AG298" s="78"/>
      <c r="AJ298" s="84" t="s">
        <v>46</v>
      </c>
      <c r="AK298" s="84">
        <v>0</v>
      </c>
      <c r="BB298" s="393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idden="1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IFERROR(X292/H292,"0")+IFERROR(X293/H293,"0")+IFERROR(X294/H294,"0")+IFERROR(X295/H295,"0")+IFERROR(X296/H296,"0")+IFERROR(X297/H297,"0")+IFERROR(X298/H298,"0")</f>
        <v>0</v>
      </c>
      <c r="Y299" s="43">
        <f>IFERROR(Y292/H292,"0")+IFERROR(Y293/H293,"0")+IFERROR(Y294/H294,"0")+IFERROR(Y295/H295,"0")+IFERROR(Y296/H296,"0")+IFERROR(Y297/H297,"0")+IFERROR(Y298/H298,"0")</f>
        <v>0</v>
      </c>
      <c r="Z299" s="43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IFERROR(SUM(X292:X298),"0")</f>
        <v>0</v>
      </c>
      <c r="Y300" s="43">
        <f>IFERROR(SUM(Y292:Y298),"0")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48" t="s">
        <v>161</v>
      </c>
      <c r="B301" s="648"/>
      <c r="C301" s="648"/>
      <c r="D301" s="648"/>
      <c r="E301" s="648"/>
      <c r="F301" s="648"/>
      <c r="G301" s="648"/>
      <c r="H301" s="648"/>
      <c r="I301" s="648"/>
      <c r="J301" s="648"/>
      <c r="K301" s="648"/>
      <c r="L301" s="648"/>
      <c r="M301" s="648"/>
      <c r="N301" s="648"/>
      <c r="O301" s="648"/>
      <c r="P301" s="648"/>
      <c r="Q301" s="648"/>
      <c r="R301" s="648"/>
      <c r="S301" s="648"/>
      <c r="T301" s="648"/>
      <c r="U301" s="648"/>
      <c r="V301" s="648"/>
      <c r="W301" s="648"/>
      <c r="X301" s="648"/>
      <c r="Y301" s="648"/>
      <c r="Z301" s="648"/>
      <c r="AA301" s="66"/>
      <c r="AB301" s="66"/>
      <c r="AC301" s="80"/>
    </row>
    <row r="302" spans="1:68" ht="27" hidden="1" customHeight="1" x14ac:dyDescent="0.25">
      <c r="A302" s="63" t="s">
        <v>515</v>
      </c>
      <c r="B302" s="63" t="s">
        <v>516</v>
      </c>
      <c r="C302" s="36">
        <v>4301020377</v>
      </c>
      <c r="D302" s="649">
        <v>4680115885981</v>
      </c>
      <c r="E302" s="649"/>
      <c r="F302" s="62">
        <v>0.33</v>
      </c>
      <c r="G302" s="37">
        <v>6</v>
      </c>
      <c r="H302" s="62">
        <v>1.98</v>
      </c>
      <c r="I302" s="62">
        <v>2.08</v>
      </c>
      <c r="J302" s="37">
        <v>234</v>
      </c>
      <c r="K302" s="37" t="s">
        <v>234</v>
      </c>
      <c r="L302" s="37" t="s">
        <v>46</v>
      </c>
      <c r="M302" s="38" t="s">
        <v>81</v>
      </c>
      <c r="N302" s="38"/>
      <c r="O302" s="37">
        <v>50</v>
      </c>
      <c r="P302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IFERROR(IF(Y302=0,"",ROUNDUP(Y302/H302,0)*0.00502),"")</f>
        <v/>
      </c>
      <c r="AA302" s="68" t="s">
        <v>46</v>
      </c>
      <c r="AB302" s="69" t="s">
        <v>46</v>
      </c>
      <c r="AC302" s="394" t="s">
        <v>517</v>
      </c>
      <c r="AG302" s="78"/>
      <c r="AJ302" s="84" t="s">
        <v>46</v>
      </c>
      <c r="AK302" s="84">
        <v>0</v>
      </c>
      <c r="BB302" s="395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idden="1" x14ac:dyDescent="0.2">
      <c r="A303" s="656"/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7"/>
      <c r="P303" s="653" t="s">
        <v>40</v>
      </c>
      <c r="Q303" s="654"/>
      <c r="R303" s="654"/>
      <c r="S303" s="654"/>
      <c r="T303" s="654"/>
      <c r="U303" s="654"/>
      <c r="V303" s="655"/>
      <c r="W303" s="42" t="s">
        <v>39</v>
      </c>
      <c r="X303" s="43">
        <f>IFERROR(X302/H302,"0")</f>
        <v>0</v>
      </c>
      <c r="Y303" s="43">
        <f>IFERROR(Y302/H302,"0")</f>
        <v>0</v>
      </c>
      <c r="Z303" s="43">
        <f>IFERROR(IF(Z302="",0,Z302),"0")</f>
        <v>0</v>
      </c>
      <c r="AA303" s="67"/>
      <c r="AB303" s="67"/>
      <c r="AC303" s="67"/>
    </row>
    <row r="304" spans="1:68" hidden="1" x14ac:dyDescent="0.2">
      <c r="A304" s="656"/>
      <c r="B304" s="656"/>
      <c r="C304" s="656"/>
      <c r="D304" s="656"/>
      <c r="E304" s="656"/>
      <c r="F304" s="656"/>
      <c r="G304" s="656"/>
      <c r="H304" s="656"/>
      <c r="I304" s="656"/>
      <c r="J304" s="656"/>
      <c r="K304" s="656"/>
      <c r="L304" s="656"/>
      <c r="M304" s="656"/>
      <c r="N304" s="656"/>
      <c r="O304" s="657"/>
      <c r="P304" s="653" t="s">
        <v>40</v>
      </c>
      <c r="Q304" s="654"/>
      <c r="R304" s="654"/>
      <c r="S304" s="654"/>
      <c r="T304" s="654"/>
      <c r="U304" s="654"/>
      <c r="V304" s="655"/>
      <c r="W304" s="42" t="s">
        <v>0</v>
      </c>
      <c r="X304" s="43">
        <f>IFERROR(SUM(X302:X302),"0")</f>
        <v>0</v>
      </c>
      <c r="Y304" s="43">
        <f>IFERROR(SUM(Y302:Y302),"0")</f>
        <v>0</v>
      </c>
      <c r="Z304" s="42"/>
      <c r="AA304" s="67"/>
      <c r="AB304" s="67"/>
      <c r="AC304" s="67"/>
    </row>
    <row r="305" spans="1:68" ht="14.25" hidden="1" customHeight="1" x14ac:dyDescent="0.25">
      <c r="A305" s="648" t="s">
        <v>518</v>
      </c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8"/>
      <c r="P305" s="648"/>
      <c r="Q305" s="648"/>
      <c r="R305" s="648"/>
      <c r="S305" s="648"/>
      <c r="T305" s="648"/>
      <c r="U305" s="648"/>
      <c r="V305" s="648"/>
      <c r="W305" s="648"/>
      <c r="X305" s="648"/>
      <c r="Y305" s="648"/>
      <c r="Z305" s="648"/>
      <c r="AA305" s="66"/>
      <c r="AB305" s="66"/>
      <c r="AC305" s="80"/>
    </row>
    <row r="306" spans="1:68" ht="27" hidden="1" customHeight="1" x14ac:dyDescent="0.25">
      <c r="A306" s="63" t="s">
        <v>519</v>
      </c>
      <c r="B306" s="63" t="s">
        <v>520</v>
      </c>
      <c r="C306" s="36">
        <v>4301040362</v>
      </c>
      <c r="D306" s="649">
        <v>4680115886803</v>
      </c>
      <c r="E306" s="649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335</v>
      </c>
      <c r="L306" s="37" t="s">
        <v>46</v>
      </c>
      <c r="M306" s="38" t="s">
        <v>101</v>
      </c>
      <c r="N306" s="38"/>
      <c r="O306" s="37">
        <v>45</v>
      </c>
      <c r="P306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6" t="s">
        <v>521</v>
      </c>
      <c r="AG306" s="78"/>
      <c r="AJ306" s="84" t="s">
        <v>46</v>
      </c>
      <c r="AK306" s="84">
        <v>0</v>
      </c>
      <c r="BB306" s="397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idden="1" x14ac:dyDescent="0.2">
      <c r="A307" s="656"/>
      <c r="B307" s="656"/>
      <c r="C307" s="656"/>
      <c r="D307" s="656"/>
      <c r="E307" s="656"/>
      <c r="F307" s="656"/>
      <c r="G307" s="656"/>
      <c r="H307" s="656"/>
      <c r="I307" s="656"/>
      <c r="J307" s="656"/>
      <c r="K307" s="656"/>
      <c r="L307" s="656"/>
      <c r="M307" s="656"/>
      <c r="N307" s="656"/>
      <c r="O307" s="657"/>
      <c r="P307" s="653" t="s">
        <v>40</v>
      </c>
      <c r="Q307" s="654"/>
      <c r="R307" s="654"/>
      <c r="S307" s="654"/>
      <c r="T307" s="654"/>
      <c r="U307" s="654"/>
      <c r="V307" s="655"/>
      <c r="W307" s="42" t="s">
        <v>39</v>
      </c>
      <c r="X307" s="43">
        <f>IFERROR(X306/H306,"0")</f>
        <v>0</v>
      </c>
      <c r="Y307" s="43">
        <f>IFERROR(Y306/H306,"0")</f>
        <v>0</v>
      </c>
      <c r="Z307" s="43">
        <f>IFERROR(IF(Z306="",0,Z306),"0")</f>
        <v>0</v>
      </c>
      <c r="AA307" s="67"/>
      <c r="AB307" s="67"/>
      <c r="AC307" s="67"/>
    </row>
    <row r="308" spans="1:68" hidden="1" x14ac:dyDescent="0.2">
      <c r="A308" s="656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53" t="s">
        <v>40</v>
      </c>
      <c r="Q308" s="654"/>
      <c r="R308" s="654"/>
      <c r="S308" s="654"/>
      <c r="T308" s="654"/>
      <c r="U308" s="654"/>
      <c r="V308" s="655"/>
      <c r="W308" s="42" t="s">
        <v>0</v>
      </c>
      <c r="X308" s="43">
        <f>IFERROR(SUM(X306:X306),"0")</f>
        <v>0</v>
      </c>
      <c r="Y308" s="43">
        <f>IFERROR(SUM(Y306:Y306),"0")</f>
        <v>0</v>
      </c>
      <c r="Z308" s="42"/>
      <c r="AA308" s="67"/>
      <c r="AB308" s="67"/>
      <c r="AC308" s="67"/>
    </row>
    <row r="309" spans="1:68" ht="14.25" hidden="1" customHeight="1" x14ac:dyDescent="0.25">
      <c r="A309" s="648" t="s">
        <v>336</v>
      </c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8"/>
      <c r="P309" s="648"/>
      <c r="Q309" s="648"/>
      <c r="R309" s="648"/>
      <c r="S309" s="648"/>
      <c r="T309" s="648"/>
      <c r="U309" s="648"/>
      <c r="V309" s="648"/>
      <c r="W309" s="648"/>
      <c r="X309" s="648"/>
      <c r="Y309" s="648"/>
      <c r="Z309" s="648"/>
      <c r="AA309" s="66"/>
      <c r="AB309" s="66"/>
      <c r="AC309" s="80"/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49">
        <v>4680115886681</v>
      </c>
      <c r="E310" s="649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335</v>
      </c>
      <c r="L310" s="37" t="s">
        <v>46</v>
      </c>
      <c r="M310" s="38" t="s">
        <v>101</v>
      </c>
      <c r="N310" s="38"/>
      <c r="O310" s="37">
        <v>90</v>
      </c>
      <c r="P310" s="7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51"/>
      <c r="R310" s="651"/>
      <c r="S310" s="651"/>
      <c r="T310" s="652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524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525</v>
      </c>
      <c r="B311" s="63" t="s">
        <v>526</v>
      </c>
      <c r="C311" s="36">
        <v>4301041007</v>
      </c>
      <c r="D311" s="649">
        <v>4680115886735</v>
      </c>
      <c r="E311" s="649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335</v>
      </c>
      <c r="L311" s="37" t="s">
        <v>46</v>
      </c>
      <c r="M311" s="38" t="s">
        <v>101</v>
      </c>
      <c r="N311" s="38"/>
      <c r="O311" s="37">
        <v>90</v>
      </c>
      <c r="P311" s="7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524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hidden="1" customHeight="1" x14ac:dyDescent="0.25">
      <c r="A312" s="63" t="s">
        <v>527</v>
      </c>
      <c r="B312" s="63" t="s">
        <v>528</v>
      </c>
      <c r="C312" s="36">
        <v>4301041006</v>
      </c>
      <c r="D312" s="649">
        <v>4680115886728</v>
      </c>
      <c r="E312" s="649"/>
      <c r="F312" s="62">
        <v>5.5E-2</v>
      </c>
      <c r="G312" s="37">
        <v>18</v>
      </c>
      <c r="H312" s="62">
        <v>0.99</v>
      </c>
      <c r="I312" s="62">
        <v>1.18</v>
      </c>
      <c r="J312" s="37">
        <v>216</v>
      </c>
      <c r="K312" s="37" t="s">
        <v>335</v>
      </c>
      <c r="L312" s="37" t="s">
        <v>46</v>
      </c>
      <c r="M312" s="38" t="s">
        <v>101</v>
      </c>
      <c r="N312" s="38"/>
      <c r="O312" s="37">
        <v>90</v>
      </c>
      <c r="P312" s="78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51"/>
      <c r="R312" s="651"/>
      <c r="S312" s="651"/>
      <c r="T312" s="65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02" t="s">
        <v>524</v>
      </c>
      <c r="AG312" s="78"/>
      <c r="AJ312" s="84" t="s">
        <v>46</v>
      </c>
      <c r="AK312" s="84">
        <v>0</v>
      </c>
      <c r="BB312" s="403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hidden="1" customHeight="1" x14ac:dyDescent="0.25">
      <c r="A313" s="63" t="s">
        <v>529</v>
      </c>
      <c r="B313" s="63" t="s">
        <v>530</v>
      </c>
      <c r="C313" s="36">
        <v>4301041005</v>
      </c>
      <c r="D313" s="649">
        <v>4680115886711</v>
      </c>
      <c r="E313" s="649"/>
      <c r="F313" s="62">
        <v>5.5E-2</v>
      </c>
      <c r="G313" s="37">
        <v>18</v>
      </c>
      <c r="H313" s="62">
        <v>0.99</v>
      </c>
      <c r="I313" s="62">
        <v>1.18</v>
      </c>
      <c r="J313" s="37">
        <v>216</v>
      </c>
      <c r="K313" s="37" t="s">
        <v>335</v>
      </c>
      <c r="L313" s="37" t="s">
        <v>46</v>
      </c>
      <c r="M313" s="38" t="s">
        <v>101</v>
      </c>
      <c r="N313" s="38"/>
      <c r="O313" s="37">
        <v>90</v>
      </c>
      <c r="P313" s="78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51"/>
      <c r="R313" s="651"/>
      <c r="S313" s="651"/>
      <c r="T313" s="65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04" t="s">
        <v>524</v>
      </c>
      <c r="AG313" s="78"/>
      <c r="AJ313" s="84" t="s">
        <v>46</v>
      </c>
      <c r="AK313" s="84">
        <v>0</v>
      </c>
      <c r="BB313" s="405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IFERROR(X310/H310,"0")+IFERROR(X311/H311,"0")+IFERROR(X312/H312,"0")+IFERROR(X313/H313,"0")</f>
        <v>0</v>
      </c>
      <c r="Y314" s="43">
        <f>IFERROR(Y310/H310,"0")+IFERROR(Y311/H311,"0")+IFERROR(Y312/H312,"0")+IFERROR(Y313/H313,"0")</f>
        <v>0</v>
      </c>
      <c r="Z314" s="43">
        <f>IFERROR(IF(Z310="",0,Z310),"0")+IFERROR(IF(Z311="",0,Z311),"0")+IFERROR(IF(Z312="",0,Z312),"0")+IFERROR(IF(Z313="",0,Z313),"0")</f>
        <v>0</v>
      </c>
      <c r="AA314" s="67"/>
      <c r="AB314" s="67"/>
      <c r="AC314" s="67"/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IFERROR(SUM(X310:X313),"0")</f>
        <v>0</v>
      </c>
      <c r="Y315" s="43">
        <f>IFERROR(SUM(Y310:Y313),"0")</f>
        <v>0</v>
      </c>
      <c r="Z315" s="42"/>
      <c r="AA315" s="67"/>
      <c r="AB315" s="67"/>
      <c r="AC315" s="67"/>
    </row>
    <row r="316" spans="1:68" ht="16.5" hidden="1" customHeight="1" x14ac:dyDescent="0.25">
      <c r="A316" s="647" t="s">
        <v>531</v>
      </c>
      <c r="B316" s="647"/>
      <c r="C316" s="647"/>
      <c r="D316" s="647"/>
      <c r="E316" s="647"/>
      <c r="F316" s="647"/>
      <c r="G316" s="647"/>
      <c r="H316" s="647"/>
      <c r="I316" s="647"/>
      <c r="J316" s="647"/>
      <c r="K316" s="647"/>
      <c r="L316" s="647"/>
      <c r="M316" s="647"/>
      <c r="N316" s="647"/>
      <c r="O316" s="647"/>
      <c r="P316" s="647"/>
      <c r="Q316" s="647"/>
      <c r="R316" s="647"/>
      <c r="S316" s="647"/>
      <c r="T316" s="647"/>
      <c r="U316" s="647"/>
      <c r="V316" s="647"/>
      <c r="W316" s="647"/>
      <c r="X316" s="647"/>
      <c r="Y316" s="647"/>
      <c r="Z316" s="647"/>
      <c r="AA316" s="65"/>
      <c r="AB316" s="65"/>
      <c r="AC316" s="79"/>
    </row>
    <row r="317" spans="1:68" ht="14.25" hidden="1" customHeight="1" x14ac:dyDescent="0.25">
      <c r="A317" s="648" t="s">
        <v>124</v>
      </c>
      <c r="B317" s="648"/>
      <c r="C317" s="648"/>
      <c r="D317" s="648"/>
      <c r="E317" s="648"/>
      <c r="F317" s="648"/>
      <c r="G317" s="648"/>
      <c r="H317" s="648"/>
      <c r="I317" s="648"/>
      <c r="J317" s="648"/>
      <c r="K317" s="648"/>
      <c r="L317" s="648"/>
      <c r="M317" s="648"/>
      <c r="N317" s="648"/>
      <c r="O317" s="648"/>
      <c r="P317" s="648"/>
      <c r="Q317" s="648"/>
      <c r="R317" s="648"/>
      <c r="S317" s="648"/>
      <c r="T317" s="648"/>
      <c r="U317" s="648"/>
      <c r="V317" s="648"/>
      <c r="W317" s="648"/>
      <c r="X317" s="648"/>
      <c r="Y317" s="648"/>
      <c r="Z317" s="648"/>
      <c r="AA317" s="66"/>
      <c r="AB317" s="66"/>
      <c r="AC317" s="80"/>
    </row>
    <row r="318" spans="1:68" ht="27" hidden="1" customHeight="1" x14ac:dyDescent="0.25">
      <c r="A318" s="63" t="s">
        <v>532</v>
      </c>
      <c r="B318" s="63" t="s">
        <v>533</v>
      </c>
      <c r="C318" s="36">
        <v>4301012362</v>
      </c>
      <c r="D318" s="649">
        <v>4680115889507</v>
      </c>
      <c r="E318" s="64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129</v>
      </c>
      <c r="L318" s="37" t="s">
        <v>46</v>
      </c>
      <c r="M318" s="38" t="s">
        <v>128</v>
      </c>
      <c r="N318" s="38"/>
      <c r="O318" s="37">
        <v>55</v>
      </c>
      <c r="P318" s="784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51"/>
      <c r="R318" s="651"/>
      <c r="S318" s="651"/>
      <c r="T318" s="652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ref="Y318:Y325" si="46">IFERROR(IF(X318="",0,CEILING((X318/$H318),1)*$H318),"")</f>
        <v>0</v>
      </c>
      <c r="Z318" s="41" t="str">
        <f t="shared" ref="Z318:Z323" si="47"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ref="BM318:BM325" si="48">IFERROR(X318*I318/H318,"0")</f>
        <v>0</v>
      </c>
      <c r="BN318" s="78">
        <f t="shared" ref="BN318:BN325" si="49">IFERROR(Y318*I318/H318,"0")</f>
        <v>0</v>
      </c>
      <c r="BO318" s="78">
        <f t="shared" ref="BO318:BO325" si="50">IFERROR(1/J318*(X318/H318),"0")</f>
        <v>0</v>
      </c>
      <c r="BP318" s="78">
        <f t="shared" ref="BP318:BP325" si="51">IFERROR(1/J318*(Y318/H318),"0")</f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4301011855</v>
      </c>
      <c r="D319" s="649">
        <v>4680115885837</v>
      </c>
      <c r="E319" s="649"/>
      <c r="F319" s="62">
        <v>1.35</v>
      </c>
      <c r="G319" s="37">
        <v>8</v>
      </c>
      <c r="H319" s="62">
        <v>10.8</v>
      </c>
      <c r="I319" s="62">
        <v>11.21</v>
      </c>
      <c r="J319" s="37">
        <v>64</v>
      </c>
      <c r="K319" s="37" t="s">
        <v>129</v>
      </c>
      <c r="L319" s="37" t="s">
        <v>46</v>
      </c>
      <c r="M319" s="38" t="s">
        <v>128</v>
      </c>
      <c r="N319" s="38"/>
      <c r="O319" s="37">
        <v>55</v>
      </c>
      <c r="P319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 t="shared" si="47"/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8"/>
        <v>0</v>
      </c>
      <c r="BN319" s="78">
        <f t="shared" si="49"/>
        <v>0</v>
      </c>
      <c r="BO319" s="78">
        <f t="shared" si="50"/>
        <v>0</v>
      </c>
      <c r="BP319" s="78">
        <f t="shared" si="51"/>
        <v>0</v>
      </c>
    </row>
    <row r="320" spans="1:68" ht="27" hidden="1" customHeight="1" x14ac:dyDescent="0.25">
      <c r="A320" s="63" t="s">
        <v>538</v>
      </c>
      <c r="B320" s="63" t="s">
        <v>539</v>
      </c>
      <c r="C320" s="36">
        <v>4301012212</v>
      </c>
      <c r="D320" s="649">
        <v>4680115887077</v>
      </c>
      <c r="E320" s="649"/>
      <c r="F320" s="62">
        <v>1.35</v>
      </c>
      <c r="G320" s="37">
        <v>8</v>
      </c>
      <c r="H320" s="62">
        <v>10.8</v>
      </c>
      <c r="I320" s="62">
        <v>11.21</v>
      </c>
      <c r="J320" s="37">
        <v>64</v>
      </c>
      <c r="K320" s="37" t="s">
        <v>129</v>
      </c>
      <c r="L320" s="37" t="s">
        <v>46</v>
      </c>
      <c r="M320" s="38" t="s">
        <v>128</v>
      </c>
      <c r="N320" s="38"/>
      <c r="O320" s="37">
        <v>55</v>
      </c>
      <c r="P320" s="774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 t="shared" si="47"/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8"/>
        <v>0</v>
      </c>
      <c r="BN320" s="78">
        <f t="shared" si="49"/>
        <v>0</v>
      </c>
      <c r="BO320" s="78">
        <f t="shared" si="50"/>
        <v>0</v>
      </c>
      <c r="BP320" s="78">
        <f t="shared" si="51"/>
        <v>0</v>
      </c>
    </row>
    <row r="321" spans="1:68" ht="27" hidden="1" customHeight="1" x14ac:dyDescent="0.25">
      <c r="A321" s="63" t="s">
        <v>541</v>
      </c>
      <c r="B321" s="63" t="s">
        <v>542</v>
      </c>
      <c r="C321" s="36">
        <v>4301012390</v>
      </c>
      <c r="D321" s="649">
        <v>4680115889637</v>
      </c>
      <c r="E321" s="64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129</v>
      </c>
      <c r="L321" s="37" t="s">
        <v>46</v>
      </c>
      <c r="M321" s="38" t="s">
        <v>128</v>
      </c>
      <c r="N321" s="38"/>
      <c r="O321" s="37">
        <v>55</v>
      </c>
      <c r="P321" s="7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si="46"/>
        <v>0</v>
      </c>
      <c r="Z321" s="41" t="str">
        <f t="shared" si="47"/>
        <v/>
      </c>
      <c r="AA321" s="68" t="s">
        <v>46</v>
      </c>
      <c r="AB321" s="69" t="s">
        <v>46</v>
      </c>
      <c r="AC321" s="412" t="s">
        <v>543</v>
      </c>
      <c r="AG321" s="78"/>
      <c r="AJ321" s="84" t="s">
        <v>46</v>
      </c>
      <c r="AK321" s="84">
        <v>0</v>
      </c>
      <c r="BB321" s="413" t="s">
        <v>67</v>
      </c>
      <c r="BM321" s="78">
        <f t="shared" si="48"/>
        <v>0</v>
      </c>
      <c r="BN321" s="78">
        <f t="shared" si="49"/>
        <v>0</v>
      </c>
      <c r="BO321" s="78">
        <f t="shared" si="50"/>
        <v>0</v>
      </c>
      <c r="BP321" s="78">
        <f t="shared" si="51"/>
        <v>0</v>
      </c>
    </row>
    <row r="322" spans="1:68" ht="37.5" hidden="1" customHeight="1" x14ac:dyDescent="0.25">
      <c r="A322" s="63" t="s">
        <v>544</v>
      </c>
      <c r="B322" s="63" t="s">
        <v>545</v>
      </c>
      <c r="C322" s="36">
        <v>4301012234</v>
      </c>
      <c r="D322" s="649">
        <v>4680115887237</v>
      </c>
      <c r="E322" s="64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129</v>
      </c>
      <c r="L322" s="37" t="s">
        <v>46</v>
      </c>
      <c r="M322" s="38" t="s">
        <v>128</v>
      </c>
      <c r="N322" s="38"/>
      <c r="O322" s="37">
        <v>55</v>
      </c>
      <c r="P322" s="7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51"/>
      <c r="R322" s="651"/>
      <c r="S322" s="651"/>
      <c r="T322" s="65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 t="shared" si="47"/>
        <v/>
      </c>
      <c r="AA322" s="68" t="s">
        <v>46</v>
      </c>
      <c r="AB322" s="69" t="s">
        <v>46</v>
      </c>
      <c r="AC322" s="414" t="s">
        <v>546</v>
      </c>
      <c r="AG322" s="78"/>
      <c r="AJ322" s="84" t="s">
        <v>46</v>
      </c>
      <c r="AK322" s="84">
        <v>0</v>
      </c>
      <c r="BB322" s="415" t="s">
        <v>67</v>
      </c>
      <c r="BM322" s="78">
        <f t="shared" si="48"/>
        <v>0</v>
      </c>
      <c r="BN322" s="78">
        <f t="shared" si="49"/>
        <v>0</v>
      </c>
      <c r="BO322" s="78">
        <f t="shared" si="50"/>
        <v>0</v>
      </c>
      <c r="BP322" s="78">
        <f t="shared" si="51"/>
        <v>0</v>
      </c>
    </row>
    <row r="323" spans="1:68" ht="27" hidden="1" customHeight="1" x14ac:dyDescent="0.25">
      <c r="A323" s="63" t="s">
        <v>547</v>
      </c>
      <c r="B323" s="63" t="s">
        <v>548</v>
      </c>
      <c r="C323" s="36">
        <v>4301011850</v>
      </c>
      <c r="D323" s="649">
        <v>4680115885806</v>
      </c>
      <c r="E323" s="64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129</v>
      </c>
      <c r="L323" s="37" t="s">
        <v>46</v>
      </c>
      <c r="M323" s="38" t="s">
        <v>128</v>
      </c>
      <c r="N323" s="38"/>
      <c r="O323" s="37">
        <v>55</v>
      </c>
      <c r="P323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51"/>
      <c r="R323" s="651"/>
      <c r="S323" s="651"/>
      <c r="T323" s="65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 t="shared" si="47"/>
        <v/>
      </c>
      <c r="AA323" s="68" t="s">
        <v>46</v>
      </c>
      <c r="AB323" s="69" t="s">
        <v>46</v>
      </c>
      <c r="AC323" s="416" t="s">
        <v>549</v>
      </c>
      <c r="AG323" s="78"/>
      <c r="AJ323" s="84" t="s">
        <v>46</v>
      </c>
      <c r="AK323" s="84">
        <v>0</v>
      </c>
      <c r="BB323" s="417" t="s">
        <v>67</v>
      </c>
      <c r="BM323" s="78">
        <f t="shared" si="48"/>
        <v>0</v>
      </c>
      <c r="BN323" s="78">
        <f t="shared" si="49"/>
        <v>0</v>
      </c>
      <c r="BO323" s="78">
        <f t="shared" si="50"/>
        <v>0</v>
      </c>
      <c r="BP323" s="78">
        <f t="shared" si="51"/>
        <v>0</v>
      </c>
    </row>
    <row r="324" spans="1:68" ht="27" hidden="1" customHeight="1" x14ac:dyDescent="0.25">
      <c r="A324" s="63" t="s">
        <v>550</v>
      </c>
      <c r="B324" s="63" t="s">
        <v>551</v>
      </c>
      <c r="C324" s="36">
        <v>4301011852</v>
      </c>
      <c r="D324" s="649">
        <v>4680115885844</v>
      </c>
      <c r="E324" s="649"/>
      <c r="F324" s="62">
        <v>0.4</v>
      </c>
      <c r="G324" s="37">
        <v>10</v>
      </c>
      <c r="H324" s="62">
        <v>4</v>
      </c>
      <c r="I324" s="62">
        <v>4.1900000000000004</v>
      </c>
      <c r="J324" s="37">
        <v>132</v>
      </c>
      <c r="K324" s="37" t="s">
        <v>137</v>
      </c>
      <c r="L324" s="37" t="s">
        <v>46</v>
      </c>
      <c r="M324" s="38" t="s">
        <v>128</v>
      </c>
      <c r="N324" s="38"/>
      <c r="O324" s="37">
        <v>55</v>
      </c>
      <c r="P324" s="7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51"/>
      <c r="R324" s="651"/>
      <c r="S324" s="651"/>
      <c r="T324" s="65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IFERROR(IF(Y324=0,"",ROUNDUP(Y324/H324,0)*0.00902),"")</f>
        <v/>
      </c>
      <c r="AA324" s="68" t="s">
        <v>46</v>
      </c>
      <c r="AB324" s="69" t="s">
        <v>46</v>
      </c>
      <c r="AC324" s="418" t="s">
        <v>552</v>
      </c>
      <c r="AG324" s="78"/>
      <c r="AJ324" s="84" t="s">
        <v>46</v>
      </c>
      <c r="AK324" s="84">
        <v>0</v>
      </c>
      <c r="BB324" s="419" t="s">
        <v>67</v>
      </c>
      <c r="BM324" s="78">
        <f t="shared" si="48"/>
        <v>0</v>
      </c>
      <c r="BN324" s="78">
        <f t="shared" si="49"/>
        <v>0</v>
      </c>
      <c r="BO324" s="78">
        <f t="shared" si="50"/>
        <v>0</v>
      </c>
      <c r="BP324" s="78">
        <f t="shared" si="51"/>
        <v>0</v>
      </c>
    </row>
    <row r="325" spans="1:68" ht="37.5" hidden="1" customHeight="1" x14ac:dyDescent="0.25">
      <c r="A325" s="63" t="s">
        <v>553</v>
      </c>
      <c r="B325" s="63" t="s">
        <v>554</v>
      </c>
      <c r="C325" s="36">
        <v>4301011851</v>
      </c>
      <c r="D325" s="649">
        <v>4680115885820</v>
      </c>
      <c r="E325" s="64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128</v>
      </c>
      <c r="N325" s="38"/>
      <c r="O325" s="37">
        <v>55</v>
      </c>
      <c r="P325" s="7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51"/>
      <c r="R325" s="651"/>
      <c r="S325" s="651"/>
      <c r="T325" s="65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555</v>
      </c>
      <c r="AG325" s="78"/>
      <c r="AJ325" s="84" t="s">
        <v>46</v>
      </c>
      <c r="AK325" s="84">
        <v>0</v>
      </c>
      <c r="BB325" s="421" t="s">
        <v>67</v>
      </c>
      <c r="BM325" s="78">
        <f t="shared" si="48"/>
        <v>0</v>
      </c>
      <c r="BN325" s="78">
        <f t="shared" si="49"/>
        <v>0</v>
      </c>
      <c r="BO325" s="78">
        <f t="shared" si="50"/>
        <v>0</v>
      </c>
      <c r="BP325" s="78">
        <f t="shared" si="51"/>
        <v>0</v>
      </c>
    </row>
    <row r="326" spans="1:68" hidden="1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2" t="s">
        <v>39</v>
      </c>
      <c r="X326" s="43">
        <f>IFERROR(X318/H318,"0")+IFERROR(X319/H319,"0")+IFERROR(X320/H320,"0")+IFERROR(X321/H321,"0")+IFERROR(X322/H322,"0")+IFERROR(X323/H323,"0")+IFERROR(X324/H324,"0")+IFERROR(X325/H325,"0")</f>
        <v>0</v>
      </c>
      <c r="Y326" s="43">
        <f>IFERROR(Y318/H318,"0")+IFERROR(Y319/H319,"0")+IFERROR(Y320/H320,"0")+IFERROR(Y321/H321,"0")+IFERROR(Y322/H322,"0")+IFERROR(Y323/H323,"0")+IFERROR(Y324/H324,"0")+IFERROR(Y325/H325,"0")</f>
        <v>0</v>
      </c>
      <c r="Z326" s="43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7"/>
      <c r="AB326" s="67"/>
      <c r="AC326" s="67"/>
    </row>
    <row r="327" spans="1:68" hidden="1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2" t="s">
        <v>0</v>
      </c>
      <c r="X327" s="43">
        <f>IFERROR(SUM(X318:X325),"0")</f>
        <v>0</v>
      </c>
      <c r="Y327" s="43">
        <f>IFERROR(SUM(Y318:Y325),"0")</f>
        <v>0</v>
      </c>
      <c r="Z327" s="42"/>
      <c r="AA327" s="67"/>
      <c r="AB327" s="67"/>
      <c r="AC327" s="67"/>
    </row>
    <row r="328" spans="1:68" ht="16.5" hidden="1" customHeight="1" x14ac:dyDescent="0.25">
      <c r="A328" s="647" t="s">
        <v>556</v>
      </c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7"/>
      <c r="P328" s="647"/>
      <c r="Q328" s="647"/>
      <c r="R328" s="647"/>
      <c r="S328" s="647"/>
      <c r="T328" s="647"/>
      <c r="U328" s="647"/>
      <c r="V328" s="647"/>
      <c r="W328" s="647"/>
      <c r="X328" s="647"/>
      <c r="Y328" s="647"/>
      <c r="Z328" s="647"/>
      <c r="AA328" s="65"/>
      <c r="AB328" s="65"/>
      <c r="AC328" s="79"/>
    </row>
    <row r="329" spans="1:68" ht="14.25" hidden="1" customHeight="1" x14ac:dyDescent="0.25">
      <c r="A329" s="648" t="s">
        <v>77</v>
      </c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48"/>
      <c r="P329" s="648"/>
      <c r="Q329" s="648"/>
      <c r="R329" s="648"/>
      <c r="S329" s="648"/>
      <c r="T329" s="648"/>
      <c r="U329" s="648"/>
      <c r="V329" s="648"/>
      <c r="W329" s="648"/>
      <c r="X329" s="648"/>
      <c r="Y329" s="648"/>
      <c r="Z329" s="648"/>
      <c r="AA329" s="66"/>
      <c r="AB329" s="66"/>
      <c r="AC329" s="80"/>
    </row>
    <row r="330" spans="1:68" ht="27" hidden="1" customHeight="1" x14ac:dyDescent="0.25">
      <c r="A330" s="63" t="s">
        <v>557</v>
      </c>
      <c r="B330" s="63" t="s">
        <v>558</v>
      </c>
      <c r="C330" s="36">
        <v>4301051893</v>
      </c>
      <c r="D330" s="649">
        <v>4680115886186</v>
      </c>
      <c r="E330" s="649"/>
      <c r="F330" s="62">
        <v>0.3</v>
      </c>
      <c r="G330" s="37">
        <v>6</v>
      </c>
      <c r="H330" s="62">
        <v>1.8</v>
      </c>
      <c r="I330" s="62">
        <v>1.98</v>
      </c>
      <c r="J330" s="37">
        <v>182</v>
      </c>
      <c r="K330" s="37" t="s">
        <v>82</v>
      </c>
      <c r="L330" s="37" t="s">
        <v>46</v>
      </c>
      <c r="M330" s="38" t="s">
        <v>81</v>
      </c>
      <c r="N330" s="38"/>
      <c r="O330" s="37">
        <v>45</v>
      </c>
      <c r="P330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46</v>
      </c>
      <c r="AB330" s="69" t="s">
        <v>46</v>
      </c>
      <c r="AC330" s="422" t="s">
        <v>559</v>
      </c>
      <c r="AG330" s="78"/>
      <c r="AJ330" s="84" t="s">
        <v>46</v>
      </c>
      <c r="AK330" s="84">
        <v>0</v>
      </c>
      <c r="BB330" s="423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560</v>
      </c>
      <c r="B331" s="63" t="s">
        <v>561</v>
      </c>
      <c r="C331" s="36">
        <v>4301051795</v>
      </c>
      <c r="D331" s="649">
        <v>4680115881228</v>
      </c>
      <c r="E331" s="649"/>
      <c r="F331" s="62">
        <v>0.4</v>
      </c>
      <c r="G331" s="37">
        <v>6</v>
      </c>
      <c r="H331" s="62">
        <v>2.4</v>
      </c>
      <c r="I331" s="62">
        <v>2.6520000000000001</v>
      </c>
      <c r="J331" s="37">
        <v>182</v>
      </c>
      <c r="K331" s="37" t="s">
        <v>82</v>
      </c>
      <c r="L331" s="37" t="s">
        <v>46</v>
      </c>
      <c r="M331" s="38" t="s">
        <v>88</v>
      </c>
      <c r="N331" s="38"/>
      <c r="O331" s="37">
        <v>40</v>
      </c>
      <c r="P331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51"/>
      <c r="R331" s="651"/>
      <c r="S331" s="651"/>
      <c r="T331" s="65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562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563</v>
      </c>
      <c r="B332" s="63" t="s">
        <v>564</v>
      </c>
      <c r="C332" s="36">
        <v>4301051388</v>
      </c>
      <c r="D332" s="649">
        <v>4680115881211</v>
      </c>
      <c r="E332" s="649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51"/>
      <c r="R332" s="651"/>
      <c r="S332" s="651"/>
      <c r="T332" s="65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559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idden="1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39</v>
      </c>
      <c r="X333" s="43">
        <f>IFERROR(X330/H330,"0")+IFERROR(X331/H331,"0")+IFERROR(X332/H332,"0")</f>
        <v>0</v>
      </c>
      <c r="Y333" s="43">
        <f>IFERROR(Y330/H330,"0")+IFERROR(Y331/H331,"0")+IFERROR(Y332/H332,"0")</f>
        <v>0</v>
      </c>
      <c r="Z333" s="43">
        <f>IFERROR(IF(Z330="",0,Z330),"0")+IFERROR(IF(Z331="",0,Z331),"0")+IFERROR(IF(Z332="",0,Z332),"0")</f>
        <v>0</v>
      </c>
      <c r="AA333" s="67"/>
      <c r="AB333" s="67"/>
      <c r="AC333" s="67"/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2" t="s">
        <v>0</v>
      </c>
      <c r="X334" s="43">
        <f>IFERROR(SUM(X330:X332),"0")</f>
        <v>0</v>
      </c>
      <c r="Y334" s="43">
        <f>IFERROR(SUM(Y330:Y332),"0")</f>
        <v>0</v>
      </c>
      <c r="Z334" s="42"/>
      <c r="AA334" s="67"/>
      <c r="AB334" s="67"/>
      <c r="AC334" s="67"/>
    </row>
    <row r="335" spans="1:68" ht="16.5" hidden="1" customHeight="1" x14ac:dyDescent="0.25">
      <c r="A335" s="647" t="s">
        <v>565</v>
      </c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7"/>
      <c r="P335" s="647"/>
      <c r="Q335" s="647"/>
      <c r="R335" s="647"/>
      <c r="S335" s="647"/>
      <c r="T335" s="647"/>
      <c r="U335" s="647"/>
      <c r="V335" s="647"/>
      <c r="W335" s="647"/>
      <c r="X335" s="647"/>
      <c r="Y335" s="647"/>
      <c r="Z335" s="647"/>
      <c r="AA335" s="65"/>
      <c r="AB335" s="65"/>
      <c r="AC335" s="79"/>
    </row>
    <row r="336" spans="1:68" ht="14.25" hidden="1" customHeight="1" x14ac:dyDescent="0.25">
      <c r="A336" s="648" t="s">
        <v>256</v>
      </c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48"/>
      <c r="P336" s="648"/>
      <c r="Q336" s="648"/>
      <c r="R336" s="648"/>
      <c r="S336" s="648"/>
      <c r="T336" s="648"/>
      <c r="U336" s="648"/>
      <c r="V336" s="648"/>
      <c r="W336" s="648"/>
      <c r="X336" s="648"/>
      <c r="Y336" s="648"/>
      <c r="Z336" s="648"/>
      <c r="AA336" s="66"/>
      <c r="AB336" s="66"/>
      <c r="AC336" s="80"/>
    </row>
    <row r="337" spans="1:68" ht="27" hidden="1" customHeight="1" x14ac:dyDescent="0.25">
      <c r="A337" s="63" t="s">
        <v>566</v>
      </c>
      <c r="B337" s="63" t="s">
        <v>567</v>
      </c>
      <c r="C337" s="36">
        <v>4301031445</v>
      </c>
      <c r="D337" s="649">
        <v>4680115888319</v>
      </c>
      <c r="E337" s="649"/>
      <c r="F337" s="62">
        <v>0.35</v>
      </c>
      <c r="G337" s="37">
        <v>6</v>
      </c>
      <c r="H337" s="62">
        <v>2.1</v>
      </c>
      <c r="I337" s="62">
        <v>2.23</v>
      </c>
      <c r="J337" s="37">
        <v>234</v>
      </c>
      <c r="K337" s="37" t="s">
        <v>234</v>
      </c>
      <c r="L337" s="37" t="s">
        <v>46</v>
      </c>
      <c r="M337" s="38" t="s">
        <v>133</v>
      </c>
      <c r="N337" s="38"/>
      <c r="O337" s="37">
        <v>45</v>
      </c>
      <c r="P337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IFERROR(IF(Y337=0,"",ROUNDUP(Y337/H337,0)*0.00502),"")</f>
        <v/>
      </c>
      <c r="AA337" s="68" t="s">
        <v>46</v>
      </c>
      <c r="AB337" s="69" t="s">
        <v>46</v>
      </c>
      <c r="AC337" s="428" t="s">
        <v>568</v>
      </c>
      <c r="AG337" s="78"/>
      <c r="AJ337" s="84" t="s">
        <v>46</v>
      </c>
      <c r="AK337" s="84">
        <v>0</v>
      </c>
      <c r="BB337" s="429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569</v>
      </c>
      <c r="B338" s="63" t="s">
        <v>570</v>
      </c>
      <c r="C338" s="36">
        <v>4301031502</v>
      </c>
      <c r="D338" s="649">
        <v>4680115884700</v>
      </c>
      <c r="E338" s="649"/>
      <c r="F338" s="62">
        <v>0.57999999999999996</v>
      </c>
      <c r="G338" s="37">
        <v>4</v>
      </c>
      <c r="H338" s="62">
        <v>2.3199999999999998</v>
      </c>
      <c r="I338" s="62">
        <v>2.42</v>
      </c>
      <c r="J338" s="37">
        <v>234</v>
      </c>
      <c r="K338" s="37" t="s">
        <v>234</v>
      </c>
      <c r="L338" s="37" t="s">
        <v>46</v>
      </c>
      <c r="M338" s="38" t="s">
        <v>133</v>
      </c>
      <c r="N338" s="38"/>
      <c r="O338" s="37">
        <v>40</v>
      </c>
      <c r="P338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51"/>
      <c r="R338" s="651"/>
      <c r="S338" s="651"/>
      <c r="T338" s="65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571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572</v>
      </c>
      <c r="B339" s="63" t="s">
        <v>573</v>
      </c>
      <c r="C339" s="36">
        <v>4301031307</v>
      </c>
      <c r="D339" s="649">
        <v>4680115880344</v>
      </c>
      <c r="E339" s="649"/>
      <c r="F339" s="62">
        <v>0.28000000000000003</v>
      </c>
      <c r="G339" s="37">
        <v>6</v>
      </c>
      <c r="H339" s="62">
        <v>1.68</v>
      </c>
      <c r="I339" s="62">
        <v>1.78</v>
      </c>
      <c r="J339" s="37">
        <v>234</v>
      </c>
      <c r="K339" s="37" t="s">
        <v>234</v>
      </c>
      <c r="L339" s="37" t="s">
        <v>46</v>
      </c>
      <c r="M339" s="38" t="s">
        <v>133</v>
      </c>
      <c r="N339" s="38"/>
      <c r="O339" s="37">
        <v>40</v>
      </c>
      <c r="P339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51"/>
      <c r="R339" s="651"/>
      <c r="S339" s="651"/>
      <c r="T339" s="65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574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575</v>
      </c>
      <c r="B340" s="63" t="s">
        <v>576</v>
      </c>
      <c r="C340" s="36">
        <v>4301031501</v>
      </c>
      <c r="D340" s="649">
        <v>4680115886919</v>
      </c>
      <c r="E340" s="649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82</v>
      </c>
      <c r="L340" s="37" t="s">
        <v>46</v>
      </c>
      <c r="M340" s="38" t="s">
        <v>133</v>
      </c>
      <c r="N340" s="38"/>
      <c r="O340" s="37">
        <v>40</v>
      </c>
      <c r="P340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51"/>
      <c r="R340" s="651"/>
      <c r="S340" s="651"/>
      <c r="T340" s="65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34" t="s">
        <v>577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2" t="s">
        <v>39</v>
      </c>
      <c r="X341" s="43">
        <f>IFERROR(X337/H337,"0")+IFERROR(X338/H338,"0")+IFERROR(X339/H339,"0")+IFERROR(X340/H340,"0")</f>
        <v>0</v>
      </c>
      <c r="Y341" s="43">
        <f>IFERROR(Y337/H337,"0")+IFERROR(Y338/H338,"0")+IFERROR(Y339/H339,"0")+IFERROR(Y340/H340,"0")</f>
        <v>0</v>
      </c>
      <c r="Z341" s="43">
        <f>IFERROR(IF(Z337="",0,Z337),"0")+IFERROR(IF(Z338="",0,Z338),"0")+IFERROR(IF(Z339="",0,Z339),"0")+IFERROR(IF(Z340="",0,Z340),"0")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2" t="s">
        <v>0</v>
      </c>
      <c r="X342" s="43">
        <f>IFERROR(SUM(X337:X340),"0")</f>
        <v>0</v>
      </c>
      <c r="Y342" s="43">
        <f>IFERROR(SUM(Y337:Y340),"0")</f>
        <v>0</v>
      </c>
      <c r="Z342" s="42"/>
      <c r="AA342" s="67"/>
      <c r="AB342" s="67"/>
      <c r="AC342" s="67"/>
    </row>
    <row r="343" spans="1:68" ht="14.25" hidden="1" customHeight="1" x14ac:dyDescent="0.25">
      <c r="A343" s="648" t="s">
        <v>77</v>
      </c>
      <c r="B343" s="648"/>
      <c r="C343" s="648"/>
      <c r="D343" s="648"/>
      <c r="E343" s="648"/>
      <c r="F343" s="648"/>
      <c r="G343" s="648"/>
      <c r="H343" s="648"/>
      <c r="I343" s="648"/>
      <c r="J343" s="648"/>
      <c r="K343" s="648"/>
      <c r="L343" s="648"/>
      <c r="M343" s="648"/>
      <c r="N343" s="648"/>
      <c r="O343" s="648"/>
      <c r="P343" s="648"/>
      <c r="Q343" s="648"/>
      <c r="R343" s="648"/>
      <c r="S343" s="648"/>
      <c r="T343" s="648"/>
      <c r="U343" s="648"/>
      <c r="V343" s="648"/>
      <c r="W343" s="648"/>
      <c r="X343" s="648"/>
      <c r="Y343" s="648"/>
      <c r="Z343" s="648"/>
      <c r="AA343" s="66"/>
      <c r="AB343" s="66"/>
      <c r="AC343" s="80"/>
    </row>
    <row r="344" spans="1:68" ht="27" hidden="1" customHeight="1" x14ac:dyDescent="0.25">
      <c r="A344" s="63" t="s">
        <v>578</v>
      </c>
      <c r="B344" s="63" t="s">
        <v>579</v>
      </c>
      <c r="C344" s="36">
        <v>4301051782</v>
      </c>
      <c r="D344" s="649">
        <v>4680115884618</v>
      </c>
      <c r="E344" s="649"/>
      <c r="F344" s="62">
        <v>0.6</v>
      </c>
      <c r="G344" s="37">
        <v>6</v>
      </c>
      <c r="H344" s="62">
        <v>3.6</v>
      </c>
      <c r="I344" s="62">
        <v>3.79</v>
      </c>
      <c r="J344" s="37">
        <v>132</v>
      </c>
      <c r="K344" s="37" t="s">
        <v>137</v>
      </c>
      <c r="L344" s="37" t="s">
        <v>46</v>
      </c>
      <c r="M344" s="38" t="s">
        <v>81</v>
      </c>
      <c r="N344" s="38"/>
      <c r="O344" s="37">
        <v>45</v>
      </c>
      <c r="P344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4301052057</v>
      </c>
      <c r="D345" s="649">
        <v>4680115887114</v>
      </c>
      <c r="E345" s="649"/>
      <c r="F345" s="62">
        <v>0.55000000000000004</v>
      </c>
      <c r="G345" s="37">
        <v>6</v>
      </c>
      <c r="H345" s="62">
        <v>3.3</v>
      </c>
      <c r="I345" s="62">
        <v>3.49</v>
      </c>
      <c r="J345" s="37">
        <v>132</v>
      </c>
      <c r="K345" s="37" t="s">
        <v>137</v>
      </c>
      <c r="L345" s="37" t="s">
        <v>46</v>
      </c>
      <c r="M345" s="38" t="s">
        <v>81</v>
      </c>
      <c r="N345" s="38"/>
      <c r="O345" s="37">
        <v>45</v>
      </c>
      <c r="P345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37.5" hidden="1" customHeight="1" x14ac:dyDescent="0.25">
      <c r="A346" s="63" t="s">
        <v>584</v>
      </c>
      <c r="B346" s="63" t="s">
        <v>585</v>
      </c>
      <c r="C346" s="36">
        <v>4301052066</v>
      </c>
      <c r="D346" s="649">
        <v>4680115887466</v>
      </c>
      <c r="E346" s="649"/>
      <c r="F346" s="62">
        <v>0.7</v>
      </c>
      <c r="G346" s="37">
        <v>6</v>
      </c>
      <c r="H346" s="62">
        <v>4.2</v>
      </c>
      <c r="I346" s="62">
        <v>4.6159999999999997</v>
      </c>
      <c r="J346" s="37">
        <v>104</v>
      </c>
      <c r="K346" s="37" t="s">
        <v>129</v>
      </c>
      <c r="L346" s="37" t="s">
        <v>46</v>
      </c>
      <c r="M346" s="38" t="s">
        <v>81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IFERROR(IF(Y346=0,"",ROUNDUP(Y346/H346,0)*0.01196),"")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56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53" t="s">
        <v>40</v>
      </c>
      <c r="Q347" s="654"/>
      <c r="R347" s="654"/>
      <c r="S347" s="654"/>
      <c r="T347" s="654"/>
      <c r="U347" s="654"/>
      <c r="V347" s="655"/>
      <c r="W347" s="42" t="s">
        <v>39</v>
      </c>
      <c r="X347" s="43">
        <f>IFERROR(X344/H344,"0")+IFERROR(X345/H345,"0")+IFERROR(X346/H346,"0")</f>
        <v>0</v>
      </c>
      <c r="Y347" s="43">
        <f>IFERROR(Y344/H344,"0")+IFERROR(Y345/H345,"0")+IFERROR(Y346/H346,"0")</f>
        <v>0</v>
      </c>
      <c r="Z347" s="43">
        <f>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0</v>
      </c>
      <c r="X348" s="43">
        <f>IFERROR(SUM(X344:X346),"0")</f>
        <v>0</v>
      </c>
      <c r="Y348" s="43">
        <f>IFERROR(SUM(Y344:Y346),"0")</f>
        <v>0</v>
      </c>
      <c r="Z348" s="42"/>
      <c r="AA348" s="67"/>
      <c r="AB348" s="67"/>
      <c r="AC348" s="67"/>
    </row>
    <row r="349" spans="1:68" ht="16.5" hidden="1" customHeight="1" x14ac:dyDescent="0.25">
      <c r="A349" s="647" t="s">
        <v>587</v>
      </c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7"/>
      <c r="P349" s="647"/>
      <c r="Q349" s="647"/>
      <c r="R349" s="647"/>
      <c r="S349" s="647"/>
      <c r="T349" s="647"/>
      <c r="U349" s="647"/>
      <c r="V349" s="647"/>
      <c r="W349" s="647"/>
      <c r="X349" s="647"/>
      <c r="Y349" s="647"/>
      <c r="Z349" s="647"/>
      <c r="AA349" s="65"/>
      <c r="AB349" s="65"/>
      <c r="AC349" s="79"/>
    </row>
    <row r="350" spans="1:68" ht="14.25" hidden="1" customHeight="1" x14ac:dyDescent="0.25">
      <c r="A350" s="648" t="s">
        <v>256</v>
      </c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48"/>
      <c r="P350" s="648"/>
      <c r="Q350" s="648"/>
      <c r="R350" s="648"/>
      <c r="S350" s="648"/>
      <c r="T350" s="648"/>
      <c r="U350" s="648"/>
      <c r="V350" s="648"/>
      <c r="W350" s="648"/>
      <c r="X350" s="648"/>
      <c r="Y350" s="648"/>
      <c r="Z350" s="648"/>
      <c r="AA350" s="66"/>
      <c r="AB350" s="66"/>
      <c r="AC350" s="80"/>
    </row>
    <row r="351" spans="1:68" ht="37.5" hidden="1" customHeight="1" x14ac:dyDescent="0.25">
      <c r="A351" s="63" t="s">
        <v>588</v>
      </c>
      <c r="B351" s="63" t="s">
        <v>589</v>
      </c>
      <c r="C351" s="36">
        <v>4301031283</v>
      </c>
      <c r="D351" s="649">
        <v>4680115886001</v>
      </c>
      <c r="E351" s="649"/>
      <c r="F351" s="62">
        <v>0.73</v>
      </c>
      <c r="G351" s="37">
        <v>6</v>
      </c>
      <c r="H351" s="62">
        <v>4.38</v>
      </c>
      <c r="I351" s="62">
        <v>4.57</v>
      </c>
      <c r="J351" s="37">
        <v>132</v>
      </c>
      <c r="K351" s="37" t="s">
        <v>137</v>
      </c>
      <c r="L351" s="37" t="s">
        <v>46</v>
      </c>
      <c r="M351" s="38" t="s">
        <v>133</v>
      </c>
      <c r="N351" s="38"/>
      <c r="O351" s="37">
        <v>45</v>
      </c>
      <c r="P351" s="76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2" t="s">
        <v>590</v>
      </c>
      <c r="AG351" s="78"/>
      <c r="AJ351" s="84" t="s">
        <v>46</v>
      </c>
      <c r="AK351" s="84">
        <v>0</v>
      </c>
      <c r="BB351" s="44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56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53" t="s">
        <v>40</v>
      </c>
      <c r="Q352" s="654"/>
      <c r="R352" s="654"/>
      <c r="S352" s="654"/>
      <c r="T352" s="654"/>
      <c r="U352" s="654"/>
      <c r="V352" s="655"/>
      <c r="W352" s="42" t="s">
        <v>39</v>
      </c>
      <c r="X352" s="43">
        <f>IFERROR(X351/H351,"0")</f>
        <v>0</v>
      </c>
      <c r="Y352" s="43">
        <f>IFERROR(Y351/H351,"0")</f>
        <v>0</v>
      </c>
      <c r="Z352" s="43">
        <f>IFERROR(IF(Z351="",0,Z351),"0")</f>
        <v>0</v>
      </c>
      <c r="AA352" s="67"/>
      <c r="AB352" s="67"/>
      <c r="AC352" s="67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0</v>
      </c>
      <c r="X353" s="43">
        <f>IFERROR(SUM(X351:X351),"0")</f>
        <v>0</v>
      </c>
      <c r="Y353" s="43">
        <f>IFERROR(SUM(Y351:Y351),"0")</f>
        <v>0</v>
      </c>
      <c r="Z353" s="42"/>
      <c r="AA353" s="67"/>
      <c r="AB353" s="67"/>
      <c r="AC353" s="67"/>
    </row>
    <row r="354" spans="1:68" ht="14.25" hidden="1" customHeight="1" x14ac:dyDescent="0.25">
      <c r="A354" s="648" t="s">
        <v>77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6"/>
      <c r="AB354" s="66"/>
      <c r="AC354" s="80"/>
    </row>
    <row r="355" spans="1:68" ht="27" hidden="1" customHeight="1" x14ac:dyDescent="0.25">
      <c r="A355" s="63" t="s">
        <v>591</v>
      </c>
      <c r="B355" s="63" t="s">
        <v>592</v>
      </c>
      <c r="C355" s="36">
        <v>4301051597</v>
      </c>
      <c r="D355" s="649">
        <v>4680115886087</v>
      </c>
      <c r="E355" s="649"/>
      <c r="F355" s="62">
        <v>1</v>
      </c>
      <c r="G355" s="37">
        <v>8</v>
      </c>
      <c r="H355" s="62">
        <v>8</v>
      </c>
      <c r="I355" s="62">
        <v>8.41</v>
      </c>
      <c r="J355" s="37">
        <v>64</v>
      </c>
      <c r="K355" s="37" t="s">
        <v>129</v>
      </c>
      <c r="L355" s="37" t="s">
        <v>46</v>
      </c>
      <c r="M355" s="38" t="s">
        <v>81</v>
      </c>
      <c r="N355" s="38"/>
      <c r="O355" s="37">
        <v>45</v>
      </c>
      <c r="P355" s="761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51"/>
      <c r="R355" s="651"/>
      <c r="S355" s="651"/>
      <c r="T355" s="652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56"/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7"/>
      <c r="P357" s="653" t="s">
        <v>40</v>
      </c>
      <c r="Q357" s="654"/>
      <c r="R357" s="654"/>
      <c r="S357" s="654"/>
      <c r="T357" s="654"/>
      <c r="U357" s="654"/>
      <c r="V357" s="655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6.5" hidden="1" customHeight="1" x14ac:dyDescent="0.25">
      <c r="A358" s="647" t="s">
        <v>594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5"/>
      <c r="AB358" s="65"/>
      <c r="AC358" s="79"/>
    </row>
    <row r="359" spans="1:68" ht="14.25" hidden="1" customHeight="1" x14ac:dyDescent="0.25">
      <c r="A359" s="648" t="s">
        <v>124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6"/>
      <c r="AB359" s="66"/>
      <c r="AC359" s="80"/>
    </row>
    <row r="360" spans="1:68" ht="27" hidden="1" customHeight="1" x14ac:dyDescent="0.25">
      <c r="A360" s="63" t="s">
        <v>595</v>
      </c>
      <c r="B360" s="63" t="s">
        <v>596</v>
      </c>
      <c r="C360" s="36">
        <v>4301012324</v>
      </c>
      <c r="D360" s="649">
        <v>4680115887947</v>
      </c>
      <c r="E360" s="649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129</v>
      </c>
      <c r="L360" s="37" t="s">
        <v>46</v>
      </c>
      <c r="M360" s="38" t="s">
        <v>81</v>
      </c>
      <c r="N360" s="38"/>
      <c r="O360" s="37">
        <v>60</v>
      </c>
      <c r="P360" s="76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51"/>
      <c r="R360" s="651"/>
      <c r="S360" s="651"/>
      <c r="T360" s="652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46" t="s">
        <v>349</v>
      </c>
      <c r="AG360" s="78"/>
      <c r="AJ360" s="84" t="s">
        <v>46</v>
      </c>
      <c r="AK360" s="84">
        <v>0</v>
      </c>
      <c r="BB360" s="447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597</v>
      </c>
      <c r="B361" s="63" t="s">
        <v>598</v>
      </c>
      <c r="C361" s="36">
        <v>4301012325</v>
      </c>
      <c r="D361" s="649">
        <v>4680115887978</v>
      </c>
      <c r="E361" s="649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129</v>
      </c>
      <c r="L361" s="37" t="s">
        <v>46</v>
      </c>
      <c r="M361" s="38" t="s">
        <v>81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51"/>
      <c r="R361" s="651"/>
      <c r="S361" s="651"/>
      <c r="T361" s="652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48" t="s">
        <v>599</v>
      </c>
      <c r="AG361" s="78"/>
      <c r="AJ361" s="84" t="s">
        <v>46</v>
      </c>
      <c r="AK361" s="84">
        <v>0</v>
      </c>
      <c r="BB361" s="449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hidden="1" customHeight="1" x14ac:dyDescent="0.25">
      <c r="A362" s="63" t="s">
        <v>600</v>
      </c>
      <c r="B362" s="63" t="s">
        <v>601</v>
      </c>
      <c r="C362" s="36">
        <v>4301012327</v>
      </c>
      <c r="D362" s="649">
        <v>4680115887992</v>
      </c>
      <c r="E362" s="649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129</v>
      </c>
      <c r="L362" s="37" t="s">
        <v>46</v>
      </c>
      <c r="M362" s="38" t="s">
        <v>81</v>
      </c>
      <c r="N362" s="38"/>
      <c r="O362" s="37">
        <v>60</v>
      </c>
      <c r="P362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51"/>
      <c r="R362" s="651"/>
      <c r="S362" s="651"/>
      <c r="T362" s="652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idden="1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2" t="s">
        <v>39</v>
      </c>
      <c r="X363" s="43">
        <f>IFERROR(X360/H360,"0")+IFERROR(X361/H361,"0")+IFERROR(X362/H362,"0")</f>
        <v>0</v>
      </c>
      <c r="Y363" s="43">
        <f>IFERROR(Y360/H360,"0")+IFERROR(Y361/H361,"0")+IFERROR(Y362/H362,"0")</f>
        <v>0</v>
      </c>
      <c r="Z363" s="43">
        <f>IFERROR(IF(Z360="",0,Z360),"0")+IFERROR(IF(Z361="",0,Z361),"0")+IFERROR(IF(Z362="",0,Z362),"0")</f>
        <v>0</v>
      </c>
      <c r="AA363" s="67"/>
      <c r="AB363" s="67"/>
      <c r="AC363" s="67"/>
    </row>
    <row r="364" spans="1:68" hidden="1" x14ac:dyDescent="0.2">
      <c r="A364" s="656"/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7"/>
      <c r="P364" s="653" t="s">
        <v>40</v>
      </c>
      <c r="Q364" s="654"/>
      <c r="R364" s="654"/>
      <c r="S364" s="654"/>
      <c r="T364" s="654"/>
      <c r="U364" s="654"/>
      <c r="V364" s="655"/>
      <c r="W364" s="42" t="s">
        <v>0</v>
      </c>
      <c r="X364" s="43">
        <f>IFERROR(SUM(X360:X362),"0")</f>
        <v>0</v>
      </c>
      <c r="Y364" s="43">
        <f>IFERROR(SUM(Y360:Y362),"0")</f>
        <v>0</v>
      </c>
      <c r="Z364" s="42"/>
      <c r="AA364" s="67"/>
      <c r="AB364" s="67"/>
      <c r="AC364" s="67"/>
    </row>
    <row r="365" spans="1:68" ht="16.5" hidden="1" customHeight="1" x14ac:dyDescent="0.25">
      <c r="A365" s="647" t="s">
        <v>603</v>
      </c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7"/>
      <c r="P365" s="647"/>
      <c r="Q365" s="647"/>
      <c r="R365" s="647"/>
      <c r="S365" s="647"/>
      <c r="T365" s="647"/>
      <c r="U365" s="647"/>
      <c r="V365" s="647"/>
      <c r="W365" s="647"/>
      <c r="X365" s="647"/>
      <c r="Y365" s="647"/>
      <c r="Z365" s="647"/>
      <c r="AA365" s="65"/>
      <c r="AB365" s="65"/>
      <c r="AC365" s="79"/>
    </row>
    <row r="366" spans="1:68" ht="14.25" hidden="1" customHeight="1" x14ac:dyDescent="0.25">
      <c r="A366" s="648" t="s">
        <v>124</v>
      </c>
      <c r="B366" s="648"/>
      <c r="C366" s="648"/>
      <c r="D366" s="648"/>
      <c r="E366" s="648"/>
      <c r="F366" s="648"/>
      <c r="G366" s="648"/>
      <c r="H366" s="648"/>
      <c r="I366" s="648"/>
      <c r="J366" s="648"/>
      <c r="K366" s="648"/>
      <c r="L366" s="648"/>
      <c r="M366" s="648"/>
      <c r="N366" s="648"/>
      <c r="O366" s="648"/>
      <c r="P366" s="648"/>
      <c r="Q366" s="648"/>
      <c r="R366" s="648"/>
      <c r="S366" s="648"/>
      <c r="T366" s="648"/>
      <c r="U366" s="648"/>
      <c r="V366" s="648"/>
      <c r="W366" s="648"/>
      <c r="X366" s="648"/>
      <c r="Y366" s="648"/>
      <c r="Z366" s="648"/>
      <c r="AA366" s="66"/>
      <c r="AB366" s="66"/>
      <c r="AC366" s="80"/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649">
        <v>4680115889293</v>
      </c>
      <c r="E367" s="649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129</v>
      </c>
      <c r="L367" s="37" t="s">
        <v>46</v>
      </c>
      <c r="M367" s="38" t="s">
        <v>128</v>
      </c>
      <c r="N367" s="38"/>
      <c r="O367" s="37">
        <v>55</v>
      </c>
      <c r="P367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2"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52" t="s">
        <v>606</v>
      </c>
      <c r="AG367" s="78"/>
      <c r="AJ367" s="84" t="s">
        <v>46</v>
      </c>
      <c r="AK367" s="84">
        <v>0</v>
      </c>
      <c r="BB367" s="453" t="s">
        <v>67</v>
      </c>
      <c r="BM367" s="78">
        <f t="shared" ref="BM367:BM373" si="53">IFERROR(X367*I367/H367,"0")</f>
        <v>0</v>
      </c>
      <c r="BN367" s="78">
        <f t="shared" ref="BN367:BN373" si="54">IFERROR(Y367*I367/H367,"0")</f>
        <v>0</v>
      </c>
      <c r="BO367" s="78">
        <f t="shared" ref="BO367:BO373" si="55">IFERROR(1/J367*(X367/H367),"0")</f>
        <v>0</v>
      </c>
      <c r="BP367" s="78">
        <f t="shared" ref="BP367:BP373" si="56">IFERROR(1/J367*(Y367/H367),"0")</f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649">
        <v>4680115887190</v>
      </c>
      <c r="E368" s="649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129</v>
      </c>
      <c r="L368" s="37" t="s">
        <v>46</v>
      </c>
      <c r="M368" s="38" t="s">
        <v>128</v>
      </c>
      <c r="N368" s="38"/>
      <c r="O368" s="37">
        <v>55</v>
      </c>
      <c r="P368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51"/>
      <c r="R368" s="651"/>
      <c r="S368" s="651"/>
      <c r="T368" s="65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4" t="s">
        <v>609</v>
      </c>
      <c r="AG368" s="78"/>
      <c r="AJ368" s="84" t="s">
        <v>46</v>
      </c>
      <c r="AK368" s="84">
        <v>0</v>
      </c>
      <c r="BB368" s="455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ht="27" hidden="1" customHeight="1" x14ac:dyDescent="0.25">
      <c r="A369" s="63" t="s">
        <v>610</v>
      </c>
      <c r="B369" s="63" t="s">
        <v>611</v>
      </c>
      <c r="C369" s="36">
        <v>4301012400</v>
      </c>
      <c r="D369" s="649">
        <v>4680115889880</v>
      </c>
      <c r="E369" s="649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129</v>
      </c>
      <c r="L369" s="37" t="s">
        <v>46</v>
      </c>
      <c r="M369" s="38" t="s">
        <v>128</v>
      </c>
      <c r="N369" s="38"/>
      <c r="O369" s="37">
        <v>55</v>
      </c>
      <c r="P369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51"/>
      <c r="R369" s="651"/>
      <c r="S369" s="651"/>
      <c r="T369" s="65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2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6" t="s">
        <v>509</v>
      </c>
      <c r="AG369" s="78"/>
      <c r="AJ369" s="84" t="s">
        <v>46</v>
      </c>
      <c r="AK369" s="84">
        <v>0</v>
      </c>
      <c r="BB369" s="457" t="s">
        <v>67</v>
      </c>
      <c r="BM369" s="78">
        <f t="shared" si="53"/>
        <v>0</v>
      </c>
      <c r="BN369" s="78">
        <f t="shared" si="54"/>
        <v>0</v>
      </c>
      <c r="BO369" s="78">
        <f t="shared" si="55"/>
        <v>0</v>
      </c>
      <c r="BP369" s="78">
        <f t="shared" si="56"/>
        <v>0</v>
      </c>
    </row>
    <row r="370" spans="1:68" ht="37.5" hidden="1" customHeight="1" x14ac:dyDescent="0.25">
      <c r="A370" s="63" t="s">
        <v>612</v>
      </c>
      <c r="B370" s="63" t="s">
        <v>613</v>
      </c>
      <c r="C370" s="36">
        <v>4301012233</v>
      </c>
      <c r="D370" s="649">
        <v>4680115887138</v>
      </c>
      <c r="E370" s="649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129</v>
      </c>
      <c r="L370" s="37" t="s">
        <v>46</v>
      </c>
      <c r="M370" s="38" t="s">
        <v>128</v>
      </c>
      <c r="N370" s="38"/>
      <c r="O370" s="37">
        <v>55</v>
      </c>
      <c r="P370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51"/>
      <c r="R370" s="651"/>
      <c r="S370" s="651"/>
      <c r="T370" s="65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2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8" t="s">
        <v>614</v>
      </c>
      <c r="AG370" s="78"/>
      <c r="AJ370" s="84" t="s">
        <v>46</v>
      </c>
      <c r="AK370" s="84">
        <v>0</v>
      </c>
      <c r="BB370" s="459" t="s">
        <v>67</v>
      </c>
      <c r="BM370" s="78">
        <f t="shared" si="53"/>
        <v>0</v>
      </c>
      <c r="BN370" s="78">
        <f t="shared" si="54"/>
        <v>0</v>
      </c>
      <c r="BO370" s="78">
        <f t="shared" si="55"/>
        <v>0</v>
      </c>
      <c r="BP370" s="78">
        <f t="shared" si="56"/>
        <v>0</v>
      </c>
    </row>
    <row r="371" spans="1:68" ht="27" hidden="1" customHeight="1" x14ac:dyDescent="0.25">
      <c r="A371" s="63" t="s">
        <v>615</v>
      </c>
      <c r="B371" s="63" t="s">
        <v>616</v>
      </c>
      <c r="C371" s="36">
        <v>4301012016</v>
      </c>
      <c r="D371" s="649">
        <v>4680115885554</v>
      </c>
      <c r="E371" s="649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129</v>
      </c>
      <c r="L371" s="37" t="s">
        <v>46</v>
      </c>
      <c r="M371" s="38" t="s">
        <v>81</v>
      </c>
      <c r="N371" s="38"/>
      <c r="O371" s="37">
        <v>55</v>
      </c>
      <c r="P371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2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0" t="s">
        <v>617</v>
      </c>
      <c r="AG371" s="78"/>
      <c r="AJ371" s="84" t="s">
        <v>46</v>
      </c>
      <c r="AK371" s="84">
        <v>0</v>
      </c>
      <c r="BB371" s="461" t="s">
        <v>67</v>
      </c>
      <c r="BM371" s="78">
        <f t="shared" si="53"/>
        <v>0</v>
      </c>
      <c r="BN371" s="78">
        <f t="shared" si="54"/>
        <v>0</v>
      </c>
      <c r="BO371" s="78">
        <f t="shared" si="55"/>
        <v>0</v>
      </c>
      <c r="BP371" s="78">
        <f t="shared" si="56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4301012236</v>
      </c>
      <c r="D372" s="649">
        <v>4680115887220</v>
      </c>
      <c r="E372" s="649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137</v>
      </c>
      <c r="L372" s="37" t="s">
        <v>46</v>
      </c>
      <c r="M372" s="38" t="s">
        <v>128</v>
      </c>
      <c r="N372" s="38"/>
      <c r="O372" s="37">
        <v>55</v>
      </c>
      <c r="P372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2" t="s">
        <v>609</v>
      </c>
      <c r="AG372" s="78"/>
      <c r="AJ372" s="84" t="s">
        <v>46</v>
      </c>
      <c r="AK372" s="84">
        <v>0</v>
      </c>
      <c r="BB372" s="463" t="s">
        <v>67</v>
      </c>
      <c r="BM372" s="78">
        <f t="shared" si="53"/>
        <v>0</v>
      </c>
      <c r="BN372" s="78">
        <f t="shared" si="54"/>
        <v>0</v>
      </c>
      <c r="BO372" s="78">
        <f t="shared" si="55"/>
        <v>0</v>
      </c>
      <c r="BP372" s="78">
        <f t="shared" si="56"/>
        <v>0</v>
      </c>
    </row>
    <row r="373" spans="1:68" ht="27" hidden="1" customHeight="1" x14ac:dyDescent="0.25">
      <c r="A373" s="63" t="s">
        <v>620</v>
      </c>
      <c r="B373" s="63" t="s">
        <v>621</v>
      </c>
      <c r="C373" s="36">
        <v>4301011859</v>
      </c>
      <c r="D373" s="649">
        <v>4680115885608</v>
      </c>
      <c r="E373" s="649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137</v>
      </c>
      <c r="L373" s="37" t="s">
        <v>46</v>
      </c>
      <c r="M373" s="38" t="s">
        <v>128</v>
      </c>
      <c r="N373" s="38"/>
      <c r="O373" s="37">
        <v>55</v>
      </c>
      <c r="P373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4" t="s">
        <v>622</v>
      </c>
      <c r="AG373" s="78"/>
      <c r="AJ373" s="84" t="s">
        <v>46</v>
      </c>
      <c r="AK373" s="84">
        <v>0</v>
      </c>
      <c r="BB373" s="465" t="s">
        <v>67</v>
      </c>
      <c r="BM373" s="78">
        <f t="shared" si="53"/>
        <v>0</v>
      </c>
      <c r="BN373" s="78">
        <f t="shared" si="54"/>
        <v>0</v>
      </c>
      <c r="BO373" s="78">
        <f t="shared" si="55"/>
        <v>0</v>
      </c>
      <c r="BP373" s="78">
        <f t="shared" si="56"/>
        <v>0</v>
      </c>
    </row>
    <row r="374" spans="1:68" hidden="1" x14ac:dyDescent="0.2">
      <c r="A374" s="656"/>
      <c r="B374" s="656"/>
      <c r="C374" s="656"/>
      <c r="D374" s="656"/>
      <c r="E374" s="656"/>
      <c r="F374" s="656"/>
      <c r="G374" s="656"/>
      <c r="H374" s="656"/>
      <c r="I374" s="656"/>
      <c r="J374" s="656"/>
      <c r="K374" s="656"/>
      <c r="L374" s="656"/>
      <c r="M374" s="656"/>
      <c r="N374" s="656"/>
      <c r="O374" s="657"/>
      <c r="P374" s="653" t="s">
        <v>40</v>
      </c>
      <c r="Q374" s="654"/>
      <c r="R374" s="654"/>
      <c r="S374" s="654"/>
      <c r="T374" s="654"/>
      <c r="U374" s="654"/>
      <c r="V374" s="655"/>
      <c r="W374" s="42" t="s">
        <v>39</v>
      </c>
      <c r="X374" s="43">
        <f>IFERROR(X367/H367,"0")+IFERROR(X368/H368,"0")+IFERROR(X369/H369,"0")+IFERROR(X370/H370,"0")+IFERROR(X371/H371,"0")+IFERROR(X372/H372,"0")+IFERROR(X373/H373,"0")</f>
        <v>0</v>
      </c>
      <c r="Y374" s="43">
        <f>IFERROR(Y367/H367,"0")+IFERROR(Y368/H368,"0")+IFERROR(Y369/H369,"0")+IFERROR(Y370/H370,"0")+IFERROR(Y371/H371,"0")+IFERROR(Y372/H372,"0")+IFERROR(Y373/H373,"0")</f>
        <v>0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7"/>
      <c r="AB374" s="67"/>
      <c r="AC374" s="67"/>
    </row>
    <row r="375" spans="1:68" hidden="1" x14ac:dyDescent="0.2">
      <c r="A375" s="656"/>
      <c r="B375" s="656"/>
      <c r="C375" s="656"/>
      <c r="D375" s="656"/>
      <c r="E375" s="656"/>
      <c r="F375" s="656"/>
      <c r="G375" s="656"/>
      <c r="H375" s="656"/>
      <c r="I375" s="656"/>
      <c r="J375" s="656"/>
      <c r="K375" s="656"/>
      <c r="L375" s="656"/>
      <c r="M375" s="656"/>
      <c r="N375" s="656"/>
      <c r="O375" s="657"/>
      <c r="P375" s="653" t="s">
        <v>40</v>
      </c>
      <c r="Q375" s="654"/>
      <c r="R375" s="654"/>
      <c r="S375" s="654"/>
      <c r="T375" s="654"/>
      <c r="U375" s="654"/>
      <c r="V375" s="655"/>
      <c r="W375" s="42" t="s">
        <v>0</v>
      </c>
      <c r="X375" s="43">
        <f>IFERROR(SUM(X367:X373),"0")</f>
        <v>0</v>
      </c>
      <c r="Y375" s="43">
        <f>IFERROR(SUM(Y367:Y373),"0")</f>
        <v>0</v>
      </c>
      <c r="Z375" s="42"/>
      <c r="AA375" s="67"/>
      <c r="AB375" s="67"/>
      <c r="AC375" s="67"/>
    </row>
    <row r="376" spans="1:68" ht="14.25" hidden="1" customHeight="1" x14ac:dyDescent="0.25">
      <c r="A376" s="648" t="s">
        <v>256</v>
      </c>
      <c r="B376" s="648"/>
      <c r="C376" s="648"/>
      <c r="D376" s="648"/>
      <c r="E376" s="648"/>
      <c r="F376" s="648"/>
      <c r="G376" s="648"/>
      <c r="H376" s="648"/>
      <c r="I376" s="648"/>
      <c r="J376" s="648"/>
      <c r="K376" s="648"/>
      <c r="L376" s="648"/>
      <c r="M376" s="648"/>
      <c r="N376" s="648"/>
      <c r="O376" s="648"/>
      <c r="P376" s="648"/>
      <c r="Q376" s="648"/>
      <c r="R376" s="648"/>
      <c r="S376" s="648"/>
      <c r="T376" s="648"/>
      <c r="U376" s="648"/>
      <c r="V376" s="648"/>
      <c r="W376" s="648"/>
      <c r="X376" s="648"/>
      <c r="Y376" s="648"/>
      <c r="Z376" s="648"/>
      <c r="AA376" s="66"/>
      <c r="AB376" s="66"/>
      <c r="AC376" s="80"/>
    </row>
    <row r="377" spans="1:68" ht="27" customHeight="1" x14ac:dyDescent="0.25">
      <c r="A377" s="63" t="s">
        <v>623</v>
      </c>
      <c r="B377" s="63" t="s">
        <v>624</v>
      </c>
      <c r="C377" s="36">
        <v>4301030878</v>
      </c>
      <c r="D377" s="649">
        <v>4607091387193</v>
      </c>
      <c r="E377" s="649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137</v>
      </c>
      <c r="L377" s="37" t="s">
        <v>46</v>
      </c>
      <c r="M377" s="38" t="s">
        <v>133</v>
      </c>
      <c r="N377" s="38"/>
      <c r="O377" s="37">
        <v>35</v>
      </c>
      <c r="P377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100</v>
      </c>
      <c r="Y377" s="55">
        <f t="shared" ref="Y377:Y383" si="57">IFERROR(IF(X377="",0,CEILING((X377/$H377),1)*$H377),"")</f>
        <v>100.80000000000001</v>
      </c>
      <c r="Z377" s="41">
        <f>IFERROR(IF(Y377=0,"",ROUNDUP(Y377/H377,0)*0.00902),"")</f>
        <v>0.21648000000000001</v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ref="BM377:BM383" si="58">IFERROR(X377*I377/H377,"0")</f>
        <v>105.95238095238095</v>
      </c>
      <c r="BN377" s="78">
        <f t="shared" ref="BN377:BN383" si="59">IFERROR(Y377*I377/H377,"0")</f>
        <v>106.80000000000001</v>
      </c>
      <c r="BO377" s="78">
        <f t="shared" ref="BO377:BO383" si="60">IFERROR(1/J377*(X377/H377),"0")</f>
        <v>0.18037518037518038</v>
      </c>
      <c r="BP377" s="78">
        <f t="shared" ref="BP377:BP383" si="61">IFERROR(1/J377*(Y377/H377),"0")</f>
        <v>0.18181818181818182</v>
      </c>
    </row>
    <row r="378" spans="1:68" ht="27" hidden="1" customHeight="1" x14ac:dyDescent="0.25">
      <c r="A378" s="63" t="s">
        <v>626</v>
      </c>
      <c r="B378" s="63" t="s">
        <v>627</v>
      </c>
      <c r="C378" s="36">
        <v>4301031153</v>
      </c>
      <c r="D378" s="649">
        <v>4607091387230</v>
      </c>
      <c r="E378" s="649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137</v>
      </c>
      <c r="L378" s="37" t="s">
        <v>46</v>
      </c>
      <c r="M378" s="38" t="s">
        <v>133</v>
      </c>
      <c r="N378" s="38"/>
      <c r="O378" s="37">
        <v>40</v>
      </c>
      <c r="P378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51"/>
      <c r="R378" s="651"/>
      <c r="S378" s="651"/>
      <c r="T378" s="65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7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68" t="s">
        <v>628</v>
      </c>
      <c r="AG378" s="78"/>
      <c r="AJ378" s="84" t="s">
        <v>46</v>
      </c>
      <c r="AK378" s="84">
        <v>0</v>
      </c>
      <c r="BB378" s="469" t="s">
        <v>67</v>
      </c>
      <c r="BM378" s="78">
        <f t="shared" si="58"/>
        <v>0</v>
      </c>
      <c r="BN378" s="78">
        <f t="shared" si="59"/>
        <v>0</v>
      </c>
      <c r="BO378" s="78">
        <f t="shared" si="60"/>
        <v>0</v>
      </c>
      <c r="BP378" s="78">
        <f t="shared" si="61"/>
        <v>0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4301031154</v>
      </c>
      <c r="D379" s="649">
        <v>4607091387292</v>
      </c>
      <c r="E379" s="649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137</v>
      </c>
      <c r="L379" s="37" t="s">
        <v>46</v>
      </c>
      <c r="M379" s="38" t="s">
        <v>133</v>
      </c>
      <c r="N379" s="38"/>
      <c r="O379" s="37">
        <v>45</v>
      </c>
      <c r="P379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51"/>
      <c r="R379" s="651"/>
      <c r="S379" s="651"/>
      <c r="T379" s="652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7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70" t="s">
        <v>631</v>
      </c>
      <c r="AG379" s="78"/>
      <c r="AJ379" s="84" t="s">
        <v>46</v>
      </c>
      <c r="AK379" s="84">
        <v>0</v>
      </c>
      <c r="BB379" s="471" t="s">
        <v>67</v>
      </c>
      <c r="BM379" s="78">
        <f t="shared" si="58"/>
        <v>0</v>
      </c>
      <c r="BN379" s="78">
        <f t="shared" si="59"/>
        <v>0</v>
      </c>
      <c r="BO379" s="78">
        <f t="shared" si="60"/>
        <v>0</v>
      </c>
      <c r="BP379" s="78">
        <f t="shared" si="61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4301031152</v>
      </c>
      <c r="D380" s="649">
        <v>4607091387285</v>
      </c>
      <c r="E380" s="649"/>
      <c r="F380" s="62">
        <v>0.35</v>
      </c>
      <c r="G380" s="37">
        <v>6</v>
      </c>
      <c r="H380" s="62">
        <v>2.1</v>
      </c>
      <c r="I380" s="62">
        <v>2.23</v>
      </c>
      <c r="J380" s="37">
        <v>234</v>
      </c>
      <c r="K380" s="37" t="s">
        <v>234</v>
      </c>
      <c r="L380" s="37" t="s">
        <v>46</v>
      </c>
      <c r="M380" s="38" t="s">
        <v>133</v>
      </c>
      <c r="N380" s="38"/>
      <c r="O380" s="37">
        <v>40</v>
      </c>
      <c r="P380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51"/>
      <c r="R380" s="651"/>
      <c r="S380" s="651"/>
      <c r="T380" s="652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7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72" t="s">
        <v>628</v>
      </c>
      <c r="AG380" s="78"/>
      <c r="AJ380" s="84" t="s">
        <v>46</v>
      </c>
      <c r="AK380" s="84">
        <v>0</v>
      </c>
      <c r="BB380" s="473" t="s">
        <v>67</v>
      </c>
      <c r="BM380" s="78">
        <f t="shared" si="58"/>
        <v>0</v>
      </c>
      <c r="BN380" s="78">
        <f t="shared" si="59"/>
        <v>0</v>
      </c>
      <c r="BO380" s="78">
        <f t="shared" si="60"/>
        <v>0</v>
      </c>
      <c r="BP380" s="78">
        <f t="shared" si="61"/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4301031305</v>
      </c>
      <c r="D381" s="649">
        <v>4607091389845</v>
      </c>
      <c r="E381" s="649"/>
      <c r="F381" s="62">
        <v>0.35</v>
      </c>
      <c r="G381" s="37">
        <v>6</v>
      </c>
      <c r="H381" s="62">
        <v>2.1</v>
      </c>
      <c r="I381" s="62">
        <v>2.2000000000000002</v>
      </c>
      <c r="J381" s="37">
        <v>234</v>
      </c>
      <c r="K381" s="37" t="s">
        <v>234</v>
      </c>
      <c r="L381" s="37" t="s">
        <v>46</v>
      </c>
      <c r="M381" s="38" t="s">
        <v>133</v>
      </c>
      <c r="N381" s="38"/>
      <c r="O381" s="37">
        <v>40</v>
      </c>
      <c r="P381" s="7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7"/>
        <v>0</v>
      </c>
      <c r="Z381" s="41" t="str">
        <f>IFERROR(IF(Y381=0,"",ROUNDUP(Y381/H381,0)*0.00502),"")</f>
        <v/>
      </c>
      <c r="AA381" s="68" t="s">
        <v>46</v>
      </c>
      <c r="AB381" s="69" t="s">
        <v>46</v>
      </c>
      <c r="AC381" s="474" t="s">
        <v>636</v>
      </c>
      <c r="AG381" s="78"/>
      <c r="AJ381" s="84" t="s">
        <v>46</v>
      </c>
      <c r="AK381" s="84">
        <v>0</v>
      </c>
      <c r="BB381" s="475" t="s">
        <v>67</v>
      </c>
      <c r="BM381" s="78">
        <f t="shared" si="58"/>
        <v>0</v>
      </c>
      <c r="BN381" s="78">
        <f t="shared" si="59"/>
        <v>0</v>
      </c>
      <c r="BO381" s="78">
        <f t="shared" si="60"/>
        <v>0</v>
      </c>
      <c r="BP381" s="78">
        <f t="shared" si="61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4301031460</v>
      </c>
      <c r="D382" s="649">
        <v>4680115887442</v>
      </c>
      <c r="E382" s="649"/>
      <c r="F382" s="62">
        <v>0.73</v>
      </c>
      <c r="G382" s="37">
        <v>6</v>
      </c>
      <c r="H382" s="62">
        <v>4.38</v>
      </c>
      <c r="I382" s="62">
        <v>4.63</v>
      </c>
      <c r="J382" s="37">
        <v>132</v>
      </c>
      <c r="K382" s="37" t="s">
        <v>137</v>
      </c>
      <c r="L382" s="37" t="s">
        <v>46</v>
      </c>
      <c r="M382" s="38" t="s">
        <v>133</v>
      </c>
      <c r="N382" s="38"/>
      <c r="O382" s="37">
        <v>45</v>
      </c>
      <c r="P382" s="74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7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6" t="s">
        <v>631</v>
      </c>
      <c r="AG382" s="78"/>
      <c r="AJ382" s="84" t="s">
        <v>46</v>
      </c>
      <c r="AK382" s="84">
        <v>0</v>
      </c>
      <c r="BB382" s="477" t="s">
        <v>67</v>
      </c>
      <c r="BM382" s="78">
        <f t="shared" si="58"/>
        <v>0</v>
      </c>
      <c r="BN382" s="78">
        <f t="shared" si="59"/>
        <v>0</v>
      </c>
      <c r="BO382" s="78">
        <f t="shared" si="60"/>
        <v>0</v>
      </c>
      <c r="BP382" s="78">
        <f t="shared" si="61"/>
        <v>0</v>
      </c>
    </row>
    <row r="383" spans="1:68" ht="27" hidden="1" customHeight="1" x14ac:dyDescent="0.25">
      <c r="A383" s="63" t="s">
        <v>639</v>
      </c>
      <c r="B383" s="63" t="s">
        <v>640</v>
      </c>
      <c r="C383" s="36">
        <v>4301031066</v>
      </c>
      <c r="D383" s="649">
        <v>4607091383836</v>
      </c>
      <c r="E383" s="649"/>
      <c r="F383" s="62">
        <v>0.3</v>
      </c>
      <c r="G383" s="37">
        <v>6</v>
      </c>
      <c r="H383" s="62">
        <v>1.8</v>
      </c>
      <c r="I383" s="62">
        <v>2.028</v>
      </c>
      <c r="J383" s="37">
        <v>182</v>
      </c>
      <c r="K383" s="37" t="s">
        <v>82</v>
      </c>
      <c r="L383" s="37" t="s">
        <v>46</v>
      </c>
      <c r="M383" s="38" t="s">
        <v>133</v>
      </c>
      <c r="N383" s="38"/>
      <c r="O383" s="37">
        <v>40</v>
      </c>
      <c r="P383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7"/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8" t="s">
        <v>641</v>
      </c>
      <c r="AG383" s="78"/>
      <c r="AJ383" s="84" t="s">
        <v>46</v>
      </c>
      <c r="AK383" s="84">
        <v>0</v>
      </c>
      <c r="BB383" s="479" t="s">
        <v>67</v>
      </c>
      <c r="BM383" s="78">
        <f t="shared" si="58"/>
        <v>0</v>
      </c>
      <c r="BN383" s="78">
        <f t="shared" si="59"/>
        <v>0</v>
      </c>
      <c r="BO383" s="78">
        <f t="shared" si="60"/>
        <v>0</v>
      </c>
      <c r="BP383" s="78">
        <f t="shared" si="61"/>
        <v>0</v>
      </c>
    </row>
    <row r="384" spans="1:68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2" t="s">
        <v>39</v>
      </c>
      <c r="X384" s="43">
        <f>IFERROR(X377/H377,"0")+IFERROR(X378/H378,"0")+IFERROR(X379/H379,"0")+IFERROR(X380/H380,"0")+IFERROR(X381/H381,"0")+IFERROR(X382/H382,"0")+IFERROR(X383/H383,"0")</f>
        <v>23.80952380952381</v>
      </c>
      <c r="Y384" s="43">
        <f>IFERROR(Y377/H377,"0")+IFERROR(Y378/H378,"0")+IFERROR(Y379/H379,"0")+IFERROR(Y380/H380,"0")+IFERROR(Y381/H381,"0")+IFERROR(Y382/H382,"0")+IFERROR(Y383/H383,"0")</f>
        <v>24</v>
      </c>
      <c r="Z384" s="43">
        <f>IFERROR(IF(Z377="",0,Z377),"0")+IFERROR(IF(Z378="",0,Z378),"0")+IFERROR(IF(Z379="",0,Z379),"0")+IFERROR(IF(Z380="",0,Z380),"0")+IFERROR(IF(Z381="",0,Z381),"0")+IFERROR(IF(Z382="",0,Z382),"0")+IFERROR(IF(Z383="",0,Z383),"0")</f>
        <v>0.21648000000000001</v>
      </c>
      <c r="AA384" s="67"/>
      <c r="AB384" s="67"/>
      <c r="AC384" s="67"/>
    </row>
    <row r="385" spans="1:68" x14ac:dyDescent="0.2">
      <c r="A385" s="656"/>
      <c r="B385" s="656"/>
      <c r="C385" s="656"/>
      <c r="D385" s="656"/>
      <c r="E385" s="656"/>
      <c r="F385" s="656"/>
      <c r="G385" s="656"/>
      <c r="H385" s="656"/>
      <c r="I385" s="656"/>
      <c r="J385" s="656"/>
      <c r="K385" s="656"/>
      <c r="L385" s="656"/>
      <c r="M385" s="656"/>
      <c r="N385" s="656"/>
      <c r="O385" s="657"/>
      <c r="P385" s="653" t="s">
        <v>40</v>
      </c>
      <c r="Q385" s="654"/>
      <c r="R385" s="654"/>
      <c r="S385" s="654"/>
      <c r="T385" s="654"/>
      <c r="U385" s="654"/>
      <c r="V385" s="655"/>
      <c r="W385" s="42" t="s">
        <v>0</v>
      </c>
      <c r="X385" s="43">
        <f>IFERROR(SUM(X377:X383),"0")</f>
        <v>100</v>
      </c>
      <c r="Y385" s="43">
        <f>IFERROR(SUM(Y377:Y383),"0")</f>
        <v>100.80000000000001</v>
      </c>
      <c r="Z385" s="42"/>
      <c r="AA385" s="67"/>
      <c r="AB385" s="67"/>
      <c r="AC385" s="67"/>
    </row>
    <row r="386" spans="1:68" ht="14.25" hidden="1" customHeight="1" x14ac:dyDescent="0.25">
      <c r="A386" s="648" t="s">
        <v>77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6"/>
      <c r="AB386" s="66"/>
      <c r="AC386" s="80"/>
    </row>
    <row r="387" spans="1:68" ht="27" hidden="1" customHeight="1" x14ac:dyDescent="0.25">
      <c r="A387" s="63" t="s">
        <v>642</v>
      </c>
      <c r="B387" s="63" t="s">
        <v>643</v>
      </c>
      <c r="C387" s="36">
        <v>4301051100</v>
      </c>
      <c r="D387" s="649">
        <v>4607091387766</v>
      </c>
      <c r="E387" s="649"/>
      <c r="F387" s="62">
        <v>1.3</v>
      </c>
      <c r="G387" s="37">
        <v>6</v>
      </c>
      <c r="H387" s="62">
        <v>7.8</v>
      </c>
      <c r="I387" s="62">
        <v>8.2880000000000003</v>
      </c>
      <c r="J387" s="37">
        <v>64</v>
      </c>
      <c r="K387" s="37" t="s">
        <v>129</v>
      </c>
      <c r="L387" s="37" t="s">
        <v>46</v>
      </c>
      <c r="M387" s="38" t="s">
        <v>81</v>
      </c>
      <c r="N387" s="38"/>
      <c r="O387" s="37">
        <v>40</v>
      </c>
      <c r="P387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51"/>
      <c r="R387" s="651"/>
      <c r="S387" s="651"/>
      <c r="T387" s="65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4301051818</v>
      </c>
      <c r="D388" s="649">
        <v>4607091387957</v>
      </c>
      <c r="E388" s="649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129</v>
      </c>
      <c r="L388" s="37" t="s">
        <v>46</v>
      </c>
      <c r="M388" s="38" t="s">
        <v>81</v>
      </c>
      <c r="N388" s="38"/>
      <c r="O388" s="37">
        <v>40</v>
      </c>
      <c r="P388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2" t="s">
        <v>647</v>
      </c>
      <c r="AG388" s="78"/>
      <c r="AJ388" s="84" t="s">
        <v>46</v>
      </c>
      <c r="AK388" s="84">
        <v>0</v>
      </c>
      <c r="BB388" s="483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648</v>
      </c>
      <c r="B389" s="63" t="s">
        <v>649</v>
      </c>
      <c r="C389" s="36">
        <v>4301051819</v>
      </c>
      <c r="D389" s="649">
        <v>4607091387964</v>
      </c>
      <c r="E389" s="649"/>
      <c r="F389" s="62">
        <v>1.35</v>
      </c>
      <c r="G389" s="37">
        <v>6</v>
      </c>
      <c r="H389" s="62">
        <v>8.1</v>
      </c>
      <c r="I389" s="62">
        <v>8.5760000000000005</v>
      </c>
      <c r="J389" s="37">
        <v>64</v>
      </c>
      <c r="K389" s="37" t="s">
        <v>129</v>
      </c>
      <c r="L389" s="37" t="s">
        <v>46</v>
      </c>
      <c r="M389" s="38" t="s">
        <v>81</v>
      </c>
      <c r="N389" s="38"/>
      <c r="O389" s="37">
        <v>40</v>
      </c>
      <c r="P389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4" t="s">
        <v>650</v>
      </c>
      <c r="AG389" s="78"/>
      <c r="AJ389" s="84" t="s">
        <v>46</v>
      </c>
      <c r="AK389" s="84">
        <v>0</v>
      </c>
      <c r="BB389" s="485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651</v>
      </c>
      <c r="B390" s="63" t="s">
        <v>652</v>
      </c>
      <c r="C390" s="36">
        <v>4301051734</v>
      </c>
      <c r="D390" s="649">
        <v>4680115884588</v>
      </c>
      <c r="E390" s="649"/>
      <c r="F390" s="62">
        <v>0.5</v>
      </c>
      <c r="G390" s="37">
        <v>6</v>
      </c>
      <c r="H390" s="62">
        <v>3</v>
      </c>
      <c r="I390" s="62">
        <v>3.246</v>
      </c>
      <c r="J390" s="37">
        <v>182</v>
      </c>
      <c r="K390" s="37" t="s">
        <v>82</v>
      </c>
      <c r="L390" s="37" t="s">
        <v>46</v>
      </c>
      <c r="M390" s="38" t="s">
        <v>81</v>
      </c>
      <c r="N390" s="38"/>
      <c r="O390" s="37">
        <v>40</v>
      </c>
      <c r="P390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IFERROR(IF(Y390=0,"",ROUNDUP(Y390/H390,0)*0.00651),"")</f>
        <v/>
      </c>
      <c r="AA390" s="68" t="s">
        <v>46</v>
      </c>
      <c r="AB390" s="69" t="s">
        <v>46</v>
      </c>
      <c r="AC390" s="486" t="s">
        <v>644</v>
      </c>
      <c r="AG390" s="78"/>
      <c r="AJ390" s="84" t="s">
        <v>46</v>
      </c>
      <c r="AK390" s="84">
        <v>0</v>
      </c>
      <c r="BB390" s="487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656"/>
      <c r="B391" s="656"/>
      <c r="C391" s="656"/>
      <c r="D391" s="656"/>
      <c r="E391" s="656"/>
      <c r="F391" s="656"/>
      <c r="G391" s="656"/>
      <c r="H391" s="656"/>
      <c r="I391" s="656"/>
      <c r="J391" s="656"/>
      <c r="K391" s="656"/>
      <c r="L391" s="656"/>
      <c r="M391" s="656"/>
      <c r="N391" s="656"/>
      <c r="O391" s="657"/>
      <c r="P391" s="653" t="s">
        <v>40</v>
      </c>
      <c r="Q391" s="654"/>
      <c r="R391" s="654"/>
      <c r="S391" s="654"/>
      <c r="T391" s="654"/>
      <c r="U391" s="654"/>
      <c r="V391" s="655"/>
      <c r="W391" s="42" t="s">
        <v>39</v>
      </c>
      <c r="X391" s="43">
        <f>IFERROR(X387/H387,"0")+IFERROR(X388/H388,"0")+IFERROR(X389/H389,"0")+IFERROR(X390/H390,"0")</f>
        <v>0</v>
      </c>
      <c r="Y391" s="43">
        <f>IFERROR(Y387/H387,"0")+IFERROR(Y388/H388,"0")+IFERROR(Y389/H389,"0")+IFERROR(Y390/H390,"0")</f>
        <v>0</v>
      </c>
      <c r="Z391" s="43">
        <f>IFERROR(IF(Z387="",0,Z387),"0")+IFERROR(IF(Z388="",0,Z388),"0")+IFERROR(IF(Z389="",0,Z389),"0")+IFERROR(IF(Z390="",0,Z390),"0")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656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53" t="s">
        <v>40</v>
      </c>
      <c r="Q392" s="654"/>
      <c r="R392" s="654"/>
      <c r="S392" s="654"/>
      <c r="T392" s="654"/>
      <c r="U392" s="654"/>
      <c r="V392" s="655"/>
      <c r="W392" s="42" t="s">
        <v>0</v>
      </c>
      <c r="X392" s="43">
        <f>IFERROR(SUM(X387:X390),"0")</f>
        <v>0</v>
      </c>
      <c r="Y392" s="43">
        <f>IFERROR(SUM(Y387:Y390),"0")</f>
        <v>0</v>
      </c>
      <c r="Z392" s="42"/>
      <c r="AA392" s="67"/>
      <c r="AB392" s="67"/>
      <c r="AC392" s="67"/>
    </row>
    <row r="393" spans="1:68" ht="14.25" hidden="1" customHeight="1" x14ac:dyDescent="0.25">
      <c r="A393" s="648" t="s">
        <v>179</v>
      </c>
      <c r="B393" s="648"/>
      <c r="C393" s="648"/>
      <c r="D393" s="648"/>
      <c r="E393" s="648"/>
      <c r="F393" s="648"/>
      <c r="G393" s="648"/>
      <c r="H393" s="648"/>
      <c r="I393" s="648"/>
      <c r="J393" s="648"/>
      <c r="K393" s="648"/>
      <c r="L393" s="648"/>
      <c r="M393" s="648"/>
      <c r="N393" s="648"/>
      <c r="O393" s="648"/>
      <c r="P393" s="648"/>
      <c r="Q393" s="648"/>
      <c r="R393" s="648"/>
      <c r="S393" s="648"/>
      <c r="T393" s="648"/>
      <c r="U393" s="648"/>
      <c r="V393" s="648"/>
      <c r="W393" s="648"/>
      <c r="X393" s="648"/>
      <c r="Y393" s="648"/>
      <c r="Z393" s="648"/>
      <c r="AA393" s="66"/>
      <c r="AB393" s="66"/>
      <c r="AC393" s="80"/>
    </row>
    <row r="394" spans="1:68" ht="27" customHeight="1" x14ac:dyDescent="0.25">
      <c r="A394" s="63" t="s">
        <v>653</v>
      </c>
      <c r="B394" s="63" t="s">
        <v>654</v>
      </c>
      <c r="C394" s="36">
        <v>4301060387</v>
      </c>
      <c r="D394" s="649">
        <v>4607091380880</v>
      </c>
      <c r="E394" s="649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129</v>
      </c>
      <c r="L394" s="37" t="s">
        <v>46</v>
      </c>
      <c r="M394" s="38" t="s">
        <v>81</v>
      </c>
      <c r="N394" s="38"/>
      <c r="O394" s="37">
        <v>30</v>
      </c>
      <c r="P394" s="7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160</v>
      </c>
      <c r="Y394" s="55">
        <f>IFERROR(IF(X394="",0,CEILING((X394/$H394),1)*$H394),"")</f>
        <v>168</v>
      </c>
      <c r="Z394" s="41">
        <f>IFERROR(IF(Y394=0,"",ROUNDUP(Y394/H394,0)*0.01898),"")</f>
        <v>0.37959999999999999</v>
      </c>
      <c r="AA394" s="68" t="s">
        <v>46</v>
      </c>
      <c r="AB394" s="69" t="s">
        <v>46</v>
      </c>
      <c r="AC394" s="488" t="s">
        <v>655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169.40952380952379</v>
      </c>
      <c r="BN394" s="78">
        <f>IFERROR(Y394*I394/H394,"0")</f>
        <v>177.88</v>
      </c>
      <c r="BO394" s="78">
        <f>IFERROR(1/J394*(X394/H394),"0")</f>
        <v>0.29761904761904762</v>
      </c>
      <c r="BP394" s="78">
        <f>IFERROR(1/J394*(Y394/H394),"0")</f>
        <v>0.3125</v>
      </c>
    </row>
    <row r="395" spans="1:68" ht="27" customHeight="1" x14ac:dyDescent="0.25">
      <c r="A395" s="63" t="s">
        <v>656</v>
      </c>
      <c r="B395" s="63" t="s">
        <v>657</v>
      </c>
      <c r="C395" s="36">
        <v>4301060406</v>
      </c>
      <c r="D395" s="649">
        <v>4607091384482</v>
      </c>
      <c r="E395" s="649"/>
      <c r="F395" s="62">
        <v>1.3</v>
      </c>
      <c r="G395" s="37">
        <v>6</v>
      </c>
      <c r="H395" s="62">
        <v>7.8</v>
      </c>
      <c r="I395" s="62">
        <v>8.2940000000000005</v>
      </c>
      <c r="J395" s="37">
        <v>64</v>
      </c>
      <c r="K395" s="37" t="s">
        <v>129</v>
      </c>
      <c r="L395" s="37" t="s">
        <v>46</v>
      </c>
      <c r="M395" s="38" t="s">
        <v>81</v>
      </c>
      <c r="N395" s="38"/>
      <c r="O395" s="37">
        <v>30</v>
      </c>
      <c r="P395" s="7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300</v>
      </c>
      <c r="Y395" s="55">
        <f>IFERROR(IF(X395="",0,CEILING((X395/$H395),1)*$H395),"")</f>
        <v>304.2</v>
      </c>
      <c r="Z395" s="41">
        <f>IFERROR(IF(Y395=0,"",ROUNDUP(Y395/H395,0)*0.01898),"")</f>
        <v>0.74021999999999999</v>
      </c>
      <c r="AA395" s="68" t="s">
        <v>46</v>
      </c>
      <c r="AB395" s="69" t="s">
        <v>46</v>
      </c>
      <c r="AC395" s="490" t="s">
        <v>658</v>
      </c>
      <c r="AG395" s="78"/>
      <c r="AJ395" s="84" t="s">
        <v>46</v>
      </c>
      <c r="AK395" s="84">
        <v>0</v>
      </c>
      <c r="BB395" s="491" t="s">
        <v>67</v>
      </c>
      <c r="BM395" s="78">
        <f>IFERROR(X395*I395/H395,"0")</f>
        <v>319.00000000000006</v>
      </c>
      <c r="BN395" s="78">
        <f>IFERROR(Y395*I395/H395,"0")</f>
        <v>323.46600000000001</v>
      </c>
      <c r="BO395" s="78">
        <f>IFERROR(1/J395*(X395/H395),"0")</f>
        <v>0.60096153846153844</v>
      </c>
      <c r="BP395" s="78">
        <f>IFERROR(1/J395*(Y395/H395),"0")</f>
        <v>0.609375</v>
      </c>
    </row>
    <row r="396" spans="1:68" ht="27" customHeight="1" x14ac:dyDescent="0.25">
      <c r="A396" s="63" t="s">
        <v>659</v>
      </c>
      <c r="B396" s="63" t="s">
        <v>660</v>
      </c>
      <c r="C396" s="36">
        <v>4301060484</v>
      </c>
      <c r="D396" s="649">
        <v>4607091380897</v>
      </c>
      <c r="E396" s="649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129</v>
      </c>
      <c r="L396" s="37" t="s">
        <v>46</v>
      </c>
      <c r="M396" s="38" t="s">
        <v>88</v>
      </c>
      <c r="N396" s="38"/>
      <c r="O396" s="37">
        <v>30</v>
      </c>
      <c r="P396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150</v>
      </c>
      <c r="Y396" s="55">
        <f>IFERROR(IF(X396="",0,CEILING((X396/$H396),1)*$H396),"")</f>
        <v>151.20000000000002</v>
      </c>
      <c r="Z396" s="41">
        <f>IFERROR(IF(Y396=0,"",ROUNDUP(Y396/H396,0)*0.01898),"")</f>
        <v>0.34164</v>
      </c>
      <c r="AA396" s="68" t="s">
        <v>46</v>
      </c>
      <c r="AB396" s="69" t="s">
        <v>46</v>
      </c>
      <c r="AC396" s="492" t="s">
        <v>661</v>
      </c>
      <c r="AG396" s="78"/>
      <c r="AJ396" s="84" t="s">
        <v>46</v>
      </c>
      <c r="AK396" s="84">
        <v>0</v>
      </c>
      <c r="BB396" s="493" t="s">
        <v>67</v>
      </c>
      <c r="BM396" s="78">
        <f>IFERROR(X396*I396/H396,"0")</f>
        <v>158.82142857142856</v>
      </c>
      <c r="BN396" s="78">
        <f>IFERROR(Y396*I396/H396,"0")</f>
        <v>160.09200000000001</v>
      </c>
      <c r="BO396" s="78">
        <f>IFERROR(1/J396*(X396/H396),"0")</f>
        <v>0.27901785714285715</v>
      </c>
      <c r="BP396" s="78">
        <f>IFERROR(1/J396*(Y396/H396),"0")</f>
        <v>0.28125</v>
      </c>
    </row>
    <row r="397" spans="1:68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2" t="s">
        <v>39</v>
      </c>
      <c r="X397" s="43">
        <f>IFERROR(X394/H394,"0")+IFERROR(X395/H395,"0")+IFERROR(X396/H396,"0")</f>
        <v>75.366300366300365</v>
      </c>
      <c r="Y397" s="43">
        <f>IFERROR(Y394/H394,"0")+IFERROR(Y395/H395,"0")+IFERROR(Y396/H396,"0")</f>
        <v>77</v>
      </c>
      <c r="Z397" s="43">
        <f>IFERROR(IF(Z394="",0,Z394),"0")+IFERROR(IF(Z395="",0,Z395),"0")+IFERROR(IF(Z396="",0,Z396),"0")</f>
        <v>1.46146</v>
      </c>
      <c r="AA397" s="67"/>
      <c r="AB397" s="67"/>
      <c r="AC397" s="67"/>
    </row>
    <row r="398" spans="1:68" x14ac:dyDescent="0.2">
      <c r="A398" s="656"/>
      <c r="B398" s="656"/>
      <c r="C398" s="656"/>
      <c r="D398" s="656"/>
      <c r="E398" s="656"/>
      <c r="F398" s="656"/>
      <c r="G398" s="656"/>
      <c r="H398" s="656"/>
      <c r="I398" s="656"/>
      <c r="J398" s="656"/>
      <c r="K398" s="656"/>
      <c r="L398" s="656"/>
      <c r="M398" s="656"/>
      <c r="N398" s="656"/>
      <c r="O398" s="657"/>
      <c r="P398" s="653" t="s">
        <v>40</v>
      </c>
      <c r="Q398" s="654"/>
      <c r="R398" s="654"/>
      <c r="S398" s="654"/>
      <c r="T398" s="654"/>
      <c r="U398" s="654"/>
      <c r="V398" s="655"/>
      <c r="W398" s="42" t="s">
        <v>0</v>
      </c>
      <c r="X398" s="43">
        <f>IFERROR(SUM(X394:X396),"0")</f>
        <v>610</v>
      </c>
      <c r="Y398" s="43">
        <f>IFERROR(SUM(Y394:Y396),"0")</f>
        <v>623.4</v>
      </c>
      <c r="Z398" s="42"/>
      <c r="AA398" s="67"/>
      <c r="AB398" s="67"/>
      <c r="AC398" s="67"/>
    </row>
    <row r="399" spans="1:68" ht="14.25" hidden="1" customHeight="1" x14ac:dyDescent="0.25">
      <c r="A399" s="648" t="s">
        <v>95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6"/>
      <c r="AB399" s="66"/>
      <c r="AC399" s="80"/>
    </row>
    <row r="400" spans="1:68" ht="27" hidden="1" customHeight="1" x14ac:dyDescent="0.25">
      <c r="A400" s="63" t="s">
        <v>662</v>
      </c>
      <c r="B400" s="63" t="s">
        <v>663</v>
      </c>
      <c r="C400" s="36">
        <v>4301030235</v>
      </c>
      <c r="D400" s="649">
        <v>4607091388381</v>
      </c>
      <c r="E400" s="649"/>
      <c r="F400" s="62">
        <v>0.38</v>
      </c>
      <c r="G400" s="37">
        <v>8</v>
      </c>
      <c r="H400" s="62">
        <v>3.04</v>
      </c>
      <c r="I400" s="62">
        <v>3.31</v>
      </c>
      <c r="J400" s="37">
        <v>132</v>
      </c>
      <c r="K400" s="37" t="s">
        <v>137</v>
      </c>
      <c r="L400" s="37" t="s">
        <v>46</v>
      </c>
      <c r="M400" s="38" t="s">
        <v>254</v>
      </c>
      <c r="N400" s="38"/>
      <c r="O400" s="37">
        <v>180</v>
      </c>
      <c r="P400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51"/>
      <c r="R400" s="651"/>
      <c r="S400" s="651"/>
      <c r="T400" s="65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4301030232</v>
      </c>
      <c r="D401" s="649">
        <v>4607091388374</v>
      </c>
      <c r="E401" s="649"/>
      <c r="F401" s="62">
        <v>0.38</v>
      </c>
      <c r="G401" s="37">
        <v>8</v>
      </c>
      <c r="H401" s="62">
        <v>3.04</v>
      </c>
      <c r="I401" s="62">
        <v>3.27</v>
      </c>
      <c r="J401" s="37">
        <v>132</v>
      </c>
      <c r="K401" s="37" t="s">
        <v>137</v>
      </c>
      <c r="L401" s="37" t="s">
        <v>46</v>
      </c>
      <c r="M401" s="38" t="s">
        <v>254</v>
      </c>
      <c r="N401" s="38"/>
      <c r="O401" s="37">
        <v>180</v>
      </c>
      <c r="P401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496" t="s">
        <v>664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4301032015</v>
      </c>
      <c r="D402" s="649">
        <v>4607091383102</v>
      </c>
      <c r="E402" s="649"/>
      <c r="F402" s="62">
        <v>0.17</v>
      </c>
      <c r="G402" s="37">
        <v>15</v>
      </c>
      <c r="H402" s="62">
        <v>2.5499999999999998</v>
      </c>
      <c r="I402" s="62">
        <v>2.9550000000000001</v>
      </c>
      <c r="J402" s="37">
        <v>182</v>
      </c>
      <c r="K402" s="37" t="s">
        <v>82</v>
      </c>
      <c r="L402" s="37" t="s">
        <v>46</v>
      </c>
      <c r="M402" s="38" t="s">
        <v>254</v>
      </c>
      <c r="N402" s="38"/>
      <c r="O402" s="37">
        <v>180</v>
      </c>
      <c r="P402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98" t="s">
        <v>664</v>
      </c>
      <c r="AG402" s="78"/>
      <c r="AJ402" s="84" t="s">
        <v>46</v>
      </c>
      <c r="AK402" s="84">
        <v>0</v>
      </c>
      <c r="BB402" s="49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669</v>
      </c>
      <c r="B403" s="63" t="s">
        <v>670</v>
      </c>
      <c r="C403" s="36">
        <v>4301030233</v>
      </c>
      <c r="D403" s="649">
        <v>4607091388404</v>
      </c>
      <c r="E403" s="649"/>
      <c r="F403" s="62">
        <v>0.17</v>
      </c>
      <c r="G403" s="37">
        <v>15</v>
      </c>
      <c r="H403" s="62">
        <v>2.5499999999999998</v>
      </c>
      <c r="I403" s="62">
        <v>2.88</v>
      </c>
      <c r="J403" s="37">
        <v>182</v>
      </c>
      <c r="K403" s="37" t="s">
        <v>82</v>
      </c>
      <c r="L403" s="37" t="s">
        <v>46</v>
      </c>
      <c r="M403" s="38" t="s">
        <v>254</v>
      </c>
      <c r="N403" s="38"/>
      <c r="O403" s="37">
        <v>180</v>
      </c>
      <c r="P403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00" t="s">
        <v>664</v>
      </c>
      <c r="AG403" s="78"/>
      <c r="AJ403" s="84" t="s">
        <v>46</v>
      </c>
      <c r="AK403" s="84">
        <v>0</v>
      </c>
      <c r="BB403" s="501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idden="1" x14ac:dyDescent="0.2">
      <c r="A404" s="656"/>
      <c r="B404" s="656"/>
      <c r="C404" s="656"/>
      <c r="D404" s="656"/>
      <c r="E404" s="656"/>
      <c r="F404" s="656"/>
      <c r="G404" s="656"/>
      <c r="H404" s="656"/>
      <c r="I404" s="656"/>
      <c r="J404" s="656"/>
      <c r="K404" s="656"/>
      <c r="L404" s="656"/>
      <c r="M404" s="656"/>
      <c r="N404" s="656"/>
      <c r="O404" s="657"/>
      <c r="P404" s="653" t="s">
        <v>40</v>
      </c>
      <c r="Q404" s="654"/>
      <c r="R404" s="654"/>
      <c r="S404" s="654"/>
      <c r="T404" s="654"/>
      <c r="U404" s="654"/>
      <c r="V404" s="655"/>
      <c r="W404" s="42" t="s">
        <v>39</v>
      </c>
      <c r="X404" s="43">
        <f>IFERROR(X400/H400,"0")+IFERROR(X401/H401,"0")+IFERROR(X402/H402,"0")+IFERROR(X403/H403,"0")</f>
        <v>0</v>
      </c>
      <c r="Y404" s="43">
        <f>IFERROR(Y400/H400,"0")+IFERROR(Y401/H401,"0")+IFERROR(Y402/H402,"0")+IFERROR(Y403/H403,"0")</f>
        <v>0</v>
      </c>
      <c r="Z404" s="43">
        <f>IFERROR(IF(Z400="",0,Z400),"0")+IFERROR(IF(Z401="",0,Z401),"0")+IFERROR(IF(Z402="",0,Z402),"0")+IFERROR(IF(Z403="",0,Z403),"0")</f>
        <v>0</v>
      </c>
      <c r="AA404" s="67"/>
      <c r="AB404" s="67"/>
      <c r="AC404" s="67"/>
    </row>
    <row r="405" spans="1:68" hidden="1" x14ac:dyDescent="0.2">
      <c r="A405" s="656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53" t="s">
        <v>40</v>
      </c>
      <c r="Q405" s="654"/>
      <c r="R405" s="654"/>
      <c r="S405" s="654"/>
      <c r="T405" s="654"/>
      <c r="U405" s="654"/>
      <c r="V405" s="655"/>
      <c r="W405" s="42" t="s">
        <v>0</v>
      </c>
      <c r="X405" s="43">
        <f>IFERROR(SUM(X400:X403),"0")</f>
        <v>0</v>
      </c>
      <c r="Y405" s="43">
        <f>IFERROR(SUM(Y400:Y403),"0")</f>
        <v>0</v>
      </c>
      <c r="Z405" s="42"/>
      <c r="AA405" s="67"/>
      <c r="AB405" s="67"/>
      <c r="AC405" s="67"/>
    </row>
    <row r="406" spans="1:68" ht="14.25" hidden="1" customHeight="1" x14ac:dyDescent="0.25">
      <c r="A406" s="648" t="s">
        <v>671</v>
      </c>
      <c r="B406" s="648"/>
      <c r="C406" s="648"/>
      <c r="D406" s="648"/>
      <c r="E406" s="648"/>
      <c r="F406" s="648"/>
      <c r="G406" s="648"/>
      <c r="H406" s="648"/>
      <c r="I406" s="648"/>
      <c r="J406" s="648"/>
      <c r="K406" s="648"/>
      <c r="L406" s="648"/>
      <c r="M406" s="648"/>
      <c r="N406" s="648"/>
      <c r="O406" s="648"/>
      <c r="P406" s="648"/>
      <c r="Q406" s="648"/>
      <c r="R406" s="648"/>
      <c r="S406" s="648"/>
      <c r="T406" s="648"/>
      <c r="U406" s="648"/>
      <c r="V406" s="648"/>
      <c r="W406" s="648"/>
      <c r="X406" s="648"/>
      <c r="Y406" s="648"/>
      <c r="Z406" s="648"/>
      <c r="AA406" s="66"/>
      <c r="AB406" s="66"/>
      <c r="AC406" s="80"/>
    </row>
    <row r="407" spans="1:68" ht="16.5" hidden="1" customHeight="1" x14ac:dyDescent="0.25">
      <c r="A407" s="63" t="s">
        <v>672</v>
      </c>
      <c r="B407" s="63" t="s">
        <v>673</v>
      </c>
      <c r="C407" s="36">
        <v>4301180007</v>
      </c>
      <c r="D407" s="649">
        <v>4680115881808</v>
      </c>
      <c r="E407" s="649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82</v>
      </c>
      <c r="L407" s="37" t="s">
        <v>46</v>
      </c>
      <c r="M407" s="38" t="s">
        <v>675</v>
      </c>
      <c r="N407" s="38"/>
      <c r="O407" s="37">
        <v>731</v>
      </c>
      <c r="P407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02" t="s">
        <v>674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4301180006</v>
      </c>
      <c r="D408" s="649">
        <v>4680115881822</v>
      </c>
      <c r="E408" s="649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82</v>
      </c>
      <c r="L408" s="37" t="s">
        <v>46</v>
      </c>
      <c r="M408" s="38" t="s">
        <v>675</v>
      </c>
      <c r="N408" s="38"/>
      <c r="O408" s="37">
        <v>731</v>
      </c>
      <c r="P408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04" t="s">
        <v>674</v>
      </c>
      <c r="AG408" s="78"/>
      <c r="AJ408" s="84" t="s">
        <v>46</v>
      </c>
      <c r="AK408" s="84">
        <v>0</v>
      </c>
      <c r="BB408" s="505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678</v>
      </c>
      <c r="B409" s="63" t="s">
        <v>679</v>
      </c>
      <c r="C409" s="36">
        <v>4301180001</v>
      </c>
      <c r="D409" s="649">
        <v>4680115880016</v>
      </c>
      <c r="E409" s="649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82</v>
      </c>
      <c r="L409" s="37" t="s">
        <v>46</v>
      </c>
      <c r="M409" s="38" t="s">
        <v>675</v>
      </c>
      <c r="N409" s="38"/>
      <c r="O409" s="37">
        <v>731</v>
      </c>
      <c r="P409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6" t="s">
        <v>674</v>
      </c>
      <c r="AG409" s="78"/>
      <c r="AJ409" s="84" t="s">
        <v>46</v>
      </c>
      <c r="AK409" s="84">
        <v>0</v>
      </c>
      <c r="BB409" s="507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idden="1" x14ac:dyDescent="0.2">
      <c r="A410" s="656"/>
      <c r="B410" s="656"/>
      <c r="C410" s="656"/>
      <c r="D410" s="656"/>
      <c r="E410" s="656"/>
      <c r="F410" s="656"/>
      <c r="G410" s="656"/>
      <c r="H410" s="656"/>
      <c r="I410" s="656"/>
      <c r="J410" s="656"/>
      <c r="K410" s="656"/>
      <c r="L410" s="656"/>
      <c r="M410" s="656"/>
      <c r="N410" s="656"/>
      <c r="O410" s="657"/>
      <c r="P410" s="653" t="s">
        <v>40</v>
      </c>
      <c r="Q410" s="654"/>
      <c r="R410" s="654"/>
      <c r="S410" s="654"/>
      <c r="T410" s="654"/>
      <c r="U410" s="654"/>
      <c r="V410" s="655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hidden="1" x14ac:dyDescent="0.2">
      <c r="A411" s="656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53" t="s">
        <v>40</v>
      </c>
      <c r="Q411" s="654"/>
      <c r="R411" s="654"/>
      <c r="S411" s="654"/>
      <c r="T411" s="654"/>
      <c r="U411" s="654"/>
      <c r="V411" s="655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4.25" hidden="1" customHeight="1" x14ac:dyDescent="0.25">
      <c r="A412" s="648" t="s">
        <v>680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6"/>
      <c r="AB412" s="66"/>
      <c r="AC412" s="80"/>
    </row>
    <row r="413" spans="1:68" ht="27" hidden="1" customHeight="1" x14ac:dyDescent="0.25">
      <c r="A413" s="63" t="s">
        <v>681</v>
      </c>
      <c r="B413" s="63" t="s">
        <v>682</v>
      </c>
      <c r="C413" s="36">
        <v>4301220003</v>
      </c>
      <c r="D413" s="649">
        <v>4680115888678</v>
      </c>
      <c r="E413" s="649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82</v>
      </c>
      <c r="L413" s="37" t="s">
        <v>46</v>
      </c>
      <c r="M413" s="38" t="s">
        <v>675</v>
      </c>
      <c r="N413" s="38"/>
      <c r="O413" s="37">
        <v>1096</v>
      </c>
      <c r="P413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51"/>
      <c r="R413" s="651"/>
      <c r="S413" s="651"/>
      <c r="T413" s="65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08" t="s">
        <v>683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684</v>
      </c>
      <c r="B414" s="63" t="s">
        <v>685</v>
      </c>
      <c r="C414" s="36">
        <v>4301220001</v>
      </c>
      <c r="D414" s="649">
        <v>4680115888654</v>
      </c>
      <c r="E414" s="649"/>
      <c r="F414" s="62">
        <v>0.32500000000000001</v>
      </c>
      <c r="G414" s="37">
        <v>12</v>
      </c>
      <c r="H414" s="62">
        <v>3.9</v>
      </c>
      <c r="I414" s="62">
        <v>4.17</v>
      </c>
      <c r="J414" s="37">
        <v>144</v>
      </c>
      <c r="K414" s="37" t="s">
        <v>137</v>
      </c>
      <c r="L414" s="37" t="s">
        <v>46</v>
      </c>
      <c r="M414" s="38" t="s">
        <v>675</v>
      </c>
      <c r="N414" s="38"/>
      <c r="O414" s="37">
        <v>1096</v>
      </c>
      <c r="P414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687</v>
      </c>
      <c r="B415" s="63" t="s">
        <v>688</v>
      </c>
      <c r="C415" s="36">
        <v>4301220002</v>
      </c>
      <c r="D415" s="649">
        <v>4680115888753</v>
      </c>
      <c r="E415" s="649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82</v>
      </c>
      <c r="L415" s="37" t="s">
        <v>46</v>
      </c>
      <c r="M415" s="38" t="s">
        <v>675</v>
      </c>
      <c r="N415" s="38"/>
      <c r="O415" s="37">
        <v>1096</v>
      </c>
      <c r="P415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12" t="s">
        <v>683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idden="1" x14ac:dyDescent="0.2">
      <c r="A416" s="656"/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7"/>
      <c r="P416" s="653" t="s">
        <v>40</v>
      </c>
      <c r="Q416" s="654"/>
      <c r="R416" s="654"/>
      <c r="S416" s="654"/>
      <c r="T416" s="654"/>
      <c r="U416" s="654"/>
      <c r="V416" s="655"/>
      <c r="W416" s="42" t="s">
        <v>39</v>
      </c>
      <c r="X416" s="43">
        <f>IFERROR(X413/H413,"0")+IFERROR(X414/H414,"0")+IFERROR(X415/H415,"0")</f>
        <v>0</v>
      </c>
      <c r="Y416" s="43">
        <f>IFERROR(Y413/H413,"0")+IFERROR(Y414/H414,"0")+IFERROR(Y415/H415,"0")</f>
        <v>0</v>
      </c>
      <c r="Z416" s="43">
        <f>IFERROR(IF(Z413="",0,Z413),"0")+IFERROR(IF(Z414="",0,Z414),"0")+IFERROR(IF(Z415="",0,Z415),"0")</f>
        <v>0</v>
      </c>
      <c r="AA416" s="67"/>
      <c r="AB416" s="67"/>
      <c r="AC416" s="67"/>
    </row>
    <row r="417" spans="1:68" hidden="1" x14ac:dyDescent="0.2">
      <c r="A417" s="656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53" t="s">
        <v>40</v>
      </c>
      <c r="Q417" s="654"/>
      <c r="R417" s="654"/>
      <c r="S417" s="654"/>
      <c r="T417" s="654"/>
      <c r="U417" s="654"/>
      <c r="V417" s="655"/>
      <c r="W417" s="42" t="s">
        <v>0</v>
      </c>
      <c r="X417" s="43">
        <f>IFERROR(SUM(X413:X415),"0")</f>
        <v>0</v>
      </c>
      <c r="Y417" s="43">
        <f>IFERROR(SUM(Y413:Y415),"0")</f>
        <v>0</v>
      </c>
      <c r="Z417" s="42"/>
      <c r="AA417" s="67"/>
      <c r="AB417" s="67"/>
      <c r="AC417" s="67"/>
    </row>
    <row r="418" spans="1:68" ht="16.5" hidden="1" customHeight="1" x14ac:dyDescent="0.25">
      <c r="A418" s="647" t="s">
        <v>689</v>
      </c>
      <c r="B418" s="647"/>
      <c r="C418" s="647"/>
      <c r="D418" s="647"/>
      <c r="E418" s="647"/>
      <c r="F418" s="647"/>
      <c r="G418" s="647"/>
      <c r="H418" s="647"/>
      <c r="I418" s="647"/>
      <c r="J418" s="647"/>
      <c r="K418" s="647"/>
      <c r="L418" s="647"/>
      <c r="M418" s="647"/>
      <c r="N418" s="647"/>
      <c r="O418" s="647"/>
      <c r="P418" s="647"/>
      <c r="Q418" s="647"/>
      <c r="R418" s="647"/>
      <c r="S418" s="647"/>
      <c r="T418" s="647"/>
      <c r="U418" s="647"/>
      <c r="V418" s="647"/>
      <c r="W418" s="647"/>
      <c r="X418" s="647"/>
      <c r="Y418" s="647"/>
      <c r="Z418" s="647"/>
      <c r="AA418" s="65"/>
      <c r="AB418" s="65"/>
      <c r="AC418" s="79"/>
    </row>
    <row r="419" spans="1:68" ht="14.25" hidden="1" customHeight="1" x14ac:dyDescent="0.25">
      <c r="A419" s="648" t="s">
        <v>77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66"/>
      <c r="AB419" s="66"/>
      <c r="AC419" s="80"/>
    </row>
    <row r="420" spans="1:68" ht="16.5" hidden="1" customHeight="1" x14ac:dyDescent="0.25">
      <c r="A420" s="63" t="s">
        <v>690</v>
      </c>
      <c r="B420" s="63" t="s">
        <v>691</v>
      </c>
      <c r="C420" s="36">
        <v>4301052283</v>
      </c>
      <c r="D420" s="649">
        <v>4660663720026</v>
      </c>
      <c r="E420" s="649"/>
      <c r="F420" s="62">
        <v>1.3</v>
      </c>
      <c r="G420" s="37">
        <v>6</v>
      </c>
      <c r="H420" s="62">
        <v>7.8</v>
      </c>
      <c r="I420" s="62">
        <v>8.2159999999999993</v>
      </c>
      <c r="J420" s="37">
        <v>64</v>
      </c>
      <c r="K420" s="37" t="s">
        <v>129</v>
      </c>
      <c r="L420" s="37" t="s">
        <v>46</v>
      </c>
      <c r="M420" s="38" t="s">
        <v>81</v>
      </c>
      <c r="N420" s="38"/>
      <c r="O420" s="37">
        <v>40</v>
      </c>
      <c r="P420" s="726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51"/>
      <c r="R420" s="651"/>
      <c r="S420" s="651"/>
      <c r="T420" s="65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4" t="s">
        <v>692</v>
      </c>
      <c r="AG420" s="78"/>
      <c r="AJ420" s="84" t="s">
        <v>46</v>
      </c>
      <c r="AK420" s="84">
        <v>0</v>
      </c>
      <c r="BB420" s="515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16.5" hidden="1" customHeight="1" x14ac:dyDescent="0.25">
      <c r="A421" s="63" t="s">
        <v>693</v>
      </c>
      <c r="B421" s="63" t="s">
        <v>694</v>
      </c>
      <c r="C421" s="36">
        <v>4301052236</v>
      </c>
      <c r="D421" s="649">
        <v>4680115889422</v>
      </c>
      <c r="E421" s="649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129</v>
      </c>
      <c r="L421" s="37" t="s">
        <v>46</v>
      </c>
      <c r="M421" s="38" t="s">
        <v>81</v>
      </c>
      <c r="N421" s="38"/>
      <c r="O421" s="37">
        <v>40</v>
      </c>
      <c r="P421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51"/>
      <c r="R421" s="651"/>
      <c r="S421" s="651"/>
      <c r="T421" s="652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6" t="s">
        <v>695</v>
      </c>
      <c r="AG421" s="78"/>
      <c r="AJ421" s="84" t="s">
        <v>46</v>
      </c>
      <c r="AK421" s="84">
        <v>0</v>
      </c>
      <c r="BB421" s="517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hidden="1" customHeight="1" x14ac:dyDescent="0.25">
      <c r="A422" s="63" t="s">
        <v>693</v>
      </c>
      <c r="B422" s="63" t="s">
        <v>696</v>
      </c>
      <c r="C422" s="36">
        <v>4301052284</v>
      </c>
      <c r="D422" s="649">
        <v>4680115889972</v>
      </c>
      <c r="E422" s="649"/>
      <c r="F422" s="62">
        <v>1.3</v>
      </c>
      <c r="G422" s="37">
        <v>6</v>
      </c>
      <c r="H422" s="62">
        <v>7.8</v>
      </c>
      <c r="I422" s="62">
        <v>8.2159999999999993</v>
      </c>
      <c r="J422" s="37">
        <v>64</v>
      </c>
      <c r="K422" s="37" t="s">
        <v>129</v>
      </c>
      <c r="L422" s="37" t="s">
        <v>46</v>
      </c>
      <c r="M422" s="38" t="s">
        <v>81</v>
      </c>
      <c r="N422" s="38"/>
      <c r="O422" s="37">
        <v>40</v>
      </c>
      <c r="P422" s="72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8" t="s">
        <v>697</v>
      </c>
      <c r="AG422" s="78"/>
      <c r="AJ422" s="84" t="s">
        <v>46</v>
      </c>
      <c r="AK422" s="84">
        <v>0</v>
      </c>
      <c r="BB422" s="519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698</v>
      </c>
      <c r="B423" s="63" t="s">
        <v>699</v>
      </c>
      <c r="C423" s="36">
        <v>4301052281</v>
      </c>
      <c r="D423" s="649">
        <v>4660663720163</v>
      </c>
      <c r="E423" s="649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129</v>
      </c>
      <c r="L423" s="37" t="s">
        <v>46</v>
      </c>
      <c r="M423" s="38" t="s">
        <v>88</v>
      </c>
      <c r="N423" s="38"/>
      <c r="O423" s="37">
        <v>20</v>
      </c>
      <c r="P423" s="729" t="s">
        <v>700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0" t="s">
        <v>701</v>
      </c>
      <c r="AG423" s="78"/>
      <c r="AJ423" s="84" t="s">
        <v>46</v>
      </c>
      <c r="AK423" s="84">
        <v>0</v>
      </c>
      <c r="BB423" s="521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56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53" t="s">
        <v>40</v>
      </c>
      <c r="Q424" s="654"/>
      <c r="R424" s="654"/>
      <c r="S424" s="654"/>
      <c r="T424" s="654"/>
      <c r="U424" s="654"/>
      <c r="V424" s="655"/>
      <c r="W424" s="42" t="s">
        <v>39</v>
      </c>
      <c r="X424" s="43">
        <f>IFERROR(X420/H420,"0")+IFERROR(X421/H421,"0")+IFERROR(X422/H422,"0")+IFERROR(X423/H423,"0")</f>
        <v>0</v>
      </c>
      <c r="Y424" s="43">
        <f>IFERROR(Y420/H420,"0")+IFERROR(Y421/H421,"0")+IFERROR(Y422/H422,"0")+IFERROR(Y423/H423,"0")</f>
        <v>0</v>
      </c>
      <c r="Z424" s="43">
        <f>IFERROR(IF(Z420="",0,Z420),"0")+IFERROR(IF(Z421="",0,Z421),"0")+IFERROR(IF(Z422="",0,Z422),"0")+IFERROR(IF(Z423="",0,Z423),"0")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53" t="s">
        <v>40</v>
      </c>
      <c r="Q425" s="654"/>
      <c r="R425" s="654"/>
      <c r="S425" s="654"/>
      <c r="T425" s="654"/>
      <c r="U425" s="654"/>
      <c r="V425" s="655"/>
      <c r="W425" s="42" t="s">
        <v>0</v>
      </c>
      <c r="X425" s="43">
        <f>IFERROR(SUM(X420:X423),"0")</f>
        <v>0</v>
      </c>
      <c r="Y425" s="43">
        <f>IFERROR(SUM(Y420:Y423),"0")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47" t="s">
        <v>702</v>
      </c>
      <c r="B426" s="647"/>
      <c r="C426" s="647"/>
      <c r="D426" s="647"/>
      <c r="E426" s="647"/>
      <c r="F426" s="647"/>
      <c r="G426" s="647"/>
      <c r="H426" s="647"/>
      <c r="I426" s="647"/>
      <c r="J426" s="647"/>
      <c r="K426" s="647"/>
      <c r="L426" s="647"/>
      <c r="M426" s="647"/>
      <c r="N426" s="647"/>
      <c r="O426" s="647"/>
      <c r="P426" s="647"/>
      <c r="Q426" s="647"/>
      <c r="R426" s="647"/>
      <c r="S426" s="647"/>
      <c r="T426" s="647"/>
      <c r="U426" s="647"/>
      <c r="V426" s="647"/>
      <c r="W426" s="647"/>
      <c r="X426" s="647"/>
      <c r="Y426" s="647"/>
      <c r="Z426" s="647"/>
      <c r="AA426" s="65"/>
      <c r="AB426" s="65"/>
      <c r="AC426" s="79"/>
    </row>
    <row r="427" spans="1:68" ht="14.25" hidden="1" customHeight="1" x14ac:dyDescent="0.25">
      <c r="A427" s="648" t="s">
        <v>77</v>
      </c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8"/>
      <c r="P427" s="648"/>
      <c r="Q427" s="648"/>
      <c r="R427" s="648"/>
      <c r="S427" s="648"/>
      <c r="T427" s="648"/>
      <c r="U427" s="648"/>
      <c r="V427" s="648"/>
      <c r="W427" s="648"/>
      <c r="X427" s="648"/>
      <c r="Y427" s="648"/>
      <c r="Z427" s="648"/>
      <c r="AA427" s="66"/>
      <c r="AB427" s="66"/>
      <c r="AC427" s="80"/>
    </row>
    <row r="428" spans="1:68" ht="27" hidden="1" customHeight="1" x14ac:dyDescent="0.25">
      <c r="A428" s="63" t="s">
        <v>703</v>
      </c>
      <c r="B428" s="63" t="s">
        <v>704</v>
      </c>
      <c r="C428" s="36">
        <v>4301051489</v>
      </c>
      <c r="D428" s="649">
        <v>4607091387919</v>
      </c>
      <c r="E428" s="649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129</v>
      </c>
      <c r="L428" s="37" t="s">
        <v>46</v>
      </c>
      <c r="M428" s="38" t="s">
        <v>88</v>
      </c>
      <c r="N428" s="38"/>
      <c r="O428" s="37">
        <v>45</v>
      </c>
      <c r="P428" s="7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22" t="s">
        <v>705</v>
      </c>
      <c r="AG428" s="78"/>
      <c r="AJ428" s="84" t="s">
        <v>46</v>
      </c>
      <c r="AK428" s="84">
        <v>0</v>
      </c>
      <c r="BB428" s="523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706</v>
      </c>
      <c r="B429" s="63" t="s">
        <v>707</v>
      </c>
      <c r="C429" s="36">
        <v>4301051461</v>
      </c>
      <c r="D429" s="649">
        <v>4680115883604</v>
      </c>
      <c r="E429" s="649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82</v>
      </c>
      <c r="L429" s="37" t="s">
        <v>46</v>
      </c>
      <c r="M429" s="38" t="s">
        <v>81</v>
      </c>
      <c r="N429" s="38"/>
      <c r="O429" s="37">
        <v>45</v>
      </c>
      <c r="P429" s="7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42</v>
      </c>
      <c r="Y429" s="55">
        <f>IFERROR(IF(X429="",0,CEILING((X429/$H429),1)*$H429),"")</f>
        <v>42</v>
      </c>
      <c r="Z429" s="41">
        <f>IFERROR(IF(Y429=0,"",ROUNDUP(Y429/H429,0)*0.00651),"")</f>
        <v>0.13020000000000001</v>
      </c>
      <c r="AA429" s="68" t="s">
        <v>46</v>
      </c>
      <c r="AB429" s="69" t="s">
        <v>46</v>
      </c>
      <c r="AC429" s="524" t="s">
        <v>708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47.039999999999992</v>
      </c>
      <c r="BN429" s="78">
        <f>IFERROR(Y429*I429/H429,"0")</f>
        <v>47.039999999999992</v>
      </c>
      <c r="BO429" s="78">
        <f>IFERROR(1/J429*(X429/H429),"0")</f>
        <v>0.1098901098901099</v>
      </c>
      <c r="BP429" s="78">
        <f>IFERROR(1/J429*(Y429/H429),"0")</f>
        <v>0.1098901098901099</v>
      </c>
    </row>
    <row r="430" spans="1:68" ht="27" hidden="1" customHeight="1" x14ac:dyDescent="0.25">
      <c r="A430" s="63" t="s">
        <v>709</v>
      </c>
      <c r="B430" s="63" t="s">
        <v>710</v>
      </c>
      <c r="C430" s="36">
        <v>4301051864</v>
      </c>
      <c r="D430" s="649">
        <v>4680115883567</v>
      </c>
      <c r="E430" s="649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82</v>
      </c>
      <c r="L430" s="37" t="s">
        <v>46</v>
      </c>
      <c r="M430" s="38" t="s">
        <v>88</v>
      </c>
      <c r="N430" s="38"/>
      <c r="O430" s="37">
        <v>40</v>
      </c>
      <c r="P430" s="72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51"/>
      <c r="R430" s="651"/>
      <c r="S430" s="651"/>
      <c r="T430" s="652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26" t="s">
        <v>711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656"/>
      <c r="B431" s="656"/>
      <c r="C431" s="656"/>
      <c r="D431" s="656"/>
      <c r="E431" s="656"/>
      <c r="F431" s="656"/>
      <c r="G431" s="656"/>
      <c r="H431" s="656"/>
      <c r="I431" s="656"/>
      <c r="J431" s="656"/>
      <c r="K431" s="656"/>
      <c r="L431" s="656"/>
      <c r="M431" s="656"/>
      <c r="N431" s="656"/>
      <c r="O431" s="657"/>
      <c r="P431" s="653" t="s">
        <v>40</v>
      </c>
      <c r="Q431" s="654"/>
      <c r="R431" s="654"/>
      <c r="S431" s="654"/>
      <c r="T431" s="654"/>
      <c r="U431" s="654"/>
      <c r="V431" s="655"/>
      <c r="W431" s="42" t="s">
        <v>39</v>
      </c>
      <c r="X431" s="43">
        <f>IFERROR(X428/H428,"0")+IFERROR(X429/H429,"0")+IFERROR(X430/H430,"0")</f>
        <v>20</v>
      </c>
      <c r="Y431" s="43">
        <f>IFERROR(Y428/H428,"0")+IFERROR(Y429/H429,"0")+IFERROR(Y430/H430,"0")</f>
        <v>20</v>
      </c>
      <c r="Z431" s="43">
        <f>IFERROR(IF(Z428="",0,Z428),"0")+IFERROR(IF(Z429="",0,Z429),"0")+IFERROR(IF(Z430="",0,Z430),"0")</f>
        <v>0.13020000000000001</v>
      </c>
      <c r="AA431" s="67"/>
      <c r="AB431" s="67"/>
      <c r="AC431" s="67"/>
    </row>
    <row r="432" spans="1:68" x14ac:dyDescent="0.2">
      <c r="A432" s="656"/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7"/>
      <c r="P432" s="653" t="s">
        <v>40</v>
      </c>
      <c r="Q432" s="654"/>
      <c r="R432" s="654"/>
      <c r="S432" s="654"/>
      <c r="T432" s="654"/>
      <c r="U432" s="654"/>
      <c r="V432" s="655"/>
      <c r="W432" s="42" t="s">
        <v>0</v>
      </c>
      <c r="X432" s="43">
        <f>IFERROR(SUM(X428:X430),"0")</f>
        <v>42</v>
      </c>
      <c r="Y432" s="43">
        <f>IFERROR(SUM(Y428:Y430),"0")</f>
        <v>42</v>
      </c>
      <c r="Z432" s="42"/>
      <c r="AA432" s="67"/>
      <c r="AB432" s="67"/>
      <c r="AC432" s="67"/>
    </row>
    <row r="433" spans="1:68" ht="27.75" hidden="1" customHeight="1" x14ac:dyDescent="0.2">
      <c r="A433" s="666" t="s">
        <v>712</v>
      </c>
      <c r="B433" s="666"/>
      <c r="C433" s="666"/>
      <c r="D433" s="666"/>
      <c r="E433" s="666"/>
      <c r="F433" s="666"/>
      <c r="G433" s="666"/>
      <c r="H433" s="666"/>
      <c r="I433" s="666"/>
      <c r="J433" s="666"/>
      <c r="K433" s="666"/>
      <c r="L433" s="666"/>
      <c r="M433" s="666"/>
      <c r="N433" s="666"/>
      <c r="O433" s="666"/>
      <c r="P433" s="666"/>
      <c r="Q433" s="666"/>
      <c r="R433" s="666"/>
      <c r="S433" s="666"/>
      <c r="T433" s="666"/>
      <c r="U433" s="666"/>
      <c r="V433" s="666"/>
      <c r="W433" s="666"/>
      <c r="X433" s="666"/>
      <c r="Y433" s="666"/>
      <c r="Z433" s="666"/>
      <c r="AA433" s="54"/>
      <c r="AB433" s="54"/>
      <c r="AC433" s="54"/>
    </row>
    <row r="434" spans="1:68" ht="16.5" hidden="1" customHeight="1" x14ac:dyDescent="0.25">
      <c r="A434" s="647" t="s">
        <v>713</v>
      </c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7"/>
      <c r="P434" s="647"/>
      <c r="Q434" s="647"/>
      <c r="R434" s="647"/>
      <c r="S434" s="647"/>
      <c r="T434" s="647"/>
      <c r="U434" s="647"/>
      <c r="V434" s="647"/>
      <c r="W434" s="647"/>
      <c r="X434" s="647"/>
      <c r="Y434" s="647"/>
      <c r="Z434" s="647"/>
      <c r="AA434" s="65"/>
      <c r="AB434" s="65"/>
      <c r="AC434" s="79"/>
    </row>
    <row r="435" spans="1:68" ht="14.25" hidden="1" customHeight="1" x14ac:dyDescent="0.25">
      <c r="A435" s="648" t="s">
        <v>124</v>
      </c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8"/>
      <c r="P435" s="648"/>
      <c r="Q435" s="648"/>
      <c r="R435" s="648"/>
      <c r="S435" s="648"/>
      <c r="T435" s="648"/>
      <c r="U435" s="648"/>
      <c r="V435" s="648"/>
      <c r="W435" s="648"/>
      <c r="X435" s="648"/>
      <c r="Y435" s="648"/>
      <c r="Z435" s="648"/>
      <c r="AA435" s="66"/>
      <c r="AB435" s="66"/>
      <c r="AC435" s="80"/>
    </row>
    <row r="436" spans="1:68" ht="27" hidden="1" customHeight="1" x14ac:dyDescent="0.25">
      <c r="A436" s="63" t="s">
        <v>714</v>
      </c>
      <c r="B436" s="63" t="s">
        <v>715</v>
      </c>
      <c r="C436" s="36">
        <v>4301012332</v>
      </c>
      <c r="D436" s="649">
        <v>4680115888401</v>
      </c>
      <c r="E436" s="649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129</v>
      </c>
      <c r="L436" s="37" t="s">
        <v>46</v>
      </c>
      <c r="M436" s="38" t="s">
        <v>88</v>
      </c>
      <c r="N436" s="38"/>
      <c r="O436" s="37">
        <v>60</v>
      </c>
      <c r="P436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51"/>
      <c r="R436" s="651"/>
      <c r="S436" s="651"/>
      <c r="T436" s="652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62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28" t="s">
        <v>716</v>
      </c>
      <c r="AG436" s="78"/>
      <c r="AJ436" s="84" t="s">
        <v>46</v>
      </c>
      <c r="AK436" s="84">
        <v>0</v>
      </c>
      <c r="BB436" s="529" t="s">
        <v>67</v>
      </c>
      <c r="BM436" s="78">
        <f t="shared" ref="BM436:BM443" si="63">IFERROR(X436*I436/H436,"0")</f>
        <v>0</v>
      </c>
      <c r="BN436" s="78">
        <f t="shared" ref="BN436:BN443" si="64">IFERROR(Y436*I436/H436,"0")</f>
        <v>0</v>
      </c>
      <c r="BO436" s="78">
        <f t="shared" ref="BO436:BO443" si="65">IFERROR(1/J436*(X436/H436),"0")</f>
        <v>0</v>
      </c>
      <c r="BP436" s="78">
        <f t="shared" ref="BP436:BP443" si="66">IFERROR(1/J436*(Y436/H436),"0")</f>
        <v>0</v>
      </c>
    </row>
    <row r="437" spans="1:68" ht="37.5" hidden="1" customHeight="1" x14ac:dyDescent="0.25">
      <c r="A437" s="63" t="s">
        <v>717</v>
      </c>
      <c r="B437" s="63" t="s">
        <v>718</v>
      </c>
      <c r="C437" s="36">
        <v>4301011869</v>
      </c>
      <c r="D437" s="649">
        <v>4680115884847</v>
      </c>
      <c r="E437" s="64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129</v>
      </c>
      <c r="L437" s="37" t="s">
        <v>46</v>
      </c>
      <c r="M437" s="38" t="s">
        <v>133</v>
      </c>
      <c r="N437" s="38"/>
      <c r="O437" s="37">
        <v>60</v>
      </c>
      <c r="P437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51"/>
      <c r="R437" s="651"/>
      <c r="S437" s="651"/>
      <c r="T437" s="652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2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0" t="s">
        <v>719</v>
      </c>
      <c r="AG437" s="78"/>
      <c r="AJ437" s="84" t="s">
        <v>46</v>
      </c>
      <c r="AK437" s="84">
        <v>0</v>
      </c>
      <c r="BB437" s="531" t="s">
        <v>67</v>
      </c>
      <c r="BM437" s="78">
        <f t="shared" si="63"/>
        <v>0</v>
      </c>
      <c r="BN437" s="78">
        <f t="shared" si="64"/>
        <v>0</v>
      </c>
      <c r="BO437" s="78">
        <f t="shared" si="65"/>
        <v>0</v>
      </c>
      <c r="BP437" s="78">
        <f t="shared" si="66"/>
        <v>0</v>
      </c>
    </row>
    <row r="438" spans="1:68" ht="27" hidden="1" customHeight="1" x14ac:dyDescent="0.25">
      <c r="A438" s="63" t="s">
        <v>720</v>
      </c>
      <c r="B438" s="63" t="s">
        <v>721</v>
      </c>
      <c r="C438" s="36">
        <v>4301012083</v>
      </c>
      <c r="D438" s="649">
        <v>4680115884854</v>
      </c>
      <c r="E438" s="64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129</v>
      </c>
      <c r="L438" s="37" t="s">
        <v>46</v>
      </c>
      <c r="M438" s="38" t="s">
        <v>128</v>
      </c>
      <c r="N438" s="38"/>
      <c r="O438" s="37">
        <v>60</v>
      </c>
      <c r="P438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51"/>
      <c r="R438" s="651"/>
      <c r="S438" s="651"/>
      <c r="T438" s="652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2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32" t="s">
        <v>722</v>
      </c>
      <c r="AG438" s="78"/>
      <c r="AJ438" s="84" t="s">
        <v>46</v>
      </c>
      <c r="AK438" s="84">
        <v>0</v>
      </c>
      <c r="BB438" s="533" t="s">
        <v>67</v>
      </c>
      <c r="BM438" s="78">
        <f t="shared" si="63"/>
        <v>0</v>
      </c>
      <c r="BN438" s="78">
        <f t="shared" si="64"/>
        <v>0</v>
      </c>
      <c r="BO438" s="78">
        <f t="shared" si="65"/>
        <v>0</v>
      </c>
      <c r="BP438" s="78">
        <f t="shared" si="66"/>
        <v>0</v>
      </c>
    </row>
    <row r="439" spans="1:68" ht="27" customHeight="1" x14ac:dyDescent="0.25">
      <c r="A439" s="63" t="s">
        <v>723</v>
      </c>
      <c r="B439" s="63" t="s">
        <v>724</v>
      </c>
      <c r="C439" s="36">
        <v>4301011867</v>
      </c>
      <c r="D439" s="649">
        <v>4680115884830</v>
      </c>
      <c r="E439" s="649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129</v>
      </c>
      <c r="L439" s="37" t="s">
        <v>46</v>
      </c>
      <c r="M439" s="38" t="s">
        <v>133</v>
      </c>
      <c r="N439" s="38"/>
      <c r="O439" s="37">
        <v>60</v>
      </c>
      <c r="P439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500</v>
      </c>
      <c r="Y439" s="55">
        <f t="shared" si="62"/>
        <v>510</v>
      </c>
      <c r="Z439" s="41">
        <f>IFERROR(IF(Y439=0,"",ROUNDUP(Y439/H439,0)*0.02175),"")</f>
        <v>0.73949999999999994</v>
      </c>
      <c r="AA439" s="68" t="s">
        <v>46</v>
      </c>
      <c r="AB439" s="69" t="s">
        <v>46</v>
      </c>
      <c r="AC439" s="534" t="s">
        <v>725</v>
      </c>
      <c r="AG439" s="78"/>
      <c r="AJ439" s="84" t="s">
        <v>46</v>
      </c>
      <c r="AK439" s="84">
        <v>0</v>
      </c>
      <c r="BB439" s="535" t="s">
        <v>67</v>
      </c>
      <c r="BM439" s="78">
        <f t="shared" si="63"/>
        <v>515.66666666666663</v>
      </c>
      <c r="BN439" s="78">
        <f t="shared" si="64"/>
        <v>525.98</v>
      </c>
      <c r="BO439" s="78">
        <f t="shared" si="65"/>
        <v>0.69444444444444442</v>
      </c>
      <c r="BP439" s="78">
        <f t="shared" si="66"/>
        <v>0.70833333333333326</v>
      </c>
    </row>
    <row r="440" spans="1:68" ht="27" hidden="1" customHeight="1" x14ac:dyDescent="0.25">
      <c r="A440" s="63" t="s">
        <v>726</v>
      </c>
      <c r="B440" s="63" t="s">
        <v>727</v>
      </c>
      <c r="C440" s="36">
        <v>4301012356</v>
      </c>
      <c r="D440" s="649">
        <v>4680115889231</v>
      </c>
      <c r="E440" s="649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129</v>
      </c>
      <c r="L440" s="37" t="s">
        <v>46</v>
      </c>
      <c r="M440" s="38" t="s">
        <v>88</v>
      </c>
      <c r="N440" s="38"/>
      <c r="O440" s="37">
        <v>60</v>
      </c>
      <c r="P440" s="7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2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6" t="s">
        <v>728</v>
      </c>
      <c r="AG440" s="78"/>
      <c r="AJ440" s="84" t="s">
        <v>46</v>
      </c>
      <c r="AK440" s="84">
        <v>0</v>
      </c>
      <c r="BB440" s="537" t="s">
        <v>67</v>
      </c>
      <c r="BM440" s="78">
        <f t="shared" si="63"/>
        <v>0</v>
      </c>
      <c r="BN440" s="78">
        <f t="shared" si="64"/>
        <v>0</v>
      </c>
      <c r="BO440" s="78">
        <f t="shared" si="65"/>
        <v>0</v>
      </c>
      <c r="BP440" s="78">
        <f t="shared" si="66"/>
        <v>0</v>
      </c>
    </row>
    <row r="441" spans="1:68" ht="27" hidden="1" customHeight="1" x14ac:dyDescent="0.25">
      <c r="A441" s="63" t="s">
        <v>729</v>
      </c>
      <c r="B441" s="63" t="s">
        <v>730</v>
      </c>
      <c r="C441" s="36">
        <v>4301011433</v>
      </c>
      <c r="D441" s="649">
        <v>4680115882638</v>
      </c>
      <c r="E441" s="649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137</v>
      </c>
      <c r="L441" s="37" t="s">
        <v>46</v>
      </c>
      <c r="M441" s="38" t="s">
        <v>128</v>
      </c>
      <c r="N441" s="38"/>
      <c r="O441" s="37">
        <v>90</v>
      </c>
      <c r="P441" s="7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2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38" t="s">
        <v>731</v>
      </c>
      <c r="AG441" s="78"/>
      <c r="AJ441" s="84" t="s">
        <v>46</v>
      </c>
      <c r="AK441" s="84">
        <v>0</v>
      </c>
      <c r="BB441" s="539" t="s">
        <v>67</v>
      </c>
      <c r="BM441" s="78">
        <f t="shared" si="63"/>
        <v>0</v>
      </c>
      <c r="BN441" s="78">
        <f t="shared" si="64"/>
        <v>0</v>
      </c>
      <c r="BO441" s="78">
        <f t="shared" si="65"/>
        <v>0</v>
      </c>
      <c r="BP441" s="78">
        <f t="shared" si="66"/>
        <v>0</v>
      </c>
    </row>
    <row r="442" spans="1:68" ht="27" hidden="1" customHeight="1" x14ac:dyDescent="0.25">
      <c r="A442" s="63" t="s">
        <v>732</v>
      </c>
      <c r="B442" s="63" t="s">
        <v>733</v>
      </c>
      <c r="C442" s="36">
        <v>4301011952</v>
      </c>
      <c r="D442" s="649">
        <v>4680115884922</v>
      </c>
      <c r="E442" s="649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137</v>
      </c>
      <c r="L442" s="37" t="s">
        <v>46</v>
      </c>
      <c r="M442" s="38" t="s">
        <v>133</v>
      </c>
      <c r="N442" s="38"/>
      <c r="O442" s="37">
        <v>60</v>
      </c>
      <c r="P442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51"/>
      <c r="R442" s="651"/>
      <c r="S442" s="651"/>
      <c r="T442" s="652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2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0" t="s">
        <v>734</v>
      </c>
      <c r="AG442" s="78"/>
      <c r="AJ442" s="84" t="s">
        <v>46</v>
      </c>
      <c r="AK442" s="84">
        <v>0</v>
      </c>
      <c r="BB442" s="541" t="s">
        <v>67</v>
      </c>
      <c r="BM442" s="78">
        <f t="shared" si="63"/>
        <v>0</v>
      </c>
      <c r="BN442" s="78">
        <f t="shared" si="64"/>
        <v>0</v>
      </c>
      <c r="BO442" s="78">
        <f t="shared" si="65"/>
        <v>0</v>
      </c>
      <c r="BP442" s="78">
        <f t="shared" si="66"/>
        <v>0</v>
      </c>
    </row>
    <row r="443" spans="1:68" ht="37.5" hidden="1" customHeight="1" x14ac:dyDescent="0.25">
      <c r="A443" s="63" t="s">
        <v>735</v>
      </c>
      <c r="B443" s="63" t="s">
        <v>736</v>
      </c>
      <c r="C443" s="36">
        <v>4301011868</v>
      </c>
      <c r="D443" s="649">
        <v>4680115884861</v>
      </c>
      <c r="E443" s="649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137</v>
      </c>
      <c r="L443" s="37" t="s">
        <v>46</v>
      </c>
      <c r="M443" s="38" t="s">
        <v>133</v>
      </c>
      <c r="N443" s="38"/>
      <c r="O443" s="37">
        <v>60</v>
      </c>
      <c r="P443" s="7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51"/>
      <c r="R443" s="651"/>
      <c r="S443" s="651"/>
      <c r="T443" s="652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2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42" t="s">
        <v>737</v>
      </c>
      <c r="AG443" s="78"/>
      <c r="AJ443" s="84" t="s">
        <v>46</v>
      </c>
      <c r="AK443" s="84">
        <v>0</v>
      </c>
      <c r="BB443" s="543" t="s">
        <v>67</v>
      </c>
      <c r="BM443" s="78">
        <f t="shared" si="63"/>
        <v>0</v>
      </c>
      <c r="BN443" s="78">
        <f t="shared" si="64"/>
        <v>0</v>
      </c>
      <c r="BO443" s="78">
        <f t="shared" si="65"/>
        <v>0</v>
      </c>
      <c r="BP443" s="78">
        <f t="shared" si="66"/>
        <v>0</v>
      </c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53" t="s">
        <v>40</v>
      </c>
      <c r="Q444" s="654"/>
      <c r="R444" s="654"/>
      <c r="S444" s="654"/>
      <c r="T444" s="654"/>
      <c r="U444" s="654"/>
      <c r="V444" s="655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33.333333333333336</v>
      </c>
      <c r="Y444" s="43">
        <f>IFERROR(Y436/H436,"0")+IFERROR(Y437/H437,"0")+IFERROR(Y438/H438,"0")+IFERROR(Y439/H439,"0")+IFERROR(Y440/H440,"0")+IFERROR(Y441/H441,"0")+IFERROR(Y442/H442,"0")+IFERROR(Y443/H443,"0")</f>
        <v>34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0.73949999999999994</v>
      </c>
      <c r="AA444" s="67"/>
      <c r="AB444" s="67"/>
      <c r="AC444" s="67"/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0</v>
      </c>
      <c r="X445" s="43">
        <f>IFERROR(SUM(X436:X443),"0")</f>
        <v>500</v>
      </c>
      <c r="Y445" s="43">
        <f>IFERROR(SUM(Y436:Y443),"0")</f>
        <v>510</v>
      </c>
      <c r="Z445" s="42"/>
      <c r="AA445" s="67"/>
      <c r="AB445" s="67"/>
      <c r="AC445" s="67"/>
    </row>
    <row r="446" spans="1:68" ht="14.25" hidden="1" customHeight="1" x14ac:dyDescent="0.25">
      <c r="A446" s="648" t="s">
        <v>161</v>
      </c>
      <c r="B446" s="648"/>
      <c r="C446" s="648"/>
      <c r="D446" s="648"/>
      <c r="E446" s="648"/>
      <c r="F446" s="648"/>
      <c r="G446" s="648"/>
      <c r="H446" s="648"/>
      <c r="I446" s="648"/>
      <c r="J446" s="648"/>
      <c r="K446" s="648"/>
      <c r="L446" s="648"/>
      <c r="M446" s="648"/>
      <c r="N446" s="648"/>
      <c r="O446" s="648"/>
      <c r="P446" s="648"/>
      <c r="Q446" s="648"/>
      <c r="R446" s="648"/>
      <c r="S446" s="648"/>
      <c r="T446" s="648"/>
      <c r="U446" s="648"/>
      <c r="V446" s="648"/>
      <c r="W446" s="648"/>
      <c r="X446" s="648"/>
      <c r="Y446" s="648"/>
      <c r="Z446" s="648"/>
      <c r="AA446" s="66"/>
      <c r="AB446" s="66"/>
      <c r="AC446" s="80"/>
    </row>
    <row r="447" spans="1:68" ht="27" hidden="1" customHeight="1" x14ac:dyDescent="0.25">
      <c r="A447" s="63" t="s">
        <v>738</v>
      </c>
      <c r="B447" s="63" t="s">
        <v>739</v>
      </c>
      <c r="C447" s="36">
        <v>4301020178</v>
      </c>
      <c r="D447" s="649">
        <v>4607091383980</v>
      </c>
      <c r="E447" s="649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129</v>
      </c>
      <c r="L447" s="37" t="s">
        <v>46</v>
      </c>
      <c r="M447" s="38" t="s">
        <v>128</v>
      </c>
      <c r="N447" s="38"/>
      <c r="O447" s="37">
        <v>50</v>
      </c>
      <c r="P447" s="7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51"/>
      <c r="R447" s="651"/>
      <c r="S447" s="651"/>
      <c r="T447" s="65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44" t="s">
        <v>740</v>
      </c>
      <c r="AG447" s="78"/>
      <c r="AJ447" s="84" t="s">
        <v>46</v>
      </c>
      <c r="AK447" s="84">
        <v>0</v>
      </c>
      <c r="BB447" s="545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741</v>
      </c>
      <c r="B448" s="63" t="s">
        <v>742</v>
      </c>
      <c r="C448" s="36">
        <v>4301020355</v>
      </c>
      <c r="D448" s="649">
        <v>4680115888425</v>
      </c>
      <c r="E448" s="649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129</v>
      </c>
      <c r="L448" s="37" t="s">
        <v>46</v>
      </c>
      <c r="M448" s="38" t="s">
        <v>128</v>
      </c>
      <c r="N448" s="38"/>
      <c r="O448" s="37">
        <v>50</v>
      </c>
      <c r="P448" s="70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51"/>
      <c r="R448" s="651"/>
      <c r="S448" s="651"/>
      <c r="T448" s="652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46" t="s">
        <v>743</v>
      </c>
      <c r="AG448" s="78"/>
      <c r="AJ448" s="84" t="s">
        <v>46</v>
      </c>
      <c r="AK448" s="84">
        <v>0</v>
      </c>
      <c r="BB448" s="547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744</v>
      </c>
      <c r="B449" s="63" t="s">
        <v>745</v>
      </c>
      <c r="C449" s="36">
        <v>4301020179</v>
      </c>
      <c r="D449" s="649">
        <v>4607091384178</v>
      </c>
      <c r="E449" s="649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137</v>
      </c>
      <c r="L449" s="37" t="s">
        <v>46</v>
      </c>
      <c r="M449" s="38" t="s">
        <v>128</v>
      </c>
      <c r="N449" s="38"/>
      <c r="O449" s="37">
        <v>50</v>
      </c>
      <c r="P449" s="7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51"/>
      <c r="R449" s="651"/>
      <c r="S449" s="651"/>
      <c r="T449" s="65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48" t="s">
        <v>746</v>
      </c>
      <c r="AG449" s="78"/>
      <c r="AJ449" s="84" t="s">
        <v>46</v>
      </c>
      <c r="AK449" s="84">
        <v>0</v>
      </c>
      <c r="BB449" s="549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53" t="s">
        <v>40</v>
      </c>
      <c r="Q450" s="654"/>
      <c r="R450" s="654"/>
      <c r="S450" s="654"/>
      <c r="T450" s="654"/>
      <c r="U450" s="654"/>
      <c r="V450" s="655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648" t="s">
        <v>77</v>
      </c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48"/>
      <c r="P452" s="648"/>
      <c r="Q452" s="648"/>
      <c r="R452" s="648"/>
      <c r="S452" s="648"/>
      <c r="T452" s="648"/>
      <c r="U452" s="648"/>
      <c r="V452" s="648"/>
      <c r="W452" s="648"/>
      <c r="X452" s="648"/>
      <c r="Y452" s="648"/>
      <c r="Z452" s="648"/>
      <c r="AA452" s="66"/>
      <c r="AB452" s="66"/>
      <c r="AC452" s="80"/>
    </row>
    <row r="453" spans="1:68" ht="27" hidden="1" customHeight="1" x14ac:dyDescent="0.25">
      <c r="A453" s="63" t="s">
        <v>747</v>
      </c>
      <c r="B453" s="63" t="s">
        <v>748</v>
      </c>
      <c r="C453" s="36">
        <v>4301051903</v>
      </c>
      <c r="D453" s="649">
        <v>4607091383928</v>
      </c>
      <c r="E453" s="649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129</v>
      </c>
      <c r="L453" s="37" t="s">
        <v>46</v>
      </c>
      <c r="M453" s="38" t="s">
        <v>81</v>
      </c>
      <c r="N453" s="38"/>
      <c r="O453" s="37">
        <v>40</v>
      </c>
      <c r="P453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51"/>
      <c r="R453" s="651"/>
      <c r="S453" s="651"/>
      <c r="T453" s="65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0" t="s">
        <v>749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750</v>
      </c>
      <c r="B454" s="63" t="s">
        <v>751</v>
      </c>
      <c r="C454" s="36">
        <v>4301051897</v>
      </c>
      <c r="D454" s="649">
        <v>4607091384260</v>
      </c>
      <c r="E454" s="649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129</v>
      </c>
      <c r="L454" s="37" t="s">
        <v>46</v>
      </c>
      <c r="M454" s="38" t="s">
        <v>81</v>
      </c>
      <c r="N454" s="38"/>
      <c r="O454" s="37">
        <v>40</v>
      </c>
      <c r="P454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51"/>
      <c r="R454" s="651"/>
      <c r="S454" s="651"/>
      <c r="T454" s="65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752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753</v>
      </c>
      <c r="B455" s="63" t="s">
        <v>754</v>
      </c>
      <c r="C455" s="36">
        <v>4301052220</v>
      </c>
      <c r="D455" s="649">
        <v>4680115889538</v>
      </c>
      <c r="E455" s="649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129</v>
      </c>
      <c r="L455" s="37" t="s">
        <v>46</v>
      </c>
      <c r="M455" s="38" t="s">
        <v>81</v>
      </c>
      <c r="N455" s="38"/>
      <c r="O455" s="37">
        <v>45</v>
      </c>
      <c r="P455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51"/>
      <c r="R455" s="651"/>
      <c r="S455" s="651"/>
      <c r="T455" s="65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54" t="s">
        <v>755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48" t="s">
        <v>179</v>
      </c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48"/>
      <c r="P458" s="648"/>
      <c r="Q458" s="648"/>
      <c r="R458" s="648"/>
      <c r="S458" s="648"/>
      <c r="T458" s="648"/>
      <c r="U458" s="648"/>
      <c r="V458" s="648"/>
      <c r="W458" s="648"/>
      <c r="X458" s="648"/>
      <c r="Y458" s="648"/>
      <c r="Z458" s="648"/>
      <c r="AA458" s="66"/>
      <c r="AB458" s="66"/>
      <c r="AC458" s="80"/>
    </row>
    <row r="459" spans="1:68" ht="27" hidden="1" customHeight="1" x14ac:dyDescent="0.25">
      <c r="A459" s="63" t="s">
        <v>756</v>
      </c>
      <c r="B459" s="63" t="s">
        <v>757</v>
      </c>
      <c r="C459" s="36">
        <v>4301060537</v>
      </c>
      <c r="D459" s="649">
        <v>4680115889545</v>
      </c>
      <c r="E459" s="649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129</v>
      </c>
      <c r="L459" s="37" t="s">
        <v>46</v>
      </c>
      <c r="M459" s="38" t="s">
        <v>81</v>
      </c>
      <c r="N459" s="38"/>
      <c r="O459" s="37">
        <v>30</v>
      </c>
      <c r="P459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51"/>
      <c r="R459" s="651"/>
      <c r="S459" s="651"/>
      <c r="T459" s="65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56" t="s">
        <v>758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759</v>
      </c>
      <c r="B460" s="63" t="s">
        <v>760</v>
      </c>
      <c r="C460" s="36">
        <v>4301060524</v>
      </c>
      <c r="D460" s="649">
        <v>4607091384673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129</v>
      </c>
      <c r="L460" s="37" t="s">
        <v>46</v>
      </c>
      <c r="M460" s="38" t="s">
        <v>81</v>
      </c>
      <c r="N460" s="38"/>
      <c r="O460" s="37">
        <v>40</v>
      </c>
      <c r="P460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200</v>
      </c>
      <c r="Y460" s="55">
        <f>IFERROR(IF(X460="",0,CEILING((X460/$H460),1)*$H460),"")</f>
        <v>207</v>
      </c>
      <c r="Z460" s="41">
        <f>IFERROR(IF(Y460=0,"",ROUNDUP(Y460/H460,0)*0.01898),"")</f>
        <v>0.43653999999999998</v>
      </c>
      <c r="AA460" s="68" t="s">
        <v>46</v>
      </c>
      <c r="AB460" s="69" t="s">
        <v>46</v>
      </c>
      <c r="AC460" s="558" t="s">
        <v>761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210.97777777777776</v>
      </c>
      <c r="BN460" s="78">
        <f>IFERROR(Y460*I460/H460,"0")</f>
        <v>218.36199999999999</v>
      </c>
      <c r="BO460" s="78">
        <f>IFERROR(1/J460*(X460/H460),"0")</f>
        <v>0.34722222222222221</v>
      </c>
      <c r="BP460" s="78">
        <f>IFERROR(1/J460*(Y460/H460),"0")</f>
        <v>0.359375</v>
      </c>
    </row>
    <row r="461" spans="1:68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2" t="s">
        <v>39</v>
      </c>
      <c r="X461" s="43">
        <f>IFERROR(X459/H459,"0")+IFERROR(X460/H460,"0")</f>
        <v>22.222222222222221</v>
      </c>
      <c r="Y461" s="43">
        <f>IFERROR(Y459/H459,"0")+IFERROR(Y460/H460,"0")</f>
        <v>23</v>
      </c>
      <c r="Z461" s="43">
        <f>IFERROR(IF(Z459="",0,Z459),"0")+IFERROR(IF(Z460="",0,Z460),"0")</f>
        <v>0.43653999999999998</v>
      </c>
      <c r="AA461" s="67"/>
      <c r="AB461" s="67"/>
      <c r="AC461" s="67"/>
    </row>
    <row r="462" spans="1:68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0</v>
      </c>
      <c r="X462" s="43">
        <f>IFERROR(SUM(X459:X460),"0")</f>
        <v>200</v>
      </c>
      <c r="Y462" s="43">
        <f>IFERROR(SUM(Y459:Y460),"0")</f>
        <v>207</v>
      </c>
      <c r="Z462" s="42"/>
      <c r="AA462" s="67"/>
      <c r="AB462" s="67"/>
      <c r="AC462" s="67"/>
    </row>
    <row r="463" spans="1:68" ht="16.5" hidden="1" customHeight="1" x14ac:dyDescent="0.25">
      <c r="A463" s="647" t="s">
        <v>762</v>
      </c>
      <c r="B463" s="647"/>
      <c r="C463" s="647"/>
      <c r="D463" s="647"/>
      <c r="E463" s="647"/>
      <c r="F463" s="647"/>
      <c r="G463" s="647"/>
      <c r="H463" s="647"/>
      <c r="I463" s="647"/>
      <c r="J463" s="647"/>
      <c r="K463" s="647"/>
      <c r="L463" s="647"/>
      <c r="M463" s="647"/>
      <c r="N463" s="647"/>
      <c r="O463" s="647"/>
      <c r="P463" s="647"/>
      <c r="Q463" s="647"/>
      <c r="R463" s="647"/>
      <c r="S463" s="647"/>
      <c r="T463" s="647"/>
      <c r="U463" s="647"/>
      <c r="V463" s="647"/>
      <c r="W463" s="647"/>
      <c r="X463" s="647"/>
      <c r="Y463" s="647"/>
      <c r="Z463" s="647"/>
      <c r="AA463" s="65"/>
      <c r="AB463" s="65"/>
      <c r="AC463" s="79"/>
    </row>
    <row r="464" spans="1:68" ht="14.25" hidden="1" customHeight="1" x14ac:dyDescent="0.25">
      <c r="A464" s="648" t="s">
        <v>124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6"/>
      <c r="AB464" s="66"/>
      <c r="AC464" s="80"/>
    </row>
    <row r="465" spans="1:68" ht="27" hidden="1" customHeight="1" x14ac:dyDescent="0.25">
      <c r="A465" s="63" t="s">
        <v>763</v>
      </c>
      <c r="B465" s="63" t="s">
        <v>764</v>
      </c>
      <c r="C465" s="36">
        <v>4301011875</v>
      </c>
      <c r="D465" s="649">
        <v>4680115884885</v>
      </c>
      <c r="E465" s="649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129</v>
      </c>
      <c r="L465" s="37" t="s">
        <v>46</v>
      </c>
      <c r="M465" s="38" t="s">
        <v>133</v>
      </c>
      <c r="N465" s="38"/>
      <c r="O465" s="37">
        <v>60</v>
      </c>
      <c r="P465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51"/>
      <c r="R465" s="651"/>
      <c r="S465" s="651"/>
      <c r="T465" s="65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0" t="s">
        <v>765</v>
      </c>
      <c r="AG465" s="78"/>
      <c r="AJ465" s="84" t="s">
        <v>46</v>
      </c>
      <c r="AK465" s="84">
        <v>0</v>
      </c>
      <c r="BB465" s="561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766</v>
      </c>
      <c r="B466" s="63" t="s">
        <v>767</v>
      </c>
      <c r="C466" s="36">
        <v>4301011871</v>
      </c>
      <c r="D466" s="649">
        <v>4680115884908</v>
      </c>
      <c r="E466" s="64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137</v>
      </c>
      <c r="L466" s="37" t="s">
        <v>46</v>
      </c>
      <c r="M466" s="38" t="s">
        <v>133</v>
      </c>
      <c r="N466" s="38"/>
      <c r="O466" s="37">
        <v>60</v>
      </c>
      <c r="P466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51"/>
      <c r="R466" s="651"/>
      <c r="S466" s="651"/>
      <c r="T466" s="65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62" t="s">
        <v>765</v>
      </c>
      <c r="AG466" s="78"/>
      <c r="AJ466" s="84" t="s">
        <v>46</v>
      </c>
      <c r="AK466" s="84">
        <v>0</v>
      </c>
      <c r="BB466" s="563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48" t="s">
        <v>256</v>
      </c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48"/>
      <c r="P469" s="648"/>
      <c r="Q469" s="648"/>
      <c r="R469" s="648"/>
      <c r="S469" s="648"/>
      <c r="T469" s="648"/>
      <c r="U469" s="648"/>
      <c r="V469" s="648"/>
      <c r="W469" s="648"/>
      <c r="X469" s="648"/>
      <c r="Y469" s="648"/>
      <c r="Z469" s="648"/>
      <c r="AA469" s="66"/>
      <c r="AB469" s="66"/>
      <c r="AC469" s="80"/>
    </row>
    <row r="470" spans="1:68" ht="27" customHeight="1" x14ac:dyDescent="0.25">
      <c r="A470" s="63" t="s">
        <v>768</v>
      </c>
      <c r="B470" s="63" t="s">
        <v>769</v>
      </c>
      <c r="C470" s="36">
        <v>4301031533</v>
      </c>
      <c r="D470" s="649">
        <v>4607091384802</v>
      </c>
      <c r="E470" s="64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137</v>
      </c>
      <c r="L470" s="37" t="s">
        <v>46</v>
      </c>
      <c r="M470" s="38" t="s">
        <v>133</v>
      </c>
      <c r="N470" s="38"/>
      <c r="O470" s="37">
        <v>50</v>
      </c>
      <c r="P470" s="69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150</v>
      </c>
      <c r="Y470" s="55">
        <f>IFERROR(IF(X470="",0,CEILING((X470/$H470),1)*$H470),"")</f>
        <v>151.20000000000002</v>
      </c>
      <c r="Z470" s="41">
        <f>IFERROR(IF(Y470=0,"",ROUNDUP(Y470/H470,0)*0.00902),"")</f>
        <v>0.32472000000000001</v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>IFERROR(X470*I470/H470,"0")</f>
        <v>158.92857142857142</v>
      </c>
      <c r="BN470" s="78">
        <f>IFERROR(Y470*I470/H470,"0")</f>
        <v>160.20000000000002</v>
      </c>
      <c r="BO470" s="78">
        <f>IFERROR(1/J470*(X470/H470),"0")</f>
        <v>0.27056277056277056</v>
      </c>
      <c r="BP470" s="78">
        <f>IFERROR(1/J470*(Y470/H470),"0")</f>
        <v>0.27272727272727271</v>
      </c>
    </row>
    <row r="471" spans="1:68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53" t="s">
        <v>40</v>
      </c>
      <c r="Q471" s="654"/>
      <c r="R471" s="654"/>
      <c r="S471" s="654"/>
      <c r="T471" s="654"/>
      <c r="U471" s="654"/>
      <c r="V471" s="655"/>
      <c r="W471" s="42" t="s">
        <v>39</v>
      </c>
      <c r="X471" s="43">
        <f>IFERROR(X470/H470,"0")</f>
        <v>35.714285714285715</v>
      </c>
      <c r="Y471" s="43">
        <f>IFERROR(Y470/H470,"0")</f>
        <v>36</v>
      </c>
      <c r="Z471" s="43">
        <f>IFERROR(IF(Z470="",0,Z470),"0")</f>
        <v>0.32472000000000001</v>
      </c>
      <c r="AA471" s="67"/>
      <c r="AB471" s="67"/>
      <c r="AC471" s="67"/>
    </row>
    <row r="472" spans="1:68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0</v>
      </c>
      <c r="X472" s="43">
        <f>IFERROR(SUM(X470:X470),"0")</f>
        <v>150</v>
      </c>
      <c r="Y472" s="43">
        <f>IFERROR(SUM(Y470:Y470),"0")</f>
        <v>151.20000000000002</v>
      </c>
      <c r="Z472" s="42"/>
      <c r="AA472" s="67"/>
      <c r="AB472" s="67"/>
      <c r="AC472" s="67"/>
    </row>
    <row r="473" spans="1:68" ht="14.25" hidden="1" customHeight="1" x14ac:dyDescent="0.25">
      <c r="A473" s="648" t="s">
        <v>77</v>
      </c>
      <c r="B473" s="648"/>
      <c r="C473" s="648"/>
      <c r="D473" s="648"/>
      <c r="E473" s="648"/>
      <c r="F473" s="648"/>
      <c r="G473" s="648"/>
      <c r="H473" s="648"/>
      <c r="I473" s="648"/>
      <c r="J473" s="648"/>
      <c r="K473" s="648"/>
      <c r="L473" s="648"/>
      <c r="M473" s="648"/>
      <c r="N473" s="648"/>
      <c r="O473" s="648"/>
      <c r="P473" s="648"/>
      <c r="Q473" s="648"/>
      <c r="R473" s="648"/>
      <c r="S473" s="648"/>
      <c r="T473" s="648"/>
      <c r="U473" s="648"/>
      <c r="V473" s="648"/>
      <c r="W473" s="648"/>
      <c r="X473" s="648"/>
      <c r="Y473" s="648"/>
      <c r="Z473" s="648"/>
      <c r="AA473" s="66"/>
      <c r="AB473" s="66"/>
      <c r="AC473" s="80"/>
    </row>
    <row r="474" spans="1:68" ht="27" customHeight="1" x14ac:dyDescent="0.25">
      <c r="A474" s="63" t="s">
        <v>771</v>
      </c>
      <c r="B474" s="63" t="s">
        <v>772</v>
      </c>
      <c r="C474" s="36">
        <v>4301051899</v>
      </c>
      <c r="D474" s="649">
        <v>4607091384246</v>
      </c>
      <c r="E474" s="649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129</v>
      </c>
      <c r="L474" s="37" t="s">
        <v>46</v>
      </c>
      <c r="M474" s="38" t="s">
        <v>81</v>
      </c>
      <c r="N474" s="38"/>
      <c r="O474" s="37">
        <v>40</v>
      </c>
      <c r="P474" s="70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51"/>
      <c r="R474" s="651"/>
      <c r="S474" s="651"/>
      <c r="T474" s="652"/>
      <c r="U474" s="39" t="s">
        <v>46</v>
      </c>
      <c r="V474" s="39" t="s">
        <v>46</v>
      </c>
      <c r="W474" s="40" t="s">
        <v>0</v>
      </c>
      <c r="X474" s="58">
        <v>300</v>
      </c>
      <c r="Y474" s="55">
        <f>IFERROR(IF(X474="",0,CEILING((X474/$H474),1)*$H474),"")</f>
        <v>306</v>
      </c>
      <c r="Z474" s="41">
        <f>IFERROR(IF(Y474=0,"",ROUNDUP(Y474/H474,0)*0.01898),"")</f>
        <v>0.64532</v>
      </c>
      <c r="AA474" s="68" t="s">
        <v>46</v>
      </c>
      <c r="AB474" s="69" t="s">
        <v>46</v>
      </c>
      <c r="AC474" s="566" t="s">
        <v>773</v>
      </c>
      <c r="AG474" s="78"/>
      <c r="AJ474" s="84" t="s">
        <v>46</v>
      </c>
      <c r="AK474" s="84">
        <v>0</v>
      </c>
      <c r="BB474" s="567" t="s">
        <v>67</v>
      </c>
      <c r="BM474" s="78">
        <f>IFERROR(X474*I474/H474,"0")</f>
        <v>316.46666666666664</v>
      </c>
      <c r="BN474" s="78">
        <f>IFERROR(Y474*I474/H474,"0")</f>
        <v>322.79599999999999</v>
      </c>
      <c r="BO474" s="78">
        <f>IFERROR(1/J474*(X474/H474),"0")</f>
        <v>0.52083333333333337</v>
      </c>
      <c r="BP474" s="78">
        <f>IFERROR(1/J474*(Y474/H474),"0")</f>
        <v>0.53125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4301051660</v>
      </c>
      <c r="D475" s="649">
        <v>4607091384253</v>
      </c>
      <c r="E475" s="649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82</v>
      </c>
      <c r="L475" s="37" t="s">
        <v>46</v>
      </c>
      <c r="M475" s="38" t="s">
        <v>81</v>
      </c>
      <c r="N475" s="38"/>
      <c r="O475" s="37">
        <v>40</v>
      </c>
      <c r="P475" s="7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51"/>
      <c r="R475" s="651"/>
      <c r="S475" s="651"/>
      <c r="T475" s="65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68" t="s">
        <v>773</v>
      </c>
      <c r="AG475" s="78"/>
      <c r="AJ475" s="84" t="s">
        <v>46</v>
      </c>
      <c r="AK475" s="84">
        <v>0</v>
      </c>
      <c r="BB475" s="569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774</v>
      </c>
      <c r="B476" s="63" t="s">
        <v>776</v>
      </c>
      <c r="C476" s="36">
        <v>4301052069</v>
      </c>
      <c r="D476" s="649">
        <v>4607091384253</v>
      </c>
      <c r="E476" s="649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82</v>
      </c>
      <c r="L476" s="37" t="s">
        <v>46</v>
      </c>
      <c r="M476" s="38" t="s">
        <v>81</v>
      </c>
      <c r="N476" s="38"/>
      <c r="O476" s="37">
        <v>40</v>
      </c>
      <c r="P476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51"/>
      <c r="R476" s="651"/>
      <c r="S476" s="651"/>
      <c r="T476" s="652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70" t="s">
        <v>777</v>
      </c>
      <c r="AG476" s="78"/>
      <c r="AJ476" s="84" t="s">
        <v>46</v>
      </c>
      <c r="AK476" s="84">
        <v>0</v>
      </c>
      <c r="BB476" s="571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56"/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7"/>
      <c r="P477" s="653" t="s">
        <v>40</v>
      </c>
      <c r="Q477" s="654"/>
      <c r="R477" s="654"/>
      <c r="S477" s="654"/>
      <c r="T477" s="654"/>
      <c r="U477" s="654"/>
      <c r="V477" s="655"/>
      <c r="W477" s="42" t="s">
        <v>39</v>
      </c>
      <c r="X477" s="43">
        <f>IFERROR(X474/H474,"0")+IFERROR(X475/H475,"0")+IFERROR(X476/H476,"0")</f>
        <v>33.333333333333336</v>
      </c>
      <c r="Y477" s="43">
        <f>IFERROR(Y474/H474,"0")+IFERROR(Y475/H475,"0")+IFERROR(Y476/H476,"0")</f>
        <v>34</v>
      </c>
      <c r="Z477" s="43">
        <f>IFERROR(IF(Z474="",0,Z474),"0")+IFERROR(IF(Z475="",0,Z475),"0")+IFERROR(IF(Z476="",0,Z476),"0")</f>
        <v>0.64532</v>
      </c>
      <c r="AA477" s="67"/>
      <c r="AB477" s="67"/>
      <c r="AC477" s="67"/>
    </row>
    <row r="478" spans="1:68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2" t="s">
        <v>0</v>
      </c>
      <c r="X478" s="43">
        <f>IFERROR(SUM(X474:X476),"0")</f>
        <v>300</v>
      </c>
      <c r="Y478" s="43">
        <f>IFERROR(SUM(Y474:Y476),"0")</f>
        <v>306</v>
      </c>
      <c r="Z478" s="42"/>
      <c r="AA478" s="67"/>
      <c r="AB478" s="67"/>
      <c r="AC478" s="67"/>
    </row>
    <row r="479" spans="1:68" ht="27.75" hidden="1" customHeight="1" x14ac:dyDescent="0.2">
      <c r="A479" s="666" t="s">
        <v>778</v>
      </c>
      <c r="B479" s="666"/>
      <c r="C479" s="666"/>
      <c r="D479" s="666"/>
      <c r="E479" s="666"/>
      <c r="F479" s="666"/>
      <c r="G479" s="666"/>
      <c r="H479" s="666"/>
      <c r="I479" s="666"/>
      <c r="J479" s="666"/>
      <c r="K479" s="666"/>
      <c r="L479" s="666"/>
      <c r="M479" s="666"/>
      <c r="N479" s="666"/>
      <c r="O479" s="666"/>
      <c r="P479" s="666"/>
      <c r="Q479" s="666"/>
      <c r="R479" s="666"/>
      <c r="S479" s="666"/>
      <c r="T479" s="666"/>
      <c r="U479" s="666"/>
      <c r="V479" s="666"/>
      <c r="W479" s="666"/>
      <c r="X479" s="666"/>
      <c r="Y479" s="666"/>
      <c r="Z479" s="666"/>
      <c r="AA479" s="54"/>
      <c r="AB479" s="54"/>
      <c r="AC479" s="54"/>
    </row>
    <row r="480" spans="1:68" ht="16.5" hidden="1" customHeight="1" x14ac:dyDescent="0.25">
      <c r="A480" s="647" t="s">
        <v>779</v>
      </c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47"/>
      <c r="P480" s="647"/>
      <c r="Q480" s="647"/>
      <c r="R480" s="647"/>
      <c r="S480" s="647"/>
      <c r="T480" s="647"/>
      <c r="U480" s="647"/>
      <c r="V480" s="647"/>
      <c r="W480" s="647"/>
      <c r="X480" s="647"/>
      <c r="Y480" s="647"/>
      <c r="Z480" s="647"/>
      <c r="AA480" s="65"/>
      <c r="AB480" s="65"/>
      <c r="AC480" s="79"/>
    </row>
    <row r="481" spans="1:68" ht="14.25" hidden="1" customHeight="1" x14ac:dyDescent="0.25">
      <c r="A481" s="648" t="s">
        <v>256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6"/>
      <c r="AB481" s="66"/>
      <c r="AC481" s="80"/>
    </row>
    <row r="482" spans="1:68" ht="27" customHeight="1" x14ac:dyDescent="0.25">
      <c r="A482" s="63" t="s">
        <v>780</v>
      </c>
      <c r="B482" s="63" t="s">
        <v>781</v>
      </c>
      <c r="C482" s="36">
        <v>4301031405</v>
      </c>
      <c r="D482" s="649">
        <v>4680115886100</v>
      </c>
      <c r="E482" s="649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137</v>
      </c>
      <c r="L482" s="37" t="s">
        <v>46</v>
      </c>
      <c r="M482" s="38" t="s">
        <v>133</v>
      </c>
      <c r="N482" s="38"/>
      <c r="O482" s="37">
        <v>50</v>
      </c>
      <c r="P482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51"/>
      <c r="R482" s="651"/>
      <c r="S482" s="651"/>
      <c r="T482" s="652"/>
      <c r="U482" s="39" t="s">
        <v>46</v>
      </c>
      <c r="V482" s="39" t="s">
        <v>46</v>
      </c>
      <c r="W482" s="40" t="s">
        <v>0</v>
      </c>
      <c r="X482" s="58">
        <v>50</v>
      </c>
      <c r="Y482" s="55">
        <f t="shared" ref="Y482:Y487" si="67">IFERROR(IF(X482="",0,CEILING((X482/$H482),1)*$H482),"")</f>
        <v>54</v>
      </c>
      <c r="Z482" s="41">
        <f>IFERROR(IF(Y482=0,"",ROUNDUP(Y482/H482,0)*0.00902),"")</f>
        <v>9.0200000000000002E-2</v>
      </c>
      <c r="AA482" s="68" t="s">
        <v>46</v>
      </c>
      <c r="AB482" s="69" t="s">
        <v>46</v>
      </c>
      <c r="AC482" s="572" t="s">
        <v>782</v>
      </c>
      <c r="AG482" s="78"/>
      <c r="AJ482" s="84" t="s">
        <v>46</v>
      </c>
      <c r="AK482" s="84">
        <v>0</v>
      </c>
      <c r="BB482" s="573" t="s">
        <v>67</v>
      </c>
      <c r="BM482" s="78">
        <f t="shared" ref="BM482:BM487" si="68">IFERROR(X482*I482/H482,"0")</f>
        <v>51.759259259259252</v>
      </c>
      <c r="BN482" s="78">
        <f t="shared" ref="BN482:BN487" si="69">IFERROR(Y482*I482/H482,"0")</f>
        <v>55.9</v>
      </c>
      <c r="BO482" s="78">
        <f t="shared" ref="BO482:BO487" si="70">IFERROR(1/J482*(X482/H482),"0")</f>
        <v>7.0145903479236812E-2</v>
      </c>
      <c r="BP482" s="78">
        <f t="shared" ref="BP482:BP487" si="71">IFERROR(1/J482*(Y482/H482),"0")</f>
        <v>7.575757575757576E-2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4301031402</v>
      </c>
      <c r="D483" s="649">
        <v>4680115886124</v>
      </c>
      <c r="E483" s="649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137</v>
      </c>
      <c r="L483" s="37" t="s">
        <v>46</v>
      </c>
      <c r="M483" s="38" t="s">
        <v>133</v>
      </c>
      <c r="N483" s="38"/>
      <c r="O483" s="37">
        <v>50</v>
      </c>
      <c r="P483" s="69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74" t="s">
        <v>785</v>
      </c>
      <c r="AG483" s="78"/>
      <c r="AJ483" s="84" t="s">
        <v>46</v>
      </c>
      <c r="AK483" s="84">
        <v>0</v>
      </c>
      <c r="BB483" s="575" t="s">
        <v>67</v>
      </c>
      <c r="BM483" s="78">
        <f t="shared" si="68"/>
        <v>0</v>
      </c>
      <c r="BN483" s="78">
        <f t="shared" si="69"/>
        <v>0</v>
      </c>
      <c r="BO483" s="78">
        <f t="shared" si="70"/>
        <v>0</v>
      </c>
      <c r="BP483" s="78">
        <f t="shared" si="71"/>
        <v>0</v>
      </c>
    </row>
    <row r="484" spans="1:68" ht="27" hidden="1" customHeight="1" x14ac:dyDescent="0.25">
      <c r="A484" s="63" t="s">
        <v>786</v>
      </c>
      <c r="B484" s="63" t="s">
        <v>787</v>
      </c>
      <c r="C484" s="36">
        <v>4301031362</v>
      </c>
      <c r="D484" s="649">
        <v>4607091384338</v>
      </c>
      <c r="E484" s="649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234</v>
      </c>
      <c r="L484" s="37" t="s">
        <v>46</v>
      </c>
      <c r="M484" s="38" t="s">
        <v>133</v>
      </c>
      <c r="N484" s="38"/>
      <c r="O484" s="37">
        <v>50</v>
      </c>
      <c r="P484" s="69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51"/>
      <c r="R484" s="651"/>
      <c r="S484" s="651"/>
      <c r="T484" s="652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76" t="s">
        <v>782</v>
      </c>
      <c r="AG484" s="78"/>
      <c r="AJ484" s="84" t="s">
        <v>46</v>
      </c>
      <c r="AK484" s="84">
        <v>0</v>
      </c>
      <c r="BB484" s="577" t="s">
        <v>67</v>
      </c>
      <c r="BM484" s="78">
        <f t="shared" si="68"/>
        <v>0</v>
      </c>
      <c r="BN484" s="78">
        <f t="shared" si="69"/>
        <v>0</v>
      </c>
      <c r="BO484" s="78">
        <f t="shared" si="70"/>
        <v>0</v>
      </c>
      <c r="BP484" s="78">
        <f t="shared" si="71"/>
        <v>0</v>
      </c>
    </row>
    <row r="485" spans="1:68" ht="27" hidden="1" customHeight="1" x14ac:dyDescent="0.25">
      <c r="A485" s="63" t="s">
        <v>788</v>
      </c>
      <c r="B485" s="63" t="s">
        <v>789</v>
      </c>
      <c r="C485" s="36">
        <v>4301031364</v>
      </c>
      <c r="D485" s="649">
        <v>4680115883161</v>
      </c>
      <c r="E485" s="64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234</v>
      </c>
      <c r="L485" s="37" t="s">
        <v>46</v>
      </c>
      <c r="M485" s="38" t="s">
        <v>133</v>
      </c>
      <c r="N485" s="38"/>
      <c r="O485" s="37">
        <v>50</v>
      </c>
      <c r="P485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51"/>
      <c r="R485" s="651"/>
      <c r="S485" s="651"/>
      <c r="T485" s="652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8" t="s">
        <v>790</v>
      </c>
      <c r="AG485" s="78"/>
      <c r="AJ485" s="84" t="s">
        <v>46</v>
      </c>
      <c r="AK485" s="84">
        <v>0</v>
      </c>
      <c r="BB485" s="579" t="s">
        <v>67</v>
      </c>
      <c r="BM485" s="78">
        <f t="shared" si="68"/>
        <v>0</v>
      </c>
      <c r="BN485" s="78">
        <f t="shared" si="69"/>
        <v>0</v>
      </c>
      <c r="BO485" s="78">
        <f t="shared" si="70"/>
        <v>0</v>
      </c>
      <c r="BP485" s="78">
        <f t="shared" si="71"/>
        <v>0</v>
      </c>
    </row>
    <row r="486" spans="1:68" ht="27" hidden="1" customHeight="1" x14ac:dyDescent="0.25">
      <c r="A486" s="63" t="s">
        <v>791</v>
      </c>
      <c r="B486" s="63" t="s">
        <v>792</v>
      </c>
      <c r="C486" s="36">
        <v>4301031358</v>
      </c>
      <c r="D486" s="649">
        <v>4607091389531</v>
      </c>
      <c r="E486" s="64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234</v>
      </c>
      <c r="L486" s="37" t="s">
        <v>46</v>
      </c>
      <c r="M486" s="38" t="s">
        <v>133</v>
      </c>
      <c r="N486" s="38"/>
      <c r="O486" s="37">
        <v>50</v>
      </c>
      <c r="P486" s="6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51"/>
      <c r="R486" s="651"/>
      <c r="S486" s="651"/>
      <c r="T486" s="652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80" t="s">
        <v>793</v>
      </c>
      <c r="AG486" s="78"/>
      <c r="AJ486" s="84" t="s">
        <v>46</v>
      </c>
      <c r="AK486" s="84">
        <v>0</v>
      </c>
      <c r="BB486" s="581" t="s">
        <v>67</v>
      </c>
      <c r="BM486" s="78">
        <f t="shared" si="68"/>
        <v>0</v>
      </c>
      <c r="BN486" s="78">
        <f t="shared" si="69"/>
        <v>0</v>
      </c>
      <c r="BO486" s="78">
        <f t="shared" si="70"/>
        <v>0</v>
      </c>
      <c r="BP486" s="78">
        <f t="shared" si="71"/>
        <v>0</v>
      </c>
    </row>
    <row r="487" spans="1:68" ht="37.5" hidden="1" customHeight="1" x14ac:dyDescent="0.25">
      <c r="A487" s="63" t="s">
        <v>794</v>
      </c>
      <c r="B487" s="63" t="s">
        <v>795</v>
      </c>
      <c r="C487" s="36">
        <v>4301031360</v>
      </c>
      <c r="D487" s="649">
        <v>4607091384345</v>
      </c>
      <c r="E487" s="649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234</v>
      </c>
      <c r="L487" s="37" t="s">
        <v>46</v>
      </c>
      <c r="M487" s="38" t="s">
        <v>133</v>
      </c>
      <c r="N487" s="38"/>
      <c r="O487" s="37">
        <v>50</v>
      </c>
      <c r="P487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7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82" t="s">
        <v>790</v>
      </c>
      <c r="AG487" s="78"/>
      <c r="AJ487" s="84" t="s">
        <v>46</v>
      </c>
      <c r="AK487" s="84">
        <v>0</v>
      </c>
      <c r="BB487" s="583" t="s">
        <v>67</v>
      </c>
      <c r="BM487" s="78">
        <f t="shared" si="68"/>
        <v>0</v>
      </c>
      <c r="BN487" s="78">
        <f t="shared" si="69"/>
        <v>0</v>
      </c>
      <c r="BO487" s="78">
        <f t="shared" si="70"/>
        <v>0</v>
      </c>
      <c r="BP487" s="78">
        <f t="shared" si="71"/>
        <v>0</v>
      </c>
    </row>
    <row r="488" spans="1:68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IFERROR(X482/H482,"0")+IFERROR(X483/H483,"0")+IFERROR(X484/H484,"0")+IFERROR(X485/H485,"0")+IFERROR(X486/H486,"0")+IFERROR(X487/H487,"0")</f>
        <v>9.2592592592592595</v>
      </c>
      <c r="Y488" s="43">
        <f>IFERROR(Y482/H482,"0")+IFERROR(Y483/H483,"0")+IFERROR(Y484/H484,"0")+IFERROR(Y485/H485,"0")+IFERROR(Y486/H486,"0")+IFERROR(Y487/H487,"0")</f>
        <v>10</v>
      </c>
      <c r="Z488" s="43">
        <f>IFERROR(IF(Z482="",0,Z482),"0")+IFERROR(IF(Z483="",0,Z483),"0")+IFERROR(IF(Z484="",0,Z484),"0")+IFERROR(IF(Z485="",0,Z485),"0")+IFERROR(IF(Z486="",0,Z486),"0")+IFERROR(IF(Z487="",0,Z487),"0")</f>
        <v>9.0200000000000002E-2</v>
      </c>
      <c r="AA488" s="67"/>
      <c r="AB488" s="67"/>
      <c r="AC488" s="67"/>
    </row>
    <row r="489" spans="1:68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IFERROR(SUM(X482:X487),"0")</f>
        <v>50</v>
      </c>
      <c r="Y489" s="43">
        <f>IFERROR(SUM(Y482:Y487),"0")</f>
        <v>54</v>
      </c>
      <c r="Z489" s="42"/>
      <c r="AA489" s="67"/>
      <c r="AB489" s="67"/>
      <c r="AC489" s="67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6"/>
      <c r="AB490" s="66"/>
      <c r="AC490" s="80"/>
    </row>
    <row r="491" spans="1:68" ht="27" hidden="1" customHeight="1" x14ac:dyDescent="0.25">
      <c r="A491" s="63" t="s">
        <v>796</v>
      </c>
      <c r="B491" s="63" t="s">
        <v>797</v>
      </c>
      <c r="C491" s="36">
        <v>4301051284</v>
      </c>
      <c r="D491" s="649">
        <v>4607091384352</v>
      </c>
      <c r="E491" s="649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137</v>
      </c>
      <c r="L491" s="37" t="s">
        <v>46</v>
      </c>
      <c r="M491" s="38" t="s">
        <v>81</v>
      </c>
      <c r="N491" s="38"/>
      <c r="O491" s="37">
        <v>45</v>
      </c>
      <c r="P491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51"/>
      <c r="R491" s="651"/>
      <c r="S491" s="651"/>
      <c r="T491" s="65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798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53" t="s">
        <v>40</v>
      </c>
      <c r="Q492" s="654"/>
      <c r="R492" s="654"/>
      <c r="S492" s="654"/>
      <c r="T492" s="654"/>
      <c r="U492" s="654"/>
      <c r="V492" s="655"/>
      <c r="W492" s="42" t="s">
        <v>39</v>
      </c>
      <c r="X492" s="43">
        <f>IFERROR(X491/H491,"0")</f>
        <v>0</v>
      </c>
      <c r="Y492" s="43">
        <f>IFERROR(Y491/H491,"0")</f>
        <v>0</v>
      </c>
      <c r="Z492" s="43">
        <f>IFERROR(IF(Z491="",0,Z491),"0")</f>
        <v>0</v>
      </c>
      <c r="AA492" s="67"/>
      <c r="AB492" s="67"/>
      <c r="AC492" s="67"/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0</v>
      </c>
      <c r="X493" s="43">
        <f>IFERROR(SUM(X491:X491),"0")</f>
        <v>0</v>
      </c>
      <c r="Y493" s="43">
        <f>IFERROR(SUM(Y491:Y491),"0")</f>
        <v>0</v>
      </c>
      <c r="Z493" s="42"/>
      <c r="AA493" s="67"/>
      <c r="AB493" s="67"/>
      <c r="AC493" s="67"/>
    </row>
    <row r="494" spans="1:68" ht="16.5" hidden="1" customHeight="1" x14ac:dyDescent="0.25">
      <c r="A494" s="647" t="s">
        <v>799</v>
      </c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7"/>
      <c r="P494" s="647"/>
      <c r="Q494" s="647"/>
      <c r="R494" s="647"/>
      <c r="S494" s="647"/>
      <c r="T494" s="647"/>
      <c r="U494" s="647"/>
      <c r="V494" s="647"/>
      <c r="W494" s="647"/>
      <c r="X494" s="647"/>
      <c r="Y494" s="647"/>
      <c r="Z494" s="647"/>
      <c r="AA494" s="65"/>
      <c r="AB494" s="65"/>
      <c r="AC494" s="79"/>
    </row>
    <row r="495" spans="1:68" ht="14.25" hidden="1" customHeight="1" x14ac:dyDescent="0.25">
      <c r="A495" s="648" t="s">
        <v>161</v>
      </c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  <c r="X495" s="648"/>
      <c r="Y495" s="648"/>
      <c r="Z495" s="64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4301020416</v>
      </c>
      <c r="D496" s="649">
        <v>4680115885240</v>
      </c>
      <c r="E496" s="649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82</v>
      </c>
      <c r="L496" s="37" t="s">
        <v>46</v>
      </c>
      <c r="M496" s="38" t="s">
        <v>133</v>
      </c>
      <c r="N496" s="38"/>
      <c r="O496" s="37">
        <v>40</v>
      </c>
      <c r="P496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586" t="s">
        <v>802</v>
      </c>
      <c r="AG496" s="78"/>
      <c r="AJ496" s="84" t="s">
        <v>46</v>
      </c>
      <c r="AK496" s="84">
        <v>0</v>
      </c>
      <c r="BB496" s="587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56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53" t="s">
        <v>40</v>
      </c>
      <c r="Q497" s="654"/>
      <c r="R497" s="654"/>
      <c r="S497" s="654"/>
      <c r="T497" s="654"/>
      <c r="U497" s="654"/>
      <c r="V497" s="655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hidden="1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53" t="s">
        <v>40</v>
      </c>
      <c r="Q498" s="654"/>
      <c r="R498" s="654"/>
      <c r="S498" s="654"/>
      <c r="T498" s="654"/>
      <c r="U498" s="654"/>
      <c r="V498" s="655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hidden="1" customHeight="1" x14ac:dyDescent="0.25">
      <c r="A499" s="648" t="s">
        <v>256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6"/>
      <c r="AB499" s="66"/>
      <c r="AC499" s="80"/>
    </row>
    <row r="500" spans="1:68" ht="27" customHeight="1" x14ac:dyDescent="0.25">
      <c r="A500" s="63" t="s">
        <v>803</v>
      </c>
      <c r="B500" s="63" t="s">
        <v>804</v>
      </c>
      <c r="C500" s="36">
        <v>4301031407</v>
      </c>
      <c r="D500" s="649">
        <v>4680115886094</v>
      </c>
      <c r="E500" s="649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137</v>
      </c>
      <c r="L500" s="37" t="s">
        <v>46</v>
      </c>
      <c r="M500" s="38" t="s">
        <v>133</v>
      </c>
      <c r="N500" s="38"/>
      <c r="O500" s="37">
        <v>50</v>
      </c>
      <c r="P500" s="6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180</v>
      </c>
      <c r="Y500" s="55">
        <f>IFERROR(IF(X500="",0,CEILING((X500/$H500),1)*$H500),"")</f>
        <v>183.60000000000002</v>
      </c>
      <c r="Z500" s="41">
        <f>IFERROR(IF(Y500=0,"",ROUNDUP(Y500/H500,0)*0.00902),"")</f>
        <v>0.30668000000000001</v>
      </c>
      <c r="AA500" s="68" t="s">
        <v>46</v>
      </c>
      <c r="AB500" s="69" t="s">
        <v>46</v>
      </c>
      <c r="AC500" s="588" t="s">
        <v>805</v>
      </c>
      <c r="AG500" s="78"/>
      <c r="AJ500" s="84" t="s">
        <v>46</v>
      </c>
      <c r="AK500" s="84">
        <v>0</v>
      </c>
      <c r="BB500" s="589" t="s">
        <v>67</v>
      </c>
      <c r="BM500" s="78">
        <f>IFERROR(X500*I500/H500,"0")</f>
        <v>186.33333333333331</v>
      </c>
      <c r="BN500" s="78">
        <f>IFERROR(Y500*I500/H500,"0")</f>
        <v>190.06</v>
      </c>
      <c r="BO500" s="78">
        <f>IFERROR(1/J500*(X500/H500),"0")</f>
        <v>0.25252525252525249</v>
      </c>
      <c r="BP500" s="78">
        <f>IFERROR(1/J500*(Y500/H500),"0")</f>
        <v>0.25757575757575757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4301031373</v>
      </c>
      <c r="D501" s="649">
        <v>4680115880771</v>
      </c>
      <c r="E501" s="649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234</v>
      </c>
      <c r="L501" s="37" t="s">
        <v>46</v>
      </c>
      <c r="M501" s="38" t="s">
        <v>133</v>
      </c>
      <c r="N501" s="38"/>
      <c r="O501" s="37">
        <v>50</v>
      </c>
      <c r="P501" s="6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590" t="s">
        <v>808</v>
      </c>
      <c r="AG501" s="78"/>
      <c r="AJ501" s="84" t="s">
        <v>46</v>
      </c>
      <c r="AK501" s="84">
        <v>0</v>
      </c>
      <c r="BB501" s="591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809</v>
      </c>
      <c r="B502" s="63" t="s">
        <v>810</v>
      </c>
      <c r="C502" s="36">
        <v>4301031359</v>
      </c>
      <c r="D502" s="649">
        <v>4607091389500</v>
      </c>
      <c r="E502" s="649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234</v>
      </c>
      <c r="L502" s="37" t="s">
        <v>46</v>
      </c>
      <c r="M502" s="38" t="s">
        <v>133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592" t="s">
        <v>808</v>
      </c>
      <c r="AG502" s="78"/>
      <c r="AJ502" s="84" t="s">
        <v>46</v>
      </c>
      <c r="AK502" s="84">
        <v>0</v>
      </c>
      <c r="BB502" s="593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x14ac:dyDescent="0.2">
      <c r="A503" s="656"/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7"/>
      <c r="P503" s="653" t="s">
        <v>40</v>
      </c>
      <c r="Q503" s="654"/>
      <c r="R503" s="654"/>
      <c r="S503" s="654"/>
      <c r="T503" s="654"/>
      <c r="U503" s="654"/>
      <c r="V503" s="655"/>
      <c r="W503" s="42" t="s">
        <v>39</v>
      </c>
      <c r="X503" s="43">
        <f>IFERROR(X500/H500,"0")+IFERROR(X501/H501,"0")+IFERROR(X502/H502,"0")</f>
        <v>33.333333333333329</v>
      </c>
      <c r="Y503" s="43">
        <f>IFERROR(Y500/H500,"0")+IFERROR(Y501/H501,"0")+IFERROR(Y502/H502,"0")</f>
        <v>34</v>
      </c>
      <c r="Z503" s="43">
        <f>IFERROR(IF(Z500="",0,Z500),"0")+IFERROR(IF(Z501="",0,Z501),"0")+IFERROR(IF(Z502="",0,Z502),"0")</f>
        <v>0.30668000000000001</v>
      </c>
      <c r="AA503" s="67"/>
      <c r="AB503" s="67"/>
      <c r="AC503" s="67"/>
    </row>
    <row r="504" spans="1:68" x14ac:dyDescent="0.2">
      <c r="A504" s="656"/>
      <c r="B504" s="656"/>
      <c r="C504" s="656"/>
      <c r="D504" s="656"/>
      <c r="E504" s="656"/>
      <c r="F504" s="656"/>
      <c r="G504" s="656"/>
      <c r="H504" s="656"/>
      <c r="I504" s="656"/>
      <c r="J504" s="656"/>
      <c r="K504" s="656"/>
      <c r="L504" s="656"/>
      <c r="M504" s="656"/>
      <c r="N504" s="656"/>
      <c r="O504" s="657"/>
      <c r="P504" s="653" t="s">
        <v>40</v>
      </c>
      <c r="Q504" s="654"/>
      <c r="R504" s="654"/>
      <c r="S504" s="654"/>
      <c r="T504" s="654"/>
      <c r="U504" s="654"/>
      <c r="V504" s="655"/>
      <c r="W504" s="42" t="s">
        <v>0</v>
      </c>
      <c r="X504" s="43">
        <f>IFERROR(SUM(X500:X502),"0")</f>
        <v>180</v>
      </c>
      <c r="Y504" s="43">
        <f>IFERROR(SUM(Y500:Y502),"0")</f>
        <v>183.60000000000002</v>
      </c>
      <c r="Z504" s="42"/>
      <c r="AA504" s="67"/>
      <c r="AB504" s="67"/>
      <c r="AC504" s="67"/>
    </row>
    <row r="505" spans="1:68" ht="27.75" hidden="1" customHeight="1" x14ac:dyDescent="0.2">
      <c r="A505" s="666" t="s">
        <v>811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54"/>
      <c r="AB505" s="54"/>
      <c r="AC505" s="54"/>
    </row>
    <row r="506" spans="1:68" ht="16.5" hidden="1" customHeight="1" x14ac:dyDescent="0.25">
      <c r="A506" s="647" t="s">
        <v>811</v>
      </c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47"/>
      <c r="P506" s="647"/>
      <c r="Q506" s="647"/>
      <c r="R506" s="647"/>
      <c r="S506" s="647"/>
      <c r="T506" s="647"/>
      <c r="U506" s="647"/>
      <c r="V506" s="647"/>
      <c r="W506" s="647"/>
      <c r="X506" s="647"/>
      <c r="Y506" s="647"/>
      <c r="Z506" s="647"/>
      <c r="AA506" s="65"/>
      <c r="AB506" s="65"/>
      <c r="AC506" s="79"/>
    </row>
    <row r="507" spans="1:68" ht="14.25" hidden="1" customHeight="1" x14ac:dyDescent="0.25">
      <c r="A507" s="648" t="s">
        <v>124</v>
      </c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8"/>
      <c r="P507" s="648"/>
      <c r="Q507" s="648"/>
      <c r="R507" s="648"/>
      <c r="S507" s="648"/>
      <c r="T507" s="648"/>
      <c r="U507" s="648"/>
      <c r="V507" s="648"/>
      <c r="W507" s="648"/>
      <c r="X507" s="648"/>
      <c r="Y507" s="648"/>
      <c r="Z507" s="648"/>
      <c r="AA507" s="66"/>
      <c r="AB507" s="66"/>
      <c r="AC507" s="80"/>
    </row>
    <row r="508" spans="1:68" ht="27" hidden="1" customHeight="1" x14ac:dyDescent="0.25">
      <c r="A508" s="63" t="s">
        <v>812</v>
      </c>
      <c r="B508" s="63" t="s">
        <v>813</v>
      </c>
      <c r="C508" s="36">
        <v>4301011769</v>
      </c>
      <c r="D508" s="649">
        <v>4607091389067</v>
      </c>
      <c r="E508" s="64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129</v>
      </c>
      <c r="L508" s="37" t="s">
        <v>46</v>
      </c>
      <c r="M508" s="38" t="s">
        <v>81</v>
      </c>
      <c r="N508" s="38"/>
      <c r="O508" s="37">
        <v>60</v>
      </c>
      <c r="P508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5" si="72"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594" t="s">
        <v>127</v>
      </c>
      <c r="AG508" s="78"/>
      <c r="AJ508" s="84" t="s">
        <v>46</v>
      </c>
      <c r="AK508" s="84">
        <v>0</v>
      </c>
      <c r="BB508" s="595" t="s">
        <v>67</v>
      </c>
      <c r="BM508" s="78">
        <f t="shared" ref="BM508:BM515" si="73">IFERROR(X508*I508/H508,"0")</f>
        <v>0</v>
      </c>
      <c r="BN508" s="78">
        <f t="shared" ref="BN508:BN515" si="74">IFERROR(Y508*I508/H508,"0")</f>
        <v>0</v>
      </c>
      <c r="BO508" s="78">
        <f t="shared" ref="BO508:BO515" si="75">IFERROR(1/J508*(X508/H508),"0")</f>
        <v>0</v>
      </c>
      <c r="BP508" s="78">
        <f t="shared" ref="BP508:BP515" si="76">IFERROR(1/J508*(Y508/H508),"0")</f>
        <v>0</v>
      </c>
    </row>
    <row r="509" spans="1:68" ht="16.5" hidden="1" customHeight="1" x14ac:dyDescent="0.25">
      <c r="A509" s="63" t="s">
        <v>814</v>
      </c>
      <c r="B509" s="63" t="s">
        <v>815</v>
      </c>
      <c r="C509" s="36">
        <v>4301012380</v>
      </c>
      <c r="D509" s="649">
        <v>4680115889576</v>
      </c>
      <c r="E509" s="64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129</v>
      </c>
      <c r="L509" s="37" t="s">
        <v>46</v>
      </c>
      <c r="M509" s="38" t="s">
        <v>128</v>
      </c>
      <c r="N509" s="38"/>
      <c r="O509" s="37">
        <v>60</v>
      </c>
      <c r="P509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2"/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6" t="s">
        <v>816</v>
      </c>
      <c r="AG509" s="78"/>
      <c r="AJ509" s="84" t="s">
        <v>46</v>
      </c>
      <c r="AK509" s="84">
        <v>0</v>
      </c>
      <c r="BB509" s="597" t="s">
        <v>67</v>
      </c>
      <c r="BM509" s="78">
        <f t="shared" si="73"/>
        <v>0</v>
      </c>
      <c r="BN509" s="78">
        <f t="shared" si="74"/>
        <v>0</v>
      </c>
      <c r="BO509" s="78">
        <f t="shared" si="75"/>
        <v>0</v>
      </c>
      <c r="BP509" s="78">
        <f t="shared" si="76"/>
        <v>0</v>
      </c>
    </row>
    <row r="510" spans="1:68" ht="27" hidden="1" customHeight="1" x14ac:dyDescent="0.25">
      <c r="A510" s="63" t="s">
        <v>817</v>
      </c>
      <c r="B510" s="63" t="s">
        <v>818</v>
      </c>
      <c r="C510" s="36">
        <v>4301011961</v>
      </c>
      <c r="D510" s="649">
        <v>4680115885271</v>
      </c>
      <c r="E510" s="64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129</v>
      </c>
      <c r="L510" s="37" t="s">
        <v>46</v>
      </c>
      <c r="M510" s="38" t="s">
        <v>128</v>
      </c>
      <c r="N510" s="38"/>
      <c r="O510" s="37">
        <v>60</v>
      </c>
      <c r="P510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1"/>
      <c r="R510" s="651"/>
      <c r="S510" s="651"/>
      <c r="T510" s="652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2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8" t="s">
        <v>819</v>
      </c>
      <c r="AG510" s="78"/>
      <c r="AJ510" s="84" t="s">
        <v>46</v>
      </c>
      <c r="AK510" s="84">
        <v>0</v>
      </c>
      <c r="BB510" s="599" t="s">
        <v>67</v>
      </c>
      <c r="BM510" s="78">
        <f t="shared" si="73"/>
        <v>0</v>
      </c>
      <c r="BN510" s="78">
        <f t="shared" si="74"/>
        <v>0</v>
      </c>
      <c r="BO510" s="78">
        <f t="shared" si="75"/>
        <v>0</v>
      </c>
      <c r="BP510" s="78">
        <f t="shared" si="76"/>
        <v>0</v>
      </c>
    </row>
    <row r="511" spans="1:68" ht="27" customHeight="1" x14ac:dyDescent="0.25">
      <c r="A511" s="63" t="s">
        <v>820</v>
      </c>
      <c r="B511" s="63" t="s">
        <v>821</v>
      </c>
      <c r="C511" s="36">
        <v>4301011369</v>
      </c>
      <c r="D511" s="649">
        <v>4680115885226</v>
      </c>
      <c r="E511" s="64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129</v>
      </c>
      <c r="L511" s="37" t="s">
        <v>46</v>
      </c>
      <c r="M511" s="38" t="s">
        <v>128</v>
      </c>
      <c r="N511" s="38"/>
      <c r="O511" s="37">
        <v>60</v>
      </c>
      <c r="P511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1"/>
      <c r="R511" s="651"/>
      <c r="S511" s="651"/>
      <c r="T511" s="652"/>
      <c r="U511" s="39" t="s">
        <v>46</v>
      </c>
      <c r="V511" s="39" t="s">
        <v>46</v>
      </c>
      <c r="W511" s="40" t="s">
        <v>0</v>
      </c>
      <c r="X511" s="58">
        <v>100</v>
      </c>
      <c r="Y511" s="55">
        <f t="shared" si="72"/>
        <v>100.32000000000001</v>
      </c>
      <c r="Z511" s="41">
        <f>IFERROR(IF(Y511=0,"",ROUNDUP(Y511/H511,0)*0.01196),"")</f>
        <v>0.22724</v>
      </c>
      <c r="AA511" s="68" t="s">
        <v>46</v>
      </c>
      <c r="AB511" s="69" t="s">
        <v>46</v>
      </c>
      <c r="AC511" s="600" t="s">
        <v>822</v>
      </c>
      <c r="AG511" s="78"/>
      <c r="AJ511" s="84" t="s">
        <v>46</v>
      </c>
      <c r="AK511" s="84">
        <v>0</v>
      </c>
      <c r="BB511" s="601" t="s">
        <v>67</v>
      </c>
      <c r="BM511" s="78">
        <f t="shared" si="73"/>
        <v>106.62878787878788</v>
      </c>
      <c r="BN511" s="78">
        <f t="shared" si="74"/>
        <v>106.97</v>
      </c>
      <c r="BO511" s="78">
        <f t="shared" si="75"/>
        <v>0.18210955710955709</v>
      </c>
      <c r="BP511" s="78">
        <f t="shared" si="76"/>
        <v>0.18269230769230771</v>
      </c>
    </row>
    <row r="512" spans="1:68" ht="27" customHeight="1" x14ac:dyDescent="0.25">
      <c r="A512" s="63" t="s">
        <v>823</v>
      </c>
      <c r="B512" s="63" t="s">
        <v>824</v>
      </c>
      <c r="C512" s="36">
        <v>4301011771</v>
      </c>
      <c r="D512" s="649">
        <v>4607091389104</v>
      </c>
      <c r="E512" s="649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129</v>
      </c>
      <c r="L512" s="37" t="s">
        <v>46</v>
      </c>
      <c r="M512" s="38" t="s">
        <v>128</v>
      </c>
      <c r="N512" s="38"/>
      <c r="O512" s="37">
        <v>60</v>
      </c>
      <c r="P512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51"/>
      <c r="R512" s="651"/>
      <c r="S512" s="651"/>
      <c r="T512" s="652"/>
      <c r="U512" s="39" t="s">
        <v>46</v>
      </c>
      <c r="V512" s="39" t="s">
        <v>46</v>
      </c>
      <c r="W512" s="40" t="s">
        <v>0</v>
      </c>
      <c r="X512" s="58">
        <v>350</v>
      </c>
      <c r="Y512" s="55">
        <f t="shared" si="72"/>
        <v>353.76</v>
      </c>
      <c r="Z512" s="41">
        <f>IFERROR(IF(Y512=0,"",ROUNDUP(Y512/H512,0)*0.01196),"")</f>
        <v>0.80132000000000003</v>
      </c>
      <c r="AA512" s="68" t="s">
        <v>46</v>
      </c>
      <c r="AB512" s="69" t="s">
        <v>46</v>
      </c>
      <c r="AC512" s="602" t="s">
        <v>825</v>
      </c>
      <c r="AG512" s="78"/>
      <c r="AJ512" s="84" t="s">
        <v>46</v>
      </c>
      <c r="AK512" s="84">
        <v>0</v>
      </c>
      <c r="BB512" s="603" t="s">
        <v>67</v>
      </c>
      <c r="BM512" s="78">
        <f t="shared" si="73"/>
        <v>373.20075757575756</v>
      </c>
      <c r="BN512" s="78">
        <f t="shared" si="74"/>
        <v>377.21</v>
      </c>
      <c r="BO512" s="78">
        <f t="shared" si="75"/>
        <v>0.63738344988344986</v>
      </c>
      <c r="BP512" s="78">
        <f t="shared" si="76"/>
        <v>0.64423076923076927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4301012125</v>
      </c>
      <c r="D513" s="649">
        <v>4680115886391</v>
      </c>
      <c r="E513" s="649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82</v>
      </c>
      <c r="L513" s="37" t="s">
        <v>46</v>
      </c>
      <c r="M513" s="38" t="s">
        <v>81</v>
      </c>
      <c r="N513" s="38"/>
      <c r="O513" s="37">
        <v>60</v>
      </c>
      <c r="P513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2"/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04" t="s">
        <v>127</v>
      </c>
      <c r="AG513" s="78"/>
      <c r="AJ513" s="84" t="s">
        <v>46</v>
      </c>
      <c r="AK513" s="84">
        <v>0</v>
      </c>
      <c r="BB513" s="605" t="s">
        <v>67</v>
      </c>
      <c r="BM513" s="78">
        <f t="shared" si="73"/>
        <v>0</v>
      </c>
      <c r="BN513" s="78">
        <f t="shared" si="74"/>
        <v>0</v>
      </c>
      <c r="BO513" s="78">
        <f t="shared" si="75"/>
        <v>0</v>
      </c>
      <c r="BP513" s="78">
        <f t="shared" si="76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4301012048</v>
      </c>
      <c r="D514" s="649">
        <v>4680115880603</v>
      </c>
      <c r="E514" s="649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137</v>
      </c>
      <c r="L514" s="37" t="s">
        <v>46</v>
      </c>
      <c r="M514" s="38" t="s">
        <v>81</v>
      </c>
      <c r="N514" s="38"/>
      <c r="O514" s="37">
        <v>60</v>
      </c>
      <c r="P514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2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6" t="s">
        <v>127</v>
      </c>
      <c r="AG514" s="78"/>
      <c r="AJ514" s="84" t="s">
        <v>46</v>
      </c>
      <c r="AK514" s="84">
        <v>0</v>
      </c>
      <c r="BB514" s="607" t="s">
        <v>67</v>
      </c>
      <c r="BM514" s="78">
        <f t="shared" si="73"/>
        <v>0</v>
      </c>
      <c r="BN514" s="78">
        <f t="shared" si="74"/>
        <v>0</v>
      </c>
      <c r="BO514" s="78">
        <f t="shared" si="75"/>
        <v>0</v>
      </c>
      <c r="BP514" s="78">
        <f t="shared" si="76"/>
        <v>0</v>
      </c>
    </row>
    <row r="515" spans="1:68" ht="27" hidden="1" customHeight="1" x14ac:dyDescent="0.25">
      <c r="A515" s="63" t="s">
        <v>830</v>
      </c>
      <c r="B515" s="63" t="s">
        <v>831</v>
      </c>
      <c r="C515" s="36">
        <v>4301012034</v>
      </c>
      <c r="D515" s="649">
        <v>4607091389982</v>
      </c>
      <c r="E515" s="649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137</v>
      </c>
      <c r="L515" s="37" t="s">
        <v>46</v>
      </c>
      <c r="M515" s="38" t="s">
        <v>128</v>
      </c>
      <c r="N515" s="38"/>
      <c r="O515" s="37">
        <v>60</v>
      </c>
      <c r="P515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2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08" t="s">
        <v>825</v>
      </c>
      <c r="AG515" s="78"/>
      <c r="AJ515" s="84" t="s">
        <v>46</v>
      </c>
      <c r="AK515" s="84">
        <v>0</v>
      </c>
      <c r="BB515" s="609" t="s">
        <v>67</v>
      </c>
      <c r="BM515" s="78">
        <f t="shared" si="73"/>
        <v>0</v>
      </c>
      <c r="BN515" s="78">
        <f t="shared" si="74"/>
        <v>0</v>
      </c>
      <c r="BO515" s="78">
        <f t="shared" si="75"/>
        <v>0</v>
      </c>
      <c r="BP515" s="78">
        <f t="shared" si="76"/>
        <v>0</v>
      </c>
    </row>
    <row r="516" spans="1:68" x14ac:dyDescent="0.2">
      <c r="A516" s="656"/>
      <c r="B516" s="656"/>
      <c r="C516" s="656"/>
      <c r="D516" s="656"/>
      <c r="E516" s="656"/>
      <c r="F516" s="656"/>
      <c r="G516" s="656"/>
      <c r="H516" s="656"/>
      <c r="I516" s="656"/>
      <c r="J516" s="656"/>
      <c r="K516" s="656"/>
      <c r="L516" s="656"/>
      <c r="M516" s="656"/>
      <c r="N516" s="656"/>
      <c r="O516" s="657"/>
      <c r="P516" s="653" t="s">
        <v>40</v>
      </c>
      <c r="Q516" s="654"/>
      <c r="R516" s="654"/>
      <c r="S516" s="654"/>
      <c r="T516" s="654"/>
      <c r="U516" s="654"/>
      <c r="V516" s="655"/>
      <c r="W516" s="42" t="s">
        <v>39</v>
      </c>
      <c r="X516" s="43">
        <f>IFERROR(X508/H508,"0")+IFERROR(X509/H509,"0")+IFERROR(X510/H510,"0")+IFERROR(X511/H511,"0")+IFERROR(X512/H512,"0")+IFERROR(X513/H513,"0")+IFERROR(X514/H514,"0")+IFERROR(X515/H515,"0")</f>
        <v>85.22727272727272</v>
      </c>
      <c r="Y516" s="43">
        <f>IFERROR(Y508/H508,"0")+IFERROR(Y509/H509,"0")+IFERROR(Y510/H510,"0")+IFERROR(Y511/H511,"0")+IFERROR(Y512/H512,"0")+IFERROR(Y513/H513,"0")+IFERROR(Y514/H514,"0")+IFERROR(Y515/H515,"0")</f>
        <v>86</v>
      </c>
      <c r="Z516" s="43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1.0285600000000001</v>
      </c>
      <c r="AA516" s="67"/>
      <c r="AB516" s="67"/>
      <c r="AC516" s="67"/>
    </row>
    <row r="517" spans="1:68" x14ac:dyDescent="0.2">
      <c r="A517" s="656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53" t="s">
        <v>40</v>
      </c>
      <c r="Q517" s="654"/>
      <c r="R517" s="654"/>
      <c r="S517" s="654"/>
      <c r="T517" s="654"/>
      <c r="U517" s="654"/>
      <c r="V517" s="655"/>
      <c r="W517" s="42" t="s">
        <v>0</v>
      </c>
      <c r="X517" s="43">
        <f>IFERROR(SUM(X508:X515),"0")</f>
        <v>450</v>
      </c>
      <c r="Y517" s="43">
        <f>IFERROR(SUM(Y508:Y515),"0")</f>
        <v>454.08</v>
      </c>
      <c r="Z517" s="42"/>
      <c r="AA517" s="67"/>
      <c r="AB517" s="67"/>
      <c r="AC517" s="67"/>
    </row>
    <row r="518" spans="1:68" ht="14.25" hidden="1" customHeight="1" x14ac:dyDescent="0.25">
      <c r="A518" s="648" t="s">
        <v>161</v>
      </c>
      <c r="B518" s="648"/>
      <c r="C518" s="648"/>
      <c r="D518" s="648"/>
      <c r="E518" s="648"/>
      <c r="F518" s="648"/>
      <c r="G518" s="648"/>
      <c r="H518" s="648"/>
      <c r="I518" s="648"/>
      <c r="J518" s="648"/>
      <c r="K518" s="648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  <c r="X518" s="648"/>
      <c r="Y518" s="648"/>
      <c r="Z518" s="648"/>
      <c r="AA518" s="66"/>
      <c r="AB518" s="66"/>
      <c r="AC518" s="80"/>
    </row>
    <row r="519" spans="1:68" ht="16.5" customHeight="1" x14ac:dyDescent="0.25">
      <c r="A519" s="63" t="s">
        <v>832</v>
      </c>
      <c r="B519" s="63" t="s">
        <v>833</v>
      </c>
      <c r="C519" s="36">
        <v>4301020334</v>
      </c>
      <c r="D519" s="649">
        <v>4607091388930</v>
      </c>
      <c r="E519" s="64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129</v>
      </c>
      <c r="L519" s="37" t="s">
        <v>46</v>
      </c>
      <c r="M519" s="38" t="s">
        <v>81</v>
      </c>
      <c r="N519" s="38"/>
      <c r="O519" s="37">
        <v>70</v>
      </c>
      <c r="P519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350</v>
      </c>
      <c r="Y519" s="55">
        <f>IFERROR(IF(X519="",0,CEILING((X519/$H519),1)*$H519),"")</f>
        <v>353.76</v>
      </c>
      <c r="Z519" s="41">
        <f>IFERROR(IF(Y519=0,"",ROUNDUP(Y519/H519,0)*0.01196),"")</f>
        <v>0.80132000000000003</v>
      </c>
      <c r="AA519" s="68" t="s">
        <v>46</v>
      </c>
      <c r="AB519" s="69" t="s">
        <v>46</v>
      </c>
      <c r="AC519" s="610" t="s">
        <v>834</v>
      </c>
      <c r="AG519" s="78"/>
      <c r="AJ519" s="84" t="s">
        <v>46</v>
      </c>
      <c r="AK519" s="84">
        <v>0</v>
      </c>
      <c r="BB519" s="611" t="s">
        <v>67</v>
      </c>
      <c r="BM519" s="78">
        <f>IFERROR(X519*I519/H519,"0")</f>
        <v>373.20075757575756</v>
      </c>
      <c r="BN519" s="78">
        <f>IFERROR(Y519*I519/H519,"0")</f>
        <v>377.21</v>
      </c>
      <c r="BO519" s="78">
        <f>IFERROR(1/J519*(X519/H519),"0")</f>
        <v>0.63738344988344986</v>
      </c>
      <c r="BP519" s="78">
        <f>IFERROR(1/J519*(Y519/H519),"0")</f>
        <v>0.64423076923076927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4301020374</v>
      </c>
      <c r="D520" s="649">
        <v>4680115886407</v>
      </c>
      <c r="E520" s="649"/>
      <c r="F520" s="62">
        <v>0.4</v>
      </c>
      <c r="G520" s="37">
        <v>6</v>
      </c>
      <c r="H520" s="62">
        <v>2.4</v>
      </c>
      <c r="I520" s="62">
        <v>2.58</v>
      </c>
      <c r="J520" s="37">
        <v>182</v>
      </c>
      <c r="K520" s="37" t="s">
        <v>82</v>
      </c>
      <c r="L520" s="37" t="s">
        <v>46</v>
      </c>
      <c r="M520" s="38" t="s">
        <v>128</v>
      </c>
      <c r="N520" s="38"/>
      <c r="O520" s="37">
        <v>70</v>
      </c>
      <c r="P520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51"/>
      <c r="R520" s="651"/>
      <c r="S520" s="651"/>
      <c r="T520" s="652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IFERROR(IF(Y520=0,"",ROUNDUP(Y520/H520,0)*0.00651),"")</f>
        <v/>
      </c>
      <c r="AA520" s="68" t="s">
        <v>46</v>
      </c>
      <c r="AB520" s="69" t="s">
        <v>46</v>
      </c>
      <c r="AC520" s="612" t="s">
        <v>834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hidden="1" customHeight="1" x14ac:dyDescent="0.25">
      <c r="A521" s="63" t="s">
        <v>837</v>
      </c>
      <c r="B521" s="63" t="s">
        <v>838</v>
      </c>
      <c r="C521" s="36">
        <v>4301020385</v>
      </c>
      <c r="D521" s="649">
        <v>4680115880054</v>
      </c>
      <c r="E521" s="649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137</v>
      </c>
      <c r="L521" s="37" t="s">
        <v>46</v>
      </c>
      <c r="M521" s="38" t="s">
        <v>128</v>
      </c>
      <c r="N521" s="38"/>
      <c r="O521" s="37">
        <v>70</v>
      </c>
      <c r="P521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51"/>
      <c r="R521" s="651"/>
      <c r="S521" s="651"/>
      <c r="T521" s="65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14" t="s">
        <v>834</v>
      </c>
      <c r="AG521" s="78"/>
      <c r="AJ521" s="84" t="s">
        <v>46</v>
      </c>
      <c r="AK521" s="84">
        <v>0</v>
      </c>
      <c r="BB521" s="615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56"/>
      <c r="B522" s="656"/>
      <c r="C522" s="656"/>
      <c r="D522" s="656"/>
      <c r="E522" s="656"/>
      <c r="F522" s="656"/>
      <c r="G522" s="656"/>
      <c r="H522" s="656"/>
      <c r="I522" s="656"/>
      <c r="J522" s="656"/>
      <c r="K522" s="656"/>
      <c r="L522" s="656"/>
      <c r="M522" s="656"/>
      <c r="N522" s="656"/>
      <c r="O522" s="657"/>
      <c r="P522" s="653" t="s">
        <v>40</v>
      </c>
      <c r="Q522" s="654"/>
      <c r="R522" s="654"/>
      <c r="S522" s="654"/>
      <c r="T522" s="654"/>
      <c r="U522" s="654"/>
      <c r="V522" s="655"/>
      <c r="W522" s="42" t="s">
        <v>39</v>
      </c>
      <c r="X522" s="43">
        <f>IFERROR(X519/H519,"0")+IFERROR(X520/H520,"0")+IFERROR(X521/H521,"0")</f>
        <v>66.287878787878782</v>
      </c>
      <c r="Y522" s="43">
        <f>IFERROR(Y519/H519,"0")+IFERROR(Y520/H520,"0")+IFERROR(Y521/H521,"0")</f>
        <v>67</v>
      </c>
      <c r="Z522" s="43">
        <f>IFERROR(IF(Z519="",0,Z519),"0")+IFERROR(IF(Z520="",0,Z520),"0")+IFERROR(IF(Z521="",0,Z521),"0")</f>
        <v>0.80132000000000003</v>
      </c>
      <c r="AA522" s="67"/>
      <c r="AB522" s="67"/>
      <c r="AC522" s="67"/>
    </row>
    <row r="523" spans="1:68" x14ac:dyDescent="0.2">
      <c r="A523" s="656"/>
      <c r="B523" s="656"/>
      <c r="C523" s="656"/>
      <c r="D523" s="656"/>
      <c r="E523" s="656"/>
      <c r="F523" s="656"/>
      <c r="G523" s="656"/>
      <c r="H523" s="656"/>
      <c r="I523" s="656"/>
      <c r="J523" s="656"/>
      <c r="K523" s="656"/>
      <c r="L523" s="656"/>
      <c r="M523" s="656"/>
      <c r="N523" s="656"/>
      <c r="O523" s="657"/>
      <c r="P523" s="653" t="s">
        <v>40</v>
      </c>
      <c r="Q523" s="654"/>
      <c r="R523" s="654"/>
      <c r="S523" s="654"/>
      <c r="T523" s="654"/>
      <c r="U523" s="654"/>
      <c r="V523" s="655"/>
      <c r="W523" s="42" t="s">
        <v>0</v>
      </c>
      <c r="X523" s="43">
        <f>IFERROR(SUM(X519:X521),"0")</f>
        <v>350</v>
      </c>
      <c r="Y523" s="43">
        <f>IFERROR(SUM(Y519:Y521),"0")</f>
        <v>353.76</v>
      </c>
      <c r="Z523" s="42"/>
      <c r="AA523" s="67"/>
      <c r="AB523" s="67"/>
      <c r="AC523" s="67"/>
    </row>
    <row r="524" spans="1:68" ht="14.25" hidden="1" customHeight="1" x14ac:dyDescent="0.25">
      <c r="A524" s="648" t="s">
        <v>256</v>
      </c>
      <c r="B524" s="648"/>
      <c r="C524" s="648"/>
      <c r="D524" s="648"/>
      <c r="E524" s="648"/>
      <c r="F524" s="648"/>
      <c r="G524" s="648"/>
      <c r="H524" s="648"/>
      <c r="I524" s="648"/>
      <c r="J524" s="648"/>
      <c r="K524" s="648"/>
      <c r="L524" s="648"/>
      <c r="M524" s="648"/>
      <c r="N524" s="648"/>
      <c r="O524" s="648"/>
      <c r="P524" s="648"/>
      <c r="Q524" s="648"/>
      <c r="R524" s="648"/>
      <c r="S524" s="648"/>
      <c r="T524" s="648"/>
      <c r="U524" s="648"/>
      <c r="V524" s="648"/>
      <c r="W524" s="648"/>
      <c r="X524" s="648"/>
      <c r="Y524" s="648"/>
      <c r="Z524" s="648"/>
      <c r="AA524" s="66"/>
      <c r="AB524" s="66"/>
      <c r="AC524" s="80"/>
    </row>
    <row r="525" spans="1:68" ht="27" customHeight="1" x14ac:dyDescent="0.25">
      <c r="A525" s="63" t="s">
        <v>839</v>
      </c>
      <c r="B525" s="63" t="s">
        <v>840</v>
      </c>
      <c r="C525" s="36">
        <v>4301031349</v>
      </c>
      <c r="D525" s="649">
        <v>4680115883116</v>
      </c>
      <c r="E525" s="649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129</v>
      </c>
      <c r="L525" s="37" t="s">
        <v>46</v>
      </c>
      <c r="M525" s="38" t="s">
        <v>128</v>
      </c>
      <c r="N525" s="38"/>
      <c r="O525" s="37">
        <v>70</v>
      </c>
      <c r="P525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80</v>
      </c>
      <c r="Y525" s="55">
        <f t="shared" ref="Y525:Y531" si="77">IFERROR(IF(X525="",0,CEILING((X525/$H525),1)*$H525),"")</f>
        <v>84.48</v>
      </c>
      <c r="Z525" s="41">
        <f>IFERROR(IF(Y525=0,"",ROUNDUP(Y525/H525,0)*0.01196),"")</f>
        <v>0.19136</v>
      </c>
      <c r="AA525" s="68" t="s">
        <v>46</v>
      </c>
      <c r="AB525" s="69" t="s">
        <v>46</v>
      </c>
      <c r="AC525" s="616" t="s">
        <v>841</v>
      </c>
      <c r="AG525" s="78"/>
      <c r="AJ525" s="84" t="s">
        <v>46</v>
      </c>
      <c r="AK525" s="84">
        <v>0</v>
      </c>
      <c r="BB525" s="617" t="s">
        <v>67</v>
      </c>
      <c r="BM525" s="78">
        <f t="shared" ref="BM525:BM531" si="78">IFERROR(X525*I525/H525,"0")</f>
        <v>85.303030303030297</v>
      </c>
      <c r="BN525" s="78">
        <f t="shared" ref="BN525:BN531" si="79">IFERROR(Y525*I525/H525,"0")</f>
        <v>90.08</v>
      </c>
      <c r="BO525" s="78">
        <f t="shared" ref="BO525:BO531" si="80">IFERROR(1/J525*(X525/H525),"0")</f>
        <v>0.14568764568764569</v>
      </c>
      <c r="BP525" s="78">
        <f t="shared" ref="BP525:BP531" si="81">IFERROR(1/J525*(Y525/H525),"0")</f>
        <v>0.15384615384615385</v>
      </c>
    </row>
    <row r="526" spans="1:68" ht="27" customHeight="1" x14ac:dyDescent="0.25">
      <c r="A526" s="63" t="s">
        <v>842</v>
      </c>
      <c r="B526" s="63" t="s">
        <v>843</v>
      </c>
      <c r="C526" s="36">
        <v>4301031350</v>
      </c>
      <c r="D526" s="649">
        <v>4680115883093</v>
      </c>
      <c r="E526" s="649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129</v>
      </c>
      <c r="L526" s="37" t="s">
        <v>46</v>
      </c>
      <c r="M526" s="38" t="s">
        <v>133</v>
      </c>
      <c r="N526" s="38"/>
      <c r="O526" s="37">
        <v>70</v>
      </c>
      <c r="P526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51"/>
      <c r="R526" s="651"/>
      <c r="S526" s="651"/>
      <c r="T526" s="652"/>
      <c r="U526" s="39" t="s">
        <v>46</v>
      </c>
      <c r="V526" s="39" t="s">
        <v>46</v>
      </c>
      <c r="W526" s="40" t="s">
        <v>0</v>
      </c>
      <c r="X526" s="58">
        <v>80</v>
      </c>
      <c r="Y526" s="55">
        <f t="shared" si="77"/>
        <v>84.48</v>
      </c>
      <c r="Z526" s="41">
        <f>IFERROR(IF(Y526=0,"",ROUNDUP(Y526/H526,0)*0.01196),"")</f>
        <v>0.19136</v>
      </c>
      <c r="AA526" s="68" t="s">
        <v>46</v>
      </c>
      <c r="AB526" s="69" t="s">
        <v>46</v>
      </c>
      <c r="AC526" s="618" t="s">
        <v>844</v>
      </c>
      <c r="AG526" s="78"/>
      <c r="AJ526" s="84" t="s">
        <v>46</v>
      </c>
      <c r="AK526" s="84">
        <v>0</v>
      </c>
      <c r="BB526" s="619" t="s">
        <v>67</v>
      </c>
      <c r="BM526" s="78">
        <f t="shared" si="78"/>
        <v>85.303030303030297</v>
      </c>
      <c r="BN526" s="78">
        <f t="shared" si="79"/>
        <v>90.08</v>
      </c>
      <c r="BO526" s="78">
        <f t="shared" si="80"/>
        <v>0.14568764568764569</v>
      </c>
      <c r="BP526" s="78">
        <f t="shared" si="81"/>
        <v>0.15384615384615385</v>
      </c>
    </row>
    <row r="527" spans="1:68" ht="27" customHeight="1" x14ac:dyDescent="0.25">
      <c r="A527" s="63" t="s">
        <v>845</v>
      </c>
      <c r="B527" s="63" t="s">
        <v>846</v>
      </c>
      <c r="C527" s="36">
        <v>4301031353</v>
      </c>
      <c r="D527" s="649">
        <v>4680115883109</v>
      </c>
      <c r="E527" s="649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129</v>
      </c>
      <c r="L527" s="37" t="s">
        <v>46</v>
      </c>
      <c r="M527" s="38" t="s">
        <v>133</v>
      </c>
      <c r="N527" s="38"/>
      <c r="O527" s="37">
        <v>70</v>
      </c>
      <c r="P527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51"/>
      <c r="R527" s="651"/>
      <c r="S527" s="651"/>
      <c r="T527" s="652"/>
      <c r="U527" s="39" t="s">
        <v>46</v>
      </c>
      <c r="V527" s="39" t="s">
        <v>46</v>
      </c>
      <c r="W527" s="40" t="s">
        <v>0</v>
      </c>
      <c r="X527" s="58">
        <v>80</v>
      </c>
      <c r="Y527" s="55">
        <f t="shared" si="77"/>
        <v>84.48</v>
      </c>
      <c r="Z527" s="41">
        <f>IFERROR(IF(Y527=0,"",ROUNDUP(Y527/H527,0)*0.01196),"")</f>
        <v>0.19136</v>
      </c>
      <c r="AA527" s="68" t="s">
        <v>46</v>
      </c>
      <c r="AB527" s="69" t="s">
        <v>46</v>
      </c>
      <c r="AC527" s="620" t="s">
        <v>847</v>
      </c>
      <c r="AG527" s="78"/>
      <c r="AJ527" s="84" t="s">
        <v>46</v>
      </c>
      <c r="AK527" s="84">
        <v>0</v>
      </c>
      <c r="BB527" s="621" t="s">
        <v>67</v>
      </c>
      <c r="BM527" s="78">
        <f t="shared" si="78"/>
        <v>85.303030303030297</v>
      </c>
      <c r="BN527" s="78">
        <f t="shared" si="79"/>
        <v>90.08</v>
      </c>
      <c r="BO527" s="78">
        <f t="shared" si="80"/>
        <v>0.14568764568764569</v>
      </c>
      <c r="BP527" s="78">
        <f t="shared" si="81"/>
        <v>0.15384615384615385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4301031419</v>
      </c>
      <c r="D528" s="649">
        <v>4680115882072</v>
      </c>
      <c r="E528" s="649"/>
      <c r="F528" s="62">
        <v>0.6</v>
      </c>
      <c r="G528" s="37">
        <v>8</v>
      </c>
      <c r="H528" s="62">
        <v>4.8</v>
      </c>
      <c r="I528" s="62">
        <v>6.91</v>
      </c>
      <c r="J528" s="37">
        <v>132</v>
      </c>
      <c r="K528" s="37" t="s">
        <v>137</v>
      </c>
      <c r="L528" s="37" t="s">
        <v>46</v>
      </c>
      <c r="M528" s="38" t="s">
        <v>128</v>
      </c>
      <c r="N528" s="38"/>
      <c r="O528" s="37">
        <v>70</v>
      </c>
      <c r="P528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51"/>
      <c r="R528" s="651"/>
      <c r="S528" s="651"/>
      <c r="T528" s="652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7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22" t="s">
        <v>841</v>
      </c>
      <c r="AG528" s="78"/>
      <c r="AJ528" s="84" t="s">
        <v>46</v>
      </c>
      <c r="AK528" s="84">
        <v>0</v>
      </c>
      <c r="BB528" s="623" t="s">
        <v>67</v>
      </c>
      <c r="BM528" s="78">
        <f t="shared" si="78"/>
        <v>0</v>
      </c>
      <c r="BN528" s="78">
        <f t="shared" si="79"/>
        <v>0</v>
      </c>
      <c r="BO528" s="78">
        <f t="shared" si="80"/>
        <v>0</v>
      </c>
      <c r="BP528" s="78">
        <f t="shared" si="81"/>
        <v>0</v>
      </c>
    </row>
    <row r="529" spans="1:68" ht="27" hidden="1" customHeight="1" x14ac:dyDescent="0.25">
      <c r="A529" s="63" t="s">
        <v>850</v>
      </c>
      <c r="B529" s="63" t="s">
        <v>851</v>
      </c>
      <c r="C529" s="36">
        <v>4301031352</v>
      </c>
      <c r="D529" s="649">
        <v>4680115882102</v>
      </c>
      <c r="E529" s="649"/>
      <c r="F529" s="62">
        <v>0.6</v>
      </c>
      <c r="G529" s="37">
        <v>6</v>
      </c>
      <c r="H529" s="62">
        <v>3.6</v>
      </c>
      <c r="I529" s="62">
        <v>3.79</v>
      </c>
      <c r="J529" s="37">
        <v>132</v>
      </c>
      <c r="K529" s="37" t="s">
        <v>137</v>
      </c>
      <c r="L529" s="37" t="s">
        <v>46</v>
      </c>
      <c r="M529" s="38" t="s">
        <v>133</v>
      </c>
      <c r="N529" s="38"/>
      <c r="O529" s="37">
        <v>70</v>
      </c>
      <c r="P529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7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24" t="s">
        <v>844</v>
      </c>
      <c r="AG529" s="78"/>
      <c r="AJ529" s="84" t="s">
        <v>46</v>
      </c>
      <c r="AK529" s="84">
        <v>0</v>
      </c>
      <c r="BB529" s="625" t="s">
        <v>67</v>
      </c>
      <c r="BM529" s="78">
        <f t="shared" si="78"/>
        <v>0</v>
      </c>
      <c r="BN529" s="78">
        <f t="shared" si="79"/>
        <v>0</v>
      </c>
      <c r="BO529" s="78">
        <f t="shared" si="80"/>
        <v>0</v>
      </c>
      <c r="BP529" s="78">
        <f t="shared" si="81"/>
        <v>0</v>
      </c>
    </row>
    <row r="530" spans="1:68" ht="27" hidden="1" customHeight="1" x14ac:dyDescent="0.25">
      <c r="A530" s="63" t="s">
        <v>850</v>
      </c>
      <c r="B530" s="63" t="s">
        <v>852</v>
      </c>
      <c r="C530" s="36">
        <v>4301031418</v>
      </c>
      <c r="D530" s="649">
        <v>4680115882102</v>
      </c>
      <c r="E530" s="649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137</v>
      </c>
      <c r="L530" s="37" t="s">
        <v>46</v>
      </c>
      <c r="M530" s="38" t="s">
        <v>133</v>
      </c>
      <c r="N530" s="38"/>
      <c r="O530" s="37">
        <v>70</v>
      </c>
      <c r="P530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51"/>
      <c r="R530" s="651"/>
      <c r="S530" s="651"/>
      <c r="T530" s="652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7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6" t="s">
        <v>844</v>
      </c>
      <c r="AG530" s="78"/>
      <c r="AJ530" s="84" t="s">
        <v>46</v>
      </c>
      <c r="AK530" s="84">
        <v>0</v>
      </c>
      <c r="BB530" s="627" t="s">
        <v>67</v>
      </c>
      <c r="BM530" s="78">
        <f t="shared" si="78"/>
        <v>0</v>
      </c>
      <c r="BN530" s="78">
        <f t="shared" si="79"/>
        <v>0</v>
      </c>
      <c r="BO530" s="78">
        <f t="shared" si="80"/>
        <v>0</v>
      </c>
      <c r="BP530" s="78">
        <f t="shared" si="81"/>
        <v>0</v>
      </c>
    </row>
    <row r="531" spans="1:68" ht="27" hidden="1" customHeight="1" x14ac:dyDescent="0.25">
      <c r="A531" s="63" t="s">
        <v>853</v>
      </c>
      <c r="B531" s="63" t="s">
        <v>854</v>
      </c>
      <c r="C531" s="36">
        <v>4301031417</v>
      </c>
      <c r="D531" s="649">
        <v>4680115882096</v>
      </c>
      <c r="E531" s="649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137</v>
      </c>
      <c r="L531" s="37" t="s">
        <v>46</v>
      </c>
      <c r="M531" s="38" t="s">
        <v>133</v>
      </c>
      <c r="N531" s="38"/>
      <c r="O531" s="37">
        <v>70</v>
      </c>
      <c r="P531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51"/>
      <c r="R531" s="651"/>
      <c r="S531" s="651"/>
      <c r="T531" s="652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7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8" t="s">
        <v>847</v>
      </c>
      <c r="AG531" s="78"/>
      <c r="AJ531" s="84" t="s">
        <v>46</v>
      </c>
      <c r="AK531" s="84">
        <v>0</v>
      </c>
      <c r="BB531" s="629" t="s">
        <v>67</v>
      </c>
      <c r="BM531" s="78">
        <f t="shared" si="78"/>
        <v>0</v>
      </c>
      <c r="BN531" s="78">
        <f t="shared" si="79"/>
        <v>0</v>
      </c>
      <c r="BO531" s="78">
        <f t="shared" si="80"/>
        <v>0</v>
      </c>
      <c r="BP531" s="78">
        <f t="shared" si="81"/>
        <v>0</v>
      </c>
    </row>
    <row r="532" spans="1:68" x14ac:dyDescent="0.2">
      <c r="A532" s="656"/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7"/>
      <c r="P532" s="653" t="s">
        <v>40</v>
      </c>
      <c r="Q532" s="654"/>
      <c r="R532" s="654"/>
      <c r="S532" s="654"/>
      <c r="T532" s="654"/>
      <c r="U532" s="654"/>
      <c r="V532" s="655"/>
      <c r="W532" s="42" t="s">
        <v>39</v>
      </c>
      <c r="X532" s="43">
        <f>IFERROR(X525/H525,"0")+IFERROR(X526/H526,"0")+IFERROR(X527/H527,"0")+IFERROR(X528/H528,"0")+IFERROR(X529/H529,"0")+IFERROR(X530/H530,"0")+IFERROR(X531/H531,"0")</f>
        <v>45.454545454545453</v>
      </c>
      <c r="Y532" s="43">
        <f>IFERROR(Y525/H525,"0")+IFERROR(Y526/H526,"0")+IFERROR(Y527/H527,"0")+IFERROR(Y528/H528,"0")+IFERROR(Y529/H529,"0")+IFERROR(Y530/H530,"0")+IFERROR(Y531/H531,"0")</f>
        <v>48</v>
      </c>
      <c r="Z532" s="43">
        <f>IFERROR(IF(Z525="",0,Z525),"0")+IFERROR(IF(Z526="",0,Z526),"0")+IFERROR(IF(Z527="",0,Z527),"0")+IFERROR(IF(Z528="",0,Z528),"0")+IFERROR(IF(Z529="",0,Z529),"0")+IFERROR(IF(Z530="",0,Z530),"0")+IFERROR(IF(Z531="",0,Z531),"0")</f>
        <v>0.57408000000000003</v>
      </c>
      <c r="AA532" s="67"/>
      <c r="AB532" s="67"/>
      <c r="AC532" s="67"/>
    </row>
    <row r="533" spans="1:68" x14ac:dyDescent="0.2">
      <c r="A533" s="656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53" t="s">
        <v>40</v>
      </c>
      <c r="Q533" s="654"/>
      <c r="R533" s="654"/>
      <c r="S533" s="654"/>
      <c r="T533" s="654"/>
      <c r="U533" s="654"/>
      <c r="V533" s="655"/>
      <c r="W533" s="42" t="s">
        <v>0</v>
      </c>
      <c r="X533" s="43">
        <f>IFERROR(SUM(X525:X531),"0")</f>
        <v>240</v>
      </c>
      <c r="Y533" s="43">
        <f>IFERROR(SUM(Y525:Y531),"0")</f>
        <v>253.44</v>
      </c>
      <c r="Z533" s="42"/>
      <c r="AA533" s="67"/>
      <c r="AB533" s="67"/>
      <c r="AC533" s="67"/>
    </row>
    <row r="534" spans="1:68" ht="27.75" hidden="1" customHeight="1" x14ac:dyDescent="0.2">
      <c r="A534" s="666" t="s">
        <v>855</v>
      </c>
      <c r="B534" s="666"/>
      <c r="C534" s="666"/>
      <c r="D534" s="666"/>
      <c r="E534" s="666"/>
      <c r="F534" s="666"/>
      <c r="G534" s="666"/>
      <c r="H534" s="666"/>
      <c r="I534" s="666"/>
      <c r="J534" s="666"/>
      <c r="K534" s="666"/>
      <c r="L534" s="666"/>
      <c r="M534" s="666"/>
      <c r="N534" s="666"/>
      <c r="O534" s="666"/>
      <c r="P534" s="666"/>
      <c r="Q534" s="666"/>
      <c r="R534" s="666"/>
      <c r="S534" s="666"/>
      <c r="T534" s="666"/>
      <c r="U534" s="666"/>
      <c r="V534" s="666"/>
      <c r="W534" s="666"/>
      <c r="X534" s="666"/>
      <c r="Y534" s="666"/>
      <c r="Z534" s="666"/>
      <c r="AA534" s="54"/>
      <c r="AB534" s="54"/>
      <c r="AC534" s="54"/>
    </row>
    <row r="535" spans="1:68" ht="16.5" hidden="1" customHeight="1" x14ac:dyDescent="0.25">
      <c r="A535" s="647" t="s">
        <v>855</v>
      </c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47"/>
      <c r="P535" s="647"/>
      <c r="Q535" s="647"/>
      <c r="R535" s="647"/>
      <c r="S535" s="647"/>
      <c r="T535" s="647"/>
      <c r="U535" s="647"/>
      <c r="V535" s="647"/>
      <c r="W535" s="647"/>
      <c r="X535" s="647"/>
      <c r="Y535" s="647"/>
      <c r="Z535" s="647"/>
      <c r="AA535" s="65"/>
      <c r="AB535" s="65"/>
      <c r="AC535" s="79"/>
    </row>
    <row r="536" spans="1:68" ht="14.25" hidden="1" customHeight="1" x14ac:dyDescent="0.25">
      <c r="A536" s="648" t="s">
        <v>124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6"/>
      <c r="AB536" s="66"/>
      <c r="AC536" s="80"/>
    </row>
    <row r="537" spans="1:68" ht="27" hidden="1" customHeight="1" x14ac:dyDescent="0.25">
      <c r="A537" s="63" t="s">
        <v>856</v>
      </c>
      <c r="B537" s="63" t="s">
        <v>857</v>
      </c>
      <c r="C537" s="36">
        <v>4301012386</v>
      </c>
      <c r="D537" s="649">
        <v>4680115889736</v>
      </c>
      <c r="E537" s="649"/>
      <c r="F537" s="62">
        <v>1.5</v>
      </c>
      <c r="G537" s="37">
        <v>8</v>
      </c>
      <c r="H537" s="62">
        <v>12</v>
      </c>
      <c r="I537" s="62">
        <v>12.41</v>
      </c>
      <c r="J537" s="37">
        <v>64</v>
      </c>
      <c r="K537" s="37" t="s">
        <v>129</v>
      </c>
      <c r="L537" s="37" t="s">
        <v>46</v>
      </c>
      <c r="M537" s="38" t="s">
        <v>128</v>
      </c>
      <c r="N537" s="38"/>
      <c r="O537" s="37">
        <v>50</v>
      </c>
      <c r="P537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30" t="s">
        <v>858</v>
      </c>
      <c r="AG537" s="78"/>
      <c r="AJ537" s="84" t="s">
        <v>46</v>
      </c>
      <c r="AK537" s="84">
        <v>0</v>
      </c>
      <c r="BB537" s="63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48" t="s">
        <v>161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6"/>
      <c r="AB540" s="66"/>
      <c r="AC540" s="80"/>
    </row>
    <row r="541" spans="1:68" ht="27" hidden="1" customHeight="1" x14ac:dyDescent="0.25">
      <c r="A541" s="63" t="s">
        <v>859</v>
      </c>
      <c r="B541" s="63" t="s">
        <v>860</v>
      </c>
      <c r="C541" s="36">
        <v>4301020444</v>
      </c>
      <c r="D541" s="649">
        <v>4680115889781</v>
      </c>
      <c r="E541" s="649"/>
      <c r="F541" s="62">
        <v>1.5</v>
      </c>
      <c r="G541" s="37">
        <v>8</v>
      </c>
      <c r="H541" s="62">
        <v>12</v>
      </c>
      <c r="I541" s="62">
        <v>12.41</v>
      </c>
      <c r="J541" s="37">
        <v>64</v>
      </c>
      <c r="K541" s="37" t="s">
        <v>129</v>
      </c>
      <c r="L541" s="37" t="s">
        <v>46</v>
      </c>
      <c r="M541" s="38" t="s">
        <v>81</v>
      </c>
      <c r="N541" s="38"/>
      <c r="O541" s="37">
        <v>50</v>
      </c>
      <c r="P541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2" t="s">
        <v>740</v>
      </c>
      <c r="AG541" s="78"/>
      <c r="AJ541" s="84" t="s">
        <v>46</v>
      </c>
      <c r="AK541" s="84">
        <v>0</v>
      </c>
      <c r="BB541" s="633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48" t="s">
        <v>256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6"/>
      <c r="AB544" s="66"/>
      <c r="AC544" s="80"/>
    </row>
    <row r="545" spans="1:68" ht="27" customHeight="1" x14ac:dyDescent="0.25">
      <c r="A545" s="63" t="s">
        <v>861</v>
      </c>
      <c r="B545" s="63" t="s">
        <v>862</v>
      </c>
      <c r="C545" s="36">
        <v>4301031523</v>
      </c>
      <c r="D545" s="649">
        <v>4680115889774</v>
      </c>
      <c r="E545" s="649"/>
      <c r="F545" s="62">
        <v>0.7</v>
      </c>
      <c r="G545" s="37">
        <v>6</v>
      </c>
      <c r="H545" s="62">
        <v>4.2</v>
      </c>
      <c r="I545" s="62">
        <v>4.45</v>
      </c>
      <c r="J545" s="37">
        <v>132</v>
      </c>
      <c r="K545" s="37" t="s">
        <v>137</v>
      </c>
      <c r="L545" s="37" t="s">
        <v>46</v>
      </c>
      <c r="M545" s="38" t="s">
        <v>133</v>
      </c>
      <c r="N545" s="38"/>
      <c r="O545" s="37">
        <v>40</v>
      </c>
      <c r="P545" s="66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51"/>
      <c r="R545" s="651"/>
      <c r="S545" s="651"/>
      <c r="T545" s="652"/>
      <c r="U545" s="39" t="s">
        <v>46</v>
      </c>
      <c r="V545" s="39" t="s">
        <v>46</v>
      </c>
      <c r="W545" s="40" t="s">
        <v>0</v>
      </c>
      <c r="X545" s="58">
        <v>150</v>
      </c>
      <c r="Y545" s="55">
        <f>IFERROR(IF(X545="",0,CEILING((X545/$H545),1)*$H545),"")</f>
        <v>151.20000000000002</v>
      </c>
      <c r="Z545" s="41">
        <f>IFERROR(IF(Y545=0,"",ROUNDUP(Y545/H545,0)*0.00902),"")</f>
        <v>0.32472000000000001</v>
      </c>
      <c r="AA545" s="68" t="s">
        <v>46</v>
      </c>
      <c r="AB545" s="69" t="s">
        <v>46</v>
      </c>
      <c r="AC545" s="634" t="s">
        <v>863</v>
      </c>
      <c r="AG545" s="78"/>
      <c r="AJ545" s="84" t="s">
        <v>46</v>
      </c>
      <c r="AK545" s="84">
        <v>0</v>
      </c>
      <c r="BB545" s="635" t="s">
        <v>67</v>
      </c>
      <c r="BM545" s="78">
        <f>IFERROR(X545*I545/H545,"0")</f>
        <v>158.92857142857142</v>
      </c>
      <c r="BN545" s="78">
        <f>IFERROR(Y545*I545/H545,"0")</f>
        <v>160.20000000000002</v>
      </c>
      <c r="BO545" s="78">
        <f>IFERROR(1/J545*(X545/H545),"0")</f>
        <v>0.27056277056277056</v>
      </c>
      <c r="BP545" s="78">
        <f>IFERROR(1/J545*(Y545/H545),"0")</f>
        <v>0.27272727272727271</v>
      </c>
    </row>
    <row r="546" spans="1:68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53" t="s">
        <v>40</v>
      </c>
      <c r="Q546" s="654"/>
      <c r="R546" s="654"/>
      <c r="S546" s="654"/>
      <c r="T546" s="654"/>
      <c r="U546" s="654"/>
      <c r="V546" s="655"/>
      <c r="W546" s="42" t="s">
        <v>39</v>
      </c>
      <c r="X546" s="43">
        <f>IFERROR(X545/H545,"0")</f>
        <v>35.714285714285715</v>
      </c>
      <c r="Y546" s="43">
        <f>IFERROR(Y545/H545,"0")</f>
        <v>36</v>
      </c>
      <c r="Z546" s="43">
        <f>IFERROR(IF(Z545="",0,Z545),"0")</f>
        <v>0.32472000000000001</v>
      </c>
      <c r="AA546" s="67"/>
      <c r="AB546" s="67"/>
      <c r="AC546" s="67"/>
    </row>
    <row r="547" spans="1:68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0</v>
      </c>
      <c r="X547" s="43">
        <f>IFERROR(SUM(X545:X545),"0")</f>
        <v>150</v>
      </c>
      <c r="Y547" s="43">
        <f>IFERROR(SUM(Y545:Y545),"0")</f>
        <v>151.20000000000002</v>
      </c>
      <c r="Z547" s="42"/>
      <c r="AA547" s="67"/>
      <c r="AB547" s="67"/>
      <c r="AC547" s="67"/>
    </row>
    <row r="548" spans="1:68" ht="14.25" hidden="1" customHeight="1" x14ac:dyDescent="0.25">
      <c r="A548" s="648" t="s">
        <v>77</v>
      </c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48"/>
      <c r="P548" s="648"/>
      <c r="Q548" s="648"/>
      <c r="R548" s="648"/>
      <c r="S548" s="648"/>
      <c r="T548" s="648"/>
      <c r="U548" s="648"/>
      <c r="V548" s="648"/>
      <c r="W548" s="648"/>
      <c r="X548" s="648"/>
      <c r="Y548" s="648"/>
      <c r="Z548" s="648"/>
      <c r="AA548" s="66"/>
      <c r="AB548" s="66"/>
      <c r="AC548" s="80"/>
    </row>
    <row r="549" spans="1:68" ht="27" customHeight="1" x14ac:dyDescent="0.25">
      <c r="A549" s="63" t="s">
        <v>864</v>
      </c>
      <c r="B549" s="63" t="s">
        <v>865</v>
      </c>
      <c r="C549" s="36">
        <v>4301052282</v>
      </c>
      <c r="D549" s="649">
        <v>4680115889811</v>
      </c>
      <c r="E549" s="649"/>
      <c r="F549" s="62">
        <v>1.5</v>
      </c>
      <c r="G549" s="37">
        <v>6</v>
      </c>
      <c r="H549" s="62">
        <v>9</v>
      </c>
      <c r="I549" s="62">
        <v>9.4939999999999998</v>
      </c>
      <c r="J549" s="37">
        <v>64</v>
      </c>
      <c r="K549" s="37" t="s">
        <v>129</v>
      </c>
      <c r="L549" s="37" t="s">
        <v>46</v>
      </c>
      <c r="M549" s="38" t="s">
        <v>81</v>
      </c>
      <c r="N549" s="38"/>
      <c r="O549" s="37">
        <v>45</v>
      </c>
      <c r="P549" s="66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51"/>
      <c r="R549" s="651"/>
      <c r="S549" s="651"/>
      <c r="T549" s="652"/>
      <c r="U549" s="39" t="s">
        <v>46</v>
      </c>
      <c r="V549" s="39" t="s">
        <v>46</v>
      </c>
      <c r="W549" s="40" t="s">
        <v>0</v>
      </c>
      <c r="X549" s="58">
        <v>500</v>
      </c>
      <c r="Y549" s="55">
        <f>IFERROR(IF(X549="",0,CEILING((X549/$H549),1)*$H549),"")</f>
        <v>504</v>
      </c>
      <c r="Z549" s="41">
        <f>IFERROR(IF(Y549=0,"",ROUNDUP(Y549/H549,0)*0.01898),"")</f>
        <v>1.06288</v>
      </c>
      <c r="AA549" s="68" t="s">
        <v>46</v>
      </c>
      <c r="AB549" s="69" t="s">
        <v>46</v>
      </c>
      <c r="AC549" s="636" t="s">
        <v>866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527.44444444444446</v>
      </c>
      <c r="BN549" s="78">
        <f>IFERROR(Y549*I549/H549,"0")</f>
        <v>531.66399999999999</v>
      </c>
      <c r="BO549" s="78">
        <f>IFERROR(1/J549*(X549/H549),"0")</f>
        <v>0.86805555555555558</v>
      </c>
      <c r="BP549" s="78">
        <f>IFERROR(1/J549*(Y549/H549),"0")</f>
        <v>0.875</v>
      </c>
    </row>
    <row r="550" spans="1:68" x14ac:dyDescent="0.2">
      <c r="A550" s="656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53" t="s">
        <v>40</v>
      </c>
      <c r="Q550" s="654"/>
      <c r="R550" s="654"/>
      <c r="S550" s="654"/>
      <c r="T550" s="654"/>
      <c r="U550" s="654"/>
      <c r="V550" s="655"/>
      <c r="W550" s="42" t="s">
        <v>39</v>
      </c>
      <c r="X550" s="43">
        <f>IFERROR(X549/H549,"0")</f>
        <v>55.555555555555557</v>
      </c>
      <c r="Y550" s="43">
        <f>IFERROR(Y549/H549,"0")</f>
        <v>56</v>
      </c>
      <c r="Z550" s="43">
        <f>IFERROR(IF(Z549="",0,Z549),"0")</f>
        <v>1.06288</v>
      </c>
      <c r="AA550" s="67"/>
      <c r="AB550" s="67"/>
      <c r="AC550" s="67"/>
    </row>
    <row r="551" spans="1:68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53" t="s">
        <v>40</v>
      </c>
      <c r="Q551" s="654"/>
      <c r="R551" s="654"/>
      <c r="S551" s="654"/>
      <c r="T551" s="654"/>
      <c r="U551" s="654"/>
      <c r="V551" s="655"/>
      <c r="W551" s="42" t="s">
        <v>0</v>
      </c>
      <c r="X551" s="43">
        <f>IFERROR(SUM(X549:X549),"0")</f>
        <v>500</v>
      </c>
      <c r="Y551" s="43">
        <f>IFERROR(SUM(Y549:Y549),"0")</f>
        <v>504</v>
      </c>
      <c r="Z551" s="42"/>
      <c r="AA551" s="67"/>
      <c r="AB551" s="67"/>
      <c r="AC551" s="67"/>
    </row>
    <row r="552" spans="1:68" ht="14.25" hidden="1" customHeight="1" x14ac:dyDescent="0.25">
      <c r="A552" s="648" t="s">
        <v>179</v>
      </c>
      <c r="B552" s="648"/>
      <c r="C552" s="648"/>
      <c r="D552" s="648"/>
      <c r="E552" s="648"/>
      <c r="F552" s="648"/>
      <c r="G552" s="648"/>
      <c r="H552" s="648"/>
      <c r="I552" s="648"/>
      <c r="J552" s="648"/>
      <c r="K552" s="648"/>
      <c r="L552" s="648"/>
      <c r="M552" s="648"/>
      <c r="N552" s="648"/>
      <c r="O552" s="648"/>
      <c r="P552" s="648"/>
      <c r="Q552" s="648"/>
      <c r="R552" s="648"/>
      <c r="S552" s="648"/>
      <c r="T552" s="648"/>
      <c r="U552" s="648"/>
      <c r="V552" s="648"/>
      <c r="W552" s="648"/>
      <c r="X552" s="648"/>
      <c r="Y552" s="648"/>
      <c r="Z552" s="648"/>
      <c r="AA552" s="66"/>
      <c r="AB552" s="66"/>
      <c r="AC552" s="80"/>
    </row>
    <row r="553" spans="1:68" ht="27" hidden="1" customHeight="1" x14ac:dyDescent="0.25">
      <c r="A553" s="63" t="s">
        <v>867</v>
      </c>
      <c r="B553" s="63" t="s">
        <v>868</v>
      </c>
      <c r="C553" s="36">
        <v>4301060543</v>
      </c>
      <c r="D553" s="649">
        <v>4680115889804</v>
      </c>
      <c r="E553" s="649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129</v>
      </c>
      <c r="L553" s="37" t="s">
        <v>46</v>
      </c>
      <c r="M553" s="38" t="s">
        <v>81</v>
      </c>
      <c r="N553" s="38"/>
      <c r="O553" s="37">
        <v>40</v>
      </c>
      <c r="P553" s="664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51"/>
      <c r="R553" s="651"/>
      <c r="S553" s="651"/>
      <c r="T553" s="652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38" t="s">
        <v>869</v>
      </c>
      <c r="AG553" s="78"/>
      <c r="AJ553" s="84" t="s">
        <v>46</v>
      </c>
      <c r="AK553" s="84">
        <v>0</v>
      </c>
      <c r="BB553" s="639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t="27" hidden="1" customHeight="1" x14ac:dyDescent="0.25">
      <c r="A554" s="63" t="s">
        <v>870</v>
      </c>
      <c r="B554" s="63" t="s">
        <v>871</v>
      </c>
      <c r="C554" s="36">
        <v>4301060544</v>
      </c>
      <c r="D554" s="649">
        <v>4680115889828</v>
      </c>
      <c r="E554" s="649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129</v>
      </c>
      <c r="L554" s="37" t="s">
        <v>46</v>
      </c>
      <c r="M554" s="38" t="s">
        <v>81</v>
      </c>
      <c r="N554" s="38"/>
      <c r="O554" s="37">
        <v>40</v>
      </c>
      <c r="P554" s="66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51"/>
      <c r="R554" s="651"/>
      <c r="S554" s="651"/>
      <c r="T554" s="652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0" t="s">
        <v>872</v>
      </c>
      <c r="AG554" s="78"/>
      <c r="AJ554" s="84" t="s">
        <v>46</v>
      </c>
      <c r="AK554" s="84">
        <v>0</v>
      </c>
      <c r="BB554" s="641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idden="1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7"/>
      <c r="P555" s="653" t="s">
        <v>40</v>
      </c>
      <c r="Q555" s="654"/>
      <c r="R555" s="654"/>
      <c r="S555" s="654"/>
      <c r="T555" s="654"/>
      <c r="U555" s="654"/>
      <c r="V555" s="655"/>
      <c r="W555" s="42" t="s">
        <v>39</v>
      </c>
      <c r="X555" s="43">
        <f>IFERROR(X553/H553,"0")+IFERROR(X554/H554,"0")</f>
        <v>0</v>
      </c>
      <c r="Y555" s="43">
        <f>IFERROR(Y553/H553,"0")+IFERROR(Y554/H554,"0")</f>
        <v>0</v>
      </c>
      <c r="Z555" s="43">
        <f>IFERROR(IF(Z553="",0,Z553),"0")+IFERROR(IF(Z554="",0,Z554),"0")</f>
        <v>0</v>
      </c>
      <c r="AA555" s="67"/>
      <c r="AB555" s="67"/>
      <c r="AC555" s="67"/>
    </row>
    <row r="556" spans="1:68" hidden="1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53" t="s">
        <v>40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IFERROR(SUM(X553:X554),"0")</f>
        <v>0</v>
      </c>
      <c r="Y556" s="43">
        <f>IFERROR(SUM(Y553:Y554),"0")</f>
        <v>0</v>
      </c>
      <c r="Z556" s="42"/>
      <c r="AA556" s="67"/>
      <c r="AB556" s="67"/>
      <c r="AC556" s="67"/>
    </row>
    <row r="557" spans="1:68" ht="16.5" hidden="1" customHeight="1" x14ac:dyDescent="0.25">
      <c r="A557" s="647" t="s">
        <v>873</v>
      </c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47"/>
      <c r="P557" s="647"/>
      <c r="Q557" s="647"/>
      <c r="R557" s="647"/>
      <c r="S557" s="647"/>
      <c r="T557" s="647"/>
      <c r="U557" s="647"/>
      <c r="V557" s="647"/>
      <c r="W557" s="647"/>
      <c r="X557" s="647"/>
      <c r="Y557" s="647"/>
      <c r="Z557" s="647"/>
      <c r="AA557" s="65"/>
      <c r="AB557" s="65"/>
      <c r="AC557" s="79"/>
    </row>
    <row r="558" spans="1:68" ht="14.25" hidden="1" customHeight="1" x14ac:dyDescent="0.25">
      <c r="A558" s="648" t="s">
        <v>161</v>
      </c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8"/>
      <c r="P558" s="648"/>
      <c r="Q558" s="648"/>
      <c r="R558" s="648"/>
      <c r="S558" s="648"/>
      <c r="T558" s="648"/>
      <c r="U558" s="648"/>
      <c r="V558" s="648"/>
      <c r="W558" s="648"/>
      <c r="X558" s="648"/>
      <c r="Y558" s="648"/>
      <c r="Z558" s="648"/>
      <c r="AA558" s="66"/>
      <c r="AB558" s="66"/>
      <c r="AC558" s="80"/>
    </row>
    <row r="559" spans="1:68" ht="27" hidden="1" customHeight="1" x14ac:dyDescent="0.25">
      <c r="A559" s="63" t="s">
        <v>874</v>
      </c>
      <c r="B559" s="63" t="s">
        <v>875</v>
      </c>
      <c r="C559" s="36">
        <v>4301020441</v>
      </c>
      <c r="D559" s="649">
        <v>4680115889798</v>
      </c>
      <c r="E559" s="649"/>
      <c r="F559" s="62">
        <v>1.5</v>
      </c>
      <c r="G559" s="37">
        <v>8</v>
      </c>
      <c r="H559" s="62">
        <v>12</v>
      </c>
      <c r="I559" s="62">
        <v>12.41</v>
      </c>
      <c r="J559" s="37">
        <v>64</v>
      </c>
      <c r="K559" s="37" t="s">
        <v>129</v>
      </c>
      <c r="L559" s="37" t="s">
        <v>46</v>
      </c>
      <c r="M559" s="38" t="s">
        <v>128</v>
      </c>
      <c r="N559" s="38"/>
      <c r="O559" s="37">
        <v>50</v>
      </c>
      <c r="P559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51"/>
      <c r="R559" s="651"/>
      <c r="S559" s="651"/>
      <c r="T559" s="652"/>
      <c r="U559" s="39" t="s">
        <v>46</v>
      </c>
      <c r="V559" s="39" t="s">
        <v>46</v>
      </c>
      <c r="W559" s="40" t="s">
        <v>0</v>
      </c>
      <c r="X559" s="58">
        <v>0</v>
      </c>
      <c r="Y559" s="55">
        <f>IFERROR(IF(X559="",0,CEILING((X559/$H559),1)*$H559),"")</f>
        <v>0</v>
      </c>
      <c r="Z559" s="41" t="str">
        <f>IFERROR(IF(Y559=0,"",ROUNDUP(Y559/H559,0)*0.01898),"")</f>
        <v/>
      </c>
      <c r="AA559" s="68" t="s">
        <v>46</v>
      </c>
      <c r="AB559" s="69" t="s">
        <v>46</v>
      </c>
      <c r="AC559" s="642" t="s">
        <v>876</v>
      </c>
      <c r="AG559" s="78"/>
      <c r="AJ559" s="84" t="s">
        <v>46</v>
      </c>
      <c r="AK559" s="84">
        <v>0</v>
      </c>
      <c r="BB559" s="643" t="s">
        <v>67</v>
      </c>
      <c r="BM559" s="78">
        <f>IFERROR(X559*I559/H559,"0")</f>
        <v>0</v>
      </c>
      <c r="BN559" s="78">
        <f>IFERROR(Y559*I559/H559,"0")</f>
        <v>0</v>
      </c>
      <c r="BO559" s="78">
        <f>IFERROR(1/J559*(X559/H559),"0")</f>
        <v>0</v>
      </c>
      <c r="BP559" s="78">
        <f>IFERROR(1/J559*(Y559/H559),"0")</f>
        <v>0</v>
      </c>
    </row>
    <row r="560" spans="1:68" hidden="1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57"/>
      <c r="P560" s="653" t="s">
        <v>40</v>
      </c>
      <c r="Q560" s="654"/>
      <c r="R560" s="654"/>
      <c r="S560" s="654"/>
      <c r="T560" s="654"/>
      <c r="U560" s="654"/>
      <c r="V560" s="655"/>
      <c r="W560" s="42" t="s">
        <v>39</v>
      </c>
      <c r="X560" s="43">
        <f>IFERROR(X559/H559,"0")</f>
        <v>0</v>
      </c>
      <c r="Y560" s="43">
        <f>IFERROR(Y559/H559,"0")</f>
        <v>0</v>
      </c>
      <c r="Z560" s="43">
        <f>IFERROR(IF(Z559="",0,Z559),"0")</f>
        <v>0</v>
      </c>
      <c r="AA560" s="67"/>
      <c r="AB560" s="67"/>
      <c r="AC560" s="67"/>
    </row>
    <row r="561" spans="1:32" hidden="1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57"/>
      <c r="P561" s="653" t="s">
        <v>40</v>
      </c>
      <c r="Q561" s="654"/>
      <c r="R561" s="654"/>
      <c r="S561" s="654"/>
      <c r="T561" s="654"/>
      <c r="U561" s="654"/>
      <c r="V561" s="655"/>
      <c r="W561" s="42" t="s">
        <v>0</v>
      </c>
      <c r="X561" s="43">
        <f>IFERROR(SUM(X559:X559),"0")</f>
        <v>0</v>
      </c>
      <c r="Y561" s="43">
        <f>IFERROR(SUM(Y559:Y559),"0")</f>
        <v>0</v>
      </c>
      <c r="Z561" s="42"/>
      <c r="AA561" s="67"/>
      <c r="AB561" s="67"/>
      <c r="AC561" s="67"/>
    </row>
    <row r="562" spans="1:32" ht="15" customHeight="1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33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6486</v>
      </c>
      <c r="Y562" s="43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6607.38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34</v>
      </c>
      <c r="Q563" s="659"/>
      <c r="R563" s="659"/>
      <c r="S563" s="659"/>
      <c r="T563" s="659"/>
      <c r="U563" s="659"/>
      <c r="V563" s="660"/>
      <c r="W563" s="42" t="s">
        <v>0</v>
      </c>
      <c r="X563" s="43">
        <f>IFERROR(SUM(BM22:BM559),"0")</f>
        <v>6832.3541748375073</v>
      </c>
      <c r="Y563" s="43">
        <f>IFERROR(SUM(BN22:BN559),"0")</f>
        <v>6959.6659999999993</v>
      </c>
      <c r="Z563" s="42"/>
      <c r="AA563" s="67"/>
      <c r="AB563" s="67"/>
      <c r="AC563" s="67"/>
    </row>
    <row r="564" spans="1:32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35</v>
      </c>
      <c r="Q564" s="659"/>
      <c r="R564" s="659"/>
      <c r="S564" s="659"/>
      <c r="T564" s="659"/>
      <c r="U564" s="659"/>
      <c r="V564" s="660"/>
      <c r="W564" s="42" t="s">
        <v>20</v>
      </c>
      <c r="X564" s="44">
        <f>ROUNDUP(SUM(BO22:BO559),0)</f>
        <v>12</v>
      </c>
      <c r="Y564" s="44">
        <f>ROUNDUP(SUM(BP22:BP559),0)</f>
        <v>12</v>
      </c>
      <c r="Z564" s="42"/>
      <c r="AA564" s="67"/>
      <c r="AB564" s="67"/>
      <c r="AC564" s="67"/>
    </row>
    <row r="565" spans="1:32" x14ac:dyDescent="0.2">
      <c r="A565" s="656"/>
      <c r="B565" s="656"/>
      <c r="C565" s="656"/>
      <c r="D565" s="656"/>
      <c r="E565" s="656"/>
      <c r="F565" s="656"/>
      <c r="G565" s="656"/>
      <c r="H565" s="656"/>
      <c r="I565" s="656"/>
      <c r="J565" s="656"/>
      <c r="K565" s="656"/>
      <c r="L565" s="656"/>
      <c r="M565" s="656"/>
      <c r="N565" s="656"/>
      <c r="O565" s="661"/>
      <c r="P565" s="658" t="s">
        <v>36</v>
      </c>
      <c r="Q565" s="659"/>
      <c r="R565" s="659"/>
      <c r="S565" s="659"/>
      <c r="T565" s="659"/>
      <c r="U565" s="659"/>
      <c r="V565" s="660"/>
      <c r="W565" s="42" t="s">
        <v>0</v>
      </c>
      <c r="X565" s="43">
        <f>GrossWeightTotal+PalletQtyTotal*25</f>
        <v>7132.3541748375073</v>
      </c>
      <c r="Y565" s="43">
        <f>GrossWeightTotalR+PalletQtyTotalR*25</f>
        <v>7259.6659999999993</v>
      </c>
      <c r="Z565" s="42"/>
      <c r="AA565" s="67"/>
      <c r="AB565" s="67"/>
      <c r="AC565" s="67"/>
    </row>
    <row r="566" spans="1:32" x14ac:dyDescent="0.2">
      <c r="A566" s="656"/>
      <c r="B566" s="656"/>
      <c r="C566" s="656"/>
      <c r="D566" s="656"/>
      <c r="E566" s="656"/>
      <c r="F566" s="656"/>
      <c r="G566" s="656"/>
      <c r="H566" s="656"/>
      <c r="I566" s="656"/>
      <c r="J566" s="656"/>
      <c r="K566" s="656"/>
      <c r="L566" s="656"/>
      <c r="M566" s="656"/>
      <c r="N566" s="656"/>
      <c r="O566" s="661"/>
      <c r="P566" s="658" t="s">
        <v>37</v>
      </c>
      <c r="Q566" s="659"/>
      <c r="R566" s="659"/>
      <c r="S566" s="659"/>
      <c r="T566" s="659"/>
      <c r="U566" s="659"/>
      <c r="V566" s="660"/>
      <c r="W566" s="42" t="s">
        <v>20</v>
      </c>
      <c r="X566" s="43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995.08297874964535</v>
      </c>
      <c r="Y566" s="43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1011</v>
      </c>
      <c r="Z566" s="42"/>
      <c r="AA566" s="67"/>
      <c r="AB566" s="67"/>
      <c r="AC566" s="67"/>
    </row>
    <row r="567" spans="1:32" ht="14.25" hidden="1" x14ac:dyDescent="0.2">
      <c r="A567" s="656"/>
      <c r="B567" s="656"/>
      <c r="C567" s="656"/>
      <c r="D567" s="656"/>
      <c r="E567" s="656"/>
      <c r="F567" s="656"/>
      <c r="G567" s="656"/>
      <c r="H567" s="656"/>
      <c r="I567" s="656"/>
      <c r="J567" s="656"/>
      <c r="K567" s="656"/>
      <c r="L567" s="656"/>
      <c r="M567" s="656"/>
      <c r="N567" s="656"/>
      <c r="O567" s="661"/>
      <c r="P567" s="658" t="s">
        <v>38</v>
      </c>
      <c r="Q567" s="659"/>
      <c r="R567" s="659"/>
      <c r="S567" s="659"/>
      <c r="T567" s="659"/>
      <c r="U567" s="659"/>
      <c r="V567" s="660"/>
      <c r="W567" s="45" t="s">
        <v>52</v>
      </c>
      <c r="X567" s="42"/>
      <c r="Y567" s="42"/>
      <c r="Z567" s="42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13.616619999999999</v>
      </c>
      <c r="AA567" s="67"/>
      <c r="AB567" s="67"/>
      <c r="AC567" s="67"/>
    </row>
    <row r="568" spans="1:32" ht="13.5" thickBot="1" x14ac:dyDescent="0.25"/>
    <row r="569" spans="1:32" ht="27" thickTop="1" thickBot="1" x14ac:dyDescent="0.25">
      <c r="A569" s="46" t="s">
        <v>9</v>
      </c>
      <c r="B569" s="85" t="s">
        <v>76</v>
      </c>
      <c r="C569" s="85" t="s">
        <v>45</v>
      </c>
      <c r="D569" s="644" t="s">
        <v>122</v>
      </c>
      <c r="E569" s="644" t="s">
        <v>122</v>
      </c>
      <c r="F569" s="644" t="s">
        <v>122</v>
      </c>
      <c r="G569" s="644" t="s">
        <v>122</v>
      </c>
      <c r="H569" s="644" t="s">
        <v>122</v>
      </c>
      <c r="I569" s="644" t="s">
        <v>122</v>
      </c>
      <c r="J569" s="644" t="s">
        <v>122</v>
      </c>
      <c r="K569" s="644" t="s">
        <v>340</v>
      </c>
      <c r="L569" s="644" t="s">
        <v>340</v>
      </c>
      <c r="M569" s="644" t="s">
        <v>340</v>
      </c>
      <c r="N569" s="662"/>
      <c r="O569" s="644" t="s">
        <v>340</v>
      </c>
      <c r="P569" s="644" t="s">
        <v>340</v>
      </c>
      <c r="Q569" s="644" t="s">
        <v>340</v>
      </c>
      <c r="R569" s="644" t="s">
        <v>340</v>
      </c>
      <c r="S569" s="644" t="s">
        <v>340</v>
      </c>
      <c r="T569" s="644" t="s">
        <v>340</v>
      </c>
      <c r="U569" s="644" t="s">
        <v>340</v>
      </c>
      <c r="V569" s="644" t="s">
        <v>340</v>
      </c>
      <c r="W569" s="644" t="s">
        <v>340</v>
      </c>
      <c r="X569" s="644" t="s">
        <v>712</v>
      </c>
      <c r="Y569" s="644" t="s">
        <v>712</v>
      </c>
      <c r="Z569" s="644" t="s">
        <v>778</v>
      </c>
      <c r="AA569" s="644" t="s">
        <v>778</v>
      </c>
      <c r="AB569" s="85" t="s">
        <v>811</v>
      </c>
      <c r="AC569" s="644" t="s">
        <v>855</v>
      </c>
      <c r="AD569" s="644" t="s">
        <v>855</v>
      </c>
      <c r="AF569" s="1"/>
    </row>
    <row r="570" spans="1:32" ht="14.25" customHeight="1" thickTop="1" x14ac:dyDescent="0.2">
      <c r="A570" s="645" t="s">
        <v>10</v>
      </c>
      <c r="B570" s="644" t="s">
        <v>76</v>
      </c>
      <c r="C570" s="644" t="s">
        <v>106</v>
      </c>
      <c r="D570" s="644" t="s">
        <v>123</v>
      </c>
      <c r="E570" s="644" t="s">
        <v>140</v>
      </c>
      <c r="F570" s="644" t="s">
        <v>187</v>
      </c>
      <c r="G570" s="644" t="s">
        <v>211</v>
      </c>
      <c r="H570" s="644" t="s">
        <v>250</v>
      </c>
      <c r="I570" s="644" t="s">
        <v>264</v>
      </c>
      <c r="J570" s="644" t="s">
        <v>122</v>
      </c>
      <c r="K570" s="644" t="s">
        <v>341</v>
      </c>
      <c r="L570" s="644" t="s">
        <v>362</v>
      </c>
      <c r="M570" s="644" t="s">
        <v>425</v>
      </c>
      <c r="N570" s="1"/>
      <c r="O570" s="644" t="s">
        <v>496</v>
      </c>
      <c r="P570" s="644" t="s">
        <v>531</v>
      </c>
      <c r="Q570" s="644" t="s">
        <v>556</v>
      </c>
      <c r="R570" s="644" t="s">
        <v>565</v>
      </c>
      <c r="S570" s="644" t="s">
        <v>587</v>
      </c>
      <c r="T570" s="644" t="s">
        <v>594</v>
      </c>
      <c r="U570" s="644" t="s">
        <v>603</v>
      </c>
      <c r="V570" s="644" t="s">
        <v>689</v>
      </c>
      <c r="W570" s="644" t="s">
        <v>702</v>
      </c>
      <c r="X570" s="644" t="s">
        <v>713</v>
      </c>
      <c r="Y570" s="644" t="s">
        <v>762</v>
      </c>
      <c r="Z570" s="644" t="s">
        <v>779</v>
      </c>
      <c r="AA570" s="644" t="s">
        <v>799</v>
      </c>
      <c r="AB570" s="644" t="s">
        <v>811</v>
      </c>
      <c r="AC570" s="644" t="s">
        <v>855</v>
      </c>
      <c r="AD570" s="644" t="s">
        <v>873</v>
      </c>
      <c r="AF570" s="1"/>
    </row>
    <row r="571" spans="1:32" ht="13.5" thickBot="1" x14ac:dyDescent="0.25">
      <c r="A571" s="646"/>
      <c r="B571" s="644"/>
      <c r="C571" s="644"/>
      <c r="D571" s="644"/>
      <c r="E571" s="644"/>
      <c r="F571" s="644"/>
      <c r="G571" s="644"/>
      <c r="H571" s="644"/>
      <c r="I571" s="644"/>
      <c r="J571" s="644"/>
      <c r="K571" s="644"/>
      <c r="L571" s="644"/>
      <c r="M571" s="644"/>
      <c r="N571" s="1"/>
      <c r="O571" s="644"/>
      <c r="P571" s="644"/>
      <c r="Q571" s="644"/>
      <c r="R571" s="644"/>
      <c r="S571" s="644"/>
      <c r="T571" s="644"/>
      <c r="U571" s="644"/>
      <c r="V571" s="644"/>
      <c r="W571" s="644"/>
      <c r="X571" s="644"/>
      <c r="Y571" s="644"/>
      <c r="Z571" s="644"/>
      <c r="AA571" s="644"/>
      <c r="AB571" s="644"/>
      <c r="AC571" s="644"/>
      <c r="AD571" s="644"/>
      <c r="AF571" s="1"/>
    </row>
    <row r="572" spans="1:32" ht="18" thickTop="1" thickBot="1" x14ac:dyDescent="0.25">
      <c r="A572" s="46" t="s">
        <v>13</v>
      </c>
      <c r="B572" s="52">
        <f>IFERROR(Y22*1,"0")+IFERROR(Y23*1,"0")+IFERROR(Y24*1,"0")+IFERROR(Y25*1,"0")+IFERROR(Y26*1,"0")+IFERROR(Y30*1,"0")+IFERROR(Y31*1,"0")</f>
        <v>0</v>
      </c>
      <c r="C572" s="52">
        <f>IFERROR(Y37*1,"0")+IFERROR(Y38*1,"0")+IFERROR(Y39*1,"0")+IFERROR(Y40*1,"0")+IFERROR(Y41*1,"0")</f>
        <v>0</v>
      </c>
      <c r="D572" s="52">
        <f>IFERROR(Y47*1,"0")+IFERROR(Y48*1,"0")+IFERROR(Y49*1,"0")+IFERROR(Y50*1,"0")</f>
        <v>374.40000000000003</v>
      </c>
      <c r="E572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364.8</v>
      </c>
      <c r="F572" s="52">
        <f>IFERROR(Y85*1,"0")+IFERROR(Y86*1,"0")+IFERROR(Y87*1,"0")+IFERROR(Y88*1,"0")+IFERROR(Y89*1,"0")+IFERROR(Y90*1,"0")+IFERROR(Y94*1,"0")+IFERROR(Y95*1,"0")+IFERROR(Y96*1,"0")+IFERROR(Y97*1,"0")</f>
        <v>524.70000000000005</v>
      </c>
      <c r="G572" s="52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788.40000000000009</v>
      </c>
      <c r="H572" s="52">
        <f>IFERROR(Y130*1,"0")+IFERROR(Y131*1,"0")+IFERROR(Y135*1,"0")+IFERROR(Y136*1,"0")+IFERROR(Y140*1,"0")+IFERROR(Y141*1,"0")</f>
        <v>0</v>
      </c>
      <c r="I572" s="52">
        <f>IFERROR(Y146*1,"0")+IFERROR(Y147*1,"0")+IFERROR(Y148*1,"0")+IFERROR(Y149*1,"0")+IFERROR(Y153*1,"0")</f>
        <v>0</v>
      </c>
      <c r="J572" s="52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72" s="52">
        <f>IFERROR(Y199*1,"0")+IFERROR(Y200*1,"0")+IFERROR(Y201*1,"0")+IFERROR(Y202*1,"0")+IFERROR(Y203*1,"0")+IFERROR(Y204*1,"0")+IFERROR(Y205*1,"0")</f>
        <v>0</v>
      </c>
      <c r="L572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63</v>
      </c>
      <c r="M572" s="52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597.6</v>
      </c>
      <c r="N572" s="1"/>
      <c r="O572" s="52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52">
        <f>IFERROR(Y318*1,"0")+IFERROR(Y319*1,"0")+IFERROR(Y320*1,"0")+IFERROR(Y321*1,"0")+IFERROR(Y322*1,"0")+IFERROR(Y323*1,"0")+IFERROR(Y324*1,"0")+IFERROR(Y325*1,"0")</f>
        <v>0</v>
      </c>
      <c r="Q572" s="52">
        <f>IFERROR(Y330*1,"0")+IFERROR(Y331*1,"0")+IFERROR(Y332*1,"0")</f>
        <v>0</v>
      </c>
      <c r="R572" s="52">
        <f>IFERROR(Y337*1,"0")+IFERROR(Y338*1,"0")+IFERROR(Y339*1,"0")+IFERROR(Y340*1,"0")+IFERROR(Y344*1,"0")+IFERROR(Y345*1,"0")+IFERROR(Y346*1,"0")</f>
        <v>0</v>
      </c>
      <c r="S572" s="52">
        <f>IFERROR(Y351*1,"0")+IFERROR(Y355*1,"0")</f>
        <v>0</v>
      </c>
      <c r="T572" s="52">
        <f>IFERROR(Y360*1,"0")+IFERROR(Y361*1,"0")+IFERROR(Y362*1,"0")</f>
        <v>0</v>
      </c>
      <c r="U572" s="52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724.2</v>
      </c>
      <c r="V572" s="52">
        <f>IFERROR(Y420*1,"0")+IFERROR(Y421*1,"0")+IFERROR(Y422*1,"0")+IFERROR(Y423*1,"0")</f>
        <v>0</v>
      </c>
      <c r="W572" s="52">
        <f>IFERROR(Y428*1,"0")+IFERROR(Y429*1,"0")+IFERROR(Y430*1,"0")</f>
        <v>42</v>
      </c>
      <c r="X572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717</v>
      </c>
      <c r="Y572" s="52">
        <f>IFERROR(Y465*1,"0")+IFERROR(Y466*1,"0")+IFERROR(Y470*1,"0")+IFERROR(Y474*1,"0")+IFERROR(Y475*1,"0")+IFERROR(Y476*1,"0")</f>
        <v>457.20000000000005</v>
      </c>
      <c r="Z572" s="52">
        <f>IFERROR(Y482*1,"0")+IFERROR(Y483*1,"0")+IFERROR(Y484*1,"0")+IFERROR(Y485*1,"0")+IFERROR(Y486*1,"0")+IFERROR(Y487*1,"0")+IFERROR(Y491*1,"0")</f>
        <v>54</v>
      </c>
      <c r="AA572" s="52">
        <f>IFERROR(Y496*1,"0")+IFERROR(Y500*1,"0")+IFERROR(Y501*1,"0")+IFERROR(Y502*1,"0")</f>
        <v>183.60000000000002</v>
      </c>
      <c r="AB572" s="52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1061.28</v>
      </c>
      <c r="AC572" s="52">
        <f>IFERROR(Y537*1,"0")+IFERROR(Y541*1,"0")+IFERROR(Y545*1,"0")+IFERROR(Y549*1,"0")+IFERROR(Y553*1,"0")+IFERROR(Y554*1,"0")</f>
        <v>655.20000000000005</v>
      </c>
      <c r="AD572" s="52">
        <f>IFERROR(Y559*1,"0")</f>
        <v>0</v>
      </c>
      <c r="AF572" s="1"/>
    </row>
  </sheetData>
  <sheetProtection algorithmName="SHA-512" hashValue="nmwCxweR/gPE+Pq1LujKI6ONPgp4xKfGauEsmWYfITdBN+3134cILnF8TBQwUy5Xks4oo7JB5LcOybQ5WsVMhQ==" saltValue="1lk/MWIslUcm6Oh8j2MTN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114,00"/>
        <filter val="12"/>
        <filter val="120,00"/>
        <filter val="14,29"/>
        <filter val="144,00"/>
        <filter val="150,00"/>
        <filter val="160,00"/>
        <filter val="17,56"/>
        <filter val="174,00"/>
        <filter val="180,00"/>
        <filter val="20,00"/>
        <filter val="200,00"/>
        <filter val="22,22"/>
        <filter val="227,00"/>
        <filter val="23,15"/>
        <filter val="23,81"/>
        <filter val="240,00"/>
        <filter val="250,00"/>
        <filter val="27,00"/>
        <filter val="286,00"/>
        <filter val="300,00"/>
        <filter val="31,11"/>
        <filter val="31,15"/>
        <filter val="33,33"/>
        <filter val="34,69"/>
        <filter val="35,71"/>
        <filter val="350,00"/>
        <filter val="36,00"/>
        <filter val="372,00"/>
        <filter val="42,00"/>
        <filter val="45,45"/>
        <filter val="45,78"/>
        <filter val="450,00"/>
        <filter val="48,00"/>
        <filter val="50,00"/>
        <filter val="500,00"/>
        <filter val="527,00"/>
        <filter val="54,00"/>
        <filter val="55,56"/>
        <filter val="6 486,00"/>
        <filter val="6 832,35"/>
        <filter val="60,00"/>
        <filter val="610,00"/>
        <filter val="66,29"/>
        <filter val="7 132,35"/>
        <filter val="7,69"/>
        <filter val="71,73"/>
        <filter val="72,00"/>
        <filter val="75,37"/>
        <filter val="80,00"/>
        <filter val="83,33"/>
        <filter val="85,23"/>
        <filter val="9,26"/>
        <filter val="995,08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P27:V27"/>
    <mergeCell ref="A27:O28"/>
    <mergeCell ref="P28:V28"/>
    <mergeCell ref="A29:Z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A291:Z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P307:V307"/>
    <mergeCell ref="A307:O308"/>
    <mergeCell ref="P308:V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A328:Z328"/>
    <mergeCell ref="A329:Z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A350:Z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P356:V356"/>
    <mergeCell ref="A356:O357"/>
    <mergeCell ref="P357:V357"/>
    <mergeCell ref="A358:Z358"/>
    <mergeCell ref="A359:Z359"/>
    <mergeCell ref="D360:E360"/>
    <mergeCell ref="P360:T360"/>
    <mergeCell ref="D361:E361"/>
    <mergeCell ref="P361:T361"/>
    <mergeCell ref="D362:E362"/>
    <mergeCell ref="P362:T362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D413:E413"/>
    <mergeCell ref="P413:T413"/>
    <mergeCell ref="D414:E414"/>
    <mergeCell ref="P414:T414"/>
    <mergeCell ref="D415:E415"/>
    <mergeCell ref="P415:T415"/>
    <mergeCell ref="P416:V416"/>
    <mergeCell ref="A416:O417"/>
    <mergeCell ref="P417:V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P532:V532"/>
    <mergeCell ref="A532:O533"/>
    <mergeCell ref="P533:V533"/>
    <mergeCell ref="A534:Z534"/>
    <mergeCell ref="A535:Z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P546:V546"/>
    <mergeCell ref="A546:O547"/>
    <mergeCell ref="P547:V547"/>
    <mergeCell ref="A548:Z548"/>
    <mergeCell ref="D549:E549"/>
    <mergeCell ref="P549:T549"/>
    <mergeCell ref="P550:V550"/>
    <mergeCell ref="A550:O551"/>
    <mergeCell ref="P551:V551"/>
    <mergeCell ref="A552:Z552"/>
    <mergeCell ref="D553:E553"/>
    <mergeCell ref="P553:T553"/>
    <mergeCell ref="D554:E554"/>
    <mergeCell ref="P554:T554"/>
    <mergeCell ref="P555:V555"/>
    <mergeCell ref="A555:O556"/>
    <mergeCell ref="P556:V556"/>
    <mergeCell ref="A557:Z557"/>
    <mergeCell ref="A558:Z558"/>
    <mergeCell ref="D559:E559"/>
    <mergeCell ref="P559:T559"/>
    <mergeCell ref="P560:V560"/>
    <mergeCell ref="A560:O561"/>
    <mergeCell ref="P561:V561"/>
    <mergeCell ref="P562:V562"/>
    <mergeCell ref="A562:O567"/>
    <mergeCell ref="P563:V563"/>
    <mergeCell ref="P564:V564"/>
    <mergeCell ref="P565:V565"/>
    <mergeCell ref="P566:V566"/>
    <mergeCell ref="P567:V567"/>
    <mergeCell ref="D569:J569"/>
    <mergeCell ref="K569:W569"/>
    <mergeCell ref="X569:Y569"/>
    <mergeCell ref="Z569:AA569"/>
    <mergeCell ref="AC569:AD569"/>
    <mergeCell ref="A570:A571"/>
    <mergeCell ref="B570:B571"/>
    <mergeCell ref="C570:C571"/>
    <mergeCell ref="D570:D571"/>
    <mergeCell ref="E570:E571"/>
    <mergeCell ref="F570:F571"/>
    <mergeCell ref="G570:G571"/>
    <mergeCell ref="H570:H571"/>
    <mergeCell ref="I570:I571"/>
    <mergeCell ref="J570:J571"/>
    <mergeCell ref="K570:K571"/>
    <mergeCell ref="L570:L571"/>
    <mergeCell ref="M570:M571"/>
    <mergeCell ref="O570:O571"/>
    <mergeCell ref="P570:P571"/>
    <mergeCell ref="Q570:Q571"/>
    <mergeCell ref="R570:R571"/>
    <mergeCell ref="S570:S571"/>
    <mergeCell ref="T570:T571"/>
    <mergeCell ref="U570:U571"/>
    <mergeCell ref="V570:V571"/>
    <mergeCell ref="W570:W571"/>
    <mergeCell ref="X570:X571"/>
    <mergeCell ref="Y570:Y571"/>
    <mergeCell ref="Z570:Z571"/>
    <mergeCell ref="AA570:AA571"/>
    <mergeCell ref="AB570:AB571"/>
    <mergeCell ref="AC570:AC571"/>
    <mergeCell ref="AD570:AD571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OBFfEyo5WFO3AZddBO7KKSSCBRLISuiHKUwZncVV9M631AjLTsKYqy3pduJpH9zhHnoWv+J5oS30aFCciOm2og==" saltValue="Dm/DLpGdJDSMmobZDOPnv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2026-10-30T13:25:34Z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