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7F14E79-7C7E-470C-BDA8-F5335950890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N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Z494" i="2"/>
  <c r="Z495" i="2" s="1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N479" i="2" s="1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P452" i="2"/>
  <c r="BO451" i="2"/>
  <c r="BM451" i="2"/>
  <c r="Y451" i="2"/>
  <c r="BP451" i="2" s="1"/>
  <c r="P451" i="2"/>
  <c r="BP450" i="2"/>
  <c r="BO450" i="2"/>
  <c r="BM450" i="2"/>
  <c r="Y450" i="2"/>
  <c r="Z450" i="2" s="1"/>
  <c r="P450" i="2"/>
  <c r="X448" i="2"/>
  <c r="X447" i="2"/>
  <c r="BO446" i="2"/>
  <c r="BM446" i="2"/>
  <c r="Y446" i="2"/>
  <c r="BN446" i="2" s="1"/>
  <c r="P446" i="2"/>
  <c r="BO445" i="2"/>
  <c r="BM445" i="2"/>
  <c r="Y445" i="2"/>
  <c r="P445" i="2"/>
  <c r="BO444" i="2"/>
  <c r="BM444" i="2"/>
  <c r="Y444" i="2"/>
  <c r="Y448" i="2" s="1"/>
  <c r="P444" i="2"/>
  <c r="X442" i="2"/>
  <c r="X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BN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P376" i="2"/>
  <c r="X374" i="2"/>
  <c r="X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P345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P307" i="2"/>
  <c r="BO307" i="2"/>
  <c r="BN307" i="2"/>
  <c r="BM307" i="2"/>
  <c r="Z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P181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Y169" i="2" s="1"/>
  <c r="P165" i="2"/>
  <c r="BP164" i="2"/>
  <c r="BO164" i="2"/>
  <c r="BN164" i="2"/>
  <c r="BM164" i="2"/>
  <c r="Z164" i="2"/>
  <c r="Y164" i="2"/>
  <c r="P164" i="2"/>
  <c r="X161" i="2"/>
  <c r="X160" i="2"/>
  <c r="BO159" i="2"/>
  <c r="BM159" i="2"/>
  <c r="Y159" i="2"/>
  <c r="P159" i="2"/>
  <c r="X157" i="2"/>
  <c r="X156" i="2"/>
  <c r="BO155" i="2"/>
  <c r="BN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Y101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P90" i="2" s="1"/>
  <c r="P90" i="2"/>
  <c r="BP89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P70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240" i="2" l="1"/>
  <c r="Z38" i="2"/>
  <c r="Z283" i="2"/>
  <c r="Z339" i="2"/>
  <c r="Z349" i="2"/>
  <c r="BP349" i="2"/>
  <c r="Z439" i="2"/>
  <c r="Z479" i="2"/>
  <c r="BP479" i="2"/>
  <c r="Z210" i="2"/>
  <c r="Z400" i="2"/>
  <c r="Z111" i="2"/>
  <c r="BP111" i="2"/>
  <c r="BP240" i="2"/>
  <c r="BP283" i="2"/>
  <c r="Z30" i="2"/>
  <c r="Z155" i="2"/>
  <c r="Z192" i="2"/>
  <c r="B571" i="2"/>
  <c r="Z224" i="2"/>
  <c r="Z536" i="2"/>
  <c r="Z537" i="2" s="1"/>
  <c r="BP536" i="2"/>
  <c r="Z28" i="2"/>
  <c r="BN28" i="2"/>
  <c r="BP31" i="2"/>
  <c r="Y43" i="2"/>
  <c r="Z40" i="2"/>
  <c r="BN40" i="2"/>
  <c r="Z50" i="2"/>
  <c r="Z88" i="2"/>
  <c r="Z97" i="2"/>
  <c r="BN97" i="2"/>
  <c r="Z108" i="2"/>
  <c r="BN108" i="2"/>
  <c r="Z117" i="2"/>
  <c r="BN117" i="2"/>
  <c r="Z125" i="2"/>
  <c r="Z172" i="2"/>
  <c r="Z185" i="2"/>
  <c r="BN185" i="2"/>
  <c r="Z200" i="2"/>
  <c r="Z201" i="2" s="1"/>
  <c r="BN200" i="2"/>
  <c r="BP200" i="2"/>
  <c r="Z208" i="2"/>
  <c r="BN208" i="2"/>
  <c r="Y214" i="2"/>
  <c r="BP211" i="2"/>
  <c r="BP226" i="2"/>
  <c r="Z233" i="2"/>
  <c r="BN233" i="2"/>
  <c r="Z243" i="2"/>
  <c r="BN243" i="2"/>
  <c r="BP252" i="2"/>
  <c r="Y255" i="2"/>
  <c r="Z304" i="2"/>
  <c r="BN304" i="2"/>
  <c r="Z330" i="2"/>
  <c r="BN330" i="2"/>
  <c r="BP340" i="2"/>
  <c r="Z393" i="2"/>
  <c r="Z419" i="2"/>
  <c r="BN419" i="2"/>
  <c r="Z446" i="2"/>
  <c r="Z489" i="2"/>
  <c r="BN489" i="2"/>
  <c r="Z500" i="2"/>
  <c r="BN500" i="2"/>
  <c r="Z524" i="2"/>
  <c r="BN524" i="2"/>
  <c r="Z548" i="2"/>
  <c r="Z549" i="2" s="1"/>
  <c r="BN548" i="2"/>
  <c r="BP548" i="2"/>
  <c r="Z57" i="2"/>
  <c r="BN57" i="2"/>
  <c r="Z58" i="2"/>
  <c r="Z61" i="2"/>
  <c r="Z63" i="2"/>
  <c r="BN63" i="2"/>
  <c r="BP71" i="2"/>
  <c r="BN75" i="2"/>
  <c r="BP75" i="2"/>
  <c r="Y78" i="2"/>
  <c r="BN80" i="2"/>
  <c r="BN92" i="2"/>
  <c r="BP92" i="2"/>
  <c r="BN96" i="2"/>
  <c r="BP109" i="2"/>
  <c r="BN112" i="2"/>
  <c r="Z144" i="2"/>
  <c r="BN144" i="2"/>
  <c r="Z145" i="2"/>
  <c r="Y146" i="2"/>
  <c r="Y147" i="2"/>
  <c r="Z159" i="2"/>
  <c r="Z160" i="2" s="1"/>
  <c r="Y161" i="2"/>
  <c r="Y160" i="2"/>
  <c r="BN159" i="2"/>
  <c r="BP159" i="2"/>
  <c r="BP165" i="2"/>
  <c r="BN166" i="2"/>
  <c r="Z166" i="2"/>
  <c r="Z171" i="2"/>
  <c r="Z173" i="2" s="1"/>
  <c r="Y173" i="2"/>
  <c r="BP171" i="2"/>
  <c r="Z22" i="2"/>
  <c r="BN22" i="2"/>
  <c r="BP22" i="2"/>
  <c r="BN23" i="2"/>
  <c r="BP23" i="2"/>
  <c r="Y24" i="2"/>
  <c r="Y25" i="2"/>
  <c r="Z29" i="2"/>
  <c r="BN29" i="2"/>
  <c r="BP30" i="2"/>
  <c r="BP37" i="2"/>
  <c r="BP38" i="2"/>
  <c r="Z41" i="2"/>
  <c r="BN41" i="2"/>
  <c r="BP50" i="2"/>
  <c r="BP60" i="2"/>
  <c r="BP61" i="2"/>
  <c r="Z68" i="2"/>
  <c r="Z71" i="2"/>
  <c r="BN81" i="2"/>
  <c r="BP81" i="2"/>
  <c r="Y83" i="2"/>
  <c r="Y84" i="2"/>
  <c r="BP88" i="2"/>
  <c r="Z90" i="2"/>
  <c r="BN90" i="2"/>
  <c r="BN91" i="2"/>
  <c r="BP99" i="2"/>
  <c r="BP105" i="2"/>
  <c r="Z109" i="2"/>
  <c r="BP110" i="2"/>
  <c r="Z118" i="2"/>
  <c r="BN118" i="2"/>
  <c r="BP125" i="2"/>
  <c r="BN129" i="2"/>
  <c r="BP129" i="2"/>
  <c r="Y130" i="2"/>
  <c r="Y131" i="2"/>
  <c r="BN135" i="2"/>
  <c r="Z140" i="2"/>
  <c r="BN140" i="2"/>
  <c r="Y168" i="2"/>
  <c r="Z165" i="2"/>
  <c r="BP166" i="2"/>
  <c r="BN167" i="2"/>
  <c r="BP167" i="2"/>
  <c r="J571" i="2"/>
  <c r="BP172" i="2"/>
  <c r="Z178" i="2"/>
  <c r="BN178" i="2"/>
  <c r="Z179" i="2"/>
  <c r="Z182" i="2"/>
  <c r="Z184" i="2"/>
  <c r="BN184" i="2"/>
  <c r="Z186" i="2"/>
  <c r="BP191" i="2"/>
  <c r="BP192" i="2"/>
  <c r="BN196" i="2"/>
  <c r="BP196" i="2"/>
  <c r="Y197" i="2"/>
  <c r="Y198" i="2"/>
  <c r="Y202" i="2"/>
  <c r="Y213" i="2"/>
  <c r="BP206" i="2"/>
  <c r="Z209" i="2"/>
  <c r="BN209" i="2"/>
  <c r="BP209" i="2"/>
  <c r="BP210" i="2"/>
  <c r="Z212" i="2"/>
  <c r="BN212" i="2"/>
  <c r="Z217" i="2"/>
  <c r="Z218" i="2" s="1"/>
  <c r="Z227" i="2"/>
  <c r="Z229" i="2"/>
  <c r="BN229" i="2"/>
  <c r="Z231" i="2"/>
  <c r="BP232" i="2"/>
  <c r="Z239" i="2"/>
  <c r="BN239" i="2"/>
  <c r="Z241" i="2"/>
  <c r="Y254" i="2"/>
  <c r="BP251" i="2"/>
  <c r="Z253" i="2"/>
  <c r="BN253" i="2"/>
  <c r="BP253" i="2"/>
  <c r="Z257" i="2"/>
  <c r="Z258" i="2" s="1"/>
  <c r="BN262" i="2"/>
  <c r="BP262" i="2"/>
  <c r="Y265" i="2"/>
  <c r="BN267" i="2"/>
  <c r="BP267" i="2"/>
  <c r="Y270" i="2"/>
  <c r="BN268" i="2"/>
  <c r="BP268" i="2"/>
  <c r="Y269" i="2"/>
  <c r="BP275" i="2"/>
  <c r="Z284" i="2"/>
  <c r="BP285" i="2"/>
  <c r="BN287" i="2"/>
  <c r="BP287" i="2"/>
  <c r="BN288" i="2"/>
  <c r="BP288" i="2"/>
  <c r="BN290" i="2"/>
  <c r="BN298" i="2"/>
  <c r="BP298" i="2"/>
  <c r="Y300" i="2"/>
  <c r="Y301" i="2"/>
  <c r="BN306" i="2"/>
  <c r="BP306" i="2"/>
  <c r="BN329" i="2"/>
  <c r="BP329" i="2"/>
  <c r="BN346" i="2"/>
  <c r="Z346" i="2"/>
  <c r="BP353" i="2"/>
  <c r="Z353" i="2"/>
  <c r="Y373" i="2"/>
  <c r="BP366" i="2"/>
  <c r="BN366" i="2"/>
  <c r="Z366" i="2"/>
  <c r="Z372" i="2"/>
  <c r="BP372" i="2"/>
  <c r="Y383" i="2"/>
  <c r="BP376" i="2"/>
  <c r="BN376" i="2"/>
  <c r="Z376" i="2"/>
  <c r="Z382" i="2"/>
  <c r="BP382" i="2"/>
  <c r="Y391" i="2"/>
  <c r="Y390" i="2"/>
  <c r="BP386" i="2"/>
  <c r="BN386" i="2"/>
  <c r="Z386" i="2"/>
  <c r="BN440" i="2"/>
  <c r="Z440" i="2"/>
  <c r="BN463" i="2"/>
  <c r="Z463" i="2"/>
  <c r="Z464" i="2" s="1"/>
  <c r="BN480" i="2"/>
  <c r="BP480" i="2"/>
  <c r="BN481" i="2"/>
  <c r="BP481" i="2"/>
  <c r="Y485" i="2"/>
  <c r="BN483" i="2"/>
  <c r="BP512" i="2"/>
  <c r="BN512" i="2"/>
  <c r="Z512" i="2"/>
  <c r="BP513" i="2"/>
  <c r="Z513" i="2"/>
  <c r="BN176" i="2"/>
  <c r="BP176" i="2"/>
  <c r="BP182" i="2"/>
  <c r="BP186" i="2"/>
  <c r="BP217" i="2"/>
  <c r="Y218" i="2"/>
  <c r="BN225" i="2"/>
  <c r="BP227" i="2"/>
  <c r="BP231" i="2"/>
  <c r="BN234" i="2"/>
  <c r="BP234" i="2"/>
  <c r="BN235" i="2"/>
  <c r="BP235" i="2"/>
  <c r="BP241" i="2"/>
  <c r="Y249" i="2"/>
  <c r="BN244" i="2"/>
  <c r="BP244" i="2"/>
  <c r="BN245" i="2"/>
  <c r="BP245" i="2"/>
  <c r="BN247" i="2"/>
  <c r="BP257" i="2"/>
  <c r="Y258" i="2"/>
  <c r="BP284" i="2"/>
  <c r="BN292" i="2"/>
  <c r="BN305" i="2"/>
  <c r="Z305" i="2"/>
  <c r="BN308" i="2"/>
  <c r="BP308" i="2"/>
  <c r="BN309" i="2"/>
  <c r="BP309" i="2"/>
  <c r="Y311" i="2"/>
  <c r="Y312" i="2"/>
  <c r="Y316" i="2"/>
  <c r="Y315" i="2"/>
  <c r="BP314" i="2"/>
  <c r="BN314" i="2"/>
  <c r="Z314" i="2"/>
  <c r="Z315" i="2" s="1"/>
  <c r="BP318" i="2"/>
  <c r="Y320" i="2"/>
  <c r="Y319" i="2"/>
  <c r="Z318" i="2"/>
  <c r="Z319" i="2" s="1"/>
  <c r="BN328" i="2"/>
  <c r="Z328" i="2"/>
  <c r="BN331" i="2"/>
  <c r="BP331" i="2"/>
  <c r="BN332" i="2"/>
  <c r="BP332" i="2"/>
  <c r="Y334" i="2"/>
  <c r="Y335" i="2"/>
  <c r="Q571" i="2"/>
  <c r="Y342" i="2"/>
  <c r="BP338" i="2"/>
  <c r="BN338" i="2"/>
  <c r="Z338" i="2"/>
  <c r="BP348" i="2"/>
  <c r="BN348" i="2"/>
  <c r="Z348" i="2"/>
  <c r="Z399" i="2"/>
  <c r="BP399" i="2"/>
  <c r="BN420" i="2"/>
  <c r="BP420" i="2"/>
  <c r="Y421" i="2"/>
  <c r="Y422" i="2"/>
  <c r="BP438" i="2"/>
  <c r="BN438" i="2"/>
  <c r="Z438" i="2"/>
  <c r="BP440" i="2"/>
  <c r="Z445" i="2"/>
  <c r="BP445" i="2"/>
  <c r="BP452" i="2"/>
  <c r="Z452" i="2"/>
  <c r="BP463" i="2"/>
  <c r="Y464" i="2"/>
  <c r="Y465" i="2"/>
  <c r="Y469" i="2"/>
  <c r="Y468" i="2"/>
  <c r="BP467" i="2"/>
  <c r="BN467" i="2"/>
  <c r="Z467" i="2"/>
  <c r="Z468" i="2" s="1"/>
  <c r="Z473" i="2"/>
  <c r="BP473" i="2"/>
  <c r="BN498" i="2"/>
  <c r="BN528" i="2"/>
  <c r="Y542" i="2"/>
  <c r="Y541" i="2"/>
  <c r="Z540" i="2"/>
  <c r="Z541" i="2" s="1"/>
  <c r="Y545" i="2"/>
  <c r="BP552" i="2"/>
  <c r="Z552" i="2"/>
  <c r="O571" i="2"/>
  <c r="BN323" i="2"/>
  <c r="BP339" i="2"/>
  <c r="Y351" i="2"/>
  <c r="Y355" i="2"/>
  <c r="BN354" i="2"/>
  <c r="BN367" i="2"/>
  <c r="BP367" i="2"/>
  <c r="BN368" i="2"/>
  <c r="BP368" i="2"/>
  <c r="BN370" i="2"/>
  <c r="BN377" i="2"/>
  <c r="BP377" i="2"/>
  <c r="BN378" i="2"/>
  <c r="BP378" i="2"/>
  <c r="BN380" i="2"/>
  <c r="BN387" i="2"/>
  <c r="BP387" i="2"/>
  <c r="BN388" i="2"/>
  <c r="BP388" i="2"/>
  <c r="BP400" i="2"/>
  <c r="U571" i="2"/>
  <c r="BP446" i="2"/>
  <c r="Y571" i="2"/>
  <c r="Y491" i="2"/>
  <c r="Z571" i="2"/>
  <c r="BP494" i="2"/>
  <c r="Y495" i="2"/>
  <c r="BN506" i="2"/>
  <c r="BN510" i="2"/>
  <c r="W571" i="2"/>
  <c r="BN452" i="2"/>
  <c r="T571" i="2"/>
  <c r="BP292" i="2"/>
  <c r="Z96" i="2"/>
  <c r="BP96" i="2"/>
  <c r="BN525" i="2"/>
  <c r="BP525" i="2"/>
  <c r="Z514" i="2"/>
  <c r="BN514" i="2"/>
  <c r="X571" i="2"/>
  <c r="BN456" i="2"/>
  <c r="BP456" i="2"/>
  <c r="Y458" i="2"/>
  <c r="Y459" i="2"/>
  <c r="Z427" i="2"/>
  <c r="Z402" i="2"/>
  <c r="BN402" i="2"/>
  <c r="Z294" i="2"/>
  <c r="BN294" i="2"/>
  <c r="BN278" i="2"/>
  <c r="BP278" i="2"/>
  <c r="BN277" i="2"/>
  <c r="BP277" i="2"/>
  <c r="Z276" i="2"/>
  <c r="BN276" i="2"/>
  <c r="Z274" i="2"/>
  <c r="Z272" i="2"/>
  <c r="BN272" i="2"/>
  <c r="Z223" i="2"/>
  <c r="BN223" i="2"/>
  <c r="BN221" i="2"/>
  <c r="BP221" i="2"/>
  <c r="Y236" i="2"/>
  <c r="H571" i="2"/>
  <c r="Y136" i="2"/>
  <c r="Y137" i="2"/>
  <c r="Z134" i="2"/>
  <c r="BN134" i="2"/>
  <c r="BP134" i="2"/>
  <c r="E571" i="2"/>
  <c r="Z67" i="2"/>
  <c r="BN67" i="2"/>
  <c r="BN55" i="2"/>
  <c r="BP55" i="2"/>
  <c r="Y52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9" i="2" s="1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Z168" i="2" s="1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BP540" i="2"/>
  <c r="Z48" i="2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19" i="2" s="1"/>
  <c r="Z139" i="2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24" i="2" s="1"/>
  <c r="Z333" i="2"/>
  <c r="Z334" i="2" s="1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Z350" i="2" s="1"/>
  <c r="BP425" i="2"/>
  <c r="BN482" i="2"/>
  <c r="AB571" i="2"/>
  <c r="BN251" i="2"/>
  <c r="Z485" i="2" l="1"/>
  <c r="Z396" i="2"/>
  <c r="Z373" i="2"/>
  <c r="Z490" i="2"/>
  <c r="Z311" i="2"/>
  <c r="Z428" i="2"/>
  <c r="Z236" i="2"/>
  <c r="Z141" i="2"/>
  <c r="Z32" i="2"/>
  <c r="Z447" i="2"/>
  <c r="Z254" i="2"/>
  <c r="Z93" i="2"/>
  <c r="Z72" i="2"/>
  <c r="Z383" i="2"/>
  <c r="Z531" i="2"/>
  <c r="Z187" i="2"/>
  <c r="Z248" i="2"/>
  <c r="Z521" i="2"/>
  <c r="Z146" i="2"/>
  <c r="Z126" i="2"/>
  <c r="Z441" i="2"/>
  <c r="Z403" i="2"/>
  <c r="Z280" i="2"/>
  <c r="Z5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<sst xmlns="http://schemas.openxmlformats.org/spreadsheetml/2006/main" count="4321" uniqueCount="902">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</sst>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46329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Вторник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0.45833333333333331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18.518518518518519</v>
      </c>
      <c r="Y51" s="43">
        <f>IFERROR(Y47/H47,"0")+IFERROR(Y48/H48,"0")+IFERROR(Y49/H49,"0")+IFERROR(Y50/H50,"0")</f>
        <v>19</v>
      </c>
      <c r="Z51" s="43">
        <f>IFERROR(IF(Z47="",0,Z47),"0")+IFERROR(IF(Z48="",0,Z48),"0")+IFERROR(IF(Z49="",0,Z49),"0")+IFERROR(IF(Z50="",0,Z50),"0")</f>
        <v>0.36062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200</v>
      </c>
      <c r="Y52" s="43">
        <f>IFERROR(SUM(Y47:Y50),"0")</f>
        <v>205.20000000000002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13.888888888888888</v>
      </c>
      <c r="Y64" s="43">
        <f>IFERROR(Y55/H55,"0")+IFERROR(Y56/H56,"0")+IFERROR(Y57/H57,"0")+IFERROR(Y58/H58,"0")+IFERROR(Y59/H59,"0")+IFERROR(Y60/H60,"0")+IFERROR(Y61/H61,"0")+IFERROR(Y62/H62,"0")+IFERROR(Y63/H63,"0")</f>
        <v>14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0.26572000000000001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150</v>
      </c>
      <c r="Y65" s="43">
        <f>IFERROR(SUM(Y55:Y63),"0")</f>
        <v>151.20000000000002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200</v>
      </c>
      <c r="Y87" s="55">
        <f t="shared" ref="Y87:Y92" si="5"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207.59259259259258</v>
      </c>
      <c r="BN87" s="78">
        <f t="shared" ref="BN87:BN92" si="7">IFERROR(Y87*I87/H87,"0")</f>
        <v>212.99</v>
      </c>
      <c r="BO87" s="78">
        <f t="shared" ref="BO87:BO92" si="8">IFERROR(1/J87*(X87/H87),"0")</f>
        <v>0.28935185185185186</v>
      </c>
      <c r="BP87" s="78">
        <f t="shared" ref="BP87:BP92" si="9">IFERROR(1/J87*(Y87/H87),"0")</f>
        <v>0.296875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18.518518518518519</v>
      </c>
      <c r="Y93" s="43">
        <f>IFERROR(Y87/H87,"0")+IFERROR(Y88/H88,"0")+IFERROR(Y89/H89,"0")+IFERROR(Y90/H90,"0")+IFERROR(Y91/H91,"0")+IFERROR(Y92/H92,"0")</f>
        <v>19</v>
      </c>
      <c r="Z93" s="43">
        <f>IFERROR(IF(Z87="",0,Z87),"0")+IFERROR(IF(Z88="",0,Z88),"0")+IFERROR(IF(Z89="",0,Z89),"0")+IFERROR(IF(Z90="",0,Z90),"0")+IFERROR(IF(Z91="",0,Z91),"0")+IFERROR(IF(Z92="",0,Z92),"0")</f>
        <v>0.36062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200</v>
      </c>
      <c r="Y94" s="43">
        <f>IFERROR(SUM(Y87:Y92),"0")</f>
        <v>205.20000000000002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150</v>
      </c>
      <c r="Y96" s="55">
        <f>IFERROR(IF(X96="",0,CEILING((X96/$H96),1)*$H96),"")</f>
        <v>153.9</v>
      </c>
      <c r="Z96" s="41">
        <f>IFERROR(IF(Y96=0,"",ROUNDUP(Y96/H96,0)*0.01898),"")</f>
        <v>0.36062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159.14814814814815</v>
      </c>
      <c r="BN96" s="78">
        <f>IFERROR(Y96*I96/H96,"0")</f>
        <v>163.286</v>
      </c>
      <c r="BO96" s="78">
        <f>IFERROR(1/J96*(X96/H96),"0")</f>
        <v>0.28935185185185186</v>
      </c>
      <c r="BP96" s="78">
        <f>IFERROR(1/J96*(Y96/H96),"0")</f>
        <v>0.296875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200</v>
      </c>
      <c r="Y98" s="55">
        <f>IFERROR(IF(X98="",0,CEILING((X98/$H98),1)*$H98),"")</f>
        <v>202.5</v>
      </c>
      <c r="Z98" s="41">
        <f>IFERROR(IF(Y98=0,"",ROUNDUP(Y98/H98,0)*0.00651),"")</f>
        <v>0.48825000000000002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218.66666666666666</v>
      </c>
      <c r="BN98" s="78">
        <f>IFERROR(Y98*I98/H98,"0")</f>
        <v>221.39999999999998</v>
      </c>
      <c r="BO98" s="78">
        <f>IFERROR(1/J98*(X98/H98),"0")</f>
        <v>0.40700040700040702</v>
      </c>
      <c r="BP98" s="78">
        <f>IFERROR(1/J98*(Y98/H98),"0")</f>
        <v>0.41208791208791212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92.592592592592595</v>
      </c>
      <c r="Y100" s="43">
        <f>IFERROR(Y96/H96,"0")+IFERROR(Y97/H97,"0")+IFERROR(Y98/H98,"0")+IFERROR(Y99/H99,"0")</f>
        <v>94</v>
      </c>
      <c r="Z100" s="43">
        <f>IFERROR(IF(Z96="",0,Z96),"0")+IFERROR(IF(Z97="",0,Z97),"0")+IFERROR(IF(Z98="",0,Z98),"0")+IFERROR(IF(Z99="",0,Z99),"0")</f>
        <v>0.84887000000000001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350</v>
      </c>
      <c r="Y101" s="43">
        <f>IFERROR(SUM(Y96:Y99),"0")</f>
        <v>356.4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13.333333333333334</v>
      </c>
      <c r="Y113" s="43">
        <f>IFERROR(Y104/H104,"0")+IFERROR(Y105/H105,"0")+IFERROR(Y106/H106,"0")+IFERROR(Y107/H107,"0")+IFERROR(Y108/H108,"0")+IFERROR(Y109/H109,"0")+IFERROR(Y110/H110,"0")+IFERROR(Y111/H111,"0")+IFERROR(Y112/H112,"0")</f>
        <v>14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0.12628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50</v>
      </c>
      <c r="Y114" s="43">
        <f>IFERROR(SUM(Y104:Y112),"0")</f>
        <v>52.5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200</v>
      </c>
      <c r="Y122" s="55">
        <f>IFERROR(IF(X122="",0,CEILING((X122/$H122),1)*$H122),"")</f>
        <v>202.5</v>
      </c>
      <c r="Z122" s="41">
        <f>IFERROR(IF(Y122=0,"",ROUNDUP(Y122/H122,0)*0.01898),"")</f>
        <v>0.47450000000000003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212.04938271604939</v>
      </c>
      <c r="BN122" s="78">
        <f>IFERROR(Y122*I122/H122,"0")</f>
        <v>214.7</v>
      </c>
      <c r="BO122" s="78">
        <f>IFERROR(1/J122*(X122/H122),"0")</f>
        <v>0.38580246913580246</v>
      </c>
      <c r="BP122" s="78">
        <f>IFERROR(1/J122*(Y122/H122),"0")</f>
        <v>0.390625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300</v>
      </c>
      <c r="Y124" s="55">
        <f>IFERROR(IF(X124="",0,CEILING((X124/$H124),1)*$H124),"")</f>
        <v>302.40000000000003</v>
      </c>
      <c r="Z124" s="41">
        <f>IFERROR(IF(Y124=0,"",ROUNDUP(Y124/H124,0)*0.00651),"")</f>
        <v>0.72911999999999999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328</v>
      </c>
      <c r="BN124" s="78">
        <f>IFERROR(Y124*I124/H124,"0")</f>
        <v>330.62400000000002</v>
      </c>
      <c r="BO124" s="78">
        <f>IFERROR(1/J124*(X124/H124),"0")</f>
        <v>0.61050061050061044</v>
      </c>
      <c r="BP124" s="78">
        <f>IFERROR(1/J124*(Y124/H124),"0")</f>
        <v>0.61538461538461542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135.80246913580245</v>
      </c>
      <c r="Y126" s="43">
        <f>IFERROR(Y122/H122,"0")+IFERROR(Y123/H123,"0")+IFERROR(Y124/H124,"0")+IFERROR(Y125/H125,"0")</f>
        <v>137</v>
      </c>
      <c r="Z126" s="43">
        <f>IFERROR(IF(Z122="",0,Z122),"0")+IFERROR(IF(Z123="",0,Z123),"0")+IFERROR(IF(Z124="",0,Z124),"0")+IFERROR(IF(Z125="",0,Z125),"0")</f>
        <v>1.2036199999999999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500</v>
      </c>
      <c r="Y127" s="43">
        <f>IFERROR(SUM(Y122:Y125),"0")</f>
        <v>504.90000000000003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50</v>
      </c>
      <c r="Y134" s="55">
        <f>IFERROR(IF(X134="",0,CEILING((X134/$H134),1)*$H134),"")</f>
        <v>51.2</v>
      </c>
      <c r="Z134" s="41">
        <f>IFERROR(IF(Y134=0,"",ROUNDUP(Y134/H134,0)*0.00651),"")</f>
        <v>0.10416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52.8125</v>
      </c>
      <c r="BN134" s="78">
        <f>IFERROR(Y134*I134/H134,"0")</f>
        <v>54.08</v>
      </c>
      <c r="BO134" s="78">
        <f>IFERROR(1/J134*(X134/H134),"0")</f>
        <v>8.5851648351648352E-2</v>
      </c>
      <c r="BP134" s="78">
        <f>IFERROR(1/J134*(Y134/H134),"0")</f>
        <v>8.7912087912087919E-2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15.625</v>
      </c>
      <c r="Y136" s="43">
        <f>IFERROR(Y134/H134,"0")+IFERROR(Y135/H135,"0")</f>
        <v>16</v>
      </c>
      <c r="Z136" s="43">
        <f>IFERROR(IF(Z134="",0,Z134),"0")+IFERROR(IF(Z135="",0,Z135),"0")</f>
        <v>0.10416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50</v>
      </c>
      <c r="Y137" s="43">
        <f>IFERROR(SUM(Y134:Y135),"0")</f>
        <v>51.2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50</v>
      </c>
      <c r="Y139" s="55">
        <f>IFERROR(IF(X139="",0,CEILING((X139/$H139),1)*$H139),"")</f>
        <v>50.4</v>
      </c>
      <c r="Z139" s="41">
        <f>IFERROR(IF(Y139=0,"",ROUNDUP(Y139/H139,0)*0.00651),"")</f>
        <v>0.11718000000000001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54.785714285714292</v>
      </c>
      <c r="BN139" s="78">
        <f>IFERROR(Y139*I139/H139,"0")</f>
        <v>55.223999999999997</v>
      </c>
      <c r="BO139" s="78">
        <f>IFERROR(1/J139*(X139/H139),"0")</f>
        <v>9.8116169544740978E-2</v>
      </c>
      <c r="BP139" s="78">
        <f>IFERROR(1/J139*(Y139/H139),"0")</f>
        <v>9.8901098901098911E-2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17.857142857142858</v>
      </c>
      <c r="Y141" s="43">
        <f>IFERROR(Y139/H139,"0")+IFERROR(Y140/H140,"0")</f>
        <v>18</v>
      </c>
      <c r="Z141" s="43">
        <f>IFERROR(IF(Z139="",0,Z139),"0")+IFERROR(IF(Z140="",0,Z140),"0")</f>
        <v>0.11718000000000001</v>
      </c>
      <c r="AA141" s="67"/>
      <c r="AB141" s="67"/>
      <c r="AC141" s="67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50</v>
      </c>
      <c r="Y142" s="43">
        <f>IFERROR(SUM(Y139:Y140),"0")</f>
        <v>50.4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50</v>
      </c>
      <c r="Y150" s="55">
        <f t="shared" ref="Y150:Y155" si="15">IFERROR(IF(X150="",0,CEILING((X150/$H150),1)*$H150),"")</f>
        <v>50.160000000000004</v>
      </c>
      <c r="Z150" s="41">
        <f t="shared" ref="Z150:Z155" si="16">IFERROR(IF(Y150=0,"",ROUNDUP(Y150/H150,0)*0.00651),"")</f>
        <v>0.24738000000000002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59.318181818181813</v>
      </c>
      <c r="BN150" s="78">
        <f t="shared" ref="BN150:BN155" si="18">IFERROR(Y150*I150/H150,"0")</f>
        <v>59.508000000000003</v>
      </c>
      <c r="BO150" s="78">
        <f t="shared" ref="BO150:BO155" si="19">IFERROR(1/J150*(X150/H150),"0")</f>
        <v>0.20812520812520813</v>
      </c>
      <c r="BP150" s="78">
        <f t="shared" ref="BP150:BP155" si="20">IFERROR(1/J150*(Y150/H150),"0")</f>
        <v>0.2087912087912088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55.555555555555557</v>
      </c>
      <c r="Y156" s="43">
        <f>IFERROR(Y150/H150,"0")+IFERROR(Y151/H151,"0")+IFERROR(Y152/H152,"0")+IFERROR(Y153/H153,"0")+IFERROR(Y154/H154,"0")+IFERROR(Y155/H155,"0")</f>
        <v>58</v>
      </c>
      <c r="Z156" s="43">
        <f>IFERROR(IF(Z150="",0,Z150),"0")+IFERROR(IF(Z151="",0,Z151),"0")+IFERROR(IF(Z152="",0,Z152),"0")+IFERROR(IF(Z153="",0,Z153),"0")+IFERROR(IF(Z154="",0,Z154),"0")+IFERROR(IF(Z155="",0,Z155),"0")</f>
        <v>0.37758000000000003</v>
      </c>
      <c r="AA156" s="67"/>
      <c r="AB156" s="67"/>
      <c r="AC156" s="67"/>
    </row>
    <row r="157" spans="1:68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80</v>
      </c>
      <c r="Y157" s="43">
        <f>IFERROR(SUM(Y150:Y155),"0")</f>
        <v>84.48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10</v>
      </c>
      <c r="Y276" s="55">
        <f t="shared" si="43"/>
        <v>10.8</v>
      </c>
      <c r="Z276" s="41">
        <f>IFERROR(IF(Y276=0,"",ROUNDUP(Y276/H276,0)*0.00502),"")</f>
        <v>3.0120000000000001E-2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10.722222222222223</v>
      </c>
      <c r="BN276" s="78">
        <f t="shared" si="45"/>
        <v>11.58</v>
      </c>
      <c r="BO276" s="78">
        <f t="shared" si="46"/>
        <v>2.3741690408357077E-2</v>
      </c>
      <c r="BP276" s="78">
        <f t="shared" si="47"/>
        <v>2.5641025641025644E-2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10</v>
      </c>
      <c r="Y277" s="55">
        <f t="shared" si="43"/>
        <v>10.8</v>
      </c>
      <c r="Z277" s="41">
        <f>IFERROR(IF(Y277=0,"",ROUNDUP(Y277/H277,0)*0.00502),"")</f>
        <v>3.0120000000000001E-2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10.555555555555555</v>
      </c>
      <c r="BN277" s="78">
        <f t="shared" si="45"/>
        <v>11.4</v>
      </c>
      <c r="BO277" s="78">
        <f t="shared" si="46"/>
        <v>2.3741690408357077E-2</v>
      </c>
      <c r="BP277" s="78">
        <f t="shared" si="47"/>
        <v>2.5641025641025644E-2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10</v>
      </c>
      <c r="Y278" s="55">
        <f t="shared" si="43"/>
        <v>10.8</v>
      </c>
      <c r="Z278" s="41">
        <f>IFERROR(IF(Y278=0,"",ROUNDUP(Y278/H278,0)*0.00502),"")</f>
        <v>3.0120000000000001E-2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10.555555555555555</v>
      </c>
      <c r="BN278" s="78">
        <f t="shared" si="45"/>
        <v>11.4</v>
      </c>
      <c r="BO278" s="78">
        <f t="shared" si="46"/>
        <v>2.3741690408357077E-2</v>
      </c>
      <c r="BP278" s="78">
        <f t="shared" si="47"/>
        <v>2.5641025641025644E-2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10</v>
      </c>
      <c r="Y279" s="55">
        <f t="shared" si="43"/>
        <v>10.8</v>
      </c>
      <c r="Z279" s="41">
        <f>IFERROR(IF(Y279=0,"",ROUNDUP(Y279/H279,0)*0.00502),"")</f>
        <v>3.0120000000000001E-2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10.555555555555555</v>
      </c>
      <c r="BN279" s="78">
        <f t="shared" si="45"/>
        <v>11.4</v>
      </c>
      <c r="BO279" s="78">
        <f t="shared" si="46"/>
        <v>2.3741690408357077E-2</v>
      </c>
      <c r="BP279" s="78">
        <f t="shared" si="47"/>
        <v>2.5641025641025644E-2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22.222222222222221</v>
      </c>
      <c r="Y280" s="43">
        <f>IFERROR(Y272/H272,"0")+IFERROR(Y273/H273,"0")+IFERROR(Y274/H274,"0")+IFERROR(Y275/H275,"0")+IFERROR(Y276/H276,"0")+IFERROR(Y277/H277,"0")+IFERROR(Y278/H278,"0")+IFERROR(Y279/H279,"0")</f>
        <v>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0.12048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40</v>
      </c>
      <c r="Y281" s="43">
        <f>IFERROR(SUM(Y272:Y279),"0")</f>
        <v>43.2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100</v>
      </c>
      <c r="Y286" s="55">
        <f t="shared" si="48"/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111.25</v>
      </c>
      <c r="BN286" s="78">
        <f t="shared" si="50"/>
        <v>112.13999999999999</v>
      </c>
      <c r="BO286" s="78">
        <f t="shared" si="51"/>
        <v>0.22893772893772898</v>
      </c>
      <c r="BP286" s="78">
        <f t="shared" si="52"/>
        <v>0.23076923076923078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50</v>
      </c>
      <c r="Y292" s="55">
        <f t="shared" si="48"/>
        <v>50.4</v>
      </c>
      <c r="Z292" s="41">
        <f>IFERROR(IF(Y292=0,"",ROUNDUP(Y292/H292,0)*0.00651),"")</f>
        <v>0.13671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55.25</v>
      </c>
      <c r="BN292" s="78">
        <f t="shared" si="50"/>
        <v>55.692</v>
      </c>
      <c r="BO292" s="78">
        <f t="shared" si="51"/>
        <v>0.11446886446886449</v>
      </c>
      <c r="BP292" s="78">
        <f t="shared" si="52"/>
        <v>0.11538461538461539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50</v>
      </c>
      <c r="Y293" s="55">
        <f t="shared" si="48"/>
        <v>50.4</v>
      </c>
      <c r="Z293" s="41">
        <f>IFERROR(IF(Y293=0,"",ROUNDUP(Y293/H293,0)*0.00651),"")</f>
        <v>0.13671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55.375000000000007</v>
      </c>
      <c r="BN293" s="78">
        <f t="shared" si="50"/>
        <v>55.818000000000005</v>
      </c>
      <c r="BO293" s="78">
        <f t="shared" si="51"/>
        <v>0.11446886446886449</v>
      </c>
      <c r="BP293" s="78">
        <f t="shared" si="52"/>
        <v>0.11538461538461539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208.33333333333337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210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1.3670999999999998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500</v>
      </c>
      <c r="Y296" s="43">
        <f>IFERROR(SUM(Y283:Y294),"0")</f>
        <v>503.99999999999994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50</v>
      </c>
      <c r="Y402" s="55">
        <f>IFERROR(IF(X402="",0,CEILING((X402/$H402),1)*$H402),"")</f>
        <v>51</v>
      </c>
      <c r="Z402" s="41">
        <f>IFERROR(IF(Y402=0,"",ROUNDUP(Y402/H402,0)*0.00651),"")</f>
        <v>0.13020000000000001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56.470588235294123</v>
      </c>
      <c r="BN402" s="78">
        <f>IFERROR(Y402*I402/H402,"0")</f>
        <v>57.6</v>
      </c>
      <c r="BO402" s="78">
        <f>IFERROR(1/J402*(X402/H402),"0")</f>
        <v>0.10773540185304893</v>
      </c>
      <c r="BP402" s="78">
        <f>IFERROR(1/J402*(Y402/H402),"0")</f>
        <v>0.1098901098901099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19.607843137254903</v>
      </c>
      <c r="Y403" s="43">
        <f>IFERROR(Y399/H399,"0")+IFERROR(Y400/H400,"0")+IFERROR(Y401/H401,"0")+IFERROR(Y402/H402,"0")</f>
        <v>20</v>
      </c>
      <c r="Z403" s="43">
        <f>IFERROR(IF(Z399="",0,Z399),"0")+IFERROR(IF(Z400="",0,Z400),"0")+IFERROR(IF(Z401="",0,Z401),"0")+IFERROR(IF(Z402="",0,Z402),"0")</f>
        <v>0.13020000000000001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50</v>
      </c>
      <c r="Y404" s="43">
        <f>IFERROR(SUM(Y399:Y402),"0")</f>
        <v>51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20</v>
      </c>
      <c r="Y406" s="55">
        <f>IFERROR(IF(X406="",0,CEILING((X406/$H406),1)*$H406),"")</f>
        <v>20</v>
      </c>
      <c r="Z406" s="41">
        <f>IFERROR(IF(Y406=0,"",ROUNDUP(Y406/H406,0)*0.00474),"")</f>
        <v>4.7400000000000005E-2</v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22.400000000000002</v>
      </c>
      <c r="BN406" s="78">
        <f>IFERROR(Y406*I406/H406,"0")</f>
        <v>22.400000000000002</v>
      </c>
      <c r="BO406" s="78">
        <f>IFERROR(1/J406*(X406/H406),"0")</f>
        <v>4.2016806722689072E-2</v>
      </c>
      <c r="BP406" s="78">
        <f>IFERROR(1/J406*(Y406/H406),"0")</f>
        <v>4.2016806722689072E-2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20</v>
      </c>
      <c r="Y407" s="55">
        <f>IFERROR(IF(X407="",0,CEILING((X407/$H407),1)*$H407),"")</f>
        <v>20</v>
      </c>
      <c r="Z407" s="41">
        <f>IFERROR(IF(Y407=0,"",ROUNDUP(Y407/H407,0)*0.00474),"")</f>
        <v>4.7400000000000005E-2</v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22.400000000000002</v>
      </c>
      <c r="BN407" s="78">
        <f>IFERROR(Y407*I407/H407,"0")</f>
        <v>22.400000000000002</v>
      </c>
      <c r="BO407" s="78">
        <f>IFERROR(1/J407*(X407/H407),"0")</f>
        <v>4.2016806722689072E-2</v>
      </c>
      <c r="BP407" s="78">
        <f>IFERROR(1/J407*(Y407/H407),"0")</f>
        <v>4.2016806722689072E-2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20</v>
      </c>
      <c r="Y408" s="55">
        <f>IFERROR(IF(X408="",0,CEILING((X408/$H408),1)*$H408),"")</f>
        <v>20</v>
      </c>
      <c r="Z408" s="41">
        <f>IFERROR(IF(Y408=0,"",ROUNDUP(Y408/H408,0)*0.00474),"")</f>
        <v>4.7400000000000005E-2</v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22.400000000000002</v>
      </c>
      <c r="BN408" s="78">
        <f>IFERROR(Y408*I408/H408,"0")</f>
        <v>22.400000000000002</v>
      </c>
      <c r="BO408" s="78">
        <f>IFERROR(1/J408*(X408/H408),"0")</f>
        <v>4.2016806722689072E-2</v>
      </c>
      <c r="BP408" s="78">
        <f>IFERROR(1/J408*(Y408/H408),"0")</f>
        <v>4.2016806722689072E-2</v>
      </c>
    </row>
    <row r="409" spans="1:68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30</v>
      </c>
      <c r="Y409" s="43">
        <f>IFERROR(Y406/H406,"0")+IFERROR(Y407/H407,"0")+IFERROR(Y408/H408,"0")</f>
        <v>30</v>
      </c>
      <c r="Z409" s="43">
        <f>IFERROR(IF(Z406="",0,Z406),"0")+IFERROR(IF(Z407="",0,Z407),"0")+IFERROR(IF(Z408="",0,Z408),"0")</f>
        <v>0.14220000000000002</v>
      </c>
      <c r="AA409" s="67"/>
      <c r="AB409" s="67"/>
      <c r="AC409" s="67"/>
    </row>
    <row r="410" spans="1:68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60</v>
      </c>
      <c r="Y410" s="43">
        <f>IFERROR(SUM(Y406:Y408),"0")</f>
        <v>60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23.80952380952381</v>
      </c>
      <c r="Y428" s="43">
        <f>IFERROR(Y425/H425,"0")+IFERROR(Y426/H426,"0")+IFERROR(Y427/H427,"0")</f>
        <v>24</v>
      </c>
      <c r="Z428" s="43">
        <f>IFERROR(IF(Z425="",0,Z425),"0")+IFERROR(IF(Z426="",0,Z426),"0")+IFERROR(IF(Z427="",0,Z427),"0")</f>
        <v>0.15623999999999999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50</v>
      </c>
      <c r="Y429" s="43">
        <f>IFERROR(SUM(Y425:Y427),"0")</f>
        <v>50.400000000000006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73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412.53333333333336</v>
      </c>
      <c r="BN434" s="78">
        <f t="shared" si="75"/>
        <v>417.69</v>
      </c>
      <c r="BO434" s="78">
        <f t="shared" si="76"/>
        <v>0.55555555555555558</v>
      </c>
      <c r="BP434" s="78">
        <f t="shared" si="77"/>
        <v>0.5625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73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103.13333333333334</v>
      </c>
      <c r="BN436" s="78">
        <f t="shared" si="75"/>
        <v>108.29</v>
      </c>
      <c r="BO436" s="78">
        <f t="shared" si="76"/>
        <v>0.1388888888888889</v>
      </c>
      <c r="BP436" s="78">
        <f t="shared" si="77"/>
        <v>0.14583333333333331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46.666666666666664</v>
      </c>
      <c r="Y441" s="43">
        <f>IFERROR(Y433/H433,"0")+IFERROR(Y434/H434,"0")+IFERROR(Y435/H435,"0")+IFERROR(Y436/H436,"0")+IFERROR(Y437/H437,"0")+IFERROR(Y438/H438,"0")+IFERROR(Y439/H439,"0")+IFERROR(Y440/H440,"0")</f>
        <v>48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1.044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700</v>
      </c>
      <c r="Y442" s="43">
        <f>IFERROR(SUM(Y433:Y440),"0")</f>
        <v>720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200</v>
      </c>
      <c r="Y444" s="55">
        <f>IFERROR(IF(X444="",0,CEILING((X444/$H444),1)*$H444),"")</f>
        <v>210</v>
      </c>
      <c r="Z444" s="41">
        <f>IFERROR(IF(Y444=0,"",ROUNDUP(Y444/H444,0)*0.02175),"")</f>
        <v>0.30449999999999999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206.26666666666668</v>
      </c>
      <c r="BN444" s="78">
        <f>IFERROR(Y444*I444/H444,"0")</f>
        <v>216.58</v>
      </c>
      <c r="BO444" s="78">
        <f>IFERROR(1/J444*(X444/H444),"0")</f>
        <v>0.27777777777777779</v>
      </c>
      <c r="BP444" s="78">
        <f>IFERROR(1/J444*(Y444/H444),"0")</f>
        <v>0.29166666666666663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20</v>
      </c>
      <c r="Y447" s="43">
        <f>IFERROR(Y444/H444,"0")+IFERROR(Y445/H445,"0")+IFERROR(Y446/H446,"0")</f>
        <v>21</v>
      </c>
      <c r="Z447" s="43">
        <f>IFERROR(IF(Z444="",0,Z444),"0")+IFERROR(IF(Z445="",0,Z445),"0")+IFERROR(IF(Z446="",0,Z446),"0")</f>
        <v>0.45674999999999999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300</v>
      </c>
      <c r="Y448" s="43">
        <f>IFERROR(SUM(Y444:Y446),"0")</f>
        <v>315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50</v>
      </c>
      <c r="Y452" s="55">
        <f>IFERROR(IF(X452="",0,CEILING((X452/$H452),1)*$H452),"")</f>
        <v>52.8</v>
      </c>
      <c r="Z452" s="41">
        <f>IFERROR(IF(Y452=0,"",ROUNDUP(Y452/H452,0)*0.01196),"")</f>
        <v>0.13156000000000001</v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54.333333333333336</v>
      </c>
      <c r="BN452" s="78">
        <f>IFERROR(Y452*I452/H452,"0")</f>
        <v>57.376000000000005</v>
      </c>
      <c r="BO452" s="78">
        <f>IFERROR(1/J452*(X452/H452),"0")</f>
        <v>0.10016025641025643</v>
      </c>
      <c r="BP452" s="78">
        <f>IFERROR(1/J452*(Y452/H452),"0")</f>
        <v>0.10576923076923078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10.416666666666668</v>
      </c>
      <c r="Y453" s="43">
        <f>IFERROR(Y450/H450,"0")+IFERROR(Y451/H451,"0")+IFERROR(Y452/H452,"0")</f>
        <v>11</v>
      </c>
      <c r="Z453" s="43">
        <f>IFERROR(IF(Z450="",0,Z450),"0")+IFERROR(IF(Z451="",0,Z451),"0")+IFERROR(IF(Z452="",0,Z452),"0")</f>
        <v>0.13156000000000001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50</v>
      </c>
      <c r="Y454" s="43">
        <f>IFERROR(SUM(Y450:Y452),"0")</f>
        <v>52.8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50.400000000000006</v>
      </c>
      <c r="Z456" s="41">
        <f>IFERROR(IF(Y456=0,"",ROUNDUP(Y456/H456,0)*0.01196),"")</f>
        <v>0.14352000000000001</v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54.952380952380949</v>
      </c>
      <c r="BN456" s="78">
        <f>IFERROR(Y456*I456/H456,"0")</f>
        <v>55.391999999999996</v>
      </c>
      <c r="BO456" s="78">
        <f>IFERROR(1/J456*(X456/H456),"0")</f>
        <v>0.11446886446886448</v>
      </c>
      <c r="BP456" s="78">
        <f>IFERROR(1/J456*(Y456/H456),"0")</f>
        <v>0.11538461538461539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11.904761904761905</v>
      </c>
      <c r="Y458" s="43">
        <f>IFERROR(Y456/H456,"0")+IFERROR(Y457/H457,"0")</f>
        <v>12</v>
      </c>
      <c r="Z458" s="43">
        <f>IFERROR(IF(Z456="",0,Z456),"0")+IFERROR(IF(Z457="",0,Z457),"0")</f>
        <v>0.14352000000000001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50</v>
      </c>
      <c r="Y459" s="43">
        <f>IFERROR(SUM(Y456:Y457),"0")</f>
        <v>50.400000000000006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63.888888888888893</v>
      </c>
      <c r="Y474" s="43">
        <f>IFERROR(Y471/H471,"0")+IFERROR(Y472/H472,"0")+IFERROR(Y473/H473,"0")</f>
        <v>65</v>
      </c>
      <c r="Z474" s="43">
        <f>IFERROR(IF(Z471="",0,Z471),"0")+IFERROR(IF(Z472="",0,Z472),"0")+IFERROR(IF(Z473="",0,Z473),"0")</f>
        <v>0.70995999999999992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300</v>
      </c>
      <c r="Y475" s="43">
        <f>IFERROR(SUM(Y471:Y473),"0")</f>
        <v>307.8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150</v>
      </c>
      <c r="Y507" s="55">
        <f t="shared" si="83"/>
        <v>153.12</v>
      </c>
      <c r="Z507" s="41">
        <f t="shared" si="84"/>
        <v>0.34683999999999998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159.94318181818181</v>
      </c>
      <c r="BN507" s="78">
        <f t="shared" si="86"/>
        <v>163.26999999999998</v>
      </c>
      <c r="BO507" s="78">
        <f t="shared" si="87"/>
        <v>0.27316433566433568</v>
      </c>
      <c r="BP507" s="78">
        <f t="shared" si="88"/>
        <v>0.27884615384615385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100</v>
      </c>
      <c r="Y508" s="55">
        <f t="shared" si="83"/>
        <v>100.32000000000001</v>
      </c>
      <c r="Z508" s="41">
        <f t="shared" si="84"/>
        <v>0.22724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106.62878787878788</v>
      </c>
      <c r="BN508" s="78">
        <f t="shared" si="86"/>
        <v>106.97</v>
      </c>
      <c r="BO508" s="78">
        <f t="shared" si="87"/>
        <v>0.18210955710955709</v>
      </c>
      <c r="BP508" s="78">
        <f t="shared" si="88"/>
        <v>0.18269230769230771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800</v>
      </c>
      <c r="Y511" s="55">
        <f t="shared" si="83"/>
        <v>802.56000000000006</v>
      </c>
      <c r="Z511" s="41">
        <f t="shared" si="84"/>
        <v>1.81792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853.030303030303</v>
      </c>
      <c r="BN511" s="78">
        <f t="shared" si="86"/>
        <v>855.76</v>
      </c>
      <c r="BO511" s="78">
        <f t="shared" si="87"/>
        <v>1.4568764568764567</v>
      </c>
      <c r="BP511" s="78">
        <f t="shared" si="88"/>
        <v>1.4615384615384617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198.86363636363635</v>
      </c>
      <c r="Y515" s="43">
        <f>IFERROR(Y506/H506,"0")+IFERROR(Y507/H507,"0")+IFERROR(Y508/H508,"0")+IFERROR(Y509/H509,"0")+IFERROR(Y510/H510,"0")+IFERROR(Y511/H511,"0")+IFERROR(Y512/H512,"0")+IFERROR(Y513/H513,"0")+IFERROR(Y514/H514,"0")</f>
        <v>200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2.3919999999999999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1050</v>
      </c>
      <c r="Y516" s="43">
        <f>IFERROR(SUM(Y506:Y514),"0")</f>
        <v>1056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500</v>
      </c>
      <c r="Y518" s="55">
        <f>IFERROR(IF(X518="",0,CEILING((X518/$H518),1)*$H518),"")</f>
        <v>501.6</v>
      </c>
      <c r="Z518" s="41">
        <f>IFERROR(IF(Y518=0,"",ROUNDUP(Y518/H518,0)*0.01196),"")</f>
        <v>1.1362000000000001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533.14393939393938</v>
      </c>
      <c r="BN518" s="78">
        <f>IFERROR(Y518*I518/H518,"0")</f>
        <v>534.85</v>
      </c>
      <c r="BO518" s="78">
        <f>IFERROR(1/J518*(X518/H518),"0")</f>
        <v>0.91054778554778548</v>
      </c>
      <c r="BP518" s="78">
        <f>IFERROR(1/J518*(Y518/H518),"0")</f>
        <v>0.91346153846153855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94.696969696969688</v>
      </c>
      <c r="Y521" s="43">
        <f>IFERROR(Y518/H518,"0")+IFERROR(Y519/H519,"0")+IFERROR(Y520/H520,"0")</f>
        <v>95</v>
      </c>
      <c r="Z521" s="43">
        <f>IFERROR(IF(Z518="",0,Z518),"0")+IFERROR(IF(Z519="",0,Z519),"0")+IFERROR(IF(Z520="",0,Z520),"0")</f>
        <v>1.1362000000000001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500</v>
      </c>
      <c r="Y522" s="43">
        <f>IFERROR(SUM(Y518:Y520),"0")</f>
        <v>501.6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ref="Y524:Y530" si="89">IFERROR(IF(X524="",0,CEILING((X524/$H524),1)*$H524),"")</f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213.25757575757575</v>
      </c>
      <c r="BN524" s="78">
        <f t="shared" ref="BN524:BN530" si="91">IFERROR(Y524*I524/H524,"0")</f>
        <v>213.94</v>
      </c>
      <c r="BO524" s="78">
        <f t="shared" ref="BO524:BO530" si="92">IFERROR(1/J524*(X524/H524),"0")</f>
        <v>0.36421911421911418</v>
      </c>
      <c r="BP524" s="78">
        <f t="shared" ref="BP524:BP530" si="93">IFERROR(1/J524*(Y524/H524),"0")</f>
        <v>0.36538461538461542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200</v>
      </c>
      <c r="Y525" s="55">
        <f t="shared" si="89"/>
        <v>200.64000000000001</v>
      </c>
      <c r="Z525" s="41">
        <f>IFERROR(IF(Y525=0,"",ROUNDUP(Y525/H525,0)*0.01196),"")</f>
        <v>0.45448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213.25757575757575</v>
      </c>
      <c r="BN525" s="78">
        <f t="shared" si="91"/>
        <v>213.94</v>
      </c>
      <c r="BO525" s="78">
        <f t="shared" si="92"/>
        <v>0.36421911421911418</v>
      </c>
      <c r="BP525" s="78">
        <f t="shared" si="93"/>
        <v>0.36538461538461542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113.63636363636363</v>
      </c>
      <c r="Y531" s="43">
        <f>IFERROR(Y524/H524,"0")+IFERROR(Y525/H525,"0")+IFERROR(Y526/H526,"0")+IFERROR(Y527/H527,"0")+IFERROR(Y528/H528,"0")+IFERROR(Y529/H529,"0")+IFERROR(Y530/H530,"0")</f>
        <v>114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1.36344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600</v>
      </c>
      <c r="Y532" s="43">
        <f>IFERROR(SUM(Y524:Y530),"0")</f>
        <v>601.92000000000007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6160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6259.4000000000015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6572.7127961816695</v>
      </c>
      <c r="Y562" s="43">
        <f>IFERROR(SUM(BN22:BN558),"0")</f>
        <v>6677.8279999999995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12</v>
      </c>
      <c r="Y563" s="44">
        <f>ROUNDUP(SUM(BP22:BP558),0)</f>
        <v>12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6872.7127961816695</v>
      </c>
      <c r="Y564" s="43">
        <f>GrossWeightTotalR+PalletQtyTotalR*25</f>
        <v>6977.8279999999995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1313.9440239317692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1332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13.58104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205.20000000000002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151.20000000000002</v>
      </c>
      <c r="F571" s="52">
        <f>IFERROR(Y87*1,"0")+IFERROR(Y88*1,"0")+IFERROR(Y89*1,"0")+IFERROR(Y90*1,"0")+IFERROR(Y91*1,"0")+IFERROR(Y92*1,"0")+IFERROR(Y96*1,"0")+IFERROR(Y97*1,"0")+IFERROR(Y98*1,"0")+IFERROR(Y99*1,"0")</f>
        <v>561.6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557.40000000000009</v>
      </c>
      <c r="H571" s="52">
        <f>IFERROR(Y134*1,"0")+IFERROR(Y135*1,"0")+IFERROR(Y139*1,"0")+IFERROR(Y140*1,"0")+IFERROR(Y144*1,"0")+IFERROR(Y145*1,"0")</f>
        <v>101.6</v>
      </c>
      <c r="I571" s="52">
        <f>IFERROR(Y150*1,"0")+IFERROR(Y151*1,"0")+IFERROR(Y152*1,"0")+IFERROR(Y153*1,"0")+IFERROR(Y154*1,"0")+IFERROR(Y155*1,"0")+IFERROR(Y159*1,"0")</f>
        <v>84.48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547.19999999999993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394.79999999999995</v>
      </c>
      <c r="U571" s="52">
        <f>IFERROR(Y419*1,"0")+IFERROR(Y420*1,"0")</f>
        <v>0</v>
      </c>
      <c r="V571" s="52">
        <f>IFERROR(Y425*1,"0")+IFERROR(Y426*1,"0")+IFERROR(Y427*1,"0")</f>
        <v>50.400000000000006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1138.2</v>
      </c>
      <c r="X571" s="52">
        <f>IFERROR(Y462*1,"0")+IFERROR(Y463*1,"0")+IFERROR(Y467*1,"0")+IFERROR(Y471*1,"0")+IFERROR(Y472*1,"0")+IFERROR(Y473*1,"0")</f>
        <v>307.8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2159.52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313,94"/>
        <filter val="10,00"/>
        <filter val="10,42"/>
        <filter val="100,00"/>
        <filter val="11,90"/>
        <filter val="113,64"/>
        <filter val="12"/>
        <filter val="12,82"/>
        <filter val="13,33"/>
        <filter val="13,89"/>
        <filter val="135,80"/>
        <filter val="15,63"/>
        <filter val="150,00"/>
        <filter val="17,86"/>
        <filter val="18,52"/>
        <filter val="180,00"/>
        <filter val="19,61"/>
        <filter val="198,86"/>
        <filter val="20,00"/>
        <filter val="200,00"/>
        <filter val="208,33"/>
        <filter val="22,22"/>
        <filter val="23,81"/>
        <filter val="30,00"/>
        <filter val="300,00"/>
        <filter val="350,00"/>
        <filter val="40,00"/>
        <filter val="400,00"/>
        <filter val="46,67"/>
        <filter val="50,00"/>
        <filter val="500,00"/>
        <filter val="55,38"/>
        <filter val="55,56"/>
        <filter val="6 160,00"/>
        <filter val="6 572,71"/>
        <filter val="6 872,71"/>
        <filter val="60,00"/>
        <filter val="600,00"/>
        <filter val="63,89"/>
        <filter val="700,00"/>
        <filter val="80,00"/>
        <filter val="800,00"/>
        <filter val="92,59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