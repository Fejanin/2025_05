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43A00AE-9DEC-4CEE-90C9-74218AC2776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O553" i="1"/>
  <c r="BN553" i="1"/>
  <c r="BM553" i="1"/>
  <c r="Y553" i="1"/>
  <c r="BP553" i="1" s="1"/>
  <c r="P553" i="1"/>
  <c r="X551" i="1"/>
  <c r="X550" i="1"/>
  <c r="BO549" i="1"/>
  <c r="BM549" i="1"/>
  <c r="Y549" i="1"/>
  <c r="Y551" i="1" s="1"/>
  <c r="P549" i="1"/>
  <c r="X547" i="1"/>
  <c r="Y546" i="1"/>
  <c r="X546" i="1"/>
  <c r="BO545" i="1"/>
  <c r="BN545" i="1"/>
  <c r="BM545" i="1"/>
  <c r="Y545" i="1"/>
  <c r="Y547" i="1" s="1"/>
  <c r="P545" i="1"/>
  <c r="X543" i="1"/>
  <c r="X542" i="1"/>
  <c r="BO541" i="1"/>
  <c r="BM541" i="1"/>
  <c r="Y541" i="1"/>
  <c r="Y543" i="1" s="1"/>
  <c r="P541" i="1"/>
  <c r="X539" i="1"/>
  <c r="Y538" i="1"/>
  <c r="X538" i="1"/>
  <c r="BO537" i="1"/>
  <c r="BN537" i="1"/>
  <c r="BM537" i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O529" i="1"/>
  <c r="BN529" i="1"/>
  <c r="BM529" i="1"/>
  <c r="Y529" i="1"/>
  <c r="BP529" i="1" s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N525" i="1"/>
  <c r="BM525" i="1"/>
  <c r="Y525" i="1"/>
  <c r="BP525" i="1" s="1"/>
  <c r="P525" i="1"/>
  <c r="X523" i="1"/>
  <c r="X522" i="1"/>
  <c r="BO521" i="1"/>
  <c r="BN521" i="1"/>
  <c r="BM521" i="1"/>
  <c r="Y521" i="1"/>
  <c r="BP521" i="1" s="1"/>
  <c r="P521" i="1"/>
  <c r="BO520" i="1"/>
  <c r="BM520" i="1"/>
  <c r="Y520" i="1"/>
  <c r="P520" i="1"/>
  <c r="BO519" i="1"/>
  <c r="BM519" i="1"/>
  <c r="Y519" i="1"/>
  <c r="P519" i="1"/>
  <c r="X517" i="1"/>
  <c r="X516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N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N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M484" i="1"/>
  <c r="Z484" i="1"/>
  <c r="Y484" i="1"/>
  <c r="BN484" i="1" s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O474" i="1"/>
  <c r="BN474" i="1"/>
  <c r="BM474" i="1"/>
  <c r="Y474" i="1"/>
  <c r="BP474" i="1" s="1"/>
  <c r="P474" i="1"/>
  <c r="X472" i="1"/>
  <c r="X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O459" i="1"/>
  <c r="BN459" i="1"/>
  <c r="BM459" i="1"/>
  <c r="Y459" i="1"/>
  <c r="BP459" i="1" s="1"/>
  <c r="P459" i="1"/>
  <c r="X457" i="1"/>
  <c r="X456" i="1"/>
  <c r="BO455" i="1"/>
  <c r="BM455" i="1"/>
  <c r="Y455" i="1"/>
  <c r="BN455" i="1" s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M449" i="1"/>
  <c r="Z449" i="1"/>
  <c r="Y449" i="1"/>
  <c r="BN449" i="1" s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N443" i="1"/>
  <c r="BM443" i="1"/>
  <c r="Y443" i="1"/>
  <c r="BP443" i="1" s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M439" i="1"/>
  <c r="Z439" i="1"/>
  <c r="Y439" i="1"/>
  <c r="BN439" i="1" s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O429" i="1"/>
  <c r="BN429" i="1"/>
  <c r="BM429" i="1"/>
  <c r="Y429" i="1"/>
  <c r="BP429" i="1" s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O421" i="1"/>
  <c r="BN421" i="1"/>
  <c r="BM421" i="1"/>
  <c r="Y421" i="1"/>
  <c r="BP421" i="1" s="1"/>
  <c r="P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BP414" i="1" s="1"/>
  <c r="P414" i="1"/>
  <c r="BO413" i="1"/>
  <c r="BN413" i="1"/>
  <c r="BM413" i="1"/>
  <c r="Y413" i="1"/>
  <c r="BP413" i="1" s="1"/>
  <c r="P413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BN407" i="1" s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X398" i="1"/>
  <c r="X397" i="1"/>
  <c r="BO396" i="1"/>
  <c r="BM396" i="1"/>
  <c r="Y396" i="1"/>
  <c r="BP396" i="1" s="1"/>
  <c r="P396" i="1"/>
  <c r="BO395" i="1"/>
  <c r="BM395" i="1"/>
  <c r="Y395" i="1"/>
  <c r="P395" i="1"/>
  <c r="BO394" i="1"/>
  <c r="BM394" i="1"/>
  <c r="Y394" i="1"/>
  <c r="Y397" i="1" s="1"/>
  <c r="P394" i="1"/>
  <c r="X392" i="1"/>
  <c r="X391" i="1"/>
  <c r="BO390" i="1"/>
  <c r="BM390" i="1"/>
  <c r="Y390" i="1"/>
  <c r="BP390" i="1" s="1"/>
  <c r="P390" i="1"/>
  <c r="BO389" i="1"/>
  <c r="BM389" i="1"/>
  <c r="Y389" i="1"/>
  <c r="BN389" i="1" s="1"/>
  <c r="P389" i="1"/>
  <c r="BO388" i="1"/>
  <c r="BM388" i="1"/>
  <c r="Y388" i="1"/>
  <c r="BP388" i="1" s="1"/>
  <c r="P388" i="1"/>
  <c r="BO387" i="1"/>
  <c r="BM387" i="1"/>
  <c r="Y387" i="1"/>
  <c r="P387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BP380" i="1" s="1"/>
  <c r="P380" i="1"/>
  <c r="BO379" i="1"/>
  <c r="BM379" i="1"/>
  <c r="Y379" i="1"/>
  <c r="BN379" i="1" s="1"/>
  <c r="P379" i="1"/>
  <c r="BO378" i="1"/>
  <c r="BM378" i="1"/>
  <c r="Y378" i="1"/>
  <c r="BP378" i="1" s="1"/>
  <c r="P378" i="1"/>
  <c r="BO377" i="1"/>
  <c r="BM377" i="1"/>
  <c r="Y377" i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BP372" i="1" s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BN369" i="1" s="1"/>
  <c r="P369" i="1"/>
  <c r="BO368" i="1"/>
  <c r="BM368" i="1"/>
  <c r="Y368" i="1"/>
  <c r="BP368" i="1" s="1"/>
  <c r="P368" i="1"/>
  <c r="BO367" i="1"/>
  <c r="BM367" i="1"/>
  <c r="Y367" i="1"/>
  <c r="P367" i="1"/>
  <c r="X364" i="1"/>
  <c r="X363" i="1"/>
  <c r="BP362" i="1"/>
  <c r="BO362" i="1"/>
  <c r="BN362" i="1"/>
  <c r="BM362" i="1"/>
  <c r="Z362" i="1"/>
  <c r="Y362" i="1"/>
  <c r="P362" i="1"/>
  <c r="BO361" i="1"/>
  <c r="BM361" i="1"/>
  <c r="Y361" i="1"/>
  <c r="BP361" i="1" s="1"/>
  <c r="P361" i="1"/>
  <c r="BO360" i="1"/>
  <c r="BM360" i="1"/>
  <c r="Y360" i="1"/>
  <c r="P360" i="1"/>
  <c r="X357" i="1"/>
  <c r="X356" i="1"/>
  <c r="BO355" i="1"/>
  <c r="BM355" i="1"/>
  <c r="Y355" i="1"/>
  <c r="P355" i="1"/>
  <c r="X353" i="1"/>
  <c r="X352" i="1"/>
  <c r="BO351" i="1"/>
  <c r="BM351" i="1"/>
  <c r="Y351" i="1"/>
  <c r="P351" i="1"/>
  <c r="X348" i="1"/>
  <c r="X347" i="1"/>
  <c r="BO346" i="1"/>
  <c r="BN346" i="1"/>
  <c r="BM346" i="1"/>
  <c r="Y346" i="1"/>
  <c r="BP346" i="1" s="1"/>
  <c r="P346" i="1"/>
  <c r="BO345" i="1"/>
  <c r="BM345" i="1"/>
  <c r="Y345" i="1"/>
  <c r="BP345" i="1" s="1"/>
  <c r="P345" i="1"/>
  <c r="BO344" i="1"/>
  <c r="BM344" i="1"/>
  <c r="Y344" i="1"/>
  <c r="P344" i="1"/>
  <c r="X342" i="1"/>
  <c r="X341" i="1"/>
  <c r="BO340" i="1"/>
  <c r="BN340" i="1"/>
  <c r="BM340" i="1"/>
  <c r="Y340" i="1"/>
  <c r="BP340" i="1" s="1"/>
  <c r="P340" i="1"/>
  <c r="BO339" i="1"/>
  <c r="BM339" i="1"/>
  <c r="Y339" i="1"/>
  <c r="BP339" i="1" s="1"/>
  <c r="P339" i="1"/>
  <c r="BO338" i="1"/>
  <c r="BM338" i="1"/>
  <c r="Y338" i="1"/>
  <c r="BP338" i="1" s="1"/>
  <c r="P338" i="1"/>
  <c r="BO337" i="1"/>
  <c r="BM337" i="1"/>
  <c r="Y337" i="1"/>
  <c r="R572" i="1" s="1"/>
  <c r="P337" i="1"/>
  <c r="X334" i="1"/>
  <c r="X333" i="1"/>
  <c r="BO332" i="1"/>
  <c r="BM332" i="1"/>
  <c r="Y332" i="1"/>
  <c r="BP332" i="1" s="1"/>
  <c r="P332" i="1"/>
  <c r="BO331" i="1"/>
  <c r="BM331" i="1"/>
  <c r="Y331" i="1"/>
  <c r="BN331" i="1" s="1"/>
  <c r="P331" i="1"/>
  <c r="BO330" i="1"/>
  <c r="BM330" i="1"/>
  <c r="Y330" i="1"/>
  <c r="P330" i="1"/>
  <c r="X327" i="1"/>
  <c r="X326" i="1"/>
  <c r="BO325" i="1"/>
  <c r="BM325" i="1"/>
  <c r="Y325" i="1"/>
  <c r="BP325" i="1" s="1"/>
  <c r="P325" i="1"/>
  <c r="BO324" i="1"/>
  <c r="BM324" i="1"/>
  <c r="Y324" i="1"/>
  <c r="BP324" i="1" s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P319" i="1"/>
  <c r="BO318" i="1"/>
  <c r="BM318" i="1"/>
  <c r="Y318" i="1"/>
  <c r="BN318" i="1" s="1"/>
  <c r="P318" i="1"/>
  <c r="X315" i="1"/>
  <c r="X314" i="1"/>
  <c r="BO313" i="1"/>
  <c r="BM313" i="1"/>
  <c r="Y313" i="1"/>
  <c r="BP313" i="1" s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X308" i="1"/>
  <c r="X307" i="1"/>
  <c r="BO306" i="1"/>
  <c r="BM306" i="1"/>
  <c r="Y306" i="1"/>
  <c r="P306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N295" i="1"/>
  <c r="BM295" i="1"/>
  <c r="Y295" i="1"/>
  <c r="BP295" i="1" s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X289" i="1"/>
  <c r="X288" i="1"/>
  <c r="BO287" i="1"/>
  <c r="BM287" i="1"/>
  <c r="Y287" i="1"/>
  <c r="P287" i="1"/>
  <c r="BO286" i="1"/>
  <c r="BN286" i="1"/>
  <c r="BM286" i="1"/>
  <c r="Y286" i="1"/>
  <c r="BP286" i="1" s="1"/>
  <c r="P286" i="1"/>
  <c r="X284" i="1"/>
  <c r="X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BN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N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N272" i="1"/>
  <c r="BM272" i="1"/>
  <c r="Y272" i="1"/>
  <c r="BP272" i="1" s="1"/>
  <c r="P272" i="1"/>
  <c r="BO271" i="1"/>
  <c r="BM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N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N260" i="1"/>
  <c r="BM260" i="1"/>
  <c r="Y260" i="1"/>
  <c r="BP260" i="1" s="1"/>
  <c r="P260" i="1"/>
  <c r="X258" i="1"/>
  <c r="X257" i="1"/>
  <c r="BO256" i="1"/>
  <c r="BM256" i="1"/>
  <c r="Y256" i="1"/>
  <c r="BP256" i="1" s="1"/>
  <c r="P256" i="1"/>
  <c r="BO255" i="1"/>
  <c r="BM255" i="1"/>
  <c r="Y255" i="1"/>
  <c r="Y257" i="1" s="1"/>
  <c r="P255" i="1"/>
  <c r="X253" i="1"/>
  <c r="X252" i="1"/>
  <c r="BO251" i="1"/>
  <c r="BM251" i="1"/>
  <c r="Y251" i="1"/>
  <c r="BP251" i="1" s="1"/>
  <c r="BO250" i="1"/>
  <c r="BM250" i="1"/>
  <c r="Y250" i="1"/>
  <c r="P250" i="1"/>
  <c r="BO249" i="1"/>
  <c r="BM249" i="1"/>
  <c r="Y249" i="1"/>
  <c r="BP249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N240" i="1" s="1"/>
  <c r="P240" i="1"/>
  <c r="BO239" i="1"/>
  <c r="BM239" i="1"/>
  <c r="Y239" i="1"/>
  <c r="P239" i="1"/>
  <c r="BO238" i="1"/>
  <c r="BM238" i="1"/>
  <c r="Y238" i="1"/>
  <c r="Y242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N230" i="1" s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N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K572" i="1" s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Y190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6" i="1" s="1"/>
  <c r="P184" i="1"/>
  <c r="X182" i="1"/>
  <c r="X181" i="1"/>
  <c r="BO180" i="1"/>
  <c r="BM180" i="1"/>
  <c r="Y180" i="1"/>
  <c r="BP180" i="1" s="1"/>
  <c r="P180" i="1"/>
  <c r="BO179" i="1"/>
  <c r="BM179" i="1"/>
  <c r="Y179" i="1"/>
  <c r="BN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Y166" i="1"/>
  <c r="P166" i="1"/>
  <c r="BO165" i="1"/>
  <c r="BM165" i="1"/>
  <c r="Y165" i="1"/>
  <c r="Y167" i="1" s="1"/>
  <c r="P165" i="1"/>
  <c r="X163" i="1"/>
  <c r="X162" i="1"/>
  <c r="BP161" i="1"/>
  <c r="BO161" i="1"/>
  <c r="BN161" i="1"/>
  <c r="BM161" i="1"/>
  <c r="Z161" i="1"/>
  <c r="Y161" i="1"/>
  <c r="P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X155" i="1"/>
  <c r="X154" i="1"/>
  <c r="BO153" i="1"/>
  <c r="BM153" i="1"/>
  <c r="Y153" i="1"/>
  <c r="Y155" i="1" s="1"/>
  <c r="P153" i="1"/>
  <c r="X151" i="1"/>
  <c r="X150" i="1"/>
  <c r="BO149" i="1"/>
  <c r="BM149" i="1"/>
  <c r="Y149" i="1"/>
  <c r="BP149" i="1" s="1"/>
  <c r="P149" i="1"/>
  <c r="BO148" i="1"/>
  <c r="BM148" i="1"/>
  <c r="Y148" i="1"/>
  <c r="BN148" i="1" s="1"/>
  <c r="P148" i="1"/>
  <c r="BO147" i="1"/>
  <c r="BM147" i="1"/>
  <c r="Y147" i="1"/>
  <c r="P147" i="1"/>
  <c r="BO146" i="1"/>
  <c r="BM146" i="1"/>
  <c r="Y146" i="1"/>
  <c r="BP146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P136" i="1"/>
  <c r="BO135" i="1"/>
  <c r="BM135" i="1"/>
  <c r="Y135" i="1"/>
  <c r="Y137" i="1" s="1"/>
  <c r="P135" i="1"/>
  <c r="X133" i="1"/>
  <c r="X132" i="1"/>
  <c r="BO131" i="1"/>
  <c r="BM131" i="1"/>
  <c r="Y131" i="1"/>
  <c r="BN131" i="1" s="1"/>
  <c r="P131" i="1"/>
  <c r="BO130" i="1"/>
  <c r="BM130" i="1"/>
  <c r="Y130" i="1"/>
  <c r="P130" i="1"/>
  <c r="X127" i="1"/>
  <c r="X126" i="1"/>
  <c r="BO125" i="1"/>
  <c r="BM125" i="1"/>
  <c r="Y125" i="1"/>
  <c r="P125" i="1"/>
  <c r="X123" i="1"/>
  <c r="X122" i="1"/>
  <c r="BO121" i="1"/>
  <c r="BM121" i="1"/>
  <c r="Y121" i="1"/>
  <c r="P121" i="1"/>
  <c r="BO120" i="1"/>
  <c r="BM120" i="1"/>
  <c r="Y120" i="1"/>
  <c r="BP120" i="1" s="1"/>
  <c r="P120" i="1"/>
  <c r="BO119" i="1"/>
  <c r="BM119" i="1"/>
  <c r="Y119" i="1"/>
  <c r="P119" i="1"/>
  <c r="BP118" i="1"/>
  <c r="BO118" i="1"/>
  <c r="BN118" i="1"/>
  <c r="BM118" i="1"/>
  <c r="Z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BP94" i="1" s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N79" i="1" s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Y50" i="1"/>
  <c r="BN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72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X28" i="1"/>
  <c r="X27" i="1"/>
  <c r="BO26" i="1"/>
  <c r="BM26" i="1"/>
  <c r="Y26" i="1"/>
  <c r="BP26" i="1" s="1"/>
  <c r="P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N30" i="1" l="1"/>
  <c r="Z50" i="1"/>
  <c r="BP50" i="1"/>
  <c r="Z61" i="1"/>
  <c r="BP61" i="1"/>
  <c r="Z79" i="1"/>
  <c r="BP79" i="1"/>
  <c r="F572" i="1"/>
  <c r="BN94" i="1"/>
  <c r="BN107" i="1"/>
  <c r="Z131" i="1"/>
  <c r="BP131" i="1"/>
  <c r="Z148" i="1"/>
  <c r="BP148" i="1"/>
  <c r="BN171" i="1"/>
  <c r="Z179" i="1"/>
  <c r="BP179" i="1"/>
  <c r="L572" i="1"/>
  <c r="Z230" i="1"/>
  <c r="BP230" i="1"/>
  <c r="Z240" i="1"/>
  <c r="BP240" i="1"/>
  <c r="Z280" i="1"/>
  <c r="BP280" i="1"/>
  <c r="Z318" i="1"/>
  <c r="BP318" i="1"/>
  <c r="Z331" i="1"/>
  <c r="BP331" i="1"/>
  <c r="Z369" i="1"/>
  <c r="BP369" i="1"/>
  <c r="Z379" i="1"/>
  <c r="BP379" i="1"/>
  <c r="Z389" i="1"/>
  <c r="BP389" i="1"/>
  <c r="Z407" i="1"/>
  <c r="BP407" i="1"/>
  <c r="Z455" i="1"/>
  <c r="BP455" i="1"/>
  <c r="Z470" i="1"/>
  <c r="Z471" i="1" s="1"/>
  <c r="BP470" i="1"/>
  <c r="Z501" i="1"/>
  <c r="BP501" i="1"/>
  <c r="Z515" i="1"/>
  <c r="BP515" i="1"/>
  <c r="Z541" i="1"/>
  <c r="Z542" i="1" s="1"/>
  <c r="BP541" i="1"/>
  <c r="Z549" i="1"/>
  <c r="Z550" i="1" s="1"/>
  <c r="BP549" i="1"/>
  <c r="Z224" i="1"/>
  <c r="Z264" i="1"/>
  <c r="Z276" i="1"/>
  <c r="Z286" i="1"/>
  <c r="Y300" i="1"/>
  <c r="Z340" i="1"/>
  <c r="Z413" i="1"/>
  <c r="Z459" i="1"/>
  <c r="Z511" i="1"/>
  <c r="Z521" i="1"/>
  <c r="Z529" i="1"/>
  <c r="Z30" i="1"/>
  <c r="C572" i="1"/>
  <c r="Z94" i="1"/>
  <c r="Z107" i="1"/>
  <c r="J572" i="1"/>
  <c r="Z171" i="1"/>
  <c r="Y227" i="1"/>
  <c r="Z220" i="1"/>
  <c r="Z260" i="1"/>
  <c r="Z272" i="1"/>
  <c r="Z295" i="1"/>
  <c r="Z346" i="1"/>
  <c r="Z421" i="1"/>
  <c r="Z429" i="1"/>
  <c r="Z443" i="1"/>
  <c r="BN470" i="1"/>
  <c r="Y471" i="1"/>
  <c r="Z474" i="1"/>
  <c r="Z525" i="1"/>
  <c r="Z537" i="1"/>
  <c r="Z538" i="1" s="1"/>
  <c r="BP537" i="1"/>
  <c r="BN541" i="1"/>
  <c r="Y542" i="1"/>
  <c r="Z545" i="1"/>
  <c r="Z546" i="1" s="1"/>
  <c r="BP545" i="1"/>
  <c r="BN549" i="1"/>
  <c r="Y550" i="1"/>
  <c r="Z553" i="1"/>
  <c r="Y348" i="1"/>
  <c r="BP344" i="1"/>
  <c r="U572" i="1"/>
  <c r="BP367" i="1"/>
  <c r="BN367" i="1"/>
  <c r="Z367" i="1"/>
  <c r="Y385" i="1"/>
  <c r="BP377" i="1"/>
  <c r="BN377" i="1"/>
  <c r="Z377" i="1"/>
  <c r="Y391" i="1"/>
  <c r="BP387" i="1"/>
  <c r="BN387" i="1"/>
  <c r="Z387" i="1"/>
  <c r="BP403" i="1"/>
  <c r="BN403" i="1"/>
  <c r="Z403" i="1"/>
  <c r="BP415" i="1"/>
  <c r="BN415" i="1"/>
  <c r="Z415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Z22" i="1"/>
  <c r="BN22" i="1"/>
  <c r="Z26" i="1"/>
  <c r="BN26" i="1"/>
  <c r="X562" i="1"/>
  <c r="Y32" i="1"/>
  <c r="Z38" i="1"/>
  <c r="BN38" i="1"/>
  <c r="Z48" i="1"/>
  <c r="BN48" i="1"/>
  <c r="Z55" i="1"/>
  <c r="BN55" i="1"/>
  <c r="Z59" i="1"/>
  <c r="BN59" i="1"/>
  <c r="Z67" i="1"/>
  <c r="BN67" i="1"/>
  <c r="Z73" i="1"/>
  <c r="BN73" i="1"/>
  <c r="BP73" i="1"/>
  <c r="Y81" i="1"/>
  <c r="Z86" i="1"/>
  <c r="BN86" i="1"/>
  <c r="Z90" i="1"/>
  <c r="BN90" i="1"/>
  <c r="Y98" i="1"/>
  <c r="Z96" i="1"/>
  <c r="BN96" i="1"/>
  <c r="G572" i="1"/>
  <c r="Z105" i="1"/>
  <c r="BN105" i="1"/>
  <c r="Z114" i="1"/>
  <c r="BN114" i="1"/>
  <c r="Y122" i="1"/>
  <c r="Z120" i="1"/>
  <c r="BN120" i="1"/>
  <c r="H572" i="1"/>
  <c r="Z135" i="1"/>
  <c r="BN135" i="1"/>
  <c r="BP135" i="1"/>
  <c r="Y138" i="1"/>
  <c r="Z146" i="1"/>
  <c r="BN146" i="1"/>
  <c r="Y151" i="1"/>
  <c r="Z159" i="1"/>
  <c r="BN159" i="1"/>
  <c r="Z165" i="1"/>
  <c r="BN165" i="1"/>
  <c r="BP165" i="1"/>
  <c r="Y168" i="1"/>
  <c r="Y182" i="1"/>
  <c r="Z173" i="1"/>
  <c r="BN173" i="1"/>
  <c r="Z177" i="1"/>
  <c r="BN177" i="1"/>
  <c r="Z210" i="1"/>
  <c r="Z211" i="1" s="1"/>
  <c r="BN210" i="1"/>
  <c r="BP210" i="1"/>
  <c r="Y211" i="1"/>
  <c r="Z214" i="1"/>
  <c r="BN214" i="1"/>
  <c r="BP214" i="1"/>
  <c r="Z218" i="1"/>
  <c r="BN218" i="1"/>
  <c r="Z222" i="1"/>
  <c r="BN222" i="1"/>
  <c r="Z226" i="1"/>
  <c r="BN226" i="1"/>
  <c r="Y235" i="1"/>
  <c r="Z232" i="1"/>
  <c r="BN232" i="1"/>
  <c r="Z238" i="1"/>
  <c r="BN238" i="1"/>
  <c r="BP238" i="1"/>
  <c r="Y241" i="1"/>
  <c r="Z244" i="1"/>
  <c r="Z245" i="1" s="1"/>
  <c r="BN244" i="1"/>
  <c r="BP244" i="1"/>
  <c r="Y245" i="1"/>
  <c r="Z249" i="1"/>
  <c r="BN249" i="1"/>
  <c r="Y253" i="1"/>
  <c r="Z256" i="1"/>
  <c r="BN256" i="1"/>
  <c r="Z262" i="1"/>
  <c r="BN262" i="1"/>
  <c r="Z266" i="1"/>
  <c r="BN266" i="1"/>
  <c r="Z274" i="1"/>
  <c r="BN274" i="1"/>
  <c r="Z278" i="1"/>
  <c r="BN278" i="1"/>
  <c r="Z282" i="1"/>
  <c r="BN282" i="1"/>
  <c r="Z293" i="1"/>
  <c r="BN293" i="1"/>
  <c r="Z297" i="1"/>
  <c r="BN297" i="1"/>
  <c r="Z313" i="1"/>
  <c r="BN313" i="1"/>
  <c r="Z320" i="1"/>
  <c r="BN320" i="1"/>
  <c r="Z324" i="1"/>
  <c r="BN324" i="1"/>
  <c r="Y333" i="1"/>
  <c r="Z338" i="1"/>
  <c r="BN338" i="1"/>
  <c r="Z344" i="1"/>
  <c r="BN344" i="1"/>
  <c r="S572" i="1"/>
  <c r="Y352" i="1"/>
  <c r="BP351" i="1"/>
  <c r="BN351" i="1"/>
  <c r="Z351" i="1"/>
  <c r="Z352" i="1" s="1"/>
  <c r="Y357" i="1"/>
  <c r="Y356" i="1"/>
  <c r="BP355" i="1"/>
  <c r="BN355" i="1"/>
  <c r="Z355" i="1"/>
  <c r="Z356" i="1" s="1"/>
  <c r="BP360" i="1"/>
  <c r="BN360" i="1"/>
  <c r="Z360" i="1"/>
  <c r="BP371" i="1"/>
  <c r="BN371" i="1"/>
  <c r="Z371" i="1"/>
  <c r="BP381" i="1"/>
  <c r="BN381" i="1"/>
  <c r="Z381" i="1"/>
  <c r="BP395" i="1"/>
  <c r="BN395" i="1"/>
  <c r="Z395" i="1"/>
  <c r="BP409" i="1"/>
  <c r="BN409" i="1"/>
  <c r="Z409" i="1"/>
  <c r="BP437" i="1"/>
  <c r="BN437" i="1"/>
  <c r="Z437" i="1"/>
  <c r="BP447" i="1"/>
  <c r="BN447" i="1"/>
  <c r="Z447" i="1"/>
  <c r="Y456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Y405" i="1"/>
  <c r="Y411" i="1"/>
  <c r="Y417" i="1"/>
  <c r="Y478" i="1"/>
  <c r="Y477" i="1"/>
  <c r="Y555" i="1"/>
  <c r="AC572" i="1"/>
  <c r="F9" i="1"/>
  <c r="J9" i="1"/>
  <c r="F10" i="1"/>
  <c r="Y27" i="1"/>
  <c r="Y33" i="1"/>
  <c r="Y43" i="1"/>
  <c r="Y51" i="1"/>
  <c r="Y64" i="1"/>
  <c r="Y70" i="1"/>
  <c r="Y76" i="1"/>
  <c r="Y82" i="1"/>
  <c r="Y91" i="1"/>
  <c r="Y99" i="1"/>
  <c r="Y110" i="1"/>
  <c r="Y115" i="1"/>
  <c r="BP119" i="1"/>
  <c r="BN119" i="1"/>
  <c r="Z119" i="1"/>
  <c r="H9" i="1"/>
  <c r="B572" i="1"/>
  <c r="X563" i="1"/>
  <c r="X564" i="1"/>
  <c r="Z23" i="1"/>
  <c r="BN23" i="1"/>
  <c r="Z25" i="1"/>
  <c r="BN25" i="1"/>
  <c r="X566" i="1"/>
  <c r="Y28" i="1"/>
  <c r="Z31" i="1"/>
  <c r="Z32" i="1" s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2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BN74" i="1"/>
  <c r="Z78" i="1"/>
  <c r="BN78" i="1"/>
  <c r="BP78" i="1"/>
  <c r="Z80" i="1"/>
  <c r="BN80" i="1"/>
  <c r="Z85" i="1"/>
  <c r="BN85" i="1"/>
  <c r="BP85" i="1"/>
  <c r="Z87" i="1"/>
  <c r="BN87" i="1"/>
  <c r="Z89" i="1"/>
  <c r="BN89" i="1"/>
  <c r="Y92" i="1"/>
  <c r="Z95" i="1"/>
  <c r="BN95" i="1"/>
  <c r="Z97" i="1"/>
  <c r="BN97" i="1"/>
  <c r="Z102" i="1"/>
  <c r="BN102" i="1"/>
  <c r="BP102" i="1"/>
  <c r="Z104" i="1"/>
  <c r="BN104" i="1"/>
  <c r="Z106" i="1"/>
  <c r="BN106" i="1"/>
  <c r="Z108" i="1"/>
  <c r="BN108" i="1"/>
  <c r="Y109" i="1"/>
  <c r="Z112" i="1"/>
  <c r="BN112" i="1"/>
  <c r="BP112" i="1"/>
  <c r="BP113" i="1"/>
  <c r="BN113" i="1"/>
  <c r="Z113" i="1"/>
  <c r="BP121" i="1"/>
  <c r="BN121" i="1"/>
  <c r="Z121" i="1"/>
  <c r="Y123" i="1"/>
  <c r="Y127" i="1"/>
  <c r="Y126" i="1"/>
  <c r="BP125" i="1"/>
  <c r="BN125" i="1"/>
  <c r="Z125" i="1"/>
  <c r="Z126" i="1" s="1"/>
  <c r="Z130" i="1"/>
  <c r="Z132" i="1" s="1"/>
  <c r="BN130" i="1"/>
  <c r="BP130" i="1"/>
  <c r="Y133" i="1"/>
  <c r="Z136" i="1"/>
  <c r="BN136" i="1"/>
  <c r="BP136" i="1"/>
  <c r="Z140" i="1"/>
  <c r="Z142" i="1" s="1"/>
  <c r="BN140" i="1"/>
  <c r="BP140" i="1"/>
  <c r="Y143" i="1"/>
  <c r="I572" i="1"/>
  <c r="Z147" i="1"/>
  <c r="BN147" i="1"/>
  <c r="BP147" i="1"/>
  <c r="Z149" i="1"/>
  <c r="Z150" i="1" s="1"/>
  <c r="BN149" i="1"/>
  <c r="Y150" i="1"/>
  <c r="Z153" i="1"/>
  <c r="Z154" i="1" s="1"/>
  <c r="BN153" i="1"/>
  <c r="BP153" i="1"/>
  <c r="Y154" i="1"/>
  <c r="Z158" i="1"/>
  <c r="BN158" i="1"/>
  <c r="BP158" i="1"/>
  <c r="Z160" i="1"/>
  <c r="BN160" i="1"/>
  <c r="Y163" i="1"/>
  <c r="Z166" i="1"/>
  <c r="Z167" i="1" s="1"/>
  <c r="BN166" i="1"/>
  <c r="BP166" i="1"/>
  <c r="Z170" i="1"/>
  <c r="BN170" i="1"/>
  <c r="BP170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BN184" i="1"/>
  <c r="BP184" i="1"/>
  <c r="Y187" i="1"/>
  <c r="Y191" i="1"/>
  <c r="Y195" i="1"/>
  <c r="Z200" i="1"/>
  <c r="BN200" i="1"/>
  <c r="Z202" i="1"/>
  <c r="BN202" i="1"/>
  <c r="Z204" i="1"/>
  <c r="BN204" i="1"/>
  <c r="Y207" i="1"/>
  <c r="Y212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Y228" i="1"/>
  <c r="Z231" i="1"/>
  <c r="BN231" i="1"/>
  <c r="Z233" i="1"/>
  <c r="BN233" i="1"/>
  <c r="Y236" i="1"/>
  <c r="Z239" i="1"/>
  <c r="Z241" i="1" s="1"/>
  <c r="BN239" i="1"/>
  <c r="BP239" i="1"/>
  <c r="M572" i="1"/>
  <c r="Z250" i="1"/>
  <c r="Z252" i="1" s="1"/>
  <c r="BN250" i="1"/>
  <c r="BP250" i="1"/>
  <c r="Z251" i="1"/>
  <c r="BN251" i="1"/>
  <c r="Y252" i="1"/>
  <c r="Z255" i="1"/>
  <c r="Z257" i="1" s="1"/>
  <c r="BN255" i="1"/>
  <c r="BP255" i="1"/>
  <c r="Y258" i="1"/>
  <c r="Y268" i="1"/>
  <c r="Z261" i="1"/>
  <c r="BN261" i="1"/>
  <c r="Z263" i="1"/>
  <c r="BN263" i="1"/>
  <c r="Z265" i="1"/>
  <c r="BN265" i="1"/>
  <c r="Z267" i="1"/>
  <c r="BN267" i="1"/>
  <c r="BP273" i="1"/>
  <c r="BN273" i="1"/>
  <c r="Z273" i="1"/>
  <c r="BP277" i="1"/>
  <c r="BN277" i="1"/>
  <c r="Z277" i="1"/>
  <c r="BP281" i="1"/>
  <c r="BN281" i="1"/>
  <c r="Z281" i="1"/>
  <c r="Y288" i="1"/>
  <c r="BP294" i="1"/>
  <c r="BN294" i="1"/>
  <c r="Z294" i="1"/>
  <c r="BP298" i="1"/>
  <c r="BN298" i="1"/>
  <c r="Z298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Y315" i="1"/>
  <c r="BP310" i="1"/>
  <c r="BN310" i="1"/>
  <c r="Z310" i="1"/>
  <c r="Y314" i="1"/>
  <c r="BP319" i="1"/>
  <c r="BN319" i="1"/>
  <c r="Z319" i="1"/>
  <c r="Y327" i="1"/>
  <c r="Y132" i="1"/>
  <c r="Y162" i="1"/>
  <c r="Z185" i="1"/>
  <c r="BN185" i="1"/>
  <c r="Z189" i="1"/>
  <c r="Z190" i="1" s="1"/>
  <c r="BN189" i="1"/>
  <c r="BP189" i="1"/>
  <c r="Z193" i="1"/>
  <c r="Z194" i="1" s="1"/>
  <c r="BN193" i="1"/>
  <c r="BP193" i="1"/>
  <c r="Z199" i="1"/>
  <c r="BN199" i="1"/>
  <c r="BP199" i="1"/>
  <c r="Z201" i="1"/>
  <c r="BN201" i="1"/>
  <c r="Z203" i="1"/>
  <c r="BN203" i="1"/>
  <c r="Z205" i="1"/>
  <c r="BN205" i="1"/>
  <c r="Y206" i="1"/>
  <c r="BN224" i="1"/>
  <c r="Y269" i="1"/>
  <c r="Y284" i="1"/>
  <c r="BP271" i="1"/>
  <c r="BN271" i="1"/>
  <c r="Z271" i="1"/>
  <c r="BP275" i="1"/>
  <c r="BN275" i="1"/>
  <c r="Z275" i="1"/>
  <c r="BP279" i="1"/>
  <c r="BN279" i="1"/>
  <c r="Z279" i="1"/>
  <c r="Y283" i="1"/>
  <c r="BP287" i="1"/>
  <c r="BN287" i="1"/>
  <c r="Z287" i="1"/>
  <c r="Z288" i="1" s="1"/>
  <c r="Y289" i="1"/>
  <c r="O572" i="1"/>
  <c r="Y299" i="1"/>
  <c r="BP292" i="1"/>
  <c r="BN292" i="1"/>
  <c r="Z292" i="1"/>
  <c r="BP296" i="1"/>
  <c r="BN296" i="1"/>
  <c r="Z296" i="1"/>
  <c r="BP312" i="1"/>
  <c r="BN312" i="1"/>
  <c r="Z312" i="1"/>
  <c r="Y334" i="1"/>
  <c r="Y341" i="1"/>
  <c r="Y347" i="1"/>
  <c r="Y363" i="1"/>
  <c r="Y374" i="1"/>
  <c r="Y384" i="1"/>
  <c r="Y392" i="1"/>
  <c r="Y398" i="1"/>
  <c r="Y404" i="1"/>
  <c r="Y410" i="1"/>
  <c r="Y416" i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BP460" i="1"/>
  <c r="BN460" i="1"/>
  <c r="Z460" i="1"/>
  <c r="Z461" i="1" s="1"/>
  <c r="Y462" i="1"/>
  <c r="Y468" i="1"/>
  <c r="BP465" i="1"/>
  <c r="BN465" i="1"/>
  <c r="Z465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Q572" i="1"/>
  <c r="Y572" i="1"/>
  <c r="P572" i="1"/>
  <c r="Z321" i="1"/>
  <c r="BN321" i="1"/>
  <c r="Z323" i="1"/>
  <c r="BN323" i="1"/>
  <c r="Z325" i="1"/>
  <c r="BN325" i="1"/>
  <c r="Y326" i="1"/>
  <c r="Z330" i="1"/>
  <c r="BN330" i="1"/>
  <c r="BP330" i="1"/>
  <c r="Z332" i="1"/>
  <c r="BN332" i="1"/>
  <c r="Z337" i="1"/>
  <c r="BN337" i="1"/>
  <c r="BP337" i="1"/>
  <c r="Z339" i="1"/>
  <c r="BN339" i="1"/>
  <c r="Y342" i="1"/>
  <c r="Z345" i="1"/>
  <c r="Z347" i="1" s="1"/>
  <c r="BN345" i="1"/>
  <c r="Y353" i="1"/>
  <c r="T572" i="1"/>
  <c r="Z361" i="1"/>
  <c r="Z363" i="1" s="1"/>
  <c r="BN361" i="1"/>
  <c r="Y364" i="1"/>
  <c r="Z368" i="1"/>
  <c r="BN368" i="1"/>
  <c r="Z370" i="1"/>
  <c r="BN370" i="1"/>
  <c r="Z372" i="1"/>
  <c r="BN372" i="1"/>
  <c r="Y375" i="1"/>
  <c r="Z378" i="1"/>
  <c r="BN378" i="1"/>
  <c r="Z380" i="1"/>
  <c r="BN380" i="1"/>
  <c r="Z382" i="1"/>
  <c r="BN382" i="1"/>
  <c r="Z388" i="1"/>
  <c r="BN388" i="1"/>
  <c r="Z390" i="1"/>
  <c r="BN390" i="1"/>
  <c r="Z394" i="1"/>
  <c r="BN394" i="1"/>
  <c r="BP394" i="1"/>
  <c r="Z396" i="1"/>
  <c r="BN396" i="1"/>
  <c r="Z400" i="1"/>
  <c r="BN400" i="1"/>
  <c r="BP400" i="1"/>
  <c r="Z402" i="1"/>
  <c r="BN402" i="1"/>
  <c r="Z408" i="1"/>
  <c r="Z410" i="1" s="1"/>
  <c r="BN408" i="1"/>
  <c r="Z414" i="1"/>
  <c r="Z416" i="1" s="1"/>
  <c r="BN414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BP438" i="1"/>
  <c r="BN438" i="1"/>
  <c r="Z438" i="1"/>
  <c r="BP442" i="1"/>
  <c r="BN442" i="1"/>
  <c r="Z442" i="1"/>
  <c r="Y451" i="1"/>
  <c r="Y450" i="1"/>
  <c r="BP454" i="1"/>
  <c r="BN454" i="1"/>
  <c r="Z454" i="1"/>
  <c r="Z456" i="1" s="1"/>
  <c r="Y461" i="1"/>
  <c r="Y467" i="1"/>
  <c r="BP475" i="1"/>
  <c r="BN475" i="1"/>
  <c r="Z475" i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Z516" i="1" s="1"/>
  <c r="BP512" i="1"/>
  <c r="BN512" i="1"/>
  <c r="Z512" i="1"/>
  <c r="Y516" i="1"/>
  <c r="BP520" i="1"/>
  <c r="BN520" i="1"/>
  <c r="Z520" i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206" i="1" l="1"/>
  <c r="Z115" i="1"/>
  <c r="Z181" i="1"/>
  <c r="Z109" i="1"/>
  <c r="Z91" i="1"/>
  <c r="Z70" i="1"/>
  <c r="Z51" i="1"/>
  <c r="Z42" i="1"/>
  <c r="Z391" i="1"/>
  <c r="Z384" i="1"/>
  <c r="Z326" i="1"/>
  <c r="Z488" i="1"/>
  <c r="Z227" i="1"/>
  <c r="Z98" i="1"/>
  <c r="Y564" i="1"/>
  <c r="Z27" i="1"/>
  <c r="Z532" i="1"/>
  <c r="Z522" i="1"/>
  <c r="Z477" i="1"/>
  <c r="Z431" i="1"/>
  <c r="Z404" i="1"/>
  <c r="Z374" i="1"/>
  <c r="Z333" i="1"/>
  <c r="Z467" i="1"/>
  <c r="Z450" i="1"/>
  <c r="Z268" i="1"/>
  <c r="Z235" i="1"/>
  <c r="Z137" i="1"/>
  <c r="Z75" i="1"/>
  <c r="Z63" i="1"/>
  <c r="Y563" i="1"/>
  <c r="Y565" i="1" s="1"/>
  <c r="Z122" i="1"/>
  <c r="Z503" i="1"/>
  <c r="Z444" i="1"/>
  <c r="Z314" i="1"/>
  <c r="Z186" i="1"/>
  <c r="X565" i="1"/>
  <c r="Y566" i="1"/>
  <c r="Z424" i="1"/>
  <c r="Z397" i="1"/>
  <c r="Z341" i="1"/>
  <c r="Z299" i="1"/>
  <c r="Z283" i="1"/>
  <c r="Z162" i="1"/>
  <c r="Z81" i="1"/>
  <c r="Y562" i="1"/>
  <c r="Z567" i="1" l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<sst xmlns="http://schemas.openxmlformats.org/spreadsheetml/2006/main" count="2533" uniqueCount="915">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</sst>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2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3" t="s">
        <v>0</v>
      </c>
      <c r="E1" s="677"/>
      <c r="F1" s="677"/>
      <c r="G1" s="12" t="s">
        <v>1</v>
      </c>
      <c r="H1" s="713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6"/>
      <c r="E5" s="727"/>
      <c r="F5" s="957" t="s">
        <v>9</v>
      </c>
      <c r="G5" s="690"/>
      <c r="H5" s="726" t="s">
        <v>914</v>
      </c>
      <c r="I5" s="898"/>
      <c r="J5" s="898"/>
      <c r="K5" s="898"/>
      <c r="L5" s="898"/>
      <c r="M5" s="727"/>
      <c r="N5" s="58"/>
      <c r="P5" s="24" t="s">
        <v>10</v>
      </c>
      <c r="Q5" s="965">
        <v>46329</v>
      </c>
      <c r="R5" s="766"/>
      <c r="T5" s="805" t="s">
        <v>11</v>
      </c>
      <c r="U5" s="806"/>
      <c r="V5" s="807" t="s">
        <v>12</v>
      </c>
      <c r="W5" s="766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2" t="s">
        <v>885</v>
      </c>
      <c r="E6" s="903"/>
      <c r="F6" s="903"/>
      <c r="G6" s="903"/>
      <c r="H6" s="903"/>
      <c r="I6" s="903"/>
      <c r="J6" s="903"/>
      <c r="K6" s="903"/>
      <c r="L6" s="903"/>
      <c r="M6" s="766"/>
      <c r="N6" s="59"/>
      <c r="P6" s="24" t="s">
        <v>14</v>
      </c>
      <c r="Q6" s="971" t="str">
        <f>IF(Q5=0," ",CHOOSE(WEEKDAY(Q5,2),"Понедельник","Вторник","Среда","Четверг","Пятница","Суббота","Воскресенье"))</f>
        <v>Вторник</v>
      </c>
      <c r="R6" s="647"/>
      <c r="T6" s="849" t="s">
        <v>15</v>
      </c>
      <c r="U6" s="806"/>
      <c r="V6" s="881" t="s">
        <v>16</v>
      </c>
      <c r="W6" s="662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17" t="str">
        <f>IFERROR(VLOOKUP(DeliveryAddress,Table,3,0),1)</f>
        <v>3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3"/>
      <c r="U7" s="806"/>
      <c r="V7" s="882"/>
      <c r="W7" s="883"/>
      <c r="AB7" s="51"/>
      <c r="AC7" s="51"/>
      <c r="AD7" s="51"/>
      <c r="AE7" s="51"/>
    </row>
    <row r="8" spans="1:32" s="629" customFormat="1" ht="25.5" customHeight="1" x14ac:dyDescent="0.2">
      <c r="A8" s="987" t="s">
        <v>17</v>
      </c>
      <c r="B8" s="640"/>
      <c r="C8" s="641"/>
      <c r="D8" s="696"/>
      <c r="E8" s="697"/>
      <c r="F8" s="697"/>
      <c r="G8" s="697"/>
      <c r="H8" s="697"/>
      <c r="I8" s="697"/>
      <c r="J8" s="697"/>
      <c r="K8" s="697"/>
      <c r="L8" s="697"/>
      <c r="M8" s="698"/>
      <c r="N8" s="61"/>
      <c r="P8" s="24" t="s">
        <v>18</v>
      </c>
      <c r="Q8" s="781">
        <v>0.45833333333333331</v>
      </c>
      <c r="R8" s="719"/>
      <c r="T8" s="653"/>
      <c r="U8" s="806"/>
      <c r="V8" s="882"/>
      <c r="W8" s="883"/>
      <c r="AB8" s="51"/>
      <c r="AC8" s="51"/>
      <c r="AD8" s="51"/>
      <c r="AE8" s="51"/>
    </row>
    <row r="9" spans="1:32" s="629" customFormat="1" ht="39.950000000000003" customHeight="1" x14ac:dyDescent="0.2">
      <c r="A9" s="7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0"/>
      <c r="E9" s="711"/>
      <c r="F9" s="7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710" t="str">
        <f>IF(AND($A$9="Тип доверенности/получателя при получении в адресе перегруза:",$D$9="Разовая доверенность"),"Введите ФИО","")</f>
        <v/>
      </c>
      <c r="I9" s="711"/>
      <c r="J9" s="7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1"/>
      <c r="L9" s="711"/>
      <c r="M9" s="711"/>
      <c r="N9" s="627"/>
      <c r="P9" s="26" t="s">
        <v>19</v>
      </c>
      <c r="Q9" s="761"/>
      <c r="R9" s="762"/>
      <c r="T9" s="653"/>
      <c r="U9" s="806"/>
      <c r="V9" s="884"/>
      <c r="W9" s="88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0"/>
      <c r="E10" s="711"/>
      <c r="F10" s="7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67" t="str">
        <f>IFERROR(VLOOKUP($D$10,Proxy,2,FALSE),"")</f>
        <v/>
      </c>
      <c r="I10" s="653"/>
      <c r="J10" s="653"/>
      <c r="K10" s="653"/>
      <c r="L10" s="653"/>
      <c r="M10" s="653"/>
      <c r="N10" s="628"/>
      <c r="P10" s="26" t="s">
        <v>20</v>
      </c>
      <c r="Q10" s="850"/>
      <c r="R10" s="851"/>
      <c r="U10" s="24" t="s">
        <v>21</v>
      </c>
      <c r="V10" s="661" t="s">
        <v>22</v>
      </c>
      <c r="W10" s="662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5"/>
      <c r="R11" s="766"/>
      <c r="U11" s="24" t="s">
        <v>25</v>
      </c>
      <c r="V11" s="921" t="s">
        <v>26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8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719"/>
      <c r="S12" s="23"/>
      <c r="U12" s="24"/>
      <c r="V12" s="677"/>
      <c r="W12" s="653"/>
      <c r="AB12" s="51"/>
      <c r="AC12" s="51"/>
      <c r="AD12" s="51"/>
      <c r="AE12" s="51"/>
    </row>
    <row r="13" spans="1:32" s="629" customFormat="1" ht="23.25" customHeight="1" x14ac:dyDescent="0.2">
      <c r="A13" s="828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1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8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1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816" t="s">
        <v>33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6" t="s">
        <v>34</v>
      </c>
      <c r="B17" s="686" t="s">
        <v>35</v>
      </c>
      <c r="C17" s="787" t="s">
        <v>36</v>
      </c>
      <c r="D17" s="686" t="s">
        <v>37</v>
      </c>
      <c r="E17" s="751"/>
      <c r="F17" s="686" t="s">
        <v>38</v>
      </c>
      <c r="G17" s="686" t="s">
        <v>39</v>
      </c>
      <c r="H17" s="686" t="s">
        <v>40</v>
      </c>
      <c r="I17" s="686" t="s">
        <v>41</v>
      </c>
      <c r="J17" s="686" t="s">
        <v>42</v>
      </c>
      <c r="K17" s="686" t="s">
        <v>43</v>
      </c>
      <c r="L17" s="686" t="s">
        <v>44</v>
      </c>
      <c r="M17" s="686" t="s">
        <v>45</v>
      </c>
      <c r="N17" s="686" t="s">
        <v>46</v>
      </c>
      <c r="O17" s="686" t="s">
        <v>47</v>
      </c>
      <c r="P17" s="686" t="s">
        <v>48</v>
      </c>
      <c r="Q17" s="750"/>
      <c r="R17" s="750"/>
      <c r="S17" s="750"/>
      <c r="T17" s="751"/>
      <c r="U17" s="1003" t="s">
        <v>49</v>
      </c>
      <c r="V17" s="690"/>
      <c r="W17" s="686" t="s">
        <v>50</v>
      </c>
      <c r="X17" s="686" t="s">
        <v>51</v>
      </c>
      <c r="Y17" s="1001" t="s">
        <v>52</v>
      </c>
      <c r="Z17" s="874" t="s">
        <v>53</v>
      </c>
      <c r="AA17" s="865" t="s">
        <v>54</v>
      </c>
      <c r="AB17" s="865" t="s">
        <v>55</v>
      </c>
      <c r="AC17" s="865" t="s">
        <v>56</v>
      </c>
      <c r="AD17" s="865" t="s">
        <v>57</v>
      </c>
      <c r="AE17" s="1004"/>
      <c r="AF17" s="1005"/>
      <c r="AG17" s="66"/>
      <c r="BD17" s="65" t="s">
        <v>58</v>
      </c>
    </row>
    <row r="18" spans="1:68" ht="14.25" customHeight="1" x14ac:dyDescent="0.2">
      <c r="A18" s="687"/>
      <c r="B18" s="687"/>
      <c r="C18" s="687"/>
      <c r="D18" s="752"/>
      <c r="E18" s="754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7"/>
      <c r="X18" s="687"/>
      <c r="Y18" s="1002"/>
      <c r="Z18" s="875"/>
      <c r="AA18" s="866"/>
      <c r="AB18" s="866"/>
      <c r="AC18" s="866"/>
      <c r="AD18" s="1006"/>
      <c r="AE18" s="1007"/>
      <c r="AF18" s="1008"/>
      <c r="AG18" s="66"/>
      <c r="BD18" s="65"/>
    </row>
    <row r="19" spans="1:68" ht="27.75" hidden="1" customHeight="1" x14ac:dyDescent="0.2">
      <c r="A19" s="671" t="s">
        <v>61</v>
      </c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2"/>
      <c r="S19" s="672"/>
      <c r="T19" s="672"/>
      <c r="U19" s="672"/>
      <c r="V19" s="672"/>
      <c r="W19" s="672"/>
      <c r="X19" s="672"/>
      <c r="Y19" s="672"/>
      <c r="Z19" s="672"/>
      <c r="AA19" s="48"/>
      <c r="AB19" s="48"/>
      <c r="AC19" s="48"/>
    </row>
    <row r="20" spans="1:68" ht="16.5" hidden="1" customHeight="1" x14ac:dyDescent="0.25">
      <c r="A20" s="658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0"/>
      <c r="AB20" s="630"/>
      <c r="AC20" s="630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6">
        <v>4680115885912</v>
      </c>
      <c r="E22" s="647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3"/>
      <c r="R22" s="643"/>
      <c r="S22" s="643"/>
      <c r="T22" s="644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6">
        <v>4607091388237</v>
      </c>
      <c r="E23" s="647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3"/>
      <c r="R23" s="643"/>
      <c r="S23" s="643"/>
      <c r="T23" s="644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6">
        <v>4680115887350</v>
      </c>
      <c r="E24" s="647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3"/>
      <c r="R24" s="643"/>
      <c r="S24" s="643"/>
      <c r="T24" s="644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6">
        <v>4680115885905</v>
      </c>
      <c r="E25" s="647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3"/>
      <c r="R25" s="643"/>
      <c r="S25" s="643"/>
      <c r="T25" s="644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6">
        <v>4680115887619</v>
      </c>
      <c r="E26" s="647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3"/>
      <c r="R26" s="643"/>
      <c r="S26" s="643"/>
      <c r="T26" s="644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idden="1" x14ac:dyDescent="0.2">
      <c r="A27" s="652"/>
      <c r="B27" s="653"/>
      <c r="C27" s="653"/>
      <c r="D27" s="653"/>
      <c r="E27" s="653"/>
      <c r="F27" s="653"/>
      <c r="G27" s="653"/>
      <c r="H27" s="653"/>
      <c r="I27" s="653"/>
      <c r="J27" s="653"/>
      <c r="K27" s="653"/>
      <c r="L27" s="653"/>
      <c r="M27" s="653"/>
      <c r="N27" s="653"/>
      <c r="O27" s="654"/>
      <c r="P27" s="639" t="s">
        <v>81</v>
      </c>
      <c r="Q27" s="640"/>
      <c r="R27" s="640"/>
      <c r="S27" s="640"/>
      <c r="T27" s="640"/>
      <c r="U27" s="640"/>
      <c r="V27" s="641"/>
      <c r="W27" s="37" t="s">
        <v>82</v>
      </c>
      <c r="X27" s="637">
        <f>IFERROR(X22/H22,"0")+IFERROR(X23/H23,"0")+IFERROR(X24/H24,"0")+IFERROR(X25/H25,"0")+IFERROR(X26/H26,"0")</f>
        <v>0</v>
      </c>
      <c r="Y27" s="637">
        <f>IFERROR(Y22/H22,"0")+IFERROR(Y23/H23,"0")+IFERROR(Y24/H24,"0")+IFERROR(Y25/H25,"0")+IFERROR(Y26/H26,"0")</f>
        <v>0</v>
      </c>
      <c r="Z27" s="637">
        <f>IFERROR(IF(Z22="",0,Z22),"0")+IFERROR(IF(Z23="",0,Z23),"0")+IFERROR(IF(Z24="",0,Z24),"0")+IFERROR(IF(Z25="",0,Z25),"0")+IFERROR(IF(Z26="",0,Z26),"0")</f>
        <v>0</v>
      </c>
      <c r="AA27" s="638"/>
      <c r="AB27" s="638"/>
      <c r="AC27" s="638"/>
    </row>
    <row r="28" spans="1:68" hidden="1" x14ac:dyDescent="0.2">
      <c r="A28" s="653"/>
      <c r="B28" s="653"/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3"/>
      <c r="O28" s="654"/>
      <c r="P28" s="639" t="s">
        <v>81</v>
      </c>
      <c r="Q28" s="640"/>
      <c r="R28" s="640"/>
      <c r="S28" s="640"/>
      <c r="T28" s="640"/>
      <c r="U28" s="640"/>
      <c r="V28" s="641"/>
      <c r="W28" s="37" t="s">
        <v>67</v>
      </c>
      <c r="X28" s="637">
        <f>IFERROR(SUM(X22:X26),"0")</f>
        <v>0</v>
      </c>
      <c r="Y28" s="637">
        <f>IFERROR(SUM(Y22:Y26),"0")</f>
        <v>0</v>
      </c>
      <c r="Z28" s="37"/>
      <c r="AA28" s="638"/>
      <c r="AB28" s="638"/>
      <c r="AC28" s="638"/>
    </row>
    <row r="29" spans="1:68" ht="14.25" hidden="1" customHeight="1" x14ac:dyDescent="0.25">
      <c r="A29" s="663" t="s">
        <v>83</v>
      </c>
      <c r="B29" s="653"/>
      <c r="C29" s="653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/>
      <c r="W29" s="653"/>
      <c r="X29" s="653"/>
      <c r="Y29" s="653"/>
      <c r="Z29" s="653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6">
        <v>4680115889262</v>
      </c>
      <c r="E30" s="647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82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3"/>
      <c r="R30" s="643"/>
      <c r="S30" s="643"/>
      <c r="T30" s="644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6">
        <v>4680115889040</v>
      </c>
      <c r="E31" s="647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34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3"/>
      <c r="R31" s="643"/>
      <c r="S31" s="643"/>
      <c r="T31" s="644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39" t="s">
        <v>81</v>
      </c>
      <c r="Q32" s="640"/>
      <c r="R32" s="640"/>
      <c r="S32" s="640"/>
      <c r="T32" s="640"/>
      <c r="U32" s="640"/>
      <c r="V32" s="641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39" t="s">
        <v>81</v>
      </c>
      <c r="Q33" s="640"/>
      <c r="R33" s="640"/>
      <c r="S33" s="640"/>
      <c r="T33" s="640"/>
      <c r="U33" s="640"/>
      <c r="V33" s="641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71" t="s">
        <v>94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48"/>
      <c r="AB34" s="48"/>
      <c r="AC34" s="48"/>
    </row>
    <row r="35" spans="1:68" ht="16.5" hidden="1" customHeight="1" x14ac:dyDescent="0.25">
      <c r="A35" s="658" t="s">
        <v>95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0"/>
      <c r="AB35" s="630"/>
      <c r="AC35" s="630"/>
    </row>
    <row r="36" spans="1:68" ht="14.25" hidden="1" customHeight="1" x14ac:dyDescent="0.25">
      <c r="A36" s="663" t="s">
        <v>62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6">
        <v>4680115889354</v>
      </c>
      <c r="E37" s="647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3"/>
      <c r="R37" s="643"/>
      <c r="S37" s="643"/>
      <c r="T37" s="644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6">
        <v>4680115888463</v>
      </c>
      <c r="E38" s="647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3"/>
      <c r="R38" s="643"/>
      <c r="S38" s="643"/>
      <c r="T38" s="644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6">
        <v>4680115889590</v>
      </c>
      <c r="E39" s="647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3"/>
      <c r="R39" s="643"/>
      <c r="S39" s="643"/>
      <c r="T39" s="644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6">
        <v>4680115888272</v>
      </c>
      <c r="E40" s="647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3"/>
      <c r="R40" s="643"/>
      <c r="S40" s="643"/>
      <c r="T40" s="644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6">
        <v>4680115888364</v>
      </c>
      <c r="E41" s="647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2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3"/>
      <c r="R41" s="643"/>
      <c r="S41" s="643"/>
      <c r="T41" s="644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39" t="s">
        <v>81</v>
      </c>
      <c r="Q42" s="640"/>
      <c r="R42" s="640"/>
      <c r="S42" s="640"/>
      <c r="T42" s="640"/>
      <c r="U42" s="640"/>
      <c r="V42" s="641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39" t="s">
        <v>81</v>
      </c>
      <c r="Q43" s="640"/>
      <c r="R43" s="640"/>
      <c r="S43" s="640"/>
      <c r="T43" s="640"/>
      <c r="U43" s="640"/>
      <c r="V43" s="641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71" t="s">
        <v>111</v>
      </c>
      <c r="B44" s="672"/>
      <c r="C44" s="672"/>
      <c r="D44" s="672"/>
      <c r="E44" s="672"/>
      <c r="F44" s="672"/>
      <c r="G44" s="672"/>
      <c r="H44" s="672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Y44" s="672"/>
      <c r="Z44" s="672"/>
      <c r="AA44" s="48"/>
      <c r="AB44" s="48"/>
      <c r="AC44" s="48"/>
    </row>
    <row r="45" spans="1:68" ht="16.5" hidden="1" customHeight="1" x14ac:dyDescent="0.25">
      <c r="A45" s="658" t="s">
        <v>112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0"/>
      <c r="AB45" s="630"/>
      <c r="AC45" s="630"/>
    </row>
    <row r="46" spans="1:68" ht="14.25" hidden="1" customHeight="1" x14ac:dyDescent="0.25">
      <c r="A46" s="663" t="s">
        <v>113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6">
        <v>4607091385670</v>
      </c>
      <c r="E47" s="647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3"/>
      <c r="R47" s="643"/>
      <c r="S47" s="643"/>
      <c r="T47" s="644"/>
      <c r="U47" s="34"/>
      <c r="V47" s="34"/>
      <c r="W47" s="35" t="s">
        <v>67</v>
      </c>
      <c r="X47" s="635">
        <v>471</v>
      </c>
      <c r="Y47" s="636">
        <f>IFERROR(IF(X47="",0,CEILING((X47/$H47),1)*$H47),"")</f>
        <v>475.20000000000005</v>
      </c>
      <c r="Z47" s="36">
        <f>IFERROR(IF(Y47=0,"",ROUNDUP(Y47/H47,0)*0.01898),"")</f>
        <v>0.83511999999999997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488.88055555555559</v>
      </c>
      <c r="BN47" s="64">
        <f>IFERROR(Y47*I47/H47,"0")</f>
        <v>493.24000000000007</v>
      </c>
      <c r="BO47" s="64">
        <f>IFERROR(1/J47*(X47/H47),"0")</f>
        <v>0.68142361111111105</v>
      </c>
      <c r="BP47" s="64">
        <f>IFERROR(1/J47*(Y47/H47),"0")</f>
        <v>0.6875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6">
        <v>4680115887725</v>
      </c>
      <c r="E48" s="647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87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3"/>
      <c r="R48" s="643"/>
      <c r="S48" s="643"/>
      <c r="T48" s="644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6">
        <v>4607091385687</v>
      </c>
      <c r="E49" s="647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3"/>
      <c r="R49" s="643"/>
      <c r="S49" s="643"/>
      <c r="T49" s="644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4301011565</v>
      </c>
      <c r="D50" s="646">
        <v>4680115882539</v>
      </c>
      <c r="E50" s="647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3"/>
      <c r="R50" s="643"/>
      <c r="S50" s="643"/>
      <c r="T50" s="644"/>
      <c r="U50" s="34"/>
      <c r="V50" s="34"/>
      <c r="W50" s="35" t="s">
        <v>67</v>
      </c>
      <c r="X50" s="635">
        <v>33</v>
      </c>
      <c r="Y50" s="636">
        <f>IFERROR(IF(X50="",0,CEILING((X50/$H50),1)*$H50),"")</f>
        <v>33.300000000000004</v>
      </c>
      <c r="Z50" s="36">
        <f>IFERROR(IF(Y50=0,"",ROUNDUP(Y50/H50,0)*0.00902),"")</f>
        <v>8.1180000000000002E-2</v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34.694594594594591</v>
      </c>
      <c r="BN50" s="64">
        <f>IFERROR(Y50*I50/H50,"0")</f>
        <v>35.010000000000005</v>
      </c>
      <c r="BO50" s="64">
        <f>IFERROR(1/J50*(X50/H50),"0")</f>
        <v>6.7567567567567571E-2</v>
      </c>
      <c r="BP50" s="64">
        <f>IFERROR(1/J50*(Y50/H50),"0")</f>
        <v>6.8181818181818177E-2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39" t="s">
        <v>81</v>
      </c>
      <c r="Q51" s="640"/>
      <c r="R51" s="640"/>
      <c r="S51" s="640"/>
      <c r="T51" s="640"/>
      <c r="U51" s="640"/>
      <c r="V51" s="641"/>
      <c r="W51" s="37" t="s">
        <v>82</v>
      </c>
      <c r="X51" s="637">
        <f>IFERROR(X47/H47,"0")+IFERROR(X48/H48,"0")+IFERROR(X49/H49,"0")+IFERROR(X50/H50,"0")</f>
        <v>52.530030030030026</v>
      </c>
      <c r="Y51" s="637">
        <f>IFERROR(Y47/H47,"0")+IFERROR(Y48/H48,"0")+IFERROR(Y49/H49,"0")+IFERROR(Y50/H50,"0")</f>
        <v>53</v>
      </c>
      <c r="Z51" s="637">
        <f>IFERROR(IF(Z47="",0,Z47),"0")+IFERROR(IF(Z48="",0,Z48),"0")+IFERROR(IF(Z49="",0,Z49),"0")+IFERROR(IF(Z50="",0,Z50),"0")</f>
        <v>0.9163</v>
      </c>
      <c r="AA51" s="638"/>
      <c r="AB51" s="638"/>
      <c r="AC51" s="638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39" t="s">
        <v>81</v>
      </c>
      <c r="Q52" s="640"/>
      <c r="R52" s="640"/>
      <c r="S52" s="640"/>
      <c r="T52" s="640"/>
      <c r="U52" s="640"/>
      <c r="V52" s="641"/>
      <c r="W52" s="37" t="s">
        <v>67</v>
      </c>
      <c r="X52" s="637">
        <f>IFERROR(SUM(X47:X50),"0")</f>
        <v>504</v>
      </c>
      <c r="Y52" s="637">
        <f>IFERROR(SUM(Y47:Y50),"0")</f>
        <v>508.50000000000006</v>
      </c>
      <c r="Z52" s="37"/>
      <c r="AA52" s="638"/>
      <c r="AB52" s="638"/>
      <c r="AC52" s="638"/>
    </row>
    <row r="53" spans="1:68" ht="16.5" hidden="1" customHeight="1" x14ac:dyDescent="0.25">
      <c r="A53" s="658" t="s">
        <v>129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0"/>
      <c r="AB53" s="630"/>
      <c r="AC53" s="630"/>
    </row>
    <row r="54" spans="1:68" ht="14.25" hidden="1" customHeight="1" x14ac:dyDescent="0.25">
      <c r="A54" s="663" t="s">
        <v>113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1"/>
      <c r="AB54" s="631"/>
      <c r="AC54" s="631"/>
    </row>
    <row r="55" spans="1:68" ht="27" hidden="1" customHeight="1" x14ac:dyDescent="0.25">
      <c r="A55" s="54" t="s">
        <v>130</v>
      </c>
      <c r="B55" s="54" t="s">
        <v>131</v>
      </c>
      <c r="C55" s="31">
        <v>4301012161</v>
      </c>
      <c r="D55" s="646">
        <v>4680115885882</v>
      </c>
      <c r="E55" s="647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3"/>
      <c r="R55" s="643"/>
      <c r="S55" s="643"/>
      <c r="T55" s="644"/>
      <c r="U55" s="34"/>
      <c r="V55" s="34"/>
      <c r="W55" s="35" t="s">
        <v>67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4301011816</v>
      </c>
      <c r="D56" s="646">
        <v>4680115881426</v>
      </c>
      <c r="E56" s="647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3"/>
      <c r="R56" s="643"/>
      <c r="S56" s="643"/>
      <c r="T56" s="644"/>
      <c r="U56" s="34"/>
      <c r="V56" s="34"/>
      <c r="W56" s="35" t="s">
        <v>67</v>
      </c>
      <c r="X56" s="635">
        <v>363</v>
      </c>
      <c r="Y56" s="636">
        <f t="shared" si="0"/>
        <v>367.20000000000005</v>
      </c>
      <c r="Z56" s="36">
        <f>IFERROR(IF(Y56=0,"",ROUNDUP(Y56/H56,0)*0.01898),"")</f>
        <v>0.64532</v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376.78055555555557</v>
      </c>
      <c r="BN56" s="64">
        <f t="shared" si="2"/>
        <v>381.14000000000004</v>
      </c>
      <c r="BO56" s="64">
        <f t="shared" si="3"/>
        <v>0.52517361111111105</v>
      </c>
      <c r="BP56" s="64">
        <f t="shared" si="4"/>
        <v>0.53125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6">
        <v>4680115881426</v>
      </c>
      <c r="E57" s="647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3"/>
      <c r="R57" s="643"/>
      <c r="S57" s="643"/>
      <c r="T57" s="644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6">
        <v>4680115880283</v>
      </c>
      <c r="E58" s="647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3"/>
      <c r="R58" s="643"/>
      <c r="S58" s="643"/>
      <c r="T58" s="644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6">
        <v>4680115881525</v>
      </c>
      <c r="E59" s="647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3"/>
      <c r="R59" s="643"/>
      <c r="S59" s="643"/>
      <c r="T59" s="644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6">
        <v>4680115881525</v>
      </c>
      <c r="E60" s="647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8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3"/>
      <c r="R60" s="643"/>
      <c r="S60" s="643"/>
      <c r="T60" s="644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6">
        <v>4680115885899</v>
      </c>
      <c r="E61" s="647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3"/>
      <c r="R61" s="643"/>
      <c r="S61" s="643"/>
      <c r="T61" s="644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6">
        <v>4680115881419</v>
      </c>
      <c r="E62" s="647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100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3"/>
      <c r="R62" s="643"/>
      <c r="S62" s="643"/>
      <c r="T62" s="644"/>
      <c r="U62" s="34"/>
      <c r="V62" s="34"/>
      <c r="W62" s="35" t="s">
        <v>67</v>
      </c>
      <c r="X62" s="635">
        <v>40</v>
      </c>
      <c r="Y62" s="636">
        <f t="shared" si="0"/>
        <v>40.5</v>
      </c>
      <c r="Z62" s="36">
        <f>IFERROR(IF(Y62=0,"",ROUNDUP(Y62/H62,0)*0.00902),"")</f>
        <v>8.1180000000000002E-2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41.688888888888897</v>
      </c>
      <c r="BN62" s="64">
        <f t="shared" si="2"/>
        <v>42.210000000000008</v>
      </c>
      <c r="BO62" s="64">
        <f t="shared" si="3"/>
        <v>6.7340067340067339E-2</v>
      </c>
      <c r="BP62" s="64">
        <f t="shared" si="4"/>
        <v>6.8181818181818177E-2</v>
      </c>
    </row>
    <row r="63" spans="1:68" x14ac:dyDescent="0.2">
      <c r="A63" s="652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4"/>
      <c r="P63" s="639" t="s">
        <v>81</v>
      </c>
      <c r="Q63" s="640"/>
      <c r="R63" s="640"/>
      <c r="S63" s="640"/>
      <c r="T63" s="640"/>
      <c r="U63" s="640"/>
      <c r="V63" s="641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42.5</v>
      </c>
      <c r="Y63" s="637">
        <f>IFERROR(Y55/H55,"0")+IFERROR(Y56/H56,"0")+IFERROR(Y57/H57,"0")+IFERROR(Y58/H58,"0")+IFERROR(Y59/H59,"0")+IFERROR(Y60/H60,"0")+IFERROR(Y61/H61,"0")+IFERROR(Y62/H62,"0")</f>
        <v>43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0.72650000000000003</v>
      </c>
      <c r="AA63" s="638"/>
      <c r="AB63" s="638"/>
      <c r="AC63" s="638"/>
    </row>
    <row r="64" spans="1:68" x14ac:dyDescent="0.2">
      <c r="A64" s="653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39" t="s">
        <v>81</v>
      </c>
      <c r="Q64" s="640"/>
      <c r="R64" s="640"/>
      <c r="S64" s="640"/>
      <c r="T64" s="640"/>
      <c r="U64" s="640"/>
      <c r="V64" s="641"/>
      <c r="W64" s="37" t="s">
        <v>67</v>
      </c>
      <c r="X64" s="637">
        <f>IFERROR(SUM(X55:X62),"0")</f>
        <v>403</v>
      </c>
      <c r="Y64" s="637">
        <f>IFERROR(SUM(Y55:Y62),"0")</f>
        <v>407.70000000000005</v>
      </c>
      <c r="Z64" s="37"/>
      <c r="AA64" s="638"/>
      <c r="AB64" s="638"/>
      <c r="AC64" s="638"/>
    </row>
    <row r="65" spans="1:68" ht="14.25" hidden="1" customHeight="1" x14ac:dyDescent="0.25">
      <c r="A65" s="663" t="s">
        <v>150</v>
      </c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3"/>
      <c r="P65" s="653"/>
      <c r="Q65" s="653"/>
      <c r="R65" s="653"/>
      <c r="S65" s="653"/>
      <c r="T65" s="653"/>
      <c r="U65" s="653"/>
      <c r="V65" s="653"/>
      <c r="W65" s="653"/>
      <c r="X65" s="653"/>
      <c r="Y65" s="653"/>
      <c r="Z65" s="653"/>
      <c r="AA65" s="631"/>
      <c r="AB65" s="631"/>
      <c r="AC65" s="631"/>
    </row>
    <row r="66" spans="1:68" ht="27" hidden="1" customHeight="1" x14ac:dyDescent="0.25">
      <c r="A66" s="54" t="s">
        <v>151</v>
      </c>
      <c r="B66" s="54" t="s">
        <v>152</v>
      </c>
      <c r="C66" s="31">
        <v>4301020390</v>
      </c>
      <c r="D66" s="646">
        <v>4680115881440</v>
      </c>
      <c r="E66" s="647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3"/>
      <c r="R66" s="643"/>
      <c r="S66" s="643"/>
      <c r="T66" s="644"/>
      <c r="U66" s="34"/>
      <c r="V66" s="34"/>
      <c r="W66" s="35" t="s">
        <v>67</v>
      </c>
      <c r="X66" s="635">
        <v>0</v>
      </c>
      <c r="Y66" s="636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6">
        <v>4680115885950</v>
      </c>
      <c r="E67" s="647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5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3"/>
      <c r="R67" s="643"/>
      <c r="S67" s="643"/>
      <c r="T67" s="644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6">
        <v>4680115887688</v>
      </c>
      <c r="E68" s="647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7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3"/>
      <c r="R68" s="643"/>
      <c r="S68" s="643"/>
      <c r="T68" s="644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6">
        <v>4680115881433</v>
      </c>
      <c r="E69" s="647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3"/>
      <c r="R69" s="643"/>
      <c r="S69" s="643"/>
      <c r="T69" s="644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52"/>
      <c r="B70" s="653"/>
      <c r="C70" s="653"/>
      <c r="D70" s="653"/>
      <c r="E70" s="653"/>
      <c r="F70" s="653"/>
      <c r="G70" s="653"/>
      <c r="H70" s="653"/>
      <c r="I70" s="653"/>
      <c r="J70" s="653"/>
      <c r="K70" s="653"/>
      <c r="L70" s="653"/>
      <c r="M70" s="653"/>
      <c r="N70" s="653"/>
      <c r="O70" s="654"/>
      <c r="P70" s="639" t="s">
        <v>81</v>
      </c>
      <c r="Q70" s="640"/>
      <c r="R70" s="640"/>
      <c r="S70" s="640"/>
      <c r="T70" s="640"/>
      <c r="U70" s="640"/>
      <c r="V70" s="641"/>
      <c r="W70" s="37" t="s">
        <v>82</v>
      </c>
      <c r="X70" s="637">
        <f>IFERROR(X66/H66,"0")+IFERROR(X67/H67,"0")+IFERROR(X68/H68,"0")+IFERROR(X69/H69,"0")</f>
        <v>0</v>
      </c>
      <c r="Y70" s="637">
        <f>IFERROR(Y66/H66,"0")+IFERROR(Y67/H67,"0")+IFERROR(Y68/H68,"0")+IFERROR(Y69/H69,"0")</f>
        <v>0</v>
      </c>
      <c r="Z70" s="637">
        <f>IFERROR(IF(Z66="",0,Z66),"0")+IFERROR(IF(Z67="",0,Z67),"0")+IFERROR(IF(Z68="",0,Z68),"0")+IFERROR(IF(Z69="",0,Z69),"0")</f>
        <v>0</v>
      </c>
      <c r="AA70" s="638"/>
      <c r="AB70" s="638"/>
      <c r="AC70" s="638"/>
    </row>
    <row r="71" spans="1:68" hidden="1" x14ac:dyDescent="0.2">
      <c r="A71" s="653"/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4"/>
      <c r="P71" s="639" t="s">
        <v>81</v>
      </c>
      <c r="Q71" s="640"/>
      <c r="R71" s="640"/>
      <c r="S71" s="640"/>
      <c r="T71" s="640"/>
      <c r="U71" s="640"/>
      <c r="V71" s="641"/>
      <c r="W71" s="37" t="s">
        <v>67</v>
      </c>
      <c r="X71" s="637">
        <f>IFERROR(SUM(X66:X69),"0")</f>
        <v>0</v>
      </c>
      <c r="Y71" s="637">
        <f>IFERROR(SUM(Y66:Y69),"0")</f>
        <v>0</v>
      </c>
      <c r="Z71" s="37"/>
      <c r="AA71" s="638"/>
      <c r="AB71" s="638"/>
      <c r="AC71" s="638"/>
    </row>
    <row r="72" spans="1:68" ht="14.25" hidden="1" customHeight="1" x14ac:dyDescent="0.25">
      <c r="A72" s="663" t="s">
        <v>62</v>
      </c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/>
      <c r="W72" s="653"/>
      <c r="X72" s="653"/>
      <c r="Y72" s="653"/>
      <c r="Z72" s="653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6">
        <v>4680115884311</v>
      </c>
      <c r="E73" s="647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3"/>
      <c r="R73" s="643"/>
      <c r="S73" s="643"/>
      <c r="T73" s="644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6">
        <v>4680115884403</v>
      </c>
      <c r="E74" s="647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3"/>
      <c r="R74" s="643"/>
      <c r="S74" s="643"/>
      <c r="T74" s="644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2"/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4"/>
      <c r="P75" s="639" t="s">
        <v>81</v>
      </c>
      <c r="Q75" s="640"/>
      <c r="R75" s="640"/>
      <c r="S75" s="640"/>
      <c r="T75" s="640"/>
      <c r="U75" s="640"/>
      <c r="V75" s="641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5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4"/>
      <c r="P76" s="639" t="s">
        <v>81</v>
      </c>
      <c r="Q76" s="640"/>
      <c r="R76" s="640"/>
      <c r="S76" s="640"/>
      <c r="T76" s="640"/>
      <c r="U76" s="640"/>
      <c r="V76" s="641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63" t="s">
        <v>168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6">
        <v>4680115881532</v>
      </c>
      <c r="E78" s="647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3"/>
      <c r="R78" s="643"/>
      <c r="S78" s="643"/>
      <c r="T78" s="644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6">
        <v>4680115881532</v>
      </c>
      <c r="E79" s="647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3"/>
      <c r="R79" s="643"/>
      <c r="S79" s="643"/>
      <c r="T79" s="644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6">
        <v>4680115881464</v>
      </c>
      <c r="E80" s="647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89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3"/>
      <c r="R80" s="643"/>
      <c r="S80" s="643"/>
      <c r="T80" s="644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2"/>
      <c r="B81" s="653"/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4"/>
      <c r="P81" s="639" t="s">
        <v>81</v>
      </c>
      <c r="Q81" s="640"/>
      <c r="R81" s="640"/>
      <c r="S81" s="640"/>
      <c r="T81" s="640"/>
      <c r="U81" s="640"/>
      <c r="V81" s="641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53"/>
      <c r="B82" s="653"/>
      <c r="C82" s="653"/>
      <c r="D82" s="653"/>
      <c r="E82" s="653"/>
      <c r="F82" s="653"/>
      <c r="G82" s="653"/>
      <c r="H82" s="653"/>
      <c r="I82" s="653"/>
      <c r="J82" s="653"/>
      <c r="K82" s="653"/>
      <c r="L82" s="653"/>
      <c r="M82" s="653"/>
      <c r="N82" s="653"/>
      <c r="O82" s="654"/>
      <c r="P82" s="639" t="s">
        <v>81</v>
      </c>
      <c r="Q82" s="640"/>
      <c r="R82" s="640"/>
      <c r="S82" s="640"/>
      <c r="T82" s="640"/>
      <c r="U82" s="640"/>
      <c r="V82" s="641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8" t="s">
        <v>176</v>
      </c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653"/>
      <c r="AA83" s="630"/>
      <c r="AB83" s="630"/>
      <c r="AC83" s="630"/>
    </row>
    <row r="84" spans="1:68" ht="14.25" hidden="1" customHeight="1" x14ac:dyDescent="0.25">
      <c r="A84" s="663" t="s">
        <v>113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6">
        <v>4680115881327</v>
      </c>
      <c r="E85" s="647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3"/>
      <c r="R85" s="643"/>
      <c r="S85" s="643"/>
      <c r="T85" s="644"/>
      <c r="U85" s="34"/>
      <c r="V85" s="34"/>
      <c r="W85" s="35" t="s">
        <v>67</v>
      </c>
      <c r="X85" s="635">
        <v>95</v>
      </c>
      <c r="Y85" s="636">
        <f t="shared" ref="Y85:Y90" si="5">IFERROR(IF(X85="",0,CEILING((X85/$H85),1)*$H85),"")</f>
        <v>97.2</v>
      </c>
      <c r="Z85" s="36">
        <f>IFERROR(IF(Y85=0,"",ROUNDUP(Y85/H85,0)*0.01898),"")</f>
        <v>0.17082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98.606481481481481</v>
      </c>
      <c r="BN85" s="64">
        <f t="shared" ref="BN85:BN90" si="7">IFERROR(Y85*I85/H85,"0")</f>
        <v>100.89</v>
      </c>
      <c r="BO85" s="64">
        <f t="shared" ref="BO85:BO90" si="8">IFERROR(1/J85*(X85/H85),"0")</f>
        <v>0.13744212962962962</v>
      </c>
      <c r="BP85" s="64">
        <f t="shared" ref="BP85:BP90" si="9">IFERROR(1/J85*(Y85/H85),"0")</f>
        <v>0.140625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6">
        <v>4680115881327</v>
      </c>
      <c r="E86" s="647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71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3"/>
      <c r="R86" s="643"/>
      <c r="S86" s="643"/>
      <c r="T86" s="644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6">
        <v>4680115887732</v>
      </c>
      <c r="E87" s="647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3"/>
      <c r="R87" s="643"/>
      <c r="S87" s="643"/>
      <c r="T87" s="644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6">
        <v>4680115881518</v>
      </c>
      <c r="E88" s="647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6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3"/>
      <c r="R88" s="643"/>
      <c r="S88" s="643"/>
      <c r="T88" s="644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6">
        <v>4680115881518</v>
      </c>
      <c r="E89" s="647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79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3"/>
      <c r="R89" s="643"/>
      <c r="S89" s="643"/>
      <c r="T89" s="644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187</v>
      </c>
      <c r="B90" s="54" t="s">
        <v>188</v>
      </c>
      <c r="C90" s="31">
        <v>4301012250</v>
      </c>
      <c r="D90" s="646">
        <v>4680115881303</v>
      </c>
      <c r="E90" s="647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5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3"/>
      <c r="R90" s="643"/>
      <c r="S90" s="643"/>
      <c r="T90" s="644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2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4"/>
      <c r="P91" s="639" t="s">
        <v>81</v>
      </c>
      <c r="Q91" s="640"/>
      <c r="R91" s="640"/>
      <c r="S91" s="640"/>
      <c r="T91" s="640"/>
      <c r="U91" s="640"/>
      <c r="V91" s="641"/>
      <c r="W91" s="37" t="s">
        <v>82</v>
      </c>
      <c r="X91" s="637">
        <f>IFERROR(X85/H85,"0")+IFERROR(X86/H86,"0")+IFERROR(X87/H87,"0")+IFERROR(X88/H88,"0")+IFERROR(X89/H89,"0")+IFERROR(X90/H90,"0")</f>
        <v>8.7962962962962958</v>
      </c>
      <c r="Y91" s="637">
        <f>IFERROR(Y85/H85,"0")+IFERROR(Y86/H86,"0")+IFERROR(Y87/H87,"0")+IFERROR(Y88/H88,"0")+IFERROR(Y89/H89,"0")+IFERROR(Y90/H90,"0")</f>
        <v>9</v>
      </c>
      <c r="Z91" s="637">
        <f>IFERROR(IF(Z85="",0,Z85),"0")+IFERROR(IF(Z86="",0,Z86),"0")+IFERROR(IF(Z87="",0,Z87),"0")+IFERROR(IF(Z88="",0,Z88),"0")+IFERROR(IF(Z89="",0,Z89),"0")+IFERROR(IF(Z90="",0,Z90),"0")</f>
        <v>0.17082</v>
      </c>
      <c r="AA91" s="638"/>
      <c r="AB91" s="638"/>
      <c r="AC91" s="638"/>
    </row>
    <row r="92" spans="1:68" x14ac:dyDescent="0.2">
      <c r="A92" s="65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39" t="s">
        <v>81</v>
      </c>
      <c r="Q92" s="640"/>
      <c r="R92" s="640"/>
      <c r="S92" s="640"/>
      <c r="T92" s="640"/>
      <c r="U92" s="640"/>
      <c r="V92" s="641"/>
      <c r="W92" s="37" t="s">
        <v>67</v>
      </c>
      <c r="X92" s="637">
        <f>IFERROR(SUM(X85:X90),"0")</f>
        <v>95</v>
      </c>
      <c r="Y92" s="637">
        <f>IFERROR(SUM(Y85:Y90),"0")</f>
        <v>97.2</v>
      </c>
      <c r="Z92" s="37"/>
      <c r="AA92" s="638"/>
      <c r="AB92" s="638"/>
      <c r="AC92" s="638"/>
    </row>
    <row r="93" spans="1:68" ht="14.25" hidden="1" customHeight="1" x14ac:dyDescent="0.25">
      <c r="A93" s="663" t="s">
        <v>62</v>
      </c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6">
        <v>4607091386967</v>
      </c>
      <c r="E94" s="647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2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3"/>
      <c r="R94" s="643"/>
      <c r="S94" s="643"/>
      <c r="T94" s="644"/>
      <c r="U94" s="34"/>
      <c r="V94" s="34"/>
      <c r="W94" s="35" t="s">
        <v>67</v>
      </c>
      <c r="X94" s="635">
        <v>339</v>
      </c>
      <c r="Y94" s="636">
        <f>IFERROR(IF(X94="",0,CEILING((X94/$H94),1)*$H94),"")</f>
        <v>340.2</v>
      </c>
      <c r="Z94" s="36">
        <f>IFERROR(IF(Y94=0,"",ROUNDUP(Y94/H94,0)*0.01898),"")</f>
        <v>0.79715999999999998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359.67481481481485</v>
      </c>
      <c r="BN94" s="64">
        <f>IFERROR(Y94*I94/H94,"0")</f>
        <v>360.94799999999998</v>
      </c>
      <c r="BO94" s="64">
        <f>IFERROR(1/J94*(X94/H94),"0")</f>
        <v>0.65393518518518523</v>
      </c>
      <c r="BP94" s="64">
        <f>IFERROR(1/J94*(Y94/H94),"0")</f>
        <v>0.65625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6">
        <v>4680115884953</v>
      </c>
      <c r="E95" s="647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9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3"/>
      <c r="R95" s="643"/>
      <c r="S95" s="643"/>
      <c r="T95" s="644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6">
        <v>4607091385731</v>
      </c>
      <c r="E96" s="647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9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3"/>
      <c r="R96" s="643"/>
      <c r="S96" s="643"/>
      <c r="T96" s="644"/>
      <c r="U96" s="34"/>
      <c r="V96" s="34"/>
      <c r="W96" s="35" t="s">
        <v>67</v>
      </c>
      <c r="X96" s="635">
        <v>344</v>
      </c>
      <c r="Y96" s="636">
        <f>IFERROR(IF(X96="",0,CEILING((X96/$H96),1)*$H96),"")</f>
        <v>345.6</v>
      </c>
      <c r="Z96" s="36">
        <f>IFERROR(IF(Y96=0,"",ROUNDUP(Y96/H96,0)*0.00651),"")</f>
        <v>0.83328000000000002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376.10666666666663</v>
      </c>
      <c r="BN96" s="64">
        <f>IFERROR(Y96*I96/H96,"0")</f>
        <v>377.85599999999999</v>
      </c>
      <c r="BO96" s="64">
        <f>IFERROR(1/J96*(X96/H96),"0")</f>
        <v>0.70004070004070007</v>
      </c>
      <c r="BP96" s="64">
        <f>IFERROR(1/J96*(Y96/H96),"0")</f>
        <v>0.70329670329670335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6">
        <v>4680115880894</v>
      </c>
      <c r="E97" s="647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3"/>
      <c r="R97" s="643"/>
      <c r="S97" s="643"/>
      <c r="T97" s="644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2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4"/>
      <c r="P98" s="639" t="s">
        <v>81</v>
      </c>
      <c r="Q98" s="640"/>
      <c r="R98" s="640"/>
      <c r="S98" s="640"/>
      <c r="T98" s="640"/>
      <c r="U98" s="640"/>
      <c r="V98" s="641"/>
      <c r="W98" s="37" t="s">
        <v>82</v>
      </c>
      <c r="X98" s="637">
        <f>IFERROR(X94/H94,"0")+IFERROR(X95/H95,"0")+IFERROR(X96/H96,"0")+IFERROR(X97/H97,"0")</f>
        <v>169.25925925925927</v>
      </c>
      <c r="Y98" s="637">
        <f>IFERROR(Y94/H94,"0")+IFERROR(Y95/H95,"0")+IFERROR(Y96/H96,"0")+IFERROR(Y97/H97,"0")</f>
        <v>170</v>
      </c>
      <c r="Z98" s="637">
        <f>IFERROR(IF(Z94="",0,Z94),"0")+IFERROR(IF(Z95="",0,Z95),"0")+IFERROR(IF(Z96="",0,Z96),"0")+IFERROR(IF(Z97="",0,Z97),"0")</f>
        <v>1.6304400000000001</v>
      </c>
      <c r="AA98" s="638"/>
      <c r="AB98" s="638"/>
      <c r="AC98" s="638"/>
    </row>
    <row r="99" spans="1:68" x14ac:dyDescent="0.2">
      <c r="A99" s="653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39" t="s">
        <v>81</v>
      </c>
      <c r="Q99" s="640"/>
      <c r="R99" s="640"/>
      <c r="S99" s="640"/>
      <c r="T99" s="640"/>
      <c r="U99" s="640"/>
      <c r="V99" s="641"/>
      <c r="W99" s="37" t="s">
        <v>67</v>
      </c>
      <c r="X99" s="637">
        <f>IFERROR(SUM(X94:X97),"0")</f>
        <v>683</v>
      </c>
      <c r="Y99" s="637">
        <f>IFERROR(SUM(Y94:Y97),"0")</f>
        <v>685.8</v>
      </c>
      <c r="Z99" s="37"/>
      <c r="AA99" s="638"/>
      <c r="AB99" s="638"/>
      <c r="AC99" s="638"/>
    </row>
    <row r="100" spans="1:68" ht="16.5" hidden="1" customHeight="1" x14ac:dyDescent="0.25">
      <c r="A100" s="658" t="s">
        <v>200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30"/>
      <c r="AB100" s="630"/>
      <c r="AC100" s="630"/>
    </row>
    <row r="101" spans="1:68" ht="14.25" hidden="1" customHeight="1" x14ac:dyDescent="0.25">
      <c r="A101" s="663" t="s">
        <v>113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1"/>
      <c r="AB101" s="631"/>
      <c r="AC101" s="631"/>
    </row>
    <row r="102" spans="1:68" ht="37.5" hidden="1" customHeight="1" x14ac:dyDescent="0.25">
      <c r="A102" s="54" t="s">
        <v>201</v>
      </c>
      <c r="B102" s="54" t="s">
        <v>202</v>
      </c>
      <c r="C102" s="31">
        <v>4301011514</v>
      </c>
      <c r="D102" s="646">
        <v>4680115882133</v>
      </c>
      <c r="E102" s="647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3"/>
      <c r="R102" s="643"/>
      <c r="S102" s="643"/>
      <c r="T102" s="644"/>
      <c r="U102" s="34"/>
      <c r="V102" s="34"/>
      <c r="W102" s="35" t="s">
        <v>67</v>
      </c>
      <c r="X102" s="635">
        <v>0</v>
      </c>
      <c r="Y102" s="636">
        <f t="shared" ref="Y102:Y108" si="10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0</v>
      </c>
      <c r="BN102" s="64">
        <f t="shared" ref="BN102:BN108" si="12">IFERROR(Y102*I102/H102,"0")</f>
        <v>0</v>
      </c>
      <c r="BO102" s="64">
        <f t="shared" ref="BO102:BO108" si="13">IFERROR(1/J102*(X102/H102),"0")</f>
        <v>0</v>
      </c>
      <c r="BP102" s="64">
        <f t="shared" ref="BP102:BP108" si="14">IFERROR(1/J102*(Y102/H102),"0")</f>
        <v>0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6">
        <v>4680115882133</v>
      </c>
      <c r="E103" s="647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3"/>
      <c r="R103" s="643"/>
      <c r="S103" s="643"/>
      <c r="T103" s="644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6">
        <v>4680115887718</v>
      </c>
      <c r="E104" s="647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3"/>
      <c r="R104" s="643"/>
      <c r="S104" s="643"/>
      <c r="T104" s="644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6">
        <v>4680115880269</v>
      </c>
      <c r="E105" s="647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2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3"/>
      <c r="R105" s="643"/>
      <c r="S105" s="643"/>
      <c r="T105" s="644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211</v>
      </c>
      <c r="B106" s="54" t="s">
        <v>212</v>
      </c>
      <c r="C106" s="31">
        <v>4301012254</v>
      </c>
      <c r="D106" s="646">
        <v>4680115880429</v>
      </c>
      <c r="E106" s="647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0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3"/>
      <c r="R106" s="643"/>
      <c r="S106" s="643"/>
      <c r="T106" s="644"/>
      <c r="U106" s="34"/>
      <c r="V106" s="34"/>
      <c r="W106" s="35" t="s">
        <v>67</v>
      </c>
      <c r="X106" s="635">
        <v>134</v>
      </c>
      <c r="Y106" s="636">
        <f t="shared" si="10"/>
        <v>135</v>
      </c>
      <c r="Z106" s="36">
        <f>IFERROR(IF(Y106=0,"",ROUNDUP(Y106/H106,0)*0.00902),"")</f>
        <v>0.27060000000000001</v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139.6577777777778</v>
      </c>
      <c r="BN106" s="64">
        <f t="shared" si="12"/>
        <v>140.70000000000002</v>
      </c>
      <c r="BO106" s="64">
        <f t="shared" si="13"/>
        <v>0.22558922558922559</v>
      </c>
      <c r="BP106" s="64">
        <f t="shared" si="14"/>
        <v>0.22727272727272729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6">
        <v>4680115881457</v>
      </c>
      <c r="E107" s="647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3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3"/>
      <c r="R107" s="643"/>
      <c r="S107" s="643"/>
      <c r="T107" s="644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6">
        <v>4680115889477</v>
      </c>
      <c r="E108" s="647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3"/>
      <c r="R108" s="643"/>
      <c r="S108" s="643"/>
      <c r="T108" s="644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52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4"/>
      <c r="P109" s="639" t="s">
        <v>81</v>
      </c>
      <c r="Q109" s="640"/>
      <c r="R109" s="640"/>
      <c r="S109" s="640"/>
      <c r="T109" s="640"/>
      <c r="U109" s="640"/>
      <c r="V109" s="641"/>
      <c r="W109" s="37" t="s">
        <v>82</v>
      </c>
      <c r="X109" s="637">
        <f>IFERROR(X102/H102,"0")+IFERROR(X103/H103,"0")+IFERROR(X104/H104,"0")+IFERROR(X105/H105,"0")+IFERROR(X106/H106,"0")+IFERROR(X107/H107,"0")+IFERROR(X108/H108,"0")</f>
        <v>29.777777777777779</v>
      </c>
      <c r="Y109" s="637">
        <f>IFERROR(Y102/H102,"0")+IFERROR(Y103/H103,"0")+IFERROR(Y104/H104,"0")+IFERROR(Y105/H105,"0")+IFERROR(Y106/H106,"0")+IFERROR(Y107/H107,"0")+IFERROR(Y108/H108,"0")</f>
        <v>30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0.27060000000000001</v>
      </c>
      <c r="AA109" s="638"/>
      <c r="AB109" s="638"/>
      <c r="AC109" s="638"/>
    </row>
    <row r="110" spans="1:68" x14ac:dyDescent="0.2">
      <c r="A110" s="65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4"/>
      <c r="P110" s="639" t="s">
        <v>81</v>
      </c>
      <c r="Q110" s="640"/>
      <c r="R110" s="640"/>
      <c r="S110" s="640"/>
      <c r="T110" s="640"/>
      <c r="U110" s="640"/>
      <c r="V110" s="641"/>
      <c r="W110" s="37" t="s">
        <v>67</v>
      </c>
      <c r="X110" s="637">
        <f>IFERROR(SUM(X102:X108),"0")</f>
        <v>134</v>
      </c>
      <c r="Y110" s="637">
        <f>IFERROR(SUM(Y102:Y108),"0")</f>
        <v>135</v>
      </c>
      <c r="Z110" s="37"/>
      <c r="AA110" s="638"/>
      <c r="AB110" s="638"/>
      <c r="AC110" s="638"/>
    </row>
    <row r="111" spans="1:68" ht="14.25" hidden="1" customHeight="1" x14ac:dyDescent="0.25">
      <c r="A111" s="663" t="s">
        <v>150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31"/>
      <c r="AB111" s="631"/>
      <c r="AC111" s="631"/>
    </row>
    <row r="112" spans="1:68" ht="27" hidden="1" customHeight="1" x14ac:dyDescent="0.25">
      <c r="A112" s="54" t="s">
        <v>218</v>
      </c>
      <c r="B112" s="54" t="s">
        <v>219</v>
      </c>
      <c r="C112" s="31">
        <v>4301020391</v>
      </c>
      <c r="D112" s="646">
        <v>4680115881488</v>
      </c>
      <c r="E112" s="647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1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3"/>
      <c r="R112" s="643"/>
      <c r="S112" s="643"/>
      <c r="T112" s="644"/>
      <c r="U112" s="34"/>
      <c r="V112" s="34"/>
      <c r="W112" s="35" t="s">
        <v>67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6">
        <v>4680115882775</v>
      </c>
      <c r="E113" s="647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3"/>
      <c r="R113" s="643"/>
      <c r="S113" s="643"/>
      <c r="T113" s="644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224</v>
      </c>
      <c r="B114" s="54" t="s">
        <v>225</v>
      </c>
      <c r="C114" s="31">
        <v>4301020392</v>
      </c>
      <c r="D114" s="646">
        <v>4680115880658</v>
      </c>
      <c r="E114" s="647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3"/>
      <c r="R114" s="643"/>
      <c r="S114" s="643"/>
      <c r="T114" s="644"/>
      <c r="U114" s="34"/>
      <c r="V114" s="34"/>
      <c r="W114" s="35" t="s">
        <v>67</v>
      </c>
      <c r="X114" s="635">
        <v>0</v>
      </c>
      <c r="Y114" s="63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52"/>
      <c r="B115" s="653"/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3"/>
      <c r="O115" s="654"/>
      <c r="P115" s="639" t="s">
        <v>81</v>
      </c>
      <c r="Q115" s="640"/>
      <c r="R115" s="640"/>
      <c r="S115" s="640"/>
      <c r="T115" s="640"/>
      <c r="U115" s="640"/>
      <c r="V115" s="641"/>
      <c r="W115" s="37" t="s">
        <v>82</v>
      </c>
      <c r="X115" s="637">
        <f>IFERROR(X112/H112,"0")+IFERROR(X113/H113,"0")+IFERROR(X114/H114,"0")</f>
        <v>0</v>
      </c>
      <c r="Y115" s="637">
        <f>IFERROR(Y112/H112,"0")+IFERROR(Y113/H113,"0")+IFERROR(Y114/H114,"0")</f>
        <v>0</v>
      </c>
      <c r="Z115" s="637">
        <f>IFERROR(IF(Z112="",0,Z112),"0")+IFERROR(IF(Z113="",0,Z113),"0")+IFERROR(IF(Z114="",0,Z114),"0")</f>
        <v>0</v>
      </c>
      <c r="AA115" s="638"/>
      <c r="AB115" s="638"/>
      <c r="AC115" s="638"/>
    </row>
    <row r="116" spans="1:68" hidden="1" x14ac:dyDescent="0.2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  <c r="K116" s="653"/>
      <c r="L116" s="653"/>
      <c r="M116" s="653"/>
      <c r="N116" s="653"/>
      <c r="O116" s="654"/>
      <c r="P116" s="639" t="s">
        <v>81</v>
      </c>
      <c r="Q116" s="640"/>
      <c r="R116" s="640"/>
      <c r="S116" s="640"/>
      <c r="T116" s="640"/>
      <c r="U116" s="640"/>
      <c r="V116" s="641"/>
      <c r="W116" s="37" t="s">
        <v>67</v>
      </c>
      <c r="X116" s="637">
        <f>IFERROR(SUM(X112:X114),"0")</f>
        <v>0</v>
      </c>
      <c r="Y116" s="637">
        <f>IFERROR(SUM(Y112:Y114),"0")</f>
        <v>0</v>
      </c>
      <c r="Z116" s="37"/>
      <c r="AA116" s="638"/>
      <c r="AB116" s="638"/>
      <c r="AC116" s="638"/>
    </row>
    <row r="117" spans="1:68" ht="14.25" hidden="1" customHeight="1" x14ac:dyDescent="0.25">
      <c r="A117" s="663" t="s">
        <v>62</v>
      </c>
      <c r="B117" s="653"/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  <c r="Y117" s="653"/>
      <c r="Z117" s="653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6">
        <v>4607091385168</v>
      </c>
      <c r="E118" s="647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3"/>
      <c r="R118" s="643"/>
      <c r="S118" s="643"/>
      <c r="T118" s="644"/>
      <c r="U118" s="34"/>
      <c r="V118" s="34"/>
      <c r="W118" s="35" t="s">
        <v>67</v>
      </c>
      <c r="X118" s="635">
        <v>339</v>
      </c>
      <c r="Y118" s="636">
        <f>IFERROR(IF(X118="",0,CEILING((X118/$H118),1)*$H118),"")</f>
        <v>340.2</v>
      </c>
      <c r="Z118" s="36">
        <f>IFERROR(IF(Y118=0,"",ROUNDUP(Y118/H118,0)*0.01898),"")</f>
        <v>0.79715999999999998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359.42370370370372</v>
      </c>
      <c r="BN118" s="64">
        <f>IFERROR(Y118*I118/H118,"0")</f>
        <v>360.69599999999997</v>
      </c>
      <c r="BO118" s="64">
        <f>IFERROR(1/J118*(X118/H118),"0")</f>
        <v>0.65393518518518523</v>
      </c>
      <c r="BP118" s="64">
        <f>IFERROR(1/J118*(Y118/H118),"0")</f>
        <v>0.65625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6">
        <v>4607091383256</v>
      </c>
      <c r="E119" s="647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3"/>
      <c r="R119" s="643"/>
      <c r="S119" s="643"/>
      <c r="T119" s="644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6">
        <v>4607091385748</v>
      </c>
      <c r="E120" s="647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3"/>
      <c r="R120" s="643"/>
      <c r="S120" s="643"/>
      <c r="T120" s="644"/>
      <c r="U120" s="34"/>
      <c r="V120" s="34"/>
      <c r="W120" s="35" t="s">
        <v>67</v>
      </c>
      <c r="X120" s="635">
        <v>215</v>
      </c>
      <c r="Y120" s="636">
        <f>IFERROR(IF(X120="",0,CEILING((X120/$H120),1)*$H120),"")</f>
        <v>216</v>
      </c>
      <c r="Z120" s="36">
        <f>IFERROR(IF(Y120=0,"",ROUNDUP(Y120/H120,0)*0.00651),"")</f>
        <v>0.52080000000000004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235.06666666666663</v>
      </c>
      <c r="BN120" s="64">
        <f>IFERROR(Y120*I120/H120,"0")</f>
        <v>236.15999999999997</v>
      </c>
      <c r="BO120" s="64">
        <f>IFERROR(1/J120*(X120/H120),"0")</f>
        <v>0.43752543752543749</v>
      </c>
      <c r="BP120" s="64">
        <f>IFERROR(1/J120*(Y120/H120),"0")</f>
        <v>0.43956043956043961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6">
        <v>4680115884533</v>
      </c>
      <c r="E121" s="647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3"/>
      <c r="R121" s="643"/>
      <c r="S121" s="643"/>
      <c r="T121" s="644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52"/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  <c r="M122" s="653"/>
      <c r="N122" s="653"/>
      <c r="O122" s="654"/>
      <c r="P122" s="639" t="s">
        <v>81</v>
      </c>
      <c r="Q122" s="640"/>
      <c r="R122" s="640"/>
      <c r="S122" s="640"/>
      <c r="T122" s="640"/>
      <c r="U122" s="640"/>
      <c r="V122" s="641"/>
      <c r="W122" s="37" t="s">
        <v>82</v>
      </c>
      <c r="X122" s="637">
        <f>IFERROR(X118/H118,"0")+IFERROR(X119/H119,"0")+IFERROR(X120/H120,"0")+IFERROR(X121/H121,"0")</f>
        <v>121.48148148148147</v>
      </c>
      <c r="Y122" s="637">
        <f>IFERROR(Y118/H118,"0")+IFERROR(Y119/H119,"0")+IFERROR(Y120/H120,"0")+IFERROR(Y121/H121,"0")</f>
        <v>122</v>
      </c>
      <c r="Z122" s="637">
        <f>IFERROR(IF(Z118="",0,Z118),"0")+IFERROR(IF(Z119="",0,Z119),"0")+IFERROR(IF(Z120="",0,Z120),"0")+IFERROR(IF(Z121="",0,Z121),"0")</f>
        <v>1.31796</v>
      </c>
      <c r="AA122" s="638"/>
      <c r="AB122" s="638"/>
      <c r="AC122" s="638"/>
    </row>
    <row r="123" spans="1:68" x14ac:dyDescent="0.2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4"/>
      <c r="P123" s="639" t="s">
        <v>81</v>
      </c>
      <c r="Q123" s="640"/>
      <c r="R123" s="640"/>
      <c r="S123" s="640"/>
      <c r="T123" s="640"/>
      <c r="U123" s="640"/>
      <c r="V123" s="641"/>
      <c r="W123" s="37" t="s">
        <v>67</v>
      </c>
      <c r="X123" s="637">
        <f>IFERROR(SUM(X118:X121),"0")</f>
        <v>554</v>
      </c>
      <c r="Y123" s="637">
        <f>IFERROR(SUM(Y118:Y121),"0")</f>
        <v>556.20000000000005</v>
      </c>
      <c r="Z123" s="37"/>
      <c r="AA123" s="638"/>
      <c r="AB123" s="638"/>
      <c r="AC123" s="638"/>
    </row>
    <row r="124" spans="1:68" ht="14.25" hidden="1" customHeight="1" x14ac:dyDescent="0.25">
      <c r="A124" s="663" t="s">
        <v>168</v>
      </c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  <c r="AA124" s="631"/>
      <c r="AB124" s="631"/>
      <c r="AC124" s="631"/>
    </row>
    <row r="125" spans="1:68" ht="16.5" customHeight="1" x14ac:dyDescent="0.25">
      <c r="A125" s="54" t="s">
        <v>236</v>
      </c>
      <c r="B125" s="54" t="s">
        <v>237</v>
      </c>
      <c r="C125" s="31">
        <v>4301060525</v>
      </c>
      <c r="D125" s="646">
        <v>4680115880238</v>
      </c>
      <c r="E125" s="647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1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3"/>
      <c r="R125" s="643"/>
      <c r="S125" s="643"/>
      <c r="T125" s="644"/>
      <c r="U125" s="34"/>
      <c r="V125" s="34"/>
      <c r="W125" s="35" t="s">
        <v>67</v>
      </c>
      <c r="X125" s="635">
        <v>88</v>
      </c>
      <c r="Y125" s="636">
        <f>IFERROR(IF(X125="",0,CEILING((X125/$H125),1)*$H125),"")</f>
        <v>89.1</v>
      </c>
      <c r="Z125" s="36">
        <f>IFERROR(IF(Y125=0,"",ROUNDUP(Y125/H125,0)*0.00651),"")</f>
        <v>0.29294999999999999</v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99.466666666666669</v>
      </c>
      <c r="BN125" s="64">
        <f>IFERROR(Y125*I125/H125,"0")</f>
        <v>100.71</v>
      </c>
      <c r="BO125" s="64">
        <f>IFERROR(1/J125*(X125/H125),"0")</f>
        <v>0.24420024420024422</v>
      </c>
      <c r="BP125" s="64">
        <f>IFERROR(1/J125*(Y125/H125),"0")</f>
        <v>0.24725274725274726</v>
      </c>
    </row>
    <row r="126" spans="1:68" x14ac:dyDescent="0.2">
      <c r="A126" s="652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39" t="s">
        <v>81</v>
      </c>
      <c r="Q126" s="640"/>
      <c r="R126" s="640"/>
      <c r="S126" s="640"/>
      <c r="T126" s="640"/>
      <c r="U126" s="640"/>
      <c r="V126" s="641"/>
      <c r="W126" s="37" t="s">
        <v>82</v>
      </c>
      <c r="X126" s="637">
        <f>IFERROR(X125/H125,"0")</f>
        <v>44.444444444444443</v>
      </c>
      <c r="Y126" s="637">
        <f>IFERROR(Y125/H125,"0")</f>
        <v>45</v>
      </c>
      <c r="Z126" s="637">
        <f>IFERROR(IF(Z125="",0,Z125),"0")</f>
        <v>0.29294999999999999</v>
      </c>
      <c r="AA126" s="638"/>
      <c r="AB126" s="638"/>
      <c r="AC126" s="638"/>
    </row>
    <row r="127" spans="1:68" x14ac:dyDescent="0.2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4"/>
      <c r="P127" s="639" t="s">
        <v>81</v>
      </c>
      <c r="Q127" s="640"/>
      <c r="R127" s="640"/>
      <c r="S127" s="640"/>
      <c r="T127" s="640"/>
      <c r="U127" s="640"/>
      <c r="V127" s="641"/>
      <c r="W127" s="37" t="s">
        <v>67</v>
      </c>
      <c r="X127" s="637">
        <f>IFERROR(SUM(X125:X125),"0")</f>
        <v>88</v>
      </c>
      <c r="Y127" s="637">
        <f>IFERROR(SUM(Y125:Y125),"0")</f>
        <v>89.1</v>
      </c>
      <c r="Z127" s="37"/>
      <c r="AA127" s="638"/>
      <c r="AB127" s="638"/>
      <c r="AC127" s="638"/>
    </row>
    <row r="128" spans="1:68" ht="16.5" hidden="1" customHeight="1" x14ac:dyDescent="0.25">
      <c r="A128" s="658" t="s">
        <v>239</v>
      </c>
      <c r="B128" s="653"/>
      <c r="C128" s="653"/>
      <c r="D128" s="653"/>
      <c r="E128" s="653"/>
      <c r="F128" s="653"/>
      <c r="G128" s="653"/>
      <c r="H128" s="653"/>
      <c r="I128" s="653"/>
      <c r="J128" s="653"/>
      <c r="K128" s="653"/>
      <c r="L128" s="653"/>
      <c r="M128" s="653"/>
      <c r="N128" s="653"/>
      <c r="O128" s="653"/>
      <c r="P128" s="653"/>
      <c r="Q128" s="653"/>
      <c r="R128" s="653"/>
      <c r="S128" s="653"/>
      <c r="T128" s="653"/>
      <c r="U128" s="653"/>
      <c r="V128" s="653"/>
      <c r="W128" s="653"/>
      <c r="X128" s="653"/>
      <c r="Y128" s="653"/>
      <c r="Z128" s="653"/>
      <c r="AA128" s="630"/>
      <c r="AB128" s="630"/>
      <c r="AC128" s="630"/>
    </row>
    <row r="129" spans="1:68" ht="14.25" hidden="1" customHeight="1" x14ac:dyDescent="0.25">
      <c r="A129" s="663" t="s">
        <v>113</v>
      </c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3"/>
      <c r="P129" s="653"/>
      <c r="Q129" s="653"/>
      <c r="R129" s="653"/>
      <c r="S129" s="653"/>
      <c r="T129" s="653"/>
      <c r="U129" s="653"/>
      <c r="V129" s="653"/>
      <c r="W129" s="653"/>
      <c r="X129" s="653"/>
      <c r="Y129" s="653"/>
      <c r="Z129" s="653"/>
      <c r="AA129" s="631"/>
      <c r="AB129" s="631"/>
      <c r="AC129" s="631"/>
    </row>
    <row r="130" spans="1:68" ht="27" hidden="1" customHeight="1" x14ac:dyDescent="0.25">
      <c r="A130" s="54" t="s">
        <v>240</v>
      </c>
      <c r="B130" s="54" t="s">
        <v>241</v>
      </c>
      <c r="C130" s="31">
        <v>4301011562</v>
      </c>
      <c r="D130" s="646">
        <v>4680115882577</v>
      </c>
      <c r="E130" s="647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3"/>
      <c r="R130" s="643"/>
      <c r="S130" s="643"/>
      <c r="T130" s="644"/>
      <c r="U130" s="34"/>
      <c r="V130" s="34"/>
      <c r="W130" s="35" t="s">
        <v>67</v>
      </c>
      <c r="X130" s="635">
        <v>0</v>
      </c>
      <c r="Y130" s="63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6">
        <v>4680115882577</v>
      </c>
      <c r="E131" s="647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3"/>
      <c r="R131" s="643"/>
      <c r="S131" s="643"/>
      <c r="T131" s="644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2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4"/>
      <c r="P132" s="639" t="s">
        <v>81</v>
      </c>
      <c r="Q132" s="640"/>
      <c r="R132" s="640"/>
      <c r="S132" s="640"/>
      <c r="T132" s="640"/>
      <c r="U132" s="640"/>
      <c r="V132" s="641"/>
      <c r="W132" s="37" t="s">
        <v>82</v>
      </c>
      <c r="X132" s="637">
        <f>IFERROR(X130/H130,"0")+IFERROR(X131/H131,"0")</f>
        <v>0</v>
      </c>
      <c r="Y132" s="637">
        <f>IFERROR(Y130/H130,"0")+IFERROR(Y131/H131,"0")</f>
        <v>0</v>
      </c>
      <c r="Z132" s="637">
        <f>IFERROR(IF(Z130="",0,Z130),"0")+IFERROR(IF(Z131="",0,Z131),"0")</f>
        <v>0</v>
      </c>
      <c r="AA132" s="638"/>
      <c r="AB132" s="638"/>
      <c r="AC132" s="638"/>
    </row>
    <row r="133" spans="1:68" hidden="1" x14ac:dyDescent="0.2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  <c r="K133" s="653"/>
      <c r="L133" s="653"/>
      <c r="M133" s="653"/>
      <c r="N133" s="653"/>
      <c r="O133" s="654"/>
      <c r="P133" s="639" t="s">
        <v>81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IFERROR(SUM(X130:X131),"0")</f>
        <v>0</v>
      </c>
      <c r="Y133" s="637">
        <f>IFERROR(SUM(Y130:Y131),"0")</f>
        <v>0</v>
      </c>
      <c r="Z133" s="37"/>
      <c r="AA133" s="638"/>
      <c r="AB133" s="638"/>
      <c r="AC133" s="638"/>
    </row>
    <row r="134" spans="1:68" ht="14.25" hidden="1" customHeight="1" x14ac:dyDescent="0.25">
      <c r="A134" s="663" t="s">
        <v>245</v>
      </c>
      <c r="B134" s="653"/>
      <c r="C134" s="653"/>
      <c r="D134" s="653"/>
      <c r="E134" s="653"/>
      <c r="F134" s="653"/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53"/>
      <c r="W134" s="653"/>
      <c r="X134" s="653"/>
      <c r="Y134" s="653"/>
      <c r="Z134" s="653"/>
      <c r="AA134" s="631"/>
      <c r="AB134" s="631"/>
      <c r="AC134" s="631"/>
    </row>
    <row r="135" spans="1:68" ht="27" hidden="1" customHeight="1" x14ac:dyDescent="0.25">
      <c r="A135" s="54" t="s">
        <v>246</v>
      </c>
      <c r="B135" s="54" t="s">
        <v>247</v>
      </c>
      <c r="C135" s="31">
        <v>4301031234</v>
      </c>
      <c r="D135" s="646">
        <v>4680115883444</v>
      </c>
      <c r="E135" s="647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3"/>
      <c r="R135" s="643"/>
      <c r="S135" s="643"/>
      <c r="T135" s="644"/>
      <c r="U135" s="34"/>
      <c r="V135" s="34"/>
      <c r="W135" s="35" t="s">
        <v>67</v>
      </c>
      <c r="X135" s="635">
        <v>0</v>
      </c>
      <c r="Y135" s="63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6">
        <v>4680115883444</v>
      </c>
      <c r="E136" s="647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3"/>
      <c r="R136" s="643"/>
      <c r="S136" s="643"/>
      <c r="T136" s="644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52"/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4"/>
      <c r="P137" s="639" t="s">
        <v>81</v>
      </c>
      <c r="Q137" s="640"/>
      <c r="R137" s="640"/>
      <c r="S137" s="640"/>
      <c r="T137" s="640"/>
      <c r="U137" s="640"/>
      <c r="V137" s="641"/>
      <c r="W137" s="37" t="s">
        <v>82</v>
      </c>
      <c r="X137" s="637">
        <f>IFERROR(X135/H135,"0")+IFERROR(X136/H136,"0")</f>
        <v>0</v>
      </c>
      <c r="Y137" s="637">
        <f>IFERROR(Y135/H135,"0")+IFERROR(Y136/H136,"0")</f>
        <v>0</v>
      </c>
      <c r="Z137" s="637">
        <f>IFERROR(IF(Z135="",0,Z135),"0")+IFERROR(IF(Z136="",0,Z136),"0")</f>
        <v>0</v>
      </c>
      <c r="AA137" s="638"/>
      <c r="AB137" s="638"/>
      <c r="AC137" s="638"/>
    </row>
    <row r="138" spans="1:68" hidden="1" x14ac:dyDescent="0.2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  <c r="K138" s="653"/>
      <c r="L138" s="653"/>
      <c r="M138" s="653"/>
      <c r="N138" s="653"/>
      <c r="O138" s="654"/>
      <c r="P138" s="639" t="s">
        <v>81</v>
      </c>
      <c r="Q138" s="640"/>
      <c r="R138" s="640"/>
      <c r="S138" s="640"/>
      <c r="T138" s="640"/>
      <c r="U138" s="640"/>
      <c r="V138" s="641"/>
      <c r="W138" s="37" t="s">
        <v>67</v>
      </c>
      <c r="X138" s="637">
        <f>IFERROR(SUM(X135:X136),"0")</f>
        <v>0</v>
      </c>
      <c r="Y138" s="637">
        <f>IFERROR(SUM(Y135:Y136),"0")</f>
        <v>0</v>
      </c>
      <c r="Z138" s="37"/>
      <c r="AA138" s="638"/>
      <c r="AB138" s="638"/>
      <c r="AC138" s="638"/>
    </row>
    <row r="139" spans="1:68" ht="14.25" hidden="1" customHeight="1" x14ac:dyDescent="0.25">
      <c r="A139" s="663" t="s">
        <v>62</v>
      </c>
      <c r="B139" s="653"/>
      <c r="C139" s="653"/>
      <c r="D139" s="653"/>
      <c r="E139" s="653"/>
      <c r="F139" s="653"/>
      <c r="G139" s="653"/>
      <c r="H139" s="653"/>
      <c r="I139" s="653"/>
      <c r="J139" s="653"/>
      <c r="K139" s="653"/>
      <c r="L139" s="653"/>
      <c r="M139" s="653"/>
      <c r="N139" s="653"/>
      <c r="O139" s="653"/>
      <c r="P139" s="653"/>
      <c r="Q139" s="653"/>
      <c r="R139" s="653"/>
      <c r="S139" s="653"/>
      <c r="T139" s="653"/>
      <c r="U139" s="653"/>
      <c r="V139" s="653"/>
      <c r="W139" s="653"/>
      <c r="X139" s="653"/>
      <c r="Y139" s="653"/>
      <c r="Z139" s="653"/>
      <c r="AA139" s="631"/>
      <c r="AB139" s="631"/>
      <c r="AC139" s="631"/>
    </row>
    <row r="140" spans="1:68" ht="16.5" hidden="1" customHeight="1" x14ac:dyDescent="0.25">
      <c r="A140" s="54" t="s">
        <v>250</v>
      </c>
      <c r="B140" s="54" t="s">
        <v>251</v>
      </c>
      <c r="C140" s="31">
        <v>4301051476</v>
      </c>
      <c r="D140" s="646">
        <v>4680115882584</v>
      </c>
      <c r="E140" s="647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3"/>
      <c r="R140" s="643"/>
      <c r="S140" s="643"/>
      <c r="T140" s="644"/>
      <c r="U140" s="34"/>
      <c r="V140" s="34"/>
      <c r="W140" s="35" t="s">
        <v>67</v>
      </c>
      <c r="X140" s="635">
        <v>0</v>
      </c>
      <c r="Y140" s="63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6">
        <v>4680115882584</v>
      </c>
      <c r="E141" s="647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3"/>
      <c r="R141" s="643"/>
      <c r="S141" s="643"/>
      <c r="T141" s="644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52"/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4"/>
      <c r="P142" s="639" t="s">
        <v>81</v>
      </c>
      <c r="Q142" s="640"/>
      <c r="R142" s="640"/>
      <c r="S142" s="640"/>
      <c r="T142" s="640"/>
      <c r="U142" s="640"/>
      <c r="V142" s="641"/>
      <c r="W142" s="37" t="s">
        <v>82</v>
      </c>
      <c r="X142" s="637">
        <f>IFERROR(X140/H140,"0")+IFERROR(X141/H141,"0")</f>
        <v>0</v>
      </c>
      <c r="Y142" s="637">
        <f>IFERROR(Y140/H140,"0")+IFERROR(Y141/H141,"0")</f>
        <v>0</v>
      </c>
      <c r="Z142" s="637">
        <f>IFERROR(IF(Z140="",0,Z140),"0")+IFERROR(IF(Z141="",0,Z141),"0")</f>
        <v>0</v>
      </c>
      <c r="AA142" s="638"/>
      <c r="AB142" s="638"/>
      <c r="AC142" s="638"/>
    </row>
    <row r="143" spans="1:68" hidden="1" x14ac:dyDescent="0.2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4"/>
      <c r="P143" s="639" t="s">
        <v>81</v>
      </c>
      <c r="Q143" s="640"/>
      <c r="R143" s="640"/>
      <c r="S143" s="640"/>
      <c r="T143" s="640"/>
      <c r="U143" s="640"/>
      <c r="V143" s="641"/>
      <c r="W143" s="37" t="s">
        <v>67</v>
      </c>
      <c r="X143" s="637">
        <f>IFERROR(SUM(X140:X141),"0")</f>
        <v>0</v>
      </c>
      <c r="Y143" s="637">
        <f>IFERROR(SUM(Y140:Y141),"0")</f>
        <v>0</v>
      </c>
      <c r="Z143" s="37"/>
      <c r="AA143" s="638"/>
      <c r="AB143" s="638"/>
      <c r="AC143" s="638"/>
    </row>
    <row r="144" spans="1:68" ht="16.5" hidden="1" customHeight="1" x14ac:dyDescent="0.25">
      <c r="A144" s="658" t="s">
        <v>253</v>
      </c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30"/>
      <c r="AB144" s="630"/>
      <c r="AC144" s="630"/>
    </row>
    <row r="145" spans="1:68" ht="14.25" hidden="1" customHeight="1" x14ac:dyDescent="0.25">
      <c r="A145" s="663" t="s">
        <v>62</v>
      </c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3"/>
      <c r="P145" s="653"/>
      <c r="Q145" s="653"/>
      <c r="R145" s="653"/>
      <c r="S145" s="653"/>
      <c r="T145" s="653"/>
      <c r="U145" s="653"/>
      <c r="V145" s="653"/>
      <c r="W145" s="653"/>
      <c r="X145" s="653"/>
      <c r="Y145" s="653"/>
      <c r="Z145" s="653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6">
        <v>4680115888203</v>
      </c>
      <c r="E146" s="647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3"/>
      <c r="R146" s="643"/>
      <c r="S146" s="643"/>
      <c r="T146" s="644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6">
        <v>4680115888180</v>
      </c>
      <c r="E147" s="647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3"/>
      <c r="R147" s="643"/>
      <c r="S147" s="643"/>
      <c r="T147" s="644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6">
        <v>4680115888197</v>
      </c>
      <c r="E148" s="647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3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3"/>
      <c r="R148" s="643"/>
      <c r="S148" s="643"/>
      <c r="T148" s="644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6">
        <v>4680115888210</v>
      </c>
      <c r="E149" s="647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3"/>
      <c r="R149" s="643"/>
      <c r="S149" s="643"/>
      <c r="T149" s="644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2"/>
      <c r="B150" s="653"/>
      <c r="C150" s="653"/>
      <c r="D150" s="653"/>
      <c r="E150" s="653"/>
      <c r="F150" s="653"/>
      <c r="G150" s="653"/>
      <c r="H150" s="653"/>
      <c r="I150" s="653"/>
      <c r="J150" s="653"/>
      <c r="K150" s="653"/>
      <c r="L150" s="653"/>
      <c r="M150" s="653"/>
      <c r="N150" s="653"/>
      <c r="O150" s="654"/>
      <c r="P150" s="639" t="s">
        <v>81</v>
      </c>
      <c r="Q150" s="640"/>
      <c r="R150" s="640"/>
      <c r="S150" s="640"/>
      <c r="T150" s="640"/>
      <c r="U150" s="640"/>
      <c r="V150" s="641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  <c r="K151" s="653"/>
      <c r="L151" s="653"/>
      <c r="M151" s="653"/>
      <c r="N151" s="653"/>
      <c r="O151" s="654"/>
      <c r="P151" s="639" t="s">
        <v>81</v>
      </c>
      <c r="Q151" s="640"/>
      <c r="R151" s="640"/>
      <c r="S151" s="640"/>
      <c r="T151" s="640"/>
      <c r="U151" s="640"/>
      <c r="V151" s="641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63" t="s">
        <v>83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6">
        <v>4680115889132</v>
      </c>
      <c r="E153" s="647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3"/>
      <c r="R153" s="643"/>
      <c r="S153" s="643"/>
      <c r="T153" s="644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52"/>
      <c r="B154" s="653"/>
      <c r="C154" s="653"/>
      <c r="D154" s="653"/>
      <c r="E154" s="653"/>
      <c r="F154" s="653"/>
      <c r="G154" s="653"/>
      <c r="H154" s="653"/>
      <c r="I154" s="653"/>
      <c r="J154" s="653"/>
      <c r="K154" s="653"/>
      <c r="L154" s="653"/>
      <c r="M154" s="653"/>
      <c r="N154" s="653"/>
      <c r="O154" s="654"/>
      <c r="P154" s="639" t="s">
        <v>81</v>
      </c>
      <c r="Q154" s="640"/>
      <c r="R154" s="640"/>
      <c r="S154" s="640"/>
      <c r="T154" s="640"/>
      <c r="U154" s="640"/>
      <c r="V154" s="641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39" t="s">
        <v>81</v>
      </c>
      <c r="Q155" s="640"/>
      <c r="R155" s="640"/>
      <c r="S155" s="640"/>
      <c r="T155" s="640"/>
      <c r="U155" s="640"/>
      <c r="V155" s="641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8" t="s">
        <v>111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30"/>
      <c r="AB156" s="630"/>
      <c r="AC156" s="630"/>
    </row>
    <row r="157" spans="1:68" ht="14.25" hidden="1" customHeight="1" x14ac:dyDescent="0.25">
      <c r="A157" s="663" t="s">
        <v>113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6">
        <v>4680115887374</v>
      </c>
      <c r="E158" s="647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3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3"/>
      <c r="R158" s="643"/>
      <c r="S158" s="643"/>
      <c r="T158" s="644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6">
        <v>4607091384604</v>
      </c>
      <c r="E159" s="647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6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3"/>
      <c r="R159" s="643"/>
      <c r="S159" s="643"/>
      <c r="T159" s="644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6">
        <v>4607091384604</v>
      </c>
      <c r="E160" s="647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70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3"/>
      <c r="R160" s="643"/>
      <c r="S160" s="643"/>
      <c r="T160" s="644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6">
        <v>4680115888876</v>
      </c>
      <c r="E161" s="647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9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3"/>
      <c r="R161" s="643"/>
      <c r="S161" s="643"/>
      <c r="T161" s="644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52"/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4"/>
      <c r="P162" s="639" t="s">
        <v>81</v>
      </c>
      <c r="Q162" s="640"/>
      <c r="R162" s="640"/>
      <c r="S162" s="640"/>
      <c r="T162" s="640"/>
      <c r="U162" s="640"/>
      <c r="V162" s="641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  <c r="K163" s="653"/>
      <c r="L163" s="653"/>
      <c r="M163" s="653"/>
      <c r="N163" s="653"/>
      <c r="O163" s="654"/>
      <c r="P163" s="639" t="s">
        <v>81</v>
      </c>
      <c r="Q163" s="640"/>
      <c r="R163" s="640"/>
      <c r="S163" s="640"/>
      <c r="T163" s="640"/>
      <c r="U163" s="640"/>
      <c r="V163" s="641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63" t="s">
        <v>150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6">
        <v>4680115887695</v>
      </c>
      <c r="E165" s="647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3"/>
      <c r="R165" s="643"/>
      <c r="S165" s="643"/>
      <c r="T165" s="644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6">
        <v>4680115889491</v>
      </c>
      <c r="E166" s="647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3"/>
      <c r="R166" s="643"/>
      <c r="S166" s="643"/>
      <c r="T166" s="644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39" t="s">
        <v>81</v>
      </c>
      <c r="Q167" s="640"/>
      <c r="R167" s="640"/>
      <c r="S167" s="640"/>
      <c r="T167" s="640"/>
      <c r="U167" s="640"/>
      <c r="V167" s="641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39" t="s">
        <v>81</v>
      </c>
      <c r="Q168" s="640"/>
      <c r="R168" s="640"/>
      <c r="S168" s="640"/>
      <c r="T168" s="640"/>
      <c r="U168" s="640"/>
      <c r="V168" s="641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63" t="s">
        <v>245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6">
        <v>4680115889613</v>
      </c>
      <c r="E170" s="647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64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3"/>
      <c r="R170" s="643"/>
      <c r="S170" s="643"/>
      <c r="T170" s="644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4301031496</v>
      </c>
      <c r="D171" s="646">
        <v>4680115887428</v>
      </c>
      <c r="E171" s="647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3"/>
      <c r="R171" s="643"/>
      <c r="S171" s="643"/>
      <c r="T171" s="644"/>
      <c r="U171" s="34"/>
      <c r="V171" s="34"/>
      <c r="W171" s="35" t="s">
        <v>67</v>
      </c>
      <c r="X171" s="635">
        <v>0</v>
      </c>
      <c r="Y171" s="636">
        <f t="shared" si="15"/>
        <v>0</v>
      </c>
      <c r="Z171" s="36" t="str">
        <f>IFERROR(IF(Y171=0,"",ROUNDUP(Y171/H171,0)*0.00902),"")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6">
        <v>4680115889170</v>
      </c>
      <c r="E172" s="647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3"/>
      <c r="R172" s="643"/>
      <c r="S172" s="643"/>
      <c r="T172" s="644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6">
        <v>4680115887398</v>
      </c>
      <c r="E173" s="647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2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3"/>
      <c r="R173" s="643"/>
      <c r="S173" s="643"/>
      <c r="T173" s="644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6">
        <v>4680115887336</v>
      </c>
      <c r="E174" s="647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3"/>
      <c r="R174" s="643"/>
      <c r="S174" s="643"/>
      <c r="T174" s="644"/>
      <c r="U174" s="34"/>
      <c r="V174" s="34"/>
      <c r="W174" s="35" t="s">
        <v>67</v>
      </c>
      <c r="X174" s="635">
        <v>106</v>
      </c>
      <c r="Y174" s="636">
        <f t="shared" si="15"/>
        <v>108.5</v>
      </c>
      <c r="Z174" s="36">
        <f>IFERROR(IF(Y174=0,"",ROUNDUP(Y174/H174,0)*0.00902),"")</f>
        <v>0.27961999999999998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111.75428571428571</v>
      </c>
      <c r="BN174" s="64">
        <f t="shared" si="17"/>
        <v>114.39</v>
      </c>
      <c r="BO174" s="64">
        <f t="shared" si="18"/>
        <v>0.22943722943722944</v>
      </c>
      <c r="BP174" s="64">
        <f t="shared" si="19"/>
        <v>0.23484848484848486</v>
      </c>
    </row>
    <row r="175" spans="1:68" ht="16.5" hidden="1" customHeight="1" x14ac:dyDescent="0.25">
      <c r="A175" s="54" t="s">
        <v>300</v>
      </c>
      <c r="B175" s="54" t="s">
        <v>301</v>
      </c>
      <c r="C175" s="31">
        <v>4301031528</v>
      </c>
      <c r="D175" s="646">
        <v>4680115887787</v>
      </c>
      <c r="E175" s="647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3"/>
      <c r="R175" s="643"/>
      <c r="S175" s="643"/>
      <c r="T175" s="644"/>
      <c r="U175" s="34"/>
      <c r="V175" s="34"/>
      <c r="W175" s="35" t="s">
        <v>67</v>
      </c>
      <c r="X175" s="635">
        <v>0</v>
      </c>
      <c r="Y175" s="636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303</v>
      </c>
      <c r="B176" s="54" t="s">
        <v>304</v>
      </c>
      <c r="C176" s="31">
        <v>4301031448</v>
      </c>
      <c r="D176" s="646">
        <v>4680115887503</v>
      </c>
      <c r="E176" s="647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3"/>
      <c r="R176" s="643"/>
      <c r="S176" s="643"/>
      <c r="T176" s="644"/>
      <c r="U176" s="34"/>
      <c r="V176" s="34"/>
      <c r="W176" s="35" t="s">
        <v>67</v>
      </c>
      <c r="X176" s="635">
        <v>54</v>
      </c>
      <c r="Y176" s="636">
        <f t="shared" si="15"/>
        <v>55.44</v>
      </c>
      <c r="Z176" s="36">
        <f>IFERROR(IF(Y176=0,"",ROUNDUP(Y176/H176,0)*0.00502),"")</f>
        <v>0.16566</v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57.214285714285722</v>
      </c>
      <c r="BN176" s="64">
        <f t="shared" si="17"/>
        <v>58.74</v>
      </c>
      <c r="BO176" s="64">
        <f t="shared" si="18"/>
        <v>0.1373626373626374</v>
      </c>
      <c r="BP176" s="64">
        <f t="shared" si="19"/>
        <v>0.14102564102564105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6">
        <v>4680115887763</v>
      </c>
      <c r="E177" s="647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3"/>
      <c r="R177" s="643"/>
      <c r="S177" s="643"/>
      <c r="T177" s="644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6">
        <v>4680115887480</v>
      </c>
      <c r="E178" s="647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3"/>
      <c r="R178" s="643"/>
      <c r="S178" s="643"/>
      <c r="T178" s="644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6">
        <v>4680115888067</v>
      </c>
      <c r="E179" s="647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3"/>
      <c r="R179" s="643"/>
      <c r="S179" s="643"/>
      <c r="T179" s="644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313</v>
      </c>
      <c r="B180" s="54" t="s">
        <v>314</v>
      </c>
      <c r="C180" s="31">
        <v>4301031519</v>
      </c>
      <c r="D180" s="646">
        <v>4680115887435</v>
      </c>
      <c r="E180" s="647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3"/>
      <c r="R180" s="643"/>
      <c r="S180" s="643"/>
      <c r="T180" s="644"/>
      <c r="U180" s="34"/>
      <c r="V180" s="34"/>
      <c r="W180" s="35" t="s">
        <v>67</v>
      </c>
      <c r="X180" s="635">
        <v>78</v>
      </c>
      <c r="Y180" s="636">
        <f t="shared" si="15"/>
        <v>78.959999999999994</v>
      </c>
      <c r="Z180" s="36">
        <f>IFERROR(IF(Y180=0,"",ROUNDUP(Y180/H180,0)*0.00502),"")</f>
        <v>0.23594000000000001</v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82.642857142857153</v>
      </c>
      <c r="BN180" s="64">
        <f t="shared" si="17"/>
        <v>83.66</v>
      </c>
      <c r="BO180" s="64">
        <f t="shared" si="18"/>
        <v>0.19841269841269843</v>
      </c>
      <c r="BP180" s="64">
        <f t="shared" si="19"/>
        <v>0.20085470085470086</v>
      </c>
    </row>
    <row r="181" spans="1:68" x14ac:dyDescent="0.2">
      <c r="A181" s="652"/>
      <c r="B181" s="653"/>
      <c r="C181" s="653"/>
      <c r="D181" s="653"/>
      <c r="E181" s="653"/>
      <c r="F181" s="653"/>
      <c r="G181" s="653"/>
      <c r="H181" s="653"/>
      <c r="I181" s="653"/>
      <c r="J181" s="653"/>
      <c r="K181" s="653"/>
      <c r="L181" s="653"/>
      <c r="M181" s="653"/>
      <c r="N181" s="653"/>
      <c r="O181" s="654"/>
      <c r="P181" s="639" t="s">
        <v>81</v>
      </c>
      <c r="Q181" s="640"/>
      <c r="R181" s="640"/>
      <c r="S181" s="640"/>
      <c r="T181" s="640"/>
      <c r="U181" s="640"/>
      <c r="V181" s="641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108.85714285714286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111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0.68122000000000005</v>
      </c>
      <c r="AA181" s="638"/>
      <c r="AB181" s="638"/>
      <c r="AC181" s="638"/>
    </row>
    <row r="182" spans="1:68" x14ac:dyDescent="0.2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  <c r="K182" s="653"/>
      <c r="L182" s="653"/>
      <c r="M182" s="653"/>
      <c r="N182" s="653"/>
      <c r="O182" s="654"/>
      <c r="P182" s="639" t="s">
        <v>81</v>
      </c>
      <c r="Q182" s="640"/>
      <c r="R182" s="640"/>
      <c r="S182" s="640"/>
      <c r="T182" s="640"/>
      <c r="U182" s="640"/>
      <c r="V182" s="641"/>
      <c r="W182" s="37" t="s">
        <v>67</v>
      </c>
      <c r="X182" s="637">
        <f>IFERROR(SUM(X170:X180),"0")</f>
        <v>238</v>
      </c>
      <c r="Y182" s="637">
        <f>IFERROR(SUM(Y170:Y180),"0")</f>
        <v>242.89999999999998</v>
      </c>
      <c r="Z182" s="37"/>
      <c r="AA182" s="638"/>
      <c r="AB182" s="638"/>
      <c r="AC182" s="638"/>
    </row>
    <row r="183" spans="1:68" ht="14.25" hidden="1" customHeight="1" x14ac:dyDescent="0.25">
      <c r="A183" s="663" t="s">
        <v>62</v>
      </c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  <c r="M183" s="653"/>
      <c r="N183" s="653"/>
      <c r="O183" s="653"/>
      <c r="P183" s="653"/>
      <c r="Q183" s="653"/>
      <c r="R183" s="653"/>
      <c r="S183" s="653"/>
      <c r="T183" s="653"/>
      <c r="U183" s="653"/>
      <c r="V183" s="653"/>
      <c r="W183" s="653"/>
      <c r="X183" s="653"/>
      <c r="Y183" s="653"/>
      <c r="Z183" s="653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6">
        <v>4680115888395</v>
      </c>
      <c r="E184" s="647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1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3"/>
      <c r="R184" s="643"/>
      <c r="S184" s="643"/>
      <c r="T184" s="644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6">
        <v>4680115888371</v>
      </c>
      <c r="E185" s="647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3"/>
      <c r="R185" s="643"/>
      <c r="S185" s="643"/>
      <c r="T185" s="644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39" t="s">
        <v>81</v>
      </c>
      <c r="Q186" s="640"/>
      <c r="R186" s="640"/>
      <c r="S186" s="640"/>
      <c r="T186" s="640"/>
      <c r="U186" s="640"/>
      <c r="V186" s="641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39" t="s">
        <v>81</v>
      </c>
      <c r="Q187" s="640"/>
      <c r="R187" s="640"/>
      <c r="S187" s="640"/>
      <c r="T187" s="640"/>
      <c r="U187" s="640"/>
      <c r="V187" s="641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63" t="s">
        <v>83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6">
        <v>4680115889026</v>
      </c>
      <c r="E189" s="647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6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3"/>
      <c r="R189" s="643"/>
      <c r="S189" s="643"/>
      <c r="T189" s="644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2"/>
      <c r="B190" s="653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4"/>
      <c r="P190" s="639" t="s">
        <v>81</v>
      </c>
      <c r="Q190" s="640"/>
      <c r="R190" s="640"/>
      <c r="S190" s="640"/>
      <c r="T190" s="640"/>
      <c r="U190" s="640"/>
      <c r="V190" s="641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4"/>
      <c r="P191" s="639" t="s">
        <v>81</v>
      </c>
      <c r="Q191" s="640"/>
      <c r="R191" s="640"/>
      <c r="S191" s="640"/>
      <c r="T191" s="640"/>
      <c r="U191" s="640"/>
      <c r="V191" s="641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63" t="s">
        <v>325</v>
      </c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3"/>
      <c r="P192" s="653"/>
      <c r="Q192" s="653"/>
      <c r="R192" s="653"/>
      <c r="S192" s="653"/>
      <c r="T192" s="653"/>
      <c r="U192" s="653"/>
      <c r="V192" s="653"/>
      <c r="W192" s="653"/>
      <c r="X192" s="653"/>
      <c r="Y192" s="653"/>
      <c r="Z192" s="653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6">
        <v>4680115889033</v>
      </c>
      <c r="E193" s="647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3"/>
      <c r="R193" s="643"/>
      <c r="S193" s="643"/>
      <c r="T193" s="644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2"/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4"/>
      <c r="P194" s="639" t="s">
        <v>81</v>
      </c>
      <c r="Q194" s="640"/>
      <c r="R194" s="640"/>
      <c r="S194" s="640"/>
      <c r="T194" s="640"/>
      <c r="U194" s="640"/>
      <c r="V194" s="641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  <c r="K195" s="653"/>
      <c r="L195" s="653"/>
      <c r="M195" s="653"/>
      <c r="N195" s="653"/>
      <c r="O195" s="654"/>
      <c r="P195" s="639" t="s">
        <v>81</v>
      </c>
      <c r="Q195" s="640"/>
      <c r="R195" s="640"/>
      <c r="S195" s="640"/>
      <c r="T195" s="640"/>
      <c r="U195" s="640"/>
      <c r="V195" s="641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71" t="s">
        <v>329</v>
      </c>
      <c r="B196" s="672"/>
      <c r="C196" s="672"/>
      <c r="D196" s="672"/>
      <c r="E196" s="672"/>
      <c r="F196" s="672"/>
      <c r="G196" s="672"/>
      <c r="H196" s="672"/>
      <c r="I196" s="672"/>
      <c r="J196" s="672"/>
      <c r="K196" s="672"/>
      <c r="L196" s="672"/>
      <c r="M196" s="672"/>
      <c r="N196" s="672"/>
      <c r="O196" s="672"/>
      <c r="P196" s="672"/>
      <c r="Q196" s="672"/>
      <c r="R196" s="672"/>
      <c r="S196" s="672"/>
      <c r="T196" s="672"/>
      <c r="U196" s="672"/>
      <c r="V196" s="672"/>
      <c r="W196" s="672"/>
      <c r="X196" s="672"/>
      <c r="Y196" s="672"/>
      <c r="Z196" s="672"/>
      <c r="AA196" s="48"/>
      <c r="AB196" s="48"/>
      <c r="AC196" s="48"/>
    </row>
    <row r="197" spans="1:68" ht="16.5" hidden="1" customHeight="1" x14ac:dyDescent="0.25">
      <c r="A197" s="658" t="s">
        <v>330</v>
      </c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653"/>
      <c r="W197" s="653"/>
      <c r="X197" s="653"/>
      <c r="Y197" s="653"/>
      <c r="Z197" s="653"/>
      <c r="AA197" s="630"/>
      <c r="AB197" s="630"/>
      <c r="AC197" s="630"/>
    </row>
    <row r="198" spans="1:68" ht="14.25" hidden="1" customHeight="1" x14ac:dyDescent="0.25">
      <c r="A198" s="663" t="s">
        <v>113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6">
        <v>4607091383423</v>
      </c>
      <c r="E199" s="647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9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3"/>
      <c r="R199" s="643"/>
      <c r="S199" s="643"/>
      <c r="T199" s="644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6">
        <v>4680115888760</v>
      </c>
      <c r="E200" s="647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7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3"/>
      <c r="R200" s="643"/>
      <c r="S200" s="643"/>
      <c r="T200" s="644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6">
        <v>4680115888807</v>
      </c>
      <c r="E201" s="647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3"/>
      <c r="R201" s="643"/>
      <c r="S201" s="643"/>
      <c r="T201" s="644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6">
        <v>4680115888852</v>
      </c>
      <c r="E202" s="647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99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3"/>
      <c r="R202" s="643"/>
      <c r="S202" s="643"/>
      <c r="T202" s="644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6">
        <v>4680115886957</v>
      </c>
      <c r="E203" s="647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3"/>
      <c r="R203" s="643"/>
      <c r="S203" s="643"/>
      <c r="T203" s="644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6">
        <v>4680115885660</v>
      </c>
      <c r="E204" s="647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3"/>
      <c r="R204" s="643"/>
      <c r="S204" s="643"/>
      <c r="T204" s="644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6">
        <v>4680115886773</v>
      </c>
      <c r="E205" s="647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3"/>
      <c r="R205" s="643"/>
      <c r="S205" s="643"/>
      <c r="T205" s="644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52"/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4"/>
      <c r="P206" s="639" t="s">
        <v>81</v>
      </c>
      <c r="Q206" s="640"/>
      <c r="R206" s="640"/>
      <c r="S206" s="640"/>
      <c r="T206" s="640"/>
      <c r="U206" s="640"/>
      <c r="V206" s="641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  <c r="K207" s="653"/>
      <c r="L207" s="653"/>
      <c r="M207" s="653"/>
      <c r="N207" s="653"/>
      <c r="O207" s="654"/>
      <c r="P207" s="639" t="s">
        <v>81</v>
      </c>
      <c r="Q207" s="640"/>
      <c r="R207" s="640"/>
      <c r="S207" s="640"/>
      <c r="T207" s="640"/>
      <c r="U207" s="640"/>
      <c r="V207" s="641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8" t="s">
        <v>351</v>
      </c>
      <c r="B208" s="653"/>
      <c r="C208" s="653"/>
      <c r="D208" s="653"/>
      <c r="E208" s="653"/>
      <c r="F208" s="653"/>
      <c r="G208" s="653"/>
      <c r="H208" s="653"/>
      <c r="I208" s="653"/>
      <c r="J208" s="653"/>
      <c r="K208" s="653"/>
      <c r="L208" s="653"/>
      <c r="M208" s="653"/>
      <c r="N208" s="653"/>
      <c r="O208" s="653"/>
      <c r="P208" s="653"/>
      <c r="Q208" s="653"/>
      <c r="R208" s="653"/>
      <c r="S208" s="653"/>
      <c r="T208" s="653"/>
      <c r="U208" s="653"/>
      <c r="V208" s="653"/>
      <c r="W208" s="653"/>
      <c r="X208" s="653"/>
      <c r="Y208" s="653"/>
      <c r="Z208" s="653"/>
      <c r="AA208" s="630"/>
      <c r="AB208" s="630"/>
      <c r="AC208" s="630"/>
    </row>
    <row r="209" spans="1:68" ht="14.25" hidden="1" customHeight="1" x14ac:dyDescent="0.25">
      <c r="A209" s="663" t="s">
        <v>150</v>
      </c>
      <c r="B209" s="653"/>
      <c r="C209" s="653"/>
      <c r="D209" s="653"/>
      <c r="E209" s="653"/>
      <c r="F209" s="653"/>
      <c r="G209" s="653"/>
      <c r="H209" s="653"/>
      <c r="I209" s="653"/>
      <c r="J209" s="653"/>
      <c r="K209" s="653"/>
      <c r="L209" s="653"/>
      <c r="M209" s="653"/>
      <c r="N209" s="653"/>
      <c r="O209" s="653"/>
      <c r="P209" s="653"/>
      <c r="Q209" s="653"/>
      <c r="R209" s="653"/>
      <c r="S209" s="653"/>
      <c r="T209" s="653"/>
      <c r="U209" s="653"/>
      <c r="V209" s="653"/>
      <c r="W209" s="653"/>
      <c r="X209" s="653"/>
      <c r="Y209" s="653"/>
      <c r="Z209" s="653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6">
        <v>4680115886223</v>
      </c>
      <c r="E210" s="647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3"/>
      <c r="R210" s="643"/>
      <c r="S210" s="643"/>
      <c r="T210" s="644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52"/>
      <c r="B211" s="653"/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4"/>
      <c r="P211" s="639" t="s">
        <v>81</v>
      </c>
      <c r="Q211" s="640"/>
      <c r="R211" s="640"/>
      <c r="S211" s="640"/>
      <c r="T211" s="640"/>
      <c r="U211" s="640"/>
      <c r="V211" s="641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39" t="s">
        <v>81</v>
      </c>
      <c r="Q212" s="640"/>
      <c r="R212" s="640"/>
      <c r="S212" s="640"/>
      <c r="T212" s="640"/>
      <c r="U212" s="640"/>
      <c r="V212" s="641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63" t="s">
        <v>245</v>
      </c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3"/>
      <c r="P213" s="653"/>
      <c r="Q213" s="653"/>
      <c r="R213" s="653"/>
      <c r="S213" s="653"/>
      <c r="T213" s="653"/>
      <c r="U213" s="653"/>
      <c r="V213" s="653"/>
      <c r="W213" s="653"/>
      <c r="X213" s="653"/>
      <c r="Y213" s="653"/>
      <c r="Z213" s="653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6">
        <v>4680115880993</v>
      </c>
      <c r="E214" s="647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2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3"/>
      <c r="R214" s="643"/>
      <c r="S214" s="643"/>
      <c r="T214" s="644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6">
        <v>4680115881761</v>
      </c>
      <c r="E215" s="647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3"/>
      <c r="R215" s="643"/>
      <c r="S215" s="643"/>
      <c r="T215" s="644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6">
        <v>4680115881563</v>
      </c>
      <c r="E216" s="647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94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3"/>
      <c r="R216" s="643"/>
      <c r="S216" s="643"/>
      <c r="T216" s="644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364</v>
      </c>
      <c r="B217" s="54" t="s">
        <v>365</v>
      </c>
      <c r="C217" s="31">
        <v>4301031447</v>
      </c>
      <c r="D217" s="646">
        <v>4680115887565</v>
      </c>
      <c r="E217" s="647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3"/>
      <c r="R217" s="643"/>
      <c r="S217" s="643"/>
      <c r="T217" s="644"/>
      <c r="U217" s="34"/>
      <c r="V217" s="34"/>
      <c r="W217" s="35" t="s">
        <v>67</v>
      </c>
      <c r="X217" s="635">
        <v>7</v>
      </c>
      <c r="Y217" s="636">
        <f t="shared" si="26"/>
        <v>7.2</v>
      </c>
      <c r="Z217" s="36">
        <f>IFERROR(IF(Y217=0,"",ROUNDUP(Y217/H217,0)*0.00556),"")</f>
        <v>5.0040000000000001E-2</v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8.1375000000000011</v>
      </c>
      <c r="BN217" s="64">
        <f t="shared" si="28"/>
        <v>8.370000000000001</v>
      </c>
      <c r="BO217" s="64">
        <f t="shared" si="29"/>
        <v>3.7393162393162399E-2</v>
      </c>
      <c r="BP217" s="64">
        <f t="shared" si="30"/>
        <v>3.8461538461538464E-2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6">
        <v>4680115880986</v>
      </c>
      <c r="E218" s="647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9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3"/>
      <c r="R218" s="643"/>
      <c r="S218" s="643"/>
      <c r="T218" s="644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6">
        <v>4680115887213</v>
      </c>
      <c r="E219" s="647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3"/>
      <c r="R219" s="643"/>
      <c r="S219" s="643"/>
      <c r="T219" s="644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6">
        <v>4680115881785</v>
      </c>
      <c r="E220" s="647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3"/>
      <c r="R220" s="643"/>
      <c r="S220" s="643"/>
      <c r="T220" s="644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6">
        <v>4680115888432</v>
      </c>
      <c r="E221" s="647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3"/>
      <c r="R221" s="643"/>
      <c r="S221" s="643"/>
      <c r="T221" s="644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4301031503</v>
      </c>
      <c r="D222" s="646">
        <v>4680115886537</v>
      </c>
      <c r="E222" s="647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3"/>
      <c r="R222" s="643"/>
      <c r="S222" s="643"/>
      <c r="T222" s="644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46">
        <v>4680115887596</v>
      </c>
      <c r="E223" s="647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3"/>
      <c r="R223" s="643"/>
      <c r="S223" s="643"/>
      <c r="T223" s="644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383</v>
      </c>
      <c r="B224" s="54" t="s">
        <v>384</v>
      </c>
      <c r="C224" s="31">
        <v>4301031530</v>
      </c>
      <c r="D224" s="646">
        <v>4680115881679</v>
      </c>
      <c r="E224" s="647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2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3"/>
      <c r="R224" s="643"/>
      <c r="S224" s="643"/>
      <c r="T224" s="644"/>
      <c r="U224" s="34"/>
      <c r="V224" s="34"/>
      <c r="W224" s="35" t="s">
        <v>67</v>
      </c>
      <c r="X224" s="635">
        <v>97</v>
      </c>
      <c r="Y224" s="636">
        <f t="shared" si="26"/>
        <v>98.7</v>
      </c>
      <c r="Z224" s="36">
        <f>IFERROR(IF(Y224=0,"",ROUNDUP(Y224/H224,0)*0.00502),"")</f>
        <v>0.23594000000000001</v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101.61904761904762</v>
      </c>
      <c r="BN224" s="64">
        <f t="shared" si="28"/>
        <v>103.4</v>
      </c>
      <c r="BO224" s="64">
        <f t="shared" si="29"/>
        <v>0.19739519739519742</v>
      </c>
      <c r="BP224" s="64">
        <f t="shared" si="30"/>
        <v>0.20085470085470086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6">
        <v>4680115880191</v>
      </c>
      <c r="E225" s="647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3"/>
      <c r="R225" s="643"/>
      <c r="S225" s="643"/>
      <c r="T225" s="644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6">
        <v>4680115883963</v>
      </c>
      <c r="E226" s="647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3"/>
      <c r="R226" s="643"/>
      <c r="S226" s="643"/>
      <c r="T226" s="644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52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4"/>
      <c r="P227" s="639" t="s">
        <v>81</v>
      </c>
      <c r="Q227" s="640"/>
      <c r="R227" s="640"/>
      <c r="S227" s="640"/>
      <c r="T227" s="640"/>
      <c r="U227" s="640"/>
      <c r="V227" s="641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54.94047619047619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56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0.28598000000000001</v>
      </c>
      <c r="AA227" s="638"/>
      <c r="AB227" s="638"/>
      <c r="AC227" s="638"/>
    </row>
    <row r="228" spans="1:68" x14ac:dyDescent="0.2">
      <c r="A228" s="653"/>
      <c r="B228" s="653"/>
      <c r="C228" s="653"/>
      <c r="D228" s="653"/>
      <c r="E228" s="653"/>
      <c r="F228" s="653"/>
      <c r="G228" s="653"/>
      <c r="H228" s="653"/>
      <c r="I228" s="653"/>
      <c r="J228" s="653"/>
      <c r="K228" s="653"/>
      <c r="L228" s="653"/>
      <c r="M228" s="653"/>
      <c r="N228" s="653"/>
      <c r="O228" s="654"/>
      <c r="P228" s="639" t="s">
        <v>81</v>
      </c>
      <c r="Q228" s="640"/>
      <c r="R228" s="640"/>
      <c r="S228" s="640"/>
      <c r="T228" s="640"/>
      <c r="U228" s="640"/>
      <c r="V228" s="641"/>
      <c r="W228" s="37" t="s">
        <v>67</v>
      </c>
      <c r="X228" s="637">
        <f>IFERROR(SUM(X214:X226),"0")</f>
        <v>104</v>
      </c>
      <c r="Y228" s="637">
        <f>IFERROR(SUM(Y214:Y226),"0")</f>
        <v>105.9</v>
      </c>
      <c r="Z228" s="37"/>
      <c r="AA228" s="638"/>
      <c r="AB228" s="638"/>
      <c r="AC228" s="638"/>
    </row>
    <row r="229" spans="1:68" ht="14.25" hidden="1" customHeight="1" x14ac:dyDescent="0.25">
      <c r="A229" s="663" t="s">
        <v>62</v>
      </c>
      <c r="B229" s="653"/>
      <c r="C229" s="653"/>
      <c r="D229" s="653"/>
      <c r="E229" s="653"/>
      <c r="F229" s="653"/>
      <c r="G229" s="653"/>
      <c r="H229" s="653"/>
      <c r="I229" s="653"/>
      <c r="J229" s="653"/>
      <c r="K229" s="653"/>
      <c r="L229" s="653"/>
      <c r="M229" s="653"/>
      <c r="N229" s="653"/>
      <c r="O229" s="653"/>
      <c r="P229" s="653"/>
      <c r="Q229" s="653"/>
      <c r="R229" s="653"/>
      <c r="S229" s="653"/>
      <c r="T229" s="653"/>
      <c r="U229" s="653"/>
      <c r="V229" s="653"/>
      <c r="W229" s="653"/>
      <c r="X229" s="653"/>
      <c r="Y229" s="653"/>
      <c r="Z229" s="653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6">
        <v>4680115888692</v>
      </c>
      <c r="E230" s="647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3"/>
      <c r="R230" s="643"/>
      <c r="S230" s="643"/>
      <c r="T230" s="644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6">
        <v>4680115888722</v>
      </c>
      <c r="E231" s="647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6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3"/>
      <c r="R231" s="643"/>
      <c r="S231" s="643"/>
      <c r="T231" s="644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6">
        <v>4680115888951</v>
      </c>
      <c r="E232" s="647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6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3"/>
      <c r="R232" s="643"/>
      <c r="S232" s="643"/>
      <c r="T232" s="644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6">
        <v>4680115888975</v>
      </c>
      <c r="E233" s="647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4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3"/>
      <c r="R233" s="643"/>
      <c r="S233" s="643"/>
      <c r="T233" s="644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6">
        <v>4680115888982</v>
      </c>
      <c r="E234" s="647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3"/>
      <c r="R234" s="643"/>
      <c r="S234" s="643"/>
      <c r="T234" s="644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39" t="s">
        <v>81</v>
      </c>
      <c r="Q235" s="640"/>
      <c r="R235" s="640"/>
      <c r="S235" s="640"/>
      <c r="T235" s="640"/>
      <c r="U235" s="640"/>
      <c r="V235" s="641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39" t="s">
        <v>81</v>
      </c>
      <c r="Q236" s="640"/>
      <c r="R236" s="640"/>
      <c r="S236" s="640"/>
      <c r="T236" s="640"/>
      <c r="U236" s="640"/>
      <c r="V236" s="641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63" t="s">
        <v>83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6">
        <v>4680115886780</v>
      </c>
      <c r="E238" s="647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3"/>
      <c r="R238" s="643"/>
      <c r="S238" s="643"/>
      <c r="T238" s="644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46">
        <v>4680115886742</v>
      </c>
      <c r="E239" s="647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3"/>
      <c r="R239" s="643"/>
      <c r="S239" s="643"/>
      <c r="T239" s="644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46">
        <v>4680115886766</v>
      </c>
      <c r="E240" s="647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3"/>
      <c r="R240" s="643"/>
      <c r="S240" s="643"/>
      <c r="T240" s="644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2"/>
      <c r="B241" s="653"/>
      <c r="C241" s="653"/>
      <c r="D241" s="653"/>
      <c r="E241" s="653"/>
      <c r="F241" s="653"/>
      <c r="G241" s="653"/>
      <c r="H241" s="653"/>
      <c r="I241" s="653"/>
      <c r="J241" s="653"/>
      <c r="K241" s="653"/>
      <c r="L241" s="653"/>
      <c r="M241" s="653"/>
      <c r="N241" s="653"/>
      <c r="O241" s="654"/>
      <c r="P241" s="639" t="s">
        <v>81</v>
      </c>
      <c r="Q241" s="640"/>
      <c r="R241" s="640"/>
      <c r="S241" s="640"/>
      <c r="T241" s="640"/>
      <c r="U241" s="640"/>
      <c r="V241" s="641"/>
      <c r="W241" s="37" t="s">
        <v>82</v>
      </c>
      <c r="X241" s="637">
        <f>IFERROR(X238/H238,"0")+IFERROR(X239/H239,"0")+IFERROR(X240/H240,"0")</f>
        <v>0</v>
      </c>
      <c r="Y241" s="637">
        <f>IFERROR(Y238/H238,"0")+IFERROR(Y239/H239,"0")+IFERROR(Y240/H240,"0")</f>
        <v>0</v>
      </c>
      <c r="Z241" s="637">
        <f>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53"/>
      <c r="B242" s="653"/>
      <c r="C242" s="653"/>
      <c r="D242" s="653"/>
      <c r="E242" s="653"/>
      <c r="F242" s="653"/>
      <c r="G242" s="653"/>
      <c r="H242" s="653"/>
      <c r="I242" s="653"/>
      <c r="J242" s="653"/>
      <c r="K242" s="653"/>
      <c r="L242" s="653"/>
      <c r="M242" s="653"/>
      <c r="N242" s="653"/>
      <c r="O242" s="654"/>
      <c r="P242" s="639" t="s">
        <v>81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IFERROR(SUM(X238:X240),"0")</f>
        <v>0</v>
      </c>
      <c r="Y242" s="637">
        <f>IFERROR(SUM(Y238:Y240),"0")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63" t="s">
        <v>411</v>
      </c>
      <c r="B243" s="653"/>
      <c r="C243" s="653"/>
      <c r="D243" s="653"/>
      <c r="E243" s="653"/>
      <c r="F243" s="653"/>
      <c r="G243" s="653"/>
      <c r="H243" s="653"/>
      <c r="I243" s="653"/>
      <c r="J243" s="653"/>
      <c r="K243" s="653"/>
      <c r="L243" s="653"/>
      <c r="M243" s="653"/>
      <c r="N243" s="653"/>
      <c r="O243" s="653"/>
      <c r="P243" s="653"/>
      <c r="Q243" s="653"/>
      <c r="R243" s="653"/>
      <c r="S243" s="653"/>
      <c r="T243" s="653"/>
      <c r="U243" s="653"/>
      <c r="V243" s="653"/>
      <c r="W243" s="653"/>
      <c r="X243" s="653"/>
      <c r="Y243" s="653"/>
      <c r="Z243" s="653"/>
      <c r="AA243" s="631"/>
      <c r="AB243" s="631"/>
      <c r="AC243" s="63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46">
        <v>4680115886797</v>
      </c>
      <c r="E244" s="647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3"/>
      <c r="R244" s="643"/>
      <c r="S244" s="643"/>
      <c r="T244" s="644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52"/>
      <c r="B245" s="653"/>
      <c r="C245" s="653"/>
      <c r="D245" s="653"/>
      <c r="E245" s="653"/>
      <c r="F245" s="653"/>
      <c r="G245" s="653"/>
      <c r="H245" s="653"/>
      <c r="I245" s="653"/>
      <c r="J245" s="653"/>
      <c r="K245" s="653"/>
      <c r="L245" s="653"/>
      <c r="M245" s="653"/>
      <c r="N245" s="653"/>
      <c r="O245" s="654"/>
      <c r="P245" s="639" t="s">
        <v>81</v>
      </c>
      <c r="Q245" s="640"/>
      <c r="R245" s="640"/>
      <c r="S245" s="640"/>
      <c r="T245" s="640"/>
      <c r="U245" s="640"/>
      <c r="V245" s="641"/>
      <c r="W245" s="37" t="s">
        <v>82</v>
      </c>
      <c r="X245" s="637">
        <f>IFERROR(X244/H244,"0")</f>
        <v>0</v>
      </c>
      <c r="Y245" s="637">
        <f>IFERROR(Y244/H244,"0")</f>
        <v>0</v>
      </c>
      <c r="Z245" s="637">
        <f>IFERROR(IF(Z244="",0,Z244),"0")</f>
        <v>0</v>
      </c>
      <c r="AA245" s="638"/>
      <c r="AB245" s="638"/>
      <c r="AC245" s="638"/>
    </row>
    <row r="246" spans="1:68" hidden="1" x14ac:dyDescent="0.2">
      <c r="A246" s="653"/>
      <c r="B246" s="653"/>
      <c r="C246" s="653"/>
      <c r="D246" s="653"/>
      <c r="E246" s="653"/>
      <c r="F246" s="653"/>
      <c r="G246" s="653"/>
      <c r="H246" s="653"/>
      <c r="I246" s="653"/>
      <c r="J246" s="653"/>
      <c r="K246" s="653"/>
      <c r="L246" s="653"/>
      <c r="M246" s="653"/>
      <c r="N246" s="653"/>
      <c r="O246" s="654"/>
      <c r="P246" s="639" t="s">
        <v>81</v>
      </c>
      <c r="Q246" s="640"/>
      <c r="R246" s="640"/>
      <c r="S246" s="640"/>
      <c r="T246" s="640"/>
      <c r="U246" s="640"/>
      <c r="V246" s="641"/>
      <c r="W246" s="37" t="s">
        <v>67</v>
      </c>
      <c r="X246" s="637">
        <f>IFERROR(SUM(X244:X244),"0")</f>
        <v>0</v>
      </c>
      <c r="Y246" s="637">
        <f>IFERROR(SUM(Y244:Y244),"0")</f>
        <v>0</v>
      </c>
      <c r="Z246" s="37"/>
      <c r="AA246" s="638"/>
      <c r="AB246" s="638"/>
      <c r="AC246" s="638"/>
    </row>
    <row r="247" spans="1:68" ht="16.5" hidden="1" customHeight="1" x14ac:dyDescent="0.25">
      <c r="A247" s="658" t="s">
        <v>414</v>
      </c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3"/>
      <c r="P247" s="653"/>
      <c r="Q247" s="653"/>
      <c r="R247" s="653"/>
      <c r="S247" s="653"/>
      <c r="T247" s="653"/>
      <c r="U247" s="653"/>
      <c r="V247" s="653"/>
      <c r="W247" s="653"/>
      <c r="X247" s="653"/>
      <c r="Y247" s="653"/>
      <c r="Z247" s="653"/>
      <c r="AA247" s="630"/>
      <c r="AB247" s="630"/>
      <c r="AC247" s="630"/>
    </row>
    <row r="248" spans="1:68" ht="14.25" hidden="1" customHeight="1" x14ac:dyDescent="0.25">
      <c r="A248" s="663" t="s">
        <v>113</v>
      </c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3"/>
      <c r="P248" s="653"/>
      <c r="Q248" s="653"/>
      <c r="R248" s="653"/>
      <c r="S248" s="653"/>
      <c r="T248" s="653"/>
      <c r="U248" s="653"/>
      <c r="V248" s="653"/>
      <c r="W248" s="653"/>
      <c r="X248" s="653"/>
      <c r="Y248" s="653"/>
      <c r="Z248" s="653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6">
        <v>4680115881402</v>
      </c>
      <c r="E249" s="647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3"/>
      <c r="R249" s="643"/>
      <c r="S249" s="643"/>
      <c r="T249" s="644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6">
        <v>4680115881396</v>
      </c>
      <c r="E250" s="647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3"/>
      <c r="R250" s="643"/>
      <c r="S250" s="643"/>
      <c r="T250" s="644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6">
        <v>4680115889903</v>
      </c>
      <c r="E251" s="647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1" t="s">
        <v>421</v>
      </c>
      <c r="Q251" s="643"/>
      <c r="R251" s="643"/>
      <c r="S251" s="643"/>
      <c r="T251" s="644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2"/>
      <c r="B252" s="653"/>
      <c r="C252" s="653"/>
      <c r="D252" s="653"/>
      <c r="E252" s="653"/>
      <c r="F252" s="653"/>
      <c r="G252" s="653"/>
      <c r="H252" s="653"/>
      <c r="I252" s="653"/>
      <c r="J252" s="653"/>
      <c r="K252" s="653"/>
      <c r="L252" s="653"/>
      <c r="M252" s="653"/>
      <c r="N252" s="653"/>
      <c r="O252" s="654"/>
      <c r="P252" s="639" t="s">
        <v>81</v>
      </c>
      <c r="Q252" s="640"/>
      <c r="R252" s="640"/>
      <c r="S252" s="640"/>
      <c r="T252" s="640"/>
      <c r="U252" s="640"/>
      <c r="V252" s="641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53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39" t="s">
        <v>81</v>
      </c>
      <c r="Q253" s="640"/>
      <c r="R253" s="640"/>
      <c r="S253" s="640"/>
      <c r="T253" s="640"/>
      <c r="U253" s="640"/>
      <c r="V253" s="641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63" t="s">
        <v>150</v>
      </c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3"/>
      <c r="P254" s="653"/>
      <c r="Q254" s="653"/>
      <c r="R254" s="653"/>
      <c r="S254" s="653"/>
      <c r="T254" s="653"/>
      <c r="U254" s="653"/>
      <c r="V254" s="653"/>
      <c r="W254" s="653"/>
      <c r="X254" s="653"/>
      <c r="Y254" s="653"/>
      <c r="Z254" s="653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6">
        <v>4680115882935</v>
      </c>
      <c r="E255" s="647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3"/>
      <c r="R255" s="643"/>
      <c r="S255" s="643"/>
      <c r="T255" s="644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6">
        <v>4680115880764</v>
      </c>
      <c r="E256" s="647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9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3"/>
      <c r="R256" s="643"/>
      <c r="S256" s="643"/>
      <c r="T256" s="644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39" t="s">
        <v>81</v>
      </c>
      <c r="Q257" s="640"/>
      <c r="R257" s="640"/>
      <c r="S257" s="640"/>
      <c r="T257" s="640"/>
      <c r="U257" s="640"/>
      <c r="V257" s="641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39" t="s">
        <v>81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63" t="s">
        <v>245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6">
        <v>4680115882683</v>
      </c>
      <c r="E260" s="647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3"/>
      <c r="R260" s="643"/>
      <c r="S260" s="643"/>
      <c r="T260" s="644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6">
        <v>4680115882690</v>
      </c>
      <c r="E261" s="647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9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3"/>
      <c r="R261" s="643"/>
      <c r="S261" s="643"/>
      <c r="T261" s="644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4301031220</v>
      </c>
      <c r="D262" s="646">
        <v>4680115882669</v>
      </c>
      <c r="E262" s="647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3"/>
      <c r="R262" s="643"/>
      <c r="S262" s="643"/>
      <c r="T262" s="644"/>
      <c r="U262" s="34"/>
      <c r="V262" s="34"/>
      <c r="W262" s="35" t="s">
        <v>67</v>
      </c>
      <c r="X262" s="635">
        <v>0</v>
      </c>
      <c r="Y262" s="636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4301031221</v>
      </c>
      <c r="D263" s="646">
        <v>4680115882676</v>
      </c>
      <c r="E263" s="647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3"/>
      <c r="R263" s="643"/>
      <c r="S263" s="643"/>
      <c r="T263" s="644"/>
      <c r="U263" s="34"/>
      <c r="V263" s="34"/>
      <c r="W263" s="35" t="s">
        <v>67</v>
      </c>
      <c r="X263" s="635">
        <v>0</v>
      </c>
      <c r="Y263" s="636">
        <f t="shared" si="31"/>
        <v>0</v>
      </c>
      <c r="Z263" s="36" t="str">
        <f>IFERROR(IF(Y263=0,"",ROUNDUP(Y263/H263,0)*0.00902),"")</f>
        <v/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4301031223</v>
      </c>
      <c r="D264" s="646">
        <v>4680115884014</v>
      </c>
      <c r="E264" s="647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3"/>
      <c r="R264" s="643"/>
      <c r="S264" s="643"/>
      <c r="T264" s="644"/>
      <c r="U264" s="34"/>
      <c r="V264" s="34"/>
      <c r="W264" s="35" t="s">
        <v>67</v>
      </c>
      <c r="X264" s="635">
        <v>0</v>
      </c>
      <c r="Y264" s="636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4301031222</v>
      </c>
      <c r="D265" s="646">
        <v>4680115884007</v>
      </c>
      <c r="E265" s="647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3"/>
      <c r="R265" s="643"/>
      <c r="S265" s="643"/>
      <c r="T265" s="644"/>
      <c r="U265" s="34"/>
      <c r="V265" s="34"/>
      <c r="W265" s="35" t="s">
        <v>67</v>
      </c>
      <c r="X265" s="635">
        <v>0</v>
      </c>
      <c r="Y265" s="636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6">
        <v>4680115884038</v>
      </c>
      <c r="E266" s="647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3"/>
      <c r="R266" s="643"/>
      <c r="S266" s="643"/>
      <c r="T266" s="644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446</v>
      </c>
      <c r="B267" s="54" t="s">
        <v>447</v>
      </c>
      <c r="C267" s="31">
        <v>4301031225</v>
      </c>
      <c r="D267" s="646">
        <v>4680115884021</v>
      </c>
      <c r="E267" s="647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3"/>
      <c r="R267" s="643"/>
      <c r="S267" s="643"/>
      <c r="T267" s="644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IFERROR(IF(Y267=0,"",ROUNDUP(Y267/H267,0)*0.00502),"")</f>
        <v/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idden="1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39" t="s">
        <v>81</v>
      </c>
      <c r="Q268" s="640"/>
      <c r="R268" s="640"/>
      <c r="S268" s="640"/>
      <c r="T268" s="640"/>
      <c r="U268" s="640"/>
      <c r="V268" s="641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0</v>
      </c>
      <c r="Y268" s="637">
        <f>IFERROR(Y260/H260,"0")+IFERROR(Y261/H261,"0")+IFERROR(Y262/H262,"0")+IFERROR(Y263/H263,"0")+IFERROR(Y264/H264,"0")+IFERROR(Y265/H265,"0")+IFERROR(Y266/H266,"0")+IFERROR(Y267/H267,"0")</f>
        <v>0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38"/>
      <c r="AB268" s="638"/>
      <c r="AC268" s="638"/>
    </row>
    <row r="269" spans="1:68" hidden="1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39" t="s">
        <v>81</v>
      </c>
      <c r="Q269" s="640"/>
      <c r="R269" s="640"/>
      <c r="S269" s="640"/>
      <c r="T269" s="640"/>
      <c r="U269" s="640"/>
      <c r="V269" s="641"/>
      <c r="W269" s="37" t="s">
        <v>67</v>
      </c>
      <c r="X269" s="637">
        <f>IFERROR(SUM(X260:X267),"0")</f>
        <v>0</v>
      </c>
      <c r="Y269" s="637">
        <f>IFERROR(SUM(Y260:Y267),"0")</f>
        <v>0</v>
      </c>
      <c r="Z269" s="37"/>
      <c r="AA269" s="638"/>
      <c r="AB269" s="638"/>
      <c r="AC269" s="638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6">
        <v>4680115889873</v>
      </c>
      <c r="E271" s="647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23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3"/>
      <c r="R271" s="643"/>
      <c r="S271" s="643"/>
      <c r="T271" s="644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6">
        <v>4680115881594</v>
      </c>
      <c r="E272" s="647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3"/>
      <c r="R272" s="643"/>
      <c r="S272" s="643"/>
      <c r="T272" s="644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4301051411</v>
      </c>
      <c r="D273" s="646">
        <v>4680115881617</v>
      </c>
      <c r="E273" s="647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3"/>
      <c r="R273" s="643"/>
      <c r="S273" s="643"/>
      <c r="T273" s="644"/>
      <c r="U273" s="34"/>
      <c r="V273" s="34"/>
      <c r="W273" s="35" t="s">
        <v>67</v>
      </c>
      <c r="X273" s="635">
        <v>212</v>
      </c>
      <c r="Y273" s="636">
        <f t="shared" si="36"/>
        <v>218.7</v>
      </c>
      <c r="Z273" s="36">
        <f>IFERROR(IF(Y273=0,"",ROUNDUP(Y273/H273,0)*0.01898),"")</f>
        <v>0.51246000000000003</v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224.45827160493829</v>
      </c>
      <c r="BN273" s="64">
        <f t="shared" si="38"/>
        <v>231.55200000000002</v>
      </c>
      <c r="BO273" s="64">
        <f t="shared" si="39"/>
        <v>0.40895061728395066</v>
      </c>
      <c r="BP273" s="64">
        <f t="shared" si="40"/>
        <v>0.421875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6">
        <v>4680115880573</v>
      </c>
      <c r="E274" s="647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3"/>
      <c r="R274" s="643"/>
      <c r="S274" s="643"/>
      <c r="T274" s="644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customHeight="1" x14ac:dyDescent="0.25">
      <c r="A275" s="54" t="s">
        <v>459</v>
      </c>
      <c r="B275" s="54" t="s">
        <v>460</v>
      </c>
      <c r="C275" s="31">
        <v>4301051407</v>
      </c>
      <c r="D275" s="646">
        <v>4680115882195</v>
      </c>
      <c r="E275" s="647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3"/>
      <c r="R275" s="643"/>
      <c r="S275" s="643"/>
      <c r="T275" s="644"/>
      <c r="U275" s="34"/>
      <c r="V275" s="34"/>
      <c r="W275" s="35" t="s">
        <v>67</v>
      </c>
      <c r="X275" s="635">
        <v>22</v>
      </c>
      <c r="Y275" s="636">
        <f t="shared" si="36"/>
        <v>24</v>
      </c>
      <c r="Z275" s="36">
        <f>IFERROR(IF(Y275=0,"",ROUNDUP(Y275/H275,0)*0.00651),"")</f>
        <v>6.5100000000000005E-2</v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24.474999999999998</v>
      </c>
      <c r="BN275" s="64">
        <f t="shared" si="38"/>
        <v>26.7</v>
      </c>
      <c r="BO275" s="64">
        <f t="shared" si="39"/>
        <v>5.0366300366300375E-2</v>
      </c>
      <c r="BP275" s="64">
        <f t="shared" si="40"/>
        <v>5.4945054945054951E-2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6">
        <v>4680115882607</v>
      </c>
      <c r="E276" s="647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3"/>
      <c r="R276" s="643"/>
      <c r="S276" s="643"/>
      <c r="T276" s="644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6">
        <v>4680115880092</v>
      </c>
      <c r="E277" s="647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3"/>
      <c r="R277" s="643"/>
      <c r="S277" s="643"/>
      <c r="T277" s="644"/>
      <c r="U277" s="34"/>
      <c r="V277" s="34"/>
      <c r="W277" s="35" t="s">
        <v>67</v>
      </c>
      <c r="X277" s="635">
        <v>246</v>
      </c>
      <c r="Y277" s="636">
        <f t="shared" si="36"/>
        <v>247.2</v>
      </c>
      <c r="Z277" s="36">
        <f>IFERROR(IF(Y277=0,"",ROUNDUP(Y277/H277,0)*0.00651),"")</f>
        <v>0.67053000000000007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271.83000000000004</v>
      </c>
      <c r="BN277" s="64">
        <f t="shared" si="38"/>
        <v>273.15600000000001</v>
      </c>
      <c r="BO277" s="64">
        <f t="shared" si="39"/>
        <v>0.56318681318681318</v>
      </c>
      <c r="BP277" s="64">
        <f t="shared" si="40"/>
        <v>0.56593406593406603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6">
        <v>4680115889064</v>
      </c>
      <c r="E278" s="647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2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3"/>
      <c r="R278" s="643"/>
      <c r="S278" s="643"/>
      <c r="T278" s="644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6">
        <v>4680115880221</v>
      </c>
      <c r="E279" s="647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3"/>
      <c r="R279" s="643"/>
      <c r="S279" s="643"/>
      <c r="T279" s="644"/>
      <c r="U279" s="34"/>
      <c r="V279" s="34"/>
      <c r="W279" s="35" t="s">
        <v>67</v>
      </c>
      <c r="X279" s="635">
        <v>88</v>
      </c>
      <c r="Y279" s="636">
        <f t="shared" si="36"/>
        <v>88.8</v>
      </c>
      <c r="Z279" s="36">
        <f>IFERROR(IF(Y279=0,"",ROUNDUP(Y279/H279,0)*0.00651),"")</f>
        <v>0.24087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97.240000000000009</v>
      </c>
      <c r="BN279" s="64">
        <f t="shared" si="38"/>
        <v>98.124000000000009</v>
      </c>
      <c r="BO279" s="64">
        <f t="shared" si="39"/>
        <v>0.2014652014652015</v>
      </c>
      <c r="BP279" s="64">
        <f t="shared" si="40"/>
        <v>0.20329670329670332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6">
        <v>4680115880504</v>
      </c>
      <c r="E280" s="647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3"/>
      <c r="R280" s="643"/>
      <c r="S280" s="643"/>
      <c r="T280" s="644"/>
      <c r="U280" s="34"/>
      <c r="V280" s="34"/>
      <c r="W280" s="35" t="s">
        <v>67</v>
      </c>
      <c r="X280" s="635">
        <v>38</v>
      </c>
      <c r="Y280" s="636">
        <f t="shared" si="36"/>
        <v>38.4</v>
      </c>
      <c r="Z280" s="36">
        <f>IFERROR(IF(Y280=0,"",ROUNDUP(Y280/H280,0)*0.00651),"")</f>
        <v>0.10416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41.990000000000009</v>
      </c>
      <c r="BN280" s="64">
        <f t="shared" si="38"/>
        <v>42.432000000000002</v>
      </c>
      <c r="BO280" s="64">
        <f t="shared" si="39"/>
        <v>8.6996336996337006E-2</v>
      </c>
      <c r="BP280" s="64">
        <f t="shared" si="40"/>
        <v>8.7912087912087919E-2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4301051410</v>
      </c>
      <c r="D281" s="646">
        <v>4680115882164</v>
      </c>
      <c r="E281" s="647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6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3"/>
      <c r="R281" s="643"/>
      <c r="S281" s="643"/>
      <c r="T281" s="644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6">
        <v>4680115888340</v>
      </c>
      <c r="E282" s="647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3"/>
      <c r="R282" s="643"/>
      <c r="S282" s="643"/>
      <c r="T282" s="644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52"/>
      <c r="B283" s="653"/>
      <c r="C283" s="653"/>
      <c r="D283" s="653"/>
      <c r="E283" s="653"/>
      <c r="F283" s="653"/>
      <c r="G283" s="653"/>
      <c r="H283" s="653"/>
      <c r="I283" s="653"/>
      <c r="J283" s="653"/>
      <c r="K283" s="653"/>
      <c r="L283" s="653"/>
      <c r="M283" s="653"/>
      <c r="N283" s="653"/>
      <c r="O283" s="654"/>
      <c r="P283" s="639" t="s">
        <v>81</v>
      </c>
      <c r="Q283" s="640"/>
      <c r="R283" s="640"/>
      <c r="S283" s="640"/>
      <c r="T283" s="640"/>
      <c r="U283" s="640"/>
      <c r="V283" s="641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190.33950617283952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193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1.5931200000000001</v>
      </c>
      <c r="AA283" s="638"/>
      <c r="AB283" s="638"/>
      <c r="AC283" s="638"/>
    </row>
    <row r="284" spans="1:68" x14ac:dyDescent="0.2">
      <c r="A284" s="653"/>
      <c r="B284" s="653"/>
      <c r="C284" s="653"/>
      <c r="D284" s="653"/>
      <c r="E284" s="653"/>
      <c r="F284" s="653"/>
      <c r="G284" s="653"/>
      <c r="H284" s="653"/>
      <c r="I284" s="653"/>
      <c r="J284" s="653"/>
      <c r="K284" s="653"/>
      <c r="L284" s="653"/>
      <c r="M284" s="653"/>
      <c r="N284" s="653"/>
      <c r="O284" s="654"/>
      <c r="P284" s="639" t="s">
        <v>81</v>
      </c>
      <c r="Q284" s="640"/>
      <c r="R284" s="640"/>
      <c r="S284" s="640"/>
      <c r="T284" s="640"/>
      <c r="U284" s="640"/>
      <c r="V284" s="641"/>
      <c r="W284" s="37" t="s">
        <v>67</v>
      </c>
      <c r="X284" s="637">
        <f>IFERROR(SUM(X271:X282),"0")</f>
        <v>606</v>
      </c>
      <c r="Y284" s="637">
        <f>IFERROR(SUM(Y271:Y282),"0")</f>
        <v>617.09999999999991</v>
      </c>
      <c r="Z284" s="37"/>
      <c r="AA284" s="638"/>
      <c r="AB284" s="638"/>
      <c r="AC284" s="638"/>
    </row>
    <row r="285" spans="1:68" ht="14.25" hidden="1" customHeight="1" x14ac:dyDescent="0.25">
      <c r="A285" s="663" t="s">
        <v>168</v>
      </c>
      <c r="B285" s="653"/>
      <c r="C285" s="653"/>
      <c r="D285" s="653"/>
      <c r="E285" s="653"/>
      <c r="F285" s="653"/>
      <c r="G285" s="653"/>
      <c r="H285" s="653"/>
      <c r="I285" s="653"/>
      <c r="J285" s="653"/>
      <c r="K285" s="653"/>
      <c r="L285" s="653"/>
      <c r="M285" s="653"/>
      <c r="N285" s="653"/>
      <c r="O285" s="653"/>
      <c r="P285" s="653"/>
      <c r="Q285" s="653"/>
      <c r="R285" s="653"/>
      <c r="S285" s="653"/>
      <c r="T285" s="653"/>
      <c r="U285" s="653"/>
      <c r="V285" s="653"/>
      <c r="W285" s="653"/>
      <c r="X285" s="653"/>
      <c r="Y285" s="653"/>
      <c r="Z285" s="653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6">
        <v>4680115880818</v>
      </c>
      <c r="E286" s="647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3"/>
      <c r="R286" s="643"/>
      <c r="S286" s="643"/>
      <c r="T286" s="644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6">
        <v>4680115880801</v>
      </c>
      <c r="E287" s="647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6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3"/>
      <c r="R287" s="643"/>
      <c r="S287" s="643"/>
      <c r="T287" s="644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52"/>
      <c r="B288" s="653"/>
      <c r="C288" s="653"/>
      <c r="D288" s="653"/>
      <c r="E288" s="653"/>
      <c r="F288" s="653"/>
      <c r="G288" s="653"/>
      <c r="H288" s="653"/>
      <c r="I288" s="653"/>
      <c r="J288" s="653"/>
      <c r="K288" s="653"/>
      <c r="L288" s="653"/>
      <c r="M288" s="653"/>
      <c r="N288" s="653"/>
      <c r="O288" s="654"/>
      <c r="P288" s="639" t="s">
        <v>81</v>
      </c>
      <c r="Q288" s="640"/>
      <c r="R288" s="640"/>
      <c r="S288" s="640"/>
      <c r="T288" s="640"/>
      <c r="U288" s="640"/>
      <c r="V288" s="641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53"/>
      <c r="B289" s="653"/>
      <c r="C289" s="653"/>
      <c r="D289" s="653"/>
      <c r="E289" s="653"/>
      <c r="F289" s="653"/>
      <c r="G289" s="653"/>
      <c r="H289" s="653"/>
      <c r="I289" s="653"/>
      <c r="J289" s="653"/>
      <c r="K289" s="653"/>
      <c r="L289" s="653"/>
      <c r="M289" s="653"/>
      <c r="N289" s="653"/>
      <c r="O289" s="654"/>
      <c r="P289" s="639" t="s">
        <v>81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8" t="s">
        <v>485</v>
      </c>
      <c r="B290" s="653"/>
      <c r="C290" s="653"/>
      <c r="D290" s="653"/>
      <c r="E290" s="653"/>
      <c r="F290" s="653"/>
      <c r="G290" s="653"/>
      <c r="H290" s="653"/>
      <c r="I290" s="653"/>
      <c r="J290" s="653"/>
      <c r="K290" s="653"/>
      <c r="L290" s="653"/>
      <c r="M290" s="653"/>
      <c r="N290" s="653"/>
      <c r="O290" s="653"/>
      <c r="P290" s="653"/>
      <c r="Q290" s="653"/>
      <c r="R290" s="653"/>
      <c r="S290" s="653"/>
      <c r="T290" s="653"/>
      <c r="U290" s="653"/>
      <c r="V290" s="653"/>
      <c r="W290" s="653"/>
      <c r="X290" s="653"/>
      <c r="Y290" s="653"/>
      <c r="Z290" s="653"/>
      <c r="AA290" s="630"/>
      <c r="AB290" s="630"/>
      <c r="AC290" s="630"/>
    </row>
    <row r="291" spans="1:68" ht="14.25" hidden="1" customHeight="1" x14ac:dyDescent="0.25">
      <c r="A291" s="663" t="s">
        <v>113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6">
        <v>4680115884137</v>
      </c>
      <c r="E292" s="647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3"/>
      <c r="R292" s="643"/>
      <c r="S292" s="643"/>
      <c r="T292" s="644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6">
        <v>4680115884236</v>
      </c>
      <c r="E293" s="647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3"/>
      <c r="R293" s="643"/>
      <c r="S293" s="643"/>
      <c r="T293" s="644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6">
        <v>4680115884175</v>
      </c>
      <c r="E294" s="647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3"/>
      <c r="R294" s="643"/>
      <c r="S294" s="643"/>
      <c r="T294" s="644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6">
        <v>4680115884144</v>
      </c>
      <c r="E295" s="647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3"/>
      <c r="R295" s="643"/>
      <c r="S295" s="643"/>
      <c r="T295" s="644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6">
        <v>4680115886551</v>
      </c>
      <c r="E296" s="647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3"/>
      <c r="R296" s="643"/>
      <c r="S296" s="643"/>
      <c r="T296" s="644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6">
        <v>4680115887282</v>
      </c>
      <c r="E297" s="647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3"/>
      <c r="R297" s="643"/>
      <c r="S297" s="643"/>
      <c r="T297" s="644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6">
        <v>4680115884205</v>
      </c>
      <c r="E298" s="647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3"/>
      <c r="R298" s="643"/>
      <c r="S298" s="643"/>
      <c r="T298" s="644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39" t="s">
        <v>81</v>
      </c>
      <c r="Q299" s="640"/>
      <c r="R299" s="640"/>
      <c r="S299" s="640"/>
      <c r="T299" s="640"/>
      <c r="U299" s="640"/>
      <c r="V299" s="641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39" t="s">
        <v>81</v>
      </c>
      <c r="Q300" s="640"/>
      <c r="R300" s="640"/>
      <c r="S300" s="640"/>
      <c r="T300" s="640"/>
      <c r="U300" s="640"/>
      <c r="V300" s="641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63" t="s">
        <v>150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6">
        <v>4680115885981</v>
      </c>
      <c r="E302" s="647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3"/>
      <c r="R302" s="643"/>
      <c r="S302" s="643"/>
      <c r="T302" s="644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52"/>
      <c r="B303" s="653"/>
      <c r="C303" s="653"/>
      <c r="D303" s="653"/>
      <c r="E303" s="653"/>
      <c r="F303" s="653"/>
      <c r="G303" s="653"/>
      <c r="H303" s="653"/>
      <c r="I303" s="653"/>
      <c r="J303" s="653"/>
      <c r="K303" s="653"/>
      <c r="L303" s="653"/>
      <c r="M303" s="653"/>
      <c r="N303" s="653"/>
      <c r="O303" s="654"/>
      <c r="P303" s="639" t="s">
        <v>81</v>
      </c>
      <c r="Q303" s="640"/>
      <c r="R303" s="640"/>
      <c r="S303" s="640"/>
      <c r="T303" s="640"/>
      <c r="U303" s="640"/>
      <c r="V303" s="641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53"/>
      <c r="B304" s="653"/>
      <c r="C304" s="653"/>
      <c r="D304" s="653"/>
      <c r="E304" s="653"/>
      <c r="F304" s="653"/>
      <c r="G304" s="653"/>
      <c r="H304" s="653"/>
      <c r="I304" s="653"/>
      <c r="J304" s="653"/>
      <c r="K304" s="653"/>
      <c r="L304" s="653"/>
      <c r="M304" s="653"/>
      <c r="N304" s="653"/>
      <c r="O304" s="654"/>
      <c r="P304" s="639" t="s">
        <v>81</v>
      </c>
      <c r="Q304" s="640"/>
      <c r="R304" s="640"/>
      <c r="S304" s="640"/>
      <c r="T304" s="640"/>
      <c r="U304" s="640"/>
      <c r="V304" s="641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63" t="s">
        <v>507</v>
      </c>
      <c r="B305" s="653"/>
      <c r="C305" s="653"/>
      <c r="D305" s="653"/>
      <c r="E305" s="653"/>
      <c r="F305" s="653"/>
      <c r="G305" s="653"/>
      <c r="H305" s="653"/>
      <c r="I305" s="653"/>
      <c r="J305" s="653"/>
      <c r="K305" s="653"/>
      <c r="L305" s="653"/>
      <c r="M305" s="653"/>
      <c r="N305" s="653"/>
      <c r="O305" s="653"/>
      <c r="P305" s="653"/>
      <c r="Q305" s="653"/>
      <c r="R305" s="653"/>
      <c r="S305" s="653"/>
      <c r="T305" s="653"/>
      <c r="U305" s="653"/>
      <c r="V305" s="653"/>
      <c r="W305" s="653"/>
      <c r="X305" s="653"/>
      <c r="Y305" s="653"/>
      <c r="Z305" s="653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6">
        <v>4680115886803</v>
      </c>
      <c r="E306" s="647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3"/>
      <c r="R306" s="643"/>
      <c r="S306" s="643"/>
      <c r="T306" s="644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52"/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4"/>
      <c r="P307" s="639" t="s">
        <v>81</v>
      </c>
      <c r="Q307" s="640"/>
      <c r="R307" s="640"/>
      <c r="S307" s="640"/>
      <c r="T307" s="640"/>
      <c r="U307" s="640"/>
      <c r="V307" s="641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53"/>
      <c r="B308" s="653"/>
      <c r="C308" s="653"/>
      <c r="D308" s="653"/>
      <c r="E308" s="653"/>
      <c r="F308" s="653"/>
      <c r="G308" s="653"/>
      <c r="H308" s="653"/>
      <c r="I308" s="653"/>
      <c r="J308" s="653"/>
      <c r="K308" s="653"/>
      <c r="L308" s="653"/>
      <c r="M308" s="653"/>
      <c r="N308" s="653"/>
      <c r="O308" s="654"/>
      <c r="P308" s="639" t="s">
        <v>81</v>
      </c>
      <c r="Q308" s="640"/>
      <c r="R308" s="640"/>
      <c r="S308" s="640"/>
      <c r="T308" s="640"/>
      <c r="U308" s="640"/>
      <c r="V308" s="641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63" t="s">
        <v>325</v>
      </c>
      <c r="B309" s="653"/>
      <c r="C309" s="653"/>
      <c r="D309" s="653"/>
      <c r="E309" s="653"/>
      <c r="F309" s="653"/>
      <c r="G309" s="653"/>
      <c r="H309" s="653"/>
      <c r="I309" s="653"/>
      <c r="J309" s="653"/>
      <c r="K309" s="653"/>
      <c r="L309" s="653"/>
      <c r="M309" s="653"/>
      <c r="N309" s="653"/>
      <c r="O309" s="653"/>
      <c r="P309" s="653"/>
      <c r="Q309" s="653"/>
      <c r="R309" s="653"/>
      <c r="S309" s="653"/>
      <c r="T309" s="653"/>
      <c r="U309" s="653"/>
      <c r="V309" s="653"/>
      <c r="W309" s="653"/>
      <c r="X309" s="653"/>
      <c r="Y309" s="653"/>
      <c r="Z309" s="653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6">
        <v>4680115886681</v>
      </c>
      <c r="E310" s="647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3"/>
      <c r="R310" s="643"/>
      <c r="S310" s="643"/>
      <c r="T310" s="644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6">
        <v>4680115886735</v>
      </c>
      <c r="E311" s="647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3"/>
      <c r="R311" s="643"/>
      <c r="S311" s="643"/>
      <c r="T311" s="644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6">
        <v>4680115886728</v>
      </c>
      <c r="E312" s="647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3"/>
      <c r="R312" s="643"/>
      <c r="S312" s="643"/>
      <c r="T312" s="644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6">
        <v>4680115886711</v>
      </c>
      <c r="E313" s="647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9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3"/>
      <c r="R313" s="643"/>
      <c r="S313" s="643"/>
      <c r="T313" s="644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39" t="s">
        <v>81</v>
      </c>
      <c r="Q314" s="640"/>
      <c r="R314" s="640"/>
      <c r="S314" s="640"/>
      <c r="T314" s="640"/>
      <c r="U314" s="640"/>
      <c r="V314" s="641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39" t="s">
        <v>81</v>
      </c>
      <c r="Q315" s="640"/>
      <c r="R315" s="640"/>
      <c r="S315" s="640"/>
      <c r="T315" s="640"/>
      <c r="U315" s="640"/>
      <c r="V315" s="641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8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0"/>
      <c r="AB316" s="630"/>
      <c r="AC316" s="630"/>
    </row>
    <row r="317" spans="1:68" ht="14.25" hidden="1" customHeight="1" x14ac:dyDescent="0.25">
      <c r="A317" s="663" t="s">
        <v>113</v>
      </c>
      <c r="B317" s="653"/>
      <c r="C317" s="653"/>
      <c r="D317" s="653"/>
      <c r="E317" s="653"/>
      <c r="F317" s="653"/>
      <c r="G317" s="653"/>
      <c r="H317" s="653"/>
      <c r="I317" s="653"/>
      <c r="J317" s="653"/>
      <c r="K317" s="653"/>
      <c r="L317" s="653"/>
      <c r="M317" s="653"/>
      <c r="N317" s="653"/>
      <c r="O317" s="653"/>
      <c r="P317" s="653"/>
      <c r="Q317" s="653"/>
      <c r="R317" s="653"/>
      <c r="S317" s="653"/>
      <c r="T317" s="653"/>
      <c r="U317" s="653"/>
      <c r="V317" s="653"/>
      <c r="W317" s="653"/>
      <c r="X317" s="653"/>
      <c r="Y317" s="653"/>
      <c r="Z317" s="653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6">
        <v>4680115889507</v>
      </c>
      <c r="E318" s="647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942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3"/>
      <c r="R318" s="643"/>
      <c r="S318" s="643"/>
      <c r="T318" s="644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6">
        <v>4680115885837</v>
      </c>
      <c r="E319" s="647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3"/>
      <c r="R319" s="643"/>
      <c r="S319" s="643"/>
      <c r="T319" s="644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6">
        <v>4680115887077</v>
      </c>
      <c r="E320" s="647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3"/>
      <c r="R320" s="643"/>
      <c r="S320" s="643"/>
      <c r="T320" s="644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6">
        <v>4680115889637</v>
      </c>
      <c r="E321" s="647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3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3"/>
      <c r="R321" s="643"/>
      <c r="S321" s="643"/>
      <c r="T321" s="644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6">
        <v>4680115887237</v>
      </c>
      <c r="E322" s="647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2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3"/>
      <c r="R322" s="643"/>
      <c r="S322" s="643"/>
      <c r="T322" s="644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6">
        <v>4680115885806</v>
      </c>
      <c r="E323" s="647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3"/>
      <c r="R323" s="643"/>
      <c r="S323" s="643"/>
      <c r="T323" s="644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6">
        <v>4680115885844</v>
      </c>
      <c r="E324" s="647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3"/>
      <c r="R324" s="643"/>
      <c r="S324" s="643"/>
      <c r="T324" s="644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6">
        <v>4680115885820</v>
      </c>
      <c r="E325" s="647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3"/>
      <c r="R325" s="643"/>
      <c r="S325" s="643"/>
      <c r="T325" s="644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52"/>
      <c r="B326" s="653"/>
      <c r="C326" s="653"/>
      <c r="D326" s="653"/>
      <c r="E326" s="653"/>
      <c r="F326" s="653"/>
      <c r="G326" s="653"/>
      <c r="H326" s="653"/>
      <c r="I326" s="653"/>
      <c r="J326" s="653"/>
      <c r="K326" s="653"/>
      <c r="L326" s="653"/>
      <c r="M326" s="653"/>
      <c r="N326" s="653"/>
      <c r="O326" s="654"/>
      <c r="P326" s="639" t="s">
        <v>81</v>
      </c>
      <c r="Q326" s="640"/>
      <c r="R326" s="640"/>
      <c r="S326" s="640"/>
      <c r="T326" s="640"/>
      <c r="U326" s="640"/>
      <c r="V326" s="641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53"/>
      <c r="B327" s="653"/>
      <c r="C327" s="653"/>
      <c r="D327" s="653"/>
      <c r="E327" s="653"/>
      <c r="F327" s="653"/>
      <c r="G327" s="653"/>
      <c r="H327" s="653"/>
      <c r="I327" s="653"/>
      <c r="J327" s="653"/>
      <c r="K327" s="653"/>
      <c r="L327" s="653"/>
      <c r="M327" s="653"/>
      <c r="N327" s="653"/>
      <c r="O327" s="654"/>
      <c r="P327" s="639" t="s">
        <v>81</v>
      </c>
      <c r="Q327" s="640"/>
      <c r="R327" s="640"/>
      <c r="S327" s="640"/>
      <c r="T327" s="640"/>
      <c r="U327" s="640"/>
      <c r="V327" s="641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8" t="s">
        <v>545</v>
      </c>
      <c r="B328" s="653"/>
      <c r="C328" s="653"/>
      <c r="D328" s="653"/>
      <c r="E328" s="653"/>
      <c r="F328" s="653"/>
      <c r="G328" s="653"/>
      <c r="H328" s="653"/>
      <c r="I328" s="653"/>
      <c r="J328" s="653"/>
      <c r="K328" s="653"/>
      <c r="L328" s="653"/>
      <c r="M328" s="653"/>
      <c r="N328" s="653"/>
      <c r="O328" s="653"/>
      <c r="P328" s="653"/>
      <c r="Q328" s="653"/>
      <c r="R328" s="653"/>
      <c r="S328" s="653"/>
      <c r="T328" s="653"/>
      <c r="U328" s="653"/>
      <c r="V328" s="653"/>
      <c r="W328" s="653"/>
      <c r="X328" s="653"/>
      <c r="Y328" s="653"/>
      <c r="Z328" s="653"/>
      <c r="AA328" s="630"/>
      <c r="AB328" s="630"/>
      <c r="AC328" s="630"/>
    </row>
    <row r="329" spans="1:68" ht="14.25" hidden="1" customHeight="1" x14ac:dyDescent="0.25">
      <c r="A329" s="663" t="s">
        <v>62</v>
      </c>
      <c r="B329" s="653"/>
      <c r="C329" s="653"/>
      <c r="D329" s="653"/>
      <c r="E329" s="653"/>
      <c r="F329" s="653"/>
      <c r="G329" s="653"/>
      <c r="H329" s="653"/>
      <c r="I329" s="653"/>
      <c r="J329" s="653"/>
      <c r="K329" s="653"/>
      <c r="L329" s="653"/>
      <c r="M329" s="653"/>
      <c r="N329" s="653"/>
      <c r="O329" s="653"/>
      <c r="P329" s="653"/>
      <c r="Q329" s="653"/>
      <c r="R329" s="653"/>
      <c r="S329" s="653"/>
      <c r="T329" s="653"/>
      <c r="U329" s="653"/>
      <c r="V329" s="653"/>
      <c r="W329" s="653"/>
      <c r="X329" s="653"/>
      <c r="Y329" s="653"/>
      <c r="Z329" s="653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6">
        <v>4680115886186</v>
      </c>
      <c r="E330" s="647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6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3"/>
      <c r="R330" s="643"/>
      <c r="S330" s="643"/>
      <c r="T330" s="644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549</v>
      </c>
      <c r="B331" s="54" t="s">
        <v>550</v>
      </c>
      <c r="C331" s="31">
        <v>4301051795</v>
      </c>
      <c r="D331" s="646">
        <v>4680115881228</v>
      </c>
      <c r="E331" s="647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80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3"/>
      <c r="R331" s="643"/>
      <c r="S331" s="643"/>
      <c r="T331" s="644"/>
      <c r="U331" s="34"/>
      <c r="V331" s="34"/>
      <c r="W331" s="35" t="s">
        <v>67</v>
      </c>
      <c r="X331" s="635">
        <v>99</v>
      </c>
      <c r="Y331" s="636">
        <f>IFERROR(IF(X331="",0,CEILING((X331/$H331),1)*$H331),"")</f>
        <v>100.8</v>
      </c>
      <c r="Z331" s="36">
        <f>IFERROR(IF(Y331=0,"",ROUNDUP(Y331/H331,0)*0.00651),"")</f>
        <v>0.27342</v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109.39500000000001</v>
      </c>
      <c r="BN331" s="64">
        <f>IFERROR(Y331*I331/H331,"0")</f>
        <v>111.384</v>
      </c>
      <c r="BO331" s="64">
        <f>IFERROR(1/J331*(X331/H331),"0")</f>
        <v>0.22664835164835168</v>
      </c>
      <c r="BP331" s="64">
        <f>IFERROR(1/J331*(Y331/H331),"0")</f>
        <v>0.23076923076923078</v>
      </c>
    </row>
    <row r="332" spans="1:68" ht="27" hidden="1" customHeight="1" x14ac:dyDescent="0.25">
      <c r="A332" s="54" t="s">
        <v>552</v>
      </c>
      <c r="B332" s="54" t="s">
        <v>553</v>
      </c>
      <c r="C332" s="31">
        <v>4301051388</v>
      </c>
      <c r="D332" s="646">
        <v>4680115881211</v>
      </c>
      <c r="E332" s="647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3"/>
      <c r="R332" s="643"/>
      <c r="S332" s="643"/>
      <c r="T332" s="644"/>
      <c r="U332" s="34"/>
      <c r="V332" s="34"/>
      <c r="W332" s="35" t="s">
        <v>67</v>
      </c>
      <c r="X332" s="635">
        <v>0</v>
      </c>
      <c r="Y332" s="63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52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39" t="s">
        <v>81</v>
      </c>
      <c r="Q333" s="640"/>
      <c r="R333" s="640"/>
      <c r="S333" s="640"/>
      <c r="T333" s="640"/>
      <c r="U333" s="640"/>
      <c r="V333" s="641"/>
      <c r="W333" s="37" t="s">
        <v>82</v>
      </c>
      <c r="X333" s="637">
        <f>IFERROR(X330/H330,"0")+IFERROR(X331/H331,"0")+IFERROR(X332/H332,"0")</f>
        <v>41.25</v>
      </c>
      <c r="Y333" s="637">
        <f>IFERROR(Y330/H330,"0")+IFERROR(Y331/H331,"0")+IFERROR(Y332/H332,"0")</f>
        <v>42</v>
      </c>
      <c r="Z333" s="637">
        <f>IFERROR(IF(Z330="",0,Z330),"0")+IFERROR(IF(Z331="",0,Z331),"0")+IFERROR(IF(Z332="",0,Z332),"0")</f>
        <v>0.27342</v>
      </c>
      <c r="AA333" s="638"/>
      <c r="AB333" s="638"/>
      <c r="AC333" s="638"/>
    </row>
    <row r="334" spans="1:68" x14ac:dyDescent="0.2">
      <c r="A334" s="653"/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4"/>
      <c r="P334" s="639" t="s">
        <v>81</v>
      </c>
      <c r="Q334" s="640"/>
      <c r="R334" s="640"/>
      <c r="S334" s="640"/>
      <c r="T334" s="640"/>
      <c r="U334" s="640"/>
      <c r="V334" s="641"/>
      <c r="W334" s="37" t="s">
        <v>67</v>
      </c>
      <c r="X334" s="637">
        <f>IFERROR(SUM(X330:X332),"0")</f>
        <v>99</v>
      </c>
      <c r="Y334" s="637">
        <f>IFERROR(SUM(Y330:Y332),"0")</f>
        <v>100.8</v>
      </c>
      <c r="Z334" s="37"/>
      <c r="AA334" s="638"/>
      <c r="AB334" s="638"/>
      <c r="AC334" s="638"/>
    </row>
    <row r="335" spans="1:68" ht="16.5" hidden="1" customHeight="1" x14ac:dyDescent="0.25">
      <c r="A335" s="658" t="s">
        <v>554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0"/>
      <c r="AB335" s="630"/>
      <c r="AC335" s="630"/>
    </row>
    <row r="336" spans="1:68" ht="14.25" hidden="1" customHeight="1" x14ac:dyDescent="0.25">
      <c r="A336" s="663" t="s">
        <v>245</v>
      </c>
      <c r="B336" s="653"/>
      <c r="C336" s="653"/>
      <c r="D336" s="653"/>
      <c r="E336" s="653"/>
      <c r="F336" s="653"/>
      <c r="G336" s="653"/>
      <c r="H336" s="653"/>
      <c r="I336" s="653"/>
      <c r="J336" s="653"/>
      <c r="K336" s="653"/>
      <c r="L336" s="653"/>
      <c r="M336" s="653"/>
      <c r="N336" s="653"/>
      <c r="O336" s="653"/>
      <c r="P336" s="653"/>
      <c r="Q336" s="653"/>
      <c r="R336" s="653"/>
      <c r="S336" s="653"/>
      <c r="T336" s="653"/>
      <c r="U336" s="653"/>
      <c r="V336" s="653"/>
      <c r="W336" s="653"/>
      <c r="X336" s="653"/>
      <c r="Y336" s="653"/>
      <c r="Z336" s="653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6">
        <v>4680115888319</v>
      </c>
      <c r="E337" s="647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4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3"/>
      <c r="R337" s="643"/>
      <c r="S337" s="643"/>
      <c r="T337" s="644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6">
        <v>4680115884700</v>
      </c>
      <c r="E338" s="647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9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3"/>
      <c r="R338" s="643"/>
      <c r="S338" s="643"/>
      <c r="T338" s="644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6">
        <v>4680115880344</v>
      </c>
      <c r="E339" s="647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3"/>
      <c r="R339" s="643"/>
      <c r="S339" s="643"/>
      <c r="T339" s="644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6">
        <v>4680115886919</v>
      </c>
      <c r="E340" s="647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3"/>
      <c r="R340" s="643"/>
      <c r="S340" s="643"/>
      <c r="T340" s="644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2"/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4"/>
      <c r="P341" s="639" t="s">
        <v>81</v>
      </c>
      <c r="Q341" s="640"/>
      <c r="R341" s="640"/>
      <c r="S341" s="640"/>
      <c r="T341" s="640"/>
      <c r="U341" s="640"/>
      <c r="V341" s="641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53"/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4"/>
      <c r="P342" s="639" t="s">
        <v>81</v>
      </c>
      <c r="Q342" s="640"/>
      <c r="R342" s="640"/>
      <c r="S342" s="640"/>
      <c r="T342" s="640"/>
      <c r="U342" s="640"/>
      <c r="V342" s="641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3"/>
      <c r="C343" s="653"/>
      <c r="D343" s="653"/>
      <c r="E343" s="653"/>
      <c r="F343" s="653"/>
      <c r="G343" s="653"/>
      <c r="H343" s="653"/>
      <c r="I343" s="653"/>
      <c r="J343" s="653"/>
      <c r="K343" s="653"/>
      <c r="L343" s="653"/>
      <c r="M343" s="653"/>
      <c r="N343" s="653"/>
      <c r="O343" s="653"/>
      <c r="P343" s="653"/>
      <c r="Q343" s="653"/>
      <c r="R343" s="653"/>
      <c r="S343" s="653"/>
      <c r="T343" s="653"/>
      <c r="U343" s="653"/>
      <c r="V343" s="653"/>
      <c r="W343" s="653"/>
      <c r="X343" s="653"/>
      <c r="Y343" s="653"/>
      <c r="Z343" s="653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6">
        <v>4680115884618</v>
      </c>
      <c r="E344" s="647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3"/>
      <c r="R344" s="643"/>
      <c r="S344" s="643"/>
      <c r="T344" s="644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6">
        <v>4680115887114</v>
      </c>
      <c r="E345" s="647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3"/>
      <c r="R345" s="643"/>
      <c r="S345" s="643"/>
      <c r="T345" s="644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6">
        <v>4680115887466</v>
      </c>
      <c r="E346" s="647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3"/>
      <c r="R346" s="643"/>
      <c r="S346" s="643"/>
      <c r="T346" s="644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2"/>
      <c r="B347" s="653"/>
      <c r="C347" s="653"/>
      <c r="D347" s="653"/>
      <c r="E347" s="653"/>
      <c r="F347" s="653"/>
      <c r="G347" s="653"/>
      <c r="H347" s="653"/>
      <c r="I347" s="653"/>
      <c r="J347" s="653"/>
      <c r="K347" s="653"/>
      <c r="L347" s="653"/>
      <c r="M347" s="653"/>
      <c r="N347" s="653"/>
      <c r="O347" s="654"/>
      <c r="P347" s="639" t="s">
        <v>81</v>
      </c>
      <c r="Q347" s="640"/>
      <c r="R347" s="640"/>
      <c r="S347" s="640"/>
      <c r="T347" s="640"/>
      <c r="U347" s="640"/>
      <c r="V347" s="641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53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39" t="s">
        <v>81</v>
      </c>
      <c r="Q348" s="640"/>
      <c r="R348" s="640"/>
      <c r="S348" s="640"/>
      <c r="T348" s="640"/>
      <c r="U348" s="640"/>
      <c r="V348" s="641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8" t="s">
        <v>576</v>
      </c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3"/>
      <c r="P349" s="653"/>
      <c r="Q349" s="653"/>
      <c r="R349" s="653"/>
      <c r="S349" s="653"/>
      <c r="T349" s="653"/>
      <c r="U349" s="653"/>
      <c r="V349" s="653"/>
      <c r="W349" s="653"/>
      <c r="X349" s="653"/>
      <c r="Y349" s="653"/>
      <c r="Z349" s="653"/>
      <c r="AA349" s="630"/>
      <c r="AB349" s="630"/>
      <c r="AC349" s="630"/>
    </row>
    <row r="350" spans="1:68" ht="14.25" hidden="1" customHeight="1" x14ac:dyDescent="0.25">
      <c r="A350" s="663" t="s">
        <v>245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6">
        <v>4680115886001</v>
      </c>
      <c r="E351" s="647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3"/>
      <c r="R351" s="643"/>
      <c r="S351" s="643"/>
      <c r="T351" s="644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2"/>
      <c r="B352" s="653"/>
      <c r="C352" s="653"/>
      <c r="D352" s="653"/>
      <c r="E352" s="653"/>
      <c r="F352" s="653"/>
      <c r="G352" s="653"/>
      <c r="H352" s="653"/>
      <c r="I352" s="653"/>
      <c r="J352" s="653"/>
      <c r="K352" s="653"/>
      <c r="L352" s="653"/>
      <c r="M352" s="653"/>
      <c r="N352" s="653"/>
      <c r="O352" s="654"/>
      <c r="P352" s="639" t="s">
        <v>81</v>
      </c>
      <c r="Q352" s="640"/>
      <c r="R352" s="640"/>
      <c r="S352" s="640"/>
      <c r="T352" s="640"/>
      <c r="U352" s="640"/>
      <c r="V352" s="641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53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39" t="s">
        <v>81</v>
      </c>
      <c r="Q353" s="640"/>
      <c r="R353" s="640"/>
      <c r="S353" s="640"/>
      <c r="T353" s="640"/>
      <c r="U353" s="640"/>
      <c r="V353" s="641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63" t="s">
        <v>62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6">
        <v>4680115886087</v>
      </c>
      <c r="E355" s="647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3"/>
      <c r="R355" s="643"/>
      <c r="S355" s="643"/>
      <c r="T355" s="644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2"/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4"/>
      <c r="P356" s="639" t="s">
        <v>81</v>
      </c>
      <c r="Q356" s="640"/>
      <c r="R356" s="640"/>
      <c r="S356" s="640"/>
      <c r="T356" s="640"/>
      <c r="U356" s="640"/>
      <c r="V356" s="641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53"/>
      <c r="B357" s="653"/>
      <c r="C357" s="653"/>
      <c r="D357" s="653"/>
      <c r="E357" s="653"/>
      <c r="F357" s="653"/>
      <c r="G357" s="653"/>
      <c r="H357" s="653"/>
      <c r="I357" s="653"/>
      <c r="J357" s="653"/>
      <c r="K357" s="653"/>
      <c r="L357" s="653"/>
      <c r="M357" s="653"/>
      <c r="N357" s="653"/>
      <c r="O357" s="654"/>
      <c r="P357" s="639" t="s">
        <v>81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8" t="s">
        <v>583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30"/>
      <c r="AB358" s="630"/>
      <c r="AC358" s="630"/>
    </row>
    <row r="359" spans="1:68" ht="14.25" hidden="1" customHeight="1" x14ac:dyDescent="0.25">
      <c r="A359" s="663" t="s">
        <v>113</v>
      </c>
      <c r="B359" s="653"/>
      <c r="C359" s="653"/>
      <c r="D359" s="653"/>
      <c r="E359" s="653"/>
      <c r="F359" s="653"/>
      <c r="G359" s="653"/>
      <c r="H359" s="653"/>
      <c r="I359" s="653"/>
      <c r="J359" s="653"/>
      <c r="K359" s="653"/>
      <c r="L359" s="653"/>
      <c r="M359" s="653"/>
      <c r="N359" s="653"/>
      <c r="O359" s="653"/>
      <c r="P359" s="653"/>
      <c r="Q359" s="653"/>
      <c r="R359" s="653"/>
      <c r="S359" s="653"/>
      <c r="T359" s="653"/>
      <c r="U359" s="653"/>
      <c r="V359" s="653"/>
      <c r="W359" s="653"/>
      <c r="X359" s="653"/>
      <c r="Y359" s="653"/>
      <c r="Z359" s="653"/>
      <c r="AA359" s="631"/>
      <c r="AB359" s="631"/>
      <c r="AC359" s="631"/>
    </row>
    <row r="360" spans="1:68" ht="27" hidden="1" customHeight="1" x14ac:dyDescent="0.25">
      <c r="A360" s="54" t="s">
        <v>584</v>
      </c>
      <c r="B360" s="54" t="s">
        <v>585</v>
      </c>
      <c r="C360" s="31">
        <v>4301012324</v>
      </c>
      <c r="D360" s="646">
        <v>4680115887947</v>
      </c>
      <c r="E360" s="647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9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3"/>
      <c r="R360" s="643"/>
      <c r="S360" s="643"/>
      <c r="T360" s="644"/>
      <c r="U360" s="34"/>
      <c r="V360" s="34"/>
      <c r="W360" s="35" t="s">
        <v>67</v>
      </c>
      <c r="X360" s="635">
        <v>0</v>
      </c>
      <c r="Y360" s="63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586</v>
      </c>
      <c r="B361" s="54" t="s">
        <v>587</v>
      </c>
      <c r="C361" s="31">
        <v>4301012325</v>
      </c>
      <c r="D361" s="646">
        <v>4680115887978</v>
      </c>
      <c r="E361" s="647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3"/>
      <c r="R361" s="643"/>
      <c r="S361" s="643"/>
      <c r="T361" s="644"/>
      <c r="U361" s="34"/>
      <c r="V361" s="34"/>
      <c r="W361" s="35" t="s">
        <v>67</v>
      </c>
      <c r="X361" s="635">
        <v>66</v>
      </c>
      <c r="Y361" s="636">
        <f>IFERROR(IF(X361="",0,CEILING((X361/$H361),1)*$H361),"")</f>
        <v>70.2</v>
      </c>
      <c r="Z361" s="36">
        <f>IFERROR(IF(Y361=0,"",ROUNDUP(Y361/H361,0)*0.01898),"")</f>
        <v>0.17082</v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69.469230769230776</v>
      </c>
      <c r="BN361" s="64">
        <f>IFERROR(Y361*I361/H361,"0")</f>
        <v>73.890000000000015</v>
      </c>
      <c r="BO361" s="64">
        <f>IFERROR(1/J361*(X361/H361),"0")</f>
        <v>0.13221153846153846</v>
      </c>
      <c r="BP361" s="64">
        <f>IFERROR(1/J361*(Y361/H361),"0")</f>
        <v>0.140625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6">
        <v>4680115887992</v>
      </c>
      <c r="E362" s="647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3"/>
      <c r="R362" s="643"/>
      <c r="S362" s="643"/>
      <c r="T362" s="644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652"/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4"/>
      <c r="P363" s="639" t="s">
        <v>81</v>
      </c>
      <c r="Q363" s="640"/>
      <c r="R363" s="640"/>
      <c r="S363" s="640"/>
      <c r="T363" s="640"/>
      <c r="U363" s="640"/>
      <c r="V363" s="641"/>
      <c r="W363" s="37" t="s">
        <v>82</v>
      </c>
      <c r="X363" s="637">
        <f>IFERROR(X360/H360,"0")+IFERROR(X361/H361,"0")+IFERROR(X362/H362,"0")</f>
        <v>8.4615384615384617</v>
      </c>
      <c r="Y363" s="637">
        <f>IFERROR(Y360/H360,"0")+IFERROR(Y361/H361,"0")+IFERROR(Y362/H362,"0")</f>
        <v>9</v>
      </c>
      <c r="Z363" s="637">
        <f>IFERROR(IF(Z360="",0,Z360),"0")+IFERROR(IF(Z361="",0,Z361),"0")+IFERROR(IF(Z362="",0,Z362),"0")</f>
        <v>0.17082</v>
      </c>
      <c r="AA363" s="638"/>
      <c r="AB363" s="638"/>
      <c r="AC363" s="638"/>
    </row>
    <row r="364" spans="1:68" x14ac:dyDescent="0.2">
      <c r="A364" s="653"/>
      <c r="B364" s="653"/>
      <c r="C364" s="653"/>
      <c r="D364" s="653"/>
      <c r="E364" s="653"/>
      <c r="F364" s="653"/>
      <c r="G364" s="653"/>
      <c r="H364" s="653"/>
      <c r="I364" s="653"/>
      <c r="J364" s="653"/>
      <c r="K364" s="653"/>
      <c r="L364" s="653"/>
      <c r="M364" s="653"/>
      <c r="N364" s="653"/>
      <c r="O364" s="654"/>
      <c r="P364" s="639" t="s">
        <v>81</v>
      </c>
      <c r="Q364" s="640"/>
      <c r="R364" s="640"/>
      <c r="S364" s="640"/>
      <c r="T364" s="640"/>
      <c r="U364" s="640"/>
      <c r="V364" s="641"/>
      <c r="W364" s="37" t="s">
        <v>67</v>
      </c>
      <c r="X364" s="637">
        <f>IFERROR(SUM(X360:X362),"0")</f>
        <v>66</v>
      </c>
      <c r="Y364" s="637">
        <f>IFERROR(SUM(Y360:Y362),"0")</f>
        <v>70.2</v>
      </c>
      <c r="Z364" s="37"/>
      <c r="AA364" s="638"/>
      <c r="AB364" s="638"/>
      <c r="AC364" s="638"/>
    </row>
    <row r="365" spans="1:68" ht="16.5" hidden="1" customHeight="1" x14ac:dyDescent="0.25">
      <c r="A365" s="658" t="s">
        <v>592</v>
      </c>
      <c r="B365" s="653"/>
      <c r="C365" s="653"/>
      <c r="D365" s="653"/>
      <c r="E365" s="653"/>
      <c r="F365" s="653"/>
      <c r="G365" s="653"/>
      <c r="H365" s="653"/>
      <c r="I365" s="653"/>
      <c r="J365" s="653"/>
      <c r="K365" s="653"/>
      <c r="L365" s="653"/>
      <c r="M365" s="653"/>
      <c r="N365" s="653"/>
      <c r="O365" s="653"/>
      <c r="P365" s="653"/>
      <c r="Q365" s="653"/>
      <c r="R365" s="653"/>
      <c r="S365" s="653"/>
      <c r="T365" s="653"/>
      <c r="U365" s="653"/>
      <c r="V365" s="653"/>
      <c r="W365" s="653"/>
      <c r="X365" s="653"/>
      <c r="Y365" s="653"/>
      <c r="Z365" s="653"/>
      <c r="AA365" s="630"/>
      <c r="AB365" s="630"/>
      <c r="AC365" s="630"/>
    </row>
    <row r="366" spans="1:68" ht="14.25" hidden="1" customHeight="1" x14ac:dyDescent="0.25">
      <c r="A366" s="663" t="s">
        <v>113</v>
      </c>
      <c r="B366" s="653"/>
      <c r="C366" s="653"/>
      <c r="D366" s="653"/>
      <c r="E366" s="653"/>
      <c r="F366" s="653"/>
      <c r="G366" s="653"/>
      <c r="H366" s="653"/>
      <c r="I366" s="653"/>
      <c r="J366" s="653"/>
      <c r="K366" s="653"/>
      <c r="L366" s="653"/>
      <c r="M366" s="653"/>
      <c r="N366" s="653"/>
      <c r="O366" s="653"/>
      <c r="P366" s="653"/>
      <c r="Q366" s="653"/>
      <c r="R366" s="653"/>
      <c r="S366" s="653"/>
      <c r="T366" s="653"/>
      <c r="U366" s="653"/>
      <c r="V366" s="653"/>
      <c r="W366" s="653"/>
      <c r="X366" s="653"/>
      <c r="Y366" s="653"/>
      <c r="Z366" s="653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6">
        <v>4680115889293</v>
      </c>
      <c r="E367" s="647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3"/>
      <c r="R367" s="643"/>
      <c r="S367" s="643"/>
      <c r="T367" s="644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6">
        <v>4680115887190</v>
      </c>
      <c r="E368" s="647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3"/>
      <c r="R368" s="643"/>
      <c r="S368" s="643"/>
      <c r="T368" s="644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6">
        <v>4680115889880</v>
      </c>
      <c r="E369" s="647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3"/>
      <c r="R369" s="643"/>
      <c r="S369" s="643"/>
      <c r="T369" s="644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6">
        <v>4680115887138</v>
      </c>
      <c r="E370" s="647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9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3"/>
      <c r="R370" s="643"/>
      <c r="S370" s="643"/>
      <c r="T370" s="644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6">
        <v>4680115885554</v>
      </c>
      <c r="E371" s="647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3"/>
      <c r="R371" s="643"/>
      <c r="S371" s="643"/>
      <c r="T371" s="644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6">
        <v>4680115887220</v>
      </c>
      <c r="E372" s="647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3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3"/>
      <c r="R372" s="643"/>
      <c r="S372" s="643"/>
      <c r="T372" s="644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6">
        <v>4680115885608</v>
      </c>
      <c r="E373" s="647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3"/>
      <c r="R373" s="643"/>
      <c r="S373" s="643"/>
      <c r="T373" s="644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52"/>
      <c r="B374" s="653"/>
      <c r="C374" s="653"/>
      <c r="D374" s="653"/>
      <c r="E374" s="653"/>
      <c r="F374" s="653"/>
      <c r="G374" s="653"/>
      <c r="H374" s="653"/>
      <c r="I374" s="653"/>
      <c r="J374" s="653"/>
      <c r="K374" s="653"/>
      <c r="L374" s="653"/>
      <c r="M374" s="653"/>
      <c r="N374" s="653"/>
      <c r="O374" s="654"/>
      <c r="P374" s="639" t="s">
        <v>81</v>
      </c>
      <c r="Q374" s="640"/>
      <c r="R374" s="640"/>
      <c r="S374" s="640"/>
      <c r="T374" s="640"/>
      <c r="U374" s="640"/>
      <c r="V374" s="641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53"/>
      <c r="B375" s="653"/>
      <c r="C375" s="653"/>
      <c r="D375" s="653"/>
      <c r="E375" s="653"/>
      <c r="F375" s="653"/>
      <c r="G375" s="653"/>
      <c r="H375" s="653"/>
      <c r="I375" s="653"/>
      <c r="J375" s="653"/>
      <c r="K375" s="653"/>
      <c r="L375" s="653"/>
      <c r="M375" s="653"/>
      <c r="N375" s="653"/>
      <c r="O375" s="654"/>
      <c r="P375" s="639" t="s">
        <v>81</v>
      </c>
      <c r="Q375" s="640"/>
      <c r="R375" s="640"/>
      <c r="S375" s="640"/>
      <c r="T375" s="640"/>
      <c r="U375" s="640"/>
      <c r="V375" s="641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63" t="s">
        <v>245</v>
      </c>
      <c r="B376" s="653"/>
      <c r="C376" s="653"/>
      <c r="D376" s="653"/>
      <c r="E376" s="653"/>
      <c r="F376" s="653"/>
      <c r="G376" s="653"/>
      <c r="H376" s="653"/>
      <c r="I376" s="653"/>
      <c r="J376" s="653"/>
      <c r="K376" s="653"/>
      <c r="L376" s="653"/>
      <c r="M376" s="653"/>
      <c r="N376" s="653"/>
      <c r="O376" s="653"/>
      <c r="P376" s="653"/>
      <c r="Q376" s="653"/>
      <c r="R376" s="653"/>
      <c r="S376" s="653"/>
      <c r="T376" s="653"/>
      <c r="U376" s="653"/>
      <c r="V376" s="653"/>
      <c r="W376" s="653"/>
      <c r="X376" s="653"/>
      <c r="Y376" s="653"/>
      <c r="Z376" s="653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6">
        <v>4607091387193</v>
      </c>
      <c r="E377" s="647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3"/>
      <c r="R377" s="643"/>
      <c r="S377" s="643"/>
      <c r="T377" s="644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6">
        <v>4607091387230</v>
      </c>
      <c r="E378" s="647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3"/>
      <c r="R378" s="643"/>
      <c r="S378" s="643"/>
      <c r="T378" s="644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6">
        <v>4607091387292</v>
      </c>
      <c r="E379" s="647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3"/>
      <c r="R379" s="643"/>
      <c r="S379" s="643"/>
      <c r="T379" s="644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6">
        <v>4607091387285</v>
      </c>
      <c r="E380" s="647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3"/>
      <c r="R380" s="643"/>
      <c r="S380" s="643"/>
      <c r="T380" s="644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6">
        <v>4607091389845</v>
      </c>
      <c r="E381" s="647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3"/>
      <c r="R381" s="643"/>
      <c r="S381" s="643"/>
      <c r="T381" s="644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6">
        <v>4680115887442</v>
      </c>
      <c r="E382" s="647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3"/>
      <c r="R382" s="643"/>
      <c r="S382" s="643"/>
      <c r="T382" s="644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hidden="1" customHeight="1" x14ac:dyDescent="0.25">
      <c r="A383" s="54" t="s">
        <v>628</v>
      </c>
      <c r="B383" s="54" t="s">
        <v>629</v>
      </c>
      <c r="C383" s="31">
        <v>4301031066</v>
      </c>
      <c r="D383" s="646">
        <v>4607091383836</v>
      </c>
      <c r="E383" s="647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3"/>
      <c r="R383" s="643"/>
      <c r="S383" s="643"/>
      <c r="T383" s="644"/>
      <c r="U383" s="34"/>
      <c r="V383" s="34"/>
      <c r="W383" s="35" t="s">
        <v>67</v>
      </c>
      <c r="X383" s="635">
        <v>0</v>
      </c>
      <c r="Y383" s="636">
        <f t="shared" si="57"/>
        <v>0</v>
      </c>
      <c r="Z383" s="36" t="str">
        <f>IFERROR(IF(Y383=0,"",ROUNDUP(Y383/H383,0)*0.00651),"")</f>
        <v/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0</v>
      </c>
      <c r="BN383" s="64">
        <f t="shared" si="59"/>
        <v>0</v>
      </c>
      <c r="BO383" s="64">
        <f t="shared" si="60"/>
        <v>0</v>
      </c>
      <c r="BP383" s="64">
        <f t="shared" si="61"/>
        <v>0</v>
      </c>
    </row>
    <row r="384" spans="1:68" hidden="1" x14ac:dyDescent="0.2">
      <c r="A384" s="652"/>
      <c r="B384" s="653"/>
      <c r="C384" s="653"/>
      <c r="D384" s="653"/>
      <c r="E384" s="653"/>
      <c r="F384" s="653"/>
      <c r="G384" s="653"/>
      <c r="H384" s="653"/>
      <c r="I384" s="653"/>
      <c r="J384" s="653"/>
      <c r="K384" s="653"/>
      <c r="L384" s="653"/>
      <c r="M384" s="653"/>
      <c r="N384" s="653"/>
      <c r="O384" s="654"/>
      <c r="P384" s="639" t="s">
        <v>81</v>
      </c>
      <c r="Q384" s="640"/>
      <c r="R384" s="640"/>
      <c r="S384" s="640"/>
      <c r="T384" s="640"/>
      <c r="U384" s="640"/>
      <c r="V384" s="641"/>
      <c r="W384" s="37" t="s">
        <v>82</v>
      </c>
      <c r="X384" s="637">
        <f>IFERROR(X377/H377,"0")+IFERROR(X378/H378,"0")+IFERROR(X379/H379,"0")+IFERROR(X380/H380,"0")+IFERROR(X381/H381,"0")+IFERROR(X382/H382,"0")+IFERROR(X383/H383,"0")</f>
        <v>0</v>
      </c>
      <c r="Y384" s="637">
        <f>IFERROR(Y377/H377,"0")+IFERROR(Y378/H378,"0")+IFERROR(Y379/H379,"0")+IFERROR(Y380/H380,"0")+IFERROR(Y381/H381,"0")+IFERROR(Y382/H382,"0")+IFERROR(Y383/H383,"0")</f>
        <v>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53"/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4"/>
      <c r="P385" s="639" t="s">
        <v>81</v>
      </c>
      <c r="Q385" s="640"/>
      <c r="R385" s="640"/>
      <c r="S385" s="640"/>
      <c r="T385" s="640"/>
      <c r="U385" s="640"/>
      <c r="V385" s="641"/>
      <c r="W385" s="37" t="s">
        <v>67</v>
      </c>
      <c r="X385" s="637">
        <f>IFERROR(SUM(X377:X383),"0")</f>
        <v>0</v>
      </c>
      <c r="Y385" s="637">
        <f>IFERROR(SUM(Y377:Y383),"0")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63" t="s">
        <v>62</v>
      </c>
      <c r="B386" s="653"/>
      <c r="C386" s="653"/>
      <c r="D386" s="653"/>
      <c r="E386" s="653"/>
      <c r="F386" s="653"/>
      <c r="G386" s="653"/>
      <c r="H386" s="653"/>
      <c r="I386" s="653"/>
      <c r="J386" s="653"/>
      <c r="K386" s="653"/>
      <c r="L386" s="653"/>
      <c r="M386" s="653"/>
      <c r="N386" s="653"/>
      <c r="O386" s="653"/>
      <c r="P386" s="653"/>
      <c r="Q386" s="653"/>
      <c r="R386" s="653"/>
      <c r="S386" s="653"/>
      <c r="T386" s="653"/>
      <c r="U386" s="653"/>
      <c r="V386" s="653"/>
      <c r="W386" s="653"/>
      <c r="X386" s="653"/>
      <c r="Y386" s="653"/>
      <c r="Z386" s="653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6">
        <v>4607091387766</v>
      </c>
      <c r="E387" s="647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3"/>
      <c r="R387" s="643"/>
      <c r="S387" s="643"/>
      <c r="T387" s="644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6">
        <v>4607091387957</v>
      </c>
      <c r="E388" s="647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3"/>
      <c r="R388" s="643"/>
      <c r="S388" s="643"/>
      <c r="T388" s="644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6">
        <v>4607091387964</v>
      </c>
      <c r="E389" s="647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3"/>
      <c r="R389" s="643"/>
      <c r="S389" s="643"/>
      <c r="T389" s="644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6">
        <v>4680115884588</v>
      </c>
      <c r="E390" s="647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3"/>
      <c r="R390" s="643"/>
      <c r="S390" s="643"/>
      <c r="T390" s="644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52"/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4"/>
      <c r="P391" s="639" t="s">
        <v>81</v>
      </c>
      <c r="Q391" s="640"/>
      <c r="R391" s="640"/>
      <c r="S391" s="640"/>
      <c r="T391" s="640"/>
      <c r="U391" s="640"/>
      <c r="V391" s="641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53"/>
      <c r="B392" s="653"/>
      <c r="C392" s="653"/>
      <c r="D392" s="653"/>
      <c r="E392" s="653"/>
      <c r="F392" s="653"/>
      <c r="G392" s="653"/>
      <c r="H392" s="653"/>
      <c r="I392" s="653"/>
      <c r="J392" s="653"/>
      <c r="K392" s="653"/>
      <c r="L392" s="653"/>
      <c r="M392" s="653"/>
      <c r="N392" s="653"/>
      <c r="O392" s="654"/>
      <c r="P392" s="639" t="s">
        <v>81</v>
      </c>
      <c r="Q392" s="640"/>
      <c r="R392" s="640"/>
      <c r="S392" s="640"/>
      <c r="T392" s="640"/>
      <c r="U392" s="640"/>
      <c r="V392" s="641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63" t="s">
        <v>168</v>
      </c>
      <c r="B393" s="653"/>
      <c r="C393" s="653"/>
      <c r="D393" s="653"/>
      <c r="E393" s="653"/>
      <c r="F393" s="653"/>
      <c r="G393" s="653"/>
      <c r="H393" s="653"/>
      <c r="I393" s="653"/>
      <c r="J393" s="653"/>
      <c r="K393" s="653"/>
      <c r="L393" s="653"/>
      <c r="M393" s="653"/>
      <c r="N393" s="653"/>
      <c r="O393" s="653"/>
      <c r="P393" s="653"/>
      <c r="Q393" s="653"/>
      <c r="R393" s="653"/>
      <c r="S393" s="653"/>
      <c r="T393" s="653"/>
      <c r="U393" s="653"/>
      <c r="V393" s="653"/>
      <c r="W393" s="653"/>
      <c r="X393" s="653"/>
      <c r="Y393" s="653"/>
      <c r="Z393" s="653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6">
        <v>4607091380880</v>
      </c>
      <c r="E394" s="647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3"/>
      <c r="R394" s="643"/>
      <c r="S394" s="643"/>
      <c r="T394" s="644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4301060406</v>
      </c>
      <c r="D395" s="646">
        <v>4607091384482</v>
      </c>
      <c r="E395" s="647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3"/>
      <c r="R395" s="643"/>
      <c r="S395" s="643"/>
      <c r="T395" s="644"/>
      <c r="U395" s="34"/>
      <c r="V395" s="34"/>
      <c r="W395" s="35" t="s">
        <v>67</v>
      </c>
      <c r="X395" s="635">
        <v>458</v>
      </c>
      <c r="Y395" s="636">
        <f>IFERROR(IF(X395="",0,CEILING((X395/$H395),1)*$H395),"")</f>
        <v>460.2</v>
      </c>
      <c r="Z395" s="36">
        <f>IFERROR(IF(Y395=0,"",ROUNDUP(Y395/H395,0)*0.01898),"")</f>
        <v>1.11982</v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487.00666666666666</v>
      </c>
      <c r="BN395" s="64">
        <f>IFERROR(Y395*I395/H395,"0")</f>
        <v>489.346</v>
      </c>
      <c r="BO395" s="64">
        <f>IFERROR(1/J395*(X395/H395),"0")</f>
        <v>0.91746794871794879</v>
      </c>
      <c r="BP395" s="64">
        <f>IFERROR(1/J395*(Y395/H395),"0")</f>
        <v>0.921875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6">
        <v>4607091380897</v>
      </c>
      <c r="E396" s="647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8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3"/>
      <c r="R396" s="643"/>
      <c r="S396" s="643"/>
      <c r="T396" s="644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52"/>
      <c r="B397" s="653"/>
      <c r="C397" s="653"/>
      <c r="D397" s="653"/>
      <c r="E397" s="653"/>
      <c r="F397" s="653"/>
      <c r="G397" s="653"/>
      <c r="H397" s="653"/>
      <c r="I397" s="653"/>
      <c r="J397" s="653"/>
      <c r="K397" s="653"/>
      <c r="L397" s="653"/>
      <c r="M397" s="653"/>
      <c r="N397" s="653"/>
      <c r="O397" s="654"/>
      <c r="P397" s="639" t="s">
        <v>81</v>
      </c>
      <c r="Q397" s="640"/>
      <c r="R397" s="640"/>
      <c r="S397" s="640"/>
      <c r="T397" s="640"/>
      <c r="U397" s="640"/>
      <c r="V397" s="641"/>
      <c r="W397" s="37" t="s">
        <v>82</v>
      </c>
      <c r="X397" s="637">
        <f>IFERROR(X394/H394,"0")+IFERROR(X395/H395,"0")+IFERROR(X396/H396,"0")</f>
        <v>58.717948717948723</v>
      </c>
      <c r="Y397" s="637">
        <f>IFERROR(Y394/H394,"0")+IFERROR(Y395/H395,"0")+IFERROR(Y396/H396,"0")</f>
        <v>59</v>
      </c>
      <c r="Z397" s="637">
        <f>IFERROR(IF(Z394="",0,Z394),"0")+IFERROR(IF(Z395="",0,Z395),"0")+IFERROR(IF(Z396="",0,Z396),"0")</f>
        <v>1.11982</v>
      </c>
      <c r="AA397" s="638"/>
      <c r="AB397" s="638"/>
      <c r="AC397" s="638"/>
    </row>
    <row r="398" spans="1:68" x14ac:dyDescent="0.2">
      <c r="A398" s="653"/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4"/>
      <c r="P398" s="639" t="s">
        <v>81</v>
      </c>
      <c r="Q398" s="640"/>
      <c r="R398" s="640"/>
      <c r="S398" s="640"/>
      <c r="T398" s="640"/>
      <c r="U398" s="640"/>
      <c r="V398" s="641"/>
      <c r="W398" s="37" t="s">
        <v>67</v>
      </c>
      <c r="X398" s="637">
        <f>IFERROR(SUM(X394:X396),"0")</f>
        <v>458</v>
      </c>
      <c r="Y398" s="637">
        <f>IFERROR(SUM(Y394:Y396),"0")</f>
        <v>460.2</v>
      </c>
      <c r="Z398" s="37"/>
      <c r="AA398" s="638"/>
      <c r="AB398" s="638"/>
      <c r="AC398" s="638"/>
    </row>
    <row r="399" spans="1:68" ht="14.25" hidden="1" customHeight="1" x14ac:dyDescent="0.25">
      <c r="A399" s="663" t="s">
        <v>83</v>
      </c>
      <c r="B399" s="653"/>
      <c r="C399" s="653"/>
      <c r="D399" s="653"/>
      <c r="E399" s="653"/>
      <c r="F399" s="653"/>
      <c r="G399" s="653"/>
      <c r="H399" s="653"/>
      <c r="I399" s="653"/>
      <c r="J399" s="653"/>
      <c r="K399" s="653"/>
      <c r="L399" s="653"/>
      <c r="M399" s="653"/>
      <c r="N399" s="653"/>
      <c r="O399" s="653"/>
      <c r="P399" s="653"/>
      <c r="Q399" s="653"/>
      <c r="R399" s="653"/>
      <c r="S399" s="653"/>
      <c r="T399" s="653"/>
      <c r="U399" s="653"/>
      <c r="V399" s="653"/>
      <c r="W399" s="653"/>
      <c r="X399" s="653"/>
      <c r="Y399" s="653"/>
      <c r="Z399" s="653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6">
        <v>4607091388381</v>
      </c>
      <c r="E400" s="647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3"/>
      <c r="R400" s="643"/>
      <c r="S400" s="643"/>
      <c r="T400" s="644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6">
        <v>4607091388374</v>
      </c>
      <c r="E401" s="647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3"/>
      <c r="R401" s="643"/>
      <c r="S401" s="643"/>
      <c r="T401" s="644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6">
        <v>4607091383102</v>
      </c>
      <c r="E402" s="647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3"/>
      <c r="R402" s="643"/>
      <c r="S402" s="643"/>
      <c r="T402" s="644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6">
        <v>4607091388404</v>
      </c>
      <c r="E403" s="647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3"/>
      <c r="R403" s="643"/>
      <c r="S403" s="643"/>
      <c r="T403" s="644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52"/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4"/>
      <c r="P404" s="639" t="s">
        <v>81</v>
      </c>
      <c r="Q404" s="640"/>
      <c r="R404" s="640"/>
      <c r="S404" s="640"/>
      <c r="T404" s="640"/>
      <c r="U404" s="640"/>
      <c r="V404" s="641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53"/>
      <c r="B405" s="653"/>
      <c r="C405" s="653"/>
      <c r="D405" s="653"/>
      <c r="E405" s="653"/>
      <c r="F405" s="653"/>
      <c r="G405" s="653"/>
      <c r="H405" s="653"/>
      <c r="I405" s="653"/>
      <c r="J405" s="653"/>
      <c r="K405" s="653"/>
      <c r="L405" s="653"/>
      <c r="M405" s="653"/>
      <c r="N405" s="653"/>
      <c r="O405" s="654"/>
      <c r="P405" s="639" t="s">
        <v>81</v>
      </c>
      <c r="Q405" s="640"/>
      <c r="R405" s="640"/>
      <c r="S405" s="640"/>
      <c r="T405" s="640"/>
      <c r="U405" s="640"/>
      <c r="V405" s="641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63" t="s">
        <v>660</v>
      </c>
      <c r="B406" s="653"/>
      <c r="C406" s="653"/>
      <c r="D406" s="653"/>
      <c r="E406" s="653"/>
      <c r="F406" s="653"/>
      <c r="G406" s="653"/>
      <c r="H406" s="653"/>
      <c r="I406" s="653"/>
      <c r="J406" s="653"/>
      <c r="K406" s="653"/>
      <c r="L406" s="653"/>
      <c r="M406" s="653"/>
      <c r="N406" s="653"/>
      <c r="O406" s="653"/>
      <c r="P406" s="653"/>
      <c r="Q406" s="653"/>
      <c r="R406" s="653"/>
      <c r="S406" s="653"/>
      <c r="T406" s="653"/>
      <c r="U406" s="653"/>
      <c r="V406" s="653"/>
      <c r="W406" s="653"/>
      <c r="X406" s="653"/>
      <c r="Y406" s="653"/>
      <c r="Z406" s="653"/>
      <c r="AA406" s="631"/>
      <c r="AB406" s="631"/>
      <c r="AC406" s="631"/>
    </row>
    <row r="407" spans="1:68" ht="16.5" hidden="1" customHeight="1" x14ac:dyDescent="0.25">
      <c r="A407" s="54" t="s">
        <v>661</v>
      </c>
      <c r="B407" s="54" t="s">
        <v>662</v>
      </c>
      <c r="C407" s="31">
        <v>4301180007</v>
      </c>
      <c r="D407" s="646">
        <v>4680115881808</v>
      </c>
      <c r="E407" s="647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3"/>
      <c r="R407" s="643"/>
      <c r="S407" s="643"/>
      <c r="T407" s="644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665</v>
      </c>
      <c r="B408" s="54" t="s">
        <v>666</v>
      </c>
      <c r="C408" s="31">
        <v>4301180006</v>
      </c>
      <c r="D408" s="646">
        <v>4680115881822</v>
      </c>
      <c r="E408" s="647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3"/>
      <c r="R408" s="643"/>
      <c r="S408" s="643"/>
      <c r="T408" s="644"/>
      <c r="U408" s="34"/>
      <c r="V408" s="34"/>
      <c r="W408" s="35" t="s">
        <v>67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667</v>
      </c>
      <c r="B409" s="54" t="s">
        <v>668</v>
      </c>
      <c r="C409" s="31">
        <v>4301180001</v>
      </c>
      <c r="D409" s="646">
        <v>4680115880016</v>
      </c>
      <c r="E409" s="647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3"/>
      <c r="R409" s="643"/>
      <c r="S409" s="643"/>
      <c r="T409" s="644"/>
      <c r="U409" s="34"/>
      <c r="V409" s="34"/>
      <c r="W409" s="35" t="s">
        <v>67</v>
      </c>
      <c r="X409" s="635">
        <v>0</v>
      </c>
      <c r="Y409" s="636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52"/>
      <c r="B410" s="653"/>
      <c r="C410" s="653"/>
      <c r="D410" s="653"/>
      <c r="E410" s="653"/>
      <c r="F410" s="653"/>
      <c r="G410" s="653"/>
      <c r="H410" s="653"/>
      <c r="I410" s="653"/>
      <c r="J410" s="653"/>
      <c r="K410" s="653"/>
      <c r="L410" s="653"/>
      <c r="M410" s="653"/>
      <c r="N410" s="653"/>
      <c r="O410" s="654"/>
      <c r="P410" s="639" t="s">
        <v>81</v>
      </c>
      <c r="Q410" s="640"/>
      <c r="R410" s="640"/>
      <c r="S410" s="640"/>
      <c r="T410" s="640"/>
      <c r="U410" s="640"/>
      <c r="V410" s="641"/>
      <c r="W410" s="37" t="s">
        <v>82</v>
      </c>
      <c r="X410" s="637">
        <f>IFERROR(X407/H407,"0")+IFERROR(X408/H408,"0")+IFERROR(X409/H409,"0")</f>
        <v>0</v>
      </c>
      <c r="Y410" s="637">
        <f>IFERROR(Y407/H407,"0")+IFERROR(Y408/H408,"0")+IFERROR(Y409/H409,"0")</f>
        <v>0</v>
      </c>
      <c r="Z410" s="637">
        <f>IFERROR(IF(Z407="",0,Z407),"0")+IFERROR(IF(Z408="",0,Z408),"0")+IFERROR(IF(Z409="",0,Z409),"0")</f>
        <v>0</v>
      </c>
      <c r="AA410" s="638"/>
      <c r="AB410" s="638"/>
      <c r="AC410" s="638"/>
    </row>
    <row r="411" spans="1:68" hidden="1" x14ac:dyDescent="0.2">
      <c r="A411" s="653"/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4"/>
      <c r="P411" s="639" t="s">
        <v>81</v>
      </c>
      <c r="Q411" s="640"/>
      <c r="R411" s="640"/>
      <c r="S411" s="640"/>
      <c r="T411" s="640"/>
      <c r="U411" s="640"/>
      <c r="V411" s="641"/>
      <c r="W411" s="37" t="s">
        <v>67</v>
      </c>
      <c r="X411" s="637">
        <f>IFERROR(SUM(X407:X409),"0")</f>
        <v>0</v>
      </c>
      <c r="Y411" s="637">
        <f>IFERROR(SUM(Y407:Y409),"0")</f>
        <v>0</v>
      </c>
      <c r="Z411" s="37"/>
      <c r="AA411" s="638"/>
      <c r="AB411" s="638"/>
      <c r="AC411" s="638"/>
    </row>
    <row r="412" spans="1:68" ht="14.25" hidden="1" customHeight="1" x14ac:dyDescent="0.25">
      <c r="A412" s="663" t="s">
        <v>669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6">
        <v>4680115888678</v>
      </c>
      <c r="E413" s="647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69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3"/>
      <c r="R413" s="643"/>
      <c r="S413" s="643"/>
      <c r="T413" s="644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6">
        <v>4680115888654</v>
      </c>
      <c r="E414" s="647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64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3"/>
      <c r="R414" s="643"/>
      <c r="S414" s="643"/>
      <c r="T414" s="644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6">
        <v>4680115888753</v>
      </c>
      <c r="E415" s="647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3"/>
      <c r="R415" s="643"/>
      <c r="S415" s="643"/>
      <c r="T415" s="644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52"/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4"/>
      <c r="P416" s="639" t="s">
        <v>81</v>
      </c>
      <c r="Q416" s="640"/>
      <c r="R416" s="640"/>
      <c r="S416" s="640"/>
      <c r="T416" s="640"/>
      <c r="U416" s="640"/>
      <c r="V416" s="641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53"/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4"/>
      <c r="P417" s="639" t="s">
        <v>81</v>
      </c>
      <c r="Q417" s="640"/>
      <c r="R417" s="640"/>
      <c r="S417" s="640"/>
      <c r="T417" s="640"/>
      <c r="U417" s="640"/>
      <c r="V417" s="641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8" t="s">
        <v>678</v>
      </c>
      <c r="B418" s="653"/>
      <c r="C418" s="653"/>
      <c r="D418" s="653"/>
      <c r="E418" s="653"/>
      <c r="F418" s="653"/>
      <c r="G418" s="653"/>
      <c r="H418" s="653"/>
      <c r="I418" s="653"/>
      <c r="J418" s="653"/>
      <c r="K418" s="653"/>
      <c r="L418" s="653"/>
      <c r="M418" s="653"/>
      <c r="N418" s="653"/>
      <c r="O418" s="653"/>
      <c r="P418" s="653"/>
      <c r="Q418" s="653"/>
      <c r="R418" s="653"/>
      <c r="S418" s="653"/>
      <c r="T418" s="653"/>
      <c r="U418" s="653"/>
      <c r="V418" s="653"/>
      <c r="W418" s="653"/>
      <c r="X418" s="653"/>
      <c r="Y418" s="653"/>
      <c r="Z418" s="653"/>
      <c r="AA418" s="630"/>
      <c r="AB418" s="630"/>
      <c r="AC418" s="630"/>
    </row>
    <row r="419" spans="1:68" ht="14.25" hidden="1" customHeight="1" x14ac:dyDescent="0.25">
      <c r="A419" s="663" t="s">
        <v>62</v>
      </c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3"/>
      <c r="P419" s="653"/>
      <c r="Q419" s="653"/>
      <c r="R419" s="653"/>
      <c r="S419" s="653"/>
      <c r="T419" s="653"/>
      <c r="U419" s="653"/>
      <c r="V419" s="653"/>
      <c r="W419" s="653"/>
      <c r="X419" s="653"/>
      <c r="Y419" s="653"/>
      <c r="Z419" s="653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6">
        <v>4660663720026</v>
      </c>
      <c r="E420" s="647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3"/>
      <c r="R420" s="643"/>
      <c r="S420" s="643"/>
      <c r="T420" s="644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6">
        <v>4680115889422</v>
      </c>
      <c r="E421" s="647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3"/>
      <c r="R421" s="643"/>
      <c r="S421" s="643"/>
      <c r="T421" s="644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6">
        <v>4680115889972</v>
      </c>
      <c r="E422" s="647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8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3"/>
      <c r="R422" s="643"/>
      <c r="S422" s="643"/>
      <c r="T422" s="644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6">
        <v>4660663720163</v>
      </c>
      <c r="E423" s="647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05" t="s">
        <v>689</v>
      </c>
      <c r="Q423" s="643"/>
      <c r="R423" s="643"/>
      <c r="S423" s="643"/>
      <c r="T423" s="644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2"/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4"/>
      <c r="P424" s="639" t="s">
        <v>81</v>
      </c>
      <c r="Q424" s="640"/>
      <c r="R424" s="640"/>
      <c r="S424" s="640"/>
      <c r="T424" s="640"/>
      <c r="U424" s="640"/>
      <c r="V424" s="641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53"/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4"/>
      <c r="P425" s="639" t="s">
        <v>81</v>
      </c>
      <c r="Q425" s="640"/>
      <c r="R425" s="640"/>
      <c r="S425" s="640"/>
      <c r="T425" s="640"/>
      <c r="U425" s="640"/>
      <c r="V425" s="641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8" t="s">
        <v>691</v>
      </c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3"/>
      <c r="P426" s="653"/>
      <c r="Q426" s="653"/>
      <c r="R426" s="653"/>
      <c r="S426" s="653"/>
      <c r="T426" s="653"/>
      <c r="U426" s="653"/>
      <c r="V426" s="653"/>
      <c r="W426" s="653"/>
      <c r="X426" s="653"/>
      <c r="Y426" s="653"/>
      <c r="Z426" s="653"/>
      <c r="AA426" s="630"/>
      <c r="AB426" s="630"/>
      <c r="AC426" s="630"/>
    </row>
    <row r="427" spans="1:68" ht="14.25" hidden="1" customHeight="1" x14ac:dyDescent="0.25">
      <c r="A427" s="663" t="s">
        <v>62</v>
      </c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3"/>
      <c r="P427" s="653"/>
      <c r="Q427" s="653"/>
      <c r="R427" s="653"/>
      <c r="S427" s="653"/>
      <c r="T427" s="653"/>
      <c r="U427" s="653"/>
      <c r="V427" s="653"/>
      <c r="W427" s="653"/>
      <c r="X427" s="653"/>
      <c r="Y427" s="653"/>
      <c r="Z427" s="653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6">
        <v>4607091387919</v>
      </c>
      <c r="E428" s="647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3"/>
      <c r="R428" s="643"/>
      <c r="S428" s="643"/>
      <c r="T428" s="644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6">
        <v>4680115883604</v>
      </c>
      <c r="E429" s="647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3"/>
      <c r="R429" s="643"/>
      <c r="S429" s="643"/>
      <c r="T429" s="644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6">
        <v>4680115883567</v>
      </c>
      <c r="E430" s="647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3"/>
      <c r="R430" s="643"/>
      <c r="S430" s="643"/>
      <c r="T430" s="644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52"/>
      <c r="B431" s="653"/>
      <c r="C431" s="653"/>
      <c r="D431" s="653"/>
      <c r="E431" s="653"/>
      <c r="F431" s="653"/>
      <c r="G431" s="653"/>
      <c r="H431" s="653"/>
      <c r="I431" s="653"/>
      <c r="J431" s="653"/>
      <c r="K431" s="653"/>
      <c r="L431" s="653"/>
      <c r="M431" s="653"/>
      <c r="N431" s="653"/>
      <c r="O431" s="654"/>
      <c r="P431" s="639" t="s">
        <v>81</v>
      </c>
      <c r="Q431" s="640"/>
      <c r="R431" s="640"/>
      <c r="S431" s="640"/>
      <c r="T431" s="640"/>
      <c r="U431" s="640"/>
      <c r="V431" s="641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53"/>
      <c r="B432" s="653"/>
      <c r="C432" s="653"/>
      <c r="D432" s="653"/>
      <c r="E432" s="653"/>
      <c r="F432" s="653"/>
      <c r="G432" s="653"/>
      <c r="H432" s="653"/>
      <c r="I432" s="653"/>
      <c r="J432" s="653"/>
      <c r="K432" s="653"/>
      <c r="L432" s="653"/>
      <c r="M432" s="653"/>
      <c r="N432" s="653"/>
      <c r="O432" s="654"/>
      <c r="P432" s="639" t="s">
        <v>81</v>
      </c>
      <c r="Q432" s="640"/>
      <c r="R432" s="640"/>
      <c r="S432" s="640"/>
      <c r="T432" s="640"/>
      <c r="U432" s="640"/>
      <c r="V432" s="641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71" t="s">
        <v>701</v>
      </c>
      <c r="B433" s="672"/>
      <c r="C433" s="672"/>
      <c r="D433" s="672"/>
      <c r="E433" s="672"/>
      <c r="F433" s="672"/>
      <c r="G433" s="672"/>
      <c r="H433" s="672"/>
      <c r="I433" s="672"/>
      <c r="J433" s="672"/>
      <c r="K433" s="672"/>
      <c r="L433" s="672"/>
      <c r="M433" s="672"/>
      <c r="N433" s="672"/>
      <c r="O433" s="672"/>
      <c r="P433" s="672"/>
      <c r="Q433" s="672"/>
      <c r="R433" s="672"/>
      <c r="S433" s="672"/>
      <c r="T433" s="672"/>
      <c r="U433" s="672"/>
      <c r="V433" s="672"/>
      <c r="W433" s="672"/>
      <c r="X433" s="672"/>
      <c r="Y433" s="672"/>
      <c r="Z433" s="672"/>
      <c r="AA433" s="48"/>
      <c r="AB433" s="48"/>
      <c r="AC433" s="48"/>
    </row>
    <row r="434" spans="1:68" ht="16.5" hidden="1" customHeight="1" x14ac:dyDescent="0.25">
      <c r="A434" s="658" t="s">
        <v>702</v>
      </c>
      <c r="B434" s="653"/>
      <c r="C434" s="653"/>
      <c r="D434" s="653"/>
      <c r="E434" s="653"/>
      <c r="F434" s="653"/>
      <c r="G434" s="653"/>
      <c r="H434" s="653"/>
      <c r="I434" s="653"/>
      <c r="J434" s="653"/>
      <c r="K434" s="653"/>
      <c r="L434" s="653"/>
      <c r="M434" s="653"/>
      <c r="N434" s="653"/>
      <c r="O434" s="653"/>
      <c r="P434" s="653"/>
      <c r="Q434" s="653"/>
      <c r="R434" s="653"/>
      <c r="S434" s="653"/>
      <c r="T434" s="653"/>
      <c r="U434" s="653"/>
      <c r="V434" s="653"/>
      <c r="W434" s="653"/>
      <c r="X434" s="653"/>
      <c r="Y434" s="653"/>
      <c r="Z434" s="653"/>
      <c r="AA434" s="630"/>
      <c r="AB434" s="630"/>
      <c r="AC434" s="630"/>
    </row>
    <row r="435" spans="1:68" ht="14.25" hidden="1" customHeight="1" x14ac:dyDescent="0.25">
      <c r="A435" s="663" t="s">
        <v>113</v>
      </c>
      <c r="B435" s="653"/>
      <c r="C435" s="653"/>
      <c r="D435" s="653"/>
      <c r="E435" s="653"/>
      <c r="F435" s="653"/>
      <c r="G435" s="653"/>
      <c r="H435" s="653"/>
      <c r="I435" s="653"/>
      <c r="J435" s="653"/>
      <c r="K435" s="653"/>
      <c r="L435" s="653"/>
      <c r="M435" s="653"/>
      <c r="N435" s="653"/>
      <c r="O435" s="653"/>
      <c r="P435" s="653"/>
      <c r="Q435" s="653"/>
      <c r="R435" s="653"/>
      <c r="S435" s="653"/>
      <c r="T435" s="653"/>
      <c r="U435" s="653"/>
      <c r="V435" s="653"/>
      <c r="W435" s="653"/>
      <c r="X435" s="653"/>
      <c r="Y435" s="653"/>
      <c r="Z435" s="653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6">
        <v>4680115888401</v>
      </c>
      <c r="E436" s="647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7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3"/>
      <c r="R436" s="643"/>
      <c r="S436" s="643"/>
      <c r="T436" s="644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6">
        <v>4680115884847</v>
      </c>
      <c r="E437" s="647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3"/>
      <c r="R437" s="643"/>
      <c r="S437" s="643"/>
      <c r="T437" s="644"/>
      <c r="U437" s="34"/>
      <c r="V437" s="34"/>
      <c r="W437" s="35" t="s">
        <v>67</v>
      </c>
      <c r="X437" s="635">
        <v>1228</v>
      </c>
      <c r="Y437" s="636">
        <f t="shared" si="62"/>
        <v>1230</v>
      </c>
      <c r="Z437" s="36">
        <f>IFERROR(IF(Y437=0,"",ROUNDUP(Y437/H437,0)*0.02175),"")</f>
        <v>1.7834999999999999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1266.4773333333333</v>
      </c>
      <c r="BN437" s="64">
        <f t="shared" si="64"/>
        <v>1268.5400000000002</v>
      </c>
      <c r="BO437" s="64">
        <f t="shared" si="65"/>
        <v>1.7055555555555553</v>
      </c>
      <c r="BP437" s="64">
        <f t="shared" si="66"/>
        <v>1.7083333333333333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6">
        <v>4680115884854</v>
      </c>
      <c r="E438" s="647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3"/>
      <c r="R438" s="643"/>
      <c r="S438" s="643"/>
      <c r="T438" s="644"/>
      <c r="U438" s="34"/>
      <c r="V438" s="34"/>
      <c r="W438" s="35" t="s">
        <v>67</v>
      </c>
      <c r="X438" s="635">
        <v>577</v>
      </c>
      <c r="Y438" s="636">
        <f t="shared" si="62"/>
        <v>585</v>
      </c>
      <c r="Z438" s="36">
        <f>IFERROR(IF(Y438=0,"",ROUNDUP(Y438/H438,0)*0.02175),"")</f>
        <v>0.84824999999999995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595.07933333333335</v>
      </c>
      <c r="BN438" s="64">
        <f t="shared" si="64"/>
        <v>603.33000000000004</v>
      </c>
      <c r="BO438" s="64">
        <f t="shared" si="65"/>
        <v>0.80138888888888893</v>
      </c>
      <c r="BP438" s="64">
        <f t="shared" si="66"/>
        <v>0.8125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6">
        <v>4680115884830</v>
      </c>
      <c r="E439" s="647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3"/>
      <c r="R439" s="643"/>
      <c r="S439" s="643"/>
      <c r="T439" s="644"/>
      <c r="U439" s="34"/>
      <c r="V439" s="34"/>
      <c r="W439" s="35" t="s">
        <v>67</v>
      </c>
      <c r="X439" s="635">
        <v>305</v>
      </c>
      <c r="Y439" s="636">
        <f t="shared" si="62"/>
        <v>315</v>
      </c>
      <c r="Z439" s="36">
        <f>IFERROR(IF(Y439=0,"",ROUNDUP(Y439/H439,0)*0.02175),"")</f>
        <v>0.45674999999999999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314.55666666666667</v>
      </c>
      <c r="BN439" s="64">
        <f t="shared" si="64"/>
        <v>324.87</v>
      </c>
      <c r="BO439" s="64">
        <f t="shared" si="65"/>
        <v>0.42361111111111105</v>
      </c>
      <c r="BP439" s="64">
        <f t="shared" si="66"/>
        <v>0.4375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6">
        <v>4680115889231</v>
      </c>
      <c r="E440" s="647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3"/>
      <c r="R440" s="643"/>
      <c r="S440" s="643"/>
      <c r="T440" s="644"/>
      <c r="U440" s="34"/>
      <c r="V440" s="34"/>
      <c r="W440" s="35" t="s">
        <v>67</v>
      </c>
      <c r="X440" s="635">
        <v>6</v>
      </c>
      <c r="Y440" s="636">
        <f t="shared" si="62"/>
        <v>15</v>
      </c>
      <c r="Z440" s="36">
        <f>IFERROR(IF(Y440=0,"",ROUNDUP(Y440/H440,0)*0.02175),"")</f>
        <v>2.1749999999999999E-2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6.1880000000000006</v>
      </c>
      <c r="BN440" s="64">
        <f t="shared" si="64"/>
        <v>15.47</v>
      </c>
      <c r="BO440" s="64">
        <f t="shared" si="65"/>
        <v>8.3333333333333332E-3</v>
      </c>
      <c r="BP440" s="64">
        <f t="shared" si="66"/>
        <v>2.0833333333333332E-2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6">
        <v>4680115882638</v>
      </c>
      <c r="E441" s="647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3"/>
      <c r="R441" s="643"/>
      <c r="S441" s="643"/>
      <c r="T441" s="644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6">
        <v>4680115884922</v>
      </c>
      <c r="E442" s="647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3"/>
      <c r="R442" s="643"/>
      <c r="S442" s="643"/>
      <c r="T442" s="644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6">
        <v>4680115884861</v>
      </c>
      <c r="E443" s="647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3"/>
      <c r="R443" s="643"/>
      <c r="S443" s="643"/>
      <c r="T443" s="644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52"/>
      <c r="B444" s="653"/>
      <c r="C444" s="653"/>
      <c r="D444" s="653"/>
      <c r="E444" s="653"/>
      <c r="F444" s="653"/>
      <c r="G444" s="653"/>
      <c r="H444" s="653"/>
      <c r="I444" s="653"/>
      <c r="J444" s="653"/>
      <c r="K444" s="653"/>
      <c r="L444" s="653"/>
      <c r="M444" s="653"/>
      <c r="N444" s="653"/>
      <c r="O444" s="654"/>
      <c r="P444" s="639" t="s">
        <v>81</v>
      </c>
      <c r="Q444" s="640"/>
      <c r="R444" s="640"/>
      <c r="S444" s="640"/>
      <c r="T444" s="640"/>
      <c r="U444" s="640"/>
      <c r="V444" s="641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141.06666666666666</v>
      </c>
      <c r="Y444" s="637">
        <f>IFERROR(Y436/H436,"0")+IFERROR(Y437/H437,"0")+IFERROR(Y438/H438,"0")+IFERROR(Y439/H439,"0")+IFERROR(Y440/H440,"0")+IFERROR(Y441/H441,"0")+IFERROR(Y442/H442,"0")+IFERROR(Y443/H443,"0")</f>
        <v>143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3.1102499999999997</v>
      </c>
      <c r="AA444" s="638"/>
      <c r="AB444" s="638"/>
      <c r="AC444" s="638"/>
    </row>
    <row r="445" spans="1:68" x14ac:dyDescent="0.2">
      <c r="A445" s="653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39" t="s">
        <v>81</v>
      </c>
      <c r="Q445" s="640"/>
      <c r="R445" s="640"/>
      <c r="S445" s="640"/>
      <c r="T445" s="640"/>
      <c r="U445" s="640"/>
      <c r="V445" s="641"/>
      <c r="W445" s="37" t="s">
        <v>67</v>
      </c>
      <c r="X445" s="637">
        <f>IFERROR(SUM(X436:X443),"0")</f>
        <v>2116</v>
      </c>
      <c r="Y445" s="637">
        <f>IFERROR(SUM(Y436:Y443),"0")</f>
        <v>2145</v>
      </c>
      <c r="Z445" s="37"/>
      <c r="AA445" s="638"/>
      <c r="AB445" s="638"/>
      <c r="AC445" s="638"/>
    </row>
    <row r="446" spans="1:68" ht="14.25" hidden="1" customHeight="1" x14ac:dyDescent="0.25">
      <c r="A446" s="663" t="s">
        <v>150</v>
      </c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3"/>
      <c r="P446" s="653"/>
      <c r="Q446" s="653"/>
      <c r="R446" s="653"/>
      <c r="S446" s="653"/>
      <c r="T446" s="653"/>
      <c r="U446" s="653"/>
      <c r="V446" s="653"/>
      <c r="W446" s="653"/>
      <c r="X446" s="653"/>
      <c r="Y446" s="653"/>
      <c r="Z446" s="653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6">
        <v>4607091383980</v>
      </c>
      <c r="E447" s="647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10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3"/>
      <c r="R447" s="643"/>
      <c r="S447" s="643"/>
      <c r="T447" s="644"/>
      <c r="U447" s="34"/>
      <c r="V447" s="34"/>
      <c r="W447" s="35" t="s">
        <v>67</v>
      </c>
      <c r="X447" s="635">
        <v>565</v>
      </c>
      <c r="Y447" s="636">
        <f>IFERROR(IF(X447="",0,CEILING((X447/$H447),1)*$H447),"")</f>
        <v>570</v>
      </c>
      <c r="Z447" s="36">
        <f>IFERROR(IF(Y447=0,"",ROUNDUP(Y447/H447,0)*0.02175),"")</f>
        <v>0.8264999999999999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582.70333333333338</v>
      </c>
      <c r="BN447" s="64">
        <f>IFERROR(Y447*I447/H447,"0")</f>
        <v>587.86</v>
      </c>
      <c r="BO447" s="64">
        <f>IFERROR(1/J447*(X447/H447),"0")</f>
        <v>0.7847222222222221</v>
      </c>
      <c r="BP447" s="64">
        <f>IFERROR(1/J447*(Y447/H447),"0")</f>
        <v>0.79166666666666663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6">
        <v>4680115888425</v>
      </c>
      <c r="E448" s="647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3"/>
      <c r="R448" s="643"/>
      <c r="S448" s="643"/>
      <c r="T448" s="644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6">
        <v>4607091384178</v>
      </c>
      <c r="E449" s="647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9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3"/>
      <c r="R449" s="643"/>
      <c r="S449" s="643"/>
      <c r="T449" s="644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52"/>
      <c r="B450" s="653"/>
      <c r="C450" s="653"/>
      <c r="D450" s="653"/>
      <c r="E450" s="653"/>
      <c r="F450" s="653"/>
      <c r="G450" s="653"/>
      <c r="H450" s="653"/>
      <c r="I450" s="653"/>
      <c r="J450" s="653"/>
      <c r="K450" s="653"/>
      <c r="L450" s="653"/>
      <c r="M450" s="653"/>
      <c r="N450" s="653"/>
      <c r="O450" s="654"/>
      <c r="P450" s="639" t="s">
        <v>81</v>
      </c>
      <c r="Q450" s="640"/>
      <c r="R450" s="640"/>
      <c r="S450" s="640"/>
      <c r="T450" s="640"/>
      <c r="U450" s="640"/>
      <c r="V450" s="641"/>
      <c r="W450" s="37" t="s">
        <v>82</v>
      </c>
      <c r="X450" s="637">
        <f>IFERROR(X447/H447,"0")+IFERROR(X448/H448,"0")+IFERROR(X449/H449,"0")</f>
        <v>37.666666666666664</v>
      </c>
      <c r="Y450" s="637">
        <f>IFERROR(Y447/H447,"0")+IFERROR(Y448/H448,"0")+IFERROR(Y449/H449,"0")</f>
        <v>38</v>
      </c>
      <c r="Z450" s="637">
        <f>IFERROR(IF(Z447="",0,Z447),"0")+IFERROR(IF(Z448="",0,Z448),"0")+IFERROR(IF(Z449="",0,Z449),"0")</f>
        <v>0.8264999999999999</v>
      </c>
      <c r="AA450" s="638"/>
      <c r="AB450" s="638"/>
      <c r="AC450" s="638"/>
    </row>
    <row r="451" spans="1:68" x14ac:dyDescent="0.2">
      <c r="A451" s="653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39" t="s">
        <v>81</v>
      </c>
      <c r="Q451" s="640"/>
      <c r="R451" s="640"/>
      <c r="S451" s="640"/>
      <c r="T451" s="640"/>
      <c r="U451" s="640"/>
      <c r="V451" s="641"/>
      <c r="W451" s="37" t="s">
        <v>67</v>
      </c>
      <c r="X451" s="637">
        <f>IFERROR(SUM(X447:X449),"0")</f>
        <v>565</v>
      </c>
      <c r="Y451" s="637">
        <f>IFERROR(SUM(Y447:Y449),"0")</f>
        <v>570</v>
      </c>
      <c r="Z451" s="37"/>
      <c r="AA451" s="638"/>
      <c r="AB451" s="638"/>
      <c r="AC451" s="638"/>
    </row>
    <row r="452" spans="1:68" ht="14.25" hidden="1" customHeight="1" x14ac:dyDescent="0.25">
      <c r="A452" s="663" t="s">
        <v>62</v>
      </c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3"/>
      <c r="P452" s="653"/>
      <c r="Q452" s="653"/>
      <c r="R452" s="653"/>
      <c r="S452" s="653"/>
      <c r="T452" s="653"/>
      <c r="U452" s="653"/>
      <c r="V452" s="653"/>
      <c r="W452" s="653"/>
      <c r="X452" s="653"/>
      <c r="Y452" s="653"/>
      <c r="Z452" s="653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6">
        <v>4607091383928</v>
      </c>
      <c r="E453" s="647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3"/>
      <c r="R453" s="643"/>
      <c r="S453" s="643"/>
      <c r="T453" s="644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6">
        <v>4607091384260</v>
      </c>
      <c r="E454" s="647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3"/>
      <c r="R454" s="643"/>
      <c r="S454" s="643"/>
      <c r="T454" s="644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6">
        <v>4680115889538</v>
      </c>
      <c r="E455" s="647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8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3"/>
      <c r="R455" s="643"/>
      <c r="S455" s="643"/>
      <c r="T455" s="644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39" t="s">
        <v>81</v>
      </c>
      <c r="Q456" s="640"/>
      <c r="R456" s="640"/>
      <c r="S456" s="640"/>
      <c r="T456" s="640"/>
      <c r="U456" s="640"/>
      <c r="V456" s="641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39" t="s">
        <v>81</v>
      </c>
      <c r="Q457" s="640"/>
      <c r="R457" s="640"/>
      <c r="S457" s="640"/>
      <c r="T457" s="640"/>
      <c r="U457" s="640"/>
      <c r="V457" s="641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63" t="s">
        <v>168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6">
        <v>4680115889545</v>
      </c>
      <c r="E459" s="647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3"/>
      <c r="R459" s="643"/>
      <c r="S459" s="643"/>
      <c r="T459" s="644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hidden="1" customHeight="1" x14ac:dyDescent="0.25">
      <c r="A460" s="54" t="s">
        <v>748</v>
      </c>
      <c r="B460" s="54" t="s">
        <v>749</v>
      </c>
      <c r="C460" s="31">
        <v>4301060524</v>
      </c>
      <c r="D460" s="646">
        <v>4607091384673</v>
      </c>
      <c r="E460" s="647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3"/>
      <c r="R460" s="643"/>
      <c r="S460" s="643"/>
      <c r="T460" s="644"/>
      <c r="U460" s="34"/>
      <c r="V460" s="34"/>
      <c r="W460" s="35" t="s">
        <v>67</v>
      </c>
      <c r="X460" s="635">
        <v>0</v>
      </c>
      <c r="Y460" s="63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2"/>
      <c r="B461" s="653"/>
      <c r="C461" s="653"/>
      <c r="D461" s="653"/>
      <c r="E461" s="653"/>
      <c r="F461" s="653"/>
      <c r="G461" s="653"/>
      <c r="H461" s="653"/>
      <c r="I461" s="653"/>
      <c r="J461" s="653"/>
      <c r="K461" s="653"/>
      <c r="L461" s="653"/>
      <c r="M461" s="653"/>
      <c r="N461" s="653"/>
      <c r="O461" s="654"/>
      <c r="P461" s="639" t="s">
        <v>81</v>
      </c>
      <c r="Q461" s="640"/>
      <c r="R461" s="640"/>
      <c r="S461" s="640"/>
      <c r="T461" s="640"/>
      <c r="U461" s="640"/>
      <c r="V461" s="641"/>
      <c r="W461" s="37" t="s">
        <v>82</v>
      </c>
      <c r="X461" s="637">
        <f>IFERROR(X459/H459,"0")+IFERROR(X460/H460,"0")</f>
        <v>0</v>
      </c>
      <c r="Y461" s="637">
        <f>IFERROR(Y459/H459,"0")+IFERROR(Y460/H460,"0")</f>
        <v>0</v>
      </c>
      <c r="Z461" s="637">
        <f>IFERROR(IF(Z459="",0,Z459),"0")+IFERROR(IF(Z460="",0,Z460),"0")</f>
        <v>0</v>
      </c>
      <c r="AA461" s="638"/>
      <c r="AB461" s="638"/>
      <c r="AC461" s="638"/>
    </row>
    <row r="462" spans="1:68" hidden="1" x14ac:dyDescent="0.2">
      <c r="A462" s="653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39" t="s">
        <v>81</v>
      </c>
      <c r="Q462" s="640"/>
      <c r="R462" s="640"/>
      <c r="S462" s="640"/>
      <c r="T462" s="640"/>
      <c r="U462" s="640"/>
      <c r="V462" s="641"/>
      <c r="W462" s="37" t="s">
        <v>67</v>
      </c>
      <c r="X462" s="637">
        <f>IFERROR(SUM(X459:X460),"0")</f>
        <v>0</v>
      </c>
      <c r="Y462" s="637">
        <f>IFERROR(SUM(Y459:Y460),"0")</f>
        <v>0</v>
      </c>
      <c r="Z462" s="37"/>
      <c r="AA462" s="638"/>
      <c r="AB462" s="638"/>
      <c r="AC462" s="638"/>
    </row>
    <row r="463" spans="1:68" ht="16.5" hidden="1" customHeight="1" x14ac:dyDescent="0.25">
      <c r="A463" s="658" t="s">
        <v>751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30"/>
      <c r="AB463" s="630"/>
      <c r="AC463" s="630"/>
    </row>
    <row r="464" spans="1:68" ht="14.25" hidden="1" customHeight="1" x14ac:dyDescent="0.25">
      <c r="A464" s="663" t="s">
        <v>113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6">
        <v>4680115884885</v>
      </c>
      <c r="E465" s="647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3"/>
      <c r="R465" s="643"/>
      <c r="S465" s="643"/>
      <c r="T465" s="644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6">
        <v>4680115884908</v>
      </c>
      <c r="E466" s="647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3"/>
      <c r="R466" s="643"/>
      <c r="S466" s="643"/>
      <c r="T466" s="644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2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39" t="s">
        <v>81</v>
      </c>
      <c r="Q467" s="640"/>
      <c r="R467" s="640"/>
      <c r="S467" s="640"/>
      <c r="T467" s="640"/>
      <c r="U467" s="640"/>
      <c r="V467" s="641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53"/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4"/>
      <c r="P468" s="639" t="s">
        <v>81</v>
      </c>
      <c r="Q468" s="640"/>
      <c r="R468" s="640"/>
      <c r="S468" s="640"/>
      <c r="T468" s="640"/>
      <c r="U468" s="640"/>
      <c r="V468" s="641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63" t="s">
        <v>245</v>
      </c>
      <c r="B469" s="653"/>
      <c r="C469" s="653"/>
      <c r="D469" s="653"/>
      <c r="E469" s="653"/>
      <c r="F469" s="653"/>
      <c r="G469" s="653"/>
      <c r="H469" s="653"/>
      <c r="I469" s="653"/>
      <c r="J469" s="653"/>
      <c r="K469" s="653"/>
      <c r="L469" s="653"/>
      <c r="M469" s="653"/>
      <c r="N469" s="653"/>
      <c r="O469" s="653"/>
      <c r="P469" s="653"/>
      <c r="Q469" s="653"/>
      <c r="R469" s="653"/>
      <c r="S469" s="653"/>
      <c r="T469" s="653"/>
      <c r="U469" s="653"/>
      <c r="V469" s="653"/>
      <c r="W469" s="653"/>
      <c r="X469" s="653"/>
      <c r="Y469" s="653"/>
      <c r="Z469" s="653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6">
        <v>4607091384802</v>
      </c>
      <c r="E470" s="647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87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3"/>
      <c r="R470" s="643"/>
      <c r="S470" s="643"/>
      <c r="T470" s="644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52"/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4"/>
      <c r="P471" s="639" t="s">
        <v>81</v>
      </c>
      <c r="Q471" s="640"/>
      <c r="R471" s="640"/>
      <c r="S471" s="640"/>
      <c r="T471" s="640"/>
      <c r="U471" s="640"/>
      <c r="V471" s="641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53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39" t="s">
        <v>81</v>
      </c>
      <c r="Q472" s="640"/>
      <c r="R472" s="640"/>
      <c r="S472" s="640"/>
      <c r="T472" s="640"/>
      <c r="U472" s="640"/>
      <c r="V472" s="641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63" t="s">
        <v>62</v>
      </c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3"/>
      <c r="P473" s="653"/>
      <c r="Q473" s="653"/>
      <c r="R473" s="653"/>
      <c r="S473" s="653"/>
      <c r="T473" s="653"/>
      <c r="U473" s="653"/>
      <c r="V473" s="653"/>
      <c r="W473" s="653"/>
      <c r="X473" s="653"/>
      <c r="Y473" s="653"/>
      <c r="Z473" s="653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6">
        <v>4607091384246</v>
      </c>
      <c r="E474" s="647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3"/>
      <c r="R474" s="643"/>
      <c r="S474" s="643"/>
      <c r="T474" s="644"/>
      <c r="U474" s="34"/>
      <c r="V474" s="34"/>
      <c r="W474" s="35" t="s">
        <v>67</v>
      </c>
      <c r="X474" s="635">
        <v>850</v>
      </c>
      <c r="Y474" s="636">
        <f>IFERROR(IF(X474="",0,CEILING((X474/$H474),1)*$H474),"")</f>
        <v>855</v>
      </c>
      <c r="Z474" s="36">
        <f>IFERROR(IF(Y474=0,"",ROUNDUP(Y474/H474,0)*0.01898),"")</f>
        <v>1.8030999999999999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896.65555555555557</v>
      </c>
      <c r="BN474" s="64">
        <f>IFERROR(Y474*I474/H474,"0")</f>
        <v>901.93</v>
      </c>
      <c r="BO474" s="64">
        <f>IFERROR(1/J474*(X474/H474),"0")</f>
        <v>1.4756944444444444</v>
      </c>
      <c r="BP474" s="64">
        <f>IFERROR(1/J474*(Y474/H474),"0")</f>
        <v>1.484375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6">
        <v>4607091384253</v>
      </c>
      <c r="E475" s="647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3"/>
      <c r="R475" s="643"/>
      <c r="S475" s="643"/>
      <c r="T475" s="644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6">
        <v>4607091384253</v>
      </c>
      <c r="E476" s="647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3"/>
      <c r="R476" s="643"/>
      <c r="S476" s="643"/>
      <c r="T476" s="644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52"/>
      <c r="B477" s="653"/>
      <c r="C477" s="653"/>
      <c r="D477" s="653"/>
      <c r="E477" s="653"/>
      <c r="F477" s="653"/>
      <c r="G477" s="653"/>
      <c r="H477" s="653"/>
      <c r="I477" s="653"/>
      <c r="J477" s="653"/>
      <c r="K477" s="653"/>
      <c r="L477" s="653"/>
      <c r="M477" s="653"/>
      <c r="N477" s="653"/>
      <c r="O477" s="654"/>
      <c r="P477" s="639" t="s">
        <v>81</v>
      </c>
      <c r="Q477" s="640"/>
      <c r="R477" s="640"/>
      <c r="S477" s="640"/>
      <c r="T477" s="640"/>
      <c r="U477" s="640"/>
      <c r="V477" s="641"/>
      <c r="W477" s="37" t="s">
        <v>82</v>
      </c>
      <c r="X477" s="637">
        <f>IFERROR(X474/H474,"0")+IFERROR(X475/H475,"0")+IFERROR(X476/H476,"0")</f>
        <v>94.444444444444443</v>
      </c>
      <c r="Y477" s="637">
        <f>IFERROR(Y474/H474,"0")+IFERROR(Y475/H475,"0")+IFERROR(Y476/H476,"0")</f>
        <v>95</v>
      </c>
      <c r="Z477" s="637">
        <f>IFERROR(IF(Z474="",0,Z474),"0")+IFERROR(IF(Z475="",0,Z475),"0")+IFERROR(IF(Z476="",0,Z476),"0")</f>
        <v>1.8030999999999999</v>
      </c>
      <c r="AA477" s="638"/>
      <c r="AB477" s="638"/>
      <c r="AC477" s="638"/>
    </row>
    <row r="478" spans="1:68" x14ac:dyDescent="0.2">
      <c r="A478" s="653"/>
      <c r="B478" s="653"/>
      <c r="C478" s="653"/>
      <c r="D478" s="653"/>
      <c r="E478" s="653"/>
      <c r="F478" s="653"/>
      <c r="G478" s="653"/>
      <c r="H478" s="653"/>
      <c r="I478" s="653"/>
      <c r="J478" s="653"/>
      <c r="K478" s="653"/>
      <c r="L478" s="653"/>
      <c r="M478" s="653"/>
      <c r="N478" s="653"/>
      <c r="O478" s="654"/>
      <c r="P478" s="639" t="s">
        <v>81</v>
      </c>
      <c r="Q478" s="640"/>
      <c r="R478" s="640"/>
      <c r="S478" s="640"/>
      <c r="T478" s="640"/>
      <c r="U478" s="640"/>
      <c r="V478" s="641"/>
      <c r="W478" s="37" t="s">
        <v>67</v>
      </c>
      <c r="X478" s="637">
        <f>IFERROR(SUM(X474:X476),"0")</f>
        <v>850</v>
      </c>
      <c r="Y478" s="637">
        <f>IFERROR(SUM(Y474:Y476),"0")</f>
        <v>855</v>
      </c>
      <c r="Z478" s="37"/>
      <c r="AA478" s="638"/>
      <c r="AB478" s="638"/>
      <c r="AC478" s="638"/>
    </row>
    <row r="479" spans="1:68" ht="27.75" hidden="1" customHeight="1" x14ac:dyDescent="0.2">
      <c r="A479" s="671" t="s">
        <v>767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48"/>
      <c r="AB479" s="48"/>
      <c r="AC479" s="48"/>
    </row>
    <row r="480" spans="1:68" ht="16.5" hidden="1" customHeight="1" x14ac:dyDescent="0.25">
      <c r="A480" s="658" t="s">
        <v>768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30"/>
      <c r="AB480" s="630"/>
      <c r="AC480" s="630"/>
    </row>
    <row r="481" spans="1:68" ht="14.25" hidden="1" customHeight="1" x14ac:dyDescent="0.25">
      <c r="A481" s="663" t="s">
        <v>245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6">
        <v>4680115886100</v>
      </c>
      <c r="E482" s="647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3"/>
      <c r="R482" s="643"/>
      <c r="S482" s="643"/>
      <c r="T482" s="644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6">
        <v>4680115886124</v>
      </c>
      <c r="E483" s="647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8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3"/>
      <c r="R483" s="643"/>
      <c r="S483" s="643"/>
      <c r="T483" s="644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6">
        <v>4607091384338</v>
      </c>
      <c r="E484" s="647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3"/>
      <c r="R484" s="643"/>
      <c r="S484" s="643"/>
      <c r="T484" s="644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6">
        <v>4680115883161</v>
      </c>
      <c r="E485" s="647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3"/>
      <c r="R485" s="643"/>
      <c r="S485" s="643"/>
      <c r="T485" s="644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6">
        <v>4607091389531</v>
      </c>
      <c r="E486" s="647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3"/>
      <c r="R486" s="643"/>
      <c r="S486" s="643"/>
      <c r="T486" s="644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6">
        <v>4607091384345</v>
      </c>
      <c r="E487" s="647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3"/>
      <c r="R487" s="643"/>
      <c r="S487" s="643"/>
      <c r="T487" s="644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39" t="s">
        <v>81</v>
      </c>
      <c r="Q488" s="640"/>
      <c r="R488" s="640"/>
      <c r="S488" s="640"/>
      <c r="T488" s="640"/>
      <c r="U488" s="640"/>
      <c r="V488" s="641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39" t="s">
        <v>81</v>
      </c>
      <c r="Q489" s="640"/>
      <c r="R489" s="640"/>
      <c r="S489" s="640"/>
      <c r="T489" s="640"/>
      <c r="U489" s="640"/>
      <c r="V489" s="641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63" t="s">
        <v>62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6">
        <v>4607091384352</v>
      </c>
      <c r="E491" s="647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3"/>
      <c r="R491" s="643"/>
      <c r="S491" s="643"/>
      <c r="T491" s="644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52"/>
      <c r="B492" s="653"/>
      <c r="C492" s="653"/>
      <c r="D492" s="653"/>
      <c r="E492" s="653"/>
      <c r="F492" s="653"/>
      <c r="G492" s="653"/>
      <c r="H492" s="653"/>
      <c r="I492" s="653"/>
      <c r="J492" s="653"/>
      <c r="K492" s="653"/>
      <c r="L492" s="653"/>
      <c r="M492" s="653"/>
      <c r="N492" s="653"/>
      <c r="O492" s="654"/>
      <c r="P492" s="639" t="s">
        <v>81</v>
      </c>
      <c r="Q492" s="640"/>
      <c r="R492" s="640"/>
      <c r="S492" s="640"/>
      <c r="T492" s="640"/>
      <c r="U492" s="640"/>
      <c r="V492" s="641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53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39" t="s">
        <v>81</v>
      </c>
      <c r="Q493" s="640"/>
      <c r="R493" s="640"/>
      <c r="S493" s="640"/>
      <c r="T493" s="640"/>
      <c r="U493" s="640"/>
      <c r="V493" s="641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8" t="s">
        <v>788</v>
      </c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3"/>
      <c r="P494" s="653"/>
      <c r="Q494" s="653"/>
      <c r="R494" s="653"/>
      <c r="S494" s="653"/>
      <c r="T494" s="653"/>
      <c r="U494" s="653"/>
      <c r="V494" s="653"/>
      <c r="W494" s="653"/>
      <c r="X494" s="653"/>
      <c r="Y494" s="653"/>
      <c r="Z494" s="653"/>
      <c r="AA494" s="630"/>
      <c r="AB494" s="630"/>
      <c r="AC494" s="630"/>
    </row>
    <row r="495" spans="1:68" ht="14.25" hidden="1" customHeight="1" x14ac:dyDescent="0.25">
      <c r="A495" s="663" t="s">
        <v>150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6">
        <v>4680115885240</v>
      </c>
      <c r="E496" s="647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3"/>
      <c r="R496" s="643"/>
      <c r="S496" s="643"/>
      <c r="T496" s="644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2"/>
      <c r="B497" s="653"/>
      <c r="C497" s="653"/>
      <c r="D497" s="653"/>
      <c r="E497" s="653"/>
      <c r="F497" s="653"/>
      <c r="G497" s="653"/>
      <c r="H497" s="653"/>
      <c r="I497" s="653"/>
      <c r="J497" s="653"/>
      <c r="K497" s="653"/>
      <c r="L497" s="653"/>
      <c r="M497" s="653"/>
      <c r="N497" s="653"/>
      <c r="O497" s="654"/>
      <c r="P497" s="639" t="s">
        <v>81</v>
      </c>
      <c r="Q497" s="640"/>
      <c r="R497" s="640"/>
      <c r="S497" s="640"/>
      <c r="T497" s="640"/>
      <c r="U497" s="640"/>
      <c r="V497" s="641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53"/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4"/>
      <c r="P498" s="639" t="s">
        <v>81</v>
      </c>
      <c r="Q498" s="640"/>
      <c r="R498" s="640"/>
      <c r="S498" s="640"/>
      <c r="T498" s="640"/>
      <c r="U498" s="640"/>
      <c r="V498" s="641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63" t="s">
        <v>245</v>
      </c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3"/>
      <c r="P499" s="653"/>
      <c r="Q499" s="653"/>
      <c r="R499" s="653"/>
      <c r="S499" s="653"/>
      <c r="T499" s="653"/>
      <c r="U499" s="653"/>
      <c r="V499" s="653"/>
      <c r="W499" s="653"/>
      <c r="X499" s="653"/>
      <c r="Y499" s="653"/>
      <c r="Z499" s="653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6">
        <v>4680115886094</v>
      </c>
      <c r="E500" s="647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3"/>
      <c r="R500" s="643"/>
      <c r="S500" s="643"/>
      <c r="T500" s="644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6">
        <v>4680115880771</v>
      </c>
      <c r="E501" s="647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3"/>
      <c r="R501" s="643"/>
      <c r="S501" s="643"/>
      <c r="T501" s="644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6">
        <v>4607091389500</v>
      </c>
      <c r="E502" s="647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8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3"/>
      <c r="R502" s="643"/>
      <c r="S502" s="643"/>
      <c r="T502" s="644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52"/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4"/>
      <c r="P503" s="639" t="s">
        <v>81</v>
      </c>
      <c r="Q503" s="640"/>
      <c r="R503" s="640"/>
      <c r="S503" s="640"/>
      <c r="T503" s="640"/>
      <c r="U503" s="640"/>
      <c r="V503" s="641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53"/>
      <c r="B504" s="653"/>
      <c r="C504" s="653"/>
      <c r="D504" s="653"/>
      <c r="E504" s="653"/>
      <c r="F504" s="653"/>
      <c r="G504" s="653"/>
      <c r="H504" s="653"/>
      <c r="I504" s="653"/>
      <c r="J504" s="653"/>
      <c r="K504" s="653"/>
      <c r="L504" s="653"/>
      <c r="M504" s="653"/>
      <c r="N504" s="653"/>
      <c r="O504" s="654"/>
      <c r="P504" s="639" t="s">
        <v>81</v>
      </c>
      <c r="Q504" s="640"/>
      <c r="R504" s="640"/>
      <c r="S504" s="640"/>
      <c r="T504" s="640"/>
      <c r="U504" s="640"/>
      <c r="V504" s="641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71" t="s">
        <v>800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48"/>
      <c r="AB505" s="48"/>
      <c r="AC505" s="48"/>
    </row>
    <row r="506" spans="1:68" ht="16.5" hidden="1" customHeight="1" x14ac:dyDescent="0.25">
      <c r="A506" s="658" t="s">
        <v>800</v>
      </c>
      <c r="B506" s="653"/>
      <c r="C506" s="653"/>
      <c r="D506" s="653"/>
      <c r="E506" s="653"/>
      <c r="F506" s="653"/>
      <c r="G506" s="653"/>
      <c r="H506" s="653"/>
      <c r="I506" s="653"/>
      <c r="J506" s="653"/>
      <c r="K506" s="653"/>
      <c r="L506" s="653"/>
      <c r="M506" s="653"/>
      <c r="N506" s="653"/>
      <c r="O506" s="653"/>
      <c r="P506" s="653"/>
      <c r="Q506" s="653"/>
      <c r="R506" s="653"/>
      <c r="S506" s="653"/>
      <c r="T506" s="653"/>
      <c r="U506" s="653"/>
      <c r="V506" s="653"/>
      <c r="W506" s="653"/>
      <c r="X506" s="653"/>
      <c r="Y506" s="653"/>
      <c r="Z506" s="653"/>
      <c r="AA506" s="630"/>
      <c r="AB506" s="630"/>
      <c r="AC506" s="630"/>
    </row>
    <row r="507" spans="1:68" ht="14.25" hidden="1" customHeight="1" x14ac:dyDescent="0.25">
      <c r="A507" s="663" t="s">
        <v>113</v>
      </c>
      <c r="B507" s="653"/>
      <c r="C507" s="653"/>
      <c r="D507" s="653"/>
      <c r="E507" s="653"/>
      <c r="F507" s="653"/>
      <c r="G507" s="653"/>
      <c r="H507" s="653"/>
      <c r="I507" s="653"/>
      <c r="J507" s="653"/>
      <c r="K507" s="653"/>
      <c r="L507" s="653"/>
      <c r="M507" s="653"/>
      <c r="N507" s="653"/>
      <c r="O507" s="653"/>
      <c r="P507" s="653"/>
      <c r="Q507" s="653"/>
      <c r="R507" s="653"/>
      <c r="S507" s="653"/>
      <c r="T507" s="653"/>
      <c r="U507" s="653"/>
      <c r="V507" s="653"/>
      <c r="W507" s="653"/>
      <c r="X507" s="653"/>
      <c r="Y507" s="653"/>
      <c r="Z507" s="653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6">
        <v>4607091389067</v>
      </c>
      <c r="E508" s="647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3"/>
      <c r="R508" s="643"/>
      <c r="S508" s="643"/>
      <c r="T508" s="644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6">
        <v>4680115889576</v>
      </c>
      <c r="E509" s="647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3"/>
      <c r="R509" s="643"/>
      <c r="S509" s="643"/>
      <c r="T509" s="644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6">
        <v>4680115885271</v>
      </c>
      <c r="E510" s="647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3"/>
      <c r="R510" s="643"/>
      <c r="S510" s="643"/>
      <c r="T510" s="644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6">
        <v>4680115885226</v>
      </c>
      <c r="E511" s="647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3"/>
      <c r="R511" s="643"/>
      <c r="S511" s="643"/>
      <c r="T511" s="644"/>
      <c r="U511" s="34"/>
      <c r="V511" s="34"/>
      <c r="W511" s="35" t="s">
        <v>67</v>
      </c>
      <c r="X511" s="635">
        <v>1047</v>
      </c>
      <c r="Y511" s="636">
        <f t="shared" si="72"/>
        <v>1050.72</v>
      </c>
      <c r="Z511" s="36">
        <f>IFERROR(IF(Y511=0,"",ROUNDUP(Y511/H511,0)*0.01196),"")</f>
        <v>2.3800400000000002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1116.403409090909</v>
      </c>
      <c r="BN511" s="64">
        <f t="shared" si="74"/>
        <v>1120.3699999999999</v>
      </c>
      <c r="BO511" s="64">
        <f t="shared" si="75"/>
        <v>1.9066870629370629</v>
      </c>
      <c r="BP511" s="64">
        <f t="shared" si="76"/>
        <v>1.9134615384615385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6">
        <v>4607091389104</v>
      </c>
      <c r="E512" s="647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3"/>
      <c r="R512" s="643"/>
      <c r="S512" s="643"/>
      <c r="T512" s="644"/>
      <c r="U512" s="34"/>
      <c r="V512" s="34"/>
      <c r="W512" s="35" t="s">
        <v>67</v>
      </c>
      <c r="X512" s="635">
        <v>1485</v>
      </c>
      <c r="Y512" s="636">
        <f t="shared" si="72"/>
        <v>1488.96</v>
      </c>
      <c r="Z512" s="36">
        <f>IFERROR(IF(Y512=0,"",ROUNDUP(Y512/H512,0)*0.01196),"")</f>
        <v>3.3727200000000002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1583.4374999999998</v>
      </c>
      <c r="BN512" s="64">
        <f t="shared" si="74"/>
        <v>1587.66</v>
      </c>
      <c r="BO512" s="64">
        <f t="shared" si="75"/>
        <v>2.7043269230769234</v>
      </c>
      <c r="BP512" s="64">
        <f t="shared" si="76"/>
        <v>2.7115384615384617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6">
        <v>4680115886391</v>
      </c>
      <c r="E513" s="647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3"/>
      <c r="R513" s="643"/>
      <c r="S513" s="643"/>
      <c r="T513" s="644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customHeight="1" x14ac:dyDescent="0.25">
      <c r="A514" s="54" t="s">
        <v>817</v>
      </c>
      <c r="B514" s="54" t="s">
        <v>818</v>
      </c>
      <c r="C514" s="31">
        <v>4301012048</v>
      </c>
      <c r="D514" s="646">
        <v>4680115880603</v>
      </c>
      <c r="E514" s="647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9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3"/>
      <c r="R514" s="643"/>
      <c r="S514" s="643"/>
      <c r="T514" s="644"/>
      <c r="U514" s="34"/>
      <c r="V514" s="34"/>
      <c r="W514" s="35" t="s">
        <v>67</v>
      </c>
      <c r="X514" s="635">
        <v>221</v>
      </c>
      <c r="Y514" s="636">
        <f t="shared" si="72"/>
        <v>225.6</v>
      </c>
      <c r="Z514" s="36">
        <f>IFERROR(IF(Y514=0,"",ROUNDUP(Y514/H514,0)*0.00902),"")</f>
        <v>0.42393999999999998</v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318.14791666666673</v>
      </c>
      <c r="BN514" s="64">
        <f t="shared" si="74"/>
        <v>324.77</v>
      </c>
      <c r="BO514" s="64">
        <f t="shared" si="75"/>
        <v>0.34880050505050508</v>
      </c>
      <c r="BP514" s="64">
        <f t="shared" si="76"/>
        <v>0.35606060606060608</v>
      </c>
    </row>
    <row r="515" spans="1:68" ht="27" hidden="1" customHeight="1" x14ac:dyDescent="0.25">
      <c r="A515" s="54" t="s">
        <v>819</v>
      </c>
      <c r="B515" s="54" t="s">
        <v>820</v>
      </c>
      <c r="C515" s="31">
        <v>4301012034</v>
      </c>
      <c r="D515" s="646">
        <v>4607091389982</v>
      </c>
      <c r="E515" s="647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3"/>
      <c r="R515" s="643"/>
      <c r="S515" s="643"/>
      <c r="T515" s="644"/>
      <c r="U515" s="34"/>
      <c r="V515" s="34"/>
      <c r="W515" s="35" t="s">
        <v>67</v>
      </c>
      <c r="X515" s="635">
        <v>0</v>
      </c>
      <c r="Y515" s="636">
        <f t="shared" si="72"/>
        <v>0</v>
      </c>
      <c r="Z515" s="36" t="str">
        <f>IFERROR(IF(Y515=0,"",ROUNDUP(Y515/H515,0)*0.00902),"")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0</v>
      </c>
      <c r="BN515" s="64">
        <f t="shared" si="74"/>
        <v>0</v>
      </c>
      <c r="BO515" s="64">
        <f t="shared" si="75"/>
        <v>0</v>
      </c>
      <c r="BP515" s="64">
        <f t="shared" si="76"/>
        <v>0</v>
      </c>
    </row>
    <row r="516" spans="1:68" x14ac:dyDescent="0.2">
      <c r="A516" s="652"/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4"/>
      <c r="P516" s="639" t="s">
        <v>81</v>
      </c>
      <c r="Q516" s="640"/>
      <c r="R516" s="640"/>
      <c r="S516" s="640"/>
      <c r="T516" s="640"/>
      <c r="U516" s="640"/>
      <c r="V516" s="641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525.58712121212113</v>
      </c>
      <c r="Y516" s="637">
        <f>IFERROR(Y508/H508,"0")+IFERROR(Y509/H509,"0")+IFERROR(Y510/H510,"0")+IFERROR(Y511/H511,"0")+IFERROR(Y512/H512,"0")+IFERROR(Y513/H513,"0")+IFERROR(Y514/H514,"0")+IFERROR(Y515/H515,"0")</f>
        <v>528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6.1767000000000003</v>
      </c>
      <c r="AA516" s="638"/>
      <c r="AB516" s="638"/>
      <c r="AC516" s="638"/>
    </row>
    <row r="517" spans="1:68" x14ac:dyDescent="0.2">
      <c r="A517" s="653"/>
      <c r="B517" s="653"/>
      <c r="C517" s="653"/>
      <c r="D517" s="653"/>
      <c r="E517" s="653"/>
      <c r="F517" s="653"/>
      <c r="G517" s="653"/>
      <c r="H517" s="653"/>
      <c r="I517" s="653"/>
      <c r="J517" s="653"/>
      <c r="K517" s="653"/>
      <c r="L517" s="653"/>
      <c r="M517" s="653"/>
      <c r="N517" s="653"/>
      <c r="O517" s="654"/>
      <c r="P517" s="639" t="s">
        <v>81</v>
      </c>
      <c r="Q517" s="640"/>
      <c r="R517" s="640"/>
      <c r="S517" s="640"/>
      <c r="T517" s="640"/>
      <c r="U517" s="640"/>
      <c r="V517" s="641"/>
      <c r="W517" s="37" t="s">
        <v>67</v>
      </c>
      <c r="X517" s="637">
        <f>IFERROR(SUM(X508:X515),"0")</f>
        <v>2753</v>
      </c>
      <c r="Y517" s="637">
        <f>IFERROR(SUM(Y508:Y515),"0")</f>
        <v>2765.28</v>
      </c>
      <c r="Z517" s="37"/>
      <c r="AA517" s="638"/>
      <c r="AB517" s="638"/>
      <c r="AC517" s="638"/>
    </row>
    <row r="518" spans="1:68" ht="14.25" hidden="1" customHeight="1" x14ac:dyDescent="0.25">
      <c r="A518" s="663" t="s">
        <v>150</v>
      </c>
      <c r="B518" s="653"/>
      <c r="C518" s="653"/>
      <c r="D518" s="653"/>
      <c r="E518" s="653"/>
      <c r="F518" s="653"/>
      <c r="G518" s="653"/>
      <c r="H518" s="653"/>
      <c r="I518" s="653"/>
      <c r="J518" s="653"/>
      <c r="K518" s="653"/>
      <c r="L518" s="653"/>
      <c r="M518" s="653"/>
      <c r="N518" s="653"/>
      <c r="O518" s="653"/>
      <c r="P518" s="653"/>
      <c r="Q518" s="653"/>
      <c r="R518" s="653"/>
      <c r="S518" s="653"/>
      <c r="T518" s="653"/>
      <c r="U518" s="653"/>
      <c r="V518" s="653"/>
      <c r="W518" s="653"/>
      <c r="X518" s="653"/>
      <c r="Y518" s="653"/>
      <c r="Z518" s="653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6">
        <v>4607091388930</v>
      </c>
      <c r="E519" s="647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3"/>
      <c r="R519" s="643"/>
      <c r="S519" s="643"/>
      <c r="T519" s="644"/>
      <c r="U519" s="34"/>
      <c r="V519" s="34"/>
      <c r="W519" s="35" t="s">
        <v>67</v>
      </c>
      <c r="X519" s="635">
        <v>469</v>
      </c>
      <c r="Y519" s="636">
        <f>IFERROR(IF(X519="",0,CEILING((X519/$H519),1)*$H519),"")</f>
        <v>469.92</v>
      </c>
      <c r="Z519" s="36">
        <f>IFERROR(IF(Y519=0,"",ROUNDUP(Y519/H519,0)*0.01196),"")</f>
        <v>1.0644400000000001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500.08901515151507</v>
      </c>
      <c r="BN519" s="64">
        <f>IFERROR(Y519*I519/H519,"0")</f>
        <v>501.07</v>
      </c>
      <c r="BO519" s="64">
        <f>IFERROR(1/J519*(X519/H519),"0")</f>
        <v>0.85409382284382296</v>
      </c>
      <c r="BP519" s="64">
        <f>IFERROR(1/J519*(Y519/H519),"0")</f>
        <v>0.85576923076923084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6">
        <v>4680115886407</v>
      </c>
      <c r="E520" s="647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3"/>
      <c r="R520" s="643"/>
      <c r="S520" s="643"/>
      <c r="T520" s="644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6">
        <v>4680115880054</v>
      </c>
      <c r="E521" s="647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3"/>
      <c r="R521" s="643"/>
      <c r="S521" s="643"/>
      <c r="T521" s="644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52"/>
      <c r="B522" s="653"/>
      <c r="C522" s="653"/>
      <c r="D522" s="653"/>
      <c r="E522" s="653"/>
      <c r="F522" s="653"/>
      <c r="G522" s="653"/>
      <c r="H522" s="653"/>
      <c r="I522" s="653"/>
      <c r="J522" s="653"/>
      <c r="K522" s="653"/>
      <c r="L522" s="653"/>
      <c r="M522" s="653"/>
      <c r="N522" s="653"/>
      <c r="O522" s="654"/>
      <c r="P522" s="639" t="s">
        <v>81</v>
      </c>
      <c r="Q522" s="640"/>
      <c r="R522" s="640"/>
      <c r="S522" s="640"/>
      <c r="T522" s="640"/>
      <c r="U522" s="640"/>
      <c r="V522" s="641"/>
      <c r="W522" s="37" t="s">
        <v>82</v>
      </c>
      <c r="X522" s="637">
        <f>IFERROR(X519/H519,"0")+IFERROR(X520/H520,"0")+IFERROR(X521/H521,"0")</f>
        <v>88.825757575757578</v>
      </c>
      <c r="Y522" s="637">
        <f>IFERROR(Y519/H519,"0")+IFERROR(Y520/H520,"0")+IFERROR(Y521/H521,"0")</f>
        <v>89</v>
      </c>
      <c r="Z522" s="637">
        <f>IFERROR(IF(Z519="",0,Z519),"0")+IFERROR(IF(Z520="",0,Z520),"0")+IFERROR(IF(Z521="",0,Z521),"0")</f>
        <v>1.0644400000000001</v>
      </c>
      <c r="AA522" s="638"/>
      <c r="AB522" s="638"/>
      <c r="AC522" s="638"/>
    </row>
    <row r="523" spans="1:68" x14ac:dyDescent="0.2">
      <c r="A523" s="653"/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4"/>
      <c r="P523" s="639" t="s">
        <v>81</v>
      </c>
      <c r="Q523" s="640"/>
      <c r="R523" s="640"/>
      <c r="S523" s="640"/>
      <c r="T523" s="640"/>
      <c r="U523" s="640"/>
      <c r="V523" s="641"/>
      <c r="W523" s="37" t="s">
        <v>67</v>
      </c>
      <c r="X523" s="637">
        <f>IFERROR(SUM(X519:X521),"0")</f>
        <v>469</v>
      </c>
      <c r="Y523" s="637">
        <f>IFERROR(SUM(Y519:Y521),"0")</f>
        <v>469.92</v>
      </c>
      <c r="Z523" s="37"/>
      <c r="AA523" s="638"/>
      <c r="AB523" s="638"/>
      <c r="AC523" s="638"/>
    </row>
    <row r="524" spans="1:68" ht="14.25" hidden="1" customHeight="1" x14ac:dyDescent="0.25">
      <c r="A524" s="663" t="s">
        <v>245</v>
      </c>
      <c r="B524" s="653"/>
      <c r="C524" s="653"/>
      <c r="D524" s="653"/>
      <c r="E524" s="653"/>
      <c r="F524" s="653"/>
      <c r="G524" s="653"/>
      <c r="H524" s="653"/>
      <c r="I524" s="653"/>
      <c r="J524" s="653"/>
      <c r="K524" s="653"/>
      <c r="L524" s="653"/>
      <c r="M524" s="653"/>
      <c r="N524" s="653"/>
      <c r="O524" s="653"/>
      <c r="P524" s="653"/>
      <c r="Q524" s="653"/>
      <c r="R524" s="653"/>
      <c r="S524" s="653"/>
      <c r="T524" s="653"/>
      <c r="U524" s="653"/>
      <c r="V524" s="653"/>
      <c r="W524" s="653"/>
      <c r="X524" s="653"/>
      <c r="Y524" s="653"/>
      <c r="Z524" s="653"/>
      <c r="AA524" s="631"/>
      <c r="AB524" s="631"/>
      <c r="AC524" s="631"/>
    </row>
    <row r="525" spans="1:68" ht="27" customHeight="1" x14ac:dyDescent="0.25">
      <c r="A525" s="54" t="s">
        <v>828</v>
      </c>
      <c r="B525" s="54" t="s">
        <v>829</v>
      </c>
      <c r="C525" s="31">
        <v>4301031349</v>
      </c>
      <c r="D525" s="646">
        <v>4680115883116</v>
      </c>
      <c r="E525" s="647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3"/>
      <c r="R525" s="643"/>
      <c r="S525" s="643"/>
      <c r="T525" s="644"/>
      <c r="U525" s="34"/>
      <c r="V525" s="34"/>
      <c r="W525" s="35" t="s">
        <v>67</v>
      </c>
      <c r="X525" s="635">
        <v>204</v>
      </c>
      <c r="Y525" s="636">
        <f t="shared" ref="Y525:Y531" si="77">IFERROR(IF(X525="",0,CEILING((X525/$H525),1)*$H525),"")</f>
        <v>205.92000000000002</v>
      </c>
      <c r="Z525" s="36">
        <f>IFERROR(IF(Y525=0,"",ROUNDUP(Y525/H525,0)*0.01196),"")</f>
        <v>0.46644000000000002</v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217.52272727272725</v>
      </c>
      <c r="BN525" s="64">
        <f t="shared" ref="BN525:BN531" si="79">IFERROR(Y525*I525/H525,"0")</f>
        <v>219.57</v>
      </c>
      <c r="BO525" s="64">
        <f t="shared" ref="BO525:BO531" si="80">IFERROR(1/J525*(X525/H525),"0")</f>
        <v>0.37150349650349651</v>
      </c>
      <c r="BP525" s="64">
        <f t="shared" ref="BP525:BP531" si="81">IFERROR(1/J525*(Y525/H525),"0")</f>
        <v>0.375</v>
      </c>
    </row>
    <row r="526" spans="1:68" ht="27" hidden="1" customHeight="1" x14ac:dyDescent="0.25">
      <c r="A526" s="54" t="s">
        <v>831</v>
      </c>
      <c r="B526" s="54" t="s">
        <v>832</v>
      </c>
      <c r="C526" s="31">
        <v>4301031350</v>
      </c>
      <c r="D526" s="646">
        <v>4680115883093</v>
      </c>
      <c r="E526" s="647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3"/>
      <c r="R526" s="643"/>
      <c r="S526" s="643"/>
      <c r="T526" s="644"/>
      <c r="U526" s="34"/>
      <c r="V526" s="34"/>
      <c r="W526" s="35" t="s">
        <v>67</v>
      </c>
      <c r="X526" s="635">
        <v>0</v>
      </c>
      <c r="Y526" s="636">
        <f t="shared" si="77"/>
        <v>0</v>
      </c>
      <c r="Z526" s="36" t="str">
        <f>IFERROR(IF(Y526=0,"",ROUNDUP(Y526/H526,0)*0.01196),"")</f>
        <v/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0</v>
      </c>
      <c r="BN526" s="64">
        <f t="shared" si="79"/>
        <v>0</v>
      </c>
      <c r="BO526" s="64">
        <f t="shared" si="80"/>
        <v>0</v>
      </c>
      <c r="BP526" s="64">
        <f t="shared" si="81"/>
        <v>0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6">
        <v>4680115883109</v>
      </c>
      <c r="E527" s="647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3"/>
      <c r="R527" s="643"/>
      <c r="S527" s="643"/>
      <c r="T527" s="644"/>
      <c r="U527" s="34"/>
      <c r="V527" s="34"/>
      <c r="W527" s="35" t="s">
        <v>67</v>
      </c>
      <c r="X527" s="635">
        <v>424</v>
      </c>
      <c r="Y527" s="636">
        <f t="shared" si="77"/>
        <v>427.68</v>
      </c>
      <c r="Z527" s="36">
        <f>IFERROR(IF(Y527=0,"",ROUNDUP(Y527/H527,0)*0.01196),"")</f>
        <v>0.96876000000000007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452.10606060606057</v>
      </c>
      <c r="BN527" s="64">
        <f t="shared" si="79"/>
        <v>456.03</v>
      </c>
      <c r="BO527" s="64">
        <f t="shared" si="80"/>
        <v>0.77214452214452212</v>
      </c>
      <c r="BP527" s="64">
        <f t="shared" si="81"/>
        <v>0.77884615384615385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6">
        <v>4680115882072</v>
      </c>
      <c r="E528" s="647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3"/>
      <c r="R528" s="643"/>
      <c r="S528" s="643"/>
      <c r="T528" s="644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6">
        <v>4680115882102</v>
      </c>
      <c r="E529" s="647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3"/>
      <c r="R529" s="643"/>
      <c r="S529" s="643"/>
      <c r="T529" s="644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6">
        <v>4680115882102</v>
      </c>
      <c r="E530" s="647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3"/>
      <c r="R530" s="643"/>
      <c r="S530" s="643"/>
      <c r="T530" s="644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6">
        <v>4680115882096</v>
      </c>
      <c r="E531" s="647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3"/>
      <c r="R531" s="643"/>
      <c r="S531" s="643"/>
      <c r="T531" s="644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52"/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4"/>
      <c r="P532" s="639" t="s">
        <v>81</v>
      </c>
      <c r="Q532" s="640"/>
      <c r="R532" s="640"/>
      <c r="S532" s="640"/>
      <c r="T532" s="640"/>
      <c r="U532" s="640"/>
      <c r="V532" s="641"/>
      <c r="W532" s="37" t="s">
        <v>82</v>
      </c>
      <c r="X532" s="637">
        <f>IFERROR(X525/H525,"0")+IFERROR(X526/H526,"0")+IFERROR(X527/H527,"0")+IFERROR(X528/H528,"0")+IFERROR(X529/H529,"0")+IFERROR(X530/H530,"0")+IFERROR(X531/H531,"0")</f>
        <v>118.93939393939394</v>
      </c>
      <c r="Y532" s="637">
        <f>IFERROR(Y525/H525,"0")+IFERROR(Y526/H526,"0")+IFERROR(Y527/H527,"0")+IFERROR(Y528/H528,"0")+IFERROR(Y529/H529,"0")+IFERROR(Y530/H530,"0")+IFERROR(Y531/H531,"0")</f>
        <v>120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1.4352</v>
      </c>
      <c r="AA532" s="638"/>
      <c r="AB532" s="638"/>
      <c r="AC532" s="638"/>
    </row>
    <row r="533" spans="1:68" x14ac:dyDescent="0.2">
      <c r="A533" s="653"/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4"/>
      <c r="P533" s="639" t="s">
        <v>81</v>
      </c>
      <c r="Q533" s="640"/>
      <c r="R533" s="640"/>
      <c r="S533" s="640"/>
      <c r="T533" s="640"/>
      <c r="U533" s="640"/>
      <c r="V533" s="641"/>
      <c r="W533" s="37" t="s">
        <v>67</v>
      </c>
      <c r="X533" s="637">
        <f>IFERROR(SUM(X525:X531),"0")</f>
        <v>628</v>
      </c>
      <c r="Y533" s="637">
        <f>IFERROR(SUM(Y525:Y531),"0")</f>
        <v>633.6</v>
      </c>
      <c r="Z533" s="37"/>
      <c r="AA533" s="638"/>
      <c r="AB533" s="638"/>
      <c r="AC533" s="638"/>
    </row>
    <row r="534" spans="1:68" ht="27.75" hidden="1" customHeight="1" x14ac:dyDescent="0.2">
      <c r="A534" s="671" t="s">
        <v>844</v>
      </c>
      <c r="B534" s="672"/>
      <c r="C534" s="672"/>
      <c r="D534" s="672"/>
      <c r="E534" s="672"/>
      <c r="F534" s="672"/>
      <c r="G534" s="672"/>
      <c r="H534" s="672"/>
      <c r="I534" s="672"/>
      <c r="J534" s="672"/>
      <c r="K534" s="672"/>
      <c r="L534" s="672"/>
      <c r="M534" s="672"/>
      <c r="N534" s="672"/>
      <c r="O534" s="672"/>
      <c r="P534" s="672"/>
      <c r="Q534" s="672"/>
      <c r="R534" s="672"/>
      <c r="S534" s="672"/>
      <c r="T534" s="672"/>
      <c r="U534" s="672"/>
      <c r="V534" s="672"/>
      <c r="W534" s="672"/>
      <c r="X534" s="672"/>
      <c r="Y534" s="672"/>
      <c r="Z534" s="672"/>
      <c r="AA534" s="48"/>
      <c r="AB534" s="48"/>
      <c r="AC534" s="48"/>
    </row>
    <row r="535" spans="1:68" ht="16.5" hidden="1" customHeight="1" x14ac:dyDescent="0.25">
      <c r="A535" s="658" t="s">
        <v>844</v>
      </c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3"/>
      <c r="P535" s="653"/>
      <c r="Q535" s="653"/>
      <c r="R535" s="653"/>
      <c r="S535" s="653"/>
      <c r="T535" s="653"/>
      <c r="U535" s="653"/>
      <c r="V535" s="653"/>
      <c r="W535" s="653"/>
      <c r="X535" s="653"/>
      <c r="Y535" s="653"/>
      <c r="Z535" s="653"/>
      <c r="AA535" s="630"/>
      <c r="AB535" s="630"/>
      <c r="AC535" s="630"/>
    </row>
    <row r="536" spans="1:68" ht="14.25" hidden="1" customHeight="1" x14ac:dyDescent="0.25">
      <c r="A536" s="663" t="s">
        <v>113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6">
        <v>4680115889736</v>
      </c>
      <c r="E537" s="647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3"/>
      <c r="R537" s="643"/>
      <c r="S537" s="643"/>
      <c r="T537" s="644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53"/>
      <c r="C538" s="653"/>
      <c r="D538" s="653"/>
      <c r="E538" s="653"/>
      <c r="F538" s="653"/>
      <c r="G538" s="653"/>
      <c r="H538" s="653"/>
      <c r="I538" s="653"/>
      <c r="J538" s="653"/>
      <c r="K538" s="653"/>
      <c r="L538" s="653"/>
      <c r="M538" s="653"/>
      <c r="N538" s="653"/>
      <c r="O538" s="654"/>
      <c r="P538" s="639" t="s">
        <v>81</v>
      </c>
      <c r="Q538" s="640"/>
      <c r="R538" s="640"/>
      <c r="S538" s="640"/>
      <c r="T538" s="640"/>
      <c r="U538" s="640"/>
      <c r="V538" s="641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53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39" t="s">
        <v>81</v>
      </c>
      <c r="Q539" s="640"/>
      <c r="R539" s="640"/>
      <c r="S539" s="640"/>
      <c r="T539" s="640"/>
      <c r="U539" s="640"/>
      <c r="V539" s="641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63" t="s">
        <v>150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6">
        <v>4680115889781</v>
      </c>
      <c r="E541" s="647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8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3"/>
      <c r="R541" s="643"/>
      <c r="S541" s="643"/>
      <c r="T541" s="644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2"/>
      <c r="B542" s="653"/>
      <c r="C542" s="653"/>
      <c r="D542" s="653"/>
      <c r="E542" s="653"/>
      <c r="F542" s="653"/>
      <c r="G542" s="653"/>
      <c r="H542" s="653"/>
      <c r="I542" s="653"/>
      <c r="J542" s="653"/>
      <c r="K542" s="653"/>
      <c r="L542" s="653"/>
      <c r="M542" s="653"/>
      <c r="N542" s="653"/>
      <c r="O542" s="654"/>
      <c r="P542" s="639" t="s">
        <v>81</v>
      </c>
      <c r="Q542" s="640"/>
      <c r="R542" s="640"/>
      <c r="S542" s="640"/>
      <c r="T542" s="640"/>
      <c r="U542" s="640"/>
      <c r="V542" s="641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53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39" t="s">
        <v>81</v>
      </c>
      <c r="Q543" s="640"/>
      <c r="R543" s="640"/>
      <c r="S543" s="640"/>
      <c r="T543" s="640"/>
      <c r="U543" s="640"/>
      <c r="V543" s="641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63" t="s">
        <v>245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6">
        <v>4680115889774</v>
      </c>
      <c r="E545" s="647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79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3"/>
      <c r="R545" s="643"/>
      <c r="S545" s="643"/>
      <c r="T545" s="644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52"/>
      <c r="B546" s="653"/>
      <c r="C546" s="653"/>
      <c r="D546" s="653"/>
      <c r="E546" s="653"/>
      <c r="F546" s="653"/>
      <c r="G546" s="653"/>
      <c r="H546" s="653"/>
      <c r="I546" s="653"/>
      <c r="J546" s="653"/>
      <c r="K546" s="653"/>
      <c r="L546" s="653"/>
      <c r="M546" s="653"/>
      <c r="N546" s="653"/>
      <c r="O546" s="654"/>
      <c r="P546" s="639" t="s">
        <v>81</v>
      </c>
      <c r="Q546" s="640"/>
      <c r="R546" s="640"/>
      <c r="S546" s="640"/>
      <c r="T546" s="640"/>
      <c r="U546" s="640"/>
      <c r="V546" s="641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53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39" t="s">
        <v>81</v>
      </c>
      <c r="Q547" s="640"/>
      <c r="R547" s="640"/>
      <c r="S547" s="640"/>
      <c r="T547" s="640"/>
      <c r="U547" s="640"/>
      <c r="V547" s="641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63" t="s">
        <v>62</v>
      </c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3"/>
      <c r="P548" s="653"/>
      <c r="Q548" s="653"/>
      <c r="R548" s="653"/>
      <c r="S548" s="653"/>
      <c r="T548" s="653"/>
      <c r="U548" s="653"/>
      <c r="V548" s="653"/>
      <c r="W548" s="653"/>
      <c r="X548" s="653"/>
      <c r="Y548" s="653"/>
      <c r="Z548" s="653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6">
        <v>4680115889811</v>
      </c>
      <c r="E549" s="647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8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3"/>
      <c r="R549" s="643"/>
      <c r="S549" s="643"/>
      <c r="T549" s="644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2"/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4"/>
      <c r="P550" s="639" t="s">
        <v>81</v>
      </c>
      <c r="Q550" s="640"/>
      <c r="R550" s="640"/>
      <c r="S550" s="640"/>
      <c r="T550" s="640"/>
      <c r="U550" s="640"/>
      <c r="V550" s="641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53"/>
      <c r="B551" s="653"/>
      <c r="C551" s="653"/>
      <c r="D551" s="653"/>
      <c r="E551" s="653"/>
      <c r="F551" s="653"/>
      <c r="G551" s="653"/>
      <c r="H551" s="653"/>
      <c r="I551" s="653"/>
      <c r="J551" s="653"/>
      <c r="K551" s="653"/>
      <c r="L551" s="653"/>
      <c r="M551" s="653"/>
      <c r="N551" s="653"/>
      <c r="O551" s="654"/>
      <c r="P551" s="639" t="s">
        <v>81</v>
      </c>
      <c r="Q551" s="640"/>
      <c r="R551" s="640"/>
      <c r="S551" s="640"/>
      <c r="T551" s="640"/>
      <c r="U551" s="640"/>
      <c r="V551" s="641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63" t="s">
        <v>168</v>
      </c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3"/>
      <c r="P552" s="653"/>
      <c r="Q552" s="653"/>
      <c r="R552" s="653"/>
      <c r="S552" s="653"/>
      <c r="T552" s="653"/>
      <c r="U552" s="653"/>
      <c r="V552" s="653"/>
      <c r="W552" s="653"/>
      <c r="X552" s="653"/>
      <c r="Y552" s="653"/>
      <c r="Z552" s="653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6">
        <v>4680115889804</v>
      </c>
      <c r="E553" s="647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3"/>
      <c r="R553" s="643"/>
      <c r="S553" s="643"/>
      <c r="T553" s="644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6">
        <v>4680115889828</v>
      </c>
      <c r="E554" s="647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8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3"/>
      <c r="R554" s="643"/>
      <c r="S554" s="643"/>
      <c r="T554" s="644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52"/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4"/>
      <c r="P555" s="639" t="s">
        <v>81</v>
      </c>
      <c r="Q555" s="640"/>
      <c r="R555" s="640"/>
      <c r="S555" s="640"/>
      <c r="T555" s="640"/>
      <c r="U555" s="640"/>
      <c r="V555" s="641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53"/>
      <c r="B556" s="653"/>
      <c r="C556" s="653"/>
      <c r="D556" s="653"/>
      <c r="E556" s="653"/>
      <c r="F556" s="653"/>
      <c r="G556" s="653"/>
      <c r="H556" s="653"/>
      <c r="I556" s="653"/>
      <c r="J556" s="653"/>
      <c r="K556" s="653"/>
      <c r="L556" s="653"/>
      <c r="M556" s="653"/>
      <c r="N556" s="653"/>
      <c r="O556" s="654"/>
      <c r="P556" s="639" t="s">
        <v>81</v>
      </c>
      <c r="Q556" s="640"/>
      <c r="R556" s="640"/>
      <c r="S556" s="640"/>
      <c r="T556" s="640"/>
      <c r="U556" s="640"/>
      <c r="V556" s="641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8" t="s">
        <v>862</v>
      </c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3"/>
      <c r="P557" s="653"/>
      <c r="Q557" s="653"/>
      <c r="R557" s="653"/>
      <c r="S557" s="653"/>
      <c r="T557" s="653"/>
      <c r="U557" s="653"/>
      <c r="V557" s="653"/>
      <c r="W557" s="653"/>
      <c r="X557" s="653"/>
      <c r="Y557" s="653"/>
      <c r="Z557" s="653"/>
      <c r="AA557" s="630"/>
      <c r="AB557" s="630"/>
      <c r="AC557" s="630"/>
    </row>
    <row r="558" spans="1:68" ht="14.25" hidden="1" customHeight="1" x14ac:dyDescent="0.25">
      <c r="A558" s="663" t="s">
        <v>150</v>
      </c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3"/>
      <c r="P558" s="653"/>
      <c r="Q558" s="653"/>
      <c r="R558" s="653"/>
      <c r="S558" s="653"/>
      <c r="T558" s="653"/>
      <c r="U558" s="653"/>
      <c r="V558" s="653"/>
      <c r="W558" s="653"/>
      <c r="X558" s="653"/>
      <c r="Y558" s="653"/>
      <c r="Z558" s="653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6">
        <v>4680115889798</v>
      </c>
      <c r="E559" s="647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3"/>
      <c r="R559" s="643"/>
      <c r="S559" s="643"/>
      <c r="T559" s="644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52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654"/>
      <c r="P560" s="639" t="s">
        <v>81</v>
      </c>
      <c r="Q560" s="640"/>
      <c r="R560" s="640"/>
      <c r="S560" s="640"/>
      <c r="T560" s="640"/>
      <c r="U560" s="640"/>
      <c r="V560" s="641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654"/>
      <c r="P561" s="639" t="s">
        <v>81</v>
      </c>
      <c r="Q561" s="640"/>
      <c r="R561" s="640"/>
      <c r="S561" s="640"/>
      <c r="T561" s="640"/>
      <c r="U561" s="640"/>
      <c r="V561" s="641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35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06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11413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11515.400000000001</v>
      </c>
      <c r="Z562" s="37"/>
      <c r="AA562" s="638"/>
      <c r="AB562" s="638"/>
      <c r="AC562" s="638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06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12146.646368613785</v>
      </c>
      <c r="Y563" s="637">
        <f>IFERROR(SUM(BN22:BN559),"0")</f>
        <v>12256.173999999999</v>
      </c>
      <c r="Z563" s="37"/>
      <c r="AA563" s="638"/>
      <c r="AB563" s="638"/>
      <c r="AC563" s="638"/>
    </row>
    <row r="564" spans="1:32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06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20</v>
      </c>
      <c r="Y564" s="38">
        <f>ROUNDUP(SUM(BP22:BP559),0)</f>
        <v>21</v>
      </c>
      <c r="Z564" s="37"/>
      <c r="AA564" s="638"/>
      <c r="AB564" s="638"/>
      <c r="AC564" s="638"/>
    </row>
    <row r="565" spans="1:32" x14ac:dyDescent="0.2">
      <c r="A565" s="653"/>
      <c r="B565" s="653"/>
      <c r="C565" s="653"/>
      <c r="D565" s="653"/>
      <c r="E565" s="653"/>
      <c r="F565" s="653"/>
      <c r="G565" s="653"/>
      <c r="H565" s="653"/>
      <c r="I565" s="653"/>
      <c r="J565" s="653"/>
      <c r="K565" s="653"/>
      <c r="L565" s="653"/>
      <c r="M565" s="653"/>
      <c r="N565" s="653"/>
      <c r="O565" s="806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12646.646368613785</v>
      </c>
      <c r="Y565" s="637">
        <f>GrossWeightTotalR+PalletQtyTotalR*25</f>
        <v>12781.173999999999</v>
      </c>
      <c r="Z565" s="37"/>
      <c r="AA565" s="638"/>
      <c r="AB565" s="638"/>
      <c r="AC565" s="638"/>
    </row>
    <row r="566" spans="1:32" x14ac:dyDescent="0.2">
      <c r="A566" s="653"/>
      <c r="B566" s="653"/>
      <c r="C566" s="653"/>
      <c r="D566" s="653"/>
      <c r="E566" s="653"/>
      <c r="F566" s="653"/>
      <c r="G566" s="653"/>
      <c r="H566" s="653"/>
      <c r="I566" s="653"/>
      <c r="J566" s="653"/>
      <c r="K566" s="653"/>
      <c r="L566" s="653"/>
      <c r="M566" s="653"/>
      <c r="N566" s="653"/>
      <c r="O566" s="806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1937.8859521942854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1955</v>
      </c>
      <c r="Z566" s="37"/>
      <c r="AA566" s="638"/>
      <c r="AB566" s="638"/>
      <c r="AC566" s="638"/>
    </row>
    <row r="567" spans="1:32" ht="14.25" hidden="1" customHeight="1" x14ac:dyDescent="0.2">
      <c r="A567" s="653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53"/>
      <c r="O567" s="806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23.866140000000001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73" t="s">
        <v>111</v>
      </c>
      <c r="E569" s="772"/>
      <c r="F569" s="772"/>
      <c r="G569" s="772"/>
      <c r="H569" s="772"/>
      <c r="I569" s="772"/>
      <c r="J569" s="768"/>
      <c r="K569" s="673" t="s">
        <v>329</v>
      </c>
      <c r="L569" s="772"/>
      <c r="M569" s="772"/>
      <c r="N569" s="772"/>
      <c r="O569" s="772"/>
      <c r="P569" s="772"/>
      <c r="Q569" s="772"/>
      <c r="R569" s="772"/>
      <c r="S569" s="772"/>
      <c r="T569" s="772"/>
      <c r="U569" s="772"/>
      <c r="V569" s="772"/>
      <c r="W569" s="768"/>
      <c r="X569" s="673" t="s">
        <v>701</v>
      </c>
      <c r="Y569" s="768"/>
      <c r="Z569" s="673" t="s">
        <v>767</v>
      </c>
      <c r="AA569" s="768"/>
      <c r="AB569" s="632" t="s">
        <v>800</v>
      </c>
      <c r="AC569" s="673" t="s">
        <v>844</v>
      </c>
      <c r="AD569" s="768"/>
      <c r="AF569" s="633"/>
    </row>
    <row r="570" spans="1:32" ht="14.25" customHeight="1" thickTop="1" x14ac:dyDescent="0.2">
      <c r="A570" s="910" t="s">
        <v>875</v>
      </c>
      <c r="B570" s="673" t="s">
        <v>61</v>
      </c>
      <c r="C570" s="673" t="s">
        <v>95</v>
      </c>
      <c r="D570" s="673" t="s">
        <v>112</v>
      </c>
      <c r="E570" s="673" t="s">
        <v>129</v>
      </c>
      <c r="F570" s="673" t="s">
        <v>176</v>
      </c>
      <c r="G570" s="673" t="s">
        <v>200</v>
      </c>
      <c r="H570" s="673" t="s">
        <v>239</v>
      </c>
      <c r="I570" s="673" t="s">
        <v>253</v>
      </c>
      <c r="J570" s="673" t="s">
        <v>111</v>
      </c>
      <c r="K570" s="673" t="s">
        <v>330</v>
      </c>
      <c r="L570" s="673" t="s">
        <v>351</v>
      </c>
      <c r="M570" s="673" t="s">
        <v>414</v>
      </c>
      <c r="N570" s="633"/>
      <c r="O570" s="673" t="s">
        <v>485</v>
      </c>
      <c r="P570" s="673" t="s">
        <v>520</v>
      </c>
      <c r="Q570" s="673" t="s">
        <v>545</v>
      </c>
      <c r="R570" s="673" t="s">
        <v>554</v>
      </c>
      <c r="S570" s="673" t="s">
        <v>576</v>
      </c>
      <c r="T570" s="673" t="s">
        <v>583</v>
      </c>
      <c r="U570" s="673" t="s">
        <v>592</v>
      </c>
      <c r="V570" s="673" t="s">
        <v>678</v>
      </c>
      <c r="W570" s="673" t="s">
        <v>691</v>
      </c>
      <c r="X570" s="673" t="s">
        <v>702</v>
      </c>
      <c r="Y570" s="673" t="s">
        <v>751</v>
      </c>
      <c r="Z570" s="673" t="s">
        <v>768</v>
      </c>
      <c r="AA570" s="673" t="s">
        <v>788</v>
      </c>
      <c r="AB570" s="673" t="s">
        <v>800</v>
      </c>
      <c r="AC570" s="673" t="s">
        <v>844</v>
      </c>
      <c r="AD570" s="673" t="s">
        <v>862</v>
      </c>
      <c r="AF570" s="633"/>
    </row>
    <row r="571" spans="1:32" ht="13.5" customHeight="1" thickBot="1" x14ac:dyDescent="0.25">
      <c r="A571" s="911"/>
      <c r="B571" s="674"/>
      <c r="C571" s="674"/>
      <c r="D571" s="674"/>
      <c r="E571" s="674"/>
      <c r="F571" s="674"/>
      <c r="G571" s="674"/>
      <c r="H571" s="674"/>
      <c r="I571" s="674"/>
      <c r="J571" s="674"/>
      <c r="K571" s="674"/>
      <c r="L571" s="674"/>
      <c r="M571" s="674"/>
      <c r="N571" s="633"/>
      <c r="O571" s="674"/>
      <c r="P571" s="674"/>
      <c r="Q571" s="674"/>
      <c r="R571" s="674"/>
      <c r="S571" s="674"/>
      <c r="T571" s="674"/>
      <c r="U571" s="674"/>
      <c r="V571" s="674"/>
      <c r="W571" s="674"/>
      <c r="X571" s="674"/>
      <c r="Y571" s="674"/>
      <c r="Z571" s="674"/>
      <c r="AA571" s="674"/>
      <c r="AB571" s="674"/>
      <c r="AC571" s="674"/>
      <c r="AD571" s="674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0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508.50000000000006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407.70000000000005</v>
      </c>
      <c r="F572" s="46">
        <f>IFERROR(Y85*1,"0")+IFERROR(Y86*1,"0")+IFERROR(Y87*1,"0")+IFERROR(Y88*1,"0")+IFERROR(Y89*1,"0")+IFERROR(Y90*1,"0")+IFERROR(Y94*1,"0")+IFERROR(Y95*1,"0")+IFERROR(Y96*1,"0")+IFERROR(Y97*1,"0")</f>
        <v>783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780.30000000000007</v>
      </c>
      <c r="H572" s="46">
        <f>IFERROR(Y130*1,"0")+IFERROR(Y131*1,"0")+IFERROR(Y135*1,"0")+IFERROR(Y136*1,"0")+IFERROR(Y140*1,"0")+IFERROR(Y141*1,"0")</f>
        <v>0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242.89999999999998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105.9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617.09999999999991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100.8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70.2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460.2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2715</v>
      </c>
      <c r="Y572" s="46">
        <f>IFERROR(Y465*1,"0")+IFERROR(Y466*1,"0")+IFERROR(Y470*1,"0")+IFERROR(Y474*1,"0")+IFERROR(Y475*1,"0")+IFERROR(Y476*1,"0")</f>
        <v>855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3868.8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7,00"/>
        <filter val="1 228,00"/>
        <filter val="1 485,00"/>
        <filter val="1 937,89"/>
        <filter val="104,00"/>
        <filter val="106,00"/>
        <filter val="108,86"/>
        <filter val="11 413,00"/>
        <filter val="118,94"/>
        <filter val="12 146,65"/>
        <filter val="12 646,65"/>
        <filter val="121,48"/>
        <filter val="134,00"/>
        <filter val="141,07"/>
        <filter val="169,26"/>
        <filter val="190,34"/>
        <filter val="2 116,00"/>
        <filter val="2 753,00"/>
        <filter val="20"/>
        <filter val="204,00"/>
        <filter val="212,00"/>
        <filter val="215,00"/>
        <filter val="22,00"/>
        <filter val="221,00"/>
        <filter val="238,00"/>
        <filter val="246,00"/>
        <filter val="29,78"/>
        <filter val="305,00"/>
        <filter val="33,00"/>
        <filter val="339,00"/>
        <filter val="344,00"/>
        <filter val="363,00"/>
        <filter val="37,67"/>
        <filter val="38,00"/>
        <filter val="40,00"/>
        <filter val="403,00"/>
        <filter val="41,25"/>
        <filter val="42,50"/>
        <filter val="424,00"/>
        <filter val="44,44"/>
        <filter val="458,00"/>
        <filter val="469,00"/>
        <filter val="471,00"/>
        <filter val="504,00"/>
        <filter val="52,53"/>
        <filter val="525,59"/>
        <filter val="54,00"/>
        <filter val="54,94"/>
        <filter val="554,00"/>
        <filter val="565,00"/>
        <filter val="577,00"/>
        <filter val="58,72"/>
        <filter val="6,00"/>
        <filter val="606,00"/>
        <filter val="628,00"/>
        <filter val="66,00"/>
        <filter val="683,00"/>
        <filter val="7,00"/>
        <filter val="78,00"/>
        <filter val="8,46"/>
        <filter val="8,80"/>
        <filter val="850,00"/>
        <filter val="88,00"/>
        <filter val="88,83"/>
        <filter val="94,44"/>
        <filter val="95,00"/>
        <filter val="97,00"/>
        <filter val="99,00"/>
      </filters>
    </filterColumn>
    <filterColumn colId="29" showButton="0"/>
    <filterColumn colId="30" showButton="0"/>
  </autoFilter>
  <mergeCells count="1005"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D17:AF18"/>
    <mergeCell ref="D226:E226"/>
    <mergeCell ref="P523:V523"/>
    <mergeCell ref="P352:V352"/>
    <mergeCell ref="P62:T62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N17:N18"/>
    <mergeCell ref="P370:T370"/>
    <mergeCell ref="P199:T199"/>
    <mergeCell ref="D120:E120"/>
    <mergeCell ref="F17:F18"/>
    <mergeCell ref="P297:T297"/>
    <mergeCell ref="P556:V556"/>
    <mergeCell ref="P52:V52"/>
    <mergeCell ref="P410:V410"/>
    <mergeCell ref="P102:T102"/>
    <mergeCell ref="D531:E531"/>
    <mergeCell ref="A247:Z247"/>
    <mergeCell ref="P456:V456"/>
    <mergeCell ref="D177:E177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D121:E121"/>
    <mergeCell ref="P356:V356"/>
    <mergeCell ref="P338:T338"/>
    <mergeCell ref="A479:Z479"/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P528:T528"/>
    <mergeCell ref="P450:V450"/>
    <mergeCell ref="D25:E25"/>
    <mergeCell ref="A126:O127"/>
    <mergeCell ref="A424:O425"/>
    <mergeCell ref="P294:T294"/>
    <mergeCell ref="A35:Z35"/>
    <mergeCell ref="P167:V167"/>
    <mergeCell ref="P142:V142"/>
    <mergeCell ref="A399:Z399"/>
    <mergeCell ref="P258:V258"/>
    <mergeCell ref="A248:Z248"/>
    <mergeCell ref="P430:T430"/>
    <mergeCell ref="T570:T571"/>
    <mergeCell ref="P283:V283"/>
    <mergeCell ref="D483:E483"/>
    <mergeCell ref="A42:O43"/>
    <mergeCell ref="D271:E271"/>
    <mergeCell ref="Q570:Q571"/>
    <mergeCell ref="Z569:AA569"/>
    <mergeCell ref="D515:E515"/>
    <mergeCell ref="D50:E50"/>
    <mergeCell ref="A494:Z494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M17:M18"/>
    <mergeCell ref="A469:Z469"/>
    <mergeCell ref="O17:O18"/>
    <mergeCell ref="P187:V187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D278:E278"/>
    <mergeCell ref="D549:E549"/>
    <mergeCell ref="D107:E107"/>
    <mergeCell ref="P484:T484"/>
    <mergeCell ref="D234:E234"/>
    <mergeCell ref="P136:T136"/>
    <mergeCell ref="P256:T256"/>
    <mergeCell ref="P261:T26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P2:W3"/>
    <mergeCell ref="P498:V498"/>
    <mergeCell ref="P298:T298"/>
    <mergeCell ref="D437:E437"/>
    <mergeCell ref="P369:T369"/>
    <mergeCell ref="D508:E508"/>
    <mergeCell ref="Q5:R5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408:T408"/>
    <mergeCell ref="D218:E218"/>
    <mergeCell ref="P137:V137"/>
    <mergeCell ref="P289:V289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P105:T105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C570:C571"/>
    <mergeCell ref="P125:T125"/>
    <mergeCell ref="P214:T214"/>
    <mergeCell ref="D86:E86"/>
    <mergeCell ref="D449:E44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D509:E509"/>
    <mergeCell ref="D267:E267"/>
    <mergeCell ref="P96:T96"/>
    <mergeCell ref="H17:H18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341:V341"/>
    <mergeCell ref="V570:V571"/>
    <mergeCell ref="P204:T204"/>
    <mergeCell ref="P440:T440"/>
    <mergeCell ref="A418:Z418"/>
    <mergeCell ref="D554:E554"/>
    <mergeCell ref="P526:T526"/>
    <mergeCell ref="A450:O451"/>
    <mergeCell ref="U570:U571"/>
    <mergeCell ref="P242:V242"/>
    <mergeCell ref="W570:W571"/>
    <mergeCell ref="P357:V357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P90:T9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D112:E112"/>
    <mergeCell ref="P332:T332"/>
    <mergeCell ref="P99:V99"/>
    <mergeCell ref="A198:Z198"/>
    <mergeCell ref="P179:T179"/>
    <mergeCell ref="D125:E125"/>
    <mergeCell ref="G17:G18"/>
    <mergeCell ref="A81:O82"/>
    <mergeCell ref="D159:E159"/>
    <mergeCell ref="D80:E80"/>
    <mergeCell ref="P42:V42"/>
    <mergeCell ref="A505:Z505"/>
    <mergeCell ref="A169:Z169"/>
    <mergeCell ref="P471:V471"/>
    <mergeCell ref="D459:E459"/>
    <mergeCell ref="P123:V123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D106:E106"/>
    <mergeCell ref="D264:E264"/>
    <mergeCell ref="P277:T277"/>
    <mergeCell ref="P519:T519"/>
    <mergeCell ref="D220:E220"/>
    <mergeCell ref="P497:V497"/>
    <mergeCell ref="A309:Z309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D59:E59"/>
    <mergeCell ref="P502:T502"/>
    <mergeCell ref="D470:E470"/>
    <mergeCell ref="A461:O462"/>
    <mergeCell ref="P331:T331"/>
    <mergeCell ref="P182:V182"/>
    <mergeCell ref="D379:E379"/>
    <mergeCell ref="P455:T455"/>
    <mergeCell ref="D205:E205"/>
    <mergeCell ref="P249:T249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27:V227"/>
    <mergeCell ref="A350:Z350"/>
    <mergeCell ref="P71:V71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A206:O207"/>
    <mergeCell ref="P545:T545"/>
    <mergeCell ref="D295:E295"/>
    <mergeCell ref="D178:E178"/>
    <mergeCell ref="D172:E172"/>
    <mergeCell ref="E570:E571"/>
    <mergeCell ref="G570:G571"/>
    <mergeCell ref="A301:Z301"/>
    <mergeCell ref="P547:V547"/>
    <mergeCell ref="D421:E421"/>
    <mergeCell ref="P416:V416"/>
    <mergeCell ref="A98:O99"/>
    <mergeCell ref="P266:T266"/>
    <mergeCell ref="P95:T95"/>
    <mergeCell ref="P527:T527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F570:F571"/>
    <mergeCell ref="P407:T407"/>
    <mergeCell ref="D30:E30"/>
    <mergeCell ref="D67:E67"/>
    <mergeCell ref="K569:W569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P472:V472"/>
    <mergeCell ref="P31:T31"/>
    <mergeCell ref="A291:Z291"/>
    <mergeCell ref="P158:T158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H9:I9"/>
    <mergeCell ref="D486:E486"/>
    <mergeCell ref="P86:T86"/>
    <mergeCell ref="D78:E78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288:V288"/>
    <mergeCell ref="A188:Z188"/>
    <mergeCell ref="A259:Z259"/>
    <mergeCell ref="D251:E251"/>
    <mergeCell ref="P228:V228"/>
    <mergeCell ref="A53:Z53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  <mergeCell ref="A365:Z365"/>
    <mergeCell ref="P501:T501"/>
    <mergeCell ref="A495:Z495"/>
    <mergeCell ref="D487:E487"/>
    <mergeCell ref="A257:O258"/>
    <mergeCell ref="D219:E219"/>
    <mergeCell ref="A288:O289"/>
    <mergeCell ref="D275:E275"/>
    <mergeCell ref="P307:V307"/>
    <mergeCell ref="P444:V444"/>
    <mergeCell ref="P380:T380"/>
    <mergeCell ref="P276:T276"/>
    <mergeCell ref="P530:T530"/>
    <mergeCell ref="P318:T3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