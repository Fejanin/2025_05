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2DFB83-414B-4EC9-AF0A-3ACF55A08F7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P526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Y498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Z415" i="2"/>
  <c r="Y415" i="2"/>
  <c r="BN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N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P373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N362" i="2" s="1"/>
  <c r="P362" i="2"/>
  <c r="BO361" i="2"/>
  <c r="BM361" i="2"/>
  <c r="Y361" i="2"/>
  <c r="BN361" i="2" s="1"/>
  <c r="P361" i="2"/>
  <c r="BO360" i="2"/>
  <c r="BM360" i="2"/>
  <c r="Y360" i="2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Z351" i="2"/>
  <c r="Z352" i="2" s="1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Y334" i="2" s="1"/>
  <c r="P330" i="2"/>
  <c r="X327" i="2"/>
  <c r="X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Z293" i="2"/>
  <c r="Y293" i="2"/>
  <c r="BN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Z260" i="2"/>
  <c r="Y260" i="2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P203" i="2"/>
  <c r="BO203" i="2"/>
  <c r="BN203" i="2"/>
  <c r="BM203" i="2"/>
  <c r="Z203" i="2"/>
  <c r="Y203" i="2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P199" i="2"/>
  <c r="BO199" i="2"/>
  <c r="BM199" i="2"/>
  <c r="Y199" i="2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P185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N48" i="2" l="1"/>
  <c r="BN160" i="2"/>
  <c r="BN193" i="2"/>
  <c r="Y257" i="2"/>
  <c r="BN276" i="2"/>
  <c r="BN355" i="2"/>
  <c r="Y357" i="2"/>
  <c r="BN407" i="2"/>
  <c r="BN510" i="2"/>
  <c r="BN545" i="2"/>
  <c r="BN59" i="2"/>
  <c r="Z202" i="2"/>
  <c r="Z224" i="2"/>
  <c r="Z251" i="2"/>
  <c r="BN255" i="2"/>
  <c r="BP293" i="2"/>
  <c r="Z346" i="2"/>
  <c r="Z361" i="2"/>
  <c r="Z363" i="2" s="1"/>
  <c r="BN549" i="2"/>
  <c r="Z455" i="2"/>
  <c r="BN204" i="2"/>
  <c r="Z232" i="2"/>
  <c r="BN302" i="2"/>
  <c r="Y467" i="2"/>
  <c r="Z439" i="2"/>
  <c r="BN295" i="2"/>
  <c r="BN429" i="2"/>
  <c r="BN521" i="2"/>
  <c r="BN62" i="2"/>
  <c r="BP220" i="2"/>
  <c r="BP394" i="2"/>
  <c r="Z394" i="2"/>
  <c r="BN527" i="2"/>
  <c r="BN383" i="2"/>
  <c r="Z120" i="2"/>
  <c r="Y122" i="2"/>
  <c r="BP541" i="2"/>
  <c r="BN531" i="2"/>
  <c r="BN509" i="2"/>
  <c r="Z491" i="2"/>
  <c r="Z492" i="2" s="1"/>
  <c r="BN485" i="2"/>
  <c r="BN484" i="2"/>
  <c r="BN466" i="2"/>
  <c r="BP455" i="2"/>
  <c r="Z448" i="2"/>
  <c r="BN443" i="2"/>
  <c r="BN441" i="2"/>
  <c r="Z429" i="2"/>
  <c r="BP415" i="2"/>
  <c r="Z413" i="2"/>
  <c r="Z416" i="2" s="1"/>
  <c r="BN400" i="2"/>
  <c r="BP387" i="2"/>
  <c r="Z387" i="2"/>
  <c r="Z383" i="2"/>
  <c r="BP382" i="2"/>
  <c r="Z381" i="2"/>
  <c r="BP380" i="2"/>
  <c r="Z380" i="2"/>
  <c r="BP379" i="2"/>
  <c r="Z373" i="2"/>
  <c r="Z371" i="2"/>
  <c r="Z368" i="2"/>
  <c r="BP367" i="2"/>
  <c r="Z367" i="2"/>
  <c r="Z362" i="2"/>
  <c r="BP362" i="2"/>
  <c r="T572" i="2"/>
  <c r="BP361" i="2"/>
  <c r="Z360" i="2"/>
  <c r="S572" i="2"/>
  <c r="BP351" i="2"/>
  <c r="BN338" i="2"/>
  <c r="Z338" i="2"/>
  <c r="BP337" i="2"/>
  <c r="Z337" i="2"/>
  <c r="BN331" i="2"/>
  <c r="Z325" i="2"/>
  <c r="BP325" i="2"/>
  <c r="BN310" i="2"/>
  <c r="Z302" i="2"/>
  <c r="Z303" i="2" s="1"/>
  <c r="BP302" i="2"/>
  <c r="BN287" i="2"/>
  <c r="Z282" i="2"/>
  <c r="BP282" i="2"/>
  <c r="Z273" i="2"/>
  <c r="BP273" i="2"/>
  <c r="BP272" i="2"/>
  <c r="Z272" i="2"/>
  <c r="Z271" i="2"/>
  <c r="BP271" i="2"/>
  <c r="BN264" i="2"/>
  <c r="BP263" i="2"/>
  <c r="Z263" i="2"/>
  <c r="Z262" i="2"/>
  <c r="BP262" i="2"/>
  <c r="BN256" i="2"/>
  <c r="BP251" i="2"/>
  <c r="BP234" i="2"/>
  <c r="Z234" i="2"/>
  <c r="BN225" i="2"/>
  <c r="BN224" i="2"/>
  <c r="BP223" i="2"/>
  <c r="Z223" i="2"/>
  <c r="BP221" i="2"/>
  <c r="Z221" i="2"/>
  <c r="Z218" i="2"/>
  <c r="BP217" i="2"/>
  <c r="Z216" i="2"/>
  <c r="BP216" i="2"/>
  <c r="Y211" i="2"/>
  <c r="BP202" i="2"/>
  <c r="Z201" i="2"/>
  <c r="BP200" i="2"/>
  <c r="Z200" i="2"/>
  <c r="Z180" i="2"/>
  <c r="BP180" i="2"/>
  <c r="Z177" i="2"/>
  <c r="BP158" i="2"/>
  <c r="Z158" i="2"/>
  <c r="BP149" i="2"/>
  <c r="BN148" i="2"/>
  <c r="BP147" i="2"/>
  <c r="BN141" i="2"/>
  <c r="BN118" i="2"/>
  <c r="BN113" i="2"/>
  <c r="BN106" i="2"/>
  <c r="Y109" i="2"/>
  <c r="BN103" i="2"/>
  <c r="Z90" i="2"/>
  <c r="Z80" i="2"/>
  <c r="Y82" i="2"/>
  <c r="Z75" i="2"/>
  <c r="BN69" i="2"/>
  <c r="Z67" i="2"/>
  <c r="BP67" i="2"/>
  <c r="Y71" i="2"/>
  <c r="BP57" i="2"/>
  <c r="Z57" i="2"/>
  <c r="Z56" i="2"/>
  <c r="BP55" i="2"/>
  <c r="Z55" i="2"/>
  <c r="BN39" i="2"/>
  <c r="Z23" i="2"/>
  <c r="BP22" i="2"/>
  <c r="Z22" i="2"/>
  <c r="BP24" i="2"/>
  <c r="BP37" i="2"/>
  <c r="BP49" i="2"/>
  <c r="BP74" i="2"/>
  <c r="BN79" i="2"/>
  <c r="BP121" i="2"/>
  <c r="Z121" i="2"/>
  <c r="Z122" i="2" s="1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Z341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142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Z27" i="2" s="1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Z397" i="2" s="1"/>
  <c r="BN408" i="2"/>
  <c r="BP421" i="2"/>
  <c r="Z437" i="2"/>
  <c r="Z447" i="2"/>
  <c r="Z450" i="2" s="1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Z186" i="2" s="1"/>
  <c r="Y190" i="2"/>
  <c r="Z199" i="2"/>
  <c r="Z210" i="2"/>
  <c r="Z211" i="2" s="1"/>
  <c r="Z220" i="2"/>
  <c r="Z230" i="2"/>
  <c r="Z240" i="2"/>
  <c r="Z241" i="2" s="1"/>
  <c r="Y245" i="2"/>
  <c r="BP260" i="2"/>
  <c r="BN278" i="2"/>
  <c r="Y289" i="2"/>
  <c r="BN311" i="2"/>
  <c r="Y314" i="2"/>
  <c r="BN322" i="2"/>
  <c r="Z344" i="2"/>
  <c r="Z347" i="2" s="1"/>
  <c r="BP360" i="2"/>
  <c r="Z369" i="2"/>
  <c r="Z374" i="2" s="1"/>
  <c r="Z379" i="2"/>
  <c r="Z389" i="2"/>
  <c r="Z391" i="2" s="1"/>
  <c r="BN401" i="2"/>
  <c r="Y404" i="2"/>
  <c r="Z422" i="2"/>
  <c r="Z428" i="2"/>
  <c r="Z431" i="2" s="1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252" i="2" l="1"/>
  <c r="Z384" i="2"/>
  <c r="Z235" i="2"/>
  <c r="Z81" i="2"/>
  <c r="Z70" i="2"/>
  <c r="Z181" i="2"/>
  <c r="Z488" i="2"/>
  <c r="Z424" i="2"/>
  <c r="Z410" i="2"/>
  <c r="Z167" i="2"/>
  <c r="Z137" i="2"/>
  <c r="Z91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<sst xmlns="http://schemas.openxmlformats.org/spreadsheetml/2006/main" count="4250" uniqueCount="899">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</sst>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46329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Вторник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160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166.07407407407408</v>
      </c>
      <c r="BN47" s="78">
        <f>IFERROR(Y47*I47/H47,"0")</f>
        <v>168.15</v>
      </c>
      <c r="BO47" s="78">
        <f>IFERROR(1/J47*(X47/H47),"0")</f>
        <v>0.23148148148148145</v>
      </c>
      <c r="BP47" s="78">
        <f>IFERROR(1/J47*(Y47/H47),"0")</f>
        <v>0.23437499999999997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220</v>
      </c>
      <c r="Y49" s="55">
        <f>IFERROR(IF(X49="",0,CEILING((X49/$H49),1)*$H49),"")</f>
        <v>220</v>
      </c>
      <c r="Z49" s="41">
        <f>IFERROR(IF(Y49=0,"",ROUNDUP(Y49/H49,0)*0.00902),"")</f>
        <v>0.49609999999999999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230.45000000000002</v>
      </c>
      <c r="BN49" s="78">
        <f>IFERROR(Y49*I49/H49,"0")</f>
        <v>230.45000000000002</v>
      </c>
      <c r="BO49" s="78">
        <f>IFERROR(1/J49*(X49/H49),"0")</f>
        <v>0.41666666666666669</v>
      </c>
      <c r="BP49" s="78">
        <f>IFERROR(1/J49*(Y49/H49),"0")</f>
        <v>0.41666666666666669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69.81481481481481</v>
      </c>
      <c r="Y51" s="43">
        <f>IFERROR(Y47/H47,"0")+IFERROR(Y48/H48,"0")+IFERROR(Y49/H49,"0")+IFERROR(Y50/H50,"0")</f>
        <v>70</v>
      </c>
      <c r="Z51" s="43">
        <f>IFERROR(IF(Z47="",0,Z47),"0")+IFERROR(IF(Z48="",0,Z48),"0")+IFERROR(IF(Z49="",0,Z49),"0")+IFERROR(IF(Z50="",0,Z50),"0")</f>
        <v>0.78079999999999994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380</v>
      </c>
      <c r="Y52" s="43">
        <f>IFERROR(SUM(Y47:Y50),"0")</f>
        <v>382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360</v>
      </c>
      <c r="Y62" s="55">
        <f t="shared" si="0"/>
        <v>360</v>
      </c>
      <c r="Z62" s="41">
        <f>IFERROR(IF(Y62=0,"",ROUNDUP(Y62/H62,0)*0.00902),"")</f>
        <v>0.72160000000000002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375.20000000000005</v>
      </c>
      <c r="BN62" s="78">
        <f t="shared" si="2"/>
        <v>375.20000000000005</v>
      </c>
      <c r="BO62" s="78">
        <f t="shared" si="3"/>
        <v>0.60606060606060608</v>
      </c>
      <c r="BP62" s="78">
        <f t="shared" si="4"/>
        <v>0.60606060606060608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98.518518518518519</v>
      </c>
      <c r="Y63" s="43">
        <f>IFERROR(Y55/H55,"0")+IFERROR(Y56/H56,"0")+IFERROR(Y57/H57,"0")+IFERROR(Y58/H58,"0")+IFERROR(Y59/H59,"0")+IFERROR(Y60/H60,"0")+IFERROR(Y61/H61,"0")+IFERROR(Y62/H62,"0")</f>
        <v>99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1.08222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560</v>
      </c>
      <c r="Y64" s="43">
        <f>IFERROR(SUM(Y55:Y62),"0")</f>
        <v>565.20000000000005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80</v>
      </c>
      <c r="Y66" s="55">
        <f>IFERROR(IF(X66="",0,CEILING((X66/$H66),1)*$H66),"")</f>
        <v>86.4</v>
      </c>
      <c r="Z66" s="41">
        <f>IFERROR(IF(Y66=0,"",ROUNDUP(Y66/H66,0)*0.01898),"")</f>
        <v>0.15184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83.037037037037038</v>
      </c>
      <c r="BN66" s="78">
        <f>IFERROR(Y66*I66/H66,"0")</f>
        <v>89.68</v>
      </c>
      <c r="BO66" s="78">
        <f>IFERROR(1/J66*(X66/H66),"0")</f>
        <v>0.11574074074074073</v>
      </c>
      <c r="BP66" s="78">
        <f>IFERROR(1/J66*(Y66/H66),"0")</f>
        <v>0.125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135</v>
      </c>
      <c r="Y69" s="55">
        <f>IFERROR(IF(X69="",0,CEILING((X69/$H69),1)*$H69),"")</f>
        <v>135</v>
      </c>
      <c r="Z69" s="41">
        <f>IFERROR(IF(Y69=0,"",ROUNDUP(Y69/H69,0)*0.00651),"")</f>
        <v>0.32550000000000001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144</v>
      </c>
      <c r="BN69" s="78">
        <f>IFERROR(Y69*I69/H69,"0")</f>
        <v>144</v>
      </c>
      <c r="BO69" s="78">
        <f>IFERROR(1/J69*(X69/H69),"0")</f>
        <v>0.27472527472527475</v>
      </c>
      <c r="BP69" s="78">
        <f>IFERROR(1/J69*(Y69/H69),"0")</f>
        <v>0.27472527472527475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57.407407407407405</v>
      </c>
      <c r="Y70" s="43">
        <f>IFERROR(Y66/H66,"0")+IFERROR(Y67/H67,"0")+IFERROR(Y68/H68,"0")+IFERROR(Y69/H69,"0")</f>
        <v>58</v>
      </c>
      <c r="Z70" s="43">
        <f>IFERROR(IF(Z66="",0,Z66),"0")+IFERROR(IF(Z67="",0,Z67),"0")+IFERROR(IF(Z68="",0,Z68),"0")+IFERROR(IF(Z69="",0,Z69),"0")</f>
        <v>0.47733999999999999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215</v>
      </c>
      <c r="Y71" s="43">
        <f>IFERROR(SUM(Y66:Y69),"0")</f>
        <v>221.4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20</v>
      </c>
      <c r="Y78" s="55">
        <f>IFERROR(IF(X78="",0,CEILING((X78/$H78),1)*$H78),"")</f>
        <v>23.4</v>
      </c>
      <c r="Z78" s="41">
        <f>IFERROR(IF(Y78=0,"",ROUNDUP(Y78/H78,0)*0.01898),"")</f>
        <v>5.6940000000000004E-2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21.051282051282055</v>
      </c>
      <c r="BN78" s="78">
        <f>IFERROR(Y78*I78/H78,"0")</f>
        <v>24.630000000000003</v>
      </c>
      <c r="BO78" s="78">
        <f>IFERROR(1/J78*(X78/H78),"0")</f>
        <v>4.0064102564102567E-2</v>
      </c>
      <c r="BP78" s="78">
        <f>IFERROR(1/J78*(Y78/H78),"0")</f>
        <v>4.6875E-2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2.5641025641025643</v>
      </c>
      <c r="Y81" s="43">
        <f>IFERROR(Y78/H78,"0")+IFERROR(Y79/H79,"0")+IFERROR(Y80/H80,"0")</f>
        <v>3</v>
      </c>
      <c r="Z81" s="43">
        <f>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20</v>
      </c>
      <c r="Y82" s="43">
        <f>IFERROR(SUM(Y78:Y80),"0")</f>
        <v>23.4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80</v>
      </c>
      <c r="Y85" s="55">
        <f t="shared" ref="Y85:Y90" si="5">IFERROR(IF(X85="",0,CEILING((X85/$H85),1)*$H85),"")</f>
        <v>86.4</v>
      </c>
      <c r="Z85" s="41">
        <f>IFERROR(IF(Y85=0,"",ROUNDUP(Y85/H85,0)*0.01898),"")</f>
        <v>0.15184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83.037037037037038</v>
      </c>
      <c r="BN85" s="78">
        <f t="shared" ref="BN85:BN90" si="7">IFERROR(Y85*I85/H85,"0")</f>
        <v>89.68</v>
      </c>
      <c r="BO85" s="78">
        <f t="shared" ref="BO85:BO90" si="8">IFERROR(1/J85*(X85/H85),"0")</f>
        <v>0.11574074074074073</v>
      </c>
      <c r="BP85" s="78">
        <f t="shared" ref="BP85:BP90" si="9">IFERROR(1/J85*(Y85/H85),"0")</f>
        <v>0.125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360</v>
      </c>
      <c r="Y90" s="55">
        <f t="shared" si="5"/>
        <v>360</v>
      </c>
      <c r="Z90" s="41">
        <f>IFERROR(IF(Y90=0,"",ROUNDUP(Y90/H90,0)*0.00902),"")</f>
        <v>0.72160000000000002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375.20000000000005</v>
      </c>
      <c r="BN90" s="78">
        <f t="shared" si="7"/>
        <v>375.20000000000005</v>
      </c>
      <c r="BO90" s="78">
        <f t="shared" si="8"/>
        <v>0.60606060606060608</v>
      </c>
      <c r="BP90" s="78">
        <f t="shared" si="9"/>
        <v>0.60606060606060608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87.407407407407405</v>
      </c>
      <c r="Y91" s="43">
        <f>IFERROR(Y85/H85,"0")+IFERROR(Y86/H86,"0")+IFERROR(Y87/H87,"0")+IFERROR(Y88/H88,"0")+IFERROR(Y89/H89,"0")+IFERROR(Y90/H90,"0")</f>
        <v>88</v>
      </c>
      <c r="Z91" s="43">
        <f>IFERROR(IF(Z85="",0,Z85),"0")+IFERROR(IF(Z86="",0,Z86),"0")+IFERROR(IF(Z87="",0,Z87),"0")+IFERROR(IF(Z88="",0,Z88),"0")+IFERROR(IF(Z89="",0,Z89),"0")+IFERROR(IF(Z90="",0,Z90),"0")</f>
        <v>0.87343999999999999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440</v>
      </c>
      <c r="Y92" s="43">
        <f>IFERROR(SUM(Y85:Y90),"0")</f>
        <v>446.4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200</v>
      </c>
      <c r="Y94" s="55">
        <f>IFERROR(IF(X94="",0,CEILING((X94/$H94),1)*$H94),"")</f>
        <v>202.5</v>
      </c>
      <c r="Z94" s="41">
        <f>IFERROR(IF(Y94=0,"",ROUNDUP(Y94/H94,0)*0.01898),"")</f>
        <v>0.47450000000000003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212.19753086419755</v>
      </c>
      <c r="BN94" s="78">
        <f>IFERROR(Y94*I94/H94,"0")</f>
        <v>214.85</v>
      </c>
      <c r="BO94" s="78">
        <f>IFERROR(1/J94*(X94/H94),"0")</f>
        <v>0.38580246913580246</v>
      </c>
      <c r="BP94" s="78">
        <f>IFERROR(1/J94*(Y94/H94),"0")</f>
        <v>0.390625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450</v>
      </c>
      <c r="Y96" s="55">
        <f>IFERROR(IF(X96="",0,CEILING((X96/$H96),1)*$H96),"")</f>
        <v>450.90000000000003</v>
      </c>
      <c r="Z96" s="41">
        <f>IFERROR(IF(Y96=0,"",ROUNDUP(Y96/H96,0)*0.00651),"")</f>
        <v>1.08717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492</v>
      </c>
      <c r="BN96" s="78">
        <f>IFERROR(Y96*I96/H96,"0")</f>
        <v>492.98399999999998</v>
      </c>
      <c r="BO96" s="78">
        <f>IFERROR(1/J96*(X96/H96),"0")</f>
        <v>0.91575091575091572</v>
      </c>
      <c r="BP96" s="78">
        <f>IFERROR(1/J96*(Y96/H96),"0")</f>
        <v>0.91758241758241765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191.35802469135803</v>
      </c>
      <c r="Y98" s="43">
        <f>IFERROR(Y94/H94,"0")+IFERROR(Y95/H95,"0")+IFERROR(Y96/H96,"0")+IFERROR(Y97/H97,"0")</f>
        <v>192</v>
      </c>
      <c r="Z98" s="43">
        <f>IFERROR(IF(Z94="",0,Z94),"0")+IFERROR(IF(Z95="",0,Z95),"0")+IFERROR(IF(Z96="",0,Z96),"0")+IFERROR(IF(Z97="",0,Z97),"0")</f>
        <v>1.5616699999999999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650</v>
      </c>
      <c r="Y99" s="43">
        <f>IFERROR(SUM(Y94:Y97),"0")</f>
        <v>653.40000000000009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30</v>
      </c>
      <c r="Y102" s="55">
        <f t="shared" ref="Y102:Y108" si="10">IFERROR(IF(X102="",0,CEILING((X102/$H102),1)*$H102),"")</f>
        <v>32.400000000000006</v>
      </c>
      <c r="Z102" s="41">
        <f>IFERROR(IF(Y102=0,"",ROUNDUP(Y102/H102,0)*0.01898),"")</f>
        <v>5.6940000000000004E-2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31.138888888888889</v>
      </c>
      <c r="BN102" s="78">
        <f t="shared" ref="BN102:BN108" si="12">IFERROR(Y102*I102/H102,"0")</f>
        <v>33.630000000000003</v>
      </c>
      <c r="BO102" s="78">
        <f t="shared" ref="BO102:BO108" si="13">IFERROR(1/J102*(X102/H102),"0")</f>
        <v>4.3402777777777776E-2</v>
      </c>
      <c r="BP102" s="78">
        <f t="shared" ref="BP102:BP108" si="14">IFERROR(1/J102*(Y102/H102),"0")</f>
        <v>4.6875000000000007E-2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360</v>
      </c>
      <c r="Y106" s="55">
        <f t="shared" si="10"/>
        <v>360</v>
      </c>
      <c r="Z106" s="41">
        <f>IFERROR(IF(Y106=0,"",ROUNDUP(Y106/H106,0)*0.00902),"")</f>
        <v>0.72160000000000002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375.20000000000005</v>
      </c>
      <c r="BN106" s="78">
        <f t="shared" si="12"/>
        <v>375.20000000000005</v>
      </c>
      <c r="BO106" s="78">
        <f t="shared" si="13"/>
        <v>0.60606060606060608</v>
      </c>
      <c r="BP106" s="78">
        <f t="shared" si="14"/>
        <v>0.60606060606060608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82.777777777777771</v>
      </c>
      <c r="Y109" s="43">
        <f>IFERROR(Y102/H102,"0")+IFERROR(Y103/H103,"0")+IFERROR(Y104/H104,"0")+IFERROR(Y105/H105,"0")+IFERROR(Y106/H106,"0")+IFERROR(Y107/H107,"0")+IFERROR(Y108/H108,"0")</f>
        <v>83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0.77854000000000001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390</v>
      </c>
      <c r="Y110" s="43">
        <f>IFERROR(SUM(Y102:Y108),"0")</f>
        <v>392.4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400</v>
      </c>
      <c r="Y118" s="55">
        <f>IFERROR(IF(X118="",0,CEILING((X118/$H118),1)*$H118),"")</f>
        <v>405</v>
      </c>
      <c r="Z118" s="41">
        <f>IFERROR(IF(Y118=0,"",ROUNDUP(Y118/H118,0)*0.01898),"")</f>
        <v>0.94900000000000007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424.09876543209879</v>
      </c>
      <c r="BN118" s="78">
        <f>IFERROR(Y118*I118/H118,"0")</f>
        <v>429.4</v>
      </c>
      <c r="BO118" s="78">
        <f>IFERROR(1/J118*(X118/H118),"0")</f>
        <v>0.77160493827160492</v>
      </c>
      <c r="BP118" s="78">
        <f>IFERROR(1/J118*(Y118/H118),"0")</f>
        <v>0.78125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540</v>
      </c>
      <c r="Y120" s="55">
        <f>IFERROR(IF(X120="",0,CEILING((X120/$H120),1)*$H120),"")</f>
        <v>540</v>
      </c>
      <c r="Z120" s="41">
        <f>IFERROR(IF(Y120=0,"",ROUNDUP(Y120/H120,0)*0.00651),"")</f>
        <v>1.302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590.4</v>
      </c>
      <c r="BN120" s="78">
        <f>IFERROR(Y120*I120/H120,"0")</f>
        <v>590.4</v>
      </c>
      <c r="BO120" s="78">
        <f>IFERROR(1/J120*(X120/H120),"0")</f>
        <v>1.098901098901099</v>
      </c>
      <c r="BP120" s="78">
        <f>IFERROR(1/J120*(Y120/H120),"0")</f>
        <v>1.098901098901099</v>
      </c>
    </row>
    <row r="121" spans="1:68" ht="16.5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18</v>
      </c>
      <c r="Y121" s="55">
        <f>IFERROR(IF(X121="",0,CEILING((X121/$H121),1)*$H121),"")</f>
        <v>18</v>
      </c>
      <c r="Z121" s="41">
        <f>IFERROR(IF(Y121=0,"",ROUNDUP(Y121/H121,0)*0.00651),"")</f>
        <v>6.5100000000000005E-2</v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19.8</v>
      </c>
      <c r="BN121" s="78">
        <f>IFERROR(Y121*I121/H121,"0")</f>
        <v>19.8</v>
      </c>
      <c r="BO121" s="78">
        <f>IFERROR(1/J121*(X121/H121),"0")</f>
        <v>5.4945054945054951E-2</v>
      </c>
      <c r="BP121" s="78">
        <f>IFERROR(1/J121*(Y121/H121),"0")</f>
        <v>5.4945054945054951E-2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259.38271604938268</v>
      </c>
      <c r="Y122" s="43">
        <f>IFERROR(Y118/H118,"0")+IFERROR(Y119/H119,"0")+IFERROR(Y120/H120,"0")+IFERROR(Y121/H121,"0")</f>
        <v>260</v>
      </c>
      <c r="Z122" s="43">
        <f>IFERROR(IF(Z118="",0,Z118),"0")+IFERROR(IF(Z119="",0,Z119),"0")+IFERROR(IF(Z120="",0,Z120),"0")+IFERROR(IF(Z121="",0,Z121),"0")</f>
        <v>2.3161000000000005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958</v>
      </c>
      <c r="Y123" s="43">
        <f>IFERROR(SUM(Y118:Y121),"0")</f>
        <v>963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40</v>
      </c>
      <c r="Y125" s="55">
        <f>IFERROR(IF(X125="",0,CEILING((X125/$H125),1)*$H125),"")</f>
        <v>41.58</v>
      </c>
      <c r="Z125" s="41">
        <f>IFERROR(IF(Y125=0,"",ROUNDUP(Y125/H125,0)*0.00651),"")</f>
        <v>0.13671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45.212121212121211</v>
      </c>
      <c r="BN125" s="78">
        <f>IFERROR(Y125*I125/H125,"0")</f>
        <v>46.997999999999998</v>
      </c>
      <c r="BO125" s="78">
        <f>IFERROR(1/J125*(X125/H125),"0")</f>
        <v>0.11100011100011101</v>
      </c>
      <c r="BP125" s="78">
        <f>IFERROR(1/J125*(Y125/H125),"0")</f>
        <v>0.11538461538461539</v>
      </c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20.202020202020201</v>
      </c>
      <c r="Y126" s="43">
        <f>IFERROR(Y125/H125,"0")</f>
        <v>21</v>
      </c>
      <c r="Z126" s="43">
        <f>IFERROR(IF(Z125="",0,Z125),"0")</f>
        <v>0.13671</v>
      </c>
      <c r="AA126" s="67"/>
      <c r="AB126" s="67"/>
      <c r="AC126" s="67"/>
    </row>
    <row r="127" spans="1:68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40</v>
      </c>
      <c r="Y127" s="43">
        <f>IFERROR(SUM(Y125:Y125),"0")</f>
        <v>41.58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80</v>
      </c>
      <c r="Y131" s="55">
        <f>IFERROR(IF(X131="",0,CEILING((X131/$H131),1)*$H131),"")</f>
        <v>80</v>
      </c>
      <c r="Z131" s="41">
        <f>IFERROR(IF(Y131=0,"",ROUNDUP(Y131/H131,0)*0.00651),"")</f>
        <v>0.16275000000000001</v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84.499999999999986</v>
      </c>
      <c r="BN131" s="78">
        <f>IFERROR(Y131*I131/H131,"0")</f>
        <v>84.499999999999986</v>
      </c>
      <c r="BO131" s="78">
        <f>IFERROR(1/J131*(X131/H131),"0")</f>
        <v>0.13736263736263737</v>
      </c>
      <c r="BP131" s="78">
        <f>IFERROR(1/J131*(Y131/H131),"0")</f>
        <v>0.13736263736263737</v>
      </c>
    </row>
    <row r="132" spans="1:68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25</v>
      </c>
      <c r="Y132" s="43">
        <f>IFERROR(Y130/H130,"0")+IFERROR(Y131/H131,"0")</f>
        <v>25</v>
      </c>
      <c r="Z132" s="43">
        <f>IFERROR(IF(Z130="",0,Z130),"0")+IFERROR(IF(Z131="",0,Z131),"0")</f>
        <v>0.16275000000000001</v>
      </c>
      <c r="AA132" s="67"/>
      <c r="AB132" s="67"/>
      <c r="AC132" s="67"/>
    </row>
    <row r="133" spans="1:68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80</v>
      </c>
      <c r="Y133" s="43">
        <f>IFERROR(SUM(Y130:Y131),"0")</f>
        <v>80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70</v>
      </c>
      <c r="Y135" s="55">
        <f>IFERROR(IF(X135="",0,CEILING((X135/$H135),1)*$H135),"")</f>
        <v>70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76.7</v>
      </c>
      <c r="BN135" s="78">
        <f>IFERROR(Y135*I135/H135,"0")</f>
        <v>76.7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25</v>
      </c>
      <c r="Y137" s="43">
        <f>IFERROR(Y135/H135,"0")+IFERROR(Y136/H136,"0")</f>
        <v>25</v>
      </c>
      <c r="Z137" s="43">
        <f>IFERROR(IF(Z135="",0,Z135),"0")+IFERROR(IF(Z136="",0,Z136),"0")</f>
        <v>0.16275000000000001</v>
      </c>
      <c r="AA137" s="67"/>
      <c r="AB137" s="67"/>
      <c r="AC137" s="67"/>
    </row>
    <row r="138" spans="1:68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70</v>
      </c>
      <c r="Y138" s="43">
        <f>IFERROR(SUM(Y135:Y136),"0")</f>
        <v>70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86</v>
      </c>
      <c r="Y140" s="55">
        <f>IFERROR(IF(X140="",0,CEILING((X140/$H140),1)*$H140),"")</f>
        <v>87.12</v>
      </c>
      <c r="Z140" s="41">
        <f>IFERROR(IF(Y140=0,"",ROUNDUP(Y140/H140,0)*0.00651),"")</f>
        <v>0.21482999999999999</v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94.73030303030302</v>
      </c>
      <c r="BN140" s="78">
        <f>IFERROR(Y140*I140/H140,"0")</f>
        <v>95.963999999999999</v>
      </c>
      <c r="BO140" s="78">
        <f>IFERROR(1/J140*(X140/H140),"0")</f>
        <v>0.17898767898767898</v>
      </c>
      <c r="BP140" s="78">
        <f>IFERROR(1/J140*(Y140/H140),"0")</f>
        <v>0.18131868131868134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32.575757575757571</v>
      </c>
      <c r="Y142" s="43">
        <f>IFERROR(Y140/H140,"0")+IFERROR(Y141/H141,"0")</f>
        <v>33</v>
      </c>
      <c r="Z142" s="43">
        <f>IFERROR(IF(Z140="",0,Z140),"0")+IFERROR(IF(Z141="",0,Z141),"0")</f>
        <v>0.21482999999999999</v>
      </c>
      <c r="AA142" s="67"/>
      <c r="AB142" s="67"/>
      <c r="AC142" s="67"/>
    </row>
    <row r="143" spans="1:68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86</v>
      </c>
      <c r="Y143" s="43">
        <f>IFERROR(SUM(Y140:Y141),"0")</f>
        <v>87.12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6</v>
      </c>
      <c r="Y165" s="55">
        <f>IFERROR(IF(X165="",0,CEILING((X165/$H165),1)*$H165),"")</f>
        <v>6.4799999999999995</v>
      </c>
      <c r="Z165" s="41">
        <f>IFERROR(IF(Y165=0,"",ROUNDUP(Y165/H165,0)*0.00556),"")</f>
        <v>5.0040000000000001E-2</v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7.083333333333333</v>
      </c>
      <c r="BN165" s="78">
        <f>IFERROR(Y165*I165/H165,"0")</f>
        <v>7.6499999999999995</v>
      </c>
      <c r="BO165" s="78">
        <f>IFERROR(1/J165*(X165/H165),"0")</f>
        <v>3.561253561253562E-2</v>
      </c>
      <c r="BP165" s="78">
        <f>IFERROR(1/J165*(Y165/H165),"0")</f>
        <v>3.8461538461538464E-2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8.3333333333333339</v>
      </c>
      <c r="Y167" s="43">
        <f>IFERROR(Y165/H165,"0")+IFERROR(Y166/H166,"0")</f>
        <v>9</v>
      </c>
      <c r="Z167" s="43">
        <f>IFERROR(IF(Z165="",0,Z165),"0")+IFERROR(IF(Z166="",0,Z166),"0")</f>
        <v>5.0040000000000001E-2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6</v>
      </c>
      <c r="Y168" s="43">
        <f>IFERROR(SUM(Y165:Y166),"0")</f>
        <v>6.4799999999999995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200</v>
      </c>
      <c r="Y171" s="55">
        <f t="shared" si="15"/>
        <v>203</v>
      </c>
      <c r="Z171" s="41">
        <f>IFERROR(IF(Y171=0,"",ROUNDUP(Y171/H171,0)*0.00902),"")</f>
        <v>0.52316000000000007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210.85714285714286</v>
      </c>
      <c r="BN171" s="78">
        <f t="shared" si="17"/>
        <v>214.01999999999998</v>
      </c>
      <c r="BO171" s="78">
        <f t="shared" si="18"/>
        <v>0.43290043290043295</v>
      </c>
      <c r="BP171" s="78">
        <f t="shared" si="19"/>
        <v>0.43939393939393939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150</v>
      </c>
      <c r="Y173" s="55">
        <f t="shared" si="15"/>
        <v>150.5</v>
      </c>
      <c r="Z173" s="41">
        <f>IFERROR(IF(Y173=0,"",ROUNDUP(Y173/H173,0)*0.00902),"")</f>
        <v>0.38785999999999998</v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158.14285714285714</v>
      </c>
      <c r="BN173" s="78">
        <f t="shared" si="17"/>
        <v>158.67000000000002</v>
      </c>
      <c r="BO173" s="78">
        <f t="shared" si="18"/>
        <v>0.32467532467532467</v>
      </c>
      <c r="BP173" s="78">
        <f t="shared" si="19"/>
        <v>0.32575757575757575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220</v>
      </c>
      <c r="Y174" s="55">
        <f t="shared" si="15"/>
        <v>220.5</v>
      </c>
      <c r="Z174" s="41">
        <f>IFERROR(IF(Y174=0,"",ROUNDUP(Y174/H174,0)*0.00902),"")</f>
        <v>0.56825999999999999</v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231.94285714285712</v>
      </c>
      <c r="BN174" s="78">
        <f t="shared" si="17"/>
        <v>232.47</v>
      </c>
      <c r="BO174" s="78">
        <f t="shared" si="18"/>
        <v>0.47619047619047616</v>
      </c>
      <c r="BP174" s="78">
        <f t="shared" si="19"/>
        <v>0.47727272727272729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4</v>
      </c>
      <c r="Y175" s="55">
        <f t="shared" si="15"/>
        <v>4.5</v>
      </c>
      <c r="Z175" s="41">
        <f>IFERROR(IF(Y175=0,"",ROUNDUP(Y175/H175,0)*0.00726),"")</f>
        <v>3.6299999999999999E-2</v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4.9333333333333336</v>
      </c>
      <c r="BN175" s="78">
        <f t="shared" si="17"/>
        <v>5.55</v>
      </c>
      <c r="BO175" s="78">
        <f t="shared" si="18"/>
        <v>2.3148148148148147E-2</v>
      </c>
      <c r="BP175" s="78">
        <f t="shared" si="19"/>
        <v>2.6041666666666664E-2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84</v>
      </c>
      <c r="Y176" s="55">
        <f t="shared" si="15"/>
        <v>84</v>
      </c>
      <c r="Z176" s="41">
        <f>IFERROR(IF(Y176=0,"",ROUNDUP(Y176/H176,0)*0.00502),"")</f>
        <v>0.251</v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89.000000000000014</v>
      </c>
      <c r="BN176" s="78">
        <f t="shared" si="17"/>
        <v>89.000000000000014</v>
      </c>
      <c r="BO176" s="78">
        <f t="shared" si="18"/>
        <v>0.21367521367521369</v>
      </c>
      <c r="BP176" s="78">
        <f t="shared" si="19"/>
        <v>0.21367521367521369</v>
      </c>
    </row>
    <row r="177" spans="1:68" ht="27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3</v>
      </c>
      <c r="Y177" s="55">
        <f t="shared" si="15"/>
        <v>3.6</v>
      </c>
      <c r="Z177" s="41">
        <f>IFERROR(IF(Y177=0,"",ROUNDUP(Y177/H177,0)*0.00417),"")</f>
        <v>1.668E-2</v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3.7</v>
      </c>
      <c r="BN177" s="78">
        <f t="shared" si="17"/>
        <v>4.4400000000000004</v>
      </c>
      <c r="BO177" s="78">
        <f t="shared" si="18"/>
        <v>1.0683760683760682E-2</v>
      </c>
      <c r="BP177" s="78">
        <f t="shared" si="19"/>
        <v>1.282051282051282E-2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84</v>
      </c>
      <c r="Y178" s="55">
        <f t="shared" si="15"/>
        <v>84</v>
      </c>
      <c r="Z178" s="41">
        <f>IFERROR(IF(Y178=0,"",ROUNDUP(Y178/H178,0)*0.00502),"")</f>
        <v>0.251</v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89.000000000000014</v>
      </c>
      <c r="BN178" s="78">
        <f t="shared" si="17"/>
        <v>89.000000000000014</v>
      </c>
      <c r="BO178" s="78">
        <f t="shared" si="18"/>
        <v>0.21367521367521369</v>
      </c>
      <c r="BP178" s="78">
        <f t="shared" si="19"/>
        <v>0.21367521367521369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98</v>
      </c>
      <c r="Y180" s="55">
        <f t="shared" si="15"/>
        <v>99.11999999999999</v>
      </c>
      <c r="Z180" s="41">
        <f>IFERROR(IF(Y180=0,"",ROUNDUP(Y180/H180,0)*0.00502),"")</f>
        <v>0.29618</v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103.83333333333334</v>
      </c>
      <c r="BN180" s="78">
        <f t="shared" si="17"/>
        <v>105.02</v>
      </c>
      <c r="BO180" s="78">
        <f t="shared" si="18"/>
        <v>0.24928774928774933</v>
      </c>
      <c r="BP180" s="78">
        <f t="shared" si="19"/>
        <v>0.25213675213675213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328.96825396825398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332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2.3304400000000003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843</v>
      </c>
      <c r="Y182" s="43">
        <f>IFERROR(SUM(Y170:Y180),"0")</f>
        <v>849.22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150</v>
      </c>
      <c r="Y204" s="55">
        <f t="shared" si="20"/>
        <v>151.20000000000002</v>
      </c>
      <c r="Z204" s="41">
        <f t="shared" si="21"/>
        <v>0.26572000000000001</v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155.69444444444446</v>
      </c>
      <c r="BN204" s="78">
        <f t="shared" si="23"/>
        <v>156.94</v>
      </c>
      <c r="BO204" s="78">
        <f t="shared" si="24"/>
        <v>0.21701388888888887</v>
      </c>
      <c r="BP204" s="78">
        <f t="shared" si="25"/>
        <v>0.21875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13.888888888888888</v>
      </c>
      <c r="Y206" s="43">
        <f>IFERROR(Y199/H199,"0")+IFERROR(Y200/H200,"0")+IFERROR(Y201/H201,"0")+IFERROR(Y202/H202,"0")+IFERROR(Y203/H203,"0")+IFERROR(Y204/H204,"0")+IFERROR(Y205/H205,"0")</f>
        <v>14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0.26572000000000001</v>
      </c>
      <c r="AA206" s="67"/>
      <c r="AB206" s="67"/>
      <c r="AC206" s="67"/>
    </row>
    <row r="207" spans="1:68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150</v>
      </c>
      <c r="Y207" s="43">
        <f>IFERROR(SUM(Y199:Y205),"0")</f>
        <v>151.20000000000002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30</v>
      </c>
      <c r="Y214" s="55">
        <f t="shared" ref="Y214:Y226" si="26">IFERROR(IF(X214="",0,CEILING((X214/$H214),1)*$H214),"")</f>
        <v>33.6</v>
      </c>
      <c r="Z214" s="41">
        <f>IFERROR(IF(Y214=0,"",ROUNDUP(Y214/H214,0)*0.00902),"")</f>
        <v>7.2160000000000002E-2</v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31.785714285714285</v>
      </c>
      <c r="BN214" s="78">
        <f t="shared" ref="BN214:BN226" si="28">IFERROR(Y214*I214/H214,"0")</f>
        <v>35.6</v>
      </c>
      <c r="BO214" s="78">
        <f t="shared" ref="BO214:BO226" si="29">IFERROR(1/J214*(X214/H214),"0")</f>
        <v>5.4112554112554112E-2</v>
      </c>
      <c r="BP214" s="78">
        <f t="shared" ref="BP214:BP226" si="30">IFERROR(1/J214*(Y214/H214),"0")</f>
        <v>6.0606060606060608E-2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20</v>
      </c>
      <c r="Y215" s="55">
        <f t="shared" si="26"/>
        <v>21</v>
      </c>
      <c r="Z215" s="41">
        <f>IFERROR(IF(Y215=0,"",ROUNDUP(Y215/H215,0)*0.00902),"")</f>
        <v>4.5100000000000001E-2</v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21.19047619047619</v>
      </c>
      <c r="BN215" s="78">
        <f t="shared" si="28"/>
        <v>22.25</v>
      </c>
      <c r="BO215" s="78">
        <f t="shared" si="29"/>
        <v>3.6075036075036072E-2</v>
      </c>
      <c r="BP215" s="78">
        <f t="shared" si="30"/>
        <v>3.787878787878788E-2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70</v>
      </c>
      <c r="Y216" s="55">
        <f t="shared" si="26"/>
        <v>71.400000000000006</v>
      </c>
      <c r="Z216" s="41">
        <f>IFERROR(IF(Y216=0,"",ROUNDUP(Y216/H216,0)*0.00902),"")</f>
        <v>0.15334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73.166666666666657</v>
      </c>
      <c r="BN216" s="78">
        <f t="shared" si="28"/>
        <v>74.63000000000001</v>
      </c>
      <c r="BO216" s="78">
        <f t="shared" si="29"/>
        <v>0.12626262626262624</v>
      </c>
      <c r="BP216" s="78">
        <f t="shared" si="30"/>
        <v>0.12878787878787878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4</v>
      </c>
      <c r="Y217" s="55">
        <f t="shared" si="26"/>
        <v>4</v>
      </c>
      <c r="Z217" s="41">
        <f>IFERROR(IF(Y217=0,"",ROUNDUP(Y217/H217,0)*0.00556),"")</f>
        <v>2.7799999999999998E-2</v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4.6500000000000004</v>
      </c>
      <c r="BN217" s="78">
        <f t="shared" si="28"/>
        <v>4.6500000000000004</v>
      </c>
      <c r="BO217" s="78">
        <f t="shared" si="29"/>
        <v>2.1367521367521368E-2</v>
      </c>
      <c r="BP217" s="78">
        <f t="shared" si="30"/>
        <v>2.1367521367521368E-2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38</v>
      </c>
      <c r="Y218" s="55">
        <f t="shared" si="26"/>
        <v>39.9</v>
      </c>
      <c r="Z218" s="41">
        <f>IFERROR(IF(Y218=0,"",ROUNDUP(Y218/H218,0)*0.00502),"")</f>
        <v>9.5380000000000006E-2</v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40.352380952380948</v>
      </c>
      <c r="BN218" s="78">
        <f t="shared" si="28"/>
        <v>42.36999999999999</v>
      </c>
      <c r="BO218" s="78">
        <f t="shared" si="29"/>
        <v>7.7330077330077338E-2</v>
      </c>
      <c r="BP218" s="78">
        <f t="shared" si="30"/>
        <v>8.11965811965812E-2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70</v>
      </c>
      <c r="Y220" s="55">
        <f t="shared" si="26"/>
        <v>71.400000000000006</v>
      </c>
      <c r="Z220" s="41">
        <f>IFERROR(IF(Y220=0,"",ROUNDUP(Y220/H220,0)*0.00502),"")</f>
        <v>0.17068</v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74.333333333333329</v>
      </c>
      <c r="BN220" s="78">
        <f t="shared" si="28"/>
        <v>75.820000000000007</v>
      </c>
      <c r="BO220" s="78">
        <f t="shared" si="29"/>
        <v>0.14245014245014245</v>
      </c>
      <c r="BP220" s="78">
        <f t="shared" si="30"/>
        <v>0.14529914529914531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1.6025641025641024E-2</v>
      </c>
      <c r="BP223" s="78">
        <f t="shared" si="30"/>
        <v>1.6025641025641024E-2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73.333333333333329</v>
      </c>
      <c r="BN224" s="78">
        <f t="shared" si="28"/>
        <v>74.8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123.33333333333333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127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0.75598999999999994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306</v>
      </c>
      <c r="Y228" s="43">
        <f>IFERROR(SUM(Y214:Y226),"0")</f>
        <v>316.70000000000005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72</v>
      </c>
      <c r="Y232" s="55">
        <f>IFERROR(IF(X232="",0,CEILING((X232/$H232),1)*$H232),"")</f>
        <v>73.44</v>
      </c>
      <c r="Z232" s="41">
        <f>IFERROR(IF(Y232=0,"",ROUNDUP(Y232/H232,0)*0.00902),"")</f>
        <v>0.30668000000000001</v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80.733333333333334</v>
      </c>
      <c r="BN232" s="78">
        <f>IFERROR(Y232*I232/H232,"0")</f>
        <v>82.347999999999999</v>
      </c>
      <c r="BO232" s="78">
        <f>IFERROR(1/J232*(X232/H232),"0")</f>
        <v>0.25252525252525249</v>
      </c>
      <c r="BP232" s="78">
        <f>IFERROR(1/J232*(Y232/H232),"0")</f>
        <v>0.25757575757575757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36</v>
      </c>
      <c r="Y234" s="55">
        <f>IFERROR(IF(X234="",0,CEILING((X234/$H234),1)*$H234),"")</f>
        <v>36.72</v>
      </c>
      <c r="Z234" s="41">
        <f>IFERROR(IF(Y234=0,"",ROUNDUP(Y234/H234,0)*0.00902),"")</f>
        <v>0.15334</v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40.366666666666667</v>
      </c>
      <c r="BN234" s="78">
        <f>IFERROR(Y234*I234/H234,"0")</f>
        <v>41.173999999999999</v>
      </c>
      <c r="BO234" s="78">
        <f>IFERROR(1/J234*(X234/H234),"0")</f>
        <v>0.12626262626262624</v>
      </c>
      <c r="BP234" s="78">
        <f>IFERROR(1/J234*(Y234/H234),"0")</f>
        <v>0.12878787878787878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49.999999999999993</v>
      </c>
      <c r="Y235" s="43">
        <f>IFERROR(Y230/H230,"0")+IFERROR(Y231/H231,"0")+IFERROR(Y232/H232,"0")+IFERROR(Y233/H233,"0")+IFERROR(Y234/H234,"0")</f>
        <v>51</v>
      </c>
      <c r="Z235" s="43">
        <f>IFERROR(IF(Z230="",0,Z230),"0")+IFERROR(IF(Z231="",0,Z231),"0")+IFERROR(IF(Z232="",0,Z232),"0")+IFERROR(IF(Z233="",0,Z233),"0")+IFERROR(IF(Z234="",0,Z234),"0")</f>
        <v>0.46001999999999998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108</v>
      </c>
      <c r="Y236" s="43">
        <f>IFERROR(SUM(Y230:Y234),"0")</f>
        <v>110.16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7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2.5720164609053495E-2</v>
      </c>
      <c r="BP240" s="78">
        <f>IFERROR(1/J240*(Y240/H240),"0")</f>
        <v>2.7777777777777776E-2</v>
      </c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16.666666666666664</v>
      </c>
      <c r="Y241" s="43">
        <f>IFERROR(Y238/H238,"0")+IFERROR(Y239/H239,"0")+IFERROR(Y240/H240,"0")</f>
        <v>18</v>
      </c>
      <c r="Z241" s="43">
        <f>IFERROR(IF(Z238="",0,Z238),"0")+IFERROR(IF(Z239="",0,Z239),"0")+IFERROR(IF(Z240="",0,Z240),"0")</f>
        <v>0.1062</v>
      </c>
      <c r="AA241" s="67"/>
      <c r="AB241" s="67"/>
      <c r="AC241" s="67"/>
    </row>
    <row r="242" spans="1:68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21</v>
      </c>
      <c r="Y242" s="43">
        <f>IFERROR(SUM(Y238:Y240),"0")</f>
        <v>22.68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240</v>
      </c>
      <c r="Y260" s="55">
        <f t="shared" ref="Y260:Y267" si="31">IFERROR(IF(X260="",0,CEILING((X260/$H260),1)*$H260),"")</f>
        <v>243.00000000000003</v>
      </c>
      <c r="Z260" s="41">
        <f>IFERROR(IF(Y260=0,"",ROUNDUP(Y260/H260,0)*0.00902),"")</f>
        <v>0.40590000000000004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248.4444444444444</v>
      </c>
      <c r="BN260" s="78">
        <f t="shared" ref="BN260:BN267" si="33">IFERROR(Y260*I260/H260,"0")</f>
        <v>251.55</v>
      </c>
      <c r="BO260" s="78">
        <f t="shared" ref="BO260:BO267" si="34">IFERROR(1/J260*(X260/H260),"0")</f>
        <v>0.33670033670033672</v>
      </c>
      <c r="BP260" s="78">
        <f t="shared" ref="BP260:BP267" si="35">IFERROR(1/J260*(Y260/H260),"0")</f>
        <v>0.34090909090909094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60</v>
      </c>
      <c r="Y261" s="55">
        <f t="shared" si="31"/>
        <v>64.800000000000011</v>
      </c>
      <c r="Z261" s="41">
        <f>IFERROR(IF(Y261=0,"",ROUNDUP(Y261/H261,0)*0.00902),"")</f>
        <v>0.10824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62.1111111111111</v>
      </c>
      <c r="BN261" s="78">
        <f t="shared" si="33"/>
        <v>67.08</v>
      </c>
      <c r="BO261" s="78">
        <f t="shared" si="34"/>
        <v>8.4175084175084181E-2</v>
      </c>
      <c r="BP261" s="78">
        <f t="shared" si="35"/>
        <v>9.0909090909090925E-2</v>
      </c>
    </row>
    <row r="262" spans="1:68" ht="27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110</v>
      </c>
      <c r="Y262" s="55">
        <f t="shared" si="31"/>
        <v>113.4</v>
      </c>
      <c r="Z262" s="41">
        <f>IFERROR(IF(Y262=0,"",ROUNDUP(Y262/H262,0)*0.00902),"")</f>
        <v>0.18942000000000001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113.87037037037035</v>
      </c>
      <c r="BN262" s="78">
        <f t="shared" si="33"/>
        <v>117.39</v>
      </c>
      <c r="BO262" s="78">
        <f t="shared" si="34"/>
        <v>0.15432098765432098</v>
      </c>
      <c r="BP262" s="78">
        <f t="shared" si="35"/>
        <v>0.15909090909090909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30</v>
      </c>
      <c r="Y263" s="55">
        <f t="shared" si="31"/>
        <v>32.400000000000006</v>
      </c>
      <c r="Z263" s="41">
        <f>IFERROR(IF(Y263=0,"",ROUNDUP(Y263/H263,0)*0.00902),"")</f>
        <v>5.4120000000000001E-2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31.05555555555555</v>
      </c>
      <c r="BN263" s="78">
        <f t="shared" si="33"/>
        <v>33.54</v>
      </c>
      <c r="BO263" s="78">
        <f t="shared" si="34"/>
        <v>4.208754208754209E-2</v>
      </c>
      <c r="BP263" s="78">
        <f t="shared" si="35"/>
        <v>4.5454545454545463E-2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75</v>
      </c>
      <c r="Y264" s="55">
        <f t="shared" si="31"/>
        <v>75.600000000000009</v>
      </c>
      <c r="Z264" s="41">
        <f>IFERROR(IF(Y264=0,"",ROUNDUP(Y264/H264,0)*0.00502),"")</f>
        <v>0.21084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80.416666666666671</v>
      </c>
      <c r="BN264" s="78">
        <f t="shared" si="33"/>
        <v>81.06</v>
      </c>
      <c r="BO264" s="78">
        <f t="shared" si="34"/>
        <v>0.17806267806267806</v>
      </c>
      <c r="BP264" s="78">
        <f t="shared" si="35"/>
        <v>0.17948717948717954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30</v>
      </c>
      <c r="Y265" s="55">
        <f t="shared" si="31"/>
        <v>30.6</v>
      </c>
      <c r="Z265" s="41">
        <f>IFERROR(IF(Y265=0,"",ROUNDUP(Y265/H265,0)*0.00502),"")</f>
        <v>8.5339999999999999E-2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31.666666666666664</v>
      </c>
      <c r="BN265" s="78">
        <f t="shared" si="33"/>
        <v>32.299999999999997</v>
      </c>
      <c r="BO265" s="78">
        <f t="shared" si="34"/>
        <v>7.122507122507124E-2</v>
      </c>
      <c r="BP265" s="78">
        <f t="shared" si="35"/>
        <v>7.2649572649572655E-2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31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63.333333333333329</v>
      </c>
      <c r="BN266" s="78">
        <f t="shared" si="33"/>
        <v>64.599999999999994</v>
      </c>
      <c r="BO266" s="78">
        <f t="shared" si="34"/>
        <v>0.14245014245014248</v>
      </c>
      <c r="BP266" s="78">
        <f t="shared" si="35"/>
        <v>0.14529914529914531</v>
      </c>
    </row>
    <row r="267" spans="1:68" ht="27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30.6</v>
      </c>
      <c r="Z267" s="41">
        <f>IFERROR(IF(Y267=0,"",ROUNDUP(Y267/H267,0)*0.00502),"")</f>
        <v>8.5339999999999999E-2</v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31.666666666666664</v>
      </c>
      <c r="BN267" s="78">
        <f t="shared" si="33"/>
        <v>32.299999999999997</v>
      </c>
      <c r="BO267" s="78">
        <f t="shared" si="34"/>
        <v>7.122507122507124E-2</v>
      </c>
      <c r="BP267" s="78">
        <f t="shared" si="35"/>
        <v>7.2649572649572655E-2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189.81481481481481</v>
      </c>
      <c r="Y268" s="43">
        <f>IFERROR(Y260/H260,"0")+IFERROR(Y261/H261,"0")+IFERROR(Y262/H262,"0")+IFERROR(Y263/H263,"0")+IFERROR(Y264/H264,"0")+IFERROR(Y265/H265,"0")+IFERROR(Y266/H266,"0")+IFERROR(Y267/H267,"0")</f>
        <v>194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1.3098800000000002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635</v>
      </c>
      <c r="Y269" s="43">
        <f>IFERROR(SUM(Y260:Y267),"0")</f>
        <v>651.60000000000014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105.3</v>
      </c>
      <c r="Z272" s="41">
        <f>IFERROR(IF(Y272=0,"",ROUNDUP(Y272/H272,0)*0.01898),"")</f>
        <v>0.24674000000000001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106.09876543209877</v>
      </c>
      <c r="BN272" s="78">
        <f t="shared" si="38"/>
        <v>111.72199999999999</v>
      </c>
      <c r="BO272" s="78">
        <f t="shared" si="39"/>
        <v>0.19290123456790123</v>
      </c>
      <c r="BP272" s="78">
        <f t="shared" si="40"/>
        <v>0.203125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110</v>
      </c>
      <c r="Y273" s="55">
        <f t="shared" si="36"/>
        <v>113.39999999999999</v>
      </c>
      <c r="Z273" s="41">
        <f>IFERROR(IF(Y273=0,"",ROUNDUP(Y273/H273,0)*0.01898),"")</f>
        <v>0.26572000000000001</v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116.4641975308642</v>
      </c>
      <c r="BN273" s="78">
        <f t="shared" si="38"/>
        <v>120.06399999999999</v>
      </c>
      <c r="BO273" s="78">
        <f t="shared" si="39"/>
        <v>0.21219135802469136</v>
      </c>
      <c r="BP273" s="78">
        <f t="shared" si="40"/>
        <v>0.21875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160</v>
      </c>
      <c r="Y274" s="55">
        <f t="shared" si="36"/>
        <v>165.29999999999998</v>
      </c>
      <c r="Z274" s="41">
        <f>IFERROR(IF(Y274=0,"",ROUNDUP(Y274/H274,0)*0.01898),"")</f>
        <v>0.36062</v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169.08505747126441</v>
      </c>
      <c r="BN274" s="78">
        <f t="shared" si="38"/>
        <v>174.68600000000001</v>
      </c>
      <c r="BO274" s="78">
        <f t="shared" si="39"/>
        <v>0.2873563218390805</v>
      </c>
      <c r="BP274" s="78">
        <f t="shared" si="40"/>
        <v>0.296875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280</v>
      </c>
      <c r="Y275" s="55">
        <f t="shared" si="36"/>
        <v>280.8</v>
      </c>
      <c r="Z275" s="41">
        <f>IFERROR(IF(Y275=0,"",ROUNDUP(Y275/H275,0)*0.00651),"")</f>
        <v>0.76167000000000007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311.5</v>
      </c>
      <c r="BN275" s="78">
        <f t="shared" si="38"/>
        <v>312.39</v>
      </c>
      <c r="BO275" s="78">
        <f t="shared" si="39"/>
        <v>0.64102564102564108</v>
      </c>
      <c r="BP275" s="78">
        <f t="shared" si="40"/>
        <v>0.64285714285714302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280</v>
      </c>
      <c r="Y277" s="55">
        <f t="shared" si="36"/>
        <v>280.8</v>
      </c>
      <c r="Z277" s="41">
        <f>IFERROR(IF(Y277=0,"",ROUNDUP(Y277/H277,0)*0.00651),"")</f>
        <v>0.76167000000000007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309.40000000000003</v>
      </c>
      <c r="BN277" s="78">
        <f t="shared" si="38"/>
        <v>310.28400000000005</v>
      </c>
      <c r="BO277" s="78">
        <f t="shared" si="39"/>
        <v>0.64102564102564108</v>
      </c>
      <c r="BP277" s="78">
        <f t="shared" si="40"/>
        <v>0.64285714285714302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60</v>
      </c>
      <c r="Y280" s="55">
        <f t="shared" si="36"/>
        <v>60</v>
      </c>
      <c r="Z280" s="41">
        <f>IFERROR(IF(Y280=0,"",ROUNDUP(Y280/H280,0)*0.00651),"")</f>
        <v>0.16275000000000001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66.300000000000011</v>
      </c>
      <c r="BN280" s="78">
        <f t="shared" si="38"/>
        <v>66.300000000000011</v>
      </c>
      <c r="BO280" s="78">
        <f t="shared" si="39"/>
        <v>0.13736263736263737</v>
      </c>
      <c r="BP280" s="78">
        <f t="shared" si="40"/>
        <v>0.13736263736263737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200</v>
      </c>
      <c r="Y281" s="55">
        <f t="shared" si="36"/>
        <v>201.6</v>
      </c>
      <c r="Z281" s="41">
        <f>IFERROR(IF(Y281=0,"",ROUNDUP(Y281/H281,0)*0.00651),"")</f>
        <v>0.54683999999999999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221.50000000000003</v>
      </c>
      <c r="BN281" s="78">
        <f t="shared" si="38"/>
        <v>223.27200000000002</v>
      </c>
      <c r="BO281" s="78">
        <f t="shared" si="39"/>
        <v>0.45787545787545797</v>
      </c>
      <c r="BP281" s="78">
        <f t="shared" si="40"/>
        <v>0.46153846153846156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385.98339719029377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389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3.1060099999999999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1190</v>
      </c>
      <c r="Y284" s="43">
        <f>IFERROR(SUM(Y271:Y282),"0")</f>
        <v>1207.1999999999998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32</v>
      </c>
      <c r="Y286" s="55">
        <f>IFERROR(IF(X286="",0,CEILING((X286/$H286),1)*$H286),"")</f>
        <v>33.6</v>
      </c>
      <c r="Z286" s="41">
        <f>IFERROR(IF(Y286=0,"",ROUNDUP(Y286/H286,0)*0.00651),"")</f>
        <v>9.1139999999999999E-2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35.360000000000007</v>
      </c>
      <c r="BN286" s="78">
        <f>IFERROR(Y286*I286/H286,"0")</f>
        <v>37.128000000000007</v>
      </c>
      <c r="BO286" s="78">
        <f>IFERROR(1/J286*(X286/H286),"0")</f>
        <v>7.3260073260073263E-2</v>
      </c>
      <c r="BP286" s="78">
        <f>IFERROR(1/J286*(Y286/H286),"0")</f>
        <v>7.6923076923076941E-2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72</v>
      </c>
      <c r="Y287" s="55">
        <f>IFERROR(IF(X287="",0,CEILING((X287/$H287),1)*$H287),"")</f>
        <v>72</v>
      </c>
      <c r="Z287" s="41">
        <f>IFERROR(IF(Y287=0,"",ROUNDUP(Y287/H287,0)*0.00651),"")</f>
        <v>0.1953</v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79.560000000000016</v>
      </c>
      <c r="BN287" s="78">
        <f>IFERROR(Y287*I287/H287,"0")</f>
        <v>79.560000000000016</v>
      </c>
      <c r="BO287" s="78">
        <f>IFERROR(1/J287*(X287/H287),"0")</f>
        <v>0.16483516483516486</v>
      </c>
      <c r="BP287" s="78">
        <f>IFERROR(1/J287*(Y287/H287),"0")</f>
        <v>0.16483516483516486</v>
      </c>
    </row>
    <row r="288" spans="1:68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43.333333333333336</v>
      </c>
      <c r="Y288" s="43">
        <f>IFERROR(Y286/H286,"0")+IFERROR(Y287/H287,"0")</f>
        <v>44</v>
      </c>
      <c r="Z288" s="43">
        <f>IFERROR(IF(Z286="",0,Z286),"0")+IFERROR(IF(Z287="",0,Z287),"0")</f>
        <v>0.28644000000000003</v>
      </c>
      <c r="AA288" s="67"/>
      <c r="AB288" s="67"/>
      <c r="AC288" s="67"/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104</v>
      </c>
      <c r="Y289" s="43">
        <f>IFERROR(SUM(Y286:Y287),"0")</f>
        <v>105.6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12</v>
      </c>
      <c r="Y295" s="55">
        <f t="shared" si="41"/>
        <v>12</v>
      </c>
      <c r="Z295" s="41">
        <f>IFERROR(IF(Y295=0,"",ROUNDUP(Y295/H295,0)*0.00902),"")</f>
        <v>2.7060000000000001E-2</v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12.57</v>
      </c>
      <c r="BN295" s="78">
        <f t="shared" si="43"/>
        <v>12.57</v>
      </c>
      <c r="BO295" s="78">
        <f t="shared" si="44"/>
        <v>2.2727272727272728E-2</v>
      </c>
      <c r="BP295" s="78">
        <f t="shared" si="45"/>
        <v>2.2727272727272728E-2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40</v>
      </c>
      <c r="Y298" s="55">
        <f t="shared" si="41"/>
        <v>40</v>
      </c>
      <c r="Z298" s="41">
        <f>IFERROR(IF(Y298=0,"",ROUNDUP(Y298/H298,0)*0.00902),"")</f>
        <v>9.0200000000000002E-2</v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41.900000000000006</v>
      </c>
      <c r="BN298" s="78">
        <f t="shared" si="43"/>
        <v>41.900000000000006</v>
      </c>
      <c r="BO298" s="78">
        <f t="shared" si="44"/>
        <v>7.575757575757576E-2</v>
      </c>
      <c r="BP298" s="78">
        <f t="shared" si="45"/>
        <v>7.575757575757576E-2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13</v>
      </c>
      <c r="Y299" s="43">
        <f>IFERROR(Y292/H292,"0")+IFERROR(Y293/H293,"0")+IFERROR(Y294/H294,"0")+IFERROR(Y295/H295,"0")+IFERROR(Y296/H296,"0")+IFERROR(Y297/H297,"0")+IFERROR(Y298/H298,"0")</f>
        <v>13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0.11726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52</v>
      </c>
      <c r="Y300" s="43">
        <f>IFERROR(SUM(Y292:Y298),"0")</f>
        <v>52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16</v>
      </c>
      <c r="Y302" s="55">
        <f>IFERROR(IF(X302="",0,CEILING((X302/$H302),1)*$H302),"")</f>
        <v>17.82</v>
      </c>
      <c r="Z302" s="41">
        <f>IFERROR(IF(Y302=0,"",ROUNDUP(Y302/H302,0)*0.00502),"")</f>
        <v>4.5179999999999998E-2</v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16.80808080808081</v>
      </c>
      <c r="BN302" s="78">
        <f>IFERROR(Y302*I302/H302,"0")</f>
        <v>18.720000000000002</v>
      </c>
      <c r="BO302" s="78">
        <f>IFERROR(1/J302*(X302/H302),"0")</f>
        <v>3.4533367866701206E-2</v>
      </c>
      <c r="BP302" s="78">
        <f>IFERROR(1/J302*(Y302/H302),"0")</f>
        <v>3.8461538461538464E-2</v>
      </c>
    </row>
    <row r="303" spans="1:68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8.0808080808080813</v>
      </c>
      <c r="Y303" s="43">
        <f>IFERROR(Y302/H302,"0")</f>
        <v>9</v>
      </c>
      <c r="Z303" s="43">
        <f>IFERROR(IF(Z302="",0,Z302),"0")</f>
        <v>4.5179999999999998E-2</v>
      </c>
      <c r="AA303" s="67"/>
      <c r="AB303" s="67"/>
      <c r="AC303" s="67"/>
    </row>
    <row r="304" spans="1:68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16</v>
      </c>
      <c r="Y304" s="43">
        <f>IFERROR(SUM(Y302:Y302),"0")</f>
        <v>17.82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12</v>
      </c>
      <c r="Y306" s="55">
        <f>IFERROR(IF(X306="",0,CEILING((X306/$H306),1)*$H306),"")</f>
        <v>12.6</v>
      </c>
      <c r="Z306" s="41">
        <f>IFERROR(IF(Y306=0,"",ROUNDUP(Y306/H306,0)*0.0059),"")</f>
        <v>4.1299999999999996E-2</v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13.166666666666668</v>
      </c>
      <c r="BN306" s="78">
        <f>IFERROR(Y306*I306/H306,"0")</f>
        <v>13.825000000000001</v>
      </c>
      <c r="BO306" s="78">
        <f>IFERROR(1/J306*(X306/H306),"0")</f>
        <v>3.0864197530864192E-2</v>
      </c>
      <c r="BP306" s="78">
        <f>IFERROR(1/J306*(Y306/H306),"0")</f>
        <v>3.2407407407407406E-2</v>
      </c>
    </row>
    <row r="307" spans="1:68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6.6666666666666661</v>
      </c>
      <c r="Y307" s="43">
        <f>IFERROR(Y306/H306,"0")</f>
        <v>7</v>
      </c>
      <c r="Z307" s="43">
        <f>IFERROR(IF(Z306="",0,Z306),"0")</f>
        <v>4.1299999999999996E-2</v>
      </c>
      <c r="AA307" s="67"/>
      <c r="AB307" s="67"/>
      <c r="AC307" s="67"/>
    </row>
    <row r="308" spans="1:68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12</v>
      </c>
      <c r="Y308" s="43">
        <f>IFERROR(SUM(Y306:Y306),"0")</f>
        <v>12.6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6.6666666666666661</v>
      </c>
      <c r="Y314" s="43">
        <f>IFERROR(Y310/H310,"0")+IFERROR(Y311/H311,"0")+IFERROR(Y312/H312,"0")+IFERROR(Y313/H313,"0")</f>
        <v>7</v>
      </c>
      <c r="Z314" s="43">
        <f>IFERROR(IF(Z310="",0,Z310),"0")+IFERROR(IF(Z311="",0,Z311),"0")+IFERROR(IF(Z312="",0,Z312),"0")+IFERROR(IF(Z313="",0,Z313),"0")</f>
        <v>4.1299999999999996E-2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12</v>
      </c>
      <c r="Y315" s="43">
        <f>IFERROR(SUM(Y310:Y313),"0")</f>
        <v>12.6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80</v>
      </c>
      <c r="Y331" s="55">
        <f>IFERROR(IF(X331="",0,CEILING((X331/$H331),1)*$H331),"")</f>
        <v>81.599999999999994</v>
      </c>
      <c r="Z331" s="41">
        <f>IFERROR(IF(Y331=0,"",ROUNDUP(Y331/H331,0)*0.00651),"")</f>
        <v>0.22134000000000001</v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88.40000000000002</v>
      </c>
      <c r="BN331" s="78">
        <f>IFERROR(Y331*I331/H331,"0")</f>
        <v>90.168000000000006</v>
      </c>
      <c r="BO331" s="78">
        <f>IFERROR(1/J331*(X331/H331),"0")</f>
        <v>0.18315018315018317</v>
      </c>
      <c r="BP331" s="78">
        <f>IFERROR(1/J331*(Y331/H331),"0")</f>
        <v>0.18681318681318682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280</v>
      </c>
      <c r="Y332" s="55">
        <f>IFERROR(IF(X332="",0,CEILING((X332/$H332),1)*$H332),"")</f>
        <v>280.8</v>
      </c>
      <c r="Z332" s="41">
        <f>IFERROR(IF(Y332=0,"",ROUNDUP(Y332/H332,0)*0.00651),"")</f>
        <v>0.76167000000000007</v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301</v>
      </c>
      <c r="BN332" s="78">
        <f>IFERROR(Y332*I332/H332,"0")</f>
        <v>301.86</v>
      </c>
      <c r="BO332" s="78">
        <f>IFERROR(1/J332*(X332/H332),"0")</f>
        <v>0.64102564102564108</v>
      </c>
      <c r="BP332" s="78">
        <f>IFERROR(1/J332*(Y332/H332),"0")</f>
        <v>0.64285714285714302</v>
      </c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150</v>
      </c>
      <c r="Y333" s="43">
        <f>IFERROR(Y330/H330,"0")+IFERROR(Y331/H331,"0")+IFERROR(Y332/H332,"0")</f>
        <v>151</v>
      </c>
      <c r="Z333" s="43">
        <f>IFERROR(IF(Z330="",0,Z330),"0")+IFERROR(IF(Z331="",0,Z331),"0")+IFERROR(IF(Z332="",0,Z332),"0")</f>
        <v>0.98301000000000005</v>
      </c>
      <c r="AA333" s="67"/>
      <c r="AB333" s="67"/>
      <c r="AC333" s="67"/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360</v>
      </c>
      <c r="Y334" s="43">
        <f>IFERROR(SUM(Y330:Y332),"0")</f>
        <v>362.4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180</v>
      </c>
      <c r="Y360" s="55">
        <f>IFERROR(IF(X360="",0,CEILING((X360/$H360),1)*$H360),"")</f>
        <v>187.2</v>
      </c>
      <c r="Z360" s="41">
        <f>IFERROR(IF(Y360=0,"",ROUNDUP(Y360/H360,0)*0.01898),"")</f>
        <v>0.45552000000000004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189.46153846153848</v>
      </c>
      <c r="BN360" s="78">
        <f>IFERROR(Y360*I360/H360,"0")</f>
        <v>197.04000000000002</v>
      </c>
      <c r="BO360" s="78">
        <f>IFERROR(1/J360*(X360/H360),"0")</f>
        <v>0.36057692307692307</v>
      </c>
      <c r="BP360" s="78">
        <f>IFERROR(1/J360*(Y360/H360),"0")</f>
        <v>0.375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220</v>
      </c>
      <c r="Y361" s="55">
        <f>IFERROR(IF(X361="",0,CEILING((X361/$H361),1)*$H361),"")</f>
        <v>226.2</v>
      </c>
      <c r="Z361" s="41">
        <f>IFERROR(IF(Y361=0,"",ROUNDUP(Y361/H361,0)*0.01898),"")</f>
        <v>0.55042000000000002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231.5641025641026</v>
      </c>
      <c r="BN361" s="78">
        <f>IFERROR(Y361*I361/H361,"0")</f>
        <v>238.09</v>
      </c>
      <c r="BO361" s="78">
        <f>IFERROR(1/J361*(X361/H361),"0")</f>
        <v>0.44070512820512819</v>
      </c>
      <c r="BP361" s="78">
        <f>IFERROR(1/J361*(Y361/H361),"0")</f>
        <v>0.453125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90</v>
      </c>
      <c r="Y362" s="55">
        <f>IFERROR(IF(X362="",0,CEILING((X362/$H362),1)*$H362),"")</f>
        <v>93.6</v>
      </c>
      <c r="Z362" s="41">
        <f>IFERROR(IF(Y362=0,"",ROUNDUP(Y362/H362,0)*0.01898),"")</f>
        <v>0.22776000000000002</v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94.730769230769241</v>
      </c>
      <c r="BN362" s="78">
        <f>IFERROR(Y362*I362/H362,"0")</f>
        <v>98.52000000000001</v>
      </c>
      <c r="BO362" s="78">
        <f>IFERROR(1/J362*(X362/H362),"0")</f>
        <v>0.18028846153846154</v>
      </c>
      <c r="BP362" s="78">
        <f>IFERROR(1/J362*(Y362/H362),"0")</f>
        <v>0.1875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62.820512820512825</v>
      </c>
      <c r="Y363" s="43">
        <f>IFERROR(Y360/H360,"0")+IFERROR(Y361/H361,"0")+IFERROR(Y362/H362,"0")</f>
        <v>65</v>
      </c>
      <c r="Z363" s="43">
        <f>IFERROR(IF(Z360="",0,Z360),"0")+IFERROR(IF(Z361="",0,Z361),"0")+IFERROR(IF(Z362="",0,Z362),"0")</f>
        <v>1.2337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490</v>
      </c>
      <c r="Y364" s="43">
        <f>IFERROR(SUM(Y360:Y362),"0")</f>
        <v>507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10</v>
      </c>
      <c r="Y378" s="55">
        <f t="shared" si="57"/>
        <v>12.600000000000001</v>
      </c>
      <c r="Z378" s="41">
        <f>IFERROR(IF(Y378=0,"",ROUNDUP(Y378/H378,0)*0.00902),"")</f>
        <v>2.7060000000000001E-2</v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10.595238095238095</v>
      </c>
      <c r="BN378" s="78">
        <f t="shared" si="59"/>
        <v>13.350000000000001</v>
      </c>
      <c r="BO378" s="78">
        <f t="shared" si="60"/>
        <v>1.8037518037518036E-2</v>
      </c>
      <c r="BP378" s="78">
        <f t="shared" si="61"/>
        <v>2.2727272727272728E-2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175</v>
      </c>
      <c r="Y381" s="55">
        <f t="shared" si="57"/>
        <v>176.4</v>
      </c>
      <c r="Z381" s="41">
        <f>IFERROR(IF(Y381=0,"",ROUNDUP(Y381/H381,0)*0.00502),"")</f>
        <v>0.42168</v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183.33333333333334</v>
      </c>
      <c r="BN381" s="78">
        <f t="shared" si="59"/>
        <v>184.8</v>
      </c>
      <c r="BO381" s="78">
        <f t="shared" si="60"/>
        <v>0.35612535612535612</v>
      </c>
      <c r="BP381" s="78">
        <f t="shared" si="61"/>
        <v>0.35897435897435903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45</v>
      </c>
      <c r="Y383" s="55">
        <f t="shared" si="57"/>
        <v>45</v>
      </c>
      <c r="Z383" s="41">
        <f>IFERROR(IF(Y383=0,"",ROUNDUP(Y383/H383,0)*0.00651),"")</f>
        <v>0.16275000000000001</v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50.7</v>
      </c>
      <c r="BN383" s="78">
        <f t="shared" si="59"/>
        <v>50.7</v>
      </c>
      <c r="BO383" s="78">
        <f t="shared" si="60"/>
        <v>0.13736263736263737</v>
      </c>
      <c r="BP383" s="78">
        <f t="shared" si="61"/>
        <v>0.13736263736263737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110.71428571428571</v>
      </c>
      <c r="Y384" s="43">
        <f>IFERROR(Y377/H377,"0")+IFERROR(Y378/H378,"0")+IFERROR(Y379/H379,"0")+IFERROR(Y380/H380,"0")+IFERROR(Y381/H381,"0")+IFERROR(Y382/H382,"0")+IFERROR(Y383/H383,"0")</f>
        <v>112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0.61149000000000009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230</v>
      </c>
      <c r="Y385" s="43">
        <f>IFERROR(SUM(Y377:Y383),"0")</f>
        <v>234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150</v>
      </c>
      <c r="Y387" s="55">
        <f>IFERROR(IF(X387="",0,CEILING((X387/$H387),1)*$H387),"")</f>
        <v>156</v>
      </c>
      <c r="Z387" s="41">
        <f>IFERROR(IF(Y387=0,"",ROUNDUP(Y387/H387,0)*0.01898),"")</f>
        <v>0.37959999999999999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159.38461538461539</v>
      </c>
      <c r="BN387" s="78">
        <f>IFERROR(Y387*I387/H387,"0")</f>
        <v>165.76000000000002</v>
      </c>
      <c r="BO387" s="78">
        <f>IFERROR(1/J387*(X387/H387),"0")</f>
        <v>0.30048076923076922</v>
      </c>
      <c r="BP387" s="78">
        <f>IFERROR(1/J387*(Y387/H387),"0")</f>
        <v>0.3125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19.23076923076923</v>
      </c>
      <c r="Y391" s="43">
        <f>IFERROR(Y387/H387,"0")+IFERROR(Y388/H388,"0")+IFERROR(Y389/H389,"0")+IFERROR(Y390/H390,"0")</f>
        <v>20</v>
      </c>
      <c r="Z391" s="43">
        <f>IFERROR(IF(Z387="",0,Z387),"0")+IFERROR(IF(Z388="",0,Z388),"0")+IFERROR(IF(Z389="",0,Z389),"0")+IFERROR(IF(Z390="",0,Z390),"0")</f>
        <v>0.37959999999999999</v>
      </c>
      <c r="AA391" s="67"/>
      <c r="AB391" s="67"/>
      <c r="AC391" s="67"/>
    </row>
    <row r="392" spans="1:68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150</v>
      </c>
      <c r="Y392" s="43">
        <f>IFERROR(SUM(Y387:Y390),"0")</f>
        <v>156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400</v>
      </c>
      <c r="Y394" s="55">
        <f>IFERROR(IF(X394="",0,CEILING((X394/$H394),1)*$H394),"")</f>
        <v>403.20000000000005</v>
      </c>
      <c r="Z394" s="41">
        <f>IFERROR(IF(Y394=0,"",ROUNDUP(Y394/H394,0)*0.01898),"")</f>
        <v>0.91104000000000007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423.52380952380952</v>
      </c>
      <c r="BN394" s="78">
        <f>IFERROR(Y394*I394/H394,"0")</f>
        <v>426.91200000000003</v>
      </c>
      <c r="BO394" s="78">
        <f>IFERROR(1/J394*(X394/H394),"0")</f>
        <v>0.74404761904761907</v>
      </c>
      <c r="BP394" s="78">
        <f>IFERROR(1/J394*(Y394/H394),"0")</f>
        <v>0.75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450</v>
      </c>
      <c r="Y395" s="55">
        <f>IFERROR(IF(X395="",0,CEILING((X395/$H395),1)*$H395),"")</f>
        <v>452.4</v>
      </c>
      <c r="Z395" s="41">
        <f>IFERROR(IF(Y395=0,"",ROUNDUP(Y395/H395,0)*0.01898),"")</f>
        <v>1.10084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478.50000000000006</v>
      </c>
      <c r="BN395" s="78">
        <f>IFERROR(Y395*I395/H395,"0")</f>
        <v>481.05200000000002</v>
      </c>
      <c r="BO395" s="78">
        <f>IFERROR(1/J395*(X395/H395),"0")</f>
        <v>0.90144230769230771</v>
      </c>
      <c r="BP395" s="78">
        <f>IFERROR(1/J395*(Y395/H395),"0")</f>
        <v>0.90625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80</v>
      </c>
      <c r="Y396" s="55">
        <f>IFERROR(IF(X396="",0,CEILING((X396/$H396),1)*$H396),"")</f>
        <v>84</v>
      </c>
      <c r="Z396" s="41">
        <f>IFERROR(IF(Y396=0,"",ROUNDUP(Y396/H396,0)*0.01898),"")</f>
        <v>0.1898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84.704761904761895</v>
      </c>
      <c r="BN396" s="78">
        <f>IFERROR(Y396*I396/H396,"0")</f>
        <v>88.94</v>
      </c>
      <c r="BO396" s="78">
        <f>IFERROR(1/J396*(X396/H396),"0")</f>
        <v>0.14880952380952381</v>
      </c>
      <c r="BP396" s="78">
        <f>IFERROR(1/J396*(Y396/H396),"0")</f>
        <v>0.15625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114.83516483516483</v>
      </c>
      <c r="Y397" s="43">
        <f>IFERROR(Y394/H394,"0")+IFERROR(Y395/H395,"0")+IFERROR(Y396/H396,"0")</f>
        <v>116</v>
      </c>
      <c r="Z397" s="43">
        <f>IFERROR(IF(Z394="",0,Z394),"0")+IFERROR(IF(Z395="",0,Z395),"0")+IFERROR(IF(Z396="",0,Z396),"0")</f>
        <v>2.2016800000000001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930</v>
      </c>
      <c r="Y398" s="43">
        <f>IFERROR(SUM(Y394:Y396),"0")</f>
        <v>939.6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735</v>
      </c>
      <c r="Y429" s="55">
        <f>IFERROR(IF(X429="",0,CEILING((X429/$H429),1)*$H429),"")</f>
        <v>735</v>
      </c>
      <c r="Z429" s="41">
        <f>IFERROR(IF(Y429=0,"",ROUNDUP(Y429/H429,0)*0.00651),"")</f>
        <v>2.2785000000000002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823.19999999999982</v>
      </c>
      <c r="BN429" s="78">
        <f>IFERROR(Y429*I429/H429,"0")</f>
        <v>823.19999999999982</v>
      </c>
      <c r="BO429" s="78">
        <f>IFERROR(1/J429*(X429/H429),"0")</f>
        <v>1.9230769230769231</v>
      </c>
      <c r="BP429" s="78">
        <f>IFERROR(1/J429*(Y429/H429),"0")</f>
        <v>1.9230769230769231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420</v>
      </c>
      <c r="Y430" s="55">
        <f>IFERROR(IF(X430="",0,CEILING((X430/$H430),1)*$H430),"")</f>
        <v>420</v>
      </c>
      <c r="Z430" s="41">
        <f>IFERROR(IF(Y430=0,"",ROUNDUP(Y430/H430,0)*0.00651),"")</f>
        <v>1.302</v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467.99999999999994</v>
      </c>
      <c r="BN430" s="78">
        <f>IFERROR(Y430*I430/H430,"0")</f>
        <v>467.99999999999994</v>
      </c>
      <c r="BO430" s="78">
        <f>IFERROR(1/J430*(X430/H430),"0")</f>
        <v>1.098901098901099</v>
      </c>
      <c r="BP430" s="78">
        <f>IFERROR(1/J430*(Y430/H430),"0")</f>
        <v>1.098901098901099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550</v>
      </c>
      <c r="Y431" s="43">
        <f>IFERROR(Y428/H428,"0")+IFERROR(Y429/H429,"0")+IFERROR(Y430/H430,"0")</f>
        <v>550</v>
      </c>
      <c r="Z431" s="43">
        <f>IFERROR(IF(Z428="",0,Z428),"0")+IFERROR(IF(Z429="",0,Z429),"0")+IFERROR(IF(Z430="",0,Z430),"0")</f>
        <v>3.5805000000000002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1155</v>
      </c>
      <c r="Y432" s="43">
        <f>IFERROR(SUM(Y428:Y430),"0")</f>
        <v>1155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120</v>
      </c>
      <c r="Y436" s="55">
        <f t="shared" ref="Y436:Y443" si="62">IFERROR(IF(X436="",0,CEILING((X436/$H436),1)*$H436),"")</f>
        <v>120</v>
      </c>
      <c r="Z436" s="41">
        <f>IFERROR(IF(Y436=0,"",ROUNDUP(Y436/H436,0)*0.02175),"")</f>
        <v>0.17399999999999999</v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123.76</v>
      </c>
      <c r="BN436" s="78">
        <f t="shared" ref="BN436:BN443" si="64">IFERROR(Y436*I436/H436,"0")</f>
        <v>123.76</v>
      </c>
      <c r="BO436" s="78">
        <f t="shared" ref="BO436:BO443" si="65">IFERROR(1/J436*(X436/H436),"0")</f>
        <v>0.16666666666666666</v>
      </c>
      <c r="BP436" s="78">
        <f t="shared" ref="BP436:BP443" si="66">IFERROR(1/J436*(Y436/H436),"0")</f>
        <v>0.16666666666666666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1200</v>
      </c>
      <c r="Y437" s="55">
        <f t="shared" si="62"/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1237.5999999999999</v>
      </c>
      <c r="BN437" s="78">
        <f t="shared" si="64"/>
        <v>1237.5999999999999</v>
      </c>
      <c r="BO437" s="78">
        <f t="shared" si="65"/>
        <v>1.6666666666666665</v>
      </c>
      <c r="BP437" s="78">
        <f t="shared" si="66"/>
        <v>1.6666666666666665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900</v>
      </c>
      <c r="Y438" s="55">
        <f t="shared" si="62"/>
        <v>900</v>
      </c>
      <c r="Z438" s="41">
        <f>IFERROR(IF(Y438=0,"",ROUNDUP(Y438/H438,0)*0.02175),"")</f>
        <v>1.3049999999999999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928.2</v>
      </c>
      <c r="BN438" s="78">
        <f t="shared" si="64"/>
        <v>928.2</v>
      </c>
      <c r="BO438" s="78">
        <f t="shared" si="65"/>
        <v>1.25</v>
      </c>
      <c r="BP438" s="78">
        <f t="shared" si="66"/>
        <v>1.25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1100</v>
      </c>
      <c r="Y439" s="55">
        <f t="shared" si="62"/>
        <v>1110</v>
      </c>
      <c r="Z439" s="41">
        <f>IFERROR(IF(Y439=0,"",ROUNDUP(Y439/H439,0)*0.02175),"")</f>
        <v>1.6094999999999999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1134.4666666666667</v>
      </c>
      <c r="BN439" s="78">
        <f t="shared" si="64"/>
        <v>1144.78</v>
      </c>
      <c r="BO439" s="78">
        <f t="shared" si="65"/>
        <v>1.5277777777777777</v>
      </c>
      <c r="BP439" s="78">
        <f t="shared" si="66"/>
        <v>1.5416666666666665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400</v>
      </c>
      <c r="Y440" s="55">
        <f t="shared" si="62"/>
        <v>405</v>
      </c>
      <c r="Z440" s="41">
        <f>IFERROR(IF(Y440=0,"",ROUNDUP(Y440/H440,0)*0.02175),"")</f>
        <v>0.58724999999999994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412.53333333333336</v>
      </c>
      <c r="BN440" s="78">
        <f t="shared" si="64"/>
        <v>417.69</v>
      </c>
      <c r="BO440" s="78">
        <f t="shared" si="65"/>
        <v>0.55555555555555558</v>
      </c>
      <c r="BP440" s="78">
        <f t="shared" si="66"/>
        <v>0.5625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si="62"/>
        <v>10</v>
      </c>
      <c r="Z443" s="41">
        <f>IFERROR(IF(Y443=0,"",ROUNDUP(Y443/H443,0)*0.00902),"")</f>
        <v>1.804E-2</v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10.38</v>
      </c>
      <c r="BN443" s="78">
        <f t="shared" si="64"/>
        <v>10.38</v>
      </c>
      <c r="BO443" s="78">
        <f t="shared" si="65"/>
        <v>1.5151515151515152E-2</v>
      </c>
      <c r="BP443" s="78">
        <f t="shared" si="66"/>
        <v>1.5151515151515152E-2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249.99999999999997</v>
      </c>
      <c r="Y444" s="43">
        <f>IFERROR(Y436/H436,"0")+IFERROR(Y437/H437,"0")+IFERROR(Y438/H438,"0")+IFERROR(Y439/H439,"0")+IFERROR(Y440/H440,"0")+IFERROR(Y441/H441,"0")+IFERROR(Y442/H442,"0")+IFERROR(Y443/H443,"0")</f>
        <v>251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5.4337899999999992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3730</v>
      </c>
      <c r="Y445" s="43">
        <f>IFERROR(SUM(Y436:Y443),"0")</f>
        <v>3745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100</v>
      </c>
      <c r="Y448" s="55">
        <f>IFERROR(IF(X448="",0,CEILING((X448/$H448),1)*$H448),"")</f>
        <v>105</v>
      </c>
      <c r="Z448" s="41">
        <f>IFERROR(IF(Y448=0,"",ROUNDUP(Y448/H448,0)*0.02175),"")</f>
        <v>0.15225</v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103.13333333333334</v>
      </c>
      <c r="BN448" s="78">
        <f>IFERROR(Y448*I448/H448,"0")</f>
        <v>108.29</v>
      </c>
      <c r="BO448" s="78">
        <f>IFERROR(1/J448*(X448/H448),"0")</f>
        <v>0.1388888888888889</v>
      </c>
      <c r="BP448" s="78">
        <f>IFERROR(1/J448*(Y448/H448),"0")</f>
        <v>0.14583333333333331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73.333333333333343</v>
      </c>
      <c r="Y450" s="43">
        <f>IFERROR(Y447/H447,"0")+IFERROR(Y448/H448,"0")+IFERROR(Y449/H449,"0")</f>
        <v>74</v>
      </c>
      <c r="Z450" s="43">
        <f>IFERROR(IF(Z447="",0,Z447),"0")+IFERROR(IF(Z448="",0,Z448),"0")+IFERROR(IF(Z449="",0,Z449),"0")</f>
        <v>1.6094999999999999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1100</v>
      </c>
      <c r="Y451" s="43">
        <f>IFERROR(SUM(Y447:Y449),"0")</f>
        <v>1110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100</v>
      </c>
      <c r="Y453" s="55">
        <f>IFERROR(IF(X453="",0,CEILING((X453/$H453),1)*$H453),"")</f>
        <v>108</v>
      </c>
      <c r="Z453" s="41">
        <f>IFERROR(IF(Y453=0,"",ROUNDUP(Y453/H453,0)*0.01898),"")</f>
        <v>0.22776000000000002</v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105.55555555555556</v>
      </c>
      <c r="BN453" s="78">
        <f>IFERROR(Y453*I453/H453,"0")</f>
        <v>114</v>
      </c>
      <c r="BO453" s="78">
        <f>IFERROR(1/J453*(X453/H453),"0")</f>
        <v>0.1736111111111111</v>
      </c>
      <c r="BP453" s="78">
        <f>IFERROR(1/J453*(Y453/H453),"0")</f>
        <v>0.1875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20</v>
      </c>
      <c r="Y455" s="55">
        <f>IFERROR(IF(X455="",0,CEILING((X455/$H455),1)*$H455),"")</f>
        <v>24</v>
      </c>
      <c r="Z455" s="41">
        <f>IFERROR(IF(Y455=0,"",ROUNDUP(Y455/H455,0)*0.01196),"")</f>
        <v>5.9799999999999999E-2</v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21.733333333333334</v>
      </c>
      <c r="BN455" s="78">
        <f>IFERROR(Y455*I455/H455,"0")</f>
        <v>26.080000000000002</v>
      </c>
      <c r="BO455" s="78">
        <f>IFERROR(1/J455*(X455/H455),"0")</f>
        <v>4.0064102564102567E-2</v>
      </c>
      <c r="BP455" s="78">
        <f>IFERROR(1/J455*(Y455/H455),"0")</f>
        <v>4.807692307692308E-2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15.277777777777779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0.28756000000000004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120</v>
      </c>
      <c r="Y457" s="43">
        <f>IFERROR(SUM(Y453:Y455),"0")</f>
        <v>132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5.6940000000000004E-2</v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31.025000000000002</v>
      </c>
      <c r="BN465" s="78">
        <f>IFERROR(Y465*I465/H465,"0")</f>
        <v>37.229999999999997</v>
      </c>
      <c r="BO465" s="78">
        <f>IFERROR(1/J465*(X465/H465),"0")</f>
        <v>3.90625E-2</v>
      </c>
      <c r="BP465" s="78">
        <f>IFERROR(1/J465*(Y465/H465),"0")</f>
        <v>4.6875E-2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2.5</v>
      </c>
      <c r="Y467" s="43">
        <f>IFERROR(Y465/H465,"0")+IFERROR(Y466/H466,"0")</f>
        <v>3</v>
      </c>
      <c r="Z467" s="43">
        <f>IFERROR(IF(Z465="",0,Z465),"0")+IFERROR(IF(Z466="",0,Z466),"0")</f>
        <v>5.6940000000000004E-2</v>
      </c>
      <c r="AA467" s="67"/>
      <c r="AB467" s="67"/>
      <c r="AC467" s="67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30</v>
      </c>
      <c r="Y468" s="43">
        <f>IFERROR(SUM(Y465:Y466),"0")</f>
        <v>36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20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21.097777777777779</v>
      </c>
      <c r="BN474" s="78">
        <f>IFERROR(Y474*I474/H474,"0")</f>
        <v>28.481999999999996</v>
      </c>
      <c r="BO474" s="78">
        <f>IFERROR(1/J474*(X474/H474),"0")</f>
        <v>3.4722222222222224E-2</v>
      </c>
      <c r="BP474" s="78">
        <f>IFERROR(1/J474*(Y474/H474),"0")</f>
        <v>4.6875E-2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2.2222222222222223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20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30</v>
      </c>
      <c r="Y508" s="55">
        <f t="shared" ref="Y508:Y515" si="72">IFERROR(IF(X508="",0,CEILING((X508/$H508),1)*$H508),"")</f>
        <v>31.68</v>
      </c>
      <c r="Z508" s="41">
        <f>IFERROR(IF(Y508=0,"",ROUNDUP(Y508/H508,0)*0.01196),"")</f>
        <v>7.1760000000000004E-2</v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31.988636363636363</v>
      </c>
      <c r="BN508" s="78">
        <f t="shared" ref="BN508:BN515" si="74">IFERROR(Y508*I508/H508,"0")</f>
        <v>33.779999999999994</v>
      </c>
      <c r="BO508" s="78">
        <f t="shared" ref="BO508:BO515" si="75">IFERROR(1/J508*(X508/H508),"0")</f>
        <v>5.4632867132867136E-2</v>
      </c>
      <c r="BP508" s="78">
        <f t="shared" ref="BP508:BP515" si="76">IFERROR(1/J508*(Y508/H508),"0")</f>
        <v>5.7692307692307696E-2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72"/>
        <v>200.64000000000001</v>
      </c>
      <c r="Z512" s="41">
        <f>IFERROR(IF(Y512=0,"",ROUNDUP(Y512/H512,0)*0.01196),"")</f>
        <v>0.45448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213.25757575757575</v>
      </c>
      <c r="BN512" s="78">
        <f t="shared" si="74"/>
        <v>213.94</v>
      </c>
      <c r="BO512" s="78">
        <f t="shared" si="75"/>
        <v>0.36421911421911418</v>
      </c>
      <c r="BP512" s="78">
        <f t="shared" si="76"/>
        <v>0.36538461538461542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66</v>
      </c>
      <c r="Y514" s="55">
        <f t="shared" si="72"/>
        <v>67.2</v>
      </c>
      <c r="Z514" s="41">
        <f>IFERROR(IF(Y514=0,"",ROUNDUP(Y514/H514,0)*0.00902),"")</f>
        <v>0.12628</v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95.012500000000003</v>
      </c>
      <c r="BN514" s="78">
        <f t="shared" si="74"/>
        <v>96.740000000000009</v>
      </c>
      <c r="BO514" s="78">
        <f t="shared" si="75"/>
        <v>0.10416666666666667</v>
      </c>
      <c r="BP514" s="78">
        <f t="shared" si="76"/>
        <v>0.10606060606060608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240</v>
      </c>
      <c r="Y515" s="55">
        <f t="shared" si="72"/>
        <v>240</v>
      </c>
      <c r="Z515" s="41">
        <f>IFERROR(IF(Y515=0,"",ROUNDUP(Y515/H515,0)*0.00902),"")</f>
        <v>0.45100000000000001</v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345.50000000000006</v>
      </c>
      <c r="BN515" s="78">
        <f t="shared" si="74"/>
        <v>345.50000000000006</v>
      </c>
      <c r="BO515" s="78">
        <f t="shared" si="75"/>
        <v>0.37878787878787878</v>
      </c>
      <c r="BP515" s="78">
        <f t="shared" si="76"/>
        <v>0.37878787878787878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107.31060606060606</v>
      </c>
      <c r="Y516" s="43">
        <f>IFERROR(Y508/H508,"0")+IFERROR(Y509/H509,"0")+IFERROR(Y510/H510,"0")+IFERROR(Y511/H511,"0")+IFERROR(Y512/H512,"0")+IFERROR(Y513/H513,"0")+IFERROR(Y514/H514,"0")+IFERROR(Y515/H515,"0")</f>
        <v>108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1.1035200000000001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536</v>
      </c>
      <c r="Y517" s="43">
        <f>IFERROR(SUM(Y508:Y515),"0")</f>
        <v>539.52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220</v>
      </c>
      <c r="Y519" s="55">
        <f>IFERROR(IF(X519="",0,CEILING((X519/$H519),1)*$H519),"")</f>
        <v>221.76000000000002</v>
      </c>
      <c r="Z519" s="41">
        <f>IFERROR(IF(Y519=0,"",ROUNDUP(Y519/H519,0)*0.01196),"")</f>
        <v>0.50231999999999999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234.58333333333331</v>
      </c>
      <c r="BN519" s="78">
        <f>IFERROR(Y519*I519/H519,"0")</f>
        <v>236.46</v>
      </c>
      <c r="BO519" s="78">
        <f>IFERROR(1/J519*(X519/H519),"0")</f>
        <v>0.40064102564102566</v>
      </c>
      <c r="BP519" s="78">
        <f>IFERROR(1/J519*(Y519/H519),"0")</f>
        <v>0.40384615384615385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60</v>
      </c>
      <c r="Y521" s="55">
        <f>IFERROR(IF(X521="",0,CEILING((X521/$H521),1)*$H521),"")</f>
        <v>62.4</v>
      </c>
      <c r="Z521" s="41">
        <f>IFERROR(IF(Y521=0,"",ROUNDUP(Y521/H521,0)*0.00902),"")</f>
        <v>0.11726</v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86.375000000000014</v>
      </c>
      <c r="BN521" s="78">
        <f>IFERROR(Y521*I521/H521,"0")</f>
        <v>89.830000000000013</v>
      </c>
      <c r="BO521" s="78">
        <f>IFERROR(1/J521*(X521/H521),"0")</f>
        <v>9.4696969696969696E-2</v>
      </c>
      <c r="BP521" s="78">
        <f>IFERROR(1/J521*(Y521/H521),"0")</f>
        <v>9.8484848484848481E-2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54.166666666666664</v>
      </c>
      <c r="Y522" s="43">
        <f>IFERROR(Y519/H519,"0")+IFERROR(Y520/H520,"0")+IFERROR(Y521/H521,"0")</f>
        <v>55</v>
      </c>
      <c r="Z522" s="43">
        <f>IFERROR(IF(Z519="",0,Z519),"0")+IFERROR(IF(Z520="",0,Z520),"0")+IFERROR(IF(Z521="",0,Z521),"0")</f>
        <v>0.61958000000000002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280</v>
      </c>
      <c r="Y523" s="43">
        <f>IFERROR(SUM(Y519:Y521),"0")</f>
        <v>284.16000000000003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30</v>
      </c>
      <c r="Y525" s="55">
        <f t="shared" ref="Y525:Y531" si="77">IFERROR(IF(X525="",0,CEILING((X525/$H525),1)*$H525),"")</f>
        <v>31.68</v>
      </c>
      <c r="Z525" s="41">
        <f>IFERROR(IF(Y525=0,"",ROUNDUP(Y525/H525,0)*0.01196),"")</f>
        <v>7.1760000000000004E-2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31.988636363636363</v>
      </c>
      <c r="BN525" s="78">
        <f t="shared" ref="BN525:BN531" si="79">IFERROR(Y525*I525/H525,"0")</f>
        <v>33.779999999999994</v>
      </c>
      <c r="BO525" s="78">
        <f t="shared" ref="BO525:BO531" si="80">IFERROR(1/J525*(X525/H525),"0")</f>
        <v>5.4632867132867136E-2</v>
      </c>
      <c r="BP525" s="78">
        <f t="shared" ref="BP525:BP531" si="81">IFERROR(1/J525*(Y525/H525),"0")</f>
        <v>5.7692307692307696E-2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130</v>
      </c>
      <c r="Y527" s="55">
        <f t="shared" si="77"/>
        <v>132</v>
      </c>
      <c r="Z527" s="41">
        <f>IFERROR(IF(Y527=0,"",ROUNDUP(Y527/H527,0)*0.01196),"")</f>
        <v>0.29899999999999999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138.61742424242422</v>
      </c>
      <c r="BN527" s="78">
        <f t="shared" si="79"/>
        <v>140.75</v>
      </c>
      <c r="BO527" s="78">
        <f t="shared" si="80"/>
        <v>0.23674242424242425</v>
      </c>
      <c r="BP527" s="78">
        <f t="shared" si="81"/>
        <v>0.24038461538461539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77"/>
        <v>62.4</v>
      </c>
      <c r="Z528" s="41">
        <f>IFERROR(IF(Y528=0,"",ROUNDUP(Y528/H528,0)*0.00902),"")</f>
        <v>0.11726</v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86.375000000000014</v>
      </c>
      <c r="BN528" s="78">
        <f t="shared" si="79"/>
        <v>89.830000000000013</v>
      </c>
      <c r="BO528" s="78">
        <f t="shared" si="80"/>
        <v>9.4696969696969696E-2</v>
      </c>
      <c r="BP528" s="78">
        <f t="shared" si="81"/>
        <v>9.8484848484848481E-2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12</v>
      </c>
      <c r="Y530" s="55">
        <f t="shared" si="77"/>
        <v>14.399999999999999</v>
      </c>
      <c r="Z530" s="41">
        <f>IFERROR(IF(Y530=0,"",ROUNDUP(Y530/H530,0)*0.00902),"")</f>
        <v>2.7060000000000001E-2</v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16.675000000000001</v>
      </c>
      <c r="BN530" s="78">
        <f t="shared" si="79"/>
        <v>20.009999999999998</v>
      </c>
      <c r="BO530" s="78">
        <f t="shared" si="80"/>
        <v>1.893939393939394E-2</v>
      </c>
      <c r="BP530" s="78">
        <f t="shared" si="81"/>
        <v>2.2727272727272728E-2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120</v>
      </c>
      <c r="Y531" s="55">
        <f t="shared" si="77"/>
        <v>120</v>
      </c>
      <c r="Z531" s="41">
        <f>IFERROR(IF(Y531=0,"",ROUNDUP(Y531/H531,0)*0.00902),"")</f>
        <v>0.22550000000000001</v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166.75</v>
      </c>
      <c r="BN531" s="78">
        <f t="shared" si="79"/>
        <v>166.75</v>
      </c>
      <c r="BO531" s="78">
        <f t="shared" si="80"/>
        <v>0.18939393939393939</v>
      </c>
      <c r="BP531" s="78">
        <f t="shared" si="81"/>
        <v>0.18939393939393939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70.303030303030312</v>
      </c>
      <c r="Y532" s="43">
        <f>IFERROR(Y525/H525,"0")+IFERROR(Y526/H526,"0")+IFERROR(Y527/H527,"0")+IFERROR(Y528/H528,"0")+IFERROR(Y529/H529,"0")+IFERROR(Y530/H530,"0")+IFERROR(Y531/H531,"0")</f>
        <v>72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0.74058000000000002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352</v>
      </c>
      <c r="Y533" s="43">
        <f>IFERROR(SUM(Y525:Y531),"0")</f>
        <v>360.48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120</v>
      </c>
      <c r="Y537" s="55">
        <f>IFERROR(IF(X537="",0,CEILING((X537/$H537),1)*$H537),"")</f>
        <v>120</v>
      </c>
      <c r="Z537" s="41">
        <f>IFERROR(IF(Y537=0,"",ROUNDUP(Y537/H537,0)*0.01898),"")</f>
        <v>0.1898</v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124.10000000000001</v>
      </c>
      <c r="BN537" s="78">
        <f>IFERROR(Y537*I537/H537,"0")</f>
        <v>124.10000000000001</v>
      </c>
      <c r="BO537" s="78">
        <f>IFERROR(1/J537*(X537/H537),"0")</f>
        <v>0.15625</v>
      </c>
      <c r="BP537" s="78">
        <f>IFERROR(1/J537*(Y537/H537),"0")</f>
        <v>0.15625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10</v>
      </c>
      <c r="Y538" s="43">
        <f>IFERROR(Y537/H537,"0")</f>
        <v>10</v>
      </c>
      <c r="Z538" s="43">
        <f>IFERROR(IF(Z537="",0,Z537),"0")</f>
        <v>0.1898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120</v>
      </c>
      <c r="Y539" s="43">
        <f>IFERROR(SUM(Y537:Y537),"0")</f>
        <v>120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580</v>
      </c>
      <c r="Y549" s="55">
        <f>IFERROR(IF(X549="",0,CEILING((X549/$H549),1)*$H549),"")</f>
        <v>585</v>
      </c>
      <c r="Z549" s="41">
        <f>IFERROR(IF(Y549=0,"",ROUNDUP(Y549/H549,0)*0.01898),"")</f>
        <v>1.2337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611.83555555555552</v>
      </c>
      <c r="BN549" s="78">
        <f>IFERROR(Y549*I549/H549,"0")</f>
        <v>617.11</v>
      </c>
      <c r="BO549" s="78">
        <f>IFERROR(1/J549*(X549/H549),"0")</f>
        <v>1.0069444444444444</v>
      </c>
      <c r="BP549" s="78">
        <f>IFERROR(1/J549*(Y549/H549),"0")</f>
        <v>1.015625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64.444444444444443</v>
      </c>
      <c r="Y550" s="43">
        <f>IFERROR(Y549/H549,"0")</f>
        <v>65</v>
      </c>
      <c r="Z550" s="43">
        <f>IFERROR(IF(Z549="",0,Z549),"0")</f>
        <v>1.2337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580</v>
      </c>
      <c r="Y551" s="43">
        <f>IFERROR(SUM(Y549:Y549),"0")</f>
        <v>585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17534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17742.48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18769.410473629185</v>
      </c>
      <c r="Y563" s="43">
        <f>IFERROR(SUM(BN22:BN559),"0")</f>
        <v>18992.678000000004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33</v>
      </c>
      <c r="Y564" s="44">
        <f>ROUNDUP(SUM(BP22:BP559),0)</f>
        <v>33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19594.410473629185</v>
      </c>
      <c r="Y565" s="43">
        <f>GrossWeightTotalR+PalletQtyTotalR*25</f>
        <v>19817.678000000004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3809.4590789159752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3849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37.877159999999989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382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810</v>
      </c>
      <c r="F572" s="52">
        <f>IFERROR(Y85*1,"0")+IFERROR(Y86*1,"0")+IFERROR(Y87*1,"0")+IFERROR(Y88*1,"0")+IFERROR(Y89*1,"0")+IFERROR(Y90*1,"0")+IFERROR(Y94*1,"0")+IFERROR(Y95*1,"0")+IFERROR(Y96*1,"0")+IFERROR(Y97*1,"0")</f>
        <v>1099.8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1396.98</v>
      </c>
      <c r="H572" s="52">
        <f>IFERROR(Y130*1,"0")+IFERROR(Y131*1,"0")+IFERROR(Y135*1,"0")+IFERROR(Y136*1,"0")+IFERROR(Y140*1,"0")+IFERROR(Y141*1,"0")</f>
        <v>237.12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855.7</v>
      </c>
      <c r="K572" s="52">
        <f>IFERROR(Y199*1,"0")+IFERROR(Y200*1,"0")+IFERROR(Y201*1,"0")+IFERROR(Y202*1,"0")+IFERROR(Y203*1,"0")+IFERROR(Y204*1,"0")+IFERROR(Y205*1,"0")</f>
        <v>151.20000000000002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457.1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1964.3999999999999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95.019999999999982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362.4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507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1329.6</v>
      </c>
      <c r="V572" s="52">
        <f>IFERROR(Y420*1,"0")+IFERROR(Y421*1,"0")+IFERROR(Y422*1,"0")+IFERROR(Y423*1,"0")</f>
        <v>0</v>
      </c>
      <c r="W572" s="52">
        <f>IFERROR(Y428*1,"0")+IFERROR(Y429*1,"0")+IFERROR(Y430*1,"0")</f>
        <v>1155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4987</v>
      </c>
      <c r="Y572" s="52">
        <f>IFERROR(Y465*1,"0")+IFERROR(Y466*1,"0")+IFERROR(Y470*1,"0")+IFERROR(Y474*1,"0")+IFERROR(Y475*1,"0")+IFERROR(Y476*1,"0")</f>
        <v>63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1184.1600000000001</v>
      </c>
      <c r="AC572" s="52">
        <f>IFERROR(Y537*1,"0")+IFERROR(Y541*1,"0")+IFERROR(Y545*1,"0")+IFERROR(Y549*1,"0")+IFERROR(Y553*1,"0")+IFERROR(Y554*1,"0")</f>
        <v>705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155,00"/>
        <filter val="1 190,00"/>
        <filter val="1 200,00"/>
        <filter val="10,00"/>
        <filter val="100,00"/>
        <filter val="104,00"/>
        <filter val="107,31"/>
        <filter val="108,00"/>
        <filter val="110,00"/>
        <filter val="110,71"/>
        <filter val="114,84"/>
        <filter val="12,00"/>
        <filter val="120,00"/>
        <filter val="123,33"/>
        <filter val="13,00"/>
        <filter val="13,89"/>
        <filter val="130,00"/>
        <filter val="135,00"/>
        <filter val="15,28"/>
        <filter val="150,00"/>
        <filter val="16,00"/>
        <filter val="16,67"/>
        <filter val="160,00"/>
        <filter val="17 534,00"/>
        <filter val="175,00"/>
        <filter val="18 769,41"/>
        <filter val="18,00"/>
        <filter val="180,00"/>
        <filter val="189,81"/>
        <filter val="19 594,41"/>
        <filter val="19,23"/>
        <filter val="191,36"/>
        <filter val="2,22"/>
        <filter val="2,50"/>
        <filter val="2,56"/>
        <filter val="20,00"/>
        <filter val="20,20"/>
        <filter val="200,00"/>
        <filter val="21,00"/>
        <filter val="215,00"/>
        <filter val="220,00"/>
        <filter val="230,00"/>
        <filter val="240,00"/>
        <filter val="25,00"/>
        <filter val="250,00"/>
        <filter val="259,38"/>
        <filter val="280,00"/>
        <filter val="3 730,00"/>
        <filter val="3 809,46"/>
        <filter val="3,00"/>
        <filter val="30,00"/>
        <filter val="306,00"/>
        <filter val="32,00"/>
        <filter val="32,58"/>
        <filter val="328,97"/>
        <filter val="33"/>
        <filter val="352,00"/>
        <filter val="36,00"/>
        <filter val="360,00"/>
        <filter val="38,00"/>
        <filter val="380,00"/>
        <filter val="385,98"/>
        <filter val="390,00"/>
        <filter val="4,00"/>
        <filter val="40,00"/>
        <filter val="400,00"/>
        <filter val="420,00"/>
        <filter val="43,33"/>
        <filter val="440,00"/>
        <filter val="45,00"/>
        <filter val="450,00"/>
        <filter val="490,00"/>
        <filter val="5,56"/>
        <filter val="50,00"/>
        <filter val="52,00"/>
        <filter val="536,00"/>
        <filter val="54,17"/>
        <filter val="540,00"/>
        <filter val="550,00"/>
        <filter val="560,00"/>
        <filter val="57,41"/>
        <filter val="580,00"/>
        <filter val="6,00"/>
        <filter val="6,67"/>
        <filter val="60,00"/>
        <filter val="62,82"/>
        <filter val="635,00"/>
        <filter val="64,44"/>
        <filter val="650,00"/>
        <filter val="66,00"/>
        <filter val="69,81"/>
        <filter val="7,00"/>
        <filter val="70,00"/>
        <filter val="70,30"/>
        <filter val="72,00"/>
        <filter val="73,33"/>
        <filter val="735,00"/>
        <filter val="75,00"/>
        <filter val="8,08"/>
        <filter val="8,33"/>
        <filter val="80,00"/>
        <filter val="82,78"/>
        <filter val="84,00"/>
        <filter val="843,00"/>
        <filter val="86,00"/>
        <filter val="87,41"/>
        <filter val="90,00"/>
        <filter val="900,00"/>
        <filter val="930,00"/>
        <filter val="958,00"/>
        <filter val="98,00"/>
        <filter val="98,52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