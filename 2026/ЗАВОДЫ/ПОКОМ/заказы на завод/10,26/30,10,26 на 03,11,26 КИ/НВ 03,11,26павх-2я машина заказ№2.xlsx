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9879D04-ED86-456B-A2CE-79721F1ECC5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BP554" i="2" s="1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P519" i="2"/>
  <c r="X517" i="2"/>
  <c r="X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P500" i="2" s="1"/>
  <c r="P500" i="2"/>
  <c r="X498" i="2"/>
  <c r="X497" i="2"/>
  <c r="BO496" i="2"/>
  <c r="BM496" i="2"/>
  <c r="Y496" i="2"/>
  <c r="P496" i="2"/>
  <c r="X493" i="2"/>
  <c r="X492" i="2"/>
  <c r="BO491" i="2"/>
  <c r="BM491" i="2"/>
  <c r="Y491" i="2"/>
  <c r="Y493" i="2" s="1"/>
  <c r="P491" i="2"/>
  <c r="X489" i="2"/>
  <c r="X488" i="2"/>
  <c r="BO487" i="2"/>
  <c r="BM487" i="2"/>
  <c r="Y487" i="2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7" i="2" s="1"/>
  <c r="P465" i="2"/>
  <c r="X462" i="2"/>
  <c r="X461" i="2"/>
  <c r="BO460" i="2"/>
  <c r="BM460" i="2"/>
  <c r="Y460" i="2"/>
  <c r="P460" i="2"/>
  <c r="BO459" i="2"/>
  <c r="BM459" i="2"/>
  <c r="Y459" i="2"/>
  <c r="Z459" i="2" s="1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Y457" i="2" s="1"/>
  <c r="P453" i="2"/>
  <c r="X451" i="2"/>
  <c r="X450" i="2"/>
  <c r="BO449" i="2"/>
  <c r="BM449" i="2"/>
  <c r="Y449" i="2"/>
  <c r="BP449" i="2" s="1"/>
  <c r="P449" i="2"/>
  <c r="BO448" i="2"/>
  <c r="BM448" i="2"/>
  <c r="Y448" i="2"/>
  <c r="BN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BN440" i="2" s="1"/>
  <c r="P440" i="2"/>
  <c r="BO439" i="2"/>
  <c r="BM439" i="2"/>
  <c r="Y439" i="2"/>
  <c r="Z439" i="2" s="1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Z423" i="2" s="1"/>
  <c r="BO422" i="2"/>
  <c r="BM422" i="2"/>
  <c r="Y422" i="2"/>
  <c r="BN422" i="2" s="1"/>
  <c r="P422" i="2"/>
  <c r="BO421" i="2"/>
  <c r="BM421" i="2"/>
  <c r="Y421" i="2"/>
  <c r="BN421" i="2" s="1"/>
  <c r="P421" i="2"/>
  <c r="BO420" i="2"/>
  <c r="BM420" i="2"/>
  <c r="Y420" i="2"/>
  <c r="BN420" i="2" s="1"/>
  <c r="P420" i="2"/>
  <c r="X417" i="2"/>
  <c r="X416" i="2"/>
  <c r="BO415" i="2"/>
  <c r="BM415" i="2"/>
  <c r="Y415" i="2"/>
  <c r="P415" i="2"/>
  <c r="BO414" i="2"/>
  <c r="BM414" i="2"/>
  <c r="Y414" i="2"/>
  <c r="BP414" i="2" s="1"/>
  <c r="P414" i="2"/>
  <c r="BO413" i="2"/>
  <c r="BM413" i="2"/>
  <c r="Y413" i="2"/>
  <c r="Y417" i="2" s="1"/>
  <c r="P413" i="2"/>
  <c r="X411" i="2"/>
  <c r="X410" i="2"/>
  <c r="BO409" i="2"/>
  <c r="BM409" i="2"/>
  <c r="Y409" i="2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Z400" i="2" s="1"/>
  <c r="P400" i="2"/>
  <c r="X398" i="2"/>
  <c r="X397" i="2"/>
  <c r="BO396" i="2"/>
  <c r="BM396" i="2"/>
  <c r="Y396" i="2"/>
  <c r="P396" i="2"/>
  <c r="BO395" i="2"/>
  <c r="BM395" i="2"/>
  <c r="Y395" i="2"/>
  <c r="BN395" i="2" s="1"/>
  <c r="P395" i="2"/>
  <c r="BO394" i="2"/>
  <c r="BM394" i="2"/>
  <c r="Y394" i="2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BN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P377" i="2"/>
  <c r="X375" i="2"/>
  <c r="X374" i="2"/>
  <c r="BO373" i="2"/>
  <c r="BM373" i="2"/>
  <c r="Y373" i="2"/>
  <c r="BN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BN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Y364" i="2" s="1"/>
  <c r="P360" i="2"/>
  <c r="X357" i="2"/>
  <c r="X356" i="2"/>
  <c r="BO355" i="2"/>
  <c r="BM355" i="2"/>
  <c r="Y355" i="2"/>
  <c r="Z355" i="2" s="1"/>
  <c r="Z356" i="2" s="1"/>
  <c r="P355" i="2"/>
  <c r="X353" i="2"/>
  <c r="X352" i="2"/>
  <c r="BO351" i="2"/>
  <c r="BM351" i="2"/>
  <c r="Y351" i="2"/>
  <c r="Y352" i="2" s="1"/>
  <c r="P351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P338" i="2"/>
  <c r="BO337" i="2"/>
  <c r="BM337" i="2"/>
  <c r="Y337" i="2"/>
  <c r="BP337" i="2" s="1"/>
  <c r="P337" i="2"/>
  <c r="X334" i="2"/>
  <c r="X333" i="2"/>
  <c r="BO332" i="2"/>
  <c r="BM332" i="2"/>
  <c r="Y332" i="2"/>
  <c r="P332" i="2"/>
  <c r="BO331" i="2"/>
  <c r="BM331" i="2"/>
  <c r="Y331" i="2"/>
  <c r="P331" i="2"/>
  <c r="BO330" i="2"/>
  <c r="BM330" i="2"/>
  <c r="Y330" i="2"/>
  <c r="Y334" i="2" s="1"/>
  <c r="P330" i="2"/>
  <c r="X327" i="2"/>
  <c r="X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BO321" i="2"/>
  <c r="BM321" i="2"/>
  <c r="Y321" i="2"/>
  <c r="P321" i="2"/>
  <c r="BO320" i="2"/>
  <c r="BM320" i="2"/>
  <c r="Y320" i="2"/>
  <c r="P320" i="2"/>
  <c r="BO319" i="2"/>
  <c r="BM319" i="2"/>
  <c r="Y319" i="2"/>
  <c r="P319" i="2"/>
  <c r="BO318" i="2"/>
  <c r="BM318" i="2"/>
  <c r="Y318" i="2"/>
  <c r="Z318" i="2" s="1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P311" i="2"/>
  <c r="BO310" i="2"/>
  <c r="BM310" i="2"/>
  <c r="Y310" i="2"/>
  <c r="Z310" i="2" s="1"/>
  <c r="P310" i="2"/>
  <c r="X308" i="2"/>
  <c r="X307" i="2"/>
  <c r="BP306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Z298" i="2" s="1"/>
  <c r="P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BP292" i="2" s="1"/>
  <c r="P292" i="2"/>
  <c r="X289" i="2"/>
  <c r="X288" i="2"/>
  <c r="BO287" i="2"/>
  <c r="BM287" i="2"/>
  <c r="Y287" i="2"/>
  <c r="P287" i="2"/>
  <c r="BO286" i="2"/>
  <c r="BM286" i="2"/>
  <c r="Y286" i="2"/>
  <c r="P286" i="2"/>
  <c r="X284" i="2"/>
  <c r="X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P271" i="2" s="1"/>
  <c r="P271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BP261" i="2" s="1"/>
  <c r="P261" i="2"/>
  <c r="BO260" i="2"/>
  <c r="BM260" i="2"/>
  <c r="Y260" i="2"/>
  <c r="P260" i="2"/>
  <c r="X258" i="2"/>
  <c r="X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Y187" i="2" s="1"/>
  <c r="P184" i="2"/>
  <c r="X182" i="2"/>
  <c r="X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X168" i="2"/>
  <c r="X167" i="2"/>
  <c r="BO166" i="2"/>
  <c r="BM166" i="2"/>
  <c r="Y166" i="2"/>
  <c r="BP166" i="2" s="1"/>
  <c r="P166" i="2"/>
  <c r="BO165" i="2"/>
  <c r="BM165" i="2"/>
  <c r="Y165" i="2"/>
  <c r="Y167" i="2" s="1"/>
  <c r="P165" i="2"/>
  <c r="X163" i="2"/>
  <c r="X162" i="2"/>
  <c r="BO161" i="2"/>
  <c r="BM161" i="2"/>
  <c r="Y161" i="2"/>
  <c r="Z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J572" i="2" s="1"/>
  <c r="P158" i="2"/>
  <c r="X155" i="2"/>
  <c r="X154" i="2"/>
  <c r="BP153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BP146" i="2" s="1"/>
  <c r="P146" i="2"/>
  <c r="X143" i="2"/>
  <c r="X142" i="2"/>
  <c r="BO141" i="2"/>
  <c r="BM141" i="2"/>
  <c r="Y141" i="2"/>
  <c r="BN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X127" i="2"/>
  <c r="X126" i="2"/>
  <c r="BO125" i="2"/>
  <c r="BM125" i="2"/>
  <c r="Y125" i="2"/>
  <c r="Y127" i="2" s="1"/>
  <c r="P125" i="2"/>
  <c r="X123" i="2"/>
  <c r="X122" i="2"/>
  <c r="BO121" i="2"/>
  <c r="BM121" i="2"/>
  <c r="Y121" i="2"/>
  <c r="BP121" i="2" s="1"/>
  <c r="P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X116" i="2"/>
  <c r="X115" i="2"/>
  <c r="BO114" i="2"/>
  <c r="BM114" i="2"/>
  <c r="Y114" i="2"/>
  <c r="Z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N103" i="2" s="1"/>
  <c r="P103" i="2"/>
  <c r="BO102" i="2"/>
  <c r="BM102" i="2"/>
  <c r="Y102" i="2"/>
  <c r="BN102" i="2" s="1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Y99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BP78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X28" i="2"/>
  <c r="X27" i="2"/>
  <c r="BO26" i="2"/>
  <c r="BM26" i="2"/>
  <c r="Y26" i="2"/>
  <c r="BP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78" i="2" l="1"/>
  <c r="BN78" i="2"/>
  <c r="Z230" i="2"/>
  <c r="Z266" i="2"/>
  <c r="Z420" i="2"/>
  <c r="Z428" i="2"/>
  <c r="BN428" i="2"/>
  <c r="Z25" i="2"/>
  <c r="BP130" i="2"/>
  <c r="Z185" i="2"/>
  <c r="BN185" i="2"/>
  <c r="Z276" i="2"/>
  <c r="BP395" i="2"/>
  <c r="Z68" i="2"/>
  <c r="Z89" i="2"/>
  <c r="BN89" i="2"/>
  <c r="Z146" i="2"/>
  <c r="BN146" i="2"/>
  <c r="Z171" i="2"/>
  <c r="BN171" i="2"/>
  <c r="Z216" i="2"/>
  <c r="BN216" i="2"/>
  <c r="Z280" i="2"/>
  <c r="BN280" i="2"/>
  <c r="Z324" i="2"/>
  <c r="BN324" i="2"/>
  <c r="Z325" i="2"/>
  <c r="BP400" i="2"/>
  <c r="BP436" i="2"/>
  <c r="Y492" i="2"/>
  <c r="BN23" i="2"/>
  <c r="BN37" i="2"/>
  <c r="Y52" i="2"/>
  <c r="BN55" i="2"/>
  <c r="BN60" i="2"/>
  <c r="BN74" i="2"/>
  <c r="BN104" i="2"/>
  <c r="BN113" i="2"/>
  <c r="Y211" i="2"/>
  <c r="Y212" i="2"/>
  <c r="BP210" i="2"/>
  <c r="BN210" i="2"/>
  <c r="Z210" i="2"/>
  <c r="Z211" i="2" s="1"/>
  <c r="BP275" i="2"/>
  <c r="Z275" i="2"/>
  <c r="Z287" i="2"/>
  <c r="BP287" i="2"/>
  <c r="BP297" i="2"/>
  <c r="Z297" i="2"/>
  <c r="BP331" i="2"/>
  <c r="BN331" i="2"/>
  <c r="Z331" i="2"/>
  <c r="Z332" i="2"/>
  <c r="BP332" i="2"/>
  <c r="BN351" i="2"/>
  <c r="BN396" i="2"/>
  <c r="BP396" i="2"/>
  <c r="BN423" i="2"/>
  <c r="BN429" i="2"/>
  <c r="Y472" i="2"/>
  <c r="BP470" i="2"/>
  <c r="BN487" i="2"/>
  <c r="BP487" i="2"/>
  <c r="BP510" i="2"/>
  <c r="BN510" i="2"/>
  <c r="Z510" i="2"/>
  <c r="BN512" i="2"/>
  <c r="BP512" i="2"/>
  <c r="Z545" i="2"/>
  <c r="Z546" i="2" s="1"/>
  <c r="Y546" i="2"/>
  <c r="BP545" i="2"/>
  <c r="X566" i="2"/>
  <c r="Y43" i="2"/>
  <c r="BN41" i="2"/>
  <c r="Z47" i="2"/>
  <c r="Y63" i="2"/>
  <c r="BN59" i="2"/>
  <c r="Y71" i="2"/>
  <c r="Z80" i="2"/>
  <c r="BN80" i="2"/>
  <c r="BP86" i="2"/>
  <c r="BP96" i="2"/>
  <c r="BN97" i="2"/>
  <c r="Z102" i="2"/>
  <c r="Y115" i="2"/>
  <c r="BN112" i="2"/>
  <c r="BN118" i="2"/>
  <c r="BP125" i="2"/>
  <c r="Z148" i="2"/>
  <c r="BN148" i="2"/>
  <c r="Z165" i="2"/>
  <c r="BN165" i="2"/>
  <c r="BP165" i="2"/>
  <c r="Y181" i="2"/>
  <c r="Z173" i="2"/>
  <c r="Z176" i="2"/>
  <c r="BN176" i="2"/>
  <c r="K572" i="2"/>
  <c r="BN218" i="2"/>
  <c r="Z218" i="2"/>
  <c r="BP221" i="2"/>
  <c r="BN221" i="2"/>
  <c r="Z221" i="2"/>
  <c r="BN226" i="2"/>
  <c r="BP231" i="2"/>
  <c r="BN231" i="2"/>
  <c r="Z231" i="2"/>
  <c r="Y246" i="2"/>
  <c r="BN244" i="2"/>
  <c r="Z244" i="2"/>
  <c r="Z245" i="2" s="1"/>
  <c r="BN249" i="2"/>
  <c r="BN264" i="2"/>
  <c r="BP272" i="2"/>
  <c r="BN272" i="2"/>
  <c r="Z272" i="2"/>
  <c r="BN278" i="2"/>
  <c r="BP278" i="2"/>
  <c r="BN311" i="2"/>
  <c r="BP311" i="2"/>
  <c r="BP320" i="2"/>
  <c r="BN320" i="2"/>
  <c r="Z320" i="2"/>
  <c r="Z321" i="2"/>
  <c r="BP321" i="2"/>
  <c r="BP370" i="2"/>
  <c r="BN370" i="2"/>
  <c r="Z370" i="2"/>
  <c r="BN377" i="2"/>
  <c r="Z377" i="2"/>
  <c r="BP380" i="2"/>
  <c r="BN380" i="2"/>
  <c r="Z380" i="2"/>
  <c r="BP390" i="2"/>
  <c r="BN390" i="2"/>
  <c r="Z390" i="2"/>
  <c r="BN401" i="2"/>
  <c r="BP401" i="2"/>
  <c r="BP409" i="2"/>
  <c r="BN409" i="2"/>
  <c r="Z409" i="2"/>
  <c r="BP415" i="2"/>
  <c r="BN415" i="2"/>
  <c r="Z415" i="2"/>
  <c r="BN475" i="2"/>
  <c r="BP475" i="2"/>
  <c r="BN483" i="2"/>
  <c r="BN204" i="2"/>
  <c r="BN225" i="2"/>
  <c r="Y236" i="2"/>
  <c r="BN295" i="2"/>
  <c r="BN318" i="2"/>
  <c r="BN345" i="2"/>
  <c r="Y398" i="2"/>
  <c r="BN407" i="2"/>
  <c r="Y431" i="2"/>
  <c r="BN439" i="2"/>
  <c r="BN485" i="2"/>
  <c r="BN491" i="2"/>
  <c r="BN520" i="2"/>
  <c r="BN526" i="2"/>
  <c r="BN530" i="2"/>
  <c r="X563" i="2"/>
  <c r="Z23" i="2"/>
  <c r="BP25" i="2"/>
  <c r="BN26" i="2"/>
  <c r="Y28" i="2"/>
  <c r="BP37" i="2"/>
  <c r="Z41" i="2"/>
  <c r="D572" i="2"/>
  <c r="BN48" i="2"/>
  <c r="Z55" i="2"/>
  <c r="BN68" i="2"/>
  <c r="BN73" i="2"/>
  <c r="Z74" i="2"/>
  <c r="Y82" i="2"/>
  <c r="Z79" i="2"/>
  <c r="BP104" i="2"/>
  <c r="Z108" i="2"/>
  <c r="Z112" i="2"/>
  <c r="BN114" i="2"/>
  <c r="Z118" i="2"/>
  <c r="Y138" i="2"/>
  <c r="BN161" i="2"/>
  <c r="Y162" i="2"/>
  <c r="Y168" i="2"/>
  <c r="BN184" i="2"/>
  <c r="BN193" i="2"/>
  <c r="Y194" i="2"/>
  <c r="Z205" i="2"/>
  <c r="BN205" i="2"/>
  <c r="BP219" i="2"/>
  <c r="BN219" i="2"/>
  <c r="BP220" i="2"/>
  <c r="Z220" i="2"/>
  <c r="BP224" i="2"/>
  <c r="BP234" i="2"/>
  <c r="Z234" i="2"/>
  <c r="Y242" i="2"/>
  <c r="BN239" i="2"/>
  <c r="BP240" i="2"/>
  <c r="Z240" i="2"/>
  <c r="BP249" i="2"/>
  <c r="BP255" i="2"/>
  <c r="Z255" i="2"/>
  <c r="Z257" i="2" s="1"/>
  <c r="BP263" i="2"/>
  <c r="BN263" i="2"/>
  <c r="BP264" i="2"/>
  <c r="BN273" i="2"/>
  <c r="BP313" i="2"/>
  <c r="BN313" i="2"/>
  <c r="BP338" i="2"/>
  <c r="Z338" i="2"/>
  <c r="BP403" i="2"/>
  <c r="BN403" i="2"/>
  <c r="BP441" i="2"/>
  <c r="Y450" i="2"/>
  <c r="Y451" i="2"/>
  <c r="BP454" i="2"/>
  <c r="Z454" i="2"/>
  <c r="Z486" i="2"/>
  <c r="BN486" i="2"/>
  <c r="AA572" i="2"/>
  <c r="Y497" i="2"/>
  <c r="Z496" i="2"/>
  <c r="Z497" i="2" s="1"/>
  <c r="Y517" i="2"/>
  <c r="BN508" i="2"/>
  <c r="BP519" i="2"/>
  <c r="BN519" i="2"/>
  <c r="Y522" i="2"/>
  <c r="Y523" i="2"/>
  <c r="X564" i="2"/>
  <c r="BN31" i="2"/>
  <c r="Y32" i="2"/>
  <c r="BP40" i="2"/>
  <c r="BN49" i="2"/>
  <c r="Y51" i="2"/>
  <c r="BN58" i="2"/>
  <c r="BP60" i="2"/>
  <c r="BN69" i="2"/>
  <c r="Y92" i="2"/>
  <c r="BN87" i="2"/>
  <c r="Z90" i="2"/>
  <c r="Z97" i="2"/>
  <c r="Y110" i="2"/>
  <c r="BP107" i="2"/>
  <c r="BN119" i="2"/>
  <c r="Y122" i="2"/>
  <c r="Z131" i="2"/>
  <c r="Z132" i="2" s="1"/>
  <c r="BP131" i="2"/>
  <c r="BN135" i="2"/>
  <c r="Z141" i="2"/>
  <c r="BP141" i="2"/>
  <c r="I572" i="2"/>
  <c r="Z147" i="2"/>
  <c r="BN159" i="2"/>
  <c r="BN166" i="2"/>
  <c r="BP172" i="2"/>
  <c r="Y182" i="2"/>
  <c r="BN175" i="2"/>
  <c r="Z179" i="2"/>
  <c r="BP179" i="2"/>
  <c r="BN180" i="2"/>
  <c r="Z189" i="2"/>
  <c r="Z190" i="2" s="1"/>
  <c r="BP189" i="2"/>
  <c r="Z199" i="2"/>
  <c r="BP199" i="2"/>
  <c r="Z203" i="2"/>
  <c r="BP203" i="2"/>
  <c r="BP217" i="2"/>
  <c r="Z224" i="2"/>
  <c r="BP251" i="2"/>
  <c r="Z251" i="2"/>
  <c r="BP277" i="2"/>
  <c r="BP293" i="2"/>
  <c r="Z293" i="2"/>
  <c r="Z296" i="2"/>
  <c r="BP298" i="2"/>
  <c r="BP310" i="2"/>
  <c r="Z313" i="2"/>
  <c r="Y327" i="2"/>
  <c r="Z319" i="2"/>
  <c r="BP339" i="2"/>
  <c r="BN339" i="2"/>
  <c r="BP340" i="2"/>
  <c r="Y348" i="2"/>
  <c r="BP344" i="2"/>
  <c r="Z344" i="2"/>
  <c r="Y347" i="2"/>
  <c r="BP369" i="2"/>
  <c r="BP389" i="2"/>
  <c r="Z403" i="2"/>
  <c r="Y410" i="2"/>
  <c r="Z408" i="2"/>
  <c r="BP422" i="2"/>
  <c r="BN437" i="2"/>
  <c r="BP437" i="2"/>
  <c r="BN438" i="2"/>
  <c r="Z438" i="2"/>
  <c r="Z441" i="2"/>
  <c r="Z449" i="2"/>
  <c r="BN449" i="2"/>
  <c r="BP460" i="2"/>
  <c r="BN460" i="2"/>
  <c r="Z474" i="2"/>
  <c r="BN474" i="2"/>
  <c r="BP502" i="2"/>
  <c r="BN502" i="2"/>
  <c r="BP514" i="2"/>
  <c r="BN514" i="2"/>
  <c r="Z519" i="2"/>
  <c r="Z531" i="2"/>
  <c r="BP531" i="2"/>
  <c r="H9" i="2"/>
  <c r="BP24" i="2"/>
  <c r="BP114" i="2"/>
  <c r="Y123" i="2"/>
  <c r="BP161" i="2"/>
  <c r="BP193" i="2"/>
  <c r="Y195" i="2"/>
  <c r="BP214" i="2"/>
  <c r="BN214" i="2"/>
  <c r="Y252" i="2"/>
  <c r="Z250" i="2"/>
  <c r="Y253" i="2"/>
  <c r="BP286" i="2"/>
  <c r="Z286" i="2"/>
  <c r="Z288" i="2" s="1"/>
  <c r="BP294" i="2"/>
  <c r="BN294" i="2"/>
  <c r="BP295" i="2"/>
  <c r="BN338" i="2"/>
  <c r="BP362" i="2"/>
  <c r="BP367" i="2"/>
  <c r="Z369" i="2"/>
  <c r="Y375" i="2"/>
  <c r="BP373" i="2"/>
  <c r="Z373" i="2"/>
  <c r="Y384" i="2"/>
  <c r="BN378" i="2"/>
  <c r="BP379" i="2"/>
  <c r="Z379" i="2"/>
  <c r="Y385" i="2"/>
  <c r="BP383" i="2"/>
  <c r="BP387" i="2"/>
  <c r="Z389" i="2"/>
  <c r="Y391" i="2"/>
  <c r="Z394" i="2"/>
  <c r="BP420" i="2"/>
  <c r="Z422" i="2"/>
  <c r="BN454" i="2"/>
  <c r="Z455" i="2"/>
  <c r="Z460" i="2"/>
  <c r="Z461" i="2" s="1"/>
  <c r="Y498" i="2"/>
  <c r="Z502" i="2"/>
  <c r="Z514" i="2"/>
  <c r="Z521" i="2"/>
  <c r="BN521" i="2"/>
  <c r="J9" i="2"/>
  <c r="Z22" i="2"/>
  <c r="Z24" i="2"/>
  <c r="X562" i="2"/>
  <c r="Z31" i="2"/>
  <c r="BP49" i="2"/>
  <c r="E572" i="2"/>
  <c r="Z58" i="2"/>
  <c r="Z87" i="2"/>
  <c r="Y109" i="2"/>
  <c r="BP108" i="2"/>
  <c r="Y116" i="2"/>
  <c r="Z119" i="2"/>
  <c r="Y132" i="2"/>
  <c r="Z135" i="2"/>
  <c r="Y143" i="2"/>
  <c r="BP149" i="2"/>
  <c r="Z159" i="2"/>
  <c r="BN160" i="2"/>
  <c r="Z166" i="2"/>
  <c r="Z170" i="2"/>
  <c r="BP173" i="2"/>
  <c r="Z175" i="2"/>
  <c r="BN189" i="2"/>
  <c r="BN199" i="2"/>
  <c r="BP200" i="2"/>
  <c r="Z200" i="2"/>
  <c r="BP205" i="2"/>
  <c r="Z214" i="2"/>
  <c r="BP215" i="2"/>
  <c r="Z215" i="2"/>
  <c r="BP226" i="2"/>
  <c r="BP230" i="2"/>
  <c r="Y269" i="2"/>
  <c r="BP262" i="2"/>
  <c r="Z262" i="2"/>
  <c r="Z265" i="2"/>
  <c r="BP267" i="2"/>
  <c r="Z274" i="2"/>
  <c r="BN274" i="2"/>
  <c r="Z281" i="2"/>
  <c r="BN282" i="2"/>
  <c r="Z282" i="2"/>
  <c r="BN293" i="2"/>
  <c r="BP318" i="2"/>
  <c r="BP322" i="2"/>
  <c r="Z330" i="2"/>
  <c r="BN340" i="2"/>
  <c r="BN344" i="2"/>
  <c r="Z345" i="2"/>
  <c r="S572" i="2"/>
  <c r="BP351" i="2"/>
  <c r="Z351" i="2"/>
  <c r="Z352" i="2" s="1"/>
  <c r="Y356" i="2"/>
  <c r="BN355" i="2"/>
  <c r="Z362" i="2"/>
  <c r="Z367" i="2"/>
  <c r="Z383" i="2"/>
  <c r="Z387" i="2"/>
  <c r="BP407" i="2"/>
  <c r="Y424" i="2"/>
  <c r="BP440" i="2"/>
  <c r="Z440" i="2"/>
  <c r="BP447" i="2"/>
  <c r="BP484" i="2"/>
  <c r="Z484" i="2"/>
  <c r="BP486" i="2"/>
  <c r="BP496" i="2"/>
  <c r="BP508" i="2"/>
  <c r="Z511" i="2"/>
  <c r="BN511" i="2"/>
  <c r="BP529" i="2"/>
  <c r="BN529" i="2"/>
  <c r="Y425" i="2"/>
  <c r="BP421" i="2"/>
  <c r="BP423" i="2"/>
  <c r="BP448" i="2"/>
  <c r="Y489" i="2"/>
  <c r="Y516" i="2"/>
  <c r="BP526" i="2"/>
  <c r="BP218" i="2"/>
  <c r="Y241" i="2"/>
  <c r="BP238" i="2"/>
  <c r="Y257" i="2"/>
  <c r="Y374" i="2"/>
  <c r="BP377" i="2"/>
  <c r="Y392" i="2"/>
  <c r="Y432" i="2"/>
  <c r="Z429" i="2"/>
  <c r="BP439" i="2"/>
  <c r="Z448" i="2"/>
  <c r="Y461" i="2"/>
  <c r="BP483" i="2"/>
  <c r="Z485" i="2"/>
  <c r="Y488" i="2"/>
  <c r="Z491" i="2"/>
  <c r="Z492" i="2" s="1"/>
  <c r="BP491" i="2"/>
  <c r="Y504" i="2"/>
  <c r="Z509" i="2"/>
  <c r="Z520" i="2"/>
  <c r="Z530" i="2"/>
  <c r="AC572" i="2"/>
  <c r="F9" i="2"/>
  <c r="Z26" i="2"/>
  <c r="BN40" i="2"/>
  <c r="Y64" i="2"/>
  <c r="Z73" i="2"/>
  <c r="BN86" i="2"/>
  <c r="BN96" i="2"/>
  <c r="BN107" i="2"/>
  <c r="BN130" i="2"/>
  <c r="Z140" i="2"/>
  <c r="BN153" i="2"/>
  <c r="Z174" i="2"/>
  <c r="Z184" i="2"/>
  <c r="Z219" i="2"/>
  <c r="Z239" i="2"/>
  <c r="Z241" i="2" s="1"/>
  <c r="Y258" i="2"/>
  <c r="BN267" i="2"/>
  <c r="BN277" i="2"/>
  <c r="BN287" i="2"/>
  <c r="BN298" i="2"/>
  <c r="BN310" i="2"/>
  <c r="BN321" i="2"/>
  <c r="BN332" i="2"/>
  <c r="Y357" i="2"/>
  <c r="Z368" i="2"/>
  <c r="Z378" i="2"/>
  <c r="Z388" i="2"/>
  <c r="BN400" i="2"/>
  <c r="Y411" i="2"/>
  <c r="Z421" i="2"/>
  <c r="Z424" i="2" s="1"/>
  <c r="Y462" i="2"/>
  <c r="Y477" i="2"/>
  <c r="BN531" i="2"/>
  <c r="BN545" i="2"/>
  <c r="L572" i="2"/>
  <c r="Y206" i="2"/>
  <c r="Y227" i="2"/>
  <c r="Y304" i="2"/>
  <c r="Y341" i="2"/>
  <c r="Y445" i="2"/>
  <c r="Y468" i="2"/>
  <c r="Y539" i="2"/>
  <c r="Y551" i="2"/>
  <c r="M572" i="2"/>
  <c r="Z94" i="2"/>
  <c r="Y556" i="2"/>
  <c r="O572" i="2"/>
  <c r="Z38" i="2"/>
  <c r="Z50" i="2"/>
  <c r="Z105" i="2"/>
  <c r="A10" i="2"/>
  <c r="BP47" i="2"/>
  <c r="Z56" i="2"/>
  <c r="Z66" i="2"/>
  <c r="Y81" i="2"/>
  <c r="BP102" i="2"/>
  <c r="BP112" i="2"/>
  <c r="Z120" i="2"/>
  <c r="BP135" i="2"/>
  <c r="Z177" i="2"/>
  <c r="Z201" i="2"/>
  <c r="Z222" i="2"/>
  <c r="Z232" i="2"/>
  <c r="Z260" i="2"/>
  <c r="Y283" i="2"/>
  <c r="Z346" i="2"/>
  <c r="Z360" i="2"/>
  <c r="Z371" i="2"/>
  <c r="Z381" i="2"/>
  <c r="Z413" i="2"/>
  <c r="Z430" i="2"/>
  <c r="Z442" i="2"/>
  <c r="Z465" i="2"/>
  <c r="Y478" i="2"/>
  <c r="P572" i="2"/>
  <c r="BN38" i="2"/>
  <c r="BN50" i="2"/>
  <c r="BN61" i="2"/>
  <c r="BP73" i="2"/>
  <c r="BN94" i="2"/>
  <c r="BN105" i="2"/>
  <c r="Z125" i="2"/>
  <c r="Z126" i="2" s="1"/>
  <c r="BP140" i="2"/>
  <c r="Z149" i="2"/>
  <c r="Y154" i="2"/>
  <c r="Y163" i="2"/>
  <c r="Z172" i="2"/>
  <c r="BP174" i="2"/>
  <c r="BP184" i="2"/>
  <c r="Y207" i="2"/>
  <c r="Z217" i="2"/>
  <c r="Y228" i="2"/>
  <c r="BP239" i="2"/>
  <c r="BN250" i="2"/>
  <c r="BN255" i="2"/>
  <c r="BN265" i="2"/>
  <c r="Y268" i="2"/>
  <c r="BN275" i="2"/>
  <c r="Y288" i="2"/>
  <c r="BN296" i="2"/>
  <c r="Y299" i="2"/>
  <c r="Z306" i="2"/>
  <c r="Z307" i="2" s="1"/>
  <c r="BN319" i="2"/>
  <c r="BN330" i="2"/>
  <c r="Y333" i="2"/>
  <c r="Y342" i="2"/>
  <c r="BP368" i="2"/>
  <c r="BP378" i="2"/>
  <c r="BP388" i="2"/>
  <c r="Z396" i="2"/>
  <c r="BN408" i="2"/>
  <c r="Z437" i="2"/>
  <c r="Z447" i="2"/>
  <c r="BN459" i="2"/>
  <c r="Z470" i="2"/>
  <c r="Z471" i="2" s="1"/>
  <c r="BN484" i="2"/>
  <c r="BN509" i="2"/>
  <c r="Y532" i="2"/>
  <c r="Z541" i="2"/>
  <c r="Z542" i="2" s="1"/>
  <c r="Z553" i="2"/>
  <c r="Q572" i="2"/>
  <c r="BN56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R572" i="2"/>
  <c r="Z61" i="2"/>
  <c r="BN66" i="2"/>
  <c r="BN120" i="2"/>
  <c r="BN177" i="2"/>
  <c r="Y27" i="2"/>
  <c r="BP38" i="2"/>
  <c r="Z48" i="2"/>
  <c r="BP50" i="2"/>
  <c r="Z59" i="2"/>
  <c r="Z69" i="2"/>
  <c r="BP94" i="2"/>
  <c r="Z103" i="2"/>
  <c r="Z113" i="2"/>
  <c r="Z115" i="2" s="1"/>
  <c r="BN125" i="2"/>
  <c r="Z136" i="2"/>
  <c r="Z137" i="2" s="1"/>
  <c r="Z160" i="2"/>
  <c r="Z180" i="2"/>
  <c r="Z204" i="2"/>
  <c r="Z225" i="2"/>
  <c r="BP250" i="2"/>
  <c r="Z263" i="2"/>
  <c r="Z273" i="2"/>
  <c r="Y284" i="2"/>
  <c r="Z294" i="2"/>
  <c r="BN306" i="2"/>
  <c r="BP319" i="2"/>
  <c r="BP330" i="2"/>
  <c r="Z339" i="2"/>
  <c r="Y353" i="2"/>
  <c r="BP408" i="2"/>
  <c r="BN447" i="2"/>
  <c r="BP459" i="2"/>
  <c r="BN470" i="2"/>
  <c r="Z482" i="2"/>
  <c r="BP509" i="2"/>
  <c r="Z527" i="2"/>
  <c r="BN541" i="2"/>
  <c r="BN553" i="2"/>
  <c r="BP56" i="2"/>
  <c r="BP66" i="2"/>
  <c r="BP120" i="2"/>
  <c r="Y155" i="2"/>
  <c r="Y190" i="2"/>
  <c r="BP232" i="2"/>
  <c r="Y245" i="2"/>
  <c r="BP260" i="2"/>
  <c r="Y289" i="2"/>
  <c r="Y300" i="2"/>
  <c r="Y314" i="2"/>
  <c r="BP346" i="2"/>
  <c r="BP360" i="2"/>
  <c r="BP371" i="2"/>
  <c r="BP381" i="2"/>
  <c r="Y404" i="2"/>
  <c r="BP413" i="2"/>
  <c r="BP430" i="2"/>
  <c r="BP465" i="2"/>
  <c r="BN500" i="2"/>
  <c r="Y503" i="2"/>
  <c r="Y533" i="2"/>
  <c r="Y547" i="2"/>
  <c r="BN559" i="2"/>
  <c r="T572" i="2"/>
  <c r="Z515" i="2"/>
  <c r="BN527" i="2"/>
  <c r="BP541" i="2"/>
  <c r="BP553" i="2"/>
  <c r="B572" i="2"/>
  <c r="U572" i="2"/>
  <c r="BP559" i="2"/>
  <c r="C572" i="2"/>
  <c r="V572" i="2"/>
  <c r="Z62" i="2"/>
  <c r="Z106" i="2"/>
  <c r="BN22" i="2"/>
  <c r="Y33" i="2"/>
  <c r="BP48" i="2"/>
  <c r="Z57" i="2"/>
  <c r="Z67" i="2"/>
  <c r="BN79" i="2"/>
  <c r="BN90" i="2"/>
  <c r="BP103" i="2"/>
  <c r="Z121" i="2"/>
  <c r="Y126" i="2"/>
  <c r="BP136" i="2"/>
  <c r="BN147" i="2"/>
  <c r="Y150" i="2"/>
  <c r="Z158" i="2"/>
  <c r="BN170" i="2"/>
  <c r="Z178" i="2"/>
  <c r="Z202" i="2"/>
  <c r="BN215" i="2"/>
  <c r="Z223" i="2"/>
  <c r="Z233" i="2"/>
  <c r="BN251" i="2"/>
  <c r="Z261" i="2"/>
  <c r="Z271" i="2"/>
  <c r="BN281" i="2"/>
  <c r="Z292" i="2"/>
  <c r="Z302" i="2"/>
  <c r="Z303" i="2" s="1"/>
  <c r="Y307" i="2"/>
  <c r="Y315" i="2"/>
  <c r="BN325" i="2"/>
  <c r="Z337" i="2"/>
  <c r="Z361" i="2"/>
  <c r="Z372" i="2"/>
  <c r="Z382" i="2"/>
  <c r="BN394" i="2"/>
  <c r="Y397" i="2"/>
  <c r="Y405" i="2"/>
  <c r="Z414" i="2"/>
  <c r="Z443" i="2"/>
  <c r="BN455" i="2"/>
  <c r="Z466" i="2"/>
  <c r="Y471" i="2"/>
  <c r="BP482" i="2"/>
  <c r="BN515" i="2"/>
  <c r="Z525" i="2"/>
  <c r="Z537" i="2"/>
  <c r="Z538" i="2" s="1"/>
  <c r="Y542" i="2"/>
  <c r="Z549" i="2"/>
  <c r="Z550" i="2" s="1"/>
  <c r="W572" i="2"/>
  <c r="Z95" i="2"/>
  <c r="BN39" i="2"/>
  <c r="BN62" i="2"/>
  <c r="BN85" i="2"/>
  <c r="Y98" i="2"/>
  <c r="Z554" i="2"/>
  <c r="Y560" i="2"/>
  <c r="X572" i="2"/>
  <c r="Z85" i="2"/>
  <c r="Y42" i="2"/>
  <c r="BN95" i="2"/>
  <c r="BN106" i="2"/>
  <c r="BN256" i="2"/>
  <c r="BN286" i="2"/>
  <c r="Z30" i="2"/>
  <c r="Z32" i="2" s="1"/>
  <c r="BN57" i="2"/>
  <c r="BN67" i="2"/>
  <c r="Y70" i="2"/>
  <c r="Z88" i="2"/>
  <c r="BN121" i="2"/>
  <c r="BN158" i="2"/>
  <c r="BP170" i="2"/>
  <c r="BN178" i="2"/>
  <c r="BN202" i="2"/>
  <c r="BN223" i="2"/>
  <c r="BN233" i="2"/>
  <c r="BN261" i="2"/>
  <c r="BN271" i="2"/>
  <c r="Z279" i="2"/>
  <c r="BN292" i="2"/>
  <c r="BN302" i="2"/>
  <c r="Z312" i="2"/>
  <c r="Z323" i="2"/>
  <c r="BN337" i="2"/>
  <c r="BN361" i="2"/>
  <c r="BN372" i="2"/>
  <c r="BN382" i="2"/>
  <c r="BP394" i="2"/>
  <c r="Z402" i="2"/>
  <c r="BN414" i="2"/>
  <c r="BN443" i="2"/>
  <c r="Z453" i="2"/>
  <c r="BN466" i="2"/>
  <c r="Z476" i="2"/>
  <c r="Z501" i="2"/>
  <c r="Z513" i="2"/>
  <c r="BN525" i="2"/>
  <c r="BN537" i="2"/>
  <c r="BN549" i="2"/>
  <c r="F572" i="2"/>
  <c r="Y572" i="2"/>
  <c r="Z39" i="2"/>
  <c r="BN266" i="2"/>
  <c r="BN276" i="2"/>
  <c r="BN297" i="2"/>
  <c r="Y75" i="2"/>
  <c r="BP85" i="2"/>
  <c r="Y142" i="2"/>
  <c r="Y151" i="2"/>
  <c r="Y186" i="2"/>
  <c r="BN238" i="2"/>
  <c r="BP256" i="2"/>
  <c r="BP355" i="2"/>
  <c r="BN496" i="2"/>
  <c r="Z508" i="2"/>
  <c r="Z528" i="2"/>
  <c r="BN554" i="2"/>
  <c r="G572" i="2"/>
  <c r="Z572" i="2"/>
  <c r="BN30" i="2"/>
  <c r="BN88" i="2"/>
  <c r="Y91" i="2"/>
  <c r="Y133" i="2"/>
  <c r="BP158" i="2"/>
  <c r="BN279" i="2"/>
  <c r="BP302" i="2"/>
  <c r="BN312" i="2"/>
  <c r="BN323" i="2"/>
  <c r="Y326" i="2"/>
  <c r="BN402" i="2"/>
  <c r="BN453" i="2"/>
  <c r="Y456" i="2"/>
  <c r="BN476" i="2"/>
  <c r="BN501" i="2"/>
  <c r="BN513" i="2"/>
  <c r="BP537" i="2"/>
  <c r="BP549" i="2"/>
  <c r="Y561" i="2"/>
  <c r="H572" i="2"/>
  <c r="Z395" i="2"/>
  <c r="Z436" i="2"/>
  <c r="BN528" i="2"/>
  <c r="AB572" i="2"/>
  <c r="Y444" i="2"/>
  <c r="BP453" i="2"/>
  <c r="Y538" i="2"/>
  <c r="Z450" i="2" l="1"/>
  <c r="Z431" i="2"/>
  <c r="Z391" i="2"/>
  <c r="Z186" i="2"/>
  <c r="Z75" i="2"/>
  <c r="Z252" i="2"/>
  <c r="Z410" i="2"/>
  <c r="X565" i="2"/>
  <c r="Z81" i="2"/>
  <c r="Z522" i="2"/>
  <c r="Z488" i="2"/>
  <c r="Z142" i="2"/>
  <c r="Z167" i="2"/>
  <c r="Z326" i="2"/>
  <c r="Z162" i="2"/>
  <c r="Z347" i="2"/>
  <c r="Z122" i="2"/>
  <c r="Z384" i="2"/>
  <c r="Z27" i="2"/>
  <c r="Z374" i="2"/>
  <c r="Z333" i="2"/>
  <c r="Z397" i="2"/>
  <c r="Z456" i="2"/>
  <c r="Z341" i="2"/>
  <c r="Y562" i="2"/>
  <c r="Z109" i="2"/>
  <c r="Z555" i="2"/>
  <c r="Z150" i="2"/>
  <c r="Z42" i="2"/>
  <c r="Z181" i="2"/>
  <c r="Y564" i="2"/>
  <c r="Z314" i="2"/>
  <c r="Z283" i="2"/>
  <c r="Z404" i="2"/>
  <c r="Z98" i="2"/>
  <c r="Z516" i="2"/>
  <c r="Z91" i="2"/>
  <c r="Z299" i="2"/>
  <c r="Z51" i="2"/>
  <c r="Z477" i="2"/>
  <c r="Z227" i="2"/>
  <c r="Z363" i="2"/>
  <c r="Z235" i="2"/>
  <c r="Z268" i="2"/>
  <c r="Z206" i="2"/>
  <c r="Y563" i="2"/>
  <c r="Y566" i="2"/>
  <c r="Z444" i="2"/>
  <c r="Z503" i="2"/>
  <c r="Z467" i="2"/>
  <c r="Z70" i="2"/>
  <c r="Z63" i="2"/>
  <c r="Z416" i="2"/>
  <c r="Z532" i="2"/>
  <c r="Z567" i="2" l="1"/>
  <c r="Y565" i="2"/>
</calcChain>
</file>

<file path=xl/sharedStrings.xml><?xml version="1.0" encoding="utf-8"?>
<sst xmlns="http://schemas.openxmlformats.org/spreadsheetml/2006/main" count="4282" uniqueCount="916">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</sst>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915</v>
      </c>
      <c r="I5" s="986"/>
      <c r="J5" s="986"/>
      <c r="K5" s="986"/>
      <c r="L5" s="986"/>
      <c r="M5" s="986"/>
      <c r="N5" s="72"/>
      <c r="P5" s="27" t="s">
        <v>4</v>
      </c>
      <c r="Q5" s="988">
        <v>46329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892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Вторник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5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hidden="1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hidden="1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9.2592592592592595</v>
      </c>
      <c r="Y91" s="43">
        <f>IFERROR(Y85/H85,"0")+IFERROR(Y86/H86,"0")+IFERROR(Y87/H87,"0")+IFERROR(Y88/H88,"0")+IFERROR(Y89/H89,"0")+IFERROR(Y90/H90,"0")</f>
        <v>10</v>
      </c>
      <c r="Z91" s="43">
        <f>IFERROR(IF(Z85="",0,Z85),"0")+IFERROR(IF(Z86="",0,Z86),"0")+IFERROR(IF(Z87="",0,Z87),"0")+IFERROR(IF(Z88="",0,Z88),"0")+IFERROR(IF(Z89="",0,Z89),"0")+IFERROR(IF(Z90="",0,Z90),"0")</f>
        <v>0.1898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100</v>
      </c>
      <c r="Y92" s="43">
        <f>IFERROR(SUM(Y85:Y90),"0")</f>
        <v>108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hidden="1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hidden="1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0</v>
      </c>
      <c r="BN102" s="78">
        <f t="shared" ref="BN102:BN108" si="12">IFERROR(Y102*I102/H102,"0")</f>
        <v>0</v>
      </c>
      <c r="BO102" s="78">
        <f t="shared" ref="BO102:BO108" si="13">IFERROR(1/J102*(X102/H102),"0")</f>
        <v>0</v>
      </c>
      <c r="BP102" s="78">
        <f t="shared" ref="BP102:BP108" si="14">IFERROR(1/J102*(Y102/H102),"0")</f>
        <v>0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hidden="1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IFERROR(IF(Y118=0,"",ROUNDUP(Y118/H118,0)*0.01898),"")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0</v>
      </c>
      <c r="Y122" s="43">
        <f>IFERROR(Y118/H118,"0")+IFERROR(Y119/H119,"0")+IFERROR(Y120/H120,"0")+IFERROR(Y121/H121,"0")</f>
        <v>0</v>
      </c>
      <c r="Z122" s="43">
        <f>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hidden="1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0</v>
      </c>
      <c r="Y123" s="43">
        <f>IFERROR(SUM(Y118:Y121),"0")</f>
        <v>0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hidden="1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ref="Y260:Y267" si="31">IFERROR(IF(X260="",0,CEILING((X260/$H260),1)*$H260),"")</f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0</v>
      </c>
      <c r="BN260" s="78">
        <f t="shared" ref="BN260:BN267" si="33">IFERROR(Y260*I260/H260,"0")</f>
        <v>0</v>
      </c>
      <c r="BO260" s="78">
        <f t="shared" ref="BO260:BO267" si="34">IFERROR(1/J260*(X260/H260),"0")</f>
        <v>0</v>
      </c>
      <c r="BP260" s="78">
        <f t="shared" ref="BP260:BP267" si="35">IFERROR(1/J260*(Y260/H260),"0")</f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0</v>
      </c>
      <c r="Y268" s="43">
        <f>IFERROR(Y260/H260,"0")+IFERROR(Y261/H261,"0")+IFERROR(Y262/H262,"0")+IFERROR(Y263/H263,"0")+IFERROR(Y264/H264,"0")+IFERROR(Y265/H265,"0")+IFERROR(Y266/H266,"0")+IFERROR(Y267/H267,"0")</f>
        <v>0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0</v>
      </c>
      <c r="Y269" s="43">
        <f>IFERROR(SUM(Y260:Y267),"0")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idden="1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hidden="1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0</v>
      </c>
      <c r="Y284" s="43">
        <f>IFERROR(SUM(Y271:Y282),"0")</f>
        <v>0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hidden="1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hidden="1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hidden="1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0</v>
      </c>
      <c r="Y384" s="43">
        <f>IFERROR(Y377/H377,"0")+IFERROR(Y378/H378,"0")+IFERROR(Y379/H379,"0")+IFERROR(Y380/H380,"0")+IFERROR(Y381/H381,"0")+IFERROR(Y382/H382,"0")+IFERROR(Y383/H383,"0")</f>
        <v>0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0</v>
      </c>
      <c r="Y385" s="43">
        <f>IFERROR(SUM(Y377:Y383),"0")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hidden="1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0</v>
      </c>
      <c r="Y397" s="43">
        <f>IFERROR(Y394/H394,"0")+IFERROR(Y395/H395,"0")+IFERROR(Y396/H396,"0")</f>
        <v>0</v>
      </c>
      <c r="Z397" s="43">
        <f>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0</v>
      </c>
      <c r="Y398" s="43">
        <f>IFERROR(SUM(Y394:Y396),"0")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hidden="1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2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0</v>
      </c>
      <c r="BN437" s="78">
        <f t="shared" si="64"/>
        <v>0</v>
      </c>
      <c r="BO437" s="78">
        <f t="shared" si="65"/>
        <v>0</v>
      </c>
      <c r="BP437" s="78">
        <f t="shared" si="66"/>
        <v>0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500</v>
      </c>
      <c r="Y438" s="55">
        <f t="shared" si="62"/>
        <v>510</v>
      </c>
      <c r="Z438" s="41">
        <f>IFERROR(IF(Y438=0,"",ROUNDUP(Y438/H438,0)*0.02175),"")</f>
        <v>0.73949999999999994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515.66666666666663</v>
      </c>
      <c r="BN438" s="78">
        <f t="shared" si="64"/>
        <v>525.98</v>
      </c>
      <c r="BO438" s="78">
        <f t="shared" si="65"/>
        <v>0.69444444444444442</v>
      </c>
      <c r="BP438" s="78">
        <f t="shared" si="66"/>
        <v>0.70833333333333326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62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515.66666666666663</v>
      </c>
      <c r="BN439" s="78">
        <f t="shared" si="64"/>
        <v>525.98</v>
      </c>
      <c r="BO439" s="78">
        <f t="shared" si="65"/>
        <v>0.69444444444444442</v>
      </c>
      <c r="BP439" s="78">
        <f t="shared" si="66"/>
        <v>0.70833333333333326</v>
      </c>
    </row>
    <row r="440" spans="1:68" ht="27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1000</v>
      </c>
      <c r="Y440" s="55">
        <f t="shared" si="62"/>
        <v>1005</v>
      </c>
      <c r="Z440" s="41">
        <f>IFERROR(IF(Y440=0,"",ROUNDUP(Y440/H440,0)*0.02175),"")</f>
        <v>1.4572499999999999</v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1031.3333333333333</v>
      </c>
      <c r="BN440" s="78">
        <f t="shared" si="64"/>
        <v>1036.49</v>
      </c>
      <c r="BO440" s="78">
        <f t="shared" si="65"/>
        <v>1.3888888888888888</v>
      </c>
      <c r="BP440" s="78">
        <f t="shared" si="66"/>
        <v>1.3958333333333333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133.33333333333334</v>
      </c>
      <c r="Y444" s="43">
        <f>IFERROR(Y436/H436,"0")+IFERROR(Y437/H437,"0")+IFERROR(Y438/H438,"0")+IFERROR(Y439/H439,"0")+IFERROR(Y440/H440,"0")+IFERROR(Y441/H441,"0")+IFERROR(Y442/H442,"0")+IFERROR(Y443/H443,"0")</f>
        <v>135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2.9362499999999998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2000</v>
      </c>
      <c r="Y445" s="43">
        <f>IFERROR(SUM(Y436:Y443),"0")</f>
        <v>2025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1000</v>
      </c>
      <c r="Y447" s="55">
        <f>IFERROR(IF(X447="",0,CEILING((X447/$H447),1)*$H447),"")</f>
        <v>1005</v>
      </c>
      <c r="Z447" s="41">
        <f>IFERROR(IF(Y447=0,"",ROUNDUP(Y447/H447,0)*0.02175),"")</f>
        <v>1.4572499999999999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1031.3333333333333</v>
      </c>
      <c r="BN447" s="78">
        <f>IFERROR(Y447*I447/H447,"0")</f>
        <v>1036.49</v>
      </c>
      <c r="BO447" s="78">
        <f>IFERROR(1/J447*(X447/H447),"0")</f>
        <v>1.3888888888888888</v>
      </c>
      <c r="BP447" s="78">
        <f>IFERROR(1/J447*(Y447/H447),"0")</f>
        <v>1.3958333333333333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66.666666666666671</v>
      </c>
      <c r="Y450" s="43">
        <f>IFERROR(Y447/H447,"0")+IFERROR(Y448/H448,"0")+IFERROR(Y449/H449,"0")</f>
        <v>67</v>
      </c>
      <c r="Z450" s="43">
        <f>IFERROR(IF(Z447="",0,Z447),"0")+IFERROR(IF(Z448="",0,Z448),"0")+IFERROR(IF(Z449="",0,Z449),"0")</f>
        <v>1.4572499999999999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1000</v>
      </c>
      <c r="Y451" s="43">
        <f>IFERROR(SUM(Y447:Y449),"0")</f>
        <v>1005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hidden="1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hidden="1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hidden="1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200</v>
      </c>
      <c r="Y511" s="55">
        <f t="shared" si="72"/>
        <v>200.64000000000001</v>
      </c>
      <c r="Z511" s="41">
        <f>IFERROR(IF(Y511=0,"",ROUNDUP(Y511/H511,0)*0.01196),"")</f>
        <v>0.45448</v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213.25757575757575</v>
      </c>
      <c r="BN511" s="78">
        <f t="shared" si="74"/>
        <v>213.94</v>
      </c>
      <c r="BO511" s="78">
        <f t="shared" si="75"/>
        <v>0.36421911421911418</v>
      </c>
      <c r="BP511" s="78">
        <f t="shared" si="76"/>
        <v>0.36538461538461542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400</v>
      </c>
      <c r="Y512" s="55">
        <f t="shared" si="72"/>
        <v>401.28000000000003</v>
      </c>
      <c r="Z512" s="41">
        <f>IFERROR(IF(Y512=0,"",ROUNDUP(Y512/H512,0)*0.01196),"")</f>
        <v>0.90895999999999999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426.5151515151515</v>
      </c>
      <c r="BN512" s="78">
        <f t="shared" si="74"/>
        <v>427.88</v>
      </c>
      <c r="BO512" s="78">
        <f t="shared" si="75"/>
        <v>0.72843822843822836</v>
      </c>
      <c r="BP512" s="78">
        <f t="shared" si="76"/>
        <v>0.73076923076923084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113.63636363636363</v>
      </c>
      <c r="Y516" s="43">
        <f>IFERROR(Y508/H508,"0")+IFERROR(Y509/H509,"0")+IFERROR(Y510/H510,"0")+IFERROR(Y511/H511,"0")+IFERROR(Y512/H512,"0")+IFERROR(Y513/H513,"0")+IFERROR(Y514/H514,"0")+IFERROR(Y515/H515,"0")</f>
        <v>114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1.36344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600</v>
      </c>
      <c r="Y517" s="43">
        <f>IFERROR(SUM(Y508:Y515),"0")</f>
        <v>601.92000000000007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100</v>
      </c>
      <c r="Y519" s="55">
        <f>IFERROR(IF(X519="",0,CEILING((X519/$H519),1)*$H519),"")</f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106.62878787878788</v>
      </c>
      <c r="BN519" s="78">
        <f>IFERROR(Y519*I519/H519,"0")</f>
        <v>106.97</v>
      </c>
      <c r="BO519" s="78">
        <f>IFERROR(1/J519*(X519/H519),"0")</f>
        <v>0.18210955710955709</v>
      </c>
      <c r="BP519" s="78">
        <f>IFERROR(1/J519*(Y519/H519),"0")</f>
        <v>0.18269230769230771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18.939393939393938</v>
      </c>
      <c r="Y522" s="43">
        <f>IFERROR(Y519/H519,"0")+IFERROR(Y520/H520,"0")+IFERROR(Y521/H521,"0")</f>
        <v>19</v>
      </c>
      <c r="Z522" s="43">
        <f>IFERROR(IF(Z519="",0,Z519),"0")+IFERROR(IF(Z520="",0,Z520),"0")+IFERROR(IF(Z521="",0,Z521),"0")</f>
        <v>0.22724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100</v>
      </c>
      <c r="Y523" s="43">
        <f>IFERROR(SUM(Y519:Y521),"0")</f>
        <v>100.32000000000001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hidden="1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ref="Y525:Y531" si="77">IFERROR(IF(X525="",0,CEILING((X525/$H525),1)*$H525),"")</f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0</v>
      </c>
      <c r="BN525" s="78">
        <f t="shared" ref="BN525:BN531" si="79">IFERROR(Y525*I525/H525,"0")</f>
        <v>0</v>
      </c>
      <c r="BO525" s="78">
        <f t="shared" ref="BO525:BO531" si="80">IFERROR(1/J525*(X525/H525),"0")</f>
        <v>0</v>
      </c>
      <c r="BP525" s="78">
        <f t="shared" ref="BP525:BP531" si="81">IFERROR(1/J525*(Y525/H525),"0")</f>
        <v>0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7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0</v>
      </c>
      <c r="BN527" s="78">
        <f t="shared" si="79"/>
        <v>0</v>
      </c>
      <c r="BO527" s="78">
        <f t="shared" si="80"/>
        <v>0</v>
      </c>
      <c r="BP527" s="78">
        <f t="shared" si="81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hidden="1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0</v>
      </c>
      <c r="Y532" s="43">
        <f>IFERROR(Y525/H525,"0")+IFERROR(Y526/H526,"0")+IFERROR(Y527/H527,"0")+IFERROR(Y528/H528,"0")+IFERROR(Y529/H529,"0")+IFERROR(Y530/H530,"0")+IFERROR(Y531/H531,"0")</f>
        <v>0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</v>
      </c>
      <c r="AA532" s="67"/>
      <c r="AB532" s="67"/>
      <c r="AC532" s="67"/>
    </row>
    <row r="533" spans="1:68" hidden="1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0</v>
      </c>
      <c r="Y533" s="43">
        <f>IFERROR(SUM(Y525:Y531),"0")</f>
        <v>0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hidden="1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3800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3840.2400000000002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3944.1978114478111</v>
      </c>
      <c r="Y563" s="43">
        <f>IFERROR(SUM(BN22:BN559),"0")</f>
        <v>3985.83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6</v>
      </c>
      <c r="Y564" s="44">
        <f>ROUNDUP(SUM(BP22:BP559),0)</f>
        <v>6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4094.1978114478111</v>
      </c>
      <c r="Y565" s="43">
        <f>GrossWeightTotalR+PalletQtyTotalR*25</f>
        <v>4135.83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341.83501683501686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345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6.1739799999999994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0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0</v>
      </c>
      <c r="F572" s="52">
        <f>IFERROR(Y85*1,"0")+IFERROR(Y86*1,"0")+IFERROR(Y87*1,"0")+IFERROR(Y88*1,"0")+IFERROR(Y89*1,"0")+IFERROR(Y90*1,"0")+IFERROR(Y94*1,"0")+IFERROR(Y95*1,"0")+IFERROR(Y96*1,"0")+IFERROR(Y97*1,"0")</f>
        <v>108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0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0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0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3030</v>
      </c>
      <c r="Y572" s="52">
        <f>IFERROR(Y465*1,"0")+IFERROR(Y466*1,"0")+IFERROR(Y470*1,"0")+IFERROR(Y474*1,"0")+IFERROR(Y475*1,"0")+IFERROR(Y476*1,"0")</f>
        <v>0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702.24000000000012</v>
      </c>
      <c r="AC572" s="52">
        <f>IFERROR(Y537*1,"0")+IFERROR(Y541*1,"0")+IFERROR(Y545*1,"0")+IFERROR(Y549*1,"0")+IFERROR(Y553*1,"0")+IFERROR(Y554*1,"0")</f>
        <v>0</v>
      </c>
      <c r="AD572" s="52">
        <f>IFERROR(Y559*1,"0")</f>
        <v>0</v>
      </c>
      <c r="AF572" s="1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0,00"/>
        <filter val="113,64"/>
        <filter val="133,33"/>
        <filter val="18,94"/>
        <filter val="2 000,00"/>
        <filter val="200,00"/>
        <filter val="3 800,00"/>
        <filter val="3 944,20"/>
        <filter val="341,84"/>
        <filter val="4 094,20"/>
        <filter val="400,00"/>
        <filter val="500,00"/>
        <filter val="6"/>
        <filter val="600,00"/>
        <filter val="66,67"/>
        <filter val="9,26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3" spans="2:8" x14ac:dyDescent="0.2">
      <c r="B13" s="53" t="s">
        <v>898</v>
      </c>
      <c r="C13" s="53" t="s">
        <v>881</v>
      </c>
      <c r="D13" s="53" t="s">
        <v>46</v>
      </c>
      <c r="E13" s="53" t="s">
        <v>46</v>
      </c>
    </row>
    <row r="15" spans="2:8" x14ac:dyDescent="0.2">
      <c r="B15" s="53" t="s">
        <v>899</v>
      </c>
      <c r="C15" s="53" t="s">
        <v>884</v>
      </c>
      <c r="D15" s="53" t="s">
        <v>46</v>
      </c>
      <c r="E15" s="53" t="s">
        <v>46</v>
      </c>
    </row>
    <row r="17" spans="2:5" x14ac:dyDescent="0.2">
      <c r="B17" s="53" t="s">
        <v>900</v>
      </c>
      <c r="C17" s="53" t="s">
        <v>887</v>
      </c>
      <c r="D17" s="53" t="s">
        <v>46</v>
      </c>
      <c r="E17" s="53" t="s">
        <v>46</v>
      </c>
    </row>
    <row r="19" spans="2:5" x14ac:dyDescent="0.2">
      <c r="B19" s="53" t="s">
        <v>901</v>
      </c>
      <c r="C19" s="53" t="s">
        <v>890</v>
      </c>
      <c r="D19" s="53" t="s">
        <v>46</v>
      </c>
      <c r="E19" s="53" t="s">
        <v>46</v>
      </c>
    </row>
    <row r="21" spans="2:5" x14ac:dyDescent="0.2">
      <c r="B21" s="53" t="s">
        <v>902</v>
      </c>
      <c r="C21" s="53" t="s">
        <v>893</v>
      </c>
      <c r="D21" s="53" t="s">
        <v>46</v>
      </c>
      <c r="E21" s="53" t="s">
        <v>46</v>
      </c>
    </row>
    <row r="23" spans="2:5" x14ac:dyDescent="0.2">
      <c r="B23" s="53" t="s">
        <v>903</v>
      </c>
      <c r="C23" s="53" t="s">
        <v>896</v>
      </c>
      <c r="D23" s="53" t="s">
        <v>46</v>
      </c>
      <c r="E23" s="53" t="s">
        <v>46</v>
      </c>
    </row>
    <row r="25" spans="2:5" x14ac:dyDescent="0.2">
      <c r="B25" s="53" t="s">
        <v>904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905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906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