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C7C67D-5C8B-479B-9703-79BF6EF8E0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O267" i="1"/>
  <c r="BN267" i="1"/>
  <c r="BM267" i="1"/>
  <c r="Z267" i="1"/>
  <c r="Y267" i="1"/>
  <c r="BP267" i="1" s="1"/>
  <c r="BP266" i="1"/>
  <c r="BO266" i="1"/>
  <c r="BN266" i="1"/>
  <c r="BM266" i="1"/>
  <c r="Z266" i="1"/>
  <c r="Y266" i="1"/>
  <c r="BO265" i="1"/>
  <c r="BN265" i="1"/>
  <c r="BM265" i="1"/>
  <c r="Z265" i="1"/>
  <c r="Y265" i="1"/>
  <c r="BP265" i="1" s="1"/>
  <c r="BP264" i="1"/>
  <c r="BO264" i="1"/>
  <c r="BN264" i="1"/>
  <c r="BM264" i="1"/>
  <c r="Z264" i="1"/>
  <c r="Y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BP261" i="1" s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P212" i="1"/>
  <c r="X209" i="1"/>
  <c r="X208" i="1"/>
  <c r="BO207" i="1"/>
  <c r="BM207" i="1"/>
  <c r="Z207" i="1"/>
  <c r="Y207" i="1"/>
  <c r="BN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P143" i="1"/>
  <c r="X140" i="1"/>
  <c r="X139" i="1"/>
  <c r="BO138" i="1"/>
  <c r="BN138" i="1"/>
  <c r="BM138" i="1"/>
  <c r="Z138" i="1"/>
  <c r="Y138" i="1"/>
  <c r="BP138" i="1" s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O125" i="1"/>
  <c r="BN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N123" i="1"/>
  <c r="BM123" i="1"/>
  <c r="Z123" i="1"/>
  <c r="Y123" i="1"/>
  <c r="BP123" i="1" s="1"/>
  <c r="P123" i="1"/>
  <c r="X121" i="1"/>
  <c r="X120" i="1"/>
  <c r="BO119" i="1"/>
  <c r="BM119" i="1"/>
  <c r="Z119" i="1"/>
  <c r="Z120" i="1" s="1"/>
  <c r="Y119" i="1"/>
  <c r="Y121" i="1" s="1"/>
  <c r="P119" i="1"/>
  <c r="X116" i="1"/>
  <c r="Y115" i="1"/>
  <c r="X115" i="1"/>
  <c r="BO114" i="1"/>
  <c r="BN114" i="1"/>
  <c r="BM114" i="1"/>
  <c r="Z114" i="1"/>
  <c r="Z115" i="1" s="1"/>
  <c r="Y114" i="1"/>
  <c r="Y116" i="1" s="1"/>
  <c r="P114" i="1"/>
  <c r="X112" i="1"/>
  <c r="X111" i="1"/>
  <c r="BO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O95" i="1"/>
  <c r="BN95" i="1"/>
  <c r="BM95" i="1"/>
  <c r="Z95" i="1"/>
  <c r="Y95" i="1"/>
  <c r="BP95" i="1" s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O79" i="1"/>
  <c r="BM79" i="1"/>
  <c r="Z79" i="1"/>
  <c r="Y79" i="1"/>
  <c r="BN79" i="1" s="1"/>
  <c r="P79" i="1"/>
  <c r="BO78" i="1"/>
  <c r="BM78" i="1"/>
  <c r="Z78" i="1"/>
  <c r="Y78" i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Z59" i="1"/>
  <c r="Y59" i="1"/>
  <c r="Y64" i="1" s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BO29" i="1"/>
  <c r="BN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1" i="1" s="1"/>
  <c r="P22" i="1"/>
  <c r="H10" i="1"/>
  <c r="A9" i="1"/>
  <c r="F10" i="1" s="1"/>
  <c r="D7" i="1"/>
  <c r="Q6" i="1"/>
  <c r="P2" i="1"/>
  <c r="X274" i="1" l="1"/>
  <c r="BP119" i="1"/>
  <c r="Z145" i="1"/>
  <c r="BP150" i="1"/>
  <c r="Z272" i="1"/>
  <c r="BP79" i="1"/>
  <c r="BP110" i="1"/>
  <c r="BP207" i="1"/>
  <c r="X275" i="1"/>
  <c r="Y81" i="1"/>
  <c r="BN110" i="1"/>
  <c r="Y111" i="1"/>
  <c r="BP114" i="1"/>
  <c r="BN119" i="1"/>
  <c r="Y120" i="1"/>
  <c r="Z127" i="1"/>
  <c r="Z214" i="1"/>
  <c r="Y35" i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B287" i="1"/>
  <c r="Y275" i="1"/>
  <c r="Y277" i="1" s="1"/>
  <c r="A287" i="1" l="1"/>
  <c r="C287" i="1"/>
</calcChain>
</file>

<file path=xl/sharedStrings.xml><?xml version="1.0" encoding="utf-8"?>
<sst xmlns="http://schemas.openxmlformats.org/spreadsheetml/2006/main" count="1289" uniqueCount="431">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</sst>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3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2" t="s">
        <v>0</v>
      </c>
      <c r="E1" s="307"/>
      <c r="F1" s="307"/>
      <c r="G1" s="12" t="s">
        <v>1</v>
      </c>
      <c r="H1" s="332" t="s">
        <v>2</v>
      </c>
      <c r="I1" s="307"/>
      <c r="J1" s="307"/>
      <c r="K1" s="307"/>
      <c r="L1" s="307"/>
      <c r="M1" s="307"/>
      <c r="N1" s="307"/>
      <c r="O1" s="307"/>
      <c r="P1" s="307"/>
      <c r="Q1" s="307"/>
      <c r="R1" s="306" t="s">
        <v>3</v>
      </c>
      <c r="S1" s="307"/>
      <c r="T1" s="3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61" t="s">
        <v>8</v>
      </c>
      <c r="B5" s="286"/>
      <c r="C5" s="287"/>
      <c r="D5" s="334"/>
      <c r="E5" s="335"/>
      <c r="F5" s="443" t="s">
        <v>9</v>
      </c>
      <c r="G5" s="287"/>
      <c r="H5" s="334" t="s">
        <v>430</v>
      </c>
      <c r="I5" s="421"/>
      <c r="J5" s="421"/>
      <c r="K5" s="421"/>
      <c r="L5" s="421"/>
      <c r="M5" s="335"/>
      <c r="N5" s="61"/>
      <c r="P5" s="24" t="s">
        <v>10</v>
      </c>
      <c r="Q5" s="448">
        <v>46329</v>
      </c>
      <c r="R5" s="355"/>
      <c r="T5" s="378" t="s">
        <v>11</v>
      </c>
      <c r="U5" s="379"/>
      <c r="V5" s="380" t="s">
        <v>12</v>
      </c>
      <c r="W5" s="355"/>
      <c r="AB5" s="51"/>
      <c r="AC5" s="51"/>
      <c r="AD5" s="51"/>
      <c r="AE5" s="51"/>
    </row>
    <row r="6" spans="1:32" s="268" customFormat="1" ht="24" customHeight="1" x14ac:dyDescent="0.2">
      <c r="A6" s="361" t="s">
        <v>13</v>
      </c>
      <c r="B6" s="286"/>
      <c r="C6" s="287"/>
      <c r="D6" s="422" t="s">
        <v>407</v>
      </c>
      <c r="E6" s="423"/>
      <c r="F6" s="423"/>
      <c r="G6" s="423"/>
      <c r="H6" s="423"/>
      <c r="I6" s="423"/>
      <c r="J6" s="423"/>
      <c r="K6" s="423"/>
      <c r="L6" s="423"/>
      <c r="M6" s="355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Вторник</v>
      </c>
      <c r="R6" s="295"/>
      <c r="T6" s="381" t="s">
        <v>15</v>
      </c>
      <c r="U6" s="379"/>
      <c r="V6" s="395" t="s">
        <v>16</v>
      </c>
      <c r="W6" s="315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7" t="str">
        <f>IFERROR(VLOOKUP(DeliveryAddress,Table,3,0),1)</f>
        <v>5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3"/>
      <c r="U7" s="379"/>
      <c r="V7" s="396"/>
      <c r="W7" s="397"/>
      <c r="AB7" s="51"/>
      <c r="AC7" s="51"/>
      <c r="AD7" s="51"/>
      <c r="AE7" s="51"/>
    </row>
    <row r="8" spans="1:32" s="268" customFormat="1" ht="25.5" customHeight="1" x14ac:dyDescent="0.2">
      <c r="A8" s="454" t="s">
        <v>17</v>
      </c>
      <c r="B8" s="279"/>
      <c r="C8" s="280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3">
        <v>0.41666666666666669</v>
      </c>
      <c r="R8" s="319"/>
      <c r="T8" s="293"/>
      <c r="U8" s="379"/>
      <c r="V8" s="396"/>
      <c r="W8" s="397"/>
      <c r="AB8" s="51"/>
      <c r="AC8" s="51"/>
      <c r="AD8" s="51"/>
      <c r="AE8" s="51"/>
    </row>
    <row r="9" spans="1:32" s="26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8"/>
      <c r="E9" s="360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59" t="str">
        <f>IF(AND($A$9="Тип доверенности/получателя при получении в адресе перегруза:",$D$9="Разовая доверенность"),"Введите ФИО","")</f>
        <v/>
      </c>
      <c r="I9" s="360"/>
      <c r="J9" s="3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0"/>
      <c r="L9" s="360"/>
      <c r="M9" s="360"/>
      <c r="N9" s="266"/>
      <c r="P9" s="26" t="s">
        <v>19</v>
      </c>
      <c r="Q9" s="351"/>
      <c r="R9" s="352"/>
      <c r="T9" s="293"/>
      <c r="U9" s="379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8"/>
      <c r="E10" s="360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7" t="str">
        <f>IFERROR(VLOOKUP($D$10,Proxy,2,FALSE),"")</f>
        <v/>
      </c>
      <c r="I10" s="293"/>
      <c r="J10" s="293"/>
      <c r="K10" s="293"/>
      <c r="L10" s="293"/>
      <c r="M10" s="293"/>
      <c r="N10" s="267"/>
      <c r="P10" s="26" t="s">
        <v>20</v>
      </c>
      <c r="Q10" s="382"/>
      <c r="R10" s="383"/>
      <c r="U10" s="24" t="s">
        <v>21</v>
      </c>
      <c r="V10" s="314" t="s">
        <v>22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4"/>
      <c r="R11" s="355"/>
      <c r="U11" s="24" t="s">
        <v>25</v>
      </c>
      <c r="V11" s="412" t="s">
        <v>26</v>
      </c>
      <c r="W11" s="352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58" t="s">
        <v>27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7"/>
      <c r="N12" s="65"/>
      <c r="P12" s="24" t="s">
        <v>28</v>
      </c>
      <c r="Q12" s="363"/>
      <c r="R12" s="319"/>
      <c r="S12" s="23"/>
      <c r="U12" s="24"/>
      <c r="V12" s="307"/>
      <c r="W12" s="293"/>
      <c r="AB12" s="51"/>
      <c r="AC12" s="51"/>
      <c r="AD12" s="51"/>
      <c r="AE12" s="51"/>
    </row>
    <row r="13" spans="1:32" s="268" customFormat="1" ht="23.25" customHeight="1" x14ac:dyDescent="0.2">
      <c r="A13" s="358" t="s">
        <v>29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7"/>
      <c r="N13" s="65"/>
      <c r="O13" s="26"/>
      <c r="P13" s="26" t="s">
        <v>30</v>
      </c>
      <c r="Q13" s="412"/>
      <c r="R13" s="35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58" t="s">
        <v>31</v>
      </c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7" t="s">
        <v>32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  <c r="N15" s="66"/>
      <c r="P15" s="365" t="s">
        <v>33</v>
      </c>
      <c r="Q15" s="307"/>
      <c r="R15" s="307"/>
      <c r="S15" s="307"/>
      <c r="T15" s="3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2" t="s">
        <v>34</v>
      </c>
      <c r="B17" s="312" t="s">
        <v>35</v>
      </c>
      <c r="C17" s="375" t="s">
        <v>36</v>
      </c>
      <c r="D17" s="312" t="s">
        <v>37</v>
      </c>
      <c r="E17" s="340"/>
      <c r="F17" s="312" t="s">
        <v>38</v>
      </c>
      <c r="G17" s="312" t="s">
        <v>39</v>
      </c>
      <c r="H17" s="312" t="s">
        <v>40</v>
      </c>
      <c r="I17" s="312" t="s">
        <v>41</v>
      </c>
      <c r="J17" s="312" t="s">
        <v>42</v>
      </c>
      <c r="K17" s="312" t="s">
        <v>43</v>
      </c>
      <c r="L17" s="312" t="s">
        <v>44</v>
      </c>
      <c r="M17" s="312" t="s">
        <v>45</v>
      </c>
      <c r="N17" s="312" t="s">
        <v>46</v>
      </c>
      <c r="O17" s="312" t="s">
        <v>47</v>
      </c>
      <c r="P17" s="312" t="s">
        <v>48</v>
      </c>
      <c r="Q17" s="339"/>
      <c r="R17" s="339"/>
      <c r="S17" s="339"/>
      <c r="T17" s="340"/>
      <c r="U17" s="462" t="s">
        <v>49</v>
      </c>
      <c r="V17" s="287"/>
      <c r="W17" s="312" t="s">
        <v>50</v>
      </c>
      <c r="X17" s="312" t="s">
        <v>51</v>
      </c>
      <c r="Y17" s="463" t="s">
        <v>52</v>
      </c>
      <c r="Z17" s="417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38"/>
      <c r="AF17" s="439"/>
      <c r="AG17" s="69"/>
      <c r="BD17" s="68" t="s">
        <v>58</v>
      </c>
    </row>
    <row r="18" spans="1:68" ht="14.25" customHeight="1" x14ac:dyDescent="0.2">
      <c r="A18" s="313"/>
      <c r="B18" s="313"/>
      <c r="C18" s="313"/>
      <c r="D18" s="341"/>
      <c r="E18" s="34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13"/>
      <c r="X18" s="313"/>
      <c r="Y18" s="464"/>
      <c r="Z18" s="418"/>
      <c r="AA18" s="406"/>
      <c r="AB18" s="406"/>
      <c r="AC18" s="406"/>
      <c r="AD18" s="440"/>
      <c r="AE18" s="441"/>
      <c r="AF18" s="442"/>
      <c r="AG18" s="69"/>
      <c r="BD18" s="68"/>
    </row>
    <row r="19" spans="1:68" ht="27.75" hidden="1" customHeight="1" x14ac:dyDescent="0.2">
      <c r="A19" s="349" t="s">
        <v>61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48"/>
      <c r="AB19" s="48"/>
      <c r="AC19" s="48"/>
    </row>
    <row r="20" spans="1:68" ht="16.5" hidden="1" customHeight="1" x14ac:dyDescent="0.25">
      <c r="A20" s="296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9"/>
      <c r="AB20" s="269"/>
      <c r="AC20" s="269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4">
        <v>4620207491508</v>
      </c>
      <c r="E22" s="295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4">
        <v>4620207491256</v>
      </c>
      <c r="E23" s="295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4">
        <v>4620207491713</v>
      </c>
      <c r="E24" s="295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4">
        <v>4620207491720</v>
      </c>
      <c r="E25" s="295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4"/>
      <c r="V25" s="34"/>
      <c r="W25" s="35" t="s">
        <v>68</v>
      </c>
      <c r="X25" s="274">
        <v>60</v>
      </c>
      <c r="Y25" s="275">
        <f t="shared" si="0"/>
        <v>60</v>
      </c>
      <c r="Z25" s="36">
        <f t="shared" si="1"/>
        <v>0.92999999999999994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397.8</v>
      </c>
      <c r="BN25" s="67">
        <f t="shared" si="3"/>
        <v>397.8</v>
      </c>
      <c r="BO25" s="67">
        <f t="shared" si="4"/>
        <v>0.7142857142857143</v>
      </c>
      <c r="BP25" s="67">
        <f t="shared" si="5"/>
        <v>0.7142857142857143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4">
        <v>4607111035912</v>
      </c>
      <c r="E26" s="295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4">
        <v>4607111035929</v>
      </c>
      <c r="E27" s="295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68</v>
      </c>
      <c r="X27" s="274">
        <v>12</v>
      </c>
      <c r="Y27" s="275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4">
        <v>4607111035882</v>
      </c>
      <c r="E28" s="295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4">
        <v>4607111035905</v>
      </c>
      <c r="E29" s="295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1"/>
      <c r="P30" s="278" t="s">
        <v>87</v>
      </c>
      <c r="Q30" s="279"/>
      <c r="R30" s="279"/>
      <c r="S30" s="279"/>
      <c r="T30" s="279"/>
      <c r="U30" s="279"/>
      <c r="V30" s="280"/>
      <c r="W30" s="37" t="s">
        <v>68</v>
      </c>
      <c r="X30" s="276">
        <f>IFERROR(SUM(X22:X29),"0")</f>
        <v>72</v>
      </c>
      <c r="Y30" s="276">
        <f>IFERROR(SUM(Y22:Y29),"0")</f>
        <v>72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1.1159999999999999</v>
      </c>
      <c r="AA30" s="277"/>
      <c r="AB30" s="277"/>
      <c r="AC30" s="27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1"/>
      <c r="P31" s="278" t="s">
        <v>87</v>
      </c>
      <c r="Q31" s="279"/>
      <c r="R31" s="279"/>
      <c r="S31" s="279"/>
      <c r="T31" s="279"/>
      <c r="U31" s="279"/>
      <c r="V31" s="280"/>
      <c r="W31" s="37" t="s">
        <v>88</v>
      </c>
      <c r="X31" s="276">
        <f>IFERROR(SUMPRODUCT(X22:X29*H22:H29),"0")</f>
        <v>470.4</v>
      </c>
      <c r="Y31" s="276">
        <f>IFERROR(SUMPRODUCT(Y22:Y29*H22:H29),"0")</f>
        <v>470.4</v>
      </c>
      <c r="Z31" s="37"/>
      <c r="AA31" s="277"/>
      <c r="AB31" s="277"/>
      <c r="AC31" s="277"/>
    </row>
    <row r="32" spans="1:68" ht="14.25" hidden="1" customHeight="1" x14ac:dyDescent="0.25">
      <c r="A32" s="29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94">
        <v>4620207492178</v>
      </c>
      <c r="E33" s="295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9"/>
      <c r="R33" s="289"/>
      <c r="S33" s="289"/>
      <c r="T33" s="29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0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01"/>
      <c r="P34" s="278" t="s">
        <v>87</v>
      </c>
      <c r="Q34" s="279"/>
      <c r="R34" s="279"/>
      <c r="S34" s="279"/>
      <c r="T34" s="279"/>
      <c r="U34" s="279"/>
      <c r="V34" s="28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01"/>
      <c r="P35" s="278" t="s">
        <v>87</v>
      </c>
      <c r="Q35" s="279"/>
      <c r="R35" s="279"/>
      <c r="S35" s="279"/>
      <c r="T35" s="279"/>
      <c r="U35" s="279"/>
      <c r="V35" s="28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6" t="s">
        <v>94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69"/>
      <c r="AB36" s="269"/>
      <c r="AC36" s="269"/>
    </row>
    <row r="37" spans="1:68" ht="14.25" hidden="1" customHeight="1" x14ac:dyDescent="0.25">
      <c r="A37" s="292" t="s">
        <v>62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94">
        <v>4607111039019</v>
      </c>
      <c r="E38" s="295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9"/>
      <c r="R38" s="289"/>
      <c r="S38" s="289"/>
      <c r="T38" s="29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94">
        <v>4607111038708</v>
      </c>
      <c r="E39" s="295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9"/>
      <c r="R39" s="289"/>
      <c r="S39" s="289"/>
      <c r="T39" s="29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01"/>
      <c r="P40" s="278" t="s">
        <v>87</v>
      </c>
      <c r="Q40" s="279"/>
      <c r="R40" s="279"/>
      <c r="S40" s="279"/>
      <c r="T40" s="279"/>
      <c r="U40" s="279"/>
      <c r="V40" s="28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01"/>
      <c r="P41" s="278" t="s">
        <v>87</v>
      </c>
      <c r="Q41" s="279"/>
      <c r="R41" s="279"/>
      <c r="S41" s="279"/>
      <c r="T41" s="279"/>
      <c r="U41" s="279"/>
      <c r="V41" s="28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49" t="s">
        <v>100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48"/>
      <c r="AB42" s="48"/>
      <c r="AC42" s="48"/>
    </row>
    <row r="43" spans="1:68" ht="16.5" hidden="1" customHeight="1" x14ac:dyDescent="0.25">
      <c r="A43" s="296" t="s">
        <v>101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9"/>
      <c r="AB43" s="269"/>
      <c r="AC43" s="269"/>
    </row>
    <row r="44" spans="1:68" ht="14.25" hidden="1" customHeight="1" x14ac:dyDescent="0.25">
      <c r="A44" s="292" t="s">
        <v>102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94">
        <v>4607111036537</v>
      </c>
      <c r="E45" s="295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9"/>
      <c r="R45" s="289"/>
      <c r="S45" s="289"/>
      <c r="T45" s="290"/>
      <c r="U45" s="34"/>
      <c r="V45" s="34"/>
      <c r="W45" s="35" t="s">
        <v>68</v>
      </c>
      <c r="X45" s="274">
        <v>56</v>
      </c>
      <c r="Y45" s="275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94">
        <v>4607111036605</v>
      </c>
      <c r="E46" s="295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9"/>
      <c r="R46" s="289"/>
      <c r="S46" s="289"/>
      <c r="T46" s="29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00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301"/>
      <c r="P47" s="278" t="s">
        <v>87</v>
      </c>
      <c r="Q47" s="279"/>
      <c r="R47" s="279"/>
      <c r="S47" s="279"/>
      <c r="T47" s="279"/>
      <c r="U47" s="279"/>
      <c r="V47" s="280"/>
      <c r="W47" s="37" t="s">
        <v>68</v>
      </c>
      <c r="X47" s="276">
        <f>IFERROR(SUM(X45:X46),"0")</f>
        <v>56</v>
      </c>
      <c r="Y47" s="276">
        <f>IFERROR(SUM(Y45:Y46),"0")</f>
        <v>56</v>
      </c>
      <c r="Z47" s="276">
        <f>IFERROR(IF(Z45="",0,Z45),"0")+IFERROR(IF(Z46="",0,Z46),"0")</f>
        <v>0.52695999999999998</v>
      </c>
      <c r="AA47" s="277"/>
      <c r="AB47" s="277"/>
      <c r="AC47" s="277"/>
    </row>
    <row r="48" spans="1:68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301"/>
      <c r="P48" s="278" t="s">
        <v>87</v>
      </c>
      <c r="Q48" s="279"/>
      <c r="R48" s="279"/>
      <c r="S48" s="279"/>
      <c r="T48" s="279"/>
      <c r="U48" s="279"/>
      <c r="V48" s="280"/>
      <c r="W48" s="37" t="s">
        <v>88</v>
      </c>
      <c r="X48" s="276">
        <f>IFERROR(SUMPRODUCT(X45:X46*H45:H46),"0")</f>
        <v>84</v>
      </c>
      <c r="Y48" s="276">
        <f>IFERROR(SUMPRODUCT(Y45:Y46*H45:H46),"0")</f>
        <v>84</v>
      </c>
      <c r="Z48" s="37"/>
      <c r="AA48" s="277"/>
      <c r="AB48" s="277"/>
      <c r="AC48" s="277"/>
    </row>
    <row r="49" spans="1:68" ht="16.5" hidden="1" customHeight="1" x14ac:dyDescent="0.25">
      <c r="A49" s="296" t="s">
        <v>112</v>
      </c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69"/>
      <c r="AB49" s="269"/>
      <c r="AC49" s="269"/>
    </row>
    <row r="50" spans="1:68" ht="14.25" hidden="1" customHeight="1" x14ac:dyDescent="0.25">
      <c r="A50" s="292" t="s">
        <v>62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70"/>
      <c r="AB50" s="270"/>
      <c r="AC50" s="270"/>
    </row>
    <row r="51" spans="1:68" ht="27" hidden="1" customHeight="1" x14ac:dyDescent="0.25">
      <c r="A51" s="54" t="s">
        <v>113</v>
      </c>
      <c r="B51" s="54" t="s">
        <v>114</v>
      </c>
      <c r="C51" s="31">
        <v>4301071044</v>
      </c>
      <c r="D51" s="294">
        <v>4607111039385</v>
      </c>
      <c r="E51" s="295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89"/>
      <c r="R51" s="289"/>
      <c r="S51" s="289"/>
      <c r="T51" s="290"/>
      <c r="U51" s="34"/>
      <c r="V51" s="34"/>
      <c r="W51" s="35" t="s">
        <v>68</v>
      </c>
      <c r="X51" s="274">
        <v>0</v>
      </c>
      <c r="Y51" s="275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94">
        <v>4607111038982</v>
      </c>
      <c r="E52" s="295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89"/>
      <c r="R52" s="289"/>
      <c r="S52" s="289"/>
      <c r="T52" s="29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94">
        <v>4607111039354</v>
      </c>
      <c r="E53" s="295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89"/>
      <c r="R53" s="289"/>
      <c r="S53" s="289"/>
      <c r="T53" s="29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94">
        <v>4607111039330</v>
      </c>
      <c r="E54" s="295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89"/>
      <c r="R54" s="289"/>
      <c r="S54" s="289"/>
      <c r="T54" s="29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00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301"/>
      <c r="P55" s="278" t="s">
        <v>87</v>
      </c>
      <c r="Q55" s="279"/>
      <c r="R55" s="279"/>
      <c r="S55" s="279"/>
      <c r="T55" s="279"/>
      <c r="U55" s="279"/>
      <c r="V55" s="280"/>
      <c r="W55" s="37" t="s">
        <v>68</v>
      </c>
      <c r="X55" s="276">
        <f>IFERROR(SUM(X51:X54),"0")</f>
        <v>0</v>
      </c>
      <c r="Y55" s="276">
        <f>IFERROR(SUM(Y51:Y54),"0")</f>
        <v>0</v>
      </c>
      <c r="Z55" s="276">
        <f>IFERROR(IF(Z51="",0,Z51),"0")+IFERROR(IF(Z52="",0,Z52),"0")+IFERROR(IF(Z53="",0,Z53),"0")+IFERROR(IF(Z54="",0,Z54),"0")</f>
        <v>0</v>
      </c>
      <c r="AA55" s="277"/>
      <c r="AB55" s="277"/>
      <c r="AC55" s="277"/>
    </row>
    <row r="56" spans="1:68" hidden="1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301"/>
      <c r="P56" s="278" t="s">
        <v>87</v>
      </c>
      <c r="Q56" s="279"/>
      <c r="R56" s="279"/>
      <c r="S56" s="279"/>
      <c r="T56" s="279"/>
      <c r="U56" s="279"/>
      <c r="V56" s="280"/>
      <c r="W56" s="37" t="s">
        <v>88</v>
      </c>
      <c r="X56" s="276">
        <f>IFERROR(SUMPRODUCT(X51:X54*H51:H54),"0")</f>
        <v>0</v>
      </c>
      <c r="Y56" s="276">
        <f>IFERROR(SUMPRODUCT(Y51:Y54*H51:H54),"0")</f>
        <v>0</v>
      </c>
      <c r="Z56" s="37"/>
      <c r="AA56" s="277"/>
      <c r="AB56" s="277"/>
      <c r="AC56" s="277"/>
    </row>
    <row r="57" spans="1:68" ht="16.5" hidden="1" customHeight="1" x14ac:dyDescent="0.25">
      <c r="A57" s="296" t="s">
        <v>123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69"/>
      <c r="AB57" s="269"/>
      <c r="AC57" s="269"/>
    </row>
    <row r="58" spans="1:68" ht="14.25" hidden="1" customHeight="1" x14ac:dyDescent="0.25">
      <c r="A58" s="292" t="s">
        <v>124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94">
        <v>4607111039712</v>
      </c>
      <c r="E59" s="295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89"/>
      <c r="R59" s="289"/>
      <c r="S59" s="289"/>
      <c r="T59" s="29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94">
        <v>4607111039705</v>
      </c>
      <c r="E60" s="295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89"/>
      <c r="R60" s="289"/>
      <c r="S60" s="289"/>
      <c r="T60" s="29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94">
        <v>4607111039729</v>
      </c>
      <c r="E61" s="295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30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89"/>
      <c r="R61" s="289"/>
      <c r="S61" s="289"/>
      <c r="T61" s="29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94">
        <v>4620207490228</v>
      </c>
      <c r="E62" s="295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58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89"/>
      <c r="R62" s="289"/>
      <c r="S62" s="289"/>
      <c r="T62" s="29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0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1"/>
      <c r="P63" s="278" t="s">
        <v>87</v>
      </c>
      <c r="Q63" s="279"/>
      <c r="R63" s="279"/>
      <c r="S63" s="279"/>
      <c r="T63" s="279"/>
      <c r="U63" s="279"/>
      <c r="V63" s="28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301"/>
      <c r="P64" s="278" t="s">
        <v>87</v>
      </c>
      <c r="Q64" s="279"/>
      <c r="R64" s="279"/>
      <c r="S64" s="279"/>
      <c r="T64" s="279"/>
      <c r="U64" s="279"/>
      <c r="V64" s="28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6" t="s">
        <v>136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69"/>
      <c r="AB65" s="269"/>
      <c r="AC65" s="269"/>
    </row>
    <row r="66" spans="1:68" ht="14.25" hidden="1" customHeight="1" x14ac:dyDescent="0.25">
      <c r="A66" s="292" t="s">
        <v>62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94">
        <v>4607111037411</v>
      </c>
      <c r="E67" s="295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89"/>
      <c r="R67" s="289"/>
      <c r="S67" s="289"/>
      <c r="T67" s="29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94">
        <v>4607111036728</v>
      </c>
      <c r="E68" s="295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89"/>
      <c r="R68" s="289"/>
      <c r="S68" s="289"/>
      <c r="T68" s="290"/>
      <c r="U68" s="34"/>
      <c r="V68" s="34"/>
      <c r="W68" s="35" t="s">
        <v>68</v>
      </c>
      <c r="X68" s="274">
        <v>72</v>
      </c>
      <c r="Y68" s="275">
        <f>IFERROR(IF(X68="","",X68),"")</f>
        <v>72</v>
      </c>
      <c r="Z68" s="36">
        <f>IFERROR(IF(X68="","",X68*0.00866),"")</f>
        <v>0.62351999999999996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375.35039999999998</v>
      </c>
      <c r="BN68" s="67">
        <f>IFERROR(Y68*I68,"0")</f>
        <v>375.35039999999998</v>
      </c>
      <c r="BO68" s="67">
        <f>IFERROR(X68/J68,"0")</f>
        <v>0.5</v>
      </c>
      <c r="BP68" s="67">
        <f>IFERROR(Y68/J68,"0")</f>
        <v>0.5</v>
      </c>
    </row>
    <row r="69" spans="1:68" x14ac:dyDescent="0.2">
      <c r="A69" s="300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01"/>
      <c r="P69" s="278" t="s">
        <v>87</v>
      </c>
      <c r="Q69" s="279"/>
      <c r="R69" s="279"/>
      <c r="S69" s="279"/>
      <c r="T69" s="279"/>
      <c r="U69" s="279"/>
      <c r="V69" s="280"/>
      <c r="W69" s="37" t="s">
        <v>68</v>
      </c>
      <c r="X69" s="276">
        <f>IFERROR(SUM(X67:X68),"0")</f>
        <v>72</v>
      </c>
      <c r="Y69" s="276">
        <f>IFERROR(SUM(Y67:Y68),"0")</f>
        <v>72</v>
      </c>
      <c r="Z69" s="276">
        <f>IFERROR(IF(Z67="",0,Z67),"0")+IFERROR(IF(Z68="",0,Z68),"0")</f>
        <v>0.62351999999999996</v>
      </c>
      <c r="AA69" s="277"/>
      <c r="AB69" s="277"/>
      <c r="AC69" s="277"/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301"/>
      <c r="P70" s="278" t="s">
        <v>87</v>
      </c>
      <c r="Q70" s="279"/>
      <c r="R70" s="279"/>
      <c r="S70" s="279"/>
      <c r="T70" s="279"/>
      <c r="U70" s="279"/>
      <c r="V70" s="280"/>
      <c r="W70" s="37" t="s">
        <v>88</v>
      </c>
      <c r="X70" s="276">
        <f>IFERROR(SUMPRODUCT(X67:X68*H67:H68),"0")</f>
        <v>360</v>
      </c>
      <c r="Y70" s="276">
        <f>IFERROR(SUMPRODUCT(Y67:Y68*H67:H68),"0")</f>
        <v>360</v>
      </c>
      <c r="Z70" s="37"/>
      <c r="AA70" s="277"/>
      <c r="AB70" s="277"/>
      <c r="AC70" s="277"/>
    </row>
    <row r="71" spans="1:68" ht="16.5" hidden="1" customHeight="1" x14ac:dyDescent="0.25">
      <c r="A71" s="296" t="s">
        <v>143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69"/>
      <c r="AB71" s="269"/>
      <c r="AC71" s="269"/>
    </row>
    <row r="72" spans="1:68" ht="14.25" hidden="1" customHeight="1" x14ac:dyDescent="0.25">
      <c r="A72" s="292" t="s">
        <v>144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94">
        <v>4620207491638</v>
      </c>
      <c r="E73" s="295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3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89"/>
      <c r="R73" s="289"/>
      <c r="S73" s="289"/>
      <c r="T73" s="29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0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1"/>
      <c r="P74" s="278" t="s">
        <v>87</v>
      </c>
      <c r="Q74" s="279"/>
      <c r="R74" s="279"/>
      <c r="S74" s="279"/>
      <c r="T74" s="279"/>
      <c r="U74" s="279"/>
      <c r="V74" s="28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01"/>
      <c r="P75" s="278" t="s">
        <v>87</v>
      </c>
      <c r="Q75" s="279"/>
      <c r="R75" s="279"/>
      <c r="S75" s="279"/>
      <c r="T75" s="279"/>
      <c r="U75" s="279"/>
      <c r="V75" s="28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6" t="s">
        <v>148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69"/>
      <c r="AB76" s="269"/>
      <c r="AC76" s="269"/>
    </row>
    <row r="77" spans="1:68" ht="14.25" hidden="1" customHeight="1" x14ac:dyDescent="0.25">
      <c r="A77" s="292" t="s">
        <v>149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70"/>
      <c r="AB77" s="270"/>
      <c r="AC77" s="270"/>
    </row>
    <row r="78" spans="1:68" ht="27" customHeight="1" x14ac:dyDescent="0.25">
      <c r="A78" s="54" t="s">
        <v>150</v>
      </c>
      <c r="B78" s="54" t="s">
        <v>151</v>
      </c>
      <c r="C78" s="31">
        <v>4301131047</v>
      </c>
      <c r="D78" s="294">
        <v>4607111034120</v>
      </c>
      <c r="E78" s="295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89"/>
      <c r="R78" s="289"/>
      <c r="S78" s="289"/>
      <c r="T78" s="290"/>
      <c r="U78" s="34"/>
      <c r="V78" s="34"/>
      <c r="W78" s="35" t="s">
        <v>68</v>
      </c>
      <c r="X78" s="274">
        <v>14</v>
      </c>
      <c r="Y78" s="275">
        <f>IFERROR(IF(X78="","",X78),"")</f>
        <v>14</v>
      </c>
      <c r="Z78" s="36">
        <f>IFERROR(IF(X78="","",X78*0.01788),"")</f>
        <v>0.25031999999999999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60.250400000000006</v>
      </c>
      <c r="BN78" s="67">
        <f>IFERROR(Y78*I78,"0")</f>
        <v>60.250400000000006</v>
      </c>
      <c r="BO78" s="67">
        <f>IFERROR(X78/J78,"0")</f>
        <v>0.2</v>
      </c>
      <c r="BP78" s="67">
        <f>IFERROR(Y78/J78,"0")</f>
        <v>0.2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94">
        <v>4607111034137</v>
      </c>
      <c r="E79" s="295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89"/>
      <c r="R79" s="289"/>
      <c r="S79" s="289"/>
      <c r="T79" s="290"/>
      <c r="U79" s="34"/>
      <c r="V79" s="34"/>
      <c r="W79" s="35" t="s">
        <v>68</v>
      </c>
      <c r="X79" s="274">
        <v>98</v>
      </c>
      <c r="Y79" s="275">
        <f>IFERROR(IF(X79="","",X79),"")</f>
        <v>98</v>
      </c>
      <c r="Z79" s="36">
        <f>IFERROR(IF(X79="","",X79*0.01788),"")</f>
        <v>1.75224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421.75280000000004</v>
      </c>
      <c r="BN79" s="67">
        <f>IFERROR(Y79*I79,"0")</f>
        <v>421.75280000000004</v>
      </c>
      <c r="BO79" s="67">
        <f>IFERROR(X79/J79,"0")</f>
        <v>1.4</v>
      </c>
      <c r="BP79" s="67">
        <f>IFERROR(Y79/J79,"0")</f>
        <v>1.4</v>
      </c>
    </row>
    <row r="80" spans="1:68" x14ac:dyDescent="0.2">
      <c r="A80" s="300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1"/>
      <c r="P80" s="278" t="s">
        <v>87</v>
      </c>
      <c r="Q80" s="279"/>
      <c r="R80" s="279"/>
      <c r="S80" s="279"/>
      <c r="T80" s="279"/>
      <c r="U80" s="279"/>
      <c r="V80" s="280"/>
      <c r="W80" s="37" t="s">
        <v>68</v>
      </c>
      <c r="X80" s="276">
        <f>IFERROR(SUM(X78:X79),"0")</f>
        <v>112</v>
      </c>
      <c r="Y80" s="276">
        <f>IFERROR(SUM(Y78:Y79),"0")</f>
        <v>112</v>
      </c>
      <c r="Z80" s="276">
        <f>IFERROR(IF(Z78="",0,Z78),"0")+IFERROR(IF(Z79="",0,Z79),"0")</f>
        <v>2.0025599999999999</v>
      </c>
      <c r="AA80" s="277"/>
      <c r="AB80" s="277"/>
      <c r="AC80" s="277"/>
    </row>
    <row r="81" spans="1:68" x14ac:dyDescent="0.2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301"/>
      <c r="P81" s="278" t="s">
        <v>87</v>
      </c>
      <c r="Q81" s="279"/>
      <c r="R81" s="279"/>
      <c r="S81" s="279"/>
      <c r="T81" s="279"/>
      <c r="U81" s="279"/>
      <c r="V81" s="280"/>
      <c r="W81" s="37" t="s">
        <v>88</v>
      </c>
      <c r="X81" s="276">
        <f>IFERROR(SUMPRODUCT(X78:X79*H78:H79),"0")</f>
        <v>403.2</v>
      </c>
      <c r="Y81" s="276">
        <f>IFERROR(SUMPRODUCT(Y78:Y79*H78:H79),"0")</f>
        <v>403.2</v>
      </c>
      <c r="Z81" s="37"/>
      <c r="AA81" s="277"/>
      <c r="AB81" s="277"/>
      <c r="AC81" s="277"/>
    </row>
    <row r="82" spans="1:68" ht="16.5" hidden="1" customHeight="1" x14ac:dyDescent="0.25">
      <c r="A82" s="296" t="s">
        <v>156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69"/>
      <c r="AB82" s="269"/>
      <c r="AC82" s="269"/>
    </row>
    <row r="83" spans="1:68" ht="14.25" hidden="1" customHeight="1" x14ac:dyDescent="0.25">
      <c r="A83" s="292" t="s">
        <v>144</v>
      </c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94">
        <v>4620207491027</v>
      </c>
      <c r="E84" s="295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89"/>
      <c r="R84" s="289"/>
      <c r="S84" s="289"/>
      <c r="T84" s="29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customHeight="1" x14ac:dyDescent="0.25">
      <c r="A85" s="54" t="s">
        <v>160</v>
      </c>
      <c r="B85" s="54" t="s">
        <v>161</v>
      </c>
      <c r="C85" s="31">
        <v>4301135914</v>
      </c>
      <c r="D85" s="294">
        <v>4620207491621</v>
      </c>
      <c r="E85" s="295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89"/>
      <c r="R85" s="289"/>
      <c r="S85" s="289"/>
      <c r="T85" s="290"/>
      <c r="U85" s="34"/>
      <c r="V85" s="34"/>
      <c r="W85" s="35" t="s">
        <v>68</v>
      </c>
      <c r="X85" s="274">
        <v>42</v>
      </c>
      <c r="Y85" s="275">
        <f t="shared" si="6"/>
        <v>42</v>
      </c>
      <c r="Z85" s="36">
        <f t="shared" si="7"/>
        <v>0.75095999999999996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150.5112</v>
      </c>
      <c r="BN85" s="67">
        <f t="shared" si="9"/>
        <v>150.5112</v>
      </c>
      <c r="BO85" s="67">
        <f t="shared" si="10"/>
        <v>0.6</v>
      </c>
      <c r="BP85" s="67">
        <f t="shared" si="11"/>
        <v>0.6</v>
      </c>
    </row>
    <row r="86" spans="1:68" ht="27" hidden="1" customHeight="1" x14ac:dyDescent="0.25">
      <c r="A86" s="54" t="s">
        <v>163</v>
      </c>
      <c r="B86" s="54" t="s">
        <v>164</v>
      </c>
      <c r="C86" s="31">
        <v>4301135990</v>
      </c>
      <c r="D86" s="294">
        <v>4620207491881</v>
      </c>
      <c r="E86" s="295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89"/>
      <c r="R86" s="289"/>
      <c r="S86" s="289"/>
      <c r="T86" s="290"/>
      <c r="U86" s="34"/>
      <c r="V86" s="34"/>
      <c r="W86" s="35" t="s">
        <v>68</v>
      </c>
      <c r="X86" s="274">
        <v>0</v>
      </c>
      <c r="Y86" s="275">
        <f t="shared" si="6"/>
        <v>0</v>
      </c>
      <c r="Z86" s="36">
        <f t="shared" si="7"/>
        <v>0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0</v>
      </c>
      <c r="BN86" s="67">
        <f t="shared" si="9"/>
        <v>0</v>
      </c>
      <c r="BO86" s="67">
        <f t="shared" si="10"/>
        <v>0</v>
      </c>
      <c r="BP86" s="67">
        <f t="shared" si="11"/>
        <v>0</v>
      </c>
    </row>
    <row r="87" spans="1:68" ht="27" hidden="1" customHeight="1" x14ac:dyDescent="0.25">
      <c r="A87" s="54" t="s">
        <v>165</v>
      </c>
      <c r="B87" s="54" t="s">
        <v>166</v>
      </c>
      <c r="C87" s="31">
        <v>4301135920</v>
      </c>
      <c r="D87" s="294">
        <v>4620207491577</v>
      </c>
      <c r="E87" s="295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89"/>
      <c r="R87" s="289"/>
      <c r="S87" s="289"/>
      <c r="T87" s="290"/>
      <c r="U87" s="34"/>
      <c r="V87" s="34"/>
      <c r="W87" s="35" t="s">
        <v>68</v>
      </c>
      <c r="X87" s="274">
        <v>0</v>
      </c>
      <c r="Y87" s="275">
        <f t="shared" si="6"/>
        <v>0</v>
      </c>
      <c r="Z87" s="36">
        <f t="shared" si="7"/>
        <v>0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0</v>
      </c>
      <c r="BN87" s="67">
        <f t="shared" si="9"/>
        <v>0</v>
      </c>
      <c r="BO87" s="67">
        <f t="shared" si="10"/>
        <v>0</v>
      </c>
      <c r="BP87" s="67">
        <f t="shared" si="11"/>
        <v>0</v>
      </c>
    </row>
    <row r="88" spans="1:68" ht="27" customHeight="1" x14ac:dyDescent="0.25">
      <c r="A88" s="54" t="s">
        <v>167</v>
      </c>
      <c r="B88" s="54" t="s">
        <v>168</v>
      </c>
      <c r="C88" s="31">
        <v>4301135984</v>
      </c>
      <c r="D88" s="294">
        <v>4620207491874</v>
      </c>
      <c r="E88" s="295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89"/>
      <c r="R88" s="289"/>
      <c r="S88" s="289"/>
      <c r="T88" s="290"/>
      <c r="U88" s="34"/>
      <c r="V88" s="34"/>
      <c r="W88" s="35" t="s">
        <v>68</v>
      </c>
      <c r="X88" s="274">
        <v>98</v>
      </c>
      <c r="Y88" s="275">
        <f t="shared" si="6"/>
        <v>98</v>
      </c>
      <c r="Z88" s="36">
        <f t="shared" si="7"/>
        <v>1.75224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435.98240000000004</v>
      </c>
      <c r="BN88" s="67">
        <f t="shared" si="9"/>
        <v>435.98240000000004</v>
      </c>
      <c r="BO88" s="67">
        <f t="shared" si="10"/>
        <v>1.4</v>
      </c>
      <c r="BP88" s="67">
        <f t="shared" si="11"/>
        <v>1.4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94">
        <v>4620207491782</v>
      </c>
      <c r="E89" s="295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89"/>
      <c r="R89" s="289"/>
      <c r="S89" s="289"/>
      <c r="T89" s="29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0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1"/>
      <c r="P90" s="278" t="s">
        <v>87</v>
      </c>
      <c r="Q90" s="279"/>
      <c r="R90" s="279"/>
      <c r="S90" s="279"/>
      <c r="T90" s="279"/>
      <c r="U90" s="279"/>
      <c r="V90" s="280"/>
      <c r="W90" s="37" t="s">
        <v>68</v>
      </c>
      <c r="X90" s="276">
        <f>IFERROR(SUM(X84:X89),"0")</f>
        <v>140</v>
      </c>
      <c r="Y90" s="276">
        <f>IFERROR(SUM(Y84:Y89),"0")</f>
        <v>140</v>
      </c>
      <c r="Z90" s="276">
        <f>IFERROR(IF(Z84="",0,Z84),"0")+IFERROR(IF(Z85="",0,Z85),"0")+IFERROR(IF(Z86="",0,Z86),"0")+IFERROR(IF(Z87="",0,Z87),"0")+IFERROR(IF(Z88="",0,Z88),"0")+IFERROR(IF(Z89="",0,Z89),"0")</f>
        <v>2.5032000000000001</v>
      </c>
      <c r="AA90" s="277"/>
      <c r="AB90" s="277"/>
      <c r="AC90" s="27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1"/>
      <c r="P91" s="278" t="s">
        <v>87</v>
      </c>
      <c r="Q91" s="279"/>
      <c r="R91" s="279"/>
      <c r="S91" s="279"/>
      <c r="T91" s="279"/>
      <c r="U91" s="279"/>
      <c r="V91" s="280"/>
      <c r="W91" s="37" t="s">
        <v>88</v>
      </c>
      <c r="X91" s="276">
        <f>IFERROR(SUMPRODUCT(X84:X89*H84:H89),"0")</f>
        <v>497.28</v>
      </c>
      <c r="Y91" s="276">
        <f>IFERROR(SUMPRODUCT(Y84:Y89*H84:H89),"0")</f>
        <v>497.28</v>
      </c>
      <c r="Z91" s="37"/>
      <c r="AA91" s="277"/>
      <c r="AB91" s="277"/>
      <c r="AC91" s="277"/>
    </row>
    <row r="92" spans="1:68" ht="16.5" hidden="1" customHeight="1" x14ac:dyDescent="0.25">
      <c r="A92" s="296" t="s">
        <v>171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69"/>
      <c r="AB92" s="269"/>
      <c r="AC92" s="269"/>
    </row>
    <row r="93" spans="1:68" ht="14.25" hidden="1" customHeight="1" x14ac:dyDescent="0.25">
      <c r="A93" s="292" t="s">
        <v>172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94">
        <v>4620207491652</v>
      </c>
      <c r="E94" s="295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89"/>
      <c r="R94" s="289"/>
      <c r="S94" s="289"/>
      <c r="T94" s="29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94">
        <v>4620207491645</v>
      </c>
      <c r="E95" s="295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89"/>
      <c r="R95" s="289"/>
      <c r="S95" s="289"/>
      <c r="T95" s="29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0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301"/>
      <c r="P96" s="278" t="s">
        <v>87</v>
      </c>
      <c r="Q96" s="279"/>
      <c r="R96" s="279"/>
      <c r="S96" s="279"/>
      <c r="T96" s="279"/>
      <c r="U96" s="279"/>
      <c r="V96" s="28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301"/>
      <c r="P97" s="278" t="s">
        <v>87</v>
      </c>
      <c r="Q97" s="279"/>
      <c r="R97" s="279"/>
      <c r="S97" s="279"/>
      <c r="T97" s="279"/>
      <c r="U97" s="279"/>
      <c r="V97" s="28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6" t="s">
        <v>178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69"/>
      <c r="AB98" s="269"/>
      <c r="AC98" s="269"/>
    </row>
    <row r="99" spans="1:68" ht="14.25" hidden="1" customHeight="1" x14ac:dyDescent="0.25">
      <c r="A99" s="292" t="s">
        <v>62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94">
        <v>4620207491157</v>
      </c>
      <c r="E100" s="295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89"/>
      <c r="R100" s="289"/>
      <c r="S100" s="289"/>
      <c r="T100" s="29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94">
        <v>4620207491393</v>
      </c>
      <c r="E101" s="295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89"/>
      <c r="R101" s="289"/>
      <c r="S101" s="289"/>
      <c r="T101" s="29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4301071051</v>
      </c>
      <c r="D102" s="294">
        <v>4607111039262</v>
      </c>
      <c r="E102" s="295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89"/>
      <c r="R102" s="289"/>
      <c r="S102" s="289"/>
      <c r="T102" s="290"/>
      <c r="U102" s="34"/>
      <c r="V102" s="34"/>
      <c r="W102" s="35" t="s">
        <v>68</v>
      </c>
      <c r="X102" s="274">
        <v>0</v>
      </c>
      <c r="Y102" s="275">
        <f t="shared" si="12"/>
        <v>0</v>
      </c>
      <c r="Z102" s="36">
        <f t="shared" si="13"/>
        <v>0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0</v>
      </c>
      <c r="BN102" s="67">
        <f t="shared" si="15"/>
        <v>0</v>
      </c>
      <c r="BO102" s="67">
        <f t="shared" si="16"/>
        <v>0</v>
      </c>
      <c r="BP102" s="67">
        <f t="shared" si="17"/>
        <v>0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94">
        <v>4607111039248</v>
      </c>
      <c r="E103" s="295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89"/>
      <c r="R103" s="289"/>
      <c r="S103" s="289"/>
      <c r="T103" s="29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94">
        <v>4607111037145</v>
      </c>
      <c r="E104" s="295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89"/>
      <c r="R104" s="289"/>
      <c r="S104" s="289"/>
      <c r="T104" s="29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hidden="1" customHeight="1" x14ac:dyDescent="0.25">
      <c r="A105" s="54" t="s">
        <v>192</v>
      </c>
      <c r="B105" s="54" t="s">
        <v>193</v>
      </c>
      <c r="C105" s="31">
        <v>4301071139</v>
      </c>
      <c r="D105" s="294">
        <v>4607111039293</v>
      </c>
      <c r="E105" s="295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89"/>
      <c r="R105" s="289"/>
      <c r="S105" s="289"/>
      <c r="T105" s="290"/>
      <c r="U105" s="34"/>
      <c r="V105" s="34"/>
      <c r="W105" s="35" t="s">
        <v>68</v>
      </c>
      <c r="X105" s="274">
        <v>0</v>
      </c>
      <c r="Y105" s="275">
        <f t="shared" si="12"/>
        <v>0</v>
      </c>
      <c r="Z105" s="36">
        <f t="shared" si="13"/>
        <v>0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94">
        <v>4607111039279</v>
      </c>
      <c r="E106" s="295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5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89"/>
      <c r="R106" s="289"/>
      <c r="S106" s="289"/>
      <c r="T106" s="290"/>
      <c r="U106" s="34"/>
      <c r="V106" s="34"/>
      <c r="W106" s="35" t="s">
        <v>68</v>
      </c>
      <c r="X106" s="274">
        <v>180</v>
      </c>
      <c r="Y106" s="275">
        <f t="shared" si="12"/>
        <v>180</v>
      </c>
      <c r="Z106" s="36">
        <f t="shared" si="13"/>
        <v>2.79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1314</v>
      </c>
      <c r="BN106" s="67">
        <f t="shared" si="15"/>
        <v>1314</v>
      </c>
      <c r="BO106" s="67">
        <f t="shared" si="16"/>
        <v>2.1428571428571428</v>
      </c>
      <c r="BP106" s="67">
        <f t="shared" si="17"/>
        <v>2.1428571428571428</v>
      </c>
    </row>
    <row r="107" spans="1:68" x14ac:dyDescent="0.2">
      <c r="A107" s="300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1"/>
      <c r="P107" s="278" t="s">
        <v>87</v>
      </c>
      <c r="Q107" s="279"/>
      <c r="R107" s="279"/>
      <c r="S107" s="279"/>
      <c r="T107" s="279"/>
      <c r="U107" s="279"/>
      <c r="V107" s="280"/>
      <c r="W107" s="37" t="s">
        <v>68</v>
      </c>
      <c r="X107" s="276">
        <f>IFERROR(SUM(X100:X106),"0")</f>
        <v>180</v>
      </c>
      <c r="Y107" s="276">
        <f>IFERROR(SUM(Y100:Y106),"0")</f>
        <v>180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2.79</v>
      </c>
      <c r="AA107" s="277"/>
      <c r="AB107" s="277"/>
      <c r="AC107" s="277"/>
    </row>
    <row r="108" spans="1:68" x14ac:dyDescent="0.2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301"/>
      <c r="P108" s="278" t="s">
        <v>87</v>
      </c>
      <c r="Q108" s="279"/>
      <c r="R108" s="279"/>
      <c r="S108" s="279"/>
      <c r="T108" s="279"/>
      <c r="U108" s="279"/>
      <c r="V108" s="280"/>
      <c r="W108" s="37" t="s">
        <v>88</v>
      </c>
      <c r="X108" s="276">
        <f>IFERROR(SUMPRODUCT(X100:X106*H100:H106),"0")</f>
        <v>1260</v>
      </c>
      <c r="Y108" s="276">
        <f>IFERROR(SUMPRODUCT(Y100:Y106*H100:H106),"0")</f>
        <v>1260</v>
      </c>
      <c r="Z108" s="37"/>
      <c r="AA108" s="277"/>
      <c r="AB108" s="277"/>
      <c r="AC108" s="277"/>
    </row>
    <row r="109" spans="1:68" ht="14.25" hidden="1" customHeight="1" x14ac:dyDescent="0.25">
      <c r="A109" s="292" t="s">
        <v>144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94">
        <v>4620207490983</v>
      </c>
      <c r="E110" s="295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89"/>
      <c r="R110" s="289"/>
      <c r="S110" s="289"/>
      <c r="T110" s="29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0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301"/>
      <c r="P111" s="278" t="s">
        <v>87</v>
      </c>
      <c r="Q111" s="279"/>
      <c r="R111" s="279"/>
      <c r="S111" s="279"/>
      <c r="T111" s="279"/>
      <c r="U111" s="279"/>
      <c r="V111" s="28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301"/>
      <c r="P112" s="278" t="s">
        <v>87</v>
      </c>
      <c r="Q112" s="279"/>
      <c r="R112" s="279"/>
      <c r="S112" s="279"/>
      <c r="T112" s="279"/>
      <c r="U112" s="279"/>
      <c r="V112" s="28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92" t="s">
        <v>200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94">
        <v>4620207491140</v>
      </c>
      <c r="E114" s="295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89"/>
      <c r="R114" s="289"/>
      <c r="S114" s="289"/>
      <c r="T114" s="29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0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301"/>
      <c r="P115" s="278" t="s">
        <v>87</v>
      </c>
      <c r="Q115" s="279"/>
      <c r="R115" s="279"/>
      <c r="S115" s="279"/>
      <c r="T115" s="279"/>
      <c r="U115" s="279"/>
      <c r="V115" s="28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301"/>
      <c r="P116" s="278" t="s">
        <v>87</v>
      </c>
      <c r="Q116" s="279"/>
      <c r="R116" s="279"/>
      <c r="S116" s="279"/>
      <c r="T116" s="279"/>
      <c r="U116" s="279"/>
      <c r="V116" s="28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6" t="s">
        <v>204</v>
      </c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69"/>
      <c r="AB117" s="269"/>
      <c r="AC117" s="269"/>
    </row>
    <row r="118" spans="1:68" ht="14.25" hidden="1" customHeight="1" x14ac:dyDescent="0.25">
      <c r="A118" s="292" t="s">
        <v>62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94">
        <v>4620207491904</v>
      </c>
      <c r="E119" s="295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89"/>
      <c r="R119" s="289"/>
      <c r="S119" s="289"/>
      <c r="T119" s="29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0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301"/>
      <c r="P120" s="278" t="s">
        <v>87</v>
      </c>
      <c r="Q120" s="279"/>
      <c r="R120" s="279"/>
      <c r="S120" s="279"/>
      <c r="T120" s="279"/>
      <c r="U120" s="279"/>
      <c r="V120" s="28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301"/>
      <c r="P121" s="278" t="s">
        <v>87</v>
      </c>
      <c r="Q121" s="279"/>
      <c r="R121" s="279"/>
      <c r="S121" s="279"/>
      <c r="T121" s="279"/>
      <c r="U121" s="279"/>
      <c r="V121" s="28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92" t="s">
        <v>144</v>
      </c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94">
        <v>4620207491492</v>
      </c>
      <c r="E123" s="295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89"/>
      <c r="R123" s="289"/>
      <c r="S123" s="289"/>
      <c r="T123" s="290"/>
      <c r="U123" s="34"/>
      <c r="V123" s="34"/>
      <c r="W123" s="35" t="s">
        <v>68</v>
      </c>
      <c r="X123" s="274">
        <v>28</v>
      </c>
      <c r="Y123" s="275">
        <f>IFERROR(IF(X123="","",X123),"")</f>
        <v>28</v>
      </c>
      <c r="Z123" s="36">
        <f>IFERROR(IF(X123="","",X123*0.00941),"")</f>
        <v>0.26347999999999999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50.4</v>
      </c>
      <c r="BN123" s="67">
        <f>IFERROR(Y123*I123,"0")</f>
        <v>50.4</v>
      </c>
      <c r="BO123" s="67">
        <f>IFERROR(X123/J123,"0")</f>
        <v>0.2</v>
      </c>
      <c r="BP123" s="67">
        <f>IFERROR(Y123/J123,"0")</f>
        <v>0.2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94">
        <v>4620207491461</v>
      </c>
      <c r="E124" s="295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89"/>
      <c r="R124" s="289"/>
      <c r="S124" s="289"/>
      <c r="T124" s="29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94">
        <v>4620207491485</v>
      </c>
      <c r="E125" s="295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89"/>
      <c r="R125" s="289"/>
      <c r="S125" s="289"/>
      <c r="T125" s="290"/>
      <c r="U125" s="34"/>
      <c r="V125" s="34"/>
      <c r="W125" s="35" t="s">
        <v>68</v>
      </c>
      <c r="X125" s="274">
        <v>28</v>
      </c>
      <c r="Y125" s="275">
        <f>IFERROR(IF(X125="","",X125),"")</f>
        <v>28</v>
      </c>
      <c r="Z125" s="36">
        <f>IFERROR(IF(X125="","",X125*0.00941),"")</f>
        <v>0.26347999999999999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50.4</v>
      </c>
      <c r="BN125" s="67">
        <f>IFERROR(Y125*I125,"0")</f>
        <v>50.4</v>
      </c>
      <c r="BO125" s="67">
        <f>IFERROR(X125/J125,"0")</f>
        <v>0.2</v>
      </c>
      <c r="BP125" s="67">
        <f>IFERROR(Y125/J125,"0")</f>
        <v>0.2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94">
        <v>4620207491799</v>
      </c>
      <c r="E126" s="295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89"/>
      <c r="R126" s="289"/>
      <c r="S126" s="289"/>
      <c r="T126" s="29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0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1"/>
      <c r="P127" s="278" t="s">
        <v>87</v>
      </c>
      <c r="Q127" s="279"/>
      <c r="R127" s="279"/>
      <c r="S127" s="279"/>
      <c r="T127" s="279"/>
      <c r="U127" s="279"/>
      <c r="V127" s="280"/>
      <c r="W127" s="37" t="s">
        <v>68</v>
      </c>
      <c r="X127" s="276">
        <f>IFERROR(SUM(X123:X126),"0")</f>
        <v>98</v>
      </c>
      <c r="Y127" s="276">
        <f>IFERROR(SUM(Y123:Y126),"0")</f>
        <v>98</v>
      </c>
      <c r="Z127" s="276">
        <f>IFERROR(IF(Z123="",0,Z123),"0")+IFERROR(IF(Z124="",0,Z124),"0")+IFERROR(IF(Z125="",0,Z125),"0")+IFERROR(IF(Z126="",0,Z126),"0")</f>
        <v>0.92218</v>
      </c>
      <c r="AA127" s="277"/>
      <c r="AB127" s="277"/>
      <c r="AC127" s="277"/>
    </row>
    <row r="128" spans="1:68" x14ac:dyDescent="0.2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301"/>
      <c r="P128" s="278" t="s">
        <v>87</v>
      </c>
      <c r="Q128" s="279"/>
      <c r="R128" s="279"/>
      <c r="S128" s="279"/>
      <c r="T128" s="279"/>
      <c r="U128" s="279"/>
      <c r="V128" s="280"/>
      <c r="W128" s="37" t="s">
        <v>88</v>
      </c>
      <c r="X128" s="276">
        <f>IFERROR(SUMPRODUCT(X123:X126*H123:H126),"0")</f>
        <v>135.24</v>
      </c>
      <c r="Y128" s="276">
        <f>IFERROR(SUMPRODUCT(Y123:Y126*H123:H126),"0")</f>
        <v>135.24</v>
      </c>
      <c r="Z128" s="37"/>
      <c r="AA128" s="277"/>
      <c r="AB128" s="277"/>
      <c r="AC128" s="277"/>
    </row>
    <row r="129" spans="1:68" ht="14.25" hidden="1" customHeight="1" x14ac:dyDescent="0.25">
      <c r="A129" s="292" t="s">
        <v>217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94">
        <v>4620207491386</v>
      </c>
      <c r="E130" s="295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89"/>
      <c r="R130" s="289"/>
      <c r="S130" s="289"/>
      <c r="T130" s="29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94">
        <v>4620207491362</v>
      </c>
      <c r="E131" s="295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89"/>
      <c r="R131" s="289"/>
      <c r="S131" s="289"/>
      <c r="T131" s="29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94">
        <v>4620207491379</v>
      </c>
      <c r="E132" s="295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89"/>
      <c r="R132" s="289"/>
      <c r="S132" s="289"/>
      <c r="T132" s="29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301"/>
      <c r="P133" s="278" t="s">
        <v>87</v>
      </c>
      <c r="Q133" s="279"/>
      <c r="R133" s="279"/>
      <c r="S133" s="279"/>
      <c r="T133" s="279"/>
      <c r="U133" s="279"/>
      <c r="V133" s="28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1"/>
      <c r="P134" s="278" t="s">
        <v>87</v>
      </c>
      <c r="Q134" s="279"/>
      <c r="R134" s="279"/>
      <c r="S134" s="279"/>
      <c r="T134" s="279"/>
      <c r="U134" s="279"/>
      <c r="V134" s="28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6" t="s">
        <v>225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69"/>
      <c r="AB135" s="269"/>
      <c r="AC135" s="269"/>
    </row>
    <row r="136" spans="1:68" ht="14.25" hidden="1" customHeight="1" x14ac:dyDescent="0.25">
      <c r="A136" s="292" t="s">
        <v>144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0"/>
      <c r="AB136" s="270"/>
      <c r="AC136" s="270"/>
    </row>
    <row r="137" spans="1:68" ht="27" hidden="1" customHeight="1" x14ac:dyDescent="0.25">
      <c r="A137" s="54" t="s">
        <v>226</v>
      </c>
      <c r="B137" s="54" t="s">
        <v>227</v>
      </c>
      <c r="C137" s="31">
        <v>4301135956</v>
      </c>
      <c r="D137" s="294">
        <v>4620207491560</v>
      </c>
      <c r="E137" s="295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89"/>
      <c r="R137" s="289"/>
      <c r="S137" s="289"/>
      <c r="T137" s="290"/>
      <c r="U137" s="34"/>
      <c r="V137" s="34"/>
      <c r="W137" s="35" t="s">
        <v>68</v>
      </c>
      <c r="X137" s="274">
        <v>0</v>
      </c>
      <c r="Y137" s="275">
        <f>IFERROR(IF(X137="","",X137),"")</f>
        <v>0</v>
      </c>
      <c r="Z137" s="36">
        <f>IFERROR(IF(X137="","",X137*0.01788),"")</f>
        <v>0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94">
        <v>4620207491584</v>
      </c>
      <c r="E138" s="295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89"/>
      <c r="R138" s="289"/>
      <c r="S138" s="289"/>
      <c r="T138" s="290"/>
      <c r="U138" s="34"/>
      <c r="V138" s="34"/>
      <c r="W138" s="35" t="s">
        <v>68</v>
      </c>
      <c r="X138" s="274">
        <v>84</v>
      </c>
      <c r="Y138" s="275">
        <f>IFERROR(IF(X138="","",X138),"")</f>
        <v>84</v>
      </c>
      <c r="Z138" s="36">
        <f>IFERROR(IF(X138="","",X138*0.01788),"")</f>
        <v>1.5019199999999999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311.10239999999999</v>
      </c>
      <c r="BN138" s="67">
        <f>IFERROR(Y138*I138,"0")</f>
        <v>311.10239999999999</v>
      </c>
      <c r="BO138" s="67">
        <f>IFERROR(X138/J138,"0")</f>
        <v>1.2</v>
      </c>
      <c r="BP138" s="67">
        <f>IFERROR(Y138/J138,"0")</f>
        <v>1.2</v>
      </c>
    </row>
    <row r="139" spans="1:68" x14ac:dyDescent="0.2">
      <c r="A139" s="300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301"/>
      <c r="P139" s="278" t="s">
        <v>87</v>
      </c>
      <c r="Q139" s="279"/>
      <c r="R139" s="279"/>
      <c r="S139" s="279"/>
      <c r="T139" s="279"/>
      <c r="U139" s="279"/>
      <c r="V139" s="280"/>
      <c r="W139" s="37" t="s">
        <v>68</v>
      </c>
      <c r="X139" s="276">
        <f>IFERROR(SUM(X137:X138),"0")</f>
        <v>84</v>
      </c>
      <c r="Y139" s="276">
        <f>IFERROR(SUM(Y137:Y138),"0")</f>
        <v>84</v>
      </c>
      <c r="Z139" s="276">
        <f>IFERROR(IF(Z137="",0,Z137),"0")+IFERROR(IF(Z138="",0,Z138),"0")</f>
        <v>1.5019199999999999</v>
      </c>
      <c r="AA139" s="277"/>
      <c r="AB139" s="277"/>
      <c r="AC139" s="277"/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1"/>
      <c r="P140" s="278" t="s">
        <v>87</v>
      </c>
      <c r="Q140" s="279"/>
      <c r="R140" s="279"/>
      <c r="S140" s="279"/>
      <c r="T140" s="279"/>
      <c r="U140" s="279"/>
      <c r="V140" s="280"/>
      <c r="W140" s="37" t="s">
        <v>88</v>
      </c>
      <c r="X140" s="276">
        <f>IFERROR(SUMPRODUCT(X137:X138*H137:H138),"0")</f>
        <v>252</v>
      </c>
      <c r="Y140" s="276">
        <f>IFERROR(SUMPRODUCT(Y137:Y138*H137:H138),"0")</f>
        <v>252</v>
      </c>
      <c r="Z140" s="37"/>
      <c r="AA140" s="277"/>
      <c r="AB140" s="277"/>
      <c r="AC140" s="277"/>
    </row>
    <row r="141" spans="1:68" ht="16.5" hidden="1" customHeight="1" x14ac:dyDescent="0.25">
      <c r="A141" s="296" t="s">
        <v>231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69"/>
      <c r="AB141" s="269"/>
      <c r="AC141" s="269"/>
    </row>
    <row r="142" spans="1:68" ht="14.25" hidden="1" customHeight="1" x14ac:dyDescent="0.25">
      <c r="A142" s="292" t="s">
        <v>144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0"/>
      <c r="AB142" s="270"/>
      <c r="AC142" s="270"/>
    </row>
    <row r="143" spans="1:68" ht="27" hidden="1" customHeight="1" x14ac:dyDescent="0.25">
      <c r="A143" s="54" t="s">
        <v>232</v>
      </c>
      <c r="B143" s="54" t="s">
        <v>233</v>
      </c>
      <c r="C143" s="31">
        <v>4301135954</v>
      </c>
      <c r="D143" s="294">
        <v>4620207491768</v>
      </c>
      <c r="E143" s="295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89"/>
      <c r="R143" s="289"/>
      <c r="S143" s="289"/>
      <c r="T143" s="290"/>
      <c r="U143" s="34"/>
      <c r="V143" s="34"/>
      <c r="W143" s="35" t="s">
        <v>68</v>
      </c>
      <c r="X143" s="274">
        <v>0</v>
      </c>
      <c r="Y143" s="275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94">
        <v>4620207491553</v>
      </c>
      <c r="E144" s="295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7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89"/>
      <c r="R144" s="289"/>
      <c r="S144" s="289"/>
      <c r="T144" s="290"/>
      <c r="U144" s="34"/>
      <c r="V144" s="34"/>
      <c r="W144" s="35" t="s">
        <v>68</v>
      </c>
      <c r="X144" s="274">
        <v>28</v>
      </c>
      <c r="Y144" s="275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x14ac:dyDescent="0.2">
      <c r="A145" s="300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301"/>
      <c r="P145" s="278" t="s">
        <v>87</v>
      </c>
      <c r="Q145" s="279"/>
      <c r="R145" s="279"/>
      <c r="S145" s="279"/>
      <c r="T145" s="279"/>
      <c r="U145" s="279"/>
      <c r="V145" s="280"/>
      <c r="W145" s="37" t="s">
        <v>68</v>
      </c>
      <c r="X145" s="276">
        <f>IFERROR(SUM(X143:X144),"0")</f>
        <v>28</v>
      </c>
      <c r="Y145" s="276">
        <f>IFERROR(SUM(Y143:Y144),"0")</f>
        <v>28</v>
      </c>
      <c r="Z145" s="276">
        <f>IFERROR(IF(Z143="",0,Z143),"0")+IFERROR(IF(Z144="",0,Z144),"0")</f>
        <v>0.50063999999999997</v>
      </c>
      <c r="AA145" s="277"/>
      <c r="AB145" s="277"/>
      <c r="AC145" s="277"/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1"/>
      <c r="P146" s="278" t="s">
        <v>87</v>
      </c>
      <c r="Q146" s="279"/>
      <c r="R146" s="279"/>
      <c r="S146" s="279"/>
      <c r="T146" s="279"/>
      <c r="U146" s="279"/>
      <c r="V146" s="280"/>
      <c r="W146" s="37" t="s">
        <v>88</v>
      </c>
      <c r="X146" s="276">
        <f>IFERROR(SUMPRODUCT(X143:X144*H143:H144),"0")</f>
        <v>84</v>
      </c>
      <c r="Y146" s="276">
        <f>IFERROR(SUMPRODUCT(Y143:Y144*H143:H144),"0")</f>
        <v>84</v>
      </c>
      <c r="Z146" s="37"/>
      <c r="AA146" s="277"/>
      <c r="AB146" s="277"/>
      <c r="AC146" s="277"/>
    </row>
    <row r="147" spans="1:68" ht="16.5" hidden="1" customHeight="1" x14ac:dyDescent="0.25">
      <c r="A147" s="296" t="s">
        <v>237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9"/>
      <c r="AB147" s="269"/>
      <c r="AC147" s="269"/>
    </row>
    <row r="148" spans="1:68" ht="14.25" hidden="1" customHeight="1" x14ac:dyDescent="0.25">
      <c r="A148" s="292" t="s">
        <v>144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94">
        <v>4620207491669</v>
      </c>
      <c r="E149" s="295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89"/>
      <c r="R149" s="289"/>
      <c r="S149" s="289"/>
      <c r="T149" s="29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customHeight="1" x14ac:dyDescent="0.25">
      <c r="A150" s="54" t="s">
        <v>241</v>
      </c>
      <c r="B150" s="54" t="s">
        <v>242</v>
      </c>
      <c r="C150" s="31">
        <v>4301135932</v>
      </c>
      <c r="D150" s="294">
        <v>4620207491676</v>
      </c>
      <c r="E150" s="295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89"/>
      <c r="R150" s="289"/>
      <c r="S150" s="289"/>
      <c r="T150" s="290"/>
      <c r="U150" s="34"/>
      <c r="V150" s="34"/>
      <c r="W150" s="35" t="s">
        <v>68</v>
      </c>
      <c r="X150" s="274">
        <v>14</v>
      </c>
      <c r="Y150" s="275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37.520000000000003</v>
      </c>
      <c r="BN150" s="67">
        <f>IFERROR(Y150*I150,"0")</f>
        <v>37.520000000000003</v>
      </c>
      <c r="BO150" s="67">
        <f>IFERROR(X150/J150,"0")</f>
        <v>0.2</v>
      </c>
      <c r="BP150" s="67">
        <f>IFERROR(Y150/J150,"0")</f>
        <v>0.2</v>
      </c>
    </row>
    <row r="151" spans="1:68" x14ac:dyDescent="0.2">
      <c r="A151" s="300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01"/>
      <c r="P151" s="278" t="s">
        <v>87</v>
      </c>
      <c r="Q151" s="279"/>
      <c r="R151" s="279"/>
      <c r="S151" s="279"/>
      <c r="T151" s="279"/>
      <c r="U151" s="279"/>
      <c r="V151" s="280"/>
      <c r="W151" s="37" t="s">
        <v>68</v>
      </c>
      <c r="X151" s="276">
        <f>IFERROR(SUM(X149:X150),"0")</f>
        <v>14</v>
      </c>
      <c r="Y151" s="276">
        <f>IFERROR(SUM(Y149:Y150),"0")</f>
        <v>14</v>
      </c>
      <c r="Z151" s="276">
        <f>IFERROR(IF(Z149="",0,Z149),"0")+IFERROR(IF(Z150="",0,Z150),"0")</f>
        <v>0.25031999999999999</v>
      </c>
      <c r="AA151" s="277"/>
      <c r="AB151" s="277"/>
      <c r="AC151" s="277"/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1"/>
      <c r="P152" s="278" t="s">
        <v>87</v>
      </c>
      <c r="Q152" s="279"/>
      <c r="R152" s="279"/>
      <c r="S152" s="279"/>
      <c r="T152" s="279"/>
      <c r="U152" s="279"/>
      <c r="V152" s="280"/>
      <c r="W152" s="37" t="s">
        <v>88</v>
      </c>
      <c r="X152" s="276">
        <f>IFERROR(SUMPRODUCT(X149:X150*H149:H150),"0")</f>
        <v>33.6</v>
      </c>
      <c r="Y152" s="276">
        <f>IFERROR(SUMPRODUCT(Y149:Y150*H149:H150),"0")</f>
        <v>33.6</v>
      </c>
      <c r="Z152" s="37"/>
      <c r="AA152" s="277"/>
      <c r="AB152" s="277"/>
      <c r="AC152" s="277"/>
    </row>
    <row r="153" spans="1:68" ht="16.5" hidden="1" customHeight="1" x14ac:dyDescent="0.25">
      <c r="A153" s="296" t="s">
        <v>243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9"/>
      <c r="AB153" s="269"/>
      <c r="AC153" s="269"/>
    </row>
    <row r="154" spans="1:68" ht="14.25" hidden="1" customHeight="1" x14ac:dyDescent="0.25">
      <c r="A154" s="292" t="s">
        <v>144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94">
        <v>4620207491614</v>
      </c>
      <c r="E155" s="295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89"/>
      <c r="R155" s="289"/>
      <c r="S155" s="289"/>
      <c r="T155" s="29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0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301"/>
      <c r="P156" s="278" t="s">
        <v>87</v>
      </c>
      <c r="Q156" s="279"/>
      <c r="R156" s="279"/>
      <c r="S156" s="279"/>
      <c r="T156" s="279"/>
      <c r="U156" s="279"/>
      <c r="V156" s="28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301"/>
      <c r="P157" s="278" t="s">
        <v>87</v>
      </c>
      <c r="Q157" s="279"/>
      <c r="R157" s="279"/>
      <c r="S157" s="279"/>
      <c r="T157" s="279"/>
      <c r="U157" s="279"/>
      <c r="V157" s="28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6" t="s">
        <v>246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9"/>
      <c r="AB158" s="269"/>
      <c r="AC158" s="269"/>
    </row>
    <row r="159" spans="1:68" ht="14.25" hidden="1" customHeight="1" x14ac:dyDescent="0.25">
      <c r="A159" s="292" t="s">
        <v>144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94">
        <v>4607111039613</v>
      </c>
      <c r="E160" s="295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89"/>
      <c r="R160" s="289"/>
      <c r="S160" s="289"/>
      <c r="T160" s="29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0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01"/>
      <c r="P161" s="278" t="s">
        <v>87</v>
      </c>
      <c r="Q161" s="279"/>
      <c r="R161" s="279"/>
      <c r="S161" s="279"/>
      <c r="T161" s="279"/>
      <c r="U161" s="279"/>
      <c r="V161" s="28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01"/>
      <c r="P162" s="278" t="s">
        <v>87</v>
      </c>
      <c r="Q162" s="279"/>
      <c r="R162" s="279"/>
      <c r="S162" s="279"/>
      <c r="T162" s="279"/>
      <c r="U162" s="279"/>
      <c r="V162" s="28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6" t="s">
        <v>250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69"/>
      <c r="AB163" s="269"/>
      <c r="AC163" s="269"/>
    </row>
    <row r="164" spans="1:68" ht="14.25" hidden="1" customHeight="1" x14ac:dyDescent="0.25">
      <c r="A164" s="292" t="s">
        <v>144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94">
        <v>4620207491751</v>
      </c>
      <c r="E165" s="295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1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89"/>
      <c r="R165" s="289"/>
      <c r="S165" s="289"/>
      <c r="T165" s="29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0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301"/>
      <c r="P166" s="278" t="s">
        <v>87</v>
      </c>
      <c r="Q166" s="279"/>
      <c r="R166" s="279"/>
      <c r="S166" s="279"/>
      <c r="T166" s="279"/>
      <c r="U166" s="279"/>
      <c r="V166" s="28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301"/>
      <c r="P167" s="278" t="s">
        <v>87</v>
      </c>
      <c r="Q167" s="279"/>
      <c r="R167" s="279"/>
      <c r="S167" s="279"/>
      <c r="T167" s="279"/>
      <c r="U167" s="279"/>
      <c r="V167" s="28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49" t="s">
        <v>253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48"/>
      <c r="AB168" s="48"/>
      <c r="AC168" s="48"/>
    </row>
    <row r="169" spans="1:68" ht="16.5" hidden="1" customHeight="1" x14ac:dyDescent="0.25">
      <c r="A169" s="296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69"/>
      <c r="AB169" s="269"/>
      <c r="AC169" s="269"/>
    </row>
    <row r="170" spans="1:68" ht="14.25" hidden="1" customHeight="1" x14ac:dyDescent="0.25">
      <c r="A170" s="292" t="s">
        <v>102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0"/>
      <c r="AB170" s="270"/>
      <c r="AC170" s="270"/>
    </row>
    <row r="171" spans="1:68" ht="27" customHeight="1" x14ac:dyDescent="0.25">
      <c r="A171" s="54" t="s">
        <v>255</v>
      </c>
      <c r="B171" s="54" t="s">
        <v>256</v>
      </c>
      <c r="C171" s="31">
        <v>4301132226</v>
      </c>
      <c r="D171" s="294">
        <v>4620207490631</v>
      </c>
      <c r="E171" s="295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89"/>
      <c r="R171" s="289"/>
      <c r="S171" s="289"/>
      <c r="T171" s="290"/>
      <c r="U171" s="34"/>
      <c r="V171" s="34"/>
      <c r="W171" s="35" t="s">
        <v>68</v>
      </c>
      <c r="X171" s="274">
        <v>132</v>
      </c>
      <c r="Y171" s="275">
        <f>IFERROR(IF(X171="","",X171),"")</f>
        <v>132</v>
      </c>
      <c r="Z171" s="36">
        <f>IFERROR(IF(X171="","",X171*0.0155),"")</f>
        <v>2.0459999999999998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823.0200000000001</v>
      </c>
      <c r="BN171" s="67">
        <f>IFERROR(Y171*I171,"0")</f>
        <v>823.0200000000001</v>
      </c>
      <c r="BO171" s="67">
        <f>IFERROR(X171/J171,"0")</f>
        <v>1.5714285714285714</v>
      </c>
      <c r="BP171" s="67">
        <f>IFERROR(Y171/J171,"0")</f>
        <v>1.5714285714285714</v>
      </c>
    </row>
    <row r="172" spans="1:68" x14ac:dyDescent="0.2">
      <c r="A172" s="300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301"/>
      <c r="P172" s="278" t="s">
        <v>87</v>
      </c>
      <c r="Q172" s="279"/>
      <c r="R172" s="279"/>
      <c r="S172" s="279"/>
      <c r="T172" s="279"/>
      <c r="U172" s="279"/>
      <c r="V172" s="280"/>
      <c r="W172" s="37" t="s">
        <v>68</v>
      </c>
      <c r="X172" s="276">
        <f>IFERROR(SUM(X171:X171),"0")</f>
        <v>132</v>
      </c>
      <c r="Y172" s="276">
        <f>IFERROR(SUM(Y171:Y171),"0")</f>
        <v>132</v>
      </c>
      <c r="Z172" s="276">
        <f>IFERROR(IF(Z171="",0,Z171),"0")</f>
        <v>2.0459999999999998</v>
      </c>
      <c r="AA172" s="277"/>
      <c r="AB172" s="277"/>
      <c r="AC172" s="277"/>
    </row>
    <row r="173" spans="1:68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1"/>
      <c r="P173" s="278" t="s">
        <v>87</v>
      </c>
      <c r="Q173" s="279"/>
      <c r="R173" s="279"/>
      <c r="S173" s="279"/>
      <c r="T173" s="279"/>
      <c r="U173" s="279"/>
      <c r="V173" s="280"/>
      <c r="W173" s="37" t="s">
        <v>88</v>
      </c>
      <c r="X173" s="276">
        <f>IFERROR(SUMPRODUCT(X171:X171*H171:H171),"0")</f>
        <v>792</v>
      </c>
      <c r="Y173" s="276">
        <f>IFERROR(SUMPRODUCT(Y171:Y171*H171:H171),"0")</f>
        <v>792</v>
      </c>
      <c r="Z173" s="37"/>
      <c r="AA173" s="277"/>
      <c r="AB173" s="277"/>
      <c r="AC173" s="277"/>
    </row>
    <row r="174" spans="1:68" ht="14.25" hidden="1" customHeight="1" x14ac:dyDescent="0.25">
      <c r="A174" s="292" t="s">
        <v>144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94">
        <v>4620207492062</v>
      </c>
      <c r="E175" s="295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2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89"/>
      <c r="R175" s="289"/>
      <c r="S175" s="289"/>
      <c r="T175" s="29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94">
        <v>4607111039132</v>
      </c>
      <c r="E176" s="295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13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89"/>
      <c r="R176" s="289"/>
      <c r="S176" s="289"/>
      <c r="T176" s="29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0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301"/>
      <c r="P177" s="278" t="s">
        <v>87</v>
      </c>
      <c r="Q177" s="279"/>
      <c r="R177" s="279"/>
      <c r="S177" s="279"/>
      <c r="T177" s="279"/>
      <c r="U177" s="279"/>
      <c r="V177" s="28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301"/>
      <c r="P178" s="278" t="s">
        <v>87</v>
      </c>
      <c r="Q178" s="279"/>
      <c r="R178" s="279"/>
      <c r="S178" s="279"/>
      <c r="T178" s="279"/>
      <c r="U178" s="279"/>
      <c r="V178" s="28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6" t="s">
        <v>264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9"/>
      <c r="AB179" s="269"/>
      <c r="AC179" s="269"/>
    </row>
    <row r="180" spans="1:68" ht="14.25" hidden="1" customHeight="1" x14ac:dyDescent="0.25">
      <c r="A180" s="292" t="s">
        <v>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94">
        <v>4607111036384</v>
      </c>
      <c r="E181" s="295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9"/>
      <c r="R181" s="289"/>
      <c r="S181" s="289"/>
      <c r="T181" s="29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94">
        <v>4607111036216</v>
      </c>
      <c r="E182" s="295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9"/>
      <c r="R182" s="289"/>
      <c r="S182" s="289"/>
      <c r="T182" s="29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301"/>
      <c r="P183" s="278" t="s">
        <v>87</v>
      </c>
      <c r="Q183" s="279"/>
      <c r="R183" s="279"/>
      <c r="S183" s="279"/>
      <c r="T183" s="279"/>
      <c r="U183" s="279"/>
      <c r="V183" s="28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301"/>
      <c r="P184" s="278" t="s">
        <v>87</v>
      </c>
      <c r="Q184" s="279"/>
      <c r="R184" s="279"/>
      <c r="S184" s="279"/>
      <c r="T184" s="279"/>
      <c r="U184" s="279"/>
      <c r="V184" s="28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6" t="s">
        <v>271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9"/>
      <c r="AB185" s="269"/>
      <c r="AC185" s="269"/>
    </row>
    <row r="186" spans="1:68" ht="14.25" hidden="1" customHeight="1" x14ac:dyDescent="0.25">
      <c r="A186" s="292" t="s">
        <v>62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0"/>
      <c r="AB186" s="270"/>
      <c r="AC186" s="270"/>
    </row>
    <row r="187" spans="1:68" ht="27" customHeight="1" x14ac:dyDescent="0.25">
      <c r="A187" s="54" t="s">
        <v>272</v>
      </c>
      <c r="B187" s="54" t="s">
        <v>273</v>
      </c>
      <c r="C187" s="31">
        <v>4301071117</v>
      </c>
      <c r="D187" s="294">
        <v>4620207491737</v>
      </c>
      <c r="E187" s="295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89"/>
      <c r="R187" s="289"/>
      <c r="S187" s="289"/>
      <c r="T187" s="290"/>
      <c r="U187" s="34"/>
      <c r="V187" s="34"/>
      <c r="W187" s="35" t="s">
        <v>68</v>
      </c>
      <c r="X187" s="274">
        <v>216</v>
      </c>
      <c r="Y187" s="275">
        <f>IFERROR(IF(X187="","",X187),"")</f>
        <v>216</v>
      </c>
      <c r="Z187" s="36">
        <f>IFERROR(IF(X187="","",X187*0.0155),"")</f>
        <v>3.3479999999999999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1136.5919999999999</v>
      </c>
      <c r="BN187" s="67">
        <f>IFERROR(Y187*I187,"0")</f>
        <v>1136.5919999999999</v>
      </c>
      <c r="BO187" s="67">
        <f>IFERROR(X187/J187,"0")</f>
        <v>2.5714285714285716</v>
      </c>
      <c r="BP187" s="67">
        <f>IFERROR(Y187/J187,"0")</f>
        <v>2.5714285714285716</v>
      </c>
    </row>
    <row r="188" spans="1:68" x14ac:dyDescent="0.2">
      <c r="A188" s="300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301"/>
      <c r="P188" s="278" t="s">
        <v>87</v>
      </c>
      <c r="Q188" s="279"/>
      <c r="R188" s="279"/>
      <c r="S188" s="279"/>
      <c r="T188" s="279"/>
      <c r="U188" s="279"/>
      <c r="V188" s="280"/>
      <c r="W188" s="37" t="s">
        <v>68</v>
      </c>
      <c r="X188" s="276">
        <f>IFERROR(SUM(X187:X187),"0")</f>
        <v>216</v>
      </c>
      <c r="Y188" s="276">
        <f>IFERROR(SUM(Y187:Y187),"0")</f>
        <v>216</v>
      </c>
      <c r="Z188" s="276">
        <f>IFERROR(IF(Z187="",0,Z187),"0")</f>
        <v>3.3479999999999999</v>
      </c>
      <c r="AA188" s="277"/>
      <c r="AB188" s="277"/>
      <c r="AC188" s="277"/>
    </row>
    <row r="189" spans="1:68" x14ac:dyDescent="0.2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301"/>
      <c r="P189" s="278" t="s">
        <v>87</v>
      </c>
      <c r="Q189" s="279"/>
      <c r="R189" s="279"/>
      <c r="S189" s="279"/>
      <c r="T189" s="279"/>
      <c r="U189" s="279"/>
      <c r="V189" s="280"/>
      <c r="W189" s="37" t="s">
        <v>88</v>
      </c>
      <c r="X189" s="276">
        <f>IFERROR(SUMPRODUCT(X187:X187*H187:H187),"0")</f>
        <v>1080</v>
      </c>
      <c r="Y189" s="276">
        <f>IFERROR(SUMPRODUCT(Y187:Y187*H187:H187),"0")</f>
        <v>1080</v>
      </c>
      <c r="Z189" s="37"/>
      <c r="AA189" s="277"/>
      <c r="AB189" s="277"/>
      <c r="AC189" s="277"/>
    </row>
    <row r="190" spans="1:68" ht="27.75" hidden="1" customHeight="1" x14ac:dyDescent="0.2">
      <c r="A190" s="349" t="s">
        <v>274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48"/>
      <c r="AB190" s="48"/>
      <c r="AC190" s="48"/>
    </row>
    <row r="191" spans="1:68" ht="16.5" hidden="1" customHeight="1" x14ac:dyDescent="0.25">
      <c r="A191" s="296" t="s">
        <v>275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9"/>
      <c r="AB191" s="269"/>
      <c r="AC191" s="269"/>
    </row>
    <row r="192" spans="1:68" ht="14.25" hidden="1" customHeight="1" x14ac:dyDescent="0.25">
      <c r="A192" s="292" t="s">
        <v>102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0"/>
      <c r="AB192" s="270"/>
      <c r="AC192" s="270"/>
    </row>
    <row r="193" spans="1:68" ht="16.5" customHeight="1" x14ac:dyDescent="0.25">
      <c r="A193" s="54" t="s">
        <v>276</v>
      </c>
      <c r="B193" s="54" t="s">
        <v>277</v>
      </c>
      <c r="C193" s="31">
        <v>4301132179</v>
      </c>
      <c r="D193" s="294">
        <v>4607111035691</v>
      </c>
      <c r="E193" s="295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89"/>
      <c r="R193" s="289"/>
      <c r="S193" s="289"/>
      <c r="T193" s="290"/>
      <c r="U193" s="34"/>
      <c r="V193" s="34"/>
      <c r="W193" s="35" t="s">
        <v>68</v>
      </c>
      <c r="X193" s="274">
        <v>98</v>
      </c>
      <c r="Y193" s="275">
        <f>IFERROR(IF(X193="","",X193),"")</f>
        <v>98</v>
      </c>
      <c r="Z193" s="36">
        <f>IFERROR(IF(X193="","",X193*0.01788),"")</f>
        <v>1.75224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332.024</v>
      </c>
      <c r="BN193" s="67">
        <f>IFERROR(Y193*I193,"0")</f>
        <v>332.024</v>
      </c>
      <c r="BO193" s="67">
        <f>IFERROR(X193/J193,"0")</f>
        <v>1.4</v>
      </c>
      <c r="BP193" s="67">
        <f>IFERROR(Y193/J193,"0")</f>
        <v>1.4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94">
        <v>4607111035721</v>
      </c>
      <c r="E194" s="295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89"/>
      <c r="R194" s="289"/>
      <c r="S194" s="289"/>
      <c r="T194" s="290"/>
      <c r="U194" s="34"/>
      <c r="V194" s="34"/>
      <c r="W194" s="35" t="s">
        <v>68</v>
      </c>
      <c r="X194" s="274">
        <v>98</v>
      </c>
      <c r="Y194" s="275">
        <f>IFERROR(IF(X194="","",X194),"")</f>
        <v>98</v>
      </c>
      <c r="Z194" s="36">
        <f>IFERROR(IF(X194="","",X194*0.01788),"")</f>
        <v>1.75224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332.024</v>
      </c>
      <c r="BN194" s="67">
        <f>IFERROR(Y194*I194,"0")</f>
        <v>332.024</v>
      </c>
      <c r="BO194" s="67">
        <f>IFERROR(X194/J194,"0")</f>
        <v>1.4</v>
      </c>
      <c r="BP194" s="67">
        <f>IFERROR(Y194/J194,"0")</f>
        <v>1.4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94">
        <v>4607111038487</v>
      </c>
      <c r="E195" s="295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7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89"/>
      <c r="R195" s="289"/>
      <c r="S195" s="289"/>
      <c r="T195" s="29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94">
        <v>4620207491195</v>
      </c>
      <c r="E196" s="295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6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89"/>
      <c r="R196" s="289"/>
      <c r="S196" s="289"/>
      <c r="T196" s="29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0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301"/>
      <c r="P197" s="278" t="s">
        <v>87</v>
      </c>
      <c r="Q197" s="279"/>
      <c r="R197" s="279"/>
      <c r="S197" s="279"/>
      <c r="T197" s="279"/>
      <c r="U197" s="279"/>
      <c r="V197" s="280"/>
      <c r="W197" s="37" t="s">
        <v>68</v>
      </c>
      <c r="X197" s="276">
        <f>IFERROR(SUM(X193:X196),"0")</f>
        <v>196</v>
      </c>
      <c r="Y197" s="276">
        <f>IFERROR(SUM(Y193:Y196),"0")</f>
        <v>196</v>
      </c>
      <c r="Z197" s="276">
        <f>IFERROR(IF(Z193="",0,Z193),"0")+IFERROR(IF(Z194="",0,Z194),"0")+IFERROR(IF(Z195="",0,Z195),"0")+IFERROR(IF(Z196="",0,Z196),"0")</f>
        <v>3.50448</v>
      </c>
      <c r="AA197" s="277"/>
      <c r="AB197" s="277"/>
      <c r="AC197" s="277"/>
    </row>
    <row r="198" spans="1:68" x14ac:dyDescent="0.2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301"/>
      <c r="P198" s="278" t="s">
        <v>87</v>
      </c>
      <c r="Q198" s="279"/>
      <c r="R198" s="279"/>
      <c r="S198" s="279"/>
      <c r="T198" s="279"/>
      <c r="U198" s="279"/>
      <c r="V198" s="280"/>
      <c r="W198" s="37" t="s">
        <v>88</v>
      </c>
      <c r="X198" s="276">
        <f>IFERROR(SUMPRODUCT(X193:X196*H193:H196),"0")</f>
        <v>588</v>
      </c>
      <c r="Y198" s="276">
        <f>IFERROR(SUMPRODUCT(Y193:Y196*H193:H196),"0")</f>
        <v>588</v>
      </c>
      <c r="Z198" s="37"/>
      <c r="AA198" s="277"/>
      <c r="AB198" s="277"/>
      <c r="AC198" s="277"/>
    </row>
    <row r="199" spans="1:68" ht="27.75" hidden="1" customHeight="1" x14ac:dyDescent="0.2">
      <c r="A199" s="349" t="s">
        <v>288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48"/>
      <c r="AB199" s="48"/>
      <c r="AC199" s="48"/>
    </row>
    <row r="200" spans="1:68" ht="16.5" hidden="1" customHeight="1" x14ac:dyDescent="0.25">
      <c r="A200" s="296" t="s">
        <v>289</v>
      </c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69"/>
      <c r="AB200" s="269"/>
      <c r="AC200" s="269"/>
    </row>
    <row r="201" spans="1:68" ht="14.25" hidden="1" customHeight="1" x14ac:dyDescent="0.25">
      <c r="A201" s="292" t="s">
        <v>102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94">
        <v>4620207491133</v>
      </c>
      <c r="E202" s="295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89"/>
      <c r="R202" s="289"/>
      <c r="S202" s="289"/>
      <c r="T202" s="29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0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301"/>
      <c r="P203" s="278" t="s">
        <v>87</v>
      </c>
      <c r="Q203" s="279"/>
      <c r="R203" s="279"/>
      <c r="S203" s="279"/>
      <c r="T203" s="279"/>
      <c r="U203" s="279"/>
      <c r="V203" s="28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301"/>
      <c r="P204" s="278" t="s">
        <v>87</v>
      </c>
      <c r="Q204" s="279"/>
      <c r="R204" s="279"/>
      <c r="S204" s="279"/>
      <c r="T204" s="279"/>
      <c r="U204" s="279"/>
      <c r="V204" s="28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92" t="s">
        <v>144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94">
        <v>4620207491188</v>
      </c>
      <c r="E206" s="295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89"/>
      <c r="R206" s="289"/>
      <c r="S206" s="289"/>
      <c r="T206" s="29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94">
        <v>4620207490259</v>
      </c>
      <c r="E207" s="295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89"/>
      <c r="R207" s="289"/>
      <c r="S207" s="289"/>
      <c r="T207" s="29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0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301"/>
      <c r="P208" s="278" t="s">
        <v>87</v>
      </c>
      <c r="Q208" s="279"/>
      <c r="R208" s="279"/>
      <c r="S208" s="279"/>
      <c r="T208" s="279"/>
      <c r="U208" s="279"/>
      <c r="V208" s="28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301"/>
      <c r="P209" s="278" t="s">
        <v>87</v>
      </c>
      <c r="Q209" s="279"/>
      <c r="R209" s="279"/>
      <c r="S209" s="279"/>
      <c r="T209" s="279"/>
      <c r="U209" s="279"/>
      <c r="V209" s="28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6" t="s">
        <v>299</v>
      </c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69"/>
      <c r="AB210" s="269"/>
      <c r="AC210" s="269"/>
    </row>
    <row r="211" spans="1:68" ht="14.25" hidden="1" customHeight="1" x14ac:dyDescent="0.25">
      <c r="A211" s="292" t="s">
        <v>144</v>
      </c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94">
        <v>4620207491706</v>
      </c>
      <c r="E212" s="295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0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94">
        <v>4620207491522</v>
      </c>
      <c r="E213" s="295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89"/>
      <c r="R213" s="289"/>
      <c r="S213" s="289"/>
      <c r="T213" s="29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0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301"/>
      <c r="P214" s="278" t="s">
        <v>87</v>
      </c>
      <c r="Q214" s="279"/>
      <c r="R214" s="279"/>
      <c r="S214" s="279"/>
      <c r="T214" s="279"/>
      <c r="U214" s="279"/>
      <c r="V214" s="28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301"/>
      <c r="P215" s="278" t="s">
        <v>87</v>
      </c>
      <c r="Q215" s="279"/>
      <c r="R215" s="279"/>
      <c r="S215" s="279"/>
      <c r="T215" s="279"/>
      <c r="U215" s="279"/>
      <c r="V215" s="28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6" t="s">
        <v>306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69"/>
      <c r="AB216" s="269"/>
      <c r="AC216" s="269"/>
    </row>
    <row r="217" spans="1:68" ht="14.25" hidden="1" customHeight="1" x14ac:dyDescent="0.25">
      <c r="A217" s="292" t="s">
        <v>62</v>
      </c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94">
        <v>4620207491096</v>
      </c>
      <c r="E218" s="295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89"/>
      <c r="R218" s="289"/>
      <c r="S218" s="289"/>
      <c r="T218" s="29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0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301"/>
      <c r="P219" s="278" t="s">
        <v>87</v>
      </c>
      <c r="Q219" s="279"/>
      <c r="R219" s="279"/>
      <c r="S219" s="279"/>
      <c r="T219" s="279"/>
      <c r="U219" s="279"/>
      <c r="V219" s="28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301"/>
      <c r="P220" s="278" t="s">
        <v>87</v>
      </c>
      <c r="Q220" s="279"/>
      <c r="R220" s="279"/>
      <c r="S220" s="279"/>
      <c r="T220" s="279"/>
      <c r="U220" s="279"/>
      <c r="V220" s="28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49" t="s">
        <v>310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48"/>
      <c r="AB221" s="48"/>
      <c r="AC221" s="48"/>
    </row>
    <row r="222" spans="1:68" ht="16.5" hidden="1" customHeight="1" x14ac:dyDescent="0.25">
      <c r="A222" s="296" t="s">
        <v>311</v>
      </c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69"/>
      <c r="AB222" s="269"/>
      <c r="AC222" s="269"/>
    </row>
    <row r="223" spans="1:68" ht="14.25" hidden="1" customHeight="1" x14ac:dyDescent="0.25">
      <c r="A223" s="292" t="s">
        <v>62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94">
        <v>4607111036162</v>
      </c>
      <c r="E224" s="295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9"/>
      <c r="R224" s="289"/>
      <c r="S224" s="289"/>
      <c r="T224" s="29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0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301"/>
      <c r="P225" s="278" t="s">
        <v>87</v>
      </c>
      <c r="Q225" s="279"/>
      <c r="R225" s="279"/>
      <c r="S225" s="279"/>
      <c r="T225" s="279"/>
      <c r="U225" s="279"/>
      <c r="V225" s="28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301"/>
      <c r="P226" s="278" t="s">
        <v>87</v>
      </c>
      <c r="Q226" s="279"/>
      <c r="R226" s="279"/>
      <c r="S226" s="279"/>
      <c r="T226" s="279"/>
      <c r="U226" s="279"/>
      <c r="V226" s="28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49" t="s">
        <v>315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48"/>
      <c r="AB227" s="48"/>
      <c r="AC227" s="48"/>
    </row>
    <row r="228" spans="1:68" ht="16.5" hidden="1" customHeight="1" x14ac:dyDescent="0.25">
      <c r="A228" s="296" t="s">
        <v>316</v>
      </c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69"/>
      <c r="AB228" s="269"/>
      <c r="AC228" s="269"/>
    </row>
    <row r="229" spans="1:68" ht="14.25" hidden="1" customHeight="1" x14ac:dyDescent="0.25">
      <c r="A229" s="292" t="s">
        <v>317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94">
        <v>4607111039774</v>
      </c>
      <c r="E230" s="295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0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301"/>
      <c r="P231" s="278" t="s">
        <v>87</v>
      </c>
      <c r="Q231" s="279"/>
      <c r="R231" s="279"/>
      <c r="S231" s="279"/>
      <c r="T231" s="279"/>
      <c r="U231" s="279"/>
      <c r="V231" s="28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301"/>
      <c r="P232" s="278" t="s">
        <v>87</v>
      </c>
      <c r="Q232" s="279"/>
      <c r="R232" s="279"/>
      <c r="S232" s="279"/>
      <c r="T232" s="279"/>
      <c r="U232" s="279"/>
      <c r="V232" s="28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92" t="s">
        <v>144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94">
        <v>4607111039361</v>
      </c>
      <c r="E234" s="295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29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0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1"/>
      <c r="P235" s="278" t="s">
        <v>87</v>
      </c>
      <c r="Q235" s="279"/>
      <c r="R235" s="279"/>
      <c r="S235" s="279"/>
      <c r="T235" s="279"/>
      <c r="U235" s="279"/>
      <c r="V235" s="28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301"/>
      <c r="P236" s="278" t="s">
        <v>87</v>
      </c>
      <c r="Q236" s="279"/>
      <c r="R236" s="279"/>
      <c r="S236" s="279"/>
      <c r="T236" s="279"/>
      <c r="U236" s="279"/>
      <c r="V236" s="28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49" t="s">
        <v>323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48"/>
      <c r="AB237" s="48"/>
      <c r="AC237" s="48"/>
    </row>
    <row r="238" spans="1:68" ht="16.5" hidden="1" customHeight="1" x14ac:dyDescent="0.25">
      <c r="A238" s="296" t="s">
        <v>323</v>
      </c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69"/>
      <c r="AB238" s="269"/>
      <c r="AC238" s="269"/>
    </row>
    <row r="239" spans="1:68" ht="14.25" hidden="1" customHeight="1" x14ac:dyDescent="0.25">
      <c r="A239" s="292" t="s">
        <v>102</v>
      </c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94">
        <v>4640242181950</v>
      </c>
      <c r="E240" s="295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89"/>
      <c r="R240" s="289"/>
      <c r="S240" s="289"/>
      <c r="T240" s="29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0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301"/>
      <c r="P241" s="278" t="s">
        <v>87</v>
      </c>
      <c r="Q241" s="279"/>
      <c r="R241" s="279"/>
      <c r="S241" s="279"/>
      <c r="T241" s="279"/>
      <c r="U241" s="279"/>
      <c r="V241" s="28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301"/>
      <c r="P242" s="278" t="s">
        <v>87</v>
      </c>
      <c r="Q242" s="279"/>
      <c r="R242" s="279"/>
      <c r="S242" s="279"/>
      <c r="T242" s="279"/>
      <c r="U242" s="279"/>
      <c r="V242" s="28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92" t="s">
        <v>172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94">
        <v>4640242181943</v>
      </c>
      <c r="E244" s="295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30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89"/>
      <c r="R244" s="289"/>
      <c r="S244" s="289"/>
      <c r="T244" s="29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0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1"/>
      <c r="P245" s="278" t="s">
        <v>87</v>
      </c>
      <c r="Q245" s="279"/>
      <c r="R245" s="279"/>
      <c r="S245" s="279"/>
      <c r="T245" s="279"/>
      <c r="U245" s="279"/>
      <c r="V245" s="28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301"/>
      <c r="P246" s="278" t="s">
        <v>87</v>
      </c>
      <c r="Q246" s="279"/>
      <c r="R246" s="279"/>
      <c r="S246" s="279"/>
      <c r="T246" s="279"/>
      <c r="U246" s="279"/>
      <c r="V246" s="28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49" t="s">
        <v>254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48"/>
      <c r="AB247" s="48"/>
      <c r="AC247" s="48"/>
    </row>
    <row r="248" spans="1:68" ht="16.5" hidden="1" customHeight="1" x14ac:dyDescent="0.25">
      <c r="A248" s="296" t="s">
        <v>254</v>
      </c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69"/>
      <c r="AB248" s="269"/>
      <c r="AC248" s="269"/>
    </row>
    <row r="249" spans="1:68" ht="14.25" hidden="1" customHeight="1" x14ac:dyDescent="0.25">
      <c r="A249" s="292" t="s">
        <v>62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94">
        <v>4640242181264</v>
      </c>
      <c r="E250" s="295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89"/>
      <c r="R250" s="289"/>
      <c r="S250" s="289"/>
      <c r="T250" s="29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333</v>
      </c>
      <c r="B251" s="54" t="s">
        <v>334</v>
      </c>
      <c r="C251" s="31">
        <v>4301071141</v>
      </c>
      <c r="D251" s="294">
        <v>4620207491980</v>
      </c>
      <c r="E251" s="295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89"/>
      <c r="R251" s="289"/>
      <c r="S251" s="289"/>
      <c r="T251" s="290"/>
      <c r="U251" s="34"/>
      <c r="V251" s="34"/>
      <c r="W251" s="35" t="s">
        <v>68</v>
      </c>
      <c r="X251" s="274">
        <v>36</v>
      </c>
      <c r="Y251" s="275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262.08</v>
      </c>
      <c r="BN251" s="67">
        <f>IFERROR(Y251*I251,"0")</f>
        <v>262.08</v>
      </c>
      <c r="BO251" s="67">
        <f>IFERROR(X251/J251,"0")</f>
        <v>0.42857142857142855</v>
      </c>
      <c r="BP251" s="67">
        <f>IFERROR(Y251/J251,"0")</f>
        <v>0.42857142857142855</v>
      </c>
    </row>
    <row r="252" spans="1:68" x14ac:dyDescent="0.2">
      <c r="A252" s="300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301"/>
      <c r="P252" s="278" t="s">
        <v>87</v>
      </c>
      <c r="Q252" s="279"/>
      <c r="R252" s="279"/>
      <c r="S252" s="279"/>
      <c r="T252" s="279"/>
      <c r="U252" s="279"/>
      <c r="V252" s="280"/>
      <c r="W252" s="37" t="s">
        <v>68</v>
      </c>
      <c r="X252" s="276">
        <f>IFERROR(SUM(X250:X251),"0")</f>
        <v>36</v>
      </c>
      <c r="Y252" s="276">
        <f>IFERROR(SUM(Y250:Y251),"0")</f>
        <v>36</v>
      </c>
      <c r="Z252" s="276">
        <f>IFERROR(IF(Z250="",0,Z250),"0")+IFERROR(IF(Z251="",0,Z251),"0")</f>
        <v>0.55800000000000005</v>
      </c>
      <c r="AA252" s="277"/>
      <c r="AB252" s="277"/>
      <c r="AC252" s="277"/>
    </row>
    <row r="253" spans="1:68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301"/>
      <c r="P253" s="278" t="s">
        <v>87</v>
      </c>
      <c r="Q253" s="279"/>
      <c r="R253" s="279"/>
      <c r="S253" s="279"/>
      <c r="T253" s="279"/>
      <c r="U253" s="279"/>
      <c r="V253" s="280"/>
      <c r="W253" s="37" t="s">
        <v>88</v>
      </c>
      <c r="X253" s="276">
        <f>IFERROR(SUMPRODUCT(X250:X251*H250:H251),"0")</f>
        <v>252</v>
      </c>
      <c r="Y253" s="276">
        <f>IFERROR(SUMPRODUCT(Y250:Y251*H250:H251),"0")</f>
        <v>252</v>
      </c>
      <c r="Z253" s="37"/>
      <c r="AA253" s="277"/>
      <c r="AB253" s="277"/>
      <c r="AC253" s="277"/>
    </row>
    <row r="254" spans="1:68" ht="14.25" hidden="1" customHeight="1" x14ac:dyDescent="0.25">
      <c r="A254" s="292" t="s">
        <v>172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70"/>
      <c r="AB254" s="270"/>
      <c r="AC254" s="270"/>
    </row>
    <row r="255" spans="1:68" ht="27" customHeight="1" x14ac:dyDescent="0.25">
      <c r="A255" s="54" t="s">
        <v>336</v>
      </c>
      <c r="B255" s="54" t="s">
        <v>337</v>
      </c>
      <c r="C255" s="31">
        <v>4301136116</v>
      </c>
      <c r="D255" s="294">
        <v>4620207492147</v>
      </c>
      <c r="E255" s="295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38" t="s">
        <v>338</v>
      </c>
      <c r="Q255" s="289"/>
      <c r="R255" s="289"/>
      <c r="S255" s="289"/>
      <c r="T255" s="290"/>
      <c r="U255" s="34"/>
      <c r="V255" s="34"/>
      <c r="W255" s="35" t="s">
        <v>68</v>
      </c>
      <c r="X255" s="274">
        <v>140</v>
      </c>
      <c r="Y255" s="275">
        <f>IFERROR(IF(X255="","",X255),"")</f>
        <v>140</v>
      </c>
      <c r="Z255" s="36">
        <f>IFERROR(IF(X255="","",X255*0.00936),"")</f>
        <v>1.3104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404.68400000000003</v>
      </c>
      <c r="BN255" s="67">
        <f>IFERROR(Y255*I255,"0")</f>
        <v>404.68400000000003</v>
      </c>
      <c r="BO255" s="67">
        <f>IFERROR(X255/J255,"0")</f>
        <v>1.1111111111111112</v>
      </c>
      <c r="BP255" s="67">
        <f>IFERROR(Y255/J255,"0")</f>
        <v>1.1111111111111112</v>
      </c>
    </row>
    <row r="256" spans="1:68" ht="27" hidden="1" customHeight="1" x14ac:dyDescent="0.25">
      <c r="A256" s="54" t="s">
        <v>339</v>
      </c>
      <c r="B256" s="54" t="s">
        <v>340</v>
      </c>
      <c r="C256" s="31">
        <v>4301136112</v>
      </c>
      <c r="D256" s="294">
        <v>4620207492154</v>
      </c>
      <c r="E256" s="295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4" t="s">
        <v>341</v>
      </c>
      <c r="Q256" s="289"/>
      <c r="R256" s="289"/>
      <c r="S256" s="289"/>
      <c r="T256" s="290"/>
      <c r="U256" s="34"/>
      <c r="V256" s="34"/>
      <c r="W256" s="35" t="s">
        <v>68</v>
      </c>
      <c r="X256" s="274">
        <v>0</v>
      </c>
      <c r="Y256" s="275">
        <f>IFERROR(IF(X256="","",X256),"")</f>
        <v>0</v>
      </c>
      <c r="Z256" s="36">
        <f>IFERROR(IF(X256="","",X256*0.0155),"")</f>
        <v>0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94">
        <v>4620207492086</v>
      </c>
      <c r="E257" s="295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6" t="s">
        <v>344</v>
      </c>
      <c r="Q257" s="289"/>
      <c r="R257" s="289"/>
      <c r="S257" s="289"/>
      <c r="T257" s="29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0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301"/>
      <c r="P258" s="278" t="s">
        <v>87</v>
      </c>
      <c r="Q258" s="279"/>
      <c r="R258" s="279"/>
      <c r="S258" s="279"/>
      <c r="T258" s="279"/>
      <c r="U258" s="279"/>
      <c r="V258" s="280"/>
      <c r="W258" s="37" t="s">
        <v>68</v>
      </c>
      <c r="X258" s="276">
        <f>IFERROR(SUM(X255:X257),"0")</f>
        <v>140</v>
      </c>
      <c r="Y258" s="276">
        <f>IFERROR(SUM(Y255:Y257),"0")</f>
        <v>140</v>
      </c>
      <c r="Z258" s="276">
        <f>IFERROR(IF(Z255="",0,Z255),"0")+IFERROR(IF(Z256="",0,Z256),"0")+IFERROR(IF(Z257="",0,Z257),"0")</f>
        <v>1.3104</v>
      </c>
      <c r="AA258" s="277"/>
      <c r="AB258" s="277"/>
      <c r="AC258" s="277"/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1"/>
      <c r="P259" s="278" t="s">
        <v>87</v>
      </c>
      <c r="Q259" s="279"/>
      <c r="R259" s="279"/>
      <c r="S259" s="279"/>
      <c r="T259" s="279"/>
      <c r="U259" s="279"/>
      <c r="V259" s="280"/>
      <c r="W259" s="37" t="s">
        <v>88</v>
      </c>
      <c r="X259" s="276">
        <f>IFERROR(SUMPRODUCT(X255:X257*H255:H257),"0")</f>
        <v>378</v>
      </c>
      <c r="Y259" s="276">
        <f>IFERROR(SUMPRODUCT(Y255:Y257*H255:H257),"0")</f>
        <v>378</v>
      </c>
      <c r="Z259" s="37"/>
      <c r="AA259" s="277"/>
      <c r="AB259" s="277"/>
      <c r="AC259" s="277"/>
    </row>
    <row r="260" spans="1:68" ht="14.25" hidden="1" customHeight="1" x14ac:dyDescent="0.25">
      <c r="A260" s="292" t="s">
        <v>144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94">
        <v>4620207492284</v>
      </c>
      <c r="E261" s="295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400" t="s">
        <v>347</v>
      </c>
      <c r="Q261" s="289"/>
      <c r="R261" s="289"/>
      <c r="S261" s="289"/>
      <c r="T261" s="29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94">
        <v>4620207492109</v>
      </c>
      <c r="E262" s="295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34" t="s">
        <v>351</v>
      </c>
      <c r="Q262" s="289"/>
      <c r="R262" s="289"/>
      <c r="S262" s="289"/>
      <c r="T262" s="29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94">
        <v>4620207492161</v>
      </c>
      <c r="E263" s="295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37" t="s">
        <v>354</v>
      </c>
      <c r="Q263" s="289"/>
      <c r="R263" s="289"/>
      <c r="S263" s="289"/>
      <c r="T263" s="29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356</v>
      </c>
      <c r="B264" s="54" t="s">
        <v>357</v>
      </c>
      <c r="C264" s="31">
        <v>4301137046</v>
      </c>
      <c r="D264" s="294">
        <v>4620207492093</v>
      </c>
      <c r="E264" s="295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57" t="s">
        <v>358</v>
      </c>
      <c r="Q264" s="289"/>
      <c r="R264" s="289"/>
      <c r="S264" s="289"/>
      <c r="T264" s="290"/>
      <c r="U264" s="34"/>
      <c r="V264" s="34"/>
      <c r="W264" s="35" t="s">
        <v>68</v>
      </c>
      <c r="X264" s="274">
        <v>14</v>
      </c>
      <c r="Y264" s="275">
        <f t="shared" si="18"/>
        <v>14</v>
      </c>
      <c r="Z264" s="36">
        <f>IFERROR(IF(X264="","",X264*0.00936),"")</f>
        <v>0.13103999999999999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54.488</v>
      </c>
      <c r="BN264" s="67">
        <f t="shared" si="20"/>
        <v>54.488</v>
      </c>
      <c r="BO264" s="67">
        <f t="shared" si="21"/>
        <v>0.1111111111111111</v>
      </c>
      <c r="BP264" s="67">
        <f t="shared" si="22"/>
        <v>0.1111111111111111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94">
        <v>4620207492222</v>
      </c>
      <c r="E265" s="295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362</v>
      </c>
      <c r="Q265" s="289"/>
      <c r="R265" s="289"/>
      <c r="S265" s="289"/>
      <c r="T265" s="29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94">
        <v>4620207492116</v>
      </c>
      <c r="E266" s="295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8" t="s">
        <v>365</v>
      </c>
      <c r="Q266" s="289"/>
      <c r="R266" s="289"/>
      <c r="S266" s="289"/>
      <c r="T266" s="29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94">
        <v>4620207492123</v>
      </c>
      <c r="E267" s="295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288" t="s">
        <v>368</v>
      </c>
      <c r="Q267" s="289"/>
      <c r="R267" s="289"/>
      <c r="S267" s="289"/>
      <c r="T267" s="29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94">
        <v>4620207492130</v>
      </c>
      <c r="E268" s="295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1" t="s">
        <v>371</v>
      </c>
      <c r="Q268" s="289"/>
      <c r="R268" s="289"/>
      <c r="S268" s="289"/>
      <c r="T268" s="29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94">
        <v>4620207491942</v>
      </c>
      <c r="E269" s="295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89"/>
      <c r="R269" s="289"/>
      <c r="S269" s="289"/>
      <c r="T269" s="29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94">
        <v>4620207491911</v>
      </c>
      <c r="E270" s="295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66" t="s">
        <v>376</v>
      </c>
      <c r="Q270" s="289"/>
      <c r="R270" s="289"/>
      <c r="S270" s="289"/>
      <c r="T270" s="29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94">
        <v>4620207491935</v>
      </c>
      <c r="E271" s="295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89"/>
      <c r="R271" s="289"/>
      <c r="S271" s="289"/>
      <c r="T271" s="29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0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301"/>
      <c r="P272" s="278" t="s">
        <v>87</v>
      </c>
      <c r="Q272" s="279"/>
      <c r="R272" s="279"/>
      <c r="S272" s="279"/>
      <c r="T272" s="279"/>
      <c r="U272" s="279"/>
      <c r="V272" s="280"/>
      <c r="W272" s="37" t="s">
        <v>68</v>
      </c>
      <c r="X272" s="276">
        <f>IFERROR(SUM(X261:X271),"0")</f>
        <v>14</v>
      </c>
      <c r="Y272" s="276">
        <f>IFERROR(SUM(Y261:Y271),"0")</f>
        <v>14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0.13103999999999999</v>
      </c>
      <c r="AA272" s="277"/>
      <c r="AB272" s="277"/>
      <c r="AC272" s="277"/>
    </row>
    <row r="273" spans="1:32" x14ac:dyDescent="0.2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01"/>
      <c r="P273" s="278" t="s">
        <v>87</v>
      </c>
      <c r="Q273" s="279"/>
      <c r="R273" s="279"/>
      <c r="S273" s="279"/>
      <c r="T273" s="279"/>
      <c r="U273" s="279"/>
      <c r="V273" s="280"/>
      <c r="W273" s="37" t="s">
        <v>88</v>
      </c>
      <c r="X273" s="276">
        <f>IFERROR(SUMPRODUCT(X261:X271*H261:H271),"0")</f>
        <v>51.800000000000004</v>
      </c>
      <c r="Y273" s="276">
        <f>IFERROR(SUMPRODUCT(Y261:Y271*H261:H271),"0")</f>
        <v>51.800000000000004</v>
      </c>
      <c r="Z273" s="37"/>
      <c r="AA273" s="277"/>
      <c r="AB273" s="277"/>
      <c r="AC273" s="277"/>
    </row>
    <row r="274" spans="1:32" ht="15" customHeight="1" x14ac:dyDescent="0.2">
      <c r="A274" s="435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79"/>
      <c r="P274" s="285" t="s">
        <v>379</v>
      </c>
      <c r="Q274" s="286"/>
      <c r="R274" s="286"/>
      <c r="S274" s="286"/>
      <c r="T274" s="286"/>
      <c r="U274" s="286"/>
      <c r="V274" s="287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6721.5199999999995</v>
      </c>
      <c r="Y274" s="276">
        <f>IFERROR(Y31+Y35+Y41+Y48+Y56+Y64+Y70+Y75+Y81+Y91+Y97+Y108+Y112+Y116+Y121+Y128+Y134+Y140+Y146+Y152+Y157+Y162+Y167+Y173+Y178+Y184+Y189+Y198+Y204+Y209+Y215+Y220+Y226+Y232+Y236+Y242+Y246+Y253+Y259+Y273,"0")</f>
        <v>6721.5199999999995</v>
      </c>
      <c r="Z274" s="37"/>
      <c r="AA274" s="277"/>
      <c r="AB274" s="277"/>
      <c r="AC274" s="277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79"/>
      <c r="P275" s="285" t="s">
        <v>380</v>
      </c>
      <c r="Q275" s="286"/>
      <c r="R275" s="286"/>
      <c r="S275" s="286"/>
      <c r="T275" s="286"/>
      <c r="U275" s="286"/>
      <c r="V275" s="287"/>
      <c r="W275" s="37" t="s">
        <v>88</v>
      </c>
      <c r="X275" s="276">
        <f>IFERROR(SUM(BM22:BM271),"0")</f>
        <v>7326.543200000001</v>
      </c>
      <c r="Y275" s="276">
        <f>IFERROR(SUM(BN22:BN271),"0")</f>
        <v>7326.543200000001</v>
      </c>
      <c r="Z275" s="37"/>
      <c r="AA275" s="277"/>
      <c r="AB275" s="277"/>
      <c r="AC275" s="277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79"/>
      <c r="P276" s="285" t="s">
        <v>381</v>
      </c>
      <c r="Q276" s="286"/>
      <c r="R276" s="286"/>
      <c r="S276" s="286"/>
      <c r="T276" s="286"/>
      <c r="U276" s="286"/>
      <c r="V276" s="287"/>
      <c r="W276" s="37" t="s">
        <v>382</v>
      </c>
      <c r="X276" s="38">
        <f>ROUNDUP(SUM(BO22:BO271),0)</f>
        <v>19</v>
      </c>
      <c r="Y276" s="38">
        <f>ROUNDUP(SUM(BP22:BP271),0)</f>
        <v>19</v>
      </c>
      <c r="Z276" s="37"/>
      <c r="AA276" s="277"/>
      <c r="AB276" s="277"/>
      <c r="AC276" s="277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79"/>
      <c r="P277" s="285" t="s">
        <v>383</v>
      </c>
      <c r="Q277" s="286"/>
      <c r="R277" s="286"/>
      <c r="S277" s="286"/>
      <c r="T277" s="286"/>
      <c r="U277" s="286"/>
      <c r="V277" s="287"/>
      <c r="W277" s="37" t="s">
        <v>88</v>
      </c>
      <c r="X277" s="276">
        <f>GrossWeightTotal+PalletQtyTotal*25</f>
        <v>7801.543200000001</v>
      </c>
      <c r="Y277" s="276">
        <f>GrossWeightTotalR+PalletQtyTotalR*25</f>
        <v>7801.543200000001</v>
      </c>
      <c r="Z277" s="37"/>
      <c r="AA277" s="277"/>
      <c r="AB277" s="277"/>
      <c r="AC277" s="277"/>
    </row>
    <row r="278" spans="1:32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79"/>
      <c r="P278" s="285" t="s">
        <v>384</v>
      </c>
      <c r="Q278" s="286"/>
      <c r="R278" s="286"/>
      <c r="S278" s="286"/>
      <c r="T278" s="286"/>
      <c r="U278" s="286"/>
      <c r="V278" s="287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1590</v>
      </c>
      <c r="Y278" s="276">
        <f>IFERROR(Y30+Y34+Y40+Y47+Y55+Y63+Y69+Y74+Y80+Y90+Y96+Y107+Y111+Y115+Y120+Y127+Y133+Y139+Y145+Y151+Y156+Y161+Y166+Y172+Y177+Y183+Y188+Y197+Y203+Y208+Y214+Y219+Y225+Y231+Y235+Y241+Y245+Y252+Y258+Y272,"0")</f>
        <v>1590</v>
      </c>
      <c r="Z278" s="37"/>
      <c r="AA278" s="277"/>
      <c r="AB278" s="277"/>
      <c r="AC278" s="277"/>
    </row>
    <row r="279" spans="1:32" ht="14.25" hidden="1" customHeight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79"/>
      <c r="P279" s="285" t="s">
        <v>385</v>
      </c>
      <c r="Q279" s="286"/>
      <c r="R279" s="286"/>
      <c r="S279" s="286"/>
      <c r="T279" s="286"/>
      <c r="U279" s="286"/>
      <c r="V279" s="287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23.63522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81" t="s">
        <v>61</v>
      </c>
      <c r="C281" s="356"/>
      <c r="D281" s="281" t="s">
        <v>100</v>
      </c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356"/>
      <c r="U281" s="281" t="s">
        <v>253</v>
      </c>
      <c r="V281" s="436"/>
      <c r="W281" s="356"/>
      <c r="X281" s="271" t="s">
        <v>274</v>
      </c>
      <c r="Y281" s="281" t="s">
        <v>288</v>
      </c>
      <c r="Z281" s="436"/>
      <c r="AA281" s="356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283" t="s">
        <v>388</v>
      </c>
      <c r="B282" s="281" t="s">
        <v>61</v>
      </c>
      <c r="C282" s="281" t="s">
        <v>94</v>
      </c>
      <c r="D282" s="281" t="s">
        <v>101</v>
      </c>
      <c r="E282" s="281" t="s">
        <v>112</v>
      </c>
      <c r="F282" s="281" t="s">
        <v>123</v>
      </c>
      <c r="G282" s="281" t="s">
        <v>136</v>
      </c>
      <c r="H282" s="281" t="s">
        <v>143</v>
      </c>
      <c r="I282" s="281" t="s">
        <v>148</v>
      </c>
      <c r="J282" s="281" t="s">
        <v>156</v>
      </c>
      <c r="K282" s="281" t="s">
        <v>171</v>
      </c>
      <c r="L282" s="281" t="s">
        <v>178</v>
      </c>
      <c r="M282" s="281" t="s">
        <v>204</v>
      </c>
      <c r="N282" s="272"/>
      <c r="O282" s="281" t="s">
        <v>225</v>
      </c>
      <c r="P282" s="281" t="s">
        <v>231</v>
      </c>
      <c r="Q282" s="281" t="s">
        <v>237</v>
      </c>
      <c r="R282" s="281" t="s">
        <v>243</v>
      </c>
      <c r="S282" s="281" t="s">
        <v>246</v>
      </c>
      <c r="T282" s="281" t="s">
        <v>250</v>
      </c>
      <c r="U282" s="281" t="s">
        <v>254</v>
      </c>
      <c r="V282" s="281" t="s">
        <v>264</v>
      </c>
      <c r="W282" s="281" t="s">
        <v>271</v>
      </c>
      <c r="X282" s="281" t="s">
        <v>275</v>
      </c>
      <c r="Y282" s="281" t="s">
        <v>289</v>
      </c>
      <c r="Z282" s="281" t="s">
        <v>299</v>
      </c>
      <c r="AA282" s="281" t="s">
        <v>306</v>
      </c>
      <c r="AB282" s="281" t="s">
        <v>311</v>
      </c>
      <c r="AC282" s="281" t="s">
        <v>316</v>
      </c>
      <c r="AD282" s="281" t="s">
        <v>323</v>
      </c>
      <c r="AE282" s="281" t="s">
        <v>254</v>
      </c>
      <c r="AF282" s="272"/>
    </row>
    <row r="283" spans="1:32" ht="13.5" customHeight="1" thickBot="1" x14ac:dyDescent="0.25">
      <c r="A283" s="284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7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470.4</v>
      </c>
      <c r="C284" s="46">
        <f>IFERROR(X38*H38,"0")+IFERROR(X39*H39,"0")</f>
        <v>0</v>
      </c>
      <c r="D284" s="46">
        <f>IFERROR(X45*H45,"0")+IFERROR(X46*H46,"0")</f>
        <v>84</v>
      </c>
      <c r="E284" s="46">
        <f>IFERROR(X51*H51,"0")+IFERROR(X52*H52,"0")+IFERROR(X53*H53,"0")+IFERROR(X54*H54,"0")</f>
        <v>0</v>
      </c>
      <c r="F284" s="46">
        <f>IFERROR(X59*H59,"0")+IFERROR(X60*H60,"0")+IFERROR(X61*H61,"0")+IFERROR(X62*H62,"0")</f>
        <v>0</v>
      </c>
      <c r="G284" s="46">
        <f>IFERROR(X67*H67,"0")+IFERROR(X68*H68,"0")</f>
        <v>360</v>
      </c>
      <c r="H284" s="46">
        <f>IFERROR(X73*H73,"0")</f>
        <v>0</v>
      </c>
      <c r="I284" s="46">
        <f>IFERROR(X78*H78,"0")+IFERROR(X79*H79,"0")</f>
        <v>403.2</v>
      </c>
      <c r="J284" s="46">
        <f>IFERROR(X84*H84,"0")+IFERROR(X85*H85,"0")+IFERROR(X86*H86,"0")+IFERROR(X87*H87,"0")+IFERROR(X88*H88,"0")+IFERROR(X89*H89,"0")</f>
        <v>497.28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1260</v>
      </c>
      <c r="M284" s="46">
        <f>IFERROR(X119*H119,"0")+IFERROR(X123*H123,"0")+IFERROR(X124*H124,"0")+IFERROR(X125*H125,"0")+IFERROR(X126*H126,"0")+IFERROR(X130*H130,"0")+IFERROR(X131*H131,"0")+IFERROR(X132*H132,"0")</f>
        <v>135.24</v>
      </c>
      <c r="N284" s="272"/>
      <c r="O284" s="46">
        <f>IFERROR(X137*H137,"0")+IFERROR(X138*H138,"0")</f>
        <v>252</v>
      </c>
      <c r="P284" s="46">
        <f>IFERROR(X143*H143,"0")+IFERROR(X144*H144,"0")</f>
        <v>84</v>
      </c>
      <c r="Q284" s="46">
        <f>IFERROR(X149*H149,"0")+IFERROR(X150*H150,"0")</f>
        <v>33.6</v>
      </c>
      <c r="R284" s="46">
        <f>IFERROR(X155*H155,"0")</f>
        <v>0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792</v>
      </c>
      <c r="V284" s="46">
        <f>IFERROR(X181*H181,"0")+IFERROR(X182*H182,"0")</f>
        <v>0</v>
      </c>
      <c r="W284" s="46">
        <f>IFERROR(X187*H187,"0")</f>
        <v>1080</v>
      </c>
      <c r="X284" s="46">
        <f>IFERROR(X193*H193,"0")+IFERROR(X194*H194,"0")+IFERROR(X195*H195,"0")+IFERROR(X196*H196,"0")</f>
        <v>588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681.8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3422.4</v>
      </c>
      <c r="B287" s="60">
        <f>SUMPRODUCT(--(BB:BB="ПГП"),--(W:W="кор"),H:H,Y:Y)+SUMPRODUCT(--(BB:BB="ПГП"),--(W:W="кг"),Y:Y)</f>
        <v>3299.12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260,00"/>
        <filter val="1 590,00"/>
        <filter val="112,00"/>
        <filter val="12,00"/>
        <filter val="132,00"/>
        <filter val="135,24"/>
        <filter val="14,00"/>
        <filter val="140,00"/>
        <filter val="180,00"/>
        <filter val="19"/>
        <filter val="196,00"/>
        <filter val="216,00"/>
        <filter val="252,00"/>
        <filter val="28,00"/>
        <filter val="33,60"/>
        <filter val="36,00"/>
        <filter val="360,00"/>
        <filter val="378,00"/>
        <filter val="403,20"/>
        <filter val="42,00"/>
        <filter val="470,40"/>
        <filter val="497,28"/>
        <filter val="51,80"/>
        <filter val="56,00"/>
        <filter val="588,00"/>
        <filter val="6 721,52"/>
        <filter val="60,00"/>
        <filter val="7 326,54"/>
        <filter val="7 801,54"/>
        <filter val="72,00"/>
        <filter val="792,00"/>
        <filter val="84,00"/>
        <filter val="98,00"/>
      </filters>
    </filterColumn>
    <filterColumn colId="29" showButton="0"/>
    <filterColumn colId="30" showButton="0"/>
  </autoFilter>
  <mergeCells count="499">
    <mergeCell ref="A166:O167"/>
    <mergeCell ref="D150:E150"/>
    <mergeCell ref="D33:E33"/>
    <mergeCell ref="D95:E95"/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V282:V283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P62:T62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Q6:R6"/>
    <mergeCell ref="D102:E102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P101:T101"/>
    <mergeCell ref="A233:Z233"/>
    <mergeCell ref="W282:W283"/>
    <mergeCell ref="M282:M283"/>
    <mergeCell ref="O282:O283"/>
    <mergeCell ref="Q282:Q283"/>
    <mergeCell ref="P81:V81"/>
    <mergeCell ref="P208:V208"/>
    <mergeCell ref="D84:E84"/>
    <mergeCell ref="D155:E15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A248:Z248"/>
    <mergeCell ref="P102:T102"/>
    <mergeCell ref="A247:Z247"/>
    <mergeCell ref="P189:V189"/>
    <mergeCell ref="A185:Z185"/>
    <mergeCell ref="P196:T196"/>
    <mergeCell ref="A235:O236"/>
    <mergeCell ref="P256:T256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A82:Z82"/>
    <mergeCell ref="V6:W9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7:Z237"/>
    <mergeCell ref="A174:Z174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5:C5"/>
    <mergeCell ref="A107:O108"/>
    <mergeCell ref="P64:V64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D230:E230"/>
    <mergeCell ref="A208:O209"/>
    <mergeCell ref="P137:T13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P53:T53"/>
    <mergeCell ref="F9:G9"/>
    <mergeCell ref="P68:T68"/>
    <mergeCell ref="D38:E38"/>
    <mergeCell ref="P204:V204"/>
    <mergeCell ref="P132:T132"/>
    <mergeCell ref="A44:Z44"/>
    <mergeCell ref="P34:V34"/>
    <mergeCell ref="D45:E45"/>
    <mergeCell ref="A49:Z49"/>
    <mergeCell ref="A36:Z36"/>
    <mergeCell ref="D60:E60"/>
    <mergeCell ref="P144:T144"/>
    <mergeCell ref="A83:Z83"/>
    <mergeCell ref="A180:Z180"/>
    <mergeCell ref="A190:Z190"/>
    <mergeCell ref="P128:V128"/>
    <mergeCell ref="P195:T195"/>
    <mergeCell ref="A118:Z118"/>
    <mergeCell ref="A17:A18"/>
    <mergeCell ref="C17:C18"/>
    <mergeCell ref="K17:K18"/>
    <mergeCell ref="D103:E103"/>
    <mergeCell ref="A117:Z117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H9:I9"/>
    <mergeCell ref="D9:E9"/>
    <mergeCell ref="A183:O184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P244:T244"/>
    <mergeCell ref="P73:T73"/>
    <mergeCell ref="D187:E187"/>
    <mergeCell ref="A239:Z239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P267:T267"/>
    <mergeCell ref="Z282:Z283"/>
    <mergeCell ref="AB282:AB283"/>
    <mergeCell ref="T282:T283"/>
    <mergeCell ref="P259:V259"/>
    <mergeCell ref="P276:V27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