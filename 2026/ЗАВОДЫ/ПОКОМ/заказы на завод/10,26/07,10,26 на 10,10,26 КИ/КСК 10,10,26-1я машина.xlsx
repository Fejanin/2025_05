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142E242-8A02-4459-9812-1D1323F6887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Y539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P200" i="2"/>
  <c r="BO200" i="2"/>
  <c r="BN200" i="2"/>
  <c r="BM200" i="2"/>
  <c r="Z200" i="2"/>
  <c r="Y200" i="2"/>
  <c r="P200" i="2"/>
  <c r="BO199" i="2"/>
  <c r="BM199" i="2"/>
  <c r="Y199" i="2"/>
  <c r="P199" i="2"/>
  <c r="X195" i="2"/>
  <c r="Y194" i="2"/>
  <c r="X194" i="2"/>
  <c r="BO193" i="2"/>
  <c r="BM193" i="2"/>
  <c r="Y193" i="2"/>
  <c r="BN193" i="2" s="1"/>
  <c r="P193" i="2"/>
  <c r="X191" i="2"/>
  <c r="Y190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55" i="2" l="1"/>
  <c r="BN89" i="2"/>
  <c r="BN201" i="2"/>
  <c r="BN249" i="2"/>
  <c r="BN315" i="2"/>
  <c r="BN354" i="2"/>
  <c r="BN374" i="2"/>
  <c r="BN427" i="2"/>
  <c r="BN58" i="2"/>
  <c r="Z73" i="2"/>
  <c r="BN73" i="2"/>
  <c r="Y74" i="2"/>
  <c r="BN102" i="2"/>
  <c r="BP115" i="2"/>
  <c r="BN122" i="2"/>
  <c r="Z184" i="2"/>
  <c r="BN184" i="2"/>
  <c r="BN189" i="2"/>
  <c r="BN219" i="2"/>
  <c r="BP222" i="2"/>
  <c r="BN244" i="2"/>
  <c r="BN274" i="2"/>
  <c r="Z281" i="2"/>
  <c r="BN292" i="2"/>
  <c r="BN359" i="2"/>
  <c r="BN467" i="2"/>
  <c r="BP480" i="2"/>
  <c r="BN485" i="2"/>
  <c r="Y535" i="2"/>
  <c r="BN346" i="2"/>
  <c r="BN179" i="2"/>
  <c r="BN238" i="2"/>
  <c r="BN301" i="2"/>
  <c r="Z89" i="2"/>
  <c r="BN272" i="2"/>
  <c r="BN458" i="2"/>
  <c r="Y516" i="2"/>
  <c r="Z431" i="2"/>
  <c r="Z434" i="2" s="1"/>
  <c r="Y540" i="2"/>
  <c r="BP537" i="2"/>
  <c r="Z537" i="2"/>
  <c r="Z533" i="2"/>
  <c r="Z534" i="2" s="1"/>
  <c r="Z525" i="2"/>
  <c r="Z526" i="2" s="1"/>
  <c r="BP525" i="2"/>
  <c r="Z521" i="2"/>
  <c r="Z522" i="2" s="1"/>
  <c r="Y523" i="2"/>
  <c r="BN512" i="2"/>
  <c r="BN509" i="2"/>
  <c r="BN499" i="2"/>
  <c r="Z497" i="2"/>
  <c r="BN492" i="2"/>
  <c r="Z485" i="2"/>
  <c r="Y482" i="2"/>
  <c r="Y476" i="2"/>
  <c r="BN475" i="2"/>
  <c r="BN460" i="2"/>
  <c r="BN450" i="2"/>
  <c r="BN439" i="2"/>
  <c r="Z437" i="2"/>
  <c r="Y440" i="2"/>
  <c r="BN433" i="2"/>
  <c r="BP431" i="2"/>
  <c r="BN425" i="2"/>
  <c r="BN423" i="2"/>
  <c r="Z423" i="2"/>
  <c r="Y416" i="2"/>
  <c r="Z407" i="2"/>
  <c r="Y409" i="2"/>
  <c r="BP407" i="2"/>
  <c r="BN401" i="2"/>
  <c r="Y402" i="2"/>
  <c r="Y397" i="2"/>
  <c r="BN395" i="2"/>
  <c r="BP393" i="2"/>
  <c r="BN387" i="2"/>
  <c r="BN381" i="2"/>
  <c r="BN367" i="2"/>
  <c r="BP366" i="2"/>
  <c r="BN364" i="2"/>
  <c r="Z359" i="2"/>
  <c r="BN357" i="2"/>
  <c r="BP356" i="2"/>
  <c r="BN348" i="2"/>
  <c r="BN341" i="2"/>
  <c r="Z339" i="2"/>
  <c r="BP339" i="2"/>
  <c r="BN333" i="2"/>
  <c r="Z327" i="2"/>
  <c r="BP327" i="2"/>
  <c r="BN318" i="2"/>
  <c r="BN316" i="2"/>
  <c r="BN293" i="2"/>
  <c r="Z292" i="2"/>
  <c r="BP286" i="2"/>
  <c r="BP281" i="2"/>
  <c r="Z280" i="2"/>
  <c r="BN277" i="2"/>
  <c r="BP276" i="2"/>
  <c r="BN271" i="2"/>
  <c r="Z271" i="2"/>
  <c r="BP266" i="2"/>
  <c r="BP264" i="2"/>
  <c r="Z264" i="2"/>
  <c r="BN261" i="2"/>
  <c r="Y245" i="2"/>
  <c r="BN233" i="2"/>
  <c r="BN226" i="2"/>
  <c r="BN223" i="2"/>
  <c r="BP221" i="2"/>
  <c r="Z221" i="2"/>
  <c r="Z219" i="2"/>
  <c r="BN217" i="2"/>
  <c r="BN202" i="2"/>
  <c r="BN177" i="2"/>
  <c r="Z174" i="2"/>
  <c r="Y164" i="2"/>
  <c r="BN159" i="2"/>
  <c r="BP150" i="2"/>
  <c r="Z150" i="2"/>
  <c r="BN142" i="2"/>
  <c r="Y134" i="2"/>
  <c r="BP126" i="2"/>
  <c r="Z126" i="2"/>
  <c r="Z127" i="2" s="1"/>
  <c r="BN111" i="2"/>
  <c r="BP95" i="2"/>
  <c r="Z95" i="2"/>
  <c r="BN87" i="2"/>
  <c r="BN85" i="2"/>
  <c r="BP78" i="2"/>
  <c r="Z78" i="2"/>
  <c r="Z72" i="2"/>
  <c r="BP72" i="2"/>
  <c r="Y75" i="2"/>
  <c r="BN68" i="2"/>
  <c r="BN65" i="2"/>
  <c r="Z65" i="2"/>
  <c r="Y50" i="2"/>
  <c r="BN46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Z251" i="2" s="1"/>
  <c r="BN521" i="2"/>
  <c r="BN533" i="2"/>
  <c r="BN480" i="2"/>
  <c r="Z492" i="2"/>
  <c r="BN538" i="2"/>
  <c r="BP521" i="2"/>
  <c r="BP533" i="2"/>
  <c r="AB556" i="2"/>
  <c r="Z159" i="2"/>
  <c r="Z328" i="2" l="1"/>
  <c r="Z69" i="2"/>
  <c r="Z402" i="2"/>
  <c r="Z186" i="2"/>
  <c r="Z321" i="2"/>
  <c r="Z74" i="2"/>
  <c r="Z241" i="2"/>
  <c r="Z383" i="2"/>
  <c r="Z487" i="2"/>
  <c r="Z440" i="2"/>
  <c r="Z267" i="2"/>
  <c r="Z256" i="2"/>
  <c r="Z151" i="2"/>
  <c r="Z123" i="2"/>
  <c r="Z108" i="2"/>
  <c r="Z50" i="2"/>
  <c r="X549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<sst xmlns="http://schemas.openxmlformats.org/spreadsheetml/2006/main" count="4118" uniqueCount="871">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</sst>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46305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Суббота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4.1666666666666664E-2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450</v>
      </c>
      <c r="Y46" s="55">
        <f>IFERROR(IF(X46="",0,CEILING((X46/$H46),1)*$H46),"")</f>
        <v>453.6</v>
      </c>
      <c r="Z46" s="41">
        <f>IFERROR(IF(Y46=0,"",ROUNDUP(Y46/H46,0)*0.01898),"")</f>
        <v>0.79715999999999998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467.08333333333331</v>
      </c>
      <c r="BN46" s="78">
        <f>IFERROR(Y46*I46/H46,"0")</f>
        <v>470.82000000000005</v>
      </c>
      <c r="BO46" s="78">
        <f>IFERROR(1/J46*(X46/H46),"0")</f>
        <v>0.65104166666666663</v>
      </c>
      <c r="BP46" s="78">
        <f>IFERROR(1/J46*(Y46/H46),"0")</f>
        <v>0.65625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160</v>
      </c>
      <c r="Y48" s="55">
        <f>IFERROR(IF(X48="",0,CEILING((X48/$H48),1)*$H48),"")</f>
        <v>160</v>
      </c>
      <c r="Z48" s="41">
        <f>IFERROR(IF(Y48=0,"",ROUNDUP(Y48/H48,0)*0.00902),"")</f>
        <v>0.36080000000000001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167.60000000000002</v>
      </c>
      <c r="BN48" s="78">
        <f>IFERROR(Y48*I48/H48,"0")</f>
        <v>167.60000000000002</v>
      </c>
      <c r="BO48" s="78">
        <f>IFERROR(1/J48*(X48/H48),"0")</f>
        <v>0.30303030303030304</v>
      </c>
      <c r="BP48" s="78">
        <f>IFERROR(1/J48*(Y48/H48),"0")</f>
        <v>0.30303030303030304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81.666666666666657</v>
      </c>
      <c r="Y50" s="43">
        <f>IFERROR(Y46/H46,"0")+IFERROR(Y47/H47,"0")+IFERROR(Y48/H48,"0")+IFERROR(Y49/H49,"0")</f>
        <v>82</v>
      </c>
      <c r="Z50" s="43">
        <f>IFERROR(IF(Z46="",0,Z46),"0")+IFERROR(IF(Z47="",0,Z47),"0")+IFERROR(IF(Z48="",0,Z48),"0")+IFERROR(IF(Z49="",0,Z49),"0")</f>
        <v>1.1579600000000001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610</v>
      </c>
      <c r="Y51" s="43">
        <f>IFERROR(SUM(Y46:Y49),"0")</f>
        <v>613.6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225</v>
      </c>
      <c r="Y61" s="55">
        <f t="shared" si="0"/>
        <v>225</v>
      </c>
      <c r="Z61" s="41">
        <f>IFERROR(IF(Y61=0,"",ROUNDUP(Y61/H61,0)*0.00902),"")</f>
        <v>0.45100000000000001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234.5</v>
      </c>
      <c r="BN61" s="78">
        <f t="shared" si="2"/>
        <v>234.5</v>
      </c>
      <c r="BO61" s="78">
        <f t="shared" si="3"/>
        <v>0.37878787878787878</v>
      </c>
      <c r="BP61" s="78">
        <f t="shared" si="4"/>
        <v>0.37878787878787878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50</v>
      </c>
      <c r="Y62" s="43">
        <f>IFERROR(Y54/H54,"0")+IFERROR(Y55/H55,"0")+IFERROR(Y56/H56,"0")+IFERROR(Y57/H57,"0")+IFERROR(Y58/H58,"0")+IFERROR(Y59/H59,"0")+IFERROR(Y60/H60,"0")+IFERROR(Y61/H61,"0")</f>
        <v>50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0.45100000000000001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225</v>
      </c>
      <c r="Y63" s="43">
        <f>IFERROR(SUM(Y54:Y61),"0")</f>
        <v>225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100</v>
      </c>
      <c r="Y65" s="55">
        <f>IFERROR(IF(X65="",0,CEILING((X65/$H65),1)*$H65),"")</f>
        <v>108</v>
      </c>
      <c r="Z65" s="41">
        <f>IFERROR(IF(Y65=0,"",ROUNDUP(Y65/H65,0)*0.01898),"")</f>
        <v>0.1898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103.79629629629629</v>
      </c>
      <c r="BN65" s="78">
        <f>IFERROR(Y65*I65/H65,"0")</f>
        <v>112.1</v>
      </c>
      <c r="BO65" s="78">
        <f>IFERROR(1/J65*(X65/H65),"0")</f>
        <v>0.14467592592592593</v>
      </c>
      <c r="BP65" s="78">
        <f>IFERROR(1/J65*(Y65/H65),"0")</f>
        <v>0.15625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225</v>
      </c>
      <c r="Y68" s="55">
        <f>IFERROR(IF(X68="",0,CEILING((X68/$H68),1)*$H68),"")</f>
        <v>226.8</v>
      </c>
      <c r="Z68" s="41">
        <f>IFERROR(IF(Y68=0,"",ROUNDUP(Y68/H68,0)*0.00651),"")</f>
        <v>0.54683999999999999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239.99999999999997</v>
      </c>
      <c r="BN68" s="78">
        <f>IFERROR(Y68*I68/H68,"0")</f>
        <v>241.91999999999996</v>
      </c>
      <c r="BO68" s="78">
        <f>IFERROR(1/J68*(X68/H68),"0")</f>
        <v>0.45787545787545786</v>
      </c>
      <c r="BP68" s="78">
        <f>IFERROR(1/J68*(Y68/H68),"0")</f>
        <v>0.46153846153846156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92.592592592592581</v>
      </c>
      <c r="Y69" s="43">
        <f>IFERROR(Y65/H65,"0")+IFERROR(Y66/H66,"0")+IFERROR(Y67/H67,"0")+IFERROR(Y68/H68,"0")</f>
        <v>94</v>
      </c>
      <c r="Z69" s="43">
        <f>IFERROR(IF(Z65="",0,Z65),"0")+IFERROR(IF(Z66="",0,Z66),"0")+IFERROR(IF(Z67="",0,Z67),"0")+IFERROR(IF(Z68="",0,Z68),"0")</f>
        <v>0.73663999999999996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325</v>
      </c>
      <c r="Y70" s="43">
        <f>IFERROR(SUM(Y65:Y68),"0")</f>
        <v>334.8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20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21.051282051282055</v>
      </c>
      <c r="BN77" s="78">
        <f>IFERROR(Y77*I77/H77,"0")</f>
        <v>24.630000000000003</v>
      </c>
      <c r="BO77" s="78">
        <f>IFERROR(1/J77*(X77/H77),"0")</f>
        <v>4.0064102564102567E-2</v>
      </c>
      <c r="BP77" s="78">
        <f>IFERROR(1/J77*(Y77/H77),"0")</f>
        <v>4.6875E-2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2.5641025641025643</v>
      </c>
      <c r="Y80" s="43">
        <f>IFERROR(Y77/H77,"0")+IFERROR(Y78/H78,"0")+IFERROR(Y79/H79,"0")</f>
        <v>3</v>
      </c>
      <c r="Z80" s="43">
        <f>IFERROR(IF(Z77="",0,Z77),"0")+IFERROR(IF(Z78="",0,Z78),"0")+IFERROR(IF(Z79="",0,Z79),"0")</f>
        <v>5.6940000000000004E-2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20</v>
      </c>
      <c r="Y81" s="43">
        <f>IFERROR(SUM(Y77:Y79),"0")</f>
        <v>23.4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100</v>
      </c>
      <c r="Y84" s="55">
        <f t="shared" ref="Y84:Y89" si="5"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103.79629629629629</v>
      </c>
      <c r="BN84" s="78">
        <f t="shared" ref="BN84:BN89" si="7">IFERROR(Y84*I84/H84,"0")</f>
        <v>112.1</v>
      </c>
      <c r="BO84" s="78">
        <f t="shared" ref="BO84:BO89" si="8">IFERROR(1/J84*(X84/H84),"0")</f>
        <v>0.14467592592592593</v>
      </c>
      <c r="BP84" s="78">
        <f t="shared" ref="BP84:BP89" si="9">IFERROR(1/J84*(Y84/H84),"0")</f>
        <v>0.15625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225</v>
      </c>
      <c r="Y89" s="55">
        <f t="shared" si="5"/>
        <v>225</v>
      </c>
      <c r="Z89" s="41">
        <f>IFERROR(IF(Y89=0,"",ROUNDUP(Y89/H89,0)*0.00902),"")</f>
        <v>0.45100000000000001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234.5</v>
      </c>
      <c r="BN89" s="78">
        <f t="shared" si="7"/>
        <v>234.5</v>
      </c>
      <c r="BO89" s="78">
        <f t="shared" si="8"/>
        <v>0.37878787878787878</v>
      </c>
      <c r="BP89" s="78">
        <f t="shared" si="9"/>
        <v>0.37878787878787878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59.25925925925926</v>
      </c>
      <c r="Y90" s="43">
        <f>IFERROR(Y84/H84,"0")+IFERROR(Y85/H85,"0")+IFERROR(Y86/H86,"0")+IFERROR(Y87/H87,"0")+IFERROR(Y88/H88,"0")+IFERROR(Y89/H89,"0")</f>
        <v>60</v>
      </c>
      <c r="Z90" s="43">
        <f>IFERROR(IF(Z84="",0,Z84),"0")+IFERROR(IF(Z85="",0,Z85),"0")+IFERROR(IF(Z86="",0,Z86),"0")+IFERROR(IF(Z87="",0,Z87),"0")+IFERROR(IF(Z88="",0,Z88),"0")+IFERROR(IF(Z89="",0,Z89),"0")</f>
        <v>0.64080000000000004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325</v>
      </c>
      <c r="Y91" s="43">
        <f>IFERROR(SUM(Y84:Y89),"0")</f>
        <v>333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400</v>
      </c>
      <c r="Y93" s="55">
        <f>IFERROR(IF(X93="",0,CEILING((X93/$H93),1)*$H93),"")</f>
        <v>405</v>
      </c>
      <c r="Z93" s="41">
        <f>IFERROR(IF(Y93=0,"",ROUNDUP(Y93/H93,0)*0.01898),"")</f>
        <v>0.94900000000000007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424.39506172839509</v>
      </c>
      <c r="BN93" s="78">
        <f>IFERROR(Y93*I93/H93,"0")</f>
        <v>429.7</v>
      </c>
      <c r="BO93" s="78">
        <f>IFERROR(1/J93*(X93/H93),"0")</f>
        <v>0.77160493827160492</v>
      </c>
      <c r="BP93" s="78">
        <f>IFERROR(1/J93*(Y93/H93),"0")</f>
        <v>0.78125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315</v>
      </c>
      <c r="Y95" s="55">
        <f>IFERROR(IF(X95="",0,CEILING((X95/$H95),1)*$H95),"")</f>
        <v>315.90000000000003</v>
      </c>
      <c r="Z95" s="41">
        <f>IFERROR(IF(Y95=0,"",ROUNDUP(Y95/H95,0)*0.00651),"")</f>
        <v>0.76167000000000007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344.4</v>
      </c>
      <c r="BN95" s="78">
        <f>IFERROR(Y95*I95/H95,"0")</f>
        <v>345.38400000000001</v>
      </c>
      <c r="BO95" s="78">
        <f>IFERROR(1/J95*(X95/H95),"0")</f>
        <v>0.64102564102564097</v>
      </c>
      <c r="BP95" s="78">
        <f>IFERROR(1/J95*(Y95/H95),"0")</f>
        <v>0.6428571428571429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166.04938271604937</v>
      </c>
      <c r="Y97" s="43">
        <f>IFERROR(Y93/H93,"0")+IFERROR(Y94/H94,"0")+IFERROR(Y95/H95,"0")+IFERROR(Y96/H96,"0")</f>
        <v>167</v>
      </c>
      <c r="Z97" s="43">
        <f>IFERROR(IF(Z93="",0,Z93),"0")+IFERROR(IF(Z94="",0,Z94),"0")+IFERROR(IF(Z95="",0,Z95),"0")+IFERROR(IF(Z96="",0,Z96),"0")</f>
        <v>1.7106700000000001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715</v>
      </c>
      <c r="Y98" s="43">
        <f>IFERROR(SUM(Y93:Y96),"0")</f>
        <v>720.90000000000009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450</v>
      </c>
      <c r="Y105" s="55">
        <f t="shared" si="10"/>
        <v>450</v>
      </c>
      <c r="Z105" s="41">
        <f>IFERROR(IF(Y105=0,"",ROUNDUP(Y105/H105,0)*0.00902),"")</f>
        <v>0.90200000000000002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469</v>
      </c>
      <c r="BN105" s="78">
        <f t="shared" si="12"/>
        <v>469</v>
      </c>
      <c r="BO105" s="78">
        <f t="shared" si="13"/>
        <v>0.75757575757575757</v>
      </c>
      <c r="BP105" s="78">
        <f t="shared" si="14"/>
        <v>0.75757575757575757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100</v>
      </c>
      <c r="Y108" s="43">
        <f>IFERROR(Y101/H101,"0")+IFERROR(Y102/H102,"0")+IFERROR(Y103/H103,"0")+IFERROR(Y104/H104,"0")+IFERROR(Y105/H105,"0")+IFERROR(Y106/H106,"0")+IFERROR(Y107/H107,"0")</f>
        <v>100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0.90200000000000002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450</v>
      </c>
      <c r="Y109" s="43">
        <f>IFERROR(SUM(Y101:Y107),"0")</f>
        <v>450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300</v>
      </c>
      <c r="Y119" s="55">
        <f>IFERROR(IF(X119="",0,CEILING((X119/$H119),1)*$H119),"")</f>
        <v>307.8</v>
      </c>
      <c r="Z119" s="41">
        <f>IFERROR(IF(Y119=0,"",ROUNDUP(Y119/H119,0)*0.01898),"")</f>
        <v>0.72123999999999999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318.07407407407402</v>
      </c>
      <c r="BN119" s="78">
        <f>IFERROR(Y119*I119/H119,"0")</f>
        <v>326.34399999999999</v>
      </c>
      <c r="BO119" s="78">
        <f>IFERROR(1/J119*(X119/H119),"0")</f>
        <v>0.57870370370370372</v>
      </c>
      <c r="BP119" s="78">
        <f>IFERROR(1/J119*(Y119/H119),"0")</f>
        <v>0.59375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630</v>
      </c>
      <c r="Y121" s="55">
        <f>IFERROR(IF(X121="",0,CEILING((X121/$H121),1)*$H121),"")</f>
        <v>631.80000000000007</v>
      </c>
      <c r="Z121" s="41">
        <f>IFERROR(IF(Y121=0,"",ROUNDUP(Y121/H121,0)*0.00651),"")</f>
        <v>1.5233400000000001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688.8</v>
      </c>
      <c r="BN121" s="78">
        <f>IFERROR(Y121*I121/H121,"0")</f>
        <v>690.76800000000003</v>
      </c>
      <c r="BO121" s="78">
        <f>IFERROR(1/J121*(X121/H121),"0")</f>
        <v>1.2820512820512819</v>
      </c>
      <c r="BP121" s="78">
        <f>IFERROR(1/J121*(Y121/H121),"0")</f>
        <v>1.2857142857142858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270.37037037037032</v>
      </c>
      <c r="Y123" s="43">
        <f>IFERROR(Y119/H119,"0")+IFERROR(Y120/H120,"0")+IFERROR(Y121/H121,"0")+IFERROR(Y122/H122,"0")</f>
        <v>272</v>
      </c>
      <c r="Z123" s="43">
        <f>IFERROR(IF(Z119="",0,Z119),"0")+IFERROR(IF(Z120="",0,Z120),"0")+IFERROR(IF(Z121="",0,Z121),"0")+IFERROR(IF(Z122="",0,Z122),"0")</f>
        <v>2.24458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930</v>
      </c>
      <c r="Y124" s="43">
        <f>IFERROR(SUM(Y119:Y122),"0")</f>
        <v>939.60000000000014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20</v>
      </c>
      <c r="Y126" s="55">
        <f>IFERROR(IF(X126="",0,CEILING((X126/$H126),1)*$H126),"")</f>
        <v>21.78</v>
      </c>
      <c r="Z126" s="41">
        <f>IFERROR(IF(Y126=0,"",ROUNDUP(Y126/H126,0)*0.00651),"")</f>
        <v>7.1610000000000007E-2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22.606060606060606</v>
      </c>
      <c r="BN126" s="78">
        <f>IFERROR(Y126*I126/H126,"0")</f>
        <v>24.617999999999999</v>
      </c>
      <c r="BO126" s="78">
        <f>IFERROR(1/J126*(X126/H126),"0")</f>
        <v>5.5500055500055503E-2</v>
      </c>
      <c r="BP126" s="78">
        <f>IFERROR(1/J126*(Y126/H126),"0")</f>
        <v>6.0439560439560447E-2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10.1010101010101</v>
      </c>
      <c r="Y127" s="43">
        <f>IFERROR(Y126/H126,"0")</f>
        <v>11</v>
      </c>
      <c r="Z127" s="43">
        <f>IFERROR(IF(Z126="",0,Z126),"0")</f>
        <v>7.1610000000000007E-2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20</v>
      </c>
      <c r="Y128" s="43">
        <f>IFERROR(SUM(Y126:Y126),"0")</f>
        <v>21.78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60</v>
      </c>
      <c r="Y132" s="55">
        <f>IFERROR(IF(X132="",0,CEILING((X132/$H132),1)*$H132),"")</f>
        <v>60.800000000000004</v>
      </c>
      <c r="Z132" s="41">
        <f>IFERROR(IF(Y132=0,"",ROUNDUP(Y132/H132,0)*0.00651),"")</f>
        <v>0.12369000000000001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63.374999999999993</v>
      </c>
      <c r="BN132" s="78">
        <f>IFERROR(Y132*I132/H132,"0")</f>
        <v>64.22</v>
      </c>
      <c r="BO132" s="78">
        <f>IFERROR(1/J132*(X132/H132),"0")</f>
        <v>0.10302197802197803</v>
      </c>
      <c r="BP132" s="78">
        <f>IFERROR(1/J132*(Y132/H132),"0")</f>
        <v>0.1043956043956044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18.75</v>
      </c>
      <c r="Y133" s="43">
        <f>IFERROR(Y131/H131,"0")+IFERROR(Y132/H132,"0")</f>
        <v>19</v>
      </c>
      <c r="Z133" s="43">
        <f>IFERROR(IF(Z131="",0,Z131),"0")+IFERROR(IF(Z132="",0,Z132),"0")</f>
        <v>0.12369000000000001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60</v>
      </c>
      <c r="Y134" s="43">
        <f>IFERROR(SUM(Y131:Y132),"0")</f>
        <v>60.800000000000004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42</v>
      </c>
      <c r="Y136" s="55">
        <f>IFERROR(IF(X136="",0,CEILING((X136/$H136),1)*$H136),"")</f>
        <v>42</v>
      </c>
      <c r="Z136" s="41">
        <f>IFERROR(IF(Y136=0,"",ROUNDUP(Y136/H136,0)*0.00651),"")</f>
        <v>9.7650000000000001E-2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46.02</v>
      </c>
      <c r="BN136" s="78">
        <f>IFERROR(Y136*I136/H136,"0")</f>
        <v>46.02</v>
      </c>
      <c r="BO136" s="78">
        <f>IFERROR(1/J136*(X136/H136),"0")</f>
        <v>8.241758241758243E-2</v>
      </c>
      <c r="BP136" s="78">
        <f>IFERROR(1/J136*(Y136/H136),"0")</f>
        <v>8.241758241758243E-2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15.000000000000002</v>
      </c>
      <c r="Y138" s="43">
        <f>IFERROR(Y136/H136,"0")+IFERROR(Y137/H137,"0")</f>
        <v>15.000000000000002</v>
      </c>
      <c r="Z138" s="43">
        <f>IFERROR(IF(Z136="",0,Z136),"0")+IFERROR(IF(Z137="",0,Z137),"0")</f>
        <v>9.7650000000000001E-2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42</v>
      </c>
      <c r="Y139" s="43">
        <f>IFERROR(SUM(Y136:Y137),"0")</f>
        <v>42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66</v>
      </c>
      <c r="Y141" s="55">
        <f>IFERROR(IF(X141="",0,CEILING((X141/$H141),1)*$H141),"")</f>
        <v>66</v>
      </c>
      <c r="Z141" s="41">
        <f>IFERROR(IF(Y141=0,"",ROUNDUP(Y141/H141,0)*0.00651),"")</f>
        <v>0.16275000000000001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72.699999999999989</v>
      </c>
      <c r="BN141" s="78">
        <f>IFERROR(Y141*I141/H141,"0")</f>
        <v>72.699999999999989</v>
      </c>
      <c r="BO141" s="78">
        <f>IFERROR(1/J141*(X141/H141),"0")</f>
        <v>0.13736263736263737</v>
      </c>
      <c r="BP141" s="78">
        <f>IFERROR(1/J141*(Y141/H141),"0")</f>
        <v>0.13736263736263737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25</v>
      </c>
      <c r="Y143" s="43">
        <f>IFERROR(Y141/H141,"0")+IFERROR(Y142/H142,"0")</f>
        <v>25</v>
      </c>
      <c r="Z143" s="43">
        <f>IFERROR(IF(Z141="",0,Z141),"0")+IFERROR(IF(Z142="",0,Z142),"0")</f>
        <v>0.16275000000000001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66</v>
      </c>
      <c r="Y144" s="43">
        <f>IFERROR(SUM(Y141:Y142),"0")</f>
        <v>66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6</v>
      </c>
      <c r="Y166" s="55">
        <f>IFERROR(IF(X166="",0,CEILING((X166/$H166),1)*$H166),"")</f>
        <v>6.4799999999999995</v>
      </c>
      <c r="Z166" s="41">
        <f>IFERROR(IF(Y166=0,"",ROUNDUP(Y166/H166,0)*0.00556),"")</f>
        <v>5.0040000000000001E-2</v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7.083333333333333</v>
      </c>
      <c r="BN166" s="78">
        <f>IFERROR(Y166*I166/H166,"0")</f>
        <v>7.6499999999999995</v>
      </c>
      <c r="BO166" s="78">
        <f>IFERROR(1/J166*(X166/H166),"0")</f>
        <v>3.3068783068783067E-2</v>
      </c>
      <c r="BP166" s="78">
        <f>IFERROR(1/J166*(Y166/H166),"0")</f>
        <v>3.5714285714285712E-2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8.3333333333333339</v>
      </c>
      <c r="Y168" s="43">
        <f>IFERROR(Y166/H166,"0")+IFERROR(Y167/H167,"0")</f>
        <v>9</v>
      </c>
      <c r="Z168" s="43">
        <f>IFERROR(IF(Z166="",0,Z166),"0")+IFERROR(IF(Z167="",0,Z167),"0")</f>
        <v>5.0040000000000001E-2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6</v>
      </c>
      <c r="Y169" s="43">
        <f>IFERROR(SUM(Y166:Y167),"0")</f>
        <v>6.4799999999999995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400</v>
      </c>
      <c r="Y171" s="55">
        <f t="shared" ref="Y171:Y180" si="15">IFERROR(IF(X171="",0,CEILING((X171/$H171),1)*$H171),"")</f>
        <v>402.5</v>
      </c>
      <c r="Z171" s="41">
        <f>IFERROR(IF(Y171=0,"",ROUNDUP(Y171/H171,0)*0.00902),"")</f>
        <v>1.0373000000000001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421.71428571428572</v>
      </c>
      <c r="BN171" s="78">
        <f t="shared" ref="BN171:BN180" si="17">IFERROR(Y171*I171/H171,"0")</f>
        <v>424.34999999999997</v>
      </c>
      <c r="BO171" s="78">
        <f t="shared" ref="BO171:BO180" si="18">IFERROR(1/J171*(X171/H171),"0")</f>
        <v>0.8658008658008659</v>
      </c>
      <c r="BP171" s="78">
        <f t="shared" ref="BP171:BP180" si="19">IFERROR(1/J171*(Y171/H171),"0")</f>
        <v>0.87121212121212122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600</v>
      </c>
      <c r="Y173" s="55">
        <f t="shared" si="15"/>
        <v>602</v>
      </c>
      <c r="Z173" s="41">
        <f>IFERROR(IF(Y173=0,"",ROUNDUP(Y173/H173,0)*0.00902),"")</f>
        <v>1.5514399999999999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632.57142857142856</v>
      </c>
      <c r="BN173" s="78">
        <f t="shared" si="17"/>
        <v>634.68000000000006</v>
      </c>
      <c r="BO173" s="78">
        <f t="shared" si="18"/>
        <v>1.2987012987012987</v>
      </c>
      <c r="BP173" s="78">
        <f t="shared" si="19"/>
        <v>1.303030303030303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400</v>
      </c>
      <c r="Y174" s="55">
        <f t="shared" si="15"/>
        <v>402.5</v>
      </c>
      <c r="Z174" s="41">
        <f>IFERROR(IF(Y174=0,"",ROUNDUP(Y174/H174,0)*0.00902),"")</f>
        <v>1.0373000000000001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421.71428571428572</v>
      </c>
      <c r="BN174" s="78">
        <f t="shared" si="17"/>
        <v>424.34999999999997</v>
      </c>
      <c r="BO174" s="78">
        <f t="shared" si="18"/>
        <v>0.8658008658008659</v>
      </c>
      <c r="BP174" s="78">
        <f t="shared" si="19"/>
        <v>0.87121212121212122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9</v>
      </c>
      <c r="Y175" s="55">
        <f t="shared" si="15"/>
        <v>9</v>
      </c>
      <c r="Z175" s="41">
        <f>IFERROR(IF(Y175=0,"",ROUNDUP(Y175/H175,0)*0.00726),"")</f>
        <v>7.2599999999999998E-2</v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11.1</v>
      </c>
      <c r="BN175" s="78">
        <f t="shared" si="17"/>
        <v>11.1</v>
      </c>
      <c r="BO175" s="78">
        <f t="shared" si="18"/>
        <v>5.2083333333333329E-2</v>
      </c>
      <c r="BP175" s="78">
        <f t="shared" si="19"/>
        <v>5.2083333333333329E-2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140</v>
      </c>
      <c r="Y176" s="55">
        <f t="shared" si="15"/>
        <v>141.12</v>
      </c>
      <c r="Z176" s="41">
        <f>IFERROR(IF(Y176=0,"",ROUNDUP(Y176/H176,0)*0.00502),"")</f>
        <v>0.42168</v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148.33333333333334</v>
      </c>
      <c r="BN176" s="78">
        <f t="shared" si="17"/>
        <v>149.52000000000001</v>
      </c>
      <c r="BO176" s="78">
        <f t="shared" si="18"/>
        <v>0.35612535612535623</v>
      </c>
      <c r="BP176" s="78">
        <f t="shared" si="19"/>
        <v>0.35897435897435903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4</v>
      </c>
      <c r="Y177" s="55">
        <f t="shared" si="15"/>
        <v>4.5</v>
      </c>
      <c r="Z177" s="41">
        <f>IFERROR(IF(Y177=0,"",ROUNDUP(Y177/H177,0)*0.00417),"")</f>
        <v>2.085E-2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4.9333333333333336</v>
      </c>
      <c r="BN177" s="78">
        <f t="shared" si="17"/>
        <v>5.55</v>
      </c>
      <c r="BO177" s="78">
        <f t="shared" si="18"/>
        <v>1.3227513227513227E-2</v>
      </c>
      <c r="BP177" s="78">
        <f t="shared" si="19"/>
        <v>1.488095238095238E-2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140</v>
      </c>
      <c r="Y178" s="55">
        <f t="shared" si="15"/>
        <v>141.12</v>
      </c>
      <c r="Z178" s="41">
        <f>IFERROR(IF(Y178=0,"",ROUNDUP(Y178/H178,0)*0.00502),"")</f>
        <v>0.42168</v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148.33333333333334</v>
      </c>
      <c r="BN178" s="78">
        <f t="shared" si="17"/>
        <v>149.52000000000001</v>
      </c>
      <c r="BO178" s="78">
        <f t="shared" si="18"/>
        <v>0.35612535612535623</v>
      </c>
      <c r="BP178" s="78">
        <f t="shared" si="19"/>
        <v>0.35897435897435903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3</v>
      </c>
      <c r="Y179" s="55">
        <f t="shared" si="15"/>
        <v>3.6</v>
      </c>
      <c r="Z179" s="41">
        <f>IFERROR(IF(Y179=0,"",ROUNDUP(Y179/H179,0)*0.00417),"")</f>
        <v>1.668E-2</v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3.333333333333333</v>
      </c>
      <c r="BN179" s="78">
        <f t="shared" si="17"/>
        <v>4</v>
      </c>
      <c r="BO179" s="78">
        <f t="shared" si="18"/>
        <v>9.9206349206349183E-3</v>
      </c>
      <c r="BP179" s="78">
        <f t="shared" si="19"/>
        <v>1.1904761904761904E-2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112</v>
      </c>
      <c r="Y180" s="55">
        <f t="shared" si="15"/>
        <v>112.56</v>
      </c>
      <c r="Z180" s="41">
        <f>IFERROR(IF(Y180=0,"",ROUNDUP(Y180/H180,0)*0.00502),"")</f>
        <v>0.33634000000000003</v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118.66666666666669</v>
      </c>
      <c r="BN180" s="78">
        <f t="shared" si="17"/>
        <v>119.26000000000002</v>
      </c>
      <c r="BO180" s="78">
        <f t="shared" si="18"/>
        <v>0.28490028490028496</v>
      </c>
      <c r="BP180" s="78">
        <f t="shared" si="19"/>
        <v>0.28632478632478636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651.1111111111112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656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4.9158700000000009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1808</v>
      </c>
      <c r="Y182" s="43">
        <f>IFERROR(SUM(Y171:Y180),"0")</f>
        <v>1818.8999999999996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50</v>
      </c>
      <c r="Y204" s="55">
        <f t="shared" si="20"/>
        <v>54</v>
      </c>
      <c r="Z204" s="41">
        <f t="shared" si="21"/>
        <v>9.4899999999999998E-2</v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51.898148148148145</v>
      </c>
      <c r="BN204" s="78">
        <f t="shared" si="23"/>
        <v>56.05</v>
      </c>
      <c r="BO204" s="78">
        <f t="shared" si="24"/>
        <v>7.2337962962962965E-2</v>
      </c>
      <c r="BP204" s="78">
        <f t="shared" si="25"/>
        <v>7.8125E-2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4.6296296296296298</v>
      </c>
      <c r="Y206" s="43">
        <f>IFERROR(Y199/H199,"0")+IFERROR(Y200/H200,"0")+IFERROR(Y201/H201,"0")+IFERROR(Y202/H202,"0")+IFERROR(Y203/H203,"0")+IFERROR(Y204/H204,"0")+IFERROR(Y205/H205,"0")</f>
        <v>5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9.4899999999999998E-2</v>
      </c>
      <c r="AA206" s="67"/>
      <c r="AB206" s="67"/>
      <c r="AC206" s="67"/>
    </row>
    <row r="207" spans="1:68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50</v>
      </c>
      <c r="Y207" s="43">
        <f>IFERROR(SUM(Y199:Y205),"0")</f>
        <v>54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50</v>
      </c>
      <c r="Y214" s="55">
        <f t="shared" ref="Y214:Y226" si="26">IFERROR(IF(X214="",0,CEILING((X214/$H214),1)*$H214),"")</f>
        <v>50.400000000000006</v>
      </c>
      <c r="Z214" s="41">
        <f>IFERROR(IF(Y214=0,"",ROUNDUP(Y214/H214,0)*0.00902),"")</f>
        <v>0.10824</v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52.976190476190474</v>
      </c>
      <c r="BN214" s="78">
        <f t="shared" ref="BN214:BN226" si="28">IFERROR(Y214*I214/H214,"0")</f>
        <v>53.400000000000006</v>
      </c>
      <c r="BO214" s="78">
        <f t="shared" ref="BO214:BO226" si="29">IFERROR(1/J214*(X214/H214),"0")</f>
        <v>9.0187590187590191E-2</v>
      </c>
      <c r="BP214" s="78">
        <f t="shared" ref="BP214:BP226" si="30">IFERROR(1/J214*(Y214/H214),"0")</f>
        <v>9.0909090909090912E-2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6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31.785714285714285</v>
      </c>
      <c r="BN215" s="78">
        <f t="shared" si="28"/>
        <v>35.6</v>
      </c>
      <c r="BO215" s="78">
        <f t="shared" si="29"/>
        <v>5.4112554112554112E-2</v>
      </c>
      <c r="BP215" s="78">
        <f t="shared" si="30"/>
        <v>6.0606060606060608E-2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8</v>
      </c>
      <c r="Y217" s="55">
        <f t="shared" si="26"/>
        <v>8</v>
      </c>
      <c r="Z217" s="41">
        <f>IFERROR(IF(Y217=0,"",ROUNDUP(Y217/H217,0)*0.00556),"")</f>
        <v>5.5599999999999997E-2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9.3000000000000007</v>
      </c>
      <c r="BN217" s="78">
        <f t="shared" si="28"/>
        <v>9.3000000000000007</v>
      </c>
      <c r="BO217" s="78">
        <f t="shared" si="29"/>
        <v>3.968253968253968E-2</v>
      </c>
      <c r="BP217" s="78">
        <f t="shared" si="30"/>
        <v>3.968253968253968E-2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140</v>
      </c>
      <c r="Y220" s="55">
        <f t="shared" si="26"/>
        <v>140.70000000000002</v>
      </c>
      <c r="Z220" s="41">
        <f>IFERROR(IF(Y220=0,"",ROUNDUP(Y220/H220,0)*0.00502),"")</f>
        <v>0.33634000000000003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148.66666666666666</v>
      </c>
      <c r="BN220" s="78">
        <f t="shared" si="28"/>
        <v>149.41</v>
      </c>
      <c r="BO220" s="78">
        <f t="shared" si="29"/>
        <v>0.28490028490028491</v>
      </c>
      <c r="BP220" s="78">
        <f t="shared" si="30"/>
        <v>0.28632478632478636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143.33333333333331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146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0.87831999999999999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358</v>
      </c>
      <c r="Y228" s="43">
        <f>IFERROR(SUM(Y214:Y226),"0")</f>
        <v>367.1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7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2.5720164609053495E-2</v>
      </c>
      <c r="BP240" s="78">
        <f>IFERROR(1/J240*(Y240/H240),"0")</f>
        <v>2.7777777777777776E-2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16.666666666666664</v>
      </c>
      <c r="Y241" s="43">
        <f>IFERROR(Y238/H238,"0")+IFERROR(Y239/H239,"0")+IFERROR(Y240/H240,"0")</f>
        <v>18</v>
      </c>
      <c r="Z241" s="43">
        <f>IFERROR(IF(Z238="",0,Z238),"0")+IFERROR(IF(Z239="",0,Z239),"0")+IFERROR(IF(Z240="",0,Z240),"0")</f>
        <v>0.1062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21</v>
      </c>
      <c r="Y242" s="43">
        <f>IFERROR(SUM(Y238:Y240),"0")</f>
        <v>22.68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150</v>
      </c>
      <c r="Y259" s="55">
        <f t="shared" ref="Y259:Y266" si="31">IFERROR(IF(X259="",0,CEILING((X259/$H259),1)*$H259),"")</f>
        <v>151.20000000000002</v>
      </c>
      <c r="Z259" s="41">
        <f>IFERROR(IF(Y259=0,"",ROUNDUP(Y259/H259,0)*0.00902),"")</f>
        <v>0.25256000000000001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155.27777777777777</v>
      </c>
      <c r="BN259" s="78">
        <f t="shared" ref="BN259:BN266" si="33">IFERROR(Y259*I259/H259,"0")</f>
        <v>156.52000000000001</v>
      </c>
      <c r="BO259" s="78">
        <f t="shared" ref="BO259:BO266" si="34">IFERROR(1/J259*(X259/H259),"0")</f>
        <v>0.21043771043771042</v>
      </c>
      <c r="BP259" s="78">
        <f t="shared" ref="BP259:BP266" si="35">IFERROR(1/J259*(Y259/H259),"0")</f>
        <v>0.21212121212121213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30</v>
      </c>
      <c r="Y262" s="55">
        <f t="shared" si="31"/>
        <v>32.400000000000006</v>
      </c>
      <c r="Z262" s="41">
        <f>IFERROR(IF(Y262=0,"",ROUNDUP(Y262/H262,0)*0.00902),"")</f>
        <v>5.4120000000000001E-2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31.05555555555555</v>
      </c>
      <c r="BN262" s="78">
        <f t="shared" si="33"/>
        <v>33.54</v>
      </c>
      <c r="BO262" s="78">
        <f t="shared" si="34"/>
        <v>4.208754208754209E-2</v>
      </c>
      <c r="BP262" s="78">
        <f t="shared" si="35"/>
        <v>4.5454545454545463E-2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1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96.499999999999986</v>
      </c>
      <c r="BN263" s="78">
        <f t="shared" si="33"/>
        <v>96.499999999999986</v>
      </c>
      <c r="BO263" s="78">
        <f t="shared" si="34"/>
        <v>0.21367521367521369</v>
      </c>
      <c r="BP263" s="78">
        <f t="shared" si="35"/>
        <v>0.21367521367521369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90</v>
      </c>
      <c r="Y264" s="55">
        <f t="shared" si="31"/>
        <v>90</v>
      </c>
      <c r="Z264" s="41">
        <f>IFERROR(IF(Y264=0,"",ROUNDUP(Y264/H264,0)*0.00502),"")</f>
        <v>0.251</v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95</v>
      </c>
      <c r="BN264" s="78">
        <f t="shared" si="33"/>
        <v>95</v>
      </c>
      <c r="BO264" s="78">
        <f t="shared" si="34"/>
        <v>0.21367521367521369</v>
      </c>
      <c r="BP264" s="78">
        <f t="shared" si="35"/>
        <v>0.21367521367521369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1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95</v>
      </c>
      <c r="BN265" s="78">
        <f t="shared" si="33"/>
        <v>95</v>
      </c>
      <c r="BO265" s="78">
        <f t="shared" si="34"/>
        <v>0.21367521367521369</v>
      </c>
      <c r="BP265" s="78">
        <f t="shared" si="35"/>
        <v>0.21367521367521369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183.33333333333331</v>
      </c>
      <c r="Y267" s="43">
        <f>IFERROR(Y259/H259,"0")+IFERROR(Y260/H260,"0")+IFERROR(Y261/H261,"0")+IFERROR(Y262/H262,"0")+IFERROR(Y263/H263,"0")+IFERROR(Y264/H264,"0")+IFERROR(Y265/H265,"0")+IFERROR(Y266/H266,"0")</f>
        <v>184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1.05968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450</v>
      </c>
      <c r="Y268" s="43">
        <f>IFERROR(SUM(Y259:Y266),"0")</f>
        <v>453.6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110</v>
      </c>
      <c r="Y270" s="55">
        <f t="shared" ref="Y270:Y281" si="36">IFERROR(IF(X270="",0,CEILING((X270/$H270),1)*$H270),"")</f>
        <v>113.39999999999999</v>
      </c>
      <c r="Z270" s="41">
        <f>IFERROR(IF(Y270=0,"",ROUNDUP(Y270/H270,0)*0.01898),"")</f>
        <v>0.26572000000000001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116.70864197530864</v>
      </c>
      <c r="BN270" s="78">
        <f t="shared" ref="BN270:BN281" si="38">IFERROR(Y270*I270/H270,"0")</f>
        <v>120.31599999999999</v>
      </c>
      <c r="BO270" s="78">
        <f t="shared" ref="BO270:BO281" si="39">IFERROR(1/J270*(X270/H270),"0")</f>
        <v>0.21219135802469136</v>
      </c>
      <c r="BP270" s="78">
        <f t="shared" ref="BP270:BP281" si="40">IFERROR(1/J270*(Y270/H270),"0")</f>
        <v>0.21875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100</v>
      </c>
      <c r="Y271" s="55">
        <f t="shared" si="36"/>
        <v>105.3</v>
      </c>
      <c r="Z271" s="41">
        <f>IFERROR(IF(Y271=0,"",ROUNDUP(Y271/H271,0)*0.01898),"")</f>
        <v>0.24674000000000001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105.87654320987654</v>
      </c>
      <c r="BN271" s="78">
        <f t="shared" si="38"/>
        <v>111.48800000000001</v>
      </c>
      <c r="BO271" s="78">
        <f t="shared" si="39"/>
        <v>0.19290123456790123</v>
      </c>
      <c r="BP271" s="78">
        <f t="shared" si="40"/>
        <v>0.203125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6"/>
        <v>104.39999999999999</v>
      </c>
      <c r="Z272" s="41">
        <f>IFERROR(IF(Y272=0,"",ROUNDUP(Y272/H272,0)*0.01898),"")</f>
        <v>0.22776000000000002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105.67816091954025</v>
      </c>
      <c r="BN272" s="78">
        <f t="shared" si="38"/>
        <v>110.32800000000002</v>
      </c>
      <c r="BO272" s="78">
        <f t="shared" si="39"/>
        <v>0.1795977011494253</v>
      </c>
      <c r="BP272" s="78">
        <f t="shared" si="40"/>
        <v>0.1875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200</v>
      </c>
      <c r="Y273" s="55">
        <f t="shared" si="36"/>
        <v>201.6</v>
      </c>
      <c r="Z273" s="41">
        <f>IFERROR(IF(Y273=0,"",ROUNDUP(Y273/H273,0)*0.00651),"")</f>
        <v>0.54683999999999999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222.5</v>
      </c>
      <c r="BN273" s="78">
        <f t="shared" si="38"/>
        <v>224.27999999999997</v>
      </c>
      <c r="BO273" s="78">
        <f t="shared" si="39"/>
        <v>0.45787545787545797</v>
      </c>
      <c r="BP273" s="78">
        <f t="shared" si="40"/>
        <v>0.46153846153846156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320</v>
      </c>
      <c r="Y276" s="55">
        <f t="shared" si="36"/>
        <v>321.59999999999997</v>
      </c>
      <c r="Z276" s="41">
        <f>IFERROR(IF(Y276=0,"",ROUNDUP(Y276/H276,0)*0.00651),"")</f>
        <v>0.87234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353.60000000000008</v>
      </c>
      <c r="BN276" s="78">
        <f t="shared" si="38"/>
        <v>355.36799999999999</v>
      </c>
      <c r="BO276" s="78">
        <f t="shared" si="39"/>
        <v>0.73260073260073266</v>
      </c>
      <c r="BP276" s="78">
        <f t="shared" si="40"/>
        <v>0.73626373626373631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36"/>
        <v>201.6</v>
      </c>
      <c r="Z279" s="41">
        <f>IFERROR(IF(Y279=0,"",ROUNDUP(Y279/H279,0)*0.00651),"")</f>
        <v>0.54683999999999999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221</v>
      </c>
      <c r="BN279" s="78">
        <f t="shared" si="38"/>
        <v>222.768</v>
      </c>
      <c r="BO279" s="78">
        <f t="shared" si="39"/>
        <v>0.45787545787545797</v>
      </c>
      <c r="BP279" s="78">
        <f t="shared" si="40"/>
        <v>0.46153846153846156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120</v>
      </c>
      <c r="Y280" s="55">
        <f t="shared" si="36"/>
        <v>120</v>
      </c>
      <c r="Z280" s="41">
        <f>IFERROR(IF(Y280=0,"",ROUNDUP(Y280/H280,0)*0.00651),"")</f>
        <v>0.32550000000000001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132.9</v>
      </c>
      <c r="BN280" s="78">
        <f t="shared" si="38"/>
        <v>132.9</v>
      </c>
      <c r="BO280" s="78">
        <f t="shared" si="39"/>
        <v>0.27472527472527475</v>
      </c>
      <c r="BP280" s="78">
        <f t="shared" si="40"/>
        <v>0.27472527472527475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387.42017879948918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391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3.0317400000000001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1150</v>
      </c>
      <c r="Y283" s="43">
        <f>IFERROR(SUM(Y270:Y281),"0")</f>
        <v>1167.8999999999999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56</v>
      </c>
      <c r="Y286" s="55">
        <f>IFERROR(IF(X286="",0,CEILING((X286/$H286),1)*$H286),"")</f>
        <v>57.599999999999994</v>
      </c>
      <c r="Z286" s="41">
        <f>IFERROR(IF(Y286=0,"",ROUNDUP(Y286/H286,0)*0.00651),"")</f>
        <v>0.15623999999999999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61.88</v>
      </c>
      <c r="BN286" s="78">
        <f>IFERROR(Y286*I286/H286,"0")</f>
        <v>63.648000000000003</v>
      </c>
      <c r="BO286" s="78">
        <f>IFERROR(1/J286*(X286/H286),"0")</f>
        <v>0.12820512820512822</v>
      </c>
      <c r="BP286" s="78">
        <f>IFERROR(1/J286*(Y286/H286),"0")</f>
        <v>0.13186813186813187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31.666666666666671</v>
      </c>
      <c r="Y287" s="43">
        <f>IFERROR(Y285/H285,"0")+IFERROR(Y286/H286,"0")</f>
        <v>33</v>
      </c>
      <c r="Z287" s="43">
        <f>IFERROR(IF(Z285="",0,Z285),"0")+IFERROR(IF(Z286="",0,Z286),"0")</f>
        <v>0.21482999999999999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76</v>
      </c>
      <c r="Y288" s="43">
        <f>IFERROR(SUM(Y285:Y286),"0")</f>
        <v>79.199999999999989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20</v>
      </c>
      <c r="Y293" s="55">
        <f t="shared" si="41"/>
        <v>23.2</v>
      </c>
      <c r="Z293" s="41">
        <f>IFERROR(IF(Y293=0,"",ROUNDUP(Y293/H293,0)*0.01898),"")</f>
        <v>3.7960000000000001E-2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20.706896551724139</v>
      </c>
      <c r="BN293" s="78">
        <f t="shared" si="43"/>
        <v>24.02</v>
      </c>
      <c r="BO293" s="78">
        <f t="shared" si="44"/>
        <v>2.6939655172413795E-2</v>
      </c>
      <c r="BP293" s="78">
        <f t="shared" si="45"/>
        <v>3.125E-2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8</v>
      </c>
      <c r="Y294" s="55">
        <f t="shared" si="41"/>
        <v>8</v>
      </c>
      <c r="Z294" s="41">
        <f>IFERROR(IF(Y294=0,"",ROUNDUP(Y294/H294,0)*0.00902),"")</f>
        <v>1.804E-2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8.3800000000000008</v>
      </c>
      <c r="BN294" s="78">
        <f t="shared" si="43"/>
        <v>8.3800000000000008</v>
      </c>
      <c r="BO294" s="78">
        <f t="shared" si="44"/>
        <v>1.5151515151515152E-2</v>
      </c>
      <c r="BP294" s="78">
        <f t="shared" si="45"/>
        <v>1.5151515151515152E-2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24</v>
      </c>
      <c r="Y297" s="55">
        <f t="shared" si="41"/>
        <v>24</v>
      </c>
      <c r="Z297" s="41">
        <f>IFERROR(IF(Y297=0,"",ROUNDUP(Y297/H297,0)*0.00902),"")</f>
        <v>5.4120000000000001E-2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25.14</v>
      </c>
      <c r="BN297" s="78">
        <f t="shared" si="43"/>
        <v>25.14</v>
      </c>
      <c r="BO297" s="78">
        <f t="shared" si="44"/>
        <v>4.5454545454545456E-2</v>
      </c>
      <c r="BP297" s="78">
        <f t="shared" si="45"/>
        <v>4.5454545454545456E-2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9.724137931034484</v>
      </c>
      <c r="Y298" s="43">
        <f>IFERROR(Y291/H291,"0")+IFERROR(Y292/H292,"0")+IFERROR(Y293/H293,"0")+IFERROR(Y294/H294,"0")+IFERROR(Y295/H295,"0")+IFERROR(Y296/H296,"0")+IFERROR(Y297/H297,"0")</f>
        <v>10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0.11012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52</v>
      </c>
      <c r="Y299" s="43">
        <f>IFERROR(SUM(Y291:Y297),"0")</f>
        <v>55.2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16</v>
      </c>
      <c r="Y301" s="55">
        <f>IFERROR(IF(X301="",0,CEILING((X301/$H301),1)*$H301),"")</f>
        <v>17.82</v>
      </c>
      <c r="Z301" s="41">
        <f>IFERROR(IF(Y301=0,"",ROUNDUP(Y301/H301,0)*0.00502),"")</f>
        <v>4.5179999999999998E-2</v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16.80808080808081</v>
      </c>
      <c r="BN301" s="78">
        <f>IFERROR(Y301*I301/H301,"0")</f>
        <v>18.720000000000002</v>
      </c>
      <c r="BO301" s="78">
        <f>IFERROR(1/J301*(X301/H301),"0")</f>
        <v>3.4533367866701206E-2</v>
      </c>
      <c r="BP301" s="78">
        <f>IFERROR(1/J301*(Y301/H301),"0")</f>
        <v>3.8461538461538464E-2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8.0808080808080813</v>
      </c>
      <c r="Y302" s="43">
        <f>IFERROR(Y301/H301,"0")</f>
        <v>9</v>
      </c>
      <c r="Z302" s="43">
        <f>IFERROR(IF(Z301="",0,Z301),"0")</f>
        <v>4.5179999999999998E-2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16</v>
      </c>
      <c r="Y303" s="43">
        <f>IFERROR(SUM(Y301:Y301),"0")</f>
        <v>17.82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12</v>
      </c>
      <c r="Y309" s="55">
        <f>IFERROR(IF(X309="",0,CEILING((X309/$H309),1)*$H309),"")</f>
        <v>12.6</v>
      </c>
      <c r="Z309" s="41">
        <f>IFERROR(IF(Y309=0,"",ROUNDUP(Y309/H309,0)*0.0059),"")</f>
        <v>4.1299999999999996E-2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13.166666666666668</v>
      </c>
      <c r="BN309" s="78">
        <f>IFERROR(Y309*I309/H309,"0")</f>
        <v>13.825000000000001</v>
      </c>
      <c r="BO309" s="78">
        <f>IFERROR(1/J309*(X309/H309),"0")</f>
        <v>3.0864197530864192E-2</v>
      </c>
      <c r="BP309" s="78">
        <f>IFERROR(1/J309*(Y309/H309),"0")</f>
        <v>3.2407407407407406E-2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6.6666666666666661</v>
      </c>
      <c r="Y311" s="43">
        <f>IFERROR(Y309/H309,"0")+IFERROR(Y310/H310,"0")</f>
        <v>7</v>
      </c>
      <c r="Z311" s="43">
        <f>IFERROR(IF(Z309="",0,Z309),"0")+IFERROR(IF(Z310="",0,Z310),"0")</f>
        <v>4.1299999999999996E-2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12</v>
      </c>
      <c r="Y312" s="43">
        <f>IFERROR(SUM(Y309:Y310),"0")</f>
        <v>12.6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220</v>
      </c>
      <c r="Y327" s="55">
        <f>IFERROR(IF(X327="",0,CEILING((X327/$H327),1)*$H327),"")</f>
        <v>220.79999999999998</v>
      </c>
      <c r="Z327" s="41">
        <f>IFERROR(IF(Y327=0,"",ROUNDUP(Y327/H327,0)*0.00651),"")</f>
        <v>0.59892000000000001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236.50000000000003</v>
      </c>
      <c r="BN327" s="78">
        <f>IFERROR(Y327*I327/H327,"0")</f>
        <v>237.36</v>
      </c>
      <c r="BO327" s="78">
        <f>IFERROR(1/J327*(X327/H327),"0")</f>
        <v>0.50366300366300376</v>
      </c>
      <c r="BP327" s="78">
        <f>IFERROR(1/J327*(Y327/H327),"0")</f>
        <v>0.50549450549450559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125</v>
      </c>
      <c r="Y328" s="43">
        <f>IFERROR(Y325/H325,"0")+IFERROR(Y326/H326,"0")+IFERROR(Y327/H327,"0")</f>
        <v>126</v>
      </c>
      <c r="Z328" s="43">
        <f>IFERROR(IF(Z325="",0,Z325),"0")+IFERROR(IF(Z326="",0,Z326),"0")+IFERROR(IF(Z327="",0,Z327),"0")</f>
        <v>0.82025999999999999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300</v>
      </c>
      <c r="Y329" s="43">
        <f>IFERROR(SUM(Y325:Y327),"0")</f>
        <v>302.39999999999998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230</v>
      </c>
      <c r="Y346" s="55">
        <f>IFERROR(IF(X346="",0,CEILING((X346/$H346),1)*$H346),"")</f>
        <v>234</v>
      </c>
      <c r="Z346" s="41">
        <f>IFERROR(IF(Y346=0,"",ROUNDUP(Y346/H346,0)*0.01898),"")</f>
        <v>0.56940000000000002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242.08974358974362</v>
      </c>
      <c r="BN346" s="78">
        <f>IFERROR(Y346*I346/H346,"0")</f>
        <v>246.3</v>
      </c>
      <c r="BO346" s="78">
        <f>IFERROR(1/J346*(X346/H346),"0")</f>
        <v>0.46073717948717952</v>
      </c>
      <c r="BP346" s="78">
        <f>IFERROR(1/J346*(Y346/H346),"0")</f>
        <v>0.46875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260</v>
      </c>
      <c r="Y347" s="55">
        <f>IFERROR(IF(X347="",0,CEILING((X347/$H347),1)*$H347),"")</f>
        <v>265.2</v>
      </c>
      <c r="Z347" s="41">
        <f>IFERROR(IF(Y347=0,"",ROUNDUP(Y347/H347,0)*0.01898),"")</f>
        <v>0.64532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273.66666666666674</v>
      </c>
      <c r="BN347" s="78">
        <f>IFERROR(Y347*I347/H347,"0")</f>
        <v>279.14</v>
      </c>
      <c r="BO347" s="78">
        <f>IFERROR(1/J347*(X347/H347),"0")</f>
        <v>0.52083333333333337</v>
      </c>
      <c r="BP347" s="78">
        <f>IFERROR(1/J347*(Y347/H347),"0")</f>
        <v>0.53125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100</v>
      </c>
      <c r="Y348" s="55">
        <f>IFERROR(IF(X348="",0,CEILING((X348/$H348),1)*$H348),"")</f>
        <v>101.39999999999999</v>
      </c>
      <c r="Z348" s="41">
        <f>IFERROR(IF(Y348=0,"",ROUNDUP(Y348/H348,0)*0.01898),"")</f>
        <v>0.24674000000000001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105.25641025641028</v>
      </c>
      <c r="BN348" s="78">
        <f>IFERROR(Y348*I348/H348,"0")</f>
        <v>106.73</v>
      </c>
      <c r="BO348" s="78">
        <f>IFERROR(1/J348*(X348/H348),"0")</f>
        <v>0.20032051282051283</v>
      </c>
      <c r="BP348" s="78">
        <f>IFERROR(1/J348*(Y348/H348),"0")</f>
        <v>0.203125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75.641025641025649</v>
      </c>
      <c r="Y349" s="43">
        <f>IFERROR(Y346/H346,"0")+IFERROR(Y347/H347,"0")+IFERROR(Y348/H348,"0")</f>
        <v>77</v>
      </c>
      <c r="Z349" s="43">
        <f>IFERROR(IF(Z346="",0,Z346),"0")+IFERROR(IF(Z347="",0,Z347),"0")+IFERROR(IF(Z348="",0,Z348),"0")</f>
        <v>1.46146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590</v>
      </c>
      <c r="Y350" s="43">
        <f>IFERROR(SUM(Y346:Y348),"0")</f>
        <v>600.6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175</v>
      </c>
      <c r="Y367" s="55">
        <f t="shared" si="56"/>
        <v>176.4</v>
      </c>
      <c r="Z367" s="41">
        <f>IFERROR(IF(Y367=0,"",ROUNDUP(Y367/H367,0)*0.00502),"")</f>
        <v>0.42168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183.33333333333334</v>
      </c>
      <c r="BN367" s="78">
        <f t="shared" si="58"/>
        <v>184.8</v>
      </c>
      <c r="BO367" s="78">
        <f t="shared" si="59"/>
        <v>0.35612535612535612</v>
      </c>
      <c r="BP367" s="78">
        <f t="shared" si="60"/>
        <v>0.35897435897435903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21</v>
      </c>
      <c r="Y369" s="55">
        <f t="shared" si="56"/>
        <v>21.6</v>
      </c>
      <c r="Z369" s="41">
        <f>IFERROR(IF(Y369=0,"",ROUNDUP(Y369/H369,0)*0.00651),"")</f>
        <v>7.8119999999999995E-2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23.66</v>
      </c>
      <c r="BN369" s="78">
        <f t="shared" si="58"/>
        <v>24.335999999999999</v>
      </c>
      <c r="BO369" s="78">
        <f t="shared" si="59"/>
        <v>6.4102564102564111E-2</v>
      </c>
      <c r="BP369" s="78">
        <f t="shared" si="60"/>
        <v>6.5934065934065936E-2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95</v>
      </c>
      <c r="Y370" s="43">
        <f>IFERROR(Y363/H363,"0")+IFERROR(Y364/H364,"0")+IFERROR(Y365/H365,"0")+IFERROR(Y366/H366,"0")+IFERROR(Y367/H367,"0")+IFERROR(Y368/H368,"0")+IFERROR(Y369/H369,"0")</f>
        <v>96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0.49980000000000002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196</v>
      </c>
      <c r="Y371" s="43">
        <f>IFERROR(SUM(Y363:Y369),"0")</f>
        <v>198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250</v>
      </c>
      <c r="Y380" s="55">
        <f>IFERROR(IF(X380="",0,CEILING((X380/$H380),1)*$H380),"")</f>
        <v>252</v>
      </c>
      <c r="Z380" s="41">
        <f>IFERROR(IF(Y380=0,"",ROUNDUP(Y380/H380,0)*0.01898),"")</f>
        <v>0.56940000000000002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264.70238095238096</v>
      </c>
      <c r="BN380" s="78">
        <f>IFERROR(Y380*I380/H380,"0")</f>
        <v>266.82</v>
      </c>
      <c r="BO380" s="78">
        <f>IFERROR(1/J380*(X380/H380),"0")</f>
        <v>0.46502976190476186</v>
      </c>
      <c r="BP380" s="78">
        <f>IFERROR(1/J380*(Y380/H380),"0")</f>
        <v>0.46875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400</v>
      </c>
      <c r="Y381" s="55">
        <f>IFERROR(IF(X381="",0,CEILING((X381/$H381),1)*$H381),"")</f>
        <v>405.59999999999997</v>
      </c>
      <c r="Z381" s="41">
        <f>IFERROR(IF(Y381=0,"",ROUNDUP(Y381/H381,0)*0.01898),"")</f>
        <v>0.98696000000000006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425.33333333333337</v>
      </c>
      <c r="BN381" s="78">
        <f>IFERROR(Y381*I381/H381,"0")</f>
        <v>431.28799999999995</v>
      </c>
      <c r="BO381" s="78">
        <f>IFERROR(1/J381*(X381/H381),"0")</f>
        <v>0.80128205128205132</v>
      </c>
      <c r="BP381" s="78">
        <f>IFERROR(1/J381*(Y381/H381),"0")</f>
        <v>0.8125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100</v>
      </c>
      <c r="Y382" s="55">
        <f>IFERROR(IF(X382="",0,CEILING((X382/$H382),1)*$H382),"")</f>
        <v>100.80000000000001</v>
      </c>
      <c r="Z382" s="41">
        <f>IFERROR(IF(Y382=0,"",ROUNDUP(Y382/H382,0)*0.01898),"")</f>
        <v>0.22776000000000002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105.88095238095238</v>
      </c>
      <c r="BN382" s="78">
        <f>IFERROR(Y382*I382/H382,"0")</f>
        <v>106.72800000000001</v>
      </c>
      <c r="BO382" s="78">
        <f>IFERROR(1/J382*(X382/H382),"0")</f>
        <v>0.18601190476190477</v>
      </c>
      <c r="BP382" s="78">
        <f>IFERROR(1/J382*(Y382/H382),"0")</f>
        <v>0.1875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92.948717948717956</v>
      </c>
      <c r="Y383" s="43">
        <f>IFERROR(Y380/H380,"0")+IFERROR(Y381/H381,"0")+IFERROR(Y382/H382,"0")</f>
        <v>94</v>
      </c>
      <c r="Z383" s="43">
        <f>IFERROR(IF(Z380="",0,Z380),"0")+IFERROR(IF(Z381="",0,Z381),"0")+IFERROR(IF(Z382="",0,Z382),"0")</f>
        <v>1.7841200000000002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750</v>
      </c>
      <c r="Y384" s="43">
        <f>IFERROR(SUM(Y380:Y382),"0")</f>
        <v>758.39999999999986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100</v>
      </c>
      <c r="Y420" s="55">
        <f t="shared" ref="Y420:Y427" si="61">IFERROR(IF(X420="",0,CEILING((X420/$H420),1)*$H420),"")</f>
        <v>105</v>
      </c>
      <c r="Z420" s="41">
        <f>IFERROR(IF(Y420=0,"",ROUNDUP(Y420/H420,0)*0.02175),"")</f>
        <v>0.15225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103.13333333333334</v>
      </c>
      <c r="BN420" s="78">
        <f t="shared" ref="BN420:BN427" si="63">IFERROR(Y420*I420/H420,"0")</f>
        <v>108.29</v>
      </c>
      <c r="BO420" s="78">
        <f t="shared" ref="BO420:BO427" si="64">IFERROR(1/J420*(X420/H420),"0")</f>
        <v>0.1388888888888889</v>
      </c>
      <c r="BP420" s="78">
        <f t="shared" ref="BP420:BP427" si="65">IFERROR(1/J420*(Y420/H420),"0")</f>
        <v>0.14583333333333331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1550</v>
      </c>
      <c r="Y421" s="55">
        <f t="shared" si="61"/>
        <v>1560</v>
      </c>
      <c r="Z421" s="41">
        <f>IFERROR(IF(Y421=0,"",ROUNDUP(Y421/H421,0)*0.02175),"")</f>
        <v>2.262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1598.5666666666666</v>
      </c>
      <c r="BN421" s="78">
        <f t="shared" si="63"/>
        <v>1608.88</v>
      </c>
      <c r="BO421" s="78">
        <f t="shared" si="64"/>
        <v>2.1527777777777777</v>
      </c>
      <c r="BP421" s="78">
        <f t="shared" si="65"/>
        <v>2.1666666666666665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1250</v>
      </c>
      <c r="Y422" s="55">
        <f t="shared" si="61"/>
        <v>1260</v>
      </c>
      <c r="Z422" s="41">
        <f>IFERROR(IF(Y422=0,"",ROUNDUP(Y422/H422,0)*0.02175),"")</f>
        <v>1.827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1289.1666666666667</v>
      </c>
      <c r="BN422" s="78">
        <f t="shared" si="63"/>
        <v>1299.48</v>
      </c>
      <c r="BO422" s="78">
        <f t="shared" si="64"/>
        <v>1.7361111111111109</v>
      </c>
      <c r="BP422" s="78">
        <f t="shared" si="65"/>
        <v>1.75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1550</v>
      </c>
      <c r="Y423" s="55">
        <f t="shared" si="61"/>
        <v>1560</v>
      </c>
      <c r="Z423" s="41">
        <f>IFERROR(IF(Y423=0,"",ROUNDUP(Y423/H423,0)*0.02175),"")</f>
        <v>2.262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1598.5666666666666</v>
      </c>
      <c r="BN423" s="78">
        <f t="shared" si="63"/>
        <v>1608.88</v>
      </c>
      <c r="BO423" s="78">
        <f t="shared" si="64"/>
        <v>2.1527777777777777</v>
      </c>
      <c r="BP423" s="78">
        <f t="shared" si="65"/>
        <v>2.1666666666666665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650</v>
      </c>
      <c r="Y424" s="55">
        <f t="shared" si="61"/>
        <v>660</v>
      </c>
      <c r="Z424" s="41">
        <f>IFERROR(IF(Y424=0,"",ROUNDUP(Y424/H424,0)*0.02175),"")</f>
        <v>0.95699999999999996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670.36666666666667</v>
      </c>
      <c r="BN424" s="78">
        <f t="shared" si="63"/>
        <v>680.68000000000006</v>
      </c>
      <c r="BO424" s="78">
        <f t="shared" si="64"/>
        <v>0.90277777777777779</v>
      </c>
      <c r="BP424" s="78">
        <f t="shared" si="65"/>
        <v>0.91666666666666663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339.99999999999994</v>
      </c>
      <c r="Y428" s="43">
        <f>IFERROR(Y420/H420,"0")+IFERROR(Y421/H421,"0")+IFERROR(Y422/H422,"0")+IFERROR(Y423/H423,"0")+IFERROR(Y424/H424,"0")+IFERROR(Y425/H425,"0")+IFERROR(Y426/H426,"0")+IFERROR(Y427/H427,"0")</f>
        <v>343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7.4602499999999994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5100</v>
      </c>
      <c r="Y429" s="43">
        <f>IFERROR(SUM(Y420:Y427),"0")</f>
        <v>5145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1200</v>
      </c>
      <c r="Y431" s="55">
        <f>IFERROR(IF(X431="",0,CEILING((X431/$H431),1)*$H431),"")</f>
        <v>1200</v>
      </c>
      <c r="Z431" s="41">
        <f>IFERROR(IF(Y431=0,"",ROUNDUP(Y431/H431,0)*0.02175),"")</f>
        <v>1.7399999999999998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1237.5999999999999</v>
      </c>
      <c r="BN431" s="78">
        <f>IFERROR(Y431*I431/H431,"0")</f>
        <v>1237.5999999999999</v>
      </c>
      <c r="BO431" s="78">
        <f>IFERROR(1/J431*(X431/H431),"0")</f>
        <v>1.6666666666666665</v>
      </c>
      <c r="BP431" s="78">
        <f>IFERROR(1/J431*(Y431/H431),"0")</f>
        <v>1.6666666666666665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100</v>
      </c>
      <c r="Y432" s="55">
        <f>IFERROR(IF(X432="",0,CEILING((X432/$H432),1)*$H432),"")</f>
        <v>105</v>
      </c>
      <c r="Z432" s="41">
        <f>IFERROR(IF(Y432=0,"",ROUNDUP(Y432/H432,0)*0.02175),"")</f>
        <v>0.15225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103.13333333333334</v>
      </c>
      <c r="BN432" s="78">
        <f>IFERROR(Y432*I432/H432,"0")</f>
        <v>108.29</v>
      </c>
      <c r="BO432" s="78">
        <f>IFERROR(1/J432*(X432/H432),"0")</f>
        <v>0.1388888888888889</v>
      </c>
      <c r="BP432" s="78">
        <f>IFERROR(1/J432*(Y432/H432),"0")</f>
        <v>0.14583333333333331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86.666666666666671</v>
      </c>
      <c r="Y434" s="43">
        <f>IFERROR(Y431/H431,"0")+IFERROR(Y432/H432,"0")+IFERROR(Y433/H433,"0")</f>
        <v>87</v>
      </c>
      <c r="Z434" s="43">
        <f>IFERROR(IF(Z431="",0,Z431),"0")+IFERROR(IF(Z432="",0,Z432),"0")+IFERROR(IF(Z433="",0,Z433),"0")</f>
        <v>1.8922499999999998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1300</v>
      </c>
      <c r="Y435" s="43">
        <f>IFERROR(SUM(Y431:Y433),"0")</f>
        <v>1305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20</v>
      </c>
      <c r="Y449" s="55">
        <f>IFERROR(IF(X449="",0,CEILING((X449/$H449),1)*$H449),"")</f>
        <v>24</v>
      </c>
      <c r="Z449" s="41">
        <f>IFERROR(IF(Y449=0,"",ROUNDUP(Y449/H449,0)*0.01898),"")</f>
        <v>3.7960000000000001E-2</v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20.683333333333334</v>
      </c>
      <c r="BN449" s="78">
        <f>IFERROR(Y449*I449/H449,"0")</f>
        <v>24.820000000000004</v>
      </c>
      <c r="BO449" s="78">
        <f>IFERROR(1/J449*(X449/H449),"0")</f>
        <v>2.6041666666666668E-2</v>
      </c>
      <c r="BP449" s="78">
        <f>IFERROR(1/J449*(Y449/H449),"0")</f>
        <v>3.125E-2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1.6666666666666667</v>
      </c>
      <c r="Y451" s="43">
        <f>IFERROR(Y449/H449,"0")+IFERROR(Y450/H450,"0")</f>
        <v>2</v>
      </c>
      <c r="Z451" s="43">
        <f>IFERROR(IF(Z449="",0,Z449),"0")+IFERROR(IF(Z450="",0,Z450),"0")</f>
        <v>3.7960000000000001E-2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20</v>
      </c>
      <c r="Y452" s="43">
        <f>IFERROR(SUM(Y449:Y450),"0")</f>
        <v>24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20</v>
      </c>
      <c r="Y458" s="55">
        <f>IFERROR(IF(X458="",0,CEILING((X458/$H458),1)*$H458),"")</f>
        <v>27</v>
      </c>
      <c r="Z458" s="41">
        <f>IFERROR(IF(Y458=0,"",ROUNDUP(Y458/H458,0)*0.01898),"")</f>
        <v>5.6940000000000004E-2</v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21.097777777777779</v>
      </c>
      <c r="BN458" s="78">
        <f>IFERROR(Y458*I458/H458,"0")</f>
        <v>28.481999999999996</v>
      </c>
      <c r="BO458" s="78">
        <f>IFERROR(1/J458*(X458/H458),"0")</f>
        <v>3.4722222222222224E-2</v>
      </c>
      <c r="BP458" s="78">
        <f>IFERROR(1/J458*(Y458/H458),"0")</f>
        <v>4.6875E-2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2.2222222222222223</v>
      </c>
      <c r="Y461" s="43">
        <f>IFERROR(Y458/H458,"0")+IFERROR(Y459/H459,"0")+IFERROR(Y460/H460,"0")</f>
        <v>3</v>
      </c>
      <c r="Z461" s="43">
        <f>IFERROR(IF(Z458="",0,Z458),"0")+IFERROR(IF(Z459="",0,Z459),"0")+IFERROR(IF(Z460="",0,Z460),"0")</f>
        <v>5.6940000000000004E-2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20</v>
      </c>
      <c r="Y462" s="43">
        <f>IFERROR(SUM(Y458:Y460),"0")</f>
        <v>27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60</v>
      </c>
      <c r="Y492" s="55">
        <f t="shared" ref="Y492:Y499" si="71">IFERROR(IF(X492="",0,CEILING((X492/$H492),1)*$H492),"")</f>
        <v>63.36</v>
      </c>
      <c r="Z492" s="41">
        <f>IFERROR(IF(Y492=0,"",ROUNDUP(Y492/H492,0)*0.01196),"")</f>
        <v>0.14352000000000001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63.977272727272727</v>
      </c>
      <c r="BN492" s="78">
        <f t="shared" ref="BN492:BN499" si="73">IFERROR(Y492*I492/H492,"0")</f>
        <v>67.559999999999988</v>
      </c>
      <c r="BO492" s="78">
        <f t="shared" ref="BO492:BO499" si="74">IFERROR(1/J492*(X492/H492),"0")</f>
        <v>0.10926573426573427</v>
      </c>
      <c r="BP492" s="78">
        <f t="shared" ref="BP492:BP499" si="75">IFERROR(1/J492*(Y492/H492),"0")</f>
        <v>0.11538461538461539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160</v>
      </c>
      <c r="Y495" s="55">
        <f t="shared" si="71"/>
        <v>163.68</v>
      </c>
      <c r="Z495" s="41">
        <f>IFERROR(IF(Y495=0,"",ROUNDUP(Y495/H495,0)*0.01196),"")</f>
        <v>0.37075999999999998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170.60606060606059</v>
      </c>
      <c r="BN495" s="78">
        <f t="shared" si="73"/>
        <v>174.53</v>
      </c>
      <c r="BO495" s="78">
        <f t="shared" si="74"/>
        <v>0.29137529137529139</v>
      </c>
      <c r="BP495" s="78">
        <f t="shared" si="75"/>
        <v>0.29807692307692307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300</v>
      </c>
      <c r="Y496" s="55">
        <f t="shared" si="71"/>
        <v>300.96000000000004</v>
      </c>
      <c r="Z496" s="41">
        <f>IFERROR(IF(Y496=0,"",ROUNDUP(Y496/H496,0)*0.01196),"")</f>
        <v>0.68171999999999999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319.88636363636363</v>
      </c>
      <c r="BN496" s="78">
        <f t="shared" si="73"/>
        <v>320.91000000000003</v>
      </c>
      <c r="BO496" s="78">
        <f t="shared" si="74"/>
        <v>0.54632867132867136</v>
      </c>
      <c r="BP496" s="78">
        <f t="shared" si="75"/>
        <v>0.54807692307692313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72</v>
      </c>
      <c r="Y498" s="55">
        <f t="shared" si="71"/>
        <v>72</v>
      </c>
      <c r="Z498" s="41">
        <f>IFERROR(IF(Y498=0,"",ROUNDUP(Y498/H498,0)*0.00902),"")</f>
        <v>0.1353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103.65</v>
      </c>
      <c r="BN498" s="78">
        <f t="shared" si="73"/>
        <v>103.65</v>
      </c>
      <c r="BO498" s="78">
        <f t="shared" si="74"/>
        <v>0.11363636363636365</v>
      </c>
      <c r="BP498" s="78">
        <f t="shared" si="75"/>
        <v>0.11363636363636365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120</v>
      </c>
      <c r="Y499" s="55">
        <f t="shared" si="71"/>
        <v>120</v>
      </c>
      <c r="Z499" s="41">
        <f>IFERROR(IF(Y499=0,"",ROUNDUP(Y499/H499,0)*0.00902),"")</f>
        <v>0.22550000000000001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172.75000000000003</v>
      </c>
      <c r="BN499" s="78">
        <f t="shared" si="73"/>
        <v>172.75000000000003</v>
      </c>
      <c r="BO499" s="78">
        <f t="shared" si="74"/>
        <v>0.18939393939393939</v>
      </c>
      <c r="BP499" s="78">
        <f t="shared" si="75"/>
        <v>0.18939393939393939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138.48484848484847</v>
      </c>
      <c r="Y500" s="43">
        <f>IFERROR(Y492/H492,"0")+IFERROR(Y493/H493,"0")+IFERROR(Y494/H494,"0")+IFERROR(Y495/H495,"0")+IFERROR(Y496/H496,"0")+IFERROR(Y497/H497,"0")+IFERROR(Y498/H498,"0")+IFERROR(Y499/H499,"0")</f>
        <v>140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1.5568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712</v>
      </c>
      <c r="Y501" s="43">
        <f>IFERROR(SUM(Y492:Y499),"0")</f>
        <v>720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400</v>
      </c>
      <c r="Y503" s="55">
        <f>IFERROR(IF(X503="",0,CEILING((X503/$H503),1)*$H503),"")</f>
        <v>401.28000000000003</v>
      </c>
      <c r="Z503" s="41">
        <f>IFERROR(IF(Y503=0,"",ROUNDUP(Y503/H503,0)*0.01196),"")</f>
        <v>0.90895999999999999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426.5151515151515</v>
      </c>
      <c r="BN503" s="78">
        <f>IFERROR(Y503*I503/H503,"0")</f>
        <v>427.88</v>
      </c>
      <c r="BO503" s="78">
        <f>IFERROR(1/J503*(X503/H503),"0")</f>
        <v>0.72843822843822836</v>
      </c>
      <c r="BP503" s="78">
        <f>IFERROR(1/J503*(Y503/H503),"0")</f>
        <v>0.73076923076923084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60</v>
      </c>
      <c r="Y505" s="55">
        <f>IFERROR(IF(X505="",0,CEILING((X505/$H505),1)*$H505),"")</f>
        <v>62.4</v>
      </c>
      <c r="Z505" s="41">
        <f>IFERROR(IF(Y505=0,"",ROUNDUP(Y505/H505,0)*0.00902),"")</f>
        <v>0.11726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86.375000000000014</v>
      </c>
      <c r="BN505" s="78">
        <f>IFERROR(Y505*I505/H505,"0")</f>
        <v>89.830000000000013</v>
      </c>
      <c r="BO505" s="78">
        <f>IFERROR(1/J505*(X505/H505),"0")</f>
        <v>9.4696969696969696E-2</v>
      </c>
      <c r="BP505" s="78">
        <f>IFERROR(1/J505*(Y505/H505),"0")</f>
        <v>9.8484848484848481E-2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88.257575757575751</v>
      </c>
      <c r="Y506" s="43">
        <f>IFERROR(Y503/H503,"0")+IFERROR(Y504/H504,"0")+IFERROR(Y505/H505,"0")</f>
        <v>89</v>
      </c>
      <c r="Z506" s="43">
        <f>IFERROR(IF(Z503="",0,Z503),"0")+IFERROR(IF(Z504="",0,Z504),"0")+IFERROR(IF(Z505="",0,Z505),"0")</f>
        <v>1.0262199999999999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460</v>
      </c>
      <c r="Y507" s="43">
        <f>IFERROR(SUM(Y503:Y505),"0")</f>
        <v>463.68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5" si="76">IFERROR(IF(X509="",0,CEILING((X509/$H509),1)*$H509),"")</f>
        <v>31.68</v>
      </c>
      <c r="Z509" s="41">
        <f>IFERROR(IF(Y509=0,"",ROUNDUP(Y509/H509,0)*0.01196),"")</f>
        <v>7.1760000000000004E-2</v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31.988636363636363</v>
      </c>
      <c r="BN509" s="78">
        <f t="shared" ref="BN509:BN515" si="78">IFERROR(Y509*I509/H509,"0")</f>
        <v>33.779999999999994</v>
      </c>
      <c r="BO509" s="78">
        <f t="shared" ref="BO509:BO515" si="79">IFERROR(1/J509*(X509/H509),"0")</f>
        <v>5.4632867132867136E-2</v>
      </c>
      <c r="BP509" s="78">
        <f t="shared" ref="BP509:BP515" si="80">IFERROR(1/J509*(Y509/H509),"0")</f>
        <v>5.7692307692307696E-2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20</v>
      </c>
      <c r="Y510" s="55">
        <f t="shared" si="76"/>
        <v>21.12</v>
      </c>
      <c r="Z510" s="41">
        <f>IFERROR(IF(Y510=0,"",ROUNDUP(Y510/H510,0)*0.01196),"")</f>
        <v>4.7840000000000001E-2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21.325757575757574</v>
      </c>
      <c r="BN510" s="78">
        <f t="shared" si="78"/>
        <v>22.52</v>
      </c>
      <c r="BO510" s="78">
        <f t="shared" si="79"/>
        <v>3.6421911421911424E-2</v>
      </c>
      <c r="BP510" s="78">
        <f t="shared" si="80"/>
        <v>3.8461538461538464E-2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220</v>
      </c>
      <c r="Y511" s="55">
        <f t="shared" si="76"/>
        <v>221.76000000000002</v>
      </c>
      <c r="Z511" s="41">
        <f>IFERROR(IF(Y511=0,"",ROUNDUP(Y511/H511,0)*0.01196),"")</f>
        <v>0.50231999999999999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234.58333333333331</v>
      </c>
      <c r="BN511" s="78">
        <f t="shared" si="78"/>
        <v>236.46</v>
      </c>
      <c r="BO511" s="78">
        <f t="shared" si="79"/>
        <v>0.40064102564102566</v>
      </c>
      <c r="BP511" s="78">
        <f t="shared" si="80"/>
        <v>0.40384615384615385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30</v>
      </c>
      <c r="Y512" s="55">
        <f t="shared" si="76"/>
        <v>33.6</v>
      </c>
      <c r="Z512" s="41">
        <f>IFERROR(IF(Y512=0,"",ROUNDUP(Y512/H512,0)*0.00902),"")</f>
        <v>6.3140000000000002E-2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43.187500000000007</v>
      </c>
      <c r="BN512" s="78">
        <f t="shared" si="78"/>
        <v>48.370000000000005</v>
      </c>
      <c r="BO512" s="78">
        <f t="shared" si="79"/>
        <v>4.7348484848484848E-2</v>
      </c>
      <c r="BP512" s="78">
        <f t="shared" si="80"/>
        <v>5.3030303030303039E-2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12</v>
      </c>
      <c r="Y514" s="55">
        <f t="shared" si="76"/>
        <v>14.399999999999999</v>
      </c>
      <c r="Z514" s="41">
        <f>IFERROR(IF(Y514=0,"",ROUNDUP(Y514/H514,0)*0.00902),"")</f>
        <v>2.7060000000000001E-2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16.675000000000001</v>
      </c>
      <c r="BN514" s="78">
        <f t="shared" si="78"/>
        <v>20.009999999999998</v>
      </c>
      <c r="BO514" s="78">
        <f t="shared" si="79"/>
        <v>1.893939393939394E-2</v>
      </c>
      <c r="BP514" s="78">
        <f t="shared" si="80"/>
        <v>2.2727272727272728E-2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48</v>
      </c>
      <c r="Y515" s="55">
        <f t="shared" si="76"/>
        <v>48</v>
      </c>
      <c r="Z515" s="41">
        <f>IFERROR(IF(Y515=0,"",ROUNDUP(Y515/H515,0)*0.00902),"")</f>
        <v>9.0200000000000002E-2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66.7</v>
      </c>
      <c r="BN515" s="78">
        <f t="shared" si="78"/>
        <v>66.7</v>
      </c>
      <c r="BO515" s="78">
        <f t="shared" si="79"/>
        <v>7.575757575757576E-2</v>
      </c>
      <c r="BP515" s="78">
        <f t="shared" si="80"/>
        <v>7.575757575757576E-2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69.886363636363626</v>
      </c>
      <c r="Y516" s="43">
        <f>IFERROR(Y509/H509,"0")+IFERROR(Y510/H510,"0")+IFERROR(Y511/H511,"0")+IFERROR(Y512/H512,"0")+IFERROR(Y513/H513,"0")+IFERROR(Y514/H514,"0")+IFERROR(Y515/H515,"0")</f>
        <v>72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0.80231999999999992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360</v>
      </c>
      <c r="Y517" s="43">
        <f>IFERROR(SUM(Y509:Y515),"0")</f>
        <v>370.56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108</v>
      </c>
      <c r="Z521" s="41">
        <f>IFERROR(IF(Y521=0,"",ROUNDUP(Y521/H521,0)*0.01898),"")</f>
        <v>0.17082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103.41666666666667</v>
      </c>
      <c r="BN521" s="78">
        <f>IFERROR(Y521*I521/H521,"0")</f>
        <v>111.69</v>
      </c>
      <c r="BO521" s="78">
        <f>IFERROR(1/J521*(X521/H521),"0")</f>
        <v>0.13020833333333334</v>
      </c>
      <c r="BP521" s="78">
        <f>IFERROR(1/J521*(Y521/H521),"0")</f>
        <v>0.140625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8.3333333333333339</v>
      </c>
      <c r="Y522" s="43">
        <f>IFERROR(Y521/H521,"0")</f>
        <v>9</v>
      </c>
      <c r="Z522" s="43">
        <f>IFERROR(IF(Z521="",0,Z521),"0")</f>
        <v>0.17082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100</v>
      </c>
      <c r="Y523" s="43">
        <f>IFERROR(SUM(Y521:Y521),"0")</f>
        <v>108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17714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17929.160000000003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18768.596296078336</v>
      </c>
      <c r="Y547" s="43">
        <f>IFERROR(SUM(BN22:BN543),"0")</f>
        <v>18998.28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32</v>
      </c>
      <c r="Y548" s="44">
        <f>ROUNDUP(SUM(BP22:BP543),0)</f>
        <v>32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19568.596296078336</v>
      </c>
      <c r="Y549" s="43">
        <f>GrossWeightTotalR+PalletQtyTotalR*25</f>
        <v>19798.28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3478.6488924017649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3517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36.550370000000001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613.6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583.19999999999993</v>
      </c>
      <c r="F556" s="52">
        <f>IFERROR(Y84*1,"0")+IFERROR(Y85*1,"0")+IFERROR(Y86*1,"0")+IFERROR(Y87*1,"0")+IFERROR(Y88*1,"0")+IFERROR(Y89*1,"0")+IFERROR(Y93*1,"0")+IFERROR(Y94*1,"0")+IFERROR(Y95*1,"0")+IFERROR(Y96*1,"0")</f>
        <v>1053.9000000000001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1411.3799999999999</v>
      </c>
      <c r="H556" s="52">
        <f>IFERROR(Y131*1,"0")+IFERROR(Y132*1,"0")+IFERROR(Y136*1,"0")+IFERROR(Y137*1,"0")+IFERROR(Y141*1,"0")+IFERROR(Y142*1,"0")</f>
        <v>168.8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1825.3799999999997</v>
      </c>
      <c r="K556" s="52">
        <f>IFERROR(Y199*1,"0")+IFERROR(Y200*1,"0")+IFERROR(Y201*1,"0")+IFERROR(Y202*1,"0")+IFERROR(Y203*1,"0")+IFERROR(Y204*1,"0")+IFERROR(Y205*1,"0")</f>
        <v>54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397.34000000000003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1700.6999999999996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98.22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302.39999999999998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600.6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956.39999999999986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6450</v>
      </c>
      <c r="X556" s="52">
        <f>IFERROR(Y449*1,"0")+IFERROR(Y450*1,"0")+IFERROR(Y454*1,"0")+IFERROR(Y458*1,"0")+IFERROR(Y459*1,"0")+IFERROR(Y460*1,"0")</f>
        <v>51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1554.24</v>
      </c>
      <c r="AB556" s="52">
        <f>IFERROR(Y521*1,"0")+IFERROR(Y525*1,"0")+IFERROR(Y529*1,"0")+IFERROR(Y533*1,"0")+IFERROR(Y537*1,"0")+IFERROR(Y538*1,"0")</f>
        <v>108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200,00"/>
        <filter val="1 250,00"/>
        <filter val="1 300,00"/>
        <filter val="1 550,00"/>
        <filter val="1 808,00"/>
        <filter val="1,67"/>
        <filter val="10,10"/>
        <filter val="100,00"/>
        <filter val="110,00"/>
        <filter val="112,00"/>
        <filter val="12,00"/>
        <filter val="120,00"/>
        <filter val="125,00"/>
        <filter val="138,48"/>
        <filter val="140,00"/>
        <filter val="143,33"/>
        <filter val="15,00"/>
        <filter val="150,00"/>
        <filter val="16,00"/>
        <filter val="16,67"/>
        <filter val="160,00"/>
        <filter val="166,05"/>
        <filter val="17 714,00"/>
        <filter val="175,00"/>
        <filter val="18 768,60"/>
        <filter val="18,75"/>
        <filter val="183,33"/>
        <filter val="19 568,60"/>
        <filter val="196,00"/>
        <filter val="2,22"/>
        <filter val="2,56"/>
        <filter val="20,00"/>
        <filter val="200,00"/>
        <filter val="21,00"/>
        <filter val="220,00"/>
        <filter val="225,00"/>
        <filter val="230,00"/>
        <filter val="24,00"/>
        <filter val="25,00"/>
        <filter val="250,00"/>
        <filter val="260,00"/>
        <filter val="270,37"/>
        <filter val="3 478,65"/>
        <filter val="3,00"/>
        <filter val="30,00"/>
        <filter val="300,00"/>
        <filter val="31,67"/>
        <filter val="315,00"/>
        <filter val="32"/>
        <filter val="320,00"/>
        <filter val="325,00"/>
        <filter val="340,00"/>
        <filter val="358,00"/>
        <filter val="360,00"/>
        <filter val="387,42"/>
        <filter val="4,00"/>
        <filter val="4,63"/>
        <filter val="400,00"/>
        <filter val="42,00"/>
        <filter val="450,00"/>
        <filter val="460,00"/>
        <filter val="48,00"/>
        <filter val="5 100,00"/>
        <filter val="5,56"/>
        <filter val="50,00"/>
        <filter val="52,00"/>
        <filter val="56,00"/>
        <filter val="59,26"/>
        <filter val="590,00"/>
        <filter val="6,00"/>
        <filter val="6,67"/>
        <filter val="60,00"/>
        <filter val="600,00"/>
        <filter val="610,00"/>
        <filter val="630,00"/>
        <filter val="650,00"/>
        <filter val="651,11"/>
        <filter val="66,00"/>
        <filter val="69,89"/>
        <filter val="7,00"/>
        <filter val="70,00"/>
        <filter val="712,00"/>
        <filter val="715,00"/>
        <filter val="72,00"/>
        <filter val="75,64"/>
        <filter val="750,00"/>
        <filter val="76,00"/>
        <filter val="8,00"/>
        <filter val="8,08"/>
        <filter val="8,33"/>
        <filter val="80,00"/>
        <filter val="81,67"/>
        <filter val="86,67"/>
        <filter val="88,26"/>
        <filter val="9,00"/>
        <filter val="9,72"/>
        <filter val="90,00"/>
        <filter val="92,59"/>
        <filter val="92,95"/>
        <filter val="930,00"/>
        <filter val="95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