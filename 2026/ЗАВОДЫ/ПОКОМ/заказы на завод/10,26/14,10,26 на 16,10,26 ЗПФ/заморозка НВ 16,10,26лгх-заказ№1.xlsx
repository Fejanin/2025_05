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A237296-8698-41C5-A4C1-227E671964D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N276" i="1"/>
  <c r="BM276" i="1"/>
  <c r="Z276" i="1"/>
  <c r="Y276" i="1"/>
  <c r="BP276" i="1" s="1"/>
  <c r="BP275" i="1"/>
  <c r="BO275" i="1"/>
  <c r="BM275" i="1"/>
  <c r="Z275" i="1"/>
  <c r="Y275" i="1"/>
  <c r="BN275" i="1" s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X266" i="1"/>
  <c r="Y265" i="1"/>
  <c r="X265" i="1"/>
  <c r="BO264" i="1"/>
  <c r="BN264" i="1"/>
  <c r="BM264" i="1"/>
  <c r="Z264" i="1"/>
  <c r="Y264" i="1"/>
  <c r="BP264" i="1" s="1"/>
  <c r="BP263" i="1"/>
  <c r="BO263" i="1"/>
  <c r="BN263" i="1"/>
  <c r="BM263" i="1"/>
  <c r="Z263" i="1"/>
  <c r="Y263" i="1"/>
  <c r="BO262" i="1"/>
  <c r="BN262" i="1"/>
  <c r="BM262" i="1"/>
  <c r="Z262" i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O201" i="1"/>
  <c r="BM201" i="1"/>
  <c r="Z201" i="1"/>
  <c r="Y201" i="1"/>
  <c r="BN201" i="1" s="1"/>
  <c r="P201" i="1"/>
  <c r="BO200" i="1"/>
  <c r="BM200" i="1"/>
  <c r="Z200" i="1"/>
  <c r="Y200" i="1"/>
  <c r="P200" i="1"/>
  <c r="BO199" i="1"/>
  <c r="BM199" i="1"/>
  <c r="Z199" i="1"/>
  <c r="Y199" i="1"/>
  <c r="BN199" i="1" s="1"/>
  <c r="P199" i="1"/>
  <c r="X195" i="1"/>
  <c r="Y194" i="1"/>
  <c r="X194" i="1"/>
  <c r="BO193" i="1"/>
  <c r="BN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M156" i="1"/>
  <c r="Z156" i="1"/>
  <c r="Y156" i="1"/>
  <c r="BN156" i="1" s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N144" i="1"/>
  <c r="BM144" i="1"/>
  <c r="Z144" i="1"/>
  <c r="Y144" i="1"/>
  <c r="BP144" i="1" s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O133" i="1"/>
  <c r="BM133" i="1"/>
  <c r="Z133" i="1"/>
  <c r="Y133" i="1"/>
  <c r="BN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N131" i="1" s="1"/>
  <c r="P131" i="1"/>
  <c r="BO130" i="1"/>
  <c r="BM130" i="1"/>
  <c r="Z130" i="1"/>
  <c r="Y130" i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Z103" i="1" s="1"/>
  <c r="Y101" i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O85" i="1"/>
  <c r="BN85" i="1"/>
  <c r="BM85" i="1"/>
  <c r="Z85" i="1"/>
  <c r="Y85" i="1"/>
  <c r="BP85" i="1" s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O68" i="1"/>
  <c r="BN68" i="1"/>
  <c r="BM68" i="1"/>
  <c r="Z68" i="1"/>
  <c r="Y68" i="1"/>
  <c r="BP68" i="1" s="1"/>
  <c r="P68" i="1"/>
  <c r="BO67" i="1"/>
  <c r="BM67" i="1"/>
  <c r="Z67" i="1"/>
  <c r="Y67" i="1"/>
  <c r="BP67" i="1" s="1"/>
  <c r="P67" i="1"/>
  <c r="BO66" i="1"/>
  <c r="BN66" i="1"/>
  <c r="BM66" i="1"/>
  <c r="Z66" i="1"/>
  <c r="Y66" i="1"/>
  <c r="BP66" i="1" s="1"/>
  <c r="P66" i="1"/>
  <c r="BO65" i="1"/>
  <c r="BM65" i="1"/>
  <c r="Z65" i="1"/>
  <c r="Y65" i="1"/>
  <c r="Y70" i="1" s="1"/>
  <c r="P65" i="1"/>
  <c r="X62" i="1"/>
  <c r="X61" i="1"/>
  <c r="BO60" i="1"/>
  <c r="BM60" i="1"/>
  <c r="Z60" i="1"/>
  <c r="Y60" i="1"/>
  <c r="BP60" i="1" s="1"/>
  <c r="P60" i="1"/>
  <c r="BO59" i="1"/>
  <c r="BM59" i="1"/>
  <c r="Z59" i="1"/>
  <c r="Y59" i="1"/>
  <c r="P59" i="1"/>
  <c r="BO58" i="1"/>
  <c r="BM58" i="1"/>
  <c r="Z58" i="1"/>
  <c r="Y58" i="1"/>
  <c r="BP58" i="1" s="1"/>
  <c r="P58" i="1"/>
  <c r="BO57" i="1"/>
  <c r="BM57" i="1"/>
  <c r="Z57" i="1"/>
  <c r="Y57" i="1"/>
  <c r="P57" i="1"/>
  <c r="X54" i="1"/>
  <c r="X53" i="1"/>
  <c r="BO52" i="1"/>
  <c r="BN52" i="1"/>
  <c r="BM52" i="1"/>
  <c r="Z52" i="1"/>
  <c r="Y52" i="1"/>
  <c r="BP52" i="1" s="1"/>
  <c r="P52" i="1"/>
  <c r="BO51" i="1"/>
  <c r="BM51" i="1"/>
  <c r="Z51" i="1"/>
  <c r="Y51" i="1"/>
  <c r="Y54" i="1" s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P39" i="1"/>
  <c r="BO39" i="1"/>
  <c r="BN39" i="1"/>
  <c r="BM39" i="1"/>
  <c r="Z39" i="1"/>
  <c r="Y39" i="1"/>
  <c r="P39" i="1"/>
  <c r="BO38" i="1"/>
  <c r="BM38" i="1"/>
  <c r="Z38" i="1"/>
  <c r="Y38" i="1"/>
  <c r="Y41" i="1" s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F9" i="1"/>
  <c r="A9" i="1"/>
  <c r="A10" i="1" s="1"/>
  <c r="D7" i="1"/>
  <c r="Q6" i="1"/>
  <c r="P2" i="1"/>
  <c r="J9" i="1" l="1"/>
  <c r="Y30" i="1"/>
  <c r="BP131" i="1"/>
  <c r="BP133" i="1"/>
  <c r="Z158" i="1"/>
  <c r="BP156" i="1"/>
  <c r="Z203" i="1"/>
  <c r="BP199" i="1"/>
  <c r="BP201" i="1"/>
  <c r="F10" i="1"/>
  <c r="Z70" i="1"/>
  <c r="Z87" i="1"/>
  <c r="Z215" i="1"/>
  <c r="Z265" i="1"/>
  <c r="BP262" i="1"/>
  <c r="Y279" i="1"/>
  <c r="Y135" i="1"/>
  <c r="Z146" i="1"/>
  <c r="Z189" i="1"/>
  <c r="BP193" i="1"/>
  <c r="Y47" i="1"/>
  <c r="BP45" i="1"/>
  <c r="BN45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BN22" i="1"/>
  <c r="BP22" i="1"/>
  <c r="BN24" i="1"/>
  <c r="BP26" i="1"/>
  <c r="BN26" i="1"/>
  <c r="BP28" i="1"/>
  <c r="BN28" i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4" i="1"/>
  <c r="Z40" i="1"/>
  <c r="Z47" i="1"/>
  <c r="Z53" i="1"/>
  <c r="Z61" i="1"/>
  <c r="Y77" i="1"/>
  <c r="Y87" i="1"/>
  <c r="Y98" i="1"/>
  <c r="Y103" i="1"/>
  <c r="Y114" i="1"/>
  <c r="Z114" i="1"/>
  <c r="Z134" i="1"/>
  <c r="Z140" i="1"/>
  <c r="Y146" i="1"/>
  <c r="Y158" i="1"/>
  <c r="Y159" i="1"/>
  <c r="Y203" i="1"/>
  <c r="Y204" i="1"/>
  <c r="Z259" i="1"/>
  <c r="Y31" i="1"/>
  <c r="Y35" i="1"/>
  <c r="Y40" i="1"/>
  <c r="Y48" i="1"/>
  <c r="Y53" i="1"/>
  <c r="Y62" i="1"/>
  <c r="Y71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H9" i="1"/>
  <c r="X281" i="1"/>
  <c r="X282" i="1"/>
  <c r="BN23" i="1"/>
  <c r="BN25" i="1"/>
  <c r="BN27" i="1"/>
  <c r="BN29" i="1"/>
  <c r="X280" i="1"/>
  <c r="BN33" i="1"/>
  <c r="BP33" i="1"/>
  <c r="BN38" i="1"/>
  <c r="BP38" i="1"/>
  <c r="BN46" i="1"/>
  <c r="BN51" i="1"/>
  <c r="BP51" i="1"/>
  <c r="BN58" i="1"/>
  <c r="BN60" i="1"/>
  <c r="BN65" i="1"/>
  <c r="BP65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2" i="1" l="1"/>
  <c r="Y281" i="1"/>
  <c r="Y283" i="1" s="1"/>
  <c r="C293" i="1" s="1"/>
  <c r="Z285" i="1"/>
  <c r="Y284" i="1"/>
  <c r="X283" i="1"/>
  <c r="Y280" i="1"/>
  <c r="B293" i="1" l="1"/>
  <c r="A293" i="1"/>
</calcChain>
</file>

<file path=xl/sharedStrings.xml><?xml version="1.0" encoding="utf-8"?>
<sst xmlns="http://schemas.openxmlformats.org/spreadsheetml/2006/main" count="1312" uniqueCount="436">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</sst>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4" fillId="24" borderId="0" xfId="39" applyFont="1" applyFill="1" applyAlignment="1">
      <alignment horizontal="center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34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8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15" sqref="AA15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07" t="s">
        <v>0</v>
      </c>
      <c r="E1" s="304"/>
      <c r="F1" s="304"/>
      <c r="G1" s="12" t="s">
        <v>1</v>
      </c>
      <c r="H1" s="307" t="s">
        <v>2</v>
      </c>
      <c r="I1" s="304"/>
      <c r="J1" s="304"/>
      <c r="K1" s="304"/>
      <c r="L1" s="304"/>
      <c r="M1" s="304"/>
      <c r="N1" s="304"/>
      <c r="O1" s="304"/>
      <c r="P1" s="304"/>
      <c r="Q1" s="304"/>
      <c r="R1" s="303" t="s">
        <v>3</v>
      </c>
      <c r="S1" s="304"/>
      <c r="T1" s="3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8"/>
      <c r="Q3" s="288"/>
      <c r="R3" s="288"/>
      <c r="S3" s="288"/>
      <c r="T3" s="288"/>
      <c r="U3" s="288"/>
      <c r="V3" s="288"/>
      <c r="W3" s="288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08" t="s">
        <v>7</v>
      </c>
      <c r="B5" s="309"/>
      <c r="C5" s="310"/>
      <c r="D5" s="355"/>
      <c r="E5" s="356"/>
      <c r="F5" s="452" t="s">
        <v>8</v>
      </c>
      <c r="G5" s="310"/>
      <c r="H5" s="355" t="s">
        <v>435</v>
      </c>
      <c r="I5" s="418"/>
      <c r="J5" s="418"/>
      <c r="K5" s="418"/>
      <c r="L5" s="418"/>
      <c r="M5" s="356"/>
      <c r="N5" s="61"/>
      <c r="P5" s="24" t="s">
        <v>9</v>
      </c>
      <c r="Q5" s="443">
        <v>46311</v>
      </c>
      <c r="R5" s="316"/>
      <c r="T5" s="313" t="s">
        <v>10</v>
      </c>
      <c r="U5" s="314"/>
      <c r="V5" s="315" t="s">
        <v>11</v>
      </c>
      <c r="W5" s="316"/>
      <c r="AB5" s="51"/>
      <c r="AC5" s="51"/>
      <c r="AD5" s="51"/>
      <c r="AE5" s="51"/>
    </row>
    <row r="6" spans="1:32" s="272" customFormat="1" ht="24" customHeight="1" x14ac:dyDescent="0.2">
      <c r="A6" s="308" t="s">
        <v>12</v>
      </c>
      <c r="B6" s="309"/>
      <c r="C6" s="310"/>
      <c r="D6" s="420" t="s">
        <v>409</v>
      </c>
      <c r="E6" s="421"/>
      <c r="F6" s="421"/>
      <c r="G6" s="421"/>
      <c r="H6" s="421"/>
      <c r="I6" s="421"/>
      <c r="J6" s="421"/>
      <c r="K6" s="421"/>
      <c r="L6" s="421"/>
      <c r="M6" s="316"/>
      <c r="N6" s="62"/>
      <c r="P6" s="24" t="s">
        <v>13</v>
      </c>
      <c r="Q6" s="459" t="str">
        <f>IF(Q5=0," ",CHOOSE(WEEKDAY(Q5,2),"Понедельник","Вторник","Среда","Четверг","Пятница","Суббота","Воскресенье"))</f>
        <v>Пятница</v>
      </c>
      <c r="R6" s="292"/>
      <c r="T6" s="398" t="s">
        <v>14</v>
      </c>
      <c r="U6" s="314"/>
      <c r="V6" s="388" t="s">
        <v>15</v>
      </c>
      <c r="W6" s="306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4" t="str">
        <f>IFERROR(VLOOKUP(DeliveryAddress,Table,3,0),1)</f>
        <v>4</v>
      </c>
      <c r="E7" s="335"/>
      <c r="F7" s="335"/>
      <c r="G7" s="335"/>
      <c r="H7" s="335"/>
      <c r="I7" s="335"/>
      <c r="J7" s="335"/>
      <c r="K7" s="335"/>
      <c r="L7" s="335"/>
      <c r="M7" s="318"/>
      <c r="N7" s="63"/>
      <c r="P7" s="24"/>
      <c r="Q7" s="42"/>
      <c r="R7" s="42"/>
      <c r="T7" s="288"/>
      <c r="U7" s="314"/>
      <c r="V7" s="389"/>
      <c r="W7" s="390"/>
      <c r="AB7" s="51"/>
      <c r="AC7" s="51"/>
      <c r="AD7" s="51"/>
      <c r="AE7" s="51"/>
    </row>
    <row r="8" spans="1:32" s="272" customFormat="1" ht="25.5" customHeight="1" x14ac:dyDescent="0.2">
      <c r="A8" s="320" t="s">
        <v>16</v>
      </c>
      <c r="B8" s="285"/>
      <c r="C8" s="286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17</v>
      </c>
      <c r="Q8" s="317">
        <v>0.41666666666666669</v>
      </c>
      <c r="R8" s="318"/>
      <c r="T8" s="288"/>
      <c r="U8" s="314"/>
      <c r="V8" s="389"/>
      <c r="W8" s="390"/>
      <c r="AB8" s="51"/>
      <c r="AC8" s="51"/>
      <c r="AD8" s="51"/>
      <c r="AE8" s="51"/>
    </row>
    <row r="9" spans="1:32" s="272" customFormat="1" ht="39.950000000000003" customHeight="1" x14ac:dyDescent="0.2">
      <c r="A9" s="3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8"/>
      <c r="C9" s="288"/>
      <c r="D9" s="368"/>
      <c r="E9" s="290"/>
      <c r="F9" s="3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8"/>
      <c r="H9" s="289" t="str">
        <f>IF(AND($A$9="Тип доверенности/получателя при получении в адресе перегруза:",$D$9="Разовая доверенность"),"Введите ФИО","")</f>
        <v/>
      </c>
      <c r="I9" s="290"/>
      <c r="J9" s="2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0"/>
      <c r="L9" s="290"/>
      <c r="M9" s="290"/>
      <c r="N9" s="270"/>
      <c r="P9" s="26" t="s">
        <v>18</v>
      </c>
      <c r="Q9" s="364"/>
      <c r="R9" s="365"/>
      <c r="T9" s="288"/>
      <c r="U9" s="314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8"/>
      <c r="C10" s="288"/>
      <c r="D10" s="368"/>
      <c r="E10" s="290"/>
      <c r="F10" s="3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8"/>
      <c r="H10" s="407" t="str">
        <f>IFERROR(VLOOKUP($D$10,Proxy,2,FALSE),"")</f>
        <v/>
      </c>
      <c r="I10" s="288"/>
      <c r="J10" s="288"/>
      <c r="K10" s="288"/>
      <c r="L10" s="288"/>
      <c r="M10" s="288"/>
      <c r="N10" s="271"/>
      <c r="P10" s="26" t="s">
        <v>19</v>
      </c>
      <c r="Q10" s="399"/>
      <c r="R10" s="400"/>
      <c r="U10" s="24" t="s">
        <v>20</v>
      </c>
      <c r="V10" s="305" t="s">
        <v>21</v>
      </c>
      <c r="W10" s="306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66"/>
      <c r="R11" s="316"/>
      <c r="U11" s="24" t="s">
        <v>24</v>
      </c>
      <c r="V11" s="426" t="s">
        <v>25</v>
      </c>
      <c r="W11" s="365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19" t="s">
        <v>26</v>
      </c>
      <c r="B12" s="309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10"/>
      <c r="N12" s="65"/>
      <c r="P12" s="24" t="s">
        <v>27</v>
      </c>
      <c r="Q12" s="317"/>
      <c r="R12" s="318"/>
      <c r="S12" s="23"/>
      <c r="U12" s="24"/>
      <c r="V12" s="304"/>
      <c r="W12" s="288"/>
      <c r="AB12" s="51"/>
      <c r="AC12" s="51"/>
      <c r="AD12" s="51"/>
      <c r="AE12" s="51"/>
    </row>
    <row r="13" spans="1:32" s="272" customFormat="1" ht="23.25" customHeight="1" x14ac:dyDescent="0.2">
      <c r="A13" s="319" t="s">
        <v>28</v>
      </c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10"/>
      <c r="N13" s="65"/>
      <c r="O13" s="26"/>
      <c r="P13" s="26" t="s">
        <v>29</v>
      </c>
      <c r="Q13" s="426"/>
      <c r="R13" s="3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19" t="s">
        <v>30</v>
      </c>
      <c r="B14" s="309"/>
      <c r="C14" s="309"/>
      <c r="D14" s="309"/>
      <c r="E14" s="309"/>
      <c r="F14" s="309"/>
      <c r="G14" s="309"/>
      <c r="H14" s="309"/>
      <c r="I14" s="309"/>
      <c r="J14" s="309"/>
      <c r="K14" s="309"/>
      <c r="L14" s="309"/>
      <c r="M14" s="31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432" t="s">
        <v>31</v>
      </c>
      <c r="B15" s="309"/>
      <c r="C15" s="309"/>
      <c r="D15" s="309"/>
      <c r="E15" s="309"/>
      <c r="F15" s="309"/>
      <c r="G15" s="309"/>
      <c r="H15" s="309"/>
      <c r="I15" s="309"/>
      <c r="J15" s="309"/>
      <c r="K15" s="309"/>
      <c r="L15" s="309"/>
      <c r="M15" s="310"/>
      <c r="N15" s="66"/>
      <c r="P15" s="311" t="s">
        <v>32</v>
      </c>
      <c r="Q15" s="304"/>
      <c r="R15" s="304"/>
      <c r="S15" s="304"/>
      <c r="T15" s="3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12"/>
      <c r="Q16" s="312"/>
      <c r="R16" s="312"/>
      <c r="S16" s="312"/>
      <c r="T16" s="3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45" t="s">
        <v>33</v>
      </c>
      <c r="B17" s="345" t="s">
        <v>34</v>
      </c>
      <c r="C17" s="367" t="s">
        <v>35</v>
      </c>
      <c r="D17" s="345" t="s">
        <v>36</v>
      </c>
      <c r="E17" s="358"/>
      <c r="F17" s="345" t="s">
        <v>37</v>
      </c>
      <c r="G17" s="345" t="s">
        <v>38</v>
      </c>
      <c r="H17" s="345" t="s">
        <v>39</v>
      </c>
      <c r="I17" s="345" t="s">
        <v>40</v>
      </c>
      <c r="J17" s="345" t="s">
        <v>41</v>
      </c>
      <c r="K17" s="345" t="s">
        <v>42</v>
      </c>
      <c r="L17" s="345" t="s">
        <v>43</v>
      </c>
      <c r="M17" s="345" t="s">
        <v>44</v>
      </c>
      <c r="N17" s="345" t="s">
        <v>45</v>
      </c>
      <c r="O17" s="345" t="s">
        <v>46</v>
      </c>
      <c r="P17" s="345" t="s">
        <v>47</v>
      </c>
      <c r="Q17" s="357"/>
      <c r="R17" s="357"/>
      <c r="S17" s="357"/>
      <c r="T17" s="358"/>
      <c r="U17" s="471" t="s">
        <v>48</v>
      </c>
      <c r="V17" s="310"/>
      <c r="W17" s="345" t="s">
        <v>49</v>
      </c>
      <c r="X17" s="345" t="s">
        <v>50</v>
      </c>
      <c r="Y17" s="461" t="s">
        <v>51</v>
      </c>
      <c r="Z17" s="416" t="s">
        <v>52</v>
      </c>
      <c r="AA17" s="405" t="s">
        <v>53</v>
      </c>
      <c r="AB17" s="405" t="s">
        <v>54</v>
      </c>
      <c r="AC17" s="405" t="s">
        <v>55</v>
      </c>
      <c r="AD17" s="405" t="s">
        <v>56</v>
      </c>
      <c r="AE17" s="447"/>
      <c r="AF17" s="448"/>
      <c r="AG17" s="69"/>
      <c r="BD17" s="68" t="s">
        <v>57</v>
      </c>
    </row>
    <row r="18" spans="1:68" ht="14.25" customHeight="1" x14ac:dyDescent="0.2">
      <c r="A18" s="346"/>
      <c r="B18" s="346"/>
      <c r="C18" s="346"/>
      <c r="D18" s="359"/>
      <c r="E18" s="361"/>
      <c r="F18" s="346"/>
      <c r="G18" s="346"/>
      <c r="H18" s="346"/>
      <c r="I18" s="346"/>
      <c r="J18" s="346"/>
      <c r="K18" s="346"/>
      <c r="L18" s="346"/>
      <c r="M18" s="346"/>
      <c r="N18" s="346"/>
      <c r="O18" s="346"/>
      <c r="P18" s="359"/>
      <c r="Q18" s="360"/>
      <c r="R18" s="360"/>
      <c r="S18" s="360"/>
      <c r="T18" s="361"/>
      <c r="U18" s="70" t="s">
        <v>58</v>
      </c>
      <c r="V18" s="70" t="s">
        <v>59</v>
      </c>
      <c r="W18" s="346"/>
      <c r="X18" s="346"/>
      <c r="Y18" s="462"/>
      <c r="Z18" s="417"/>
      <c r="AA18" s="406"/>
      <c r="AB18" s="406"/>
      <c r="AC18" s="406"/>
      <c r="AD18" s="449"/>
      <c r="AE18" s="450"/>
      <c r="AF18" s="451"/>
      <c r="AG18" s="69"/>
      <c r="BD18" s="68"/>
    </row>
    <row r="19" spans="1:68" ht="27.75" hidden="1" customHeight="1" x14ac:dyDescent="0.2">
      <c r="A19" s="293" t="s">
        <v>60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hidden="1" customHeight="1" x14ac:dyDescent="0.25">
      <c r="A20" s="287" t="s">
        <v>60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8"/>
      <c r="X20" s="288"/>
      <c r="Y20" s="288"/>
      <c r="Z20" s="288"/>
      <c r="AA20" s="273"/>
      <c r="AB20" s="273"/>
      <c r="AC20" s="273"/>
    </row>
    <row r="21" spans="1:68" ht="14.25" hidden="1" customHeight="1" x14ac:dyDescent="0.25">
      <c r="A21" s="324" t="s">
        <v>61</v>
      </c>
      <c r="B21" s="288"/>
      <c r="C21" s="288"/>
      <c r="D21" s="288"/>
      <c r="E21" s="288"/>
      <c r="F21" s="288"/>
      <c r="G21" s="288"/>
      <c r="H21" s="288"/>
      <c r="I21" s="28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91">
        <v>4620207491508</v>
      </c>
      <c r="E22" s="292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6"/>
      <c r="R22" s="296"/>
      <c r="S22" s="296"/>
      <c r="T22" s="297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91">
        <v>4620207491256</v>
      </c>
      <c r="E23" s="292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2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6"/>
      <c r="R23" s="296"/>
      <c r="S23" s="296"/>
      <c r="T23" s="297"/>
      <c r="U23" s="34"/>
      <c r="V23" s="34"/>
      <c r="W23" s="35" t="s">
        <v>67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91">
        <v>4620207491713</v>
      </c>
      <c r="E24" s="292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6"/>
      <c r="R24" s="296"/>
      <c r="S24" s="296"/>
      <c r="T24" s="297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91">
        <v>4620207491720</v>
      </c>
      <c r="E25" s="292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6"/>
      <c r="R25" s="296"/>
      <c r="S25" s="296"/>
      <c r="T25" s="297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91">
        <v>4607111035912</v>
      </c>
      <c r="E26" s="292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6"/>
      <c r="R26" s="296"/>
      <c r="S26" s="296"/>
      <c r="T26" s="297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91">
        <v>4607111035929</v>
      </c>
      <c r="E27" s="292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8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6"/>
      <c r="R27" s="296"/>
      <c r="S27" s="296"/>
      <c r="T27" s="297"/>
      <c r="U27" s="34"/>
      <c r="V27" s="34"/>
      <c r="W27" s="35" t="s">
        <v>67</v>
      </c>
      <c r="X27" s="278">
        <v>12</v>
      </c>
      <c r="Y27" s="279">
        <f t="shared" si="0"/>
        <v>12</v>
      </c>
      <c r="Z27" s="36">
        <f t="shared" si="1"/>
        <v>0.186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91">
        <v>4607111035882</v>
      </c>
      <c r="E28" s="292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2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6"/>
      <c r="R28" s="296"/>
      <c r="S28" s="296"/>
      <c r="T28" s="297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4301071107</v>
      </c>
      <c r="D29" s="291">
        <v>4607111035905</v>
      </c>
      <c r="E29" s="292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3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6"/>
      <c r="R29" s="296"/>
      <c r="S29" s="296"/>
      <c r="T29" s="297"/>
      <c r="U29" s="34"/>
      <c r="V29" s="34"/>
      <c r="W29" s="35" t="s">
        <v>67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8"/>
      <c r="B30" s="288"/>
      <c r="C30" s="288"/>
      <c r="D30" s="288"/>
      <c r="E30" s="288"/>
      <c r="F30" s="288"/>
      <c r="G30" s="288"/>
      <c r="H30" s="288"/>
      <c r="I30" s="288"/>
      <c r="J30" s="288"/>
      <c r="K30" s="288"/>
      <c r="L30" s="288"/>
      <c r="M30" s="288"/>
      <c r="N30" s="288"/>
      <c r="O30" s="299"/>
      <c r="P30" s="284" t="s">
        <v>86</v>
      </c>
      <c r="Q30" s="285"/>
      <c r="R30" s="285"/>
      <c r="S30" s="285"/>
      <c r="T30" s="285"/>
      <c r="U30" s="285"/>
      <c r="V30" s="286"/>
      <c r="W30" s="37" t="s">
        <v>67</v>
      </c>
      <c r="X30" s="280">
        <f>IFERROR(SUM(X22:X29),"0")</f>
        <v>48</v>
      </c>
      <c r="Y30" s="280">
        <f>IFERROR(SUM(Y22:Y29),"0")</f>
        <v>48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281"/>
      <c r="AB30" s="281"/>
      <c r="AC30" s="281"/>
    </row>
    <row r="31" spans="1:68" x14ac:dyDescent="0.2">
      <c r="A31" s="288"/>
      <c r="B31" s="288"/>
      <c r="C31" s="288"/>
      <c r="D31" s="288"/>
      <c r="E31" s="288"/>
      <c r="F31" s="288"/>
      <c r="G31" s="288"/>
      <c r="H31" s="288"/>
      <c r="I31" s="288"/>
      <c r="J31" s="288"/>
      <c r="K31" s="288"/>
      <c r="L31" s="288"/>
      <c r="M31" s="288"/>
      <c r="N31" s="288"/>
      <c r="O31" s="299"/>
      <c r="P31" s="284" t="s">
        <v>86</v>
      </c>
      <c r="Q31" s="285"/>
      <c r="R31" s="285"/>
      <c r="S31" s="285"/>
      <c r="T31" s="285"/>
      <c r="U31" s="285"/>
      <c r="V31" s="286"/>
      <c r="W31" s="37" t="s">
        <v>87</v>
      </c>
      <c r="X31" s="280">
        <f>IFERROR(SUMPRODUCT(X22:X29*H22:H29),"0")</f>
        <v>326.40000000000003</v>
      </c>
      <c r="Y31" s="280">
        <f>IFERROR(SUMPRODUCT(Y22:Y29*H22:H29),"0")</f>
        <v>326.40000000000003</v>
      </c>
      <c r="Z31" s="37"/>
      <c r="AA31" s="281"/>
      <c r="AB31" s="281"/>
      <c r="AC31" s="281"/>
    </row>
    <row r="32" spans="1:68" ht="14.25" hidden="1" customHeight="1" x14ac:dyDescent="0.25">
      <c r="A32" s="324" t="s">
        <v>88</v>
      </c>
      <c r="B32" s="288"/>
      <c r="C32" s="288"/>
      <c r="D32" s="288"/>
      <c r="E32" s="288"/>
      <c r="F32" s="288"/>
      <c r="G32" s="288"/>
      <c r="H32" s="288"/>
      <c r="I32" s="288"/>
      <c r="J32" s="288"/>
      <c r="K32" s="288"/>
      <c r="L32" s="288"/>
      <c r="M32" s="288"/>
      <c r="N32" s="288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88"/>
      <c r="AA32" s="274"/>
      <c r="AB32" s="274"/>
      <c r="AC32" s="274"/>
    </row>
    <row r="33" spans="1:68" ht="37.5" customHeight="1" x14ac:dyDescent="0.25">
      <c r="A33" s="54" t="s">
        <v>89</v>
      </c>
      <c r="B33" s="54" t="s">
        <v>90</v>
      </c>
      <c r="C33" s="31">
        <v>4301080162</v>
      </c>
      <c r="D33" s="291">
        <v>4620207492178</v>
      </c>
      <c r="E33" s="292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3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96"/>
      <c r="R33" s="296"/>
      <c r="S33" s="296"/>
      <c r="T33" s="297"/>
      <c r="U33" s="34"/>
      <c r="V33" s="34"/>
      <c r="W33" s="35" t="s">
        <v>67</v>
      </c>
      <c r="X33" s="278">
        <v>36</v>
      </c>
      <c r="Y33" s="279">
        <f>IFERROR(IF(X33="","",X33),"")</f>
        <v>36</v>
      </c>
      <c r="Z33" s="36">
        <f>IFERROR(IF(X33="","",X33*0.0155),"")</f>
        <v>0.55800000000000005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224.28000000000003</v>
      </c>
      <c r="BN33" s="67">
        <f>IFERROR(Y33*I33,"0")</f>
        <v>224.28000000000003</v>
      </c>
      <c r="BO33" s="67">
        <f>IFERROR(X33/J33,"0")</f>
        <v>0.42857142857142855</v>
      </c>
      <c r="BP33" s="67">
        <f>IFERROR(Y33/J33,"0")</f>
        <v>0.42857142857142855</v>
      </c>
    </row>
    <row r="34" spans="1:68" x14ac:dyDescent="0.2">
      <c r="A34" s="298"/>
      <c r="B34" s="288"/>
      <c r="C34" s="288"/>
      <c r="D34" s="288"/>
      <c r="E34" s="288"/>
      <c r="F34" s="288"/>
      <c r="G34" s="288"/>
      <c r="H34" s="288"/>
      <c r="I34" s="288"/>
      <c r="J34" s="288"/>
      <c r="K34" s="288"/>
      <c r="L34" s="288"/>
      <c r="M34" s="288"/>
      <c r="N34" s="288"/>
      <c r="O34" s="299"/>
      <c r="P34" s="284" t="s">
        <v>86</v>
      </c>
      <c r="Q34" s="285"/>
      <c r="R34" s="285"/>
      <c r="S34" s="285"/>
      <c r="T34" s="285"/>
      <c r="U34" s="285"/>
      <c r="V34" s="286"/>
      <c r="W34" s="37" t="s">
        <v>67</v>
      </c>
      <c r="X34" s="280">
        <f>IFERROR(SUM(X33:X33),"0")</f>
        <v>36</v>
      </c>
      <c r="Y34" s="280">
        <f>IFERROR(SUM(Y33:Y33),"0")</f>
        <v>36</v>
      </c>
      <c r="Z34" s="280">
        <f>IFERROR(IF(Z33="",0,Z33),"0")</f>
        <v>0.55800000000000005</v>
      </c>
      <c r="AA34" s="281"/>
      <c r="AB34" s="281"/>
      <c r="AC34" s="281"/>
    </row>
    <row r="35" spans="1:68" x14ac:dyDescent="0.2">
      <c r="A35" s="288"/>
      <c r="B35" s="288"/>
      <c r="C35" s="288"/>
      <c r="D35" s="288"/>
      <c r="E35" s="288"/>
      <c r="F35" s="288"/>
      <c r="G35" s="288"/>
      <c r="H35" s="288"/>
      <c r="I35" s="288"/>
      <c r="J35" s="288"/>
      <c r="K35" s="288"/>
      <c r="L35" s="288"/>
      <c r="M35" s="288"/>
      <c r="N35" s="288"/>
      <c r="O35" s="299"/>
      <c r="P35" s="284" t="s">
        <v>86</v>
      </c>
      <c r="Q35" s="285"/>
      <c r="R35" s="285"/>
      <c r="S35" s="285"/>
      <c r="T35" s="285"/>
      <c r="U35" s="285"/>
      <c r="V35" s="286"/>
      <c r="W35" s="37" t="s">
        <v>87</v>
      </c>
      <c r="X35" s="280">
        <f>IFERROR(SUMPRODUCT(X33:X33*H33:H33),"0")</f>
        <v>216</v>
      </c>
      <c r="Y35" s="280">
        <f>IFERROR(SUMPRODUCT(Y33:Y33*H33:H33),"0")</f>
        <v>216</v>
      </c>
      <c r="Z35" s="37"/>
      <c r="AA35" s="281"/>
      <c r="AB35" s="281"/>
      <c r="AC35" s="281"/>
    </row>
    <row r="36" spans="1:68" ht="16.5" hidden="1" customHeight="1" x14ac:dyDescent="0.25">
      <c r="A36" s="287" t="s">
        <v>93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273"/>
      <c r="AB36" s="273"/>
      <c r="AC36" s="273"/>
    </row>
    <row r="37" spans="1:68" ht="14.25" hidden="1" customHeight="1" x14ac:dyDescent="0.25">
      <c r="A37" s="324" t="s">
        <v>61</v>
      </c>
      <c r="B37" s="288"/>
      <c r="C37" s="288"/>
      <c r="D37" s="288"/>
      <c r="E37" s="288"/>
      <c r="F37" s="288"/>
      <c r="G37" s="288"/>
      <c r="H37" s="288"/>
      <c r="I37" s="288"/>
      <c r="J37" s="288"/>
      <c r="K37" s="288"/>
      <c r="L37" s="288"/>
      <c r="M37" s="288"/>
      <c r="N37" s="288"/>
      <c r="O37" s="288"/>
      <c r="P37" s="288"/>
      <c r="Q37" s="288"/>
      <c r="R37" s="288"/>
      <c r="S37" s="288"/>
      <c r="T37" s="288"/>
      <c r="U37" s="288"/>
      <c r="V37" s="288"/>
      <c r="W37" s="288"/>
      <c r="X37" s="288"/>
      <c r="Y37" s="288"/>
      <c r="Z37" s="288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91">
        <v>4607111039019</v>
      </c>
      <c r="E38" s="292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1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96"/>
      <c r="R38" s="296"/>
      <c r="S38" s="296"/>
      <c r="T38" s="297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91">
        <v>4607111038708</v>
      </c>
      <c r="E39" s="292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96"/>
      <c r="R39" s="296"/>
      <c r="S39" s="296"/>
      <c r="T39" s="297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298"/>
      <c r="B40" s="288"/>
      <c r="C40" s="288"/>
      <c r="D40" s="288"/>
      <c r="E40" s="288"/>
      <c r="F40" s="288"/>
      <c r="G40" s="288"/>
      <c r="H40" s="288"/>
      <c r="I40" s="288"/>
      <c r="J40" s="288"/>
      <c r="K40" s="288"/>
      <c r="L40" s="288"/>
      <c r="M40" s="288"/>
      <c r="N40" s="288"/>
      <c r="O40" s="299"/>
      <c r="P40" s="284" t="s">
        <v>86</v>
      </c>
      <c r="Q40" s="285"/>
      <c r="R40" s="285"/>
      <c r="S40" s="285"/>
      <c r="T40" s="285"/>
      <c r="U40" s="285"/>
      <c r="V40" s="286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88"/>
      <c r="B41" s="288"/>
      <c r="C41" s="288"/>
      <c r="D41" s="288"/>
      <c r="E41" s="288"/>
      <c r="F41" s="288"/>
      <c r="G41" s="288"/>
      <c r="H41" s="288"/>
      <c r="I41" s="288"/>
      <c r="J41" s="288"/>
      <c r="K41" s="288"/>
      <c r="L41" s="288"/>
      <c r="M41" s="288"/>
      <c r="N41" s="288"/>
      <c r="O41" s="299"/>
      <c r="P41" s="284" t="s">
        <v>86</v>
      </c>
      <c r="Q41" s="285"/>
      <c r="R41" s="285"/>
      <c r="S41" s="285"/>
      <c r="T41" s="285"/>
      <c r="U41" s="285"/>
      <c r="V41" s="286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3" t="s">
        <v>99</v>
      </c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  <c r="AA42" s="48"/>
      <c r="AB42" s="48"/>
      <c r="AC42" s="48"/>
    </row>
    <row r="43" spans="1:68" ht="16.5" hidden="1" customHeight="1" x14ac:dyDescent="0.25">
      <c r="A43" s="287" t="s">
        <v>100</v>
      </c>
      <c r="B43" s="288"/>
      <c r="C43" s="288"/>
      <c r="D43" s="288"/>
      <c r="E43" s="288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8"/>
      <c r="S43" s="288"/>
      <c r="T43" s="288"/>
      <c r="U43" s="288"/>
      <c r="V43" s="288"/>
      <c r="W43" s="288"/>
      <c r="X43" s="288"/>
      <c r="Y43" s="288"/>
      <c r="Z43" s="288"/>
      <c r="AA43" s="273"/>
      <c r="AB43" s="273"/>
      <c r="AC43" s="273"/>
    </row>
    <row r="44" spans="1:68" ht="14.25" hidden="1" customHeight="1" x14ac:dyDescent="0.25">
      <c r="A44" s="324" t="s">
        <v>101</v>
      </c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288"/>
      <c r="M44" s="288"/>
      <c r="N44" s="288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288"/>
      <c r="Z44" s="288"/>
      <c r="AA44" s="274"/>
      <c r="AB44" s="274"/>
      <c r="AC44" s="274"/>
    </row>
    <row r="45" spans="1:68" ht="27" customHeight="1" x14ac:dyDescent="0.25">
      <c r="A45" s="54" t="s">
        <v>102</v>
      </c>
      <c r="B45" s="54" t="s">
        <v>103</v>
      </c>
      <c r="C45" s="31">
        <v>4301132190</v>
      </c>
      <c r="D45" s="291">
        <v>4607111036537</v>
      </c>
      <c r="E45" s="292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1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96"/>
      <c r="R45" s="296"/>
      <c r="S45" s="296"/>
      <c r="T45" s="297"/>
      <c r="U45" s="34"/>
      <c r="V45" s="34"/>
      <c r="W45" s="35" t="s">
        <v>67</v>
      </c>
      <c r="X45" s="278">
        <v>126</v>
      </c>
      <c r="Y45" s="279">
        <f>IFERROR(IF(X45="","",X45),"")</f>
        <v>126</v>
      </c>
      <c r="Z45" s="36">
        <f>IFERROR(IF(X45="","",X45*0.00941),"")</f>
        <v>1.1856599999999999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242.14679999999998</v>
      </c>
      <c r="BN45" s="67">
        <f>IFERROR(Y45*I45,"0")</f>
        <v>242.14679999999998</v>
      </c>
      <c r="BO45" s="67">
        <f>IFERROR(X45/J45,"0")</f>
        <v>0.9</v>
      </c>
      <c r="BP45" s="67">
        <f>IFERROR(Y45/J45,"0")</f>
        <v>0.9</v>
      </c>
    </row>
    <row r="46" spans="1:68" ht="27" customHeight="1" x14ac:dyDescent="0.25">
      <c r="A46" s="54" t="s">
        <v>109</v>
      </c>
      <c r="B46" s="54" t="s">
        <v>110</v>
      </c>
      <c r="C46" s="31">
        <v>4301132188</v>
      </c>
      <c r="D46" s="291">
        <v>4607111036605</v>
      </c>
      <c r="E46" s="292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39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96"/>
      <c r="R46" s="296"/>
      <c r="S46" s="296"/>
      <c r="T46" s="297"/>
      <c r="U46" s="34"/>
      <c r="V46" s="34"/>
      <c r="W46" s="35" t="s">
        <v>67</v>
      </c>
      <c r="X46" s="278">
        <v>70</v>
      </c>
      <c r="Y46" s="279">
        <f>IFERROR(IF(X46="","",X46),"")</f>
        <v>70</v>
      </c>
      <c r="Z46" s="36">
        <f>IFERROR(IF(X46="","",X46*0.00941),"")</f>
        <v>0.65869999999999995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134.52600000000001</v>
      </c>
      <c r="BN46" s="67">
        <f>IFERROR(Y46*I46,"0")</f>
        <v>134.52600000000001</v>
      </c>
      <c r="BO46" s="67">
        <f>IFERROR(X46/J46,"0")</f>
        <v>0.5</v>
      </c>
      <c r="BP46" s="67">
        <f>IFERROR(Y46/J46,"0")</f>
        <v>0.5</v>
      </c>
    </row>
    <row r="47" spans="1:68" x14ac:dyDescent="0.2">
      <c r="A47" s="298"/>
      <c r="B47" s="288"/>
      <c r="C47" s="288"/>
      <c r="D47" s="288"/>
      <c r="E47" s="288"/>
      <c r="F47" s="288"/>
      <c r="G47" s="288"/>
      <c r="H47" s="288"/>
      <c r="I47" s="288"/>
      <c r="J47" s="288"/>
      <c r="K47" s="288"/>
      <c r="L47" s="288"/>
      <c r="M47" s="288"/>
      <c r="N47" s="288"/>
      <c r="O47" s="299"/>
      <c r="P47" s="284" t="s">
        <v>86</v>
      </c>
      <c r="Q47" s="285"/>
      <c r="R47" s="285"/>
      <c r="S47" s="285"/>
      <c r="T47" s="285"/>
      <c r="U47" s="285"/>
      <c r="V47" s="286"/>
      <c r="W47" s="37" t="s">
        <v>67</v>
      </c>
      <c r="X47" s="280">
        <f>IFERROR(SUM(X45:X46),"0")</f>
        <v>196</v>
      </c>
      <c r="Y47" s="280">
        <f>IFERROR(SUM(Y45:Y46),"0")</f>
        <v>196</v>
      </c>
      <c r="Z47" s="280">
        <f>IFERROR(IF(Z45="",0,Z45),"0")+IFERROR(IF(Z46="",0,Z46),"0")</f>
        <v>1.84436</v>
      </c>
      <c r="AA47" s="281"/>
      <c r="AB47" s="281"/>
      <c r="AC47" s="281"/>
    </row>
    <row r="48" spans="1:68" x14ac:dyDescent="0.2">
      <c r="A48" s="288"/>
      <c r="B48" s="288"/>
      <c r="C48" s="288"/>
      <c r="D48" s="288"/>
      <c r="E48" s="288"/>
      <c r="F48" s="288"/>
      <c r="G48" s="288"/>
      <c r="H48" s="288"/>
      <c r="I48" s="288"/>
      <c r="J48" s="288"/>
      <c r="K48" s="288"/>
      <c r="L48" s="288"/>
      <c r="M48" s="288"/>
      <c r="N48" s="288"/>
      <c r="O48" s="299"/>
      <c r="P48" s="284" t="s">
        <v>86</v>
      </c>
      <c r="Q48" s="285"/>
      <c r="R48" s="285"/>
      <c r="S48" s="285"/>
      <c r="T48" s="285"/>
      <c r="U48" s="285"/>
      <c r="V48" s="286"/>
      <c r="W48" s="37" t="s">
        <v>87</v>
      </c>
      <c r="X48" s="280">
        <f>IFERROR(SUMPRODUCT(X45:X46*H45:H46),"0")</f>
        <v>294</v>
      </c>
      <c r="Y48" s="280">
        <f>IFERROR(SUMPRODUCT(Y45:Y46*H45:H46),"0")</f>
        <v>294</v>
      </c>
      <c r="Z48" s="37"/>
      <c r="AA48" s="281"/>
      <c r="AB48" s="281"/>
      <c r="AC48" s="281"/>
    </row>
    <row r="49" spans="1:68" ht="16.5" hidden="1" customHeight="1" x14ac:dyDescent="0.25">
      <c r="A49" s="287" t="s">
        <v>111</v>
      </c>
      <c r="B49" s="288"/>
      <c r="C49" s="288"/>
      <c r="D49" s="288"/>
      <c r="E49" s="288"/>
      <c r="F49" s="288"/>
      <c r="G49" s="288"/>
      <c r="H49" s="288"/>
      <c r="I49" s="288"/>
      <c r="J49" s="288"/>
      <c r="K49" s="288"/>
      <c r="L49" s="288"/>
      <c r="M49" s="288"/>
      <c r="N49" s="288"/>
      <c r="O49" s="288"/>
      <c r="P49" s="288"/>
      <c r="Q49" s="288"/>
      <c r="R49" s="288"/>
      <c r="S49" s="288"/>
      <c r="T49" s="288"/>
      <c r="U49" s="288"/>
      <c r="V49" s="288"/>
      <c r="W49" s="288"/>
      <c r="X49" s="288"/>
      <c r="Y49" s="288"/>
      <c r="Z49" s="288"/>
      <c r="AA49" s="273"/>
      <c r="AB49" s="273"/>
      <c r="AC49" s="273"/>
    </row>
    <row r="50" spans="1:68" ht="14.25" hidden="1" customHeight="1" x14ac:dyDescent="0.25">
      <c r="A50" s="324" t="s">
        <v>61</v>
      </c>
      <c r="B50" s="288"/>
      <c r="C50" s="288"/>
      <c r="D50" s="288"/>
      <c r="E50" s="288"/>
      <c r="F50" s="288"/>
      <c r="G50" s="288"/>
      <c r="H50" s="288"/>
      <c r="I50" s="288"/>
      <c r="J50" s="288"/>
      <c r="K50" s="288"/>
      <c r="L50" s="288"/>
      <c r="M50" s="288"/>
      <c r="N50" s="288"/>
      <c r="O50" s="288"/>
      <c r="P50" s="288"/>
      <c r="Q50" s="288"/>
      <c r="R50" s="288"/>
      <c r="S50" s="288"/>
      <c r="T50" s="288"/>
      <c r="U50" s="288"/>
      <c r="V50" s="288"/>
      <c r="W50" s="288"/>
      <c r="X50" s="288"/>
      <c r="Y50" s="288"/>
      <c r="Z50" s="288"/>
      <c r="AA50" s="274"/>
      <c r="AB50" s="274"/>
      <c r="AC50" s="274"/>
    </row>
    <row r="51" spans="1:68" ht="27" hidden="1" customHeight="1" x14ac:dyDescent="0.25">
      <c r="A51" s="54" t="s">
        <v>112</v>
      </c>
      <c r="B51" s="54" t="s">
        <v>113</v>
      </c>
      <c r="C51" s="31">
        <v>4301071090</v>
      </c>
      <c r="D51" s="291">
        <v>4620207490075</v>
      </c>
      <c r="E51" s="292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96"/>
      <c r="R51" s="296"/>
      <c r="S51" s="296"/>
      <c r="T51" s="297"/>
      <c r="U51" s="34"/>
      <c r="V51" s="34"/>
      <c r="W51" s="35" t="s">
        <v>67</v>
      </c>
      <c r="X51" s="278">
        <v>0</v>
      </c>
      <c r="Y51" s="279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customHeight="1" x14ac:dyDescent="0.25">
      <c r="A52" s="54" t="s">
        <v>115</v>
      </c>
      <c r="B52" s="54" t="s">
        <v>116</v>
      </c>
      <c r="C52" s="31">
        <v>4301071092</v>
      </c>
      <c r="D52" s="291">
        <v>4620207490174</v>
      </c>
      <c r="E52" s="292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4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96"/>
      <c r="R52" s="296"/>
      <c r="S52" s="296"/>
      <c r="T52" s="297"/>
      <c r="U52" s="34"/>
      <c r="V52" s="34"/>
      <c r="W52" s="35" t="s">
        <v>67</v>
      </c>
      <c r="X52" s="278">
        <v>36</v>
      </c>
      <c r="Y52" s="279">
        <f>IFERROR(IF(X52="","",X52),"")</f>
        <v>36</v>
      </c>
      <c r="Z52" s="36">
        <f>IFERROR(IF(X52="","",X52*0.0155),"")</f>
        <v>0.55800000000000005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211.32</v>
      </c>
      <c r="BN52" s="67">
        <f>IFERROR(Y52*I52,"0")</f>
        <v>211.32</v>
      </c>
      <c r="BO52" s="67">
        <f>IFERROR(X52/J52,"0")</f>
        <v>0.42857142857142855</v>
      </c>
      <c r="BP52" s="67">
        <f>IFERROR(Y52/J52,"0")</f>
        <v>0.42857142857142855</v>
      </c>
    </row>
    <row r="53" spans="1:68" x14ac:dyDescent="0.2">
      <c r="A53" s="298"/>
      <c r="B53" s="288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99"/>
      <c r="P53" s="284" t="s">
        <v>86</v>
      </c>
      <c r="Q53" s="285"/>
      <c r="R53" s="285"/>
      <c r="S53" s="285"/>
      <c r="T53" s="285"/>
      <c r="U53" s="285"/>
      <c r="V53" s="286"/>
      <c r="W53" s="37" t="s">
        <v>67</v>
      </c>
      <c r="X53" s="280">
        <f>IFERROR(SUM(X51:X52),"0")</f>
        <v>36</v>
      </c>
      <c r="Y53" s="280">
        <f>IFERROR(SUM(Y51:Y52),"0")</f>
        <v>36</v>
      </c>
      <c r="Z53" s="280">
        <f>IFERROR(IF(Z51="",0,Z51),"0")+IFERROR(IF(Z52="",0,Z52),"0")</f>
        <v>0.55800000000000005</v>
      </c>
      <c r="AA53" s="281"/>
      <c r="AB53" s="281"/>
      <c r="AC53" s="281"/>
    </row>
    <row r="54" spans="1:68" x14ac:dyDescent="0.2">
      <c r="A54" s="288"/>
      <c r="B54" s="288"/>
      <c r="C54" s="288"/>
      <c r="D54" s="288"/>
      <c r="E54" s="288"/>
      <c r="F54" s="288"/>
      <c r="G54" s="288"/>
      <c r="H54" s="288"/>
      <c r="I54" s="288"/>
      <c r="J54" s="288"/>
      <c r="K54" s="288"/>
      <c r="L54" s="288"/>
      <c r="M54" s="288"/>
      <c r="N54" s="288"/>
      <c r="O54" s="299"/>
      <c r="P54" s="284" t="s">
        <v>86</v>
      </c>
      <c r="Q54" s="285"/>
      <c r="R54" s="285"/>
      <c r="S54" s="285"/>
      <c r="T54" s="285"/>
      <c r="U54" s="285"/>
      <c r="V54" s="286"/>
      <c r="W54" s="37" t="s">
        <v>87</v>
      </c>
      <c r="X54" s="280">
        <f>IFERROR(SUMPRODUCT(X51:X52*H51:H52),"0")</f>
        <v>201.6</v>
      </c>
      <c r="Y54" s="280">
        <f>IFERROR(SUMPRODUCT(Y51:Y52*H51:H52),"0")</f>
        <v>201.6</v>
      </c>
      <c r="Z54" s="37"/>
      <c r="AA54" s="281"/>
      <c r="AB54" s="281"/>
      <c r="AC54" s="281"/>
    </row>
    <row r="55" spans="1:68" ht="16.5" hidden="1" customHeight="1" x14ac:dyDescent="0.25">
      <c r="A55" s="287" t="s">
        <v>118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73"/>
      <c r="AB55" s="273"/>
      <c r="AC55" s="273"/>
    </row>
    <row r="56" spans="1:68" ht="14.25" hidden="1" customHeight="1" x14ac:dyDescent="0.25">
      <c r="A56" s="324" t="s">
        <v>61</v>
      </c>
      <c r="B56" s="288"/>
      <c r="C56" s="288"/>
      <c r="D56" s="288"/>
      <c r="E56" s="288"/>
      <c r="F56" s="288"/>
      <c r="G56" s="288"/>
      <c r="H56" s="288"/>
      <c r="I56" s="288"/>
      <c r="J56" s="288"/>
      <c r="K56" s="288"/>
      <c r="L56" s="288"/>
      <c r="M56" s="288"/>
      <c r="N56" s="288"/>
      <c r="O56" s="288"/>
      <c r="P56" s="288"/>
      <c r="Q56" s="288"/>
      <c r="R56" s="288"/>
      <c r="S56" s="288"/>
      <c r="T56" s="288"/>
      <c r="U56" s="288"/>
      <c r="V56" s="288"/>
      <c r="W56" s="288"/>
      <c r="X56" s="288"/>
      <c r="Y56" s="288"/>
      <c r="Z56" s="288"/>
      <c r="AA56" s="274"/>
      <c r="AB56" s="274"/>
      <c r="AC56" s="274"/>
    </row>
    <row r="57" spans="1:68" ht="27" hidden="1" customHeight="1" x14ac:dyDescent="0.25">
      <c r="A57" s="54" t="s">
        <v>119</v>
      </c>
      <c r="B57" s="54" t="s">
        <v>120</v>
      </c>
      <c r="C57" s="31">
        <v>4301071044</v>
      </c>
      <c r="D57" s="291">
        <v>4607111039385</v>
      </c>
      <c r="E57" s="292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96"/>
      <c r="R57" s="296"/>
      <c r="S57" s="296"/>
      <c r="T57" s="297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customHeight="1" x14ac:dyDescent="0.25">
      <c r="A58" s="54" t="s">
        <v>122</v>
      </c>
      <c r="B58" s="54" t="s">
        <v>123</v>
      </c>
      <c r="C58" s="31">
        <v>4301071031</v>
      </c>
      <c r="D58" s="291">
        <v>4607111038982</v>
      </c>
      <c r="E58" s="292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96"/>
      <c r="R58" s="296"/>
      <c r="S58" s="296"/>
      <c r="T58" s="297"/>
      <c r="U58" s="34"/>
      <c r="V58" s="34"/>
      <c r="W58" s="35" t="s">
        <v>67</v>
      </c>
      <c r="X58" s="278">
        <v>12</v>
      </c>
      <c r="Y58" s="279">
        <f>IFERROR(IF(X58="","",X58),"")</f>
        <v>12</v>
      </c>
      <c r="Z58" s="36">
        <f>IFERROR(IF(X58="","",X58*0.0155),"")</f>
        <v>0.186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87.431999999999988</v>
      </c>
      <c r="BN58" s="67">
        <f>IFERROR(Y58*I58,"0")</f>
        <v>87.431999999999988</v>
      </c>
      <c r="BO58" s="67">
        <f>IFERROR(X58/J58,"0")</f>
        <v>0.14285714285714285</v>
      </c>
      <c r="BP58" s="67">
        <f>IFERROR(Y58/J58,"0")</f>
        <v>0.14285714285714285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91">
        <v>4607111039354</v>
      </c>
      <c r="E59" s="292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39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96"/>
      <c r="R59" s="296"/>
      <c r="S59" s="296"/>
      <c r="T59" s="297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91">
        <v>4607111039330</v>
      </c>
      <c r="E60" s="292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96"/>
      <c r="R60" s="296"/>
      <c r="S60" s="296"/>
      <c r="T60" s="297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8"/>
      <c r="B61" s="288"/>
      <c r="C61" s="288"/>
      <c r="D61" s="288"/>
      <c r="E61" s="288"/>
      <c r="F61" s="288"/>
      <c r="G61" s="288"/>
      <c r="H61" s="288"/>
      <c r="I61" s="288"/>
      <c r="J61" s="288"/>
      <c r="K61" s="288"/>
      <c r="L61" s="288"/>
      <c r="M61" s="288"/>
      <c r="N61" s="288"/>
      <c r="O61" s="299"/>
      <c r="P61" s="284" t="s">
        <v>86</v>
      </c>
      <c r="Q61" s="285"/>
      <c r="R61" s="285"/>
      <c r="S61" s="285"/>
      <c r="T61" s="285"/>
      <c r="U61" s="285"/>
      <c r="V61" s="286"/>
      <c r="W61" s="37" t="s">
        <v>67</v>
      </c>
      <c r="X61" s="280">
        <f>IFERROR(SUM(X57:X60),"0")</f>
        <v>12</v>
      </c>
      <c r="Y61" s="280">
        <f>IFERROR(SUM(Y57:Y60),"0")</f>
        <v>12</v>
      </c>
      <c r="Z61" s="280">
        <f>IFERROR(IF(Z57="",0,Z57),"0")+IFERROR(IF(Z58="",0,Z58),"0")+IFERROR(IF(Z59="",0,Z59),"0")+IFERROR(IF(Z60="",0,Z60),"0")</f>
        <v>0.186</v>
      </c>
      <c r="AA61" s="281"/>
      <c r="AB61" s="281"/>
      <c r="AC61" s="281"/>
    </row>
    <row r="62" spans="1:68" x14ac:dyDescent="0.2">
      <c r="A62" s="288"/>
      <c r="B62" s="288"/>
      <c r="C62" s="288"/>
      <c r="D62" s="288"/>
      <c r="E62" s="288"/>
      <c r="F62" s="288"/>
      <c r="G62" s="288"/>
      <c r="H62" s="288"/>
      <c r="I62" s="288"/>
      <c r="J62" s="288"/>
      <c r="K62" s="288"/>
      <c r="L62" s="288"/>
      <c r="M62" s="288"/>
      <c r="N62" s="288"/>
      <c r="O62" s="299"/>
      <c r="P62" s="284" t="s">
        <v>86</v>
      </c>
      <c r="Q62" s="285"/>
      <c r="R62" s="285"/>
      <c r="S62" s="285"/>
      <c r="T62" s="285"/>
      <c r="U62" s="285"/>
      <c r="V62" s="286"/>
      <c r="W62" s="37" t="s">
        <v>87</v>
      </c>
      <c r="X62" s="280">
        <f>IFERROR(SUMPRODUCT(X57:X60*H57:H60),"0")</f>
        <v>84</v>
      </c>
      <c r="Y62" s="280">
        <f>IFERROR(SUMPRODUCT(Y57:Y60*H57:H60),"0")</f>
        <v>84</v>
      </c>
      <c r="Z62" s="37"/>
      <c r="AA62" s="281"/>
      <c r="AB62" s="281"/>
      <c r="AC62" s="281"/>
    </row>
    <row r="63" spans="1:68" ht="16.5" hidden="1" customHeight="1" x14ac:dyDescent="0.25">
      <c r="A63" s="287" t="s">
        <v>129</v>
      </c>
      <c r="B63" s="288"/>
      <c r="C63" s="288"/>
      <c r="D63" s="288"/>
      <c r="E63" s="288"/>
      <c r="F63" s="288"/>
      <c r="G63" s="288"/>
      <c r="H63" s="288"/>
      <c r="I63" s="288"/>
      <c r="J63" s="288"/>
      <c r="K63" s="288"/>
      <c r="L63" s="288"/>
      <c r="M63" s="288"/>
      <c r="N63" s="288"/>
      <c r="O63" s="288"/>
      <c r="P63" s="288"/>
      <c r="Q63" s="288"/>
      <c r="R63" s="288"/>
      <c r="S63" s="288"/>
      <c r="T63" s="288"/>
      <c r="U63" s="288"/>
      <c r="V63" s="288"/>
      <c r="W63" s="288"/>
      <c r="X63" s="288"/>
      <c r="Y63" s="288"/>
      <c r="Z63" s="288"/>
      <c r="AA63" s="273"/>
      <c r="AB63" s="273"/>
      <c r="AC63" s="273"/>
    </row>
    <row r="64" spans="1:68" ht="14.25" hidden="1" customHeight="1" x14ac:dyDescent="0.25">
      <c r="A64" s="324" t="s">
        <v>130</v>
      </c>
      <c r="B64" s="288"/>
      <c r="C64" s="288"/>
      <c r="D64" s="288"/>
      <c r="E64" s="288"/>
      <c r="F64" s="288"/>
      <c r="G64" s="288"/>
      <c r="H64" s="288"/>
      <c r="I64" s="288"/>
      <c r="J64" s="288"/>
      <c r="K64" s="288"/>
      <c r="L64" s="288"/>
      <c r="M64" s="288"/>
      <c r="N64" s="288"/>
      <c r="O64" s="288"/>
      <c r="P64" s="288"/>
      <c r="Q64" s="288"/>
      <c r="R64" s="288"/>
      <c r="S64" s="288"/>
      <c r="T64" s="288"/>
      <c r="U64" s="288"/>
      <c r="V64" s="288"/>
      <c r="W64" s="288"/>
      <c r="X64" s="288"/>
      <c r="Y64" s="288"/>
      <c r="Z64" s="288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91">
        <v>4607111039712</v>
      </c>
      <c r="E65" s="292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7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96"/>
      <c r="R65" s="296"/>
      <c r="S65" s="296"/>
      <c r="T65" s="297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91">
        <v>4607111039705</v>
      </c>
      <c r="E66" s="292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7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96"/>
      <c r="R66" s="296"/>
      <c r="S66" s="296"/>
      <c r="T66" s="297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91">
        <v>4607111039729</v>
      </c>
      <c r="E67" s="292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53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96"/>
      <c r="R67" s="296"/>
      <c r="S67" s="296"/>
      <c r="T67" s="297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140</v>
      </c>
      <c r="B68" s="54" t="s">
        <v>141</v>
      </c>
      <c r="C68" s="31">
        <v>4301135702</v>
      </c>
      <c r="D68" s="291">
        <v>4620207490228</v>
      </c>
      <c r="E68" s="292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7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96"/>
      <c r="R68" s="296"/>
      <c r="S68" s="296"/>
      <c r="T68" s="297"/>
      <c r="U68" s="34"/>
      <c r="V68" s="34"/>
      <c r="W68" s="35" t="s">
        <v>67</v>
      </c>
      <c r="X68" s="278">
        <v>0</v>
      </c>
      <c r="Y68" s="279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91">
        <v>4607111037398</v>
      </c>
      <c r="E69" s="292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79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96"/>
      <c r="R69" s="296"/>
      <c r="S69" s="296"/>
      <c r="T69" s="297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8"/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99"/>
      <c r="P70" s="284" t="s">
        <v>86</v>
      </c>
      <c r="Q70" s="285"/>
      <c r="R70" s="285"/>
      <c r="S70" s="285"/>
      <c r="T70" s="285"/>
      <c r="U70" s="285"/>
      <c r="V70" s="286"/>
      <c r="W70" s="37" t="s">
        <v>67</v>
      </c>
      <c r="X70" s="280">
        <f>IFERROR(SUM(X65:X69),"0")</f>
        <v>0</v>
      </c>
      <c r="Y70" s="280">
        <f>IFERROR(SUM(Y65:Y69),"0")</f>
        <v>0</v>
      </c>
      <c r="Z70" s="280">
        <f>IFERROR(IF(Z65="",0,Z65),"0")+IFERROR(IF(Z66="",0,Z66),"0")+IFERROR(IF(Z67="",0,Z67),"0")+IFERROR(IF(Z68="",0,Z68),"0")+IFERROR(IF(Z69="",0,Z69),"0")</f>
        <v>0</v>
      </c>
      <c r="AA70" s="281"/>
      <c r="AB70" s="281"/>
      <c r="AC70" s="281"/>
    </row>
    <row r="71" spans="1:68" hidden="1" x14ac:dyDescent="0.2">
      <c r="A71" s="288"/>
      <c r="B71" s="288"/>
      <c r="C71" s="288"/>
      <c r="D71" s="288"/>
      <c r="E71" s="288"/>
      <c r="F71" s="288"/>
      <c r="G71" s="288"/>
      <c r="H71" s="288"/>
      <c r="I71" s="288"/>
      <c r="J71" s="288"/>
      <c r="K71" s="288"/>
      <c r="L71" s="288"/>
      <c r="M71" s="288"/>
      <c r="N71" s="288"/>
      <c r="O71" s="299"/>
      <c r="P71" s="284" t="s">
        <v>86</v>
      </c>
      <c r="Q71" s="285"/>
      <c r="R71" s="285"/>
      <c r="S71" s="285"/>
      <c r="T71" s="285"/>
      <c r="U71" s="285"/>
      <c r="V71" s="286"/>
      <c r="W71" s="37" t="s">
        <v>87</v>
      </c>
      <c r="X71" s="280">
        <f>IFERROR(SUMPRODUCT(X65:X69*H65:H69),"0")</f>
        <v>0</v>
      </c>
      <c r="Y71" s="280">
        <f>IFERROR(SUMPRODUCT(Y65:Y69*H65:H69),"0")</f>
        <v>0</v>
      </c>
      <c r="Z71" s="37"/>
      <c r="AA71" s="281"/>
      <c r="AB71" s="281"/>
      <c r="AC71" s="281"/>
    </row>
    <row r="72" spans="1:68" ht="16.5" hidden="1" customHeight="1" x14ac:dyDescent="0.25">
      <c r="A72" s="287" t="s">
        <v>144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X72" s="288"/>
      <c r="Y72" s="288"/>
      <c r="Z72" s="288"/>
      <c r="AA72" s="273"/>
      <c r="AB72" s="273"/>
      <c r="AC72" s="273"/>
    </row>
    <row r="73" spans="1:68" ht="14.25" hidden="1" customHeight="1" x14ac:dyDescent="0.25">
      <c r="A73" s="324" t="s">
        <v>61</v>
      </c>
      <c r="B73" s="288"/>
      <c r="C73" s="288"/>
      <c r="D73" s="288"/>
      <c r="E73" s="288"/>
      <c r="F73" s="288"/>
      <c r="G73" s="288"/>
      <c r="H73" s="288"/>
      <c r="I73" s="288"/>
      <c r="J73" s="288"/>
      <c r="K73" s="288"/>
      <c r="L73" s="288"/>
      <c r="M73" s="288"/>
      <c r="N73" s="288"/>
      <c r="O73" s="288"/>
      <c r="P73" s="288"/>
      <c r="Q73" s="288"/>
      <c r="R73" s="288"/>
      <c r="S73" s="288"/>
      <c r="T73" s="288"/>
      <c r="U73" s="288"/>
      <c r="V73" s="288"/>
      <c r="W73" s="288"/>
      <c r="X73" s="288"/>
      <c r="Y73" s="288"/>
      <c r="Z73" s="288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91">
        <v>4607111037411</v>
      </c>
      <c r="E74" s="292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96"/>
      <c r="R74" s="296"/>
      <c r="S74" s="296"/>
      <c r="T74" s="297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149</v>
      </c>
      <c r="B75" s="54" t="s">
        <v>150</v>
      </c>
      <c r="C75" s="31">
        <v>4301070981</v>
      </c>
      <c r="D75" s="291">
        <v>4607111036728</v>
      </c>
      <c r="E75" s="292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96"/>
      <c r="R75" s="296"/>
      <c r="S75" s="296"/>
      <c r="T75" s="297"/>
      <c r="U75" s="34"/>
      <c r="V75" s="34"/>
      <c r="W75" s="35" t="s">
        <v>67</v>
      </c>
      <c r="X75" s="278">
        <v>108</v>
      </c>
      <c r="Y75" s="279">
        <f>IFERROR(IF(X75="","",X75),"")</f>
        <v>108</v>
      </c>
      <c r="Z75" s="36">
        <f>IFERROR(IF(X75="","",X75*0.00866),"")</f>
        <v>0.93527999999999989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563.02559999999994</v>
      </c>
      <c r="BN75" s="67">
        <f>IFERROR(Y75*I75,"0")</f>
        <v>563.02559999999994</v>
      </c>
      <c r="BO75" s="67">
        <f>IFERROR(X75/J75,"0")</f>
        <v>0.75</v>
      </c>
      <c r="BP75" s="67">
        <f>IFERROR(Y75/J75,"0")</f>
        <v>0.75</v>
      </c>
    </row>
    <row r="76" spans="1:68" x14ac:dyDescent="0.2">
      <c r="A76" s="298"/>
      <c r="B76" s="288"/>
      <c r="C76" s="288"/>
      <c r="D76" s="288"/>
      <c r="E76" s="288"/>
      <c r="F76" s="288"/>
      <c r="G76" s="288"/>
      <c r="H76" s="288"/>
      <c r="I76" s="288"/>
      <c r="J76" s="288"/>
      <c r="K76" s="288"/>
      <c r="L76" s="288"/>
      <c r="M76" s="288"/>
      <c r="N76" s="288"/>
      <c r="O76" s="299"/>
      <c r="P76" s="284" t="s">
        <v>86</v>
      </c>
      <c r="Q76" s="285"/>
      <c r="R76" s="285"/>
      <c r="S76" s="285"/>
      <c r="T76" s="285"/>
      <c r="U76" s="285"/>
      <c r="V76" s="286"/>
      <c r="W76" s="37" t="s">
        <v>67</v>
      </c>
      <c r="X76" s="280">
        <f>IFERROR(SUM(X74:X75),"0")</f>
        <v>108</v>
      </c>
      <c r="Y76" s="280">
        <f>IFERROR(SUM(Y74:Y75),"0")</f>
        <v>108</v>
      </c>
      <c r="Z76" s="280">
        <f>IFERROR(IF(Z74="",0,Z74),"0")+IFERROR(IF(Z75="",0,Z75),"0")</f>
        <v>0.93527999999999989</v>
      </c>
      <c r="AA76" s="281"/>
      <c r="AB76" s="281"/>
      <c r="AC76" s="281"/>
    </row>
    <row r="77" spans="1:68" x14ac:dyDescent="0.2">
      <c r="A77" s="288"/>
      <c r="B77" s="288"/>
      <c r="C77" s="288"/>
      <c r="D77" s="288"/>
      <c r="E77" s="288"/>
      <c r="F77" s="288"/>
      <c r="G77" s="288"/>
      <c r="H77" s="288"/>
      <c r="I77" s="288"/>
      <c r="J77" s="288"/>
      <c r="K77" s="288"/>
      <c r="L77" s="288"/>
      <c r="M77" s="288"/>
      <c r="N77" s="288"/>
      <c r="O77" s="299"/>
      <c r="P77" s="284" t="s">
        <v>86</v>
      </c>
      <c r="Q77" s="285"/>
      <c r="R77" s="285"/>
      <c r="S77" s="285"/>
      <c r="T77" s="285"/>
      <c r="U77" s="285"/>
      <c r="V77" s="286"/>
      <c r="W77" s="37" t="s">
        <v>87</v>
      </c>
      <c r="X77" s="280">
        <f>IFERROR(SUMPRODUCT(X74:X75*H74:H75),"0")</f>
        <v>540</v>
      </c>
      <c r="Y77" s="280">
        <f>IFERROR(SUMPRODUCT(Y74:Y75*H74:H75),"0")</f>
        <v>540</v>
      </c>
      <c r="Z77" s="37"/>
      <c r="AA77" s="281"/>
      <c r="AB77" s="281"/>
      <c r="AC77" s="281"/>
    </row>
    <row r="78" spans="1:68" ht="16.5" hidden="1" customHeight="1" x14ac:dyDescent="0.25">
      <c r="A78" s="287" t="s">
        <v>151</v>
      </c>
      <c r="B78" s="288"/>
      <c r="C78" s="288"/>
      <c r="D78" s="288"/>
      <c r="E78" s="288"/>
      <c r="F78" s="288"/>
      <c r="G78" s="288"/>
      <c r="H78" s="288"/>
      <c r="I78" s="288"/>
      <c r="J78" s="288"/>
      <c r="K78" s="288"/>
      <c r="L78" s="288"/>
      <c r="M78" s="288"/>
      <c r="N78" s="288"/>
      <c r="O78" s="288"/>
      <c r="P78" s="288"/>
      <c r="Q78" s="288"/>
      <c r="R78" s="288"/>
      <c r="S78" s="288"/>
      <c r="T78" s="288"/>
      <c r="U78" s="288"/>
      <c r="V78" s="288"/>
      <c r="W78" s="288"/>
      <c r="X78" s="288"/>
      <c r="Y78" s="288"/>
      <c r="Z78" s="288"/>
      <c r="AA78" s="273"/>
      <c r="AB78" s="273"/>
      <c r="AC78" s="273"/>
    </row>
    <row r="79" spans="1:68" ht="14.25" hidden="1" customHeight="1" x14ac:dyDescent="0.25">
      <c r="A79" s="324" t="s">
        <v>152</v>
      </c>
      <c r="B79" s="288"/>
      <c r="C79" s="288"/>
      <c r="D79" s="288"/>
      <c r="E79" s="288"/>
      <c r="F79" s="288"/>
      <c r="G79" s="288"/>
      <c r="H79" s="288"/>
      <c r="I79" s="288"/>
      <c r="J79" s="288"/>
      <c r="K79" s="288"/>
      <c r="L79" s="288"/>
      <c r="M79" s="288"/>
      <c r="N79" s="288"/>
      <c r="O79" s="288"/>
      <c r="P79" s="288"/>
      <c r="Q79" s="288"/>
      <c r="R79" s="288"/>
      <c r="S79" s="288"/>
      <c r="T79" s="288"/>
      <c r="U79" s="288"/>
      <c r="V79" s="288"/>
      <c r="W79" s="288"/>
      <c r="X79" s="288"/>
      <c r="Y79" s="288"/>
      <c r="Z79" s="288"/>
      <c r="AA79" s="274"/>
      <c r="AB79" s="274"/>
      <c r="AC79" s="274"/>
    </row>
    <row r="80" spans="1:68" ht="27" hidden="1" customHeight="1" x14ac:dyDescent="0.25">
      <c r="A80" s="54" t="s">
        <v>153</v>
      </c>
      <c r="B80" s="54" t="s">
        <v>154</v>
      </c>
      <c r="C80" s="31">
        <v>4301135910</v>
      </c>
      <c r="D80" s="291">
        <v>4620207491638</v>
      </c>
      <c r="E80" s="292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5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96"/>
      <c r="R80" s="296"/>
      <c r="S80" s="296"/>
      <c r="T80" s="297"/>
      <c r="U80" s="34"/>
      <c r="V80" s="34"/>
      <c r="W80" s="35" t="s">
        <v>67</v>
      </c>
      <c r="X80" s="278">
        <v>0</v>
      </c>
      <c r="Y80" s="279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298"/>
      <c r="B81" s="288"/>
      <c r="C81" s="288"/>
      <c r="D81" s="288"/>
      <c r="E81" s="288"/>
      <c r="F81" s="288"/>
      <c r="G81" s="288"/>
      <c r="H81" s="288"/>
      <c r="I81" s="288"/>
      <c r="J81" s="288"/>
      <c r="K81" s="288"/>
      <c r="L81" s="288"/>
      <c r="M81" s="288"/>
      <c r="N81" s="288"/>
      <c r="O81" s="299"/>
      <c r="P81" s="284" t="s">
        <v>86</v>
      </c>
      <c r="Q81" s="285"/>
      <c r="R81" s="285"/>
      <c r="S81" s="285"/>
      <c r="T81" s="285"/>
      <c r="U81" s="285"/>
      <c r="V81" s="286"/>
      <c r="W81" s="37" t="s">
        <v>67</v>
      </c>
      <c r="X81" s="280">
        <f>IFERROR(SUM(X80:X80),"0")</f>
        <v>0</v>
      </c>
      <c r="Y81" s="280">
        <f>IFERROR(SUM(Y80:Y80),"0")</f>
        <v>0</v>
      </c>
      <c r="Z81" s="280">
        <f>IFERROR(IF(Z80="",0,Z80),"0")</f>
        <v>0</v>
      </c>
      <c r="AA81" s="281"/>
      <c r="AB81" s="281"/>
      <c r="AC81" s="281"/>
    </row>
    <row r="82" spans="1:68" hidden="1" x14ac:dyDescent="0.2">
      <c r="A82" s="288"/>
      <c r="B82" s="288"/>
      <c r="C82" s="288"/>
      <c r="D82" s="288"/>
      <c r="E82" s="288"/>
      <c r="F82" s="288"/>
      <c r="G82" s="288"/>
      <c r="H82" s="288"/>
      <c r="I82" s="288"/>
      <c r="J82" s="288"/>
      <c r="K82" s="288"/>
      <c r="L82" s="288"/>
      <c r="M82" s="288"/>
      <c r="N82" s="288"/>
      <c r="O82" s="299"/>
      <c r="P82" s="284" t="s">
        <v>86</v>
      </c>
      <c r="Q82" s="285"/>
      <c r="R82" s="285"/>
      <c r="S82" s="285"/>
      <c r="T82" s="285"/>
      <c r="U82" s="285"/>
      <c r="V82" s="286"/>
      <c r="W82" s="37" t="s">
        <v>87</v>
      </c>
      <c r="X82" s="280">
        <f>IFERROR(SUMPRODUCT(X80:X80*H80:H80),"0")</f>
        <v>0</v>
      </c>
      <c r="Y82" s="280">
        <f>IFERROR(SUMPRODUCT(Y80:Y80*H80:H80),"0")</f>
        <v>0</v>
      </c>
      <c r="Z82" s="37"/>
      <c r="AA82" s="281"/>
      <c r="AB82" s="281"/>
      <c r="AC82" s="281"/>
    </row>
    <row r="83" spans="1:68" ht="16.5" hidden="1" customHeight="1" x14ac:dyDescent="0.25">
      <c r="A83" s="287" t="s">
        <v>156</v>
      </c>
      <c r="B83" s="288"/>
      <c r="C83" s="288"/>
      <c r="D83" s="288"/>
      <c r="E83" s="288"/>
      <c r="F83" s="288"/>
      <c r="G83" s="288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288"/>
      <c r="T83" s="288"/>
      <c r="U83" s="288"/>
      <c r="V83" s="288"/>
      <c r="W83" s="288"/>
      <c r="X83" s="288"/>
      <c r="Y83" s="288"/>
      <c r="Z83" s="288"/>
      <c r="AA83" s="273"/>
      <c r="AB83" s="273"/>
      <c r="AC83" s="273"/>
    </row>
    <row r="84" spans="1:68" ht="14.25" hidden="1" customHeight="1" x14ac:dyDescent="0.25">
      <c r="A84" s="324" t="s">
        <v>157</v>
      </c>
      <c r="B84" s="288"/>
      <c r="C84" s="288"/>
      <c r="D84" s="288"/>
      <c r="E84" s="288"/>
      <c r="F84" s="288"/>
      <c r="G84" s="288"/>
      <c r="H84" s="288"/>
      <c r="I84" s="288"/>
      <c r="J84" s="288"/>
      <c r="K84" s="288"/>
      <c r="L84" s="288"/>
      <c r="M84" s="288"/>
      <c r="N84" s="288"/>
      <c r="O84" s="288"/>
      <c r="P84" s="288"/>
      <c r="Q84" s="288"/>
      <c r="R84" s="288"/>
      <c r="S84" s="288"/>
      <c r="T84" s="288"/>
      <c r="U84" s="288"/>
      <c r="V84" s="288"/>
      <c r="W84" s="288"/>
      <c r="X84" s="288"/>
      <c r="Y84" s="288"/>
      <c r="Z84" s="288"/>
      <c r="AA84" s="274"/>
      <c r="AB84" s="274"/>
      <c r="AC84" s="274"/>
    </row>
    <row r="85" spans="1:68" ht="27" customHeight="1" x14ac:dyDescent="0.25">
      <c r="A85" s="54" t="s">
        <v>158</v>
      </c>
      <c r="B85" s="54" t="s">
        <v>159</v>
      </c>
      <c r="C85" s="31">
        <v>4301131047</v>
      </c>
      <c r="D85" s="291">
        <v>4607111034120</v>
      </c>
      <c r="E85" s="292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96"/>
      <c r="R85" s="296"/>
      <c r="S85" s="296"/>
      <c r="T85" s="297"/>
      <c r="U85" s="34"/>
      <c r="V85" s="34"/>
      <c r="W85" s="35" t="s">
        <v>67</v>
      </c>
      <c r="X85" s="278">
        <v>56</v>
      </c>
      <c r="Y85" s="279">
        <f>IFERROR(IF(X85="","",X85),"")</f>
        <v>56</v>
      </c>
      <c r="Z85" s="36">
        <f>IFERROR(IF(X85="","",X85*0.01788),"")</f>
        <v>1.0012799999999999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241.00160000000002</v>
      </c>
      <c r="BN85" s="67">
        <f>IFERROR(Y85*I85,"0")</f>
        <v>241.00160000000002</v>
      </c>
      <c r="BO85" s="67">
        <f>IFERROR(X85/J85,"0")</f>
        <v>0.8</v>
      </c>
      <c r="BP85" s="67">
        <f>IFERROR(Y85/J85,"0")</f>
        <v>0.8</v>
      </c>
    </row>
    <row r="86" spans="1:68" ht="27" customHeight="1" x14ac:dyDescent="0.25">
      <c r="A86" s="54" t="s">
        <v>161</v>
      </c>
      <c r="B86" s="54" t="s">
        <v>162</v>
      </c>
      <c r="C86" s="31">
        <v>4301131046</v>
      </c>
      <c r="D86" s="291">
        <v>4607111034137</v>
      </c>
      <c r="E86" s="292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96"/>
      <c r="R86" s="296"/>
      <c r="S86" s="296"/>
      <c r="T86" s="297"/>
      <c r="U86" s="34"/>
      <c r="V86" s="34"/>
      <c r="W86" s="35" t="s">
        <v>67</v>
      </c>
      <c r="X86" s="278">
        <v>56</v>
      </c>
      <c r="Y86" s="279">
        <f>IFERROR(IF(X86="","",X86),"")</f>
        <v>56</v>
      </c>
      <c r="Z86" s="36">
        <f>IFERROR(IF(X86="","",X86*0.01788),"")</f>
        <v>1.0012799999999999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241.00160000000002</v>
      </c>
      <c r="BN86" s="67">
        <f>IFERROR(Y86*I86,"0")</f>
        <v>241.00160000000002</v>
      </c>
      <c r="BO86" s="67">
        <f>IFERROR(X86/J86,"0")</f>
        <v>0.8</v>
      </c>
      <c r="BP86" s="67">
        <f>IFERROR(Y86/J86,"0")</f>
        <v>0.8</v>
      </c>
    </row>
    <row r="87" spans="1:68" x14ac:dyDescent="0.2">
      <c r="A87" s="298"/>
      <c r="B87" s="288"/>
      <c r="C87" s="288"/>
      <c r="D87" s="288"/>
      <c r="E87" s="288"/>
      <c r="F87" s="288"/>
      <c r="G87" s="288"/>
      <c r="H87" s="288"/>
      <c r="I87" s="288"/>
      <c r="J87" s="288"/>
      <c r="K87" s="288"/>
      <c r="L87" s="288"/>
      <c r="M87" s="288"/>
      <c r="N87" s="288"/>
      <c r="O87" s="299"/>
      <c r="P87" s="284" t="s">
        <v>86</v>
      </c>
      <c r="Q87" s="285"/>
      <c r="R87" s="285"/>
      <c r="S87" s="285"/>
      <c r="T87" s="285"/>
      <c r="U87" s="285"/>
      <c r="V87" s="286"/>
      <c r="W87" s="37" t="s">
        <v>67</v>
      </c>
      <c r="X87" s="280">
        <f>IFERROR(SUM(X85:X86),"0")</f>
        <v>112</v>
      </c>
      <c r="Y87" s="280">
        <f>IFERROR(SUM(Y85:Y86),"0")</f>
        <v>112</v>
      </c>
      <c r="Z87" s="280">
        <f>IFERROR(IF(Z85="",0,Z85),"0")+IFERROR(IF(Z86="",0,Z86),"0")</f>
        <v>2.0025599999999999</v>
      </c>
      <c r="AA87" s="281"/>
      <c r="AB87" s="281"/>
      <c r="AC87" s="281"/>
    </row>
    <row r="88" spans="1:68" x14ac:dyDescent="0.2">
      <c r="A88" s="288"/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99"/>
      <c r="P88" s="284" t="s">
        <v>86</v>
      </c>
      <c r="Q88" s="285"/>
      <c r="R88" s="285"/>
      <c r="S88" s="285"/>
      <c r="T88" s="285"/>
      <c r="U88" s="285"/>
      <c r="V88" s="286"/>
      <c r="W88" s="37" t="s">
        <v>87</v>
      </c>
      <c r="X88" s="280">
        <f>IFERROR(SUMPRODUCT(X85:X86*H85:H86),"0")</f>
        <v>403.2</v>
      </c>
      <c r="Y88" s="280">
        <f>IFERROR(SUMPRODUCT(Y85:Y86*H85:H86),"0")</f>
        <v>403.2</v>
      </c>
      <c r="Z88" s="37"/>
      <c r="AA88" s="281"/>
      <c r="AB88" s="281"/>
      <c r="AC88" s="281"/>
    </row>
    <row r="89" spans="1:68" ht="16.5" hidden="1" customHeight="1" x14ac:dyDescent="0.25">
      <c r="A89" s="287" t="s">
        <v>164</v>
      </c>
      <c r="B89" s="288"/>
      <c r="C89" s="288"/>
      <c r="D89" s="288"/>
      <c r="E89" s="288"/>
      <c r="F89" s="288"/>
      <c r="G89" s="288"/>
      <c r="H89" s="288"/>
      <c r="I89" s="288"/>
      <c r="J89" s="288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  <c r="V89" s="288"/>
      <c r="W89" s="288"/>
      <c r="X89" s="288"/>
      <c r="Y89" s="288"/>
      <c r="Z89" s="288"/>
      <c r="AA89" s="273"/>
      <c r="AB89" s="273"/>
      <c r="AC89" s="273"/>
    </row>
    <row r="90" spans="1:68" ht="14.25" hidden="1" customHeight="1" x14ac:dyDescent="0.25">
      <c r="A90" s="324" t="s">
        <v>152</v>
      </c>
      <c r="B90" s="288"/>
      <c r="C90" s="288"/>
      <c r="D90" s="288"/>
      <c r="E90" s="288"/>
      <c r="F90" s="288"/>
      <c r="G90" s="288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  <c r="V90" s="288"/>
      <c r="W90" s="288"/>
      <c r="X90" s="288"/>
      <c r="Y90" s="288"/>
      <c r="Z90" s="288"/>
      <c r="AA90" s="274"/>
      <c r="AB90" s="274"/>
      <c r="AC90" s="274"/>
    </row>
    <row r="91" spans="1:68" ht="27" customHeight="1" x14ac:dyDescent="0.25">
      <c r="A91" s="54" t="s">
        <v>165</v>
      </c>
      <c r="B91" s="54" t="s">
        <v>166</v>
      </c>
      <c r="C91" s="31">
        <v>4301135763</v>
      </c>
      <c r="D91" s="291">
        <v>4620207491027</v>
      </c>
      <c r="E91" s="292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43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96"/>
      <c r="R91" s="296"/>
      <c r="S91" s="296"/>
      <c r="T91" s="297"/>
      <c r="U91" s="34"/>
      <c r="V91" s="34"/>
      <c r="W91" s="35" t="s">
        <v>67</v>
      </c>
      <c r="X91" s="278">
        <v>28</v>
      </c>
      <c r="Y91" s="279">
        <f t="shared" ref="Y91:Y96" si="6">IFERROR(IF(X91="","",X91),"")</f>
        <v>28</v>
      </c>
      <c r="Z91" s="36">
        <f t="shared" ref="Z91:Z96" si="7">IFERROR(IF(X91="","",X91*0.01788),"")</f>
        <v>0.50063999999999997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100.3408</v>
      </c>
      <c r="BN91" s="67">
        <f t="shared" ref="BN91:BN96" si="9">IFERROR(Y91*I91,"0")</f>
        <v>100.3408</v>
      </c>
      <c r="BO91" s="67">
        <f t="shared" ref="BO91:BO96" si="10">IFERROR(X91/J91,"0")</f>
        <v>0.4</v>
      </c>
      <c r="BP91" s="67">
        <f t="shared" ref="BP91:BP96" si="11">IFERROR(Y91/J91,"0")</f>
        <v>0.4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91">
        <v>4620207491621</v>
      </c>
      <c r="E92" s="292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3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96"/>
      <c r="R92" s="296"/>
      <c r="S92" s="296"/>
      <c r="T92" s="297"/>
      <c r="U92" s="34"/>
      <c r="V92" s="34"/>
      <c r="W92" s="35" t="s">
        <v>67</v>
      </c>
      <c r="X92" s="278">
        <v>98</v>
      </c>
      <c r="Y92" s="279">
        <f t="shared" si="6"/>
        <v>98</v>
      </c>
      <c r="Z92" s="36">
        <f t="shared" si="7"/>
        <v>1.75224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351.19280000000003</v>
      </c>
      <c r="BN92" s="67">
        <f t="shared" si="9"/>
        <v>351.19280000000003</v>
      </c>
      <c r="BO92" s="67">
        <f t="shared" si="10"/>
        <v>1.4</v>
      </c>
      <c r="BP92" s="67">
        <f t="shared" si="11"/>
        <v>1.4</v>
      </c>
    </row>
    <row r="93" spans="1:68" ht="27" customHeight="1" x14ac:dyDescent="0.25">
      <c r="A93" s="54" t="s">
        <v>171</v>
      </c>
      <c r="B93" s="54" t="s">
        <v>172</v>
      </c>
      <c r="C93" s="31">
        <v>4301135990</v>
      </c>
      <c r="D93" s="291">
        <v>4620207491881</v>
      </c>
      <c r="E93" s="292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96"/>
      <c r="R93" s="296"/>
      <c r="S93" s="296"/>
      <c r="T93" s="297"/>
      <c r="U93" s="34"/>
      <c r="V93" s="34"/>
      <c r="W93" s="35" t="s">
        <v>67</v>
      </c>
      <c r="X93" s="278">
        <v>98</v>
      </c>
      <c r="Y93" s="279">
        <f t="shared" si="6"/>
        <v>98</v>
      </c>
      <c r="Z93" s="36">
        <f t="shared" si="7"/>
        <v>1.75224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351.19280000000003</v>
      </c>
      <c r="BN93" s="67">
        <f t="shared" si="9"/>
        <v>351.19280000000003</v>
      </c>
      <c r="BO93" s="67">
        <f t="shared" si="10"/>
        <v>1.4</v>
      </c>
      <c r="BP93" s="67">
        <f t="shared" si="11"/>
        <v>1.4</v>
      </c>
    </row>
    <row r="94" spans="1:68" ht="27" customHeight="1" x14ac:dyDescent="0.25">
      <c r="A94" s="54" t="s">
        <v>173</v>
      </c>
      <c r="B94" s="54" t="s">
        <v>174</v>
      </c>
      <c r="C94" s="31">
        <v>4301135920</v>
      </c>
      <c r="D94" s="291">
        <v>4620207491577</v>
      </c>
      <c r="E94" s="292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3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96"/>
      <c r="R94" s="296"/>
      <c r="S94" s="296"/>
      <c r="T94" s="297"/>
      <c r="U94" s="34"/>
      <c r="V94" s="34"/>
      <c r="W94" s="35" t="s">
        <v>67</v>
      </c>
      <c r="X94" s="278">
        <v>112</v>
      </c>
      <c r="Y94" s="279">
        <f t="shared" si="6"/>
        <v>112</v>
      </c>
      <c r="Z94" s="36">
        <f t="shared" si="7"/>
        <v>2.0025599999999999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401.36320000000001</v>
      </c>
      <c r="BN94" s="67">
        <f t="shared" si="9"/>
        <v>401.36320000000001</v>
      </c>
      <c r="BO94" s="67">
        <f t="shared" si="10"/>
        <v>1.6</v>
      </c>
      <c r="BP94" s="67">
        <f t="shared" si="11"/>
        <v>1.6</v>
      </c>
    </row>
    <row r="95" spans="1:68" ht="27" customHeight="1" x14ac:dyDescent="0.25">
      <c r="A95" s="54" t="s">
        <v>175</v>
      </c>
      <c r="B95" s="54" t="s">
        <v>176</v>
      </c>
      <c r="C95" s="31">
        <v>4301135984</v>
      </c>
      <c r="D95" s="291">
        <v>4620207491874</v>
      </c>
      <c r="E95" s="292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44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96"/>
      <c r="R95" s="296"/>
      <c r="S95" s="296"/>
      <c r="T95" s="297"/>
      <c r="U95" s="34"/>
      <c r="V95" s="34"/>
      <c r="W95" s="35" t="s">
        <v>67</v>
      </c>
      <c r="X95" s="278">
        <v>42</v>
      </c>
      <c r="Y95" s="279">
        <f t="shared" si="6"/>
        <v>42</v>
      </c>
      <c r="Z95" s="36">
        <f t="shared" si="7"/>
        <v>0.75095999999999996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186.84960000000001</v>
      </c>
      <c r="BN95" s="67">
        <f t="shared" si="9"/>
        <v>186.84960000000001</v>
      </c>
      <c r="BO95" s="67">
        <f t="shared" si="10"/>
        <v>0.6</v>
      </c>
      <c r="BP95" s="67">
        <f t="shared" si="11"/>
        <v>0.6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91">
        <v>4620207491782</v>
      </c>
      <c r="E96" s="292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43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96"/>
      <c r="R96" s="296"/>
      <c r="S96" s="296"/>
      <c r="T96" s="297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298"/>
      <c r="B97" s="288"/>
      <c r="C97" s="288"/>
      <c r="D97" s="288"/>
      <c r="E97" s="288"/>
      <c r="F97" s="288"/>
      <c r="G97" s="288"/>
      <c r="H97" s="288"/>
      <c r="I97" s="288"/>
      <c r="J97" s="288"/>
      <c r="K97" s="288"/>
      <c r="L97" s="288"/>
      <c r="M97" s="288"/>
      <c r="N97" s="288"/>
      <c r="O97" s="299"/>
      <c r="P97" s="284" t="s">
        <v>86</v>
      </c>
      <c r="Q97" s="285"/>
      <c r="R97" s="285"/>
      <c r="S97" s="285"/>
      <c r="T97" s="285"/>
      <c r="U97" s="285"/>
      <c r="V97" s="286"/>
      <c r="W97" s="37" t="s">
        <v>67</v>
      </c>
      <c r="X97" s="280">
        <f>IFERROR(SUM(X91:X96),"0")</f>
        <v>378</v>
      </c>
      <c r="Y97" s="280">
        <f>IFERROR(SUM(Y91:Y96),"0")</f>
        <v>378</v>
      </c>
      <c r="Z97" s="280">
        <f>IFERROR(IF(Z91="",0,Z91),"0")+IFERROR(IF(Z92="",0,Z92),"0")+IFERROR(IF(Z93="",0,Z93),"0")+IFERROR(IF(Z94="",0,Z94),"0")+IFERROR(IF(Z95="",0,Z95),"0")+IFERROR(IF(Z96="",0,Z96),"0")</f>
        <v>6.7586399999999998</v>
      </c>
      <c r="AA97" s="281"/>
      <c r="AB97" s="281"/>
      <c r="AC97" s="281"/>
    </row>
    <row r="98" spans="1:68" x14ac:dyDescent="0.2">
      <c r="A98" s="288"/>
      <c r="B98" s="288"/>
      <c r="C98" s="288"/>
      <c r="D98" s="288"/>
      <c r="E98" s="288"/>
      <c r="F98" s="288"/>
      <c r="G98" s="288"/>
      <c r="H98" s="288"/>
      <c r="I98" s="288"/>
      <c r="J98" s="288"/>
      <c r="K98" s="288"/>
      <c r="L98" s="288"/>
      <c r="M98" s="288"/>
      <c r="N98" s="288"/>
      <c r="O98" s="299"/>
      <c r="P98" s="284" t="s">
        <v>86</v>
      </c>
      <c r="Q98" s="285"/>
      <c r="R98" s="285"/>
      <c r="S98" s="285"/>
      <c r="T98" s="285"/>
      <c r="U98" s="285"/>
      <c r="V98" s="286"/>
      <c r="W98" s="37" t="s">
        <v>87</v>
      </c>
      <c r="X98" s="280">
        <f>IFERROR(SUMPRODUCT(X91:X96*H91:H96),"0")</f>
        <v>1128.96</v>
      </c>
      <c r="Y98" s="280">
        <f>IFERROR(SUMPRODUCT(Y91:Y96*H91:H96),"0")</f>
        <v>1128.96</v>
      </c>
      <c r="Z98" s="37"/>
      <c r="AA98" s="281"/>
      <c r="AB98" s="281"/>
      <c r="AC98" s="281"/>
    </row>
    <row r="99" spans="1:68" ht="16.5" hidden="1" customHeight="1" x14ac:dyDescent="0.25">
      <c r="A99" s="287" t="s">
        <v>179</v>
      </c>
      <c r="B99" s="28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  <c r="V99" s="288"/>
      <c r="W99" s="288"/>
      <c r="X99" s="288"/>
      <c r="Y99" s="288"/>
      <c r="Z99" s="288"/>
      <c r="AA99" s="273"/>
      <c r="AB99" s="273"/>
      <c r="AC99" s="273"/>
    </row>
    <row r="100" spans="1:68" ht="14.25" hidden="1" customHeight="1" x14ac:dyDescent="0.25">
      <c r="A100" s="324" t="s">
        <v>180</v>
      </c>
      <c r="B100" s="288"/>
      <c r="C100" s="288"/>
      <c r="D100" s="288"/>
      <c r="E100" s="288"/>
      <c r="F100" s="288"/>
      <c r="G100" s="288"/>
      <c r="H100" s="288"/>
      <c r="I100" s="288"/>
      <c r="J100" s="288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  <c r="V100" s="288"/>
      <c r="W100" s="288"/>
      <c r="X100" s="288"/>
      <c r="Y100" s="288"/>
      <c r="Z100" s="288"/>
      <c r="AA100" s="274"/>
      <c r="AB100" s="274"/>
      <c r="AC100" s="274"/>
    </row>
    <row r="101" spans="1:68" ht="27" customHeight="1" x14ac:dyDescent="0.25">
      <c r="A101" s="54" t="s">
        <v>181</v>
      </c>
      <c r="B101" s="54" t="s">
        <v>182</v>
      </c>
      <c r="C101" s="31">
        <v>4301136101</v>
      </c>
      <c r="D101" s="291">
        <v>4620207491652</v>
      </c>
      <c r="E101" s="292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96"/>
      <c r="R101" s="296"/>
      <c r="S101" s="296"/>
      <c r="T101" s="297"/>
      <c r="U101" s="34"/>
      <c r="V101" s="34"/>
      <c r="W101" s="35" t="s">
        <v>67</v>
      </c>
      <c r="X101" s="278">
        <v>42</v>
      </c>
      <c r="Y101" s="279">
        <f>IFERROR(IF(X101="","",X101),"")</f>
        <v>42</v>
      </c>
      <c r="Z101" s="36">
        <f>IFERROR(IF(X101="","",X101*0.00936),"")</f>
        <v>0.39312000000000002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104.63040000000001</v>
      </c>
      <c r="BN101" s="67">
        <f>IFERROR(Y101*I101,"0")</f>
        <v>104.63040000000001</v>
      </c>
      <c r="BO101" s="67">
        <f>IFERROR(X101/J101,"0")</f>
        <v>0.33333333333333331</v>
      </c>
      <c r="BP101" s="67">
        <f>IFERROR(Y101/J101,"0")</f>
        <v>0.33333333333333331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91">
        <v>4620207491645</v>
      </c>
      <c r="E102" s="292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29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96"/>
      <c r="R102" s="296"/>
      <c r="S102" s="296"/>
      <c r="T102" s="297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x14ac:dyDescent="0.2">
      <c r="A103" s="298"/>
      <c r="B103" s="288"/>
      <c r="C103" s="288"/>
      <c r="D103" s="288"/>
      <c r="E103" s="288"/>
      <c r="F103" s="288"/>
      <c r="G103" s="288"/>
      <c r="H103" s="288"/>
      <c r="I103" s="288"/>
      <c r="J103" s="288"/>
      <c r="K103" s="288"/>
      <c r="L103" s="288"/>
      <c r="M103" s="288"/>
      <c r="N103" s="288"/>
      <c r="O103" s="299"/>
      <c r="P103" s="284" t="s">
        <v>86</v>
      </c>
      <c r="Q103" s="285"/>
      <c r="R103" s="285"/>
      <c r="S103" s="285"/>
      <c r="T103" s="285"/>
      <c r="U103" s="285"/>
      <c r="V103" s="286"/>
      <c r="W103" s="37" t="s">
        <v>67</v>
      </c>
      <c r="X103" s="280">
        <f>IFERROR(SUM(X101:X102),"0")</f>
        <v>42</v>
      </c>
      <c r="Y103" s="280">
        <f>IFERROR(SUM(Y101:Y102),"0")</f>
        <v>42</v>
      </c>
      <c r="Z103" s="280">
        <f>IFERROR(IF(Z101="",0,Z101),"0")+IFERROR(IF(Z102="",0,Z102),"0")</f>
        <v>0.39312000000000002</v>
      </c>
      <c r="AA103" s="281"/>
      <c r="AB103" s="281"/>
      <c r="AC103" s="281"/>
    </row>
    <row r="104" spans="1:68" x14ac:dyDescent="0.2">
      <c r="A104" s="288"/>
      <c r="B104" s="288"/>
      <c r="C104" s="288"/>
      <c r="D104" s="288"/>
      <c r="E104" s="288"/>
      <c r="F104" s="288"/>
      <c r="G104" s="288"/>
      <c r="H104" s="288"/>
      <c r="I104" s="288"/>
      <c r="J104" s="288"/>
      <c r="K104" s="288"/>
      <c r="L104" s="288"/>
      <c r="M104" s="288"/>
      <c r="N104" s="288"/>
      <c r="O104" s="299"/>
      <c r="P104" s="284" t="s">
        <v>86</v>
      </c>
      <c r="Q104" s="285"/>
      <c r="R104" s="285"/>
      <c r="S104" s="285"/>
      <c r="T104" s="285"/>
      <c r="U104" s="285"/>
      <c r="V104" s="286"/>
      <c r="W104" s="37" t="s">
        <v>87</v>
      </c>
      <c r="X104" s="280">
        <f>IFERROR(SUMPRODUCT(X101:X102*H101:H102),"0")</f>
        <v>90.72</v>
      </c>
      <c r="Y104" s="280">
        <f>IFERROR(SUMPRODUCT(Y101:Y102*H101:H102),"0")</f>
        <v>90.72</v>
      </c>
      <c r="Z104" s="37"/>
      <c r="AA104" s="281"/>
      <c r="AB104" s="281"/>
      <c r="AC104" s="281"/>
    </row>
    <row r="105" spans="1:68" ht="16.5" hidden="1" customHeight="1" x14ac:dyDescent="0.25">
      <c r="A105" s="287" t="s">
        <v>186</v>
      </c>
      <c r="B105" s="288"/>
      <c r="C105" s="288"/>
      <c r="D105" s="288"/>
      <c r="E105" s="288"/>
      <c r="F105" s="288"/>
      <c r="G105" s="288"/>
      <c r="H105" s="288"/>
      <c r="I105" s="288"/>
      <c r="J105" s="288"/>
      <c r="K105" s="288"/>
      <c r="L105" s="288"/>
      <c r="M105" s="288"/>
      <c r="N105" s="288"/>
      <c r="O105" s="288"/>
      <c r="P105" s="288"/>
      <c r="Q105" s="288"/>
      <c r="R105" s="288"/>
      <c r="S105" s="288"/>
      <c r="T105" s="288"/>
      <c r="U105" s="288"/>
      <c r="V105" s="288"/>
      <c r="W105" s="288"/>
      <c r="X105" s="288"/>
      <c r="Y105" s="288"/>
      <c r="Z105" s="288"/>
      <c r="AA105" s="273"/>
      <c r="AB105" s="273"/>
      <c r="AC105" s="273"/>
    </row>
    <row r="106" spans="1:68" ht="14.25" hidden="1" customHeight="1" x14ac:dyDescent="0.25">
      <c r="A106" s="324" t="s">
        <v>61</v>
      </c>
      <c r="B106" s="288"/>
      <c r="C106" s="288"/>
      <c r="D106" s="288"/>
      <c r="E106" s="288"/>
      <c r="F106" s="288"/>
      <c r="G106" s="288"/>
      <c r="H106" s="288"/>
      <c r="I106" s="288"/>
      <c r="J106" s="288"/>
      <c r="K106" s="288"/>
      <c r="L106" s="288"/>
      <c r="M106" s="288"/>
      <c r="N106" s="288"/>
      <c r="O106" s="288"/>
      <c r="P106" s="288"/>
      <c r="Q106" s="288"/>
      <c r="R106" s="288"/>
      <c r="S106" s="288"/>
      <c r="T106" s="288"/>
      <c r="U106" s="288"/>
      <c r="V106" s="288"/>
      <c r="W106" s="288"/>
      <c r="X106" s="288"/>
      <c r="Y106" s="288"/>
      <c r="Z106" s="288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91">
        <v>4620207491157</v>
      </c>
      <c r="E107" s="292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96"/>
      <c r="R107" s="296"/>
      <c r="S107" s="296"/>
      <c r="T107" s="297"/>
      <c r="U107" s="34"/>
      <c r="V107" s="34"/>
      <c r="W107" s="35" t="s">
        <v>67</v>
      </c>
      <c r="X107" s="278">
        <v>12</v>
      </c>
      <c r="Y107" s="279">
        <f t="shared" ref="Y107:Y113" si="12">IFERROR(IF(X107="","",X107),"")</f>
        <v>12</v>
      </c>
      <c r="Z107" s="36">
        <f t="shared" ref="Z107:Z113" si="13">IFERROR(IF(X107="","",X107*0.0155),"")</f>
        <v>0.186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87.36</v>
      </c>
      <c r="BN107" s="67">
        <f t="shared" ref="BN107:BN113" si="15">IFERROR(Y107*I107,"0")</f>
        <v>87.36</v>
      </c>
      <c r="BO107" s="67">
        <f t="shared" ref="BO107:BO113" si="16">IFERROR(X107/J107,"0")</f>
        <v>0.14285714285714285</v>
      </c>
      <c r="BP107" s="67">
        <f t="shared" ref="BP107:BP113" si="17">IFERROR(Y107/J107,"0")</f>
        <v>0.14285714285714285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91">
        <v>4620207491393</v>
      </c>
      <c r="E108" s="292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96"/>
      <c r="R108" s="296"/>
      <c r="S108" s="296"/>
      <c r="T108" s="297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customHeight="1" x14ac:dyDescent="0.25">
      <c r="A109" s="54" t="s">
        <v>193</v>
      </c>
      <c r="B109" s="54" t="s">
        <v>194</v>
      </c>
      <c r="C109" s="31">
        <v>4301071051</v>
      </c>
      <c r="D109" s="291">
        <v>4607111039262</v>
      </c>
      <c r="E109" s="292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1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96"/>
      <c r="R109" s="296"/>
      <c r="S109" s="296"/>
      <c r="T109" s="297"/>
      <c r="U109" s="34"/>
      <c r="V109" s="34"/>
      <c r="W109" s="35" t="s">
        <v>67</v>
      </c>
      <c r="X109" s="278">
        <v>12</v>
      </c>
      <c r="Y109" s="279">
        <f t="shared" si="12"/>
        <v>12</v>
      </c>
      <c r="Z109" s="36">
        <f t="shared" si="13"/>
        <v>0.186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80.635199999999998</v>
      </c>
      <c r="BN109" s="67">
        <f t="shared" si="15"/>
        <v>80.635199999999998</v>
      </c>
      <c r="BO109" s="67">
        <f t="shared" si="16"/>
        <v>0.14285714285714285</v>
      </c>
      <c r="BP109" s="67">
        <f t="shared" si="17"/>
        <v>0.14285714285714285</v>
      </c>
    </row>
    <row r="110" spans="1:68" ht="27" hidden="1" customHeight="1" x14ac:dyDescent="0.25">
      <c r="A110" s="54" t="s">
        <v>195</v>
      </c>
      <c r="B110" s="54" t="s">
        <v>196</v>
      </c>
      <c r="C110" s="31">
        <v>4301071038</v>
      </c>
      <c r="D110" s="291">
        <v>4607111039248</v>
      </c>
      <c r="E110" s="292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4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96"/>
      <c r="R110" s="296"/>
      <c r="S110" s="296"/>
      <c r="T110" s="297"/>
      <c r="U110" s="34"/>
      <c r="V110" s="34"/>
      <c r="W110" s="35" t="s">
        <v>67</v>
      </c>
      <c r="X110" s="278">
        <v>0</v>
      </c>
      <c r="Y110" s="279">
        <f t="shared" si="12"/>
        <v>0</v>
      </c>
      <c r="Z110" s="36">
        <f t="shared" si="13"/>
        <v>0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91">
        <v>4607111037145</v>
      </c>
      <c r="E111" s="292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96"/>
      <c r="R111" s="296"/>
      <c r="S111" s="296"/>
      <c r="T111" s="297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200</v>
      </c>
      <c r="B112" s="54" t="s">
        <v>201</v>
      </c>
      <c r="C112" s="31">
        <v>4301071139</v>
      </c>
      <c r="D112" s="291">
        <v>4607111039293</v>
      </c>
      <c r="E112" s="292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6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96"/>
      <c r="R112" s="296"/>
      <c r="S112" s="296"/>
      <c r="T112" s="297"/>
      <c r="U112" s="34"/>
      <c r="V112" s="34"/>
      <c r="W112" s="35" t="s">
        <v>67</v>
      </c>
      <c r="X112" s="278">
        <v>12</v>
      </c>
      <c r="Y112" s="279">
        <f t="shared" si="12"/>
        <v>12</v>
      </c>
      <c r="Z112" s="36">
        <f t="shared" si="13"/>
        <v>0.186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91">
        <v>4607111039279</v>
      </c>
      <c r="E113" s="292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52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96"/>
      <c r="R113" s="296"/>
      <c r="S113" s="296"/>
      <c r="T113" s="297"/>
      <c r="U113" s="34"/>
      <c r="V113" s="34"/>
      <c r="W113" s="35" t="s">
        <v>67</v>
      </c>
      <c r="X113" s="278">
        <v>36</v>
      </c>
      <c r="Y113" s="279">
        <f t="shared" si="12"/>
        <v>36</v>
      </c>
      <c r="Z113" s="36">
        <f t="shared" si="13"/>
        <v>0.55800000000000005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262.8</v>
      </c>
      <c r="BN113" s="67">
        <f t="shared" si="15"/>
        <v>262.8</v>
      </c>
      <c r="BO113" s="67">
        <f t="shared" si="16"/>
        <v>0.42857142857142855</v>
      </c>
      <c r="BP113" s="67">
        <f t="shared" si="17"/>
        <v>0.42857142857142855</v>
      </c>
    </row>
    <row r="114" spans="1:68" x14ac:dyDescent="0.2">
      <c r="A114" s="298"/>
      <c r="B114" s="288"/>
      <c r="C114" s="288"/>
      <c r="D114" s="288"/>
      <c r="E114" s="288"/>
      <c r="F114" s="288"/>
      <c r="G114" s="288"/>
      <c r="H114" s="288"/>
      <c r="I114" s="288"/>
      <c r="J114" s="288"/>
      <c r="K114" s="288"/>
      <c r="L114" s="288"/>
      <c r="M114" s="288"/>
      <c r="N114" s="288"/>
      <c r="O114" s="299"/>
      <c r="P114" s="284" t="s">
        <v>86</v>
      </c>
      <c r="Q114" s="285"/>
      <c r="R114" s="285"/>
      <c r="S114" s="285"/>
      <c r="T114" s="285"/>
      <c r="U114" s="285"/>
      <c r="V114" s="286"/>
      <c r="W114" s="37" t="s">
        <v>67</v>
      </c>
      <c r="X114" s="280">
        <f>IFERROR(SUM(X107:X113),"0")</f>
        <v>72</v>
      </c>
      <c r="Y114" s="280">
        <f>IFERROR(SUM(Y107:Y113),"0")</f>
        <v>72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1.1160000000000001</v>
      </c>
      <c r="AA114" s="281"/>
      <c r="AB114" s="281"/>
      <c r="AC114" s="281"/>
    </row>
    <row r="115" spans="1:68" x14ac:dyDescent="0.2">
      <c r="A115" s="288"/>
      <c r="B115" s="288"/>
      <c r="C115" s="288"/>
      <c r="D115" s="288"/>
      <c r="E115" s="288"/>
      <c r="F115" s="288"/>
      <c r="G115" s="288"/>
      <c r="H115" s="288"/>
      <c r="I115" s="288"/>
      <c r="J115" s="288"/>
      <c r="K115" s="288"/>
      <c r="L115" s="288"/>
      <c r="M115" s="288"/>
      <c r="N115" s="288"/>
      <c r="O115" s="299"/>
      <c r="P115" s="284" t="s">
        <v>86</v>
      </c>
      <c r="Q115" s="285"/>
      <c r="R115" s="285"/>
      <c r="S115" s="285"/>
      <c r="T115" s="285"/>
      <c r="U115" s="285"/>
      <c r="V115" s="286"/>
      <c r="W115" s="37" t="s">
        <v>87</v>
      </c>
      <c r="X115" s="280">
        <f>IFERROR(SUMPRODUCT(X107:X113*H107:H113),"0")</f>
        <v>489.6</v>
      </c>
      <c r="Y115" s="280">
        <f>IFERROR(SUMPRODUCT(Y107:Y113*H107:H113),"0")</f>
        <v>489.6</v>
      </c>
      <c r="Z115" s="37"/>
      <c r="AA115" s="281"/>
      <c r="AB115" s="281"/>
      <c r="AC115" s="281"/>
    </row>
    <row r="116" spans="1:68" ht="14.25" hidden="1" customHeight="1" x14ac:dyDescent="0.25">
      <c r="A116" s="324" t="s">
        <v>152</v>
      </c>
      <c r="B116" s="288"/>
      <c r="C116" s="288"/>
      <c r="D116" s="288"/>
      <c r="E116" s="288"/>
      <c r="F116" s="288"/>
      <c r="G116" s="288"/>
      <c r="H116" s="288"/>
      <c r="I116" s="288"/>
      <c r="J116" s="288"/>
      <c r="K116" s="288"/>
      <c r="L116" s="288"/>
      <c r="M116" s="288"/>
      <c r="N116" s="288"/>
      <c r="O116" s="288"/>
      <c r="P116" s="288"/>
      <c r="Q116" s="288"/>
      <c r="R116" s="288"/>
      <c r="S116" s="288"/>
      <c r="T116" s="288"/>
      <c r="U116" s="288"/>
      <c r="V116" s="288"/>
      <c r="W116" s="288"/>
      <c r="X116" s="288"/>
      <c r="Y116" s="288"/>
      <c r="Z116" s="288"/>
      <c r="AA116" s="274"/>
      <c r="AB116" s="274"/>
      <c r="AC116" s="274"/>
    </row>
    <row r="117" spans="1:68" ht="27" customHeight="1" x14ac:dyDescent="0.25">
      <c r="A117" s="54" t="s">
        <v>205</v>
      </c>
      <c r="B117" s="54" t="s">
        <v>206</v>
      </c>
      <c r="C117" s="31">
        <v>4301135826</v>
      </c>
      <c r="D117" s="291">
        <v>4620207490983</v>
      </c>
      <c r="E117" s="292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7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96"/>
      <c r="R117" s="296"/>
      <c r="S117" s="296"/>
      <c r="T117" s="297"/>
      <c r="U117" s="34"/>
      <c r="V117" s="34"/>
      <c r="W117" s="35" t="s">
        <v>67</v>
      </c>
      <c r="X117" s="278">
        <v>14</v>
      </c>
      <c r="Y117" s="279">
        <f>IFERROR(IF(X117="","",X117),"")</f>
        <v>14</v>
      </c>
      <c r="Z117" s="36">
        <f>IFERROR(IF(X117="","",X117*0.01788),"")</f>
        <v>0.25031999999999999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46.810400000000001</v>
      </c>
      <c r="BN117" s="67">
        <f>IFERROR(Y117*I117,"0")</f>
        <v>46.810400000000001</v>
      </c>
      <c r="BO117" s="67">
        <f>IFERROR(X117/J117,"0")</f>
        <v>0.2</v>
      </c>
      <c r="BP117" s="67">
        <f>IFERROR(Y117/J117,"0")</f>
        <v>0.2</v>
      </c>
    </row>
    <row r="118" spans="1:68" x14ac:dyDescent="0.2">
      <c r="A118" s="298"/>
      <c r="B118" s="288"/>
      <c r="C118" s="288"/>
      <c r="D118" s="288"/>
      <c r="E118" s="288"/>
      <c r="F118" s="288"/>
      <c r="G118" s="288"/>
      <c r="H118" s="288"/>
      <c r="I118" s="288"/>
      <c r="J118" s="288"/>
      <c r="K118" s="288"/>
      <c r="L118" s="288"/>
      <c r="M118" s="288"/>
      <c r="N118" s="288"/>
      <c r="O118" s="299"/>
      <c r="P118" s="284" t="s">
        <v>86</v>
      </c>
      <c r="Q118" s="285"/>
      <c r="R118" s="285"/>
      <c r="S118" s="285"/>
      <c r="T118" s="285"/>
      <c r="U118" s="285"/>
      <c r="V118" s="286"/>
      <c r="W118" s="37" t="s">
        <v>67</v>
      </c>
      <c r="X118" s="280">
        <f>IFERROR(SUM(X117:X117),"0")</f>
        <v>14</v>
      </c>
      <c r="Y118" s="280">
        <f>IFERROR(SUM(Y117:Y117),"0")</f>
        <v>14</v>
      </c>
      <c r="Z118" s="280">
        <f>IFERROR(IF(Z117="",0,Z117),"0")</f>
        <v>0.25031999999999999</v>
      </c>
      <c r="AA118" s="281"/>
      <c r="AB118" s="281"/>
      <c r="AC118" s="281"/>
    </row>
    <row r="119" spans="1:68" x14ac:dyDescent="0.2">
      <c r="A119" s="288"/>
      <c r="B119" s="288"/>
      <c r="C119" s="288"/>
      <c r="D119" s="288"/>
      <c r="E119" s="288"/>
      <c r="F119" s="288"/>
      <c r="G119" s="288"/>
      <c r="H119" s="288"/>
      <c r="I119" s="288"/>
      <c r="J119" s="288"/>
      <c r="K119" s="288"/>
      <c r="L119" s="288"/>
      <c r="M119" s="288"/>
      <c r="N119" s="288"/>
      <c r="O119" s="299"/>
      <c r="P119" s="284" t="s">
        <v>86</v>
      </c>
      <c r="Q119" s="285"/>
      <c r="R119" s="285"/>
      <c r="S119" s="285"/>
      <c r="T119" s="285"/>
      <c r="U119" s="285"/>
      <c r="V119" s="286"/>
      <c r="W119" s="37" t="s">
        <v>87</v>
      </c>
      <c r="X119" s="280">
        <f>IFERROR(SUMPRODUCT(X117:X117*H117:H117),"0")</f>
        <v>36.96</v>
      </c>
      <c r="Y119" s="280">
        <f>IFERROR(SUMPRODUCT(Y117:Y117*H117:H117),"0")</f>
        <v>36.96</v>
      </c>
      <c r="Z119" s="37"/>
      <c r="AA119" s="281"/>
      <c r="AB119" s="281"/>
      <c r="AC119" s="281"/>
    </row>
    <row r="120" spans="1:68" ht="14.25" hidden="1" customHeight="1" x14ac:dyDescent="0.25">
      <c r="A120" s="324" t="s">
        <v>208</v>
      </c>
      <c r="B120" s="288"/>
      <c r="C120" s="288"/>
      <c r="D120" s="288"/>
      <c r="E120" s="288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288"/>
      <c r="W120" s="288"/>
      <c r="X120" s="288"/>
      <c r="Y120" s="288"/>
      <c r="Z120" s="288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91">
        <v>4620207491140</v>
      </c>
      <c r="E121" s="292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96"/>
      <c r="R121" s="296"/>
      <c r="S121" s="296"/>
      <c r="T121" s="297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98"/>
      <c r="B122" s="288"/>
      <c r="C122" s="288"/>
      <c r="D122" s="288"/>
      <c r="E122" s="288"/>
      <c r="F122" s="288"/>
      <c r="G122" s="288"/>
      <c r="H122" s="288"/>
      <c r="I122" s="288"/>
      <c r="J122" s="288"/>
      <c r="K122" s="288"/>
      <c r="L122" s="288"/>
      <c r="M122" s="288"/>
      <c r="N122" s="288"/>
      <c r="O122" s="299"/>
      <c r="P122" s="284" t="s">
        <v>86</v>
      </c>
      <c r="Q122" s="285"/>
      <c r="R122" s="285"/>
      <c r="S122" s="285"/>
      <c r="T122" s="285"/>
      <c r="U122" s="285"/>
      <c r="V122" s="286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88"/>
      <c r="B123" s="288"/>
      <c r="C123" s="288"/>
      <c r="D123" s="288"/>
      <c r="E123" s="288"/>
      <c r="F123" s="288"/>
      <c r="G123" s="288"/>
      <c r="H123" s="288"/>
      <c r="I123" s="288"/>
      <c r="J123" s="288"/>
      <c r="K123" s="288"/>
      <c r="L123" s="288"/>
      <c r="M123" s="288"/>
      <c r="N123" s="288"/>
      <c r="O123" s="299"/>
      <c r="P123" s="284" t="s">
        <v>86</v>
      </c>
      <c r="Q123" s="285"/>
      <c r="R123" s="285"/>
      <c r="S123" s="285"/>
      <c r="T123" s="285"/>
      <c r="U123" s="285"/>
      <c r="V123" s="286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87" t="s">
        <v>212</v>
      </c>
      <c r="B124" s="288"/>
      <c r="C124" s="288"/>
      <c r="D124" s="288"/>
      <c r="E124" s="288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288"/>
      <c r="W124" s="288"/>
      <c r="X124" s="288"/>
      <c r="Y124" s="288"/>
      <c r="Z124" s="288"/>
      <c r="AA124" s="273"/>
      <c r="AB124" s="273"/>
      <c r="AC124" s="273"/>
    </row>
    <row r="125" spans="1:68" ht="14.25" hidden="1" customHeight="1" x14ac:dyDescent="0.25">
      <c r="A125" s="324" t="s">
        <v>61</v>
      </c>
      <c r="B125" s="288"/>
      <c r="C125" s="288"/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288"/>
      <c r="T125" s="288"/>
      <c r="U125" s="288"/>
      <c r="V125" s="288"/>
      <c r="W125" s="288"/>
      <c r="X125" s="288"/>
      <c r="Y125" s="288"/>
      <c r="Z125" s="288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91">
        <v>4620207491904</v>
      </c>
      <c r="E126" s="292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96"/>
      <c r="R126" s="296"/>
      <c r="S126" s="296"/>
      <c r="T126" s="297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98"/>
      <c r="B127" s="288"/>
      <c r="C127" s="288"/>
      <c r="D127" s="288"/>
      <c r="E127" s="288"/>
      <c r="F127" s="288"/>
      <c r="G127" s="288"/>
      <c r="H127" s="288"/>
      <c r="I127" s="288"/>
      <c r="J127" s="288"/>
      <c r="K127" s="288"/>
      <c r="L127" s="288"/>
      <c r="M127" s="288"/>
      <c r="N127" s="288"/>
      <c r="O127" s="299"/>
      <c r="P127" s="284" t="s">
        <v>86</v>
      </c>
      <c r="Q127" s="285"/>
      <c r="R127" s="285"/>
      <c r="S127" s="285"/>
      <c r="T127" s="285"/>
      <c r="U127" s="285"/>
      <c r="V127" s="286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88"/>
      <c r="B128" s="288"/>
      <c r="C128" s="288"/>
      <c r="D128" s="288"/>
      <c r="E128" s="288"/>
      <c r="F128" s="288"/>
      <c r="G128" s="288"/>
      <c r="H128" s="288"/>
      <c r="I128" s="288"/>
      <c r="J128" s="288"/>
      <c r="K128" s="288"/>
      <c r="L128" s="288"/>
      <c r="M128" s="288"/>
      <c r="N128" s="288"/>
      <c r="O128" s="299"/>
      <c r="P128" s="284" t="s">
        <v>86</v>
      </c>
      <c r="Q128" s="285"/>
      <c r="R128" s="285"/>
      <c r="S128" s="285"/>
      <c r="T128" s="285"/>
      <c r="U128" s="285"/>
      <c r="V128" s="286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24" t="s">
        <v>152</v>
      </c>
      <c r="B129" s="288"/>
      <c r="C129" s="288"/>
      <c r="D129" s="288"/>
      <c r="E129" s="288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288"/>
      <c r="W129" s="288"/>
      <c r="X129" s="288"/>
      <c r="Y129" s="288"/>
      <c r="Z129" s="288"/>
      <c r="AA129" s="274"/>
      <c r="AB129" s="274"/>
      <c r="AC129" s="274"/>
    </row>
    <row r="130" spans="1:68" ht="27" customHeight="1" x14ac:dyDescent="0.25">
      <c r="A130" s="54" t="s">
        <v>216</v>
      </c>
      <c r="B130" s="54" t="s">
        <v>217</v>
      </c>
      <c r="C130" s="31">
        <v>4301135850</v>
      </c>
      <c r="D130" s="291">
        <v>4620207491492</v>
      </c>
      <c r="E130" s="292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39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96"/>
      <c r="R130" s="296"/>
      <c r="S130" s="296"/>
      <c r="T130" s="297"/>
      <c r="U130" s="34"/>
      <c r="V130" s="34"/>
      <c r="W130" s="35" t="s">
        <v>67</v>
      </c>
      <c r="X130" s="278">
        <v>140</v>
      </c>
      <c r="Y130" s="279">
        <f>IFERROR(IF(X130="","",X130),"")</f>
        <v>140</v>
      </c>
      <c r="Z130" s="36">
        <f>IFERROR(IF(X130="","",X130*0.00941),"")</f>
        <v>1.3173999999999999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252</v>
      </c>
      <c r="BN130" s="67">
        <f>IFERROR(Y130*I130,"0")</f>
        <v>252</v>
      </c>
      <c r="BO130" s="67">
        <f>IFERROR(X130/J130,"0")</f>
        <v>1</v>
      </c>
      <c r="BP130" s="67">
        <f>IFERROR(Y130/J130,"0")</f>
        <v>1</v>
      </c>
    </row>
    <row r="131" spans="1:68" ht="27" customHeight="1" x14ac:dyDescent="0.25">
      <c r="A131" s="54" t="s">
        <v>219</v>
      </c>
      <c r="B131" s="54" t="s">
        <v>220</v>
      </c>
      <c r="C131" s="31">
        <v>4301190118</v>
      </c>
      <c r="D131" s="291">
        <v>4620207491461</v>
      </c>
      <c r="E131" s="292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6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96"/>
      <c r="R131" s="296"/>
      <c r="S131" s="296"/>
      <c r="T131" s="297"/>
      <c r="U131" s="34"/>
      <c r="V131" s="34"/>
      <c r="W131" s="35" t="s">
        <v>67</v>
      </c>
      <c r="X131" s="278">
        <v>140</v>
      </c>
      <c r="Y131" s="279">
        <f>IFERROR(IF(X131="","",X131),"")</f>
        <v>140</v>
      </c>
      <c r="Z131" s="36">
        <f>IFERROR(IF(X131="","",X131*0.00941),"")</f>
        <v>1.3173999999999999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243.6</v>
      </c>
      <c r="BN131" s="67">
        <f>IFERROR(Y131*I131,"0")</f>
        <v>243.6</v>
      </c>
      <c r="BO131" s="67">
        <f>IFERROR(X131/J131,"0")</f>
        <v>1</v>
      </c>
      <c r="BP131" s="67">
        <f>IFERROR(Y131/J131,"0")</f>
        <v>1</v>
      </c>
    </row>
    <row r="132" spans="1:68" ht="27" customHeight="1" x14ac:dyDescent="0.25">
      <c r="A132" s="54" t="s">
        <v>221</v>
      </c>
      <c r="B132" s="54" t="s">
        <v>222</v>
      </c>
      <c r="C132" s="31">
        <v>4301135865</v>
      </c>
      <c r="D132" s="291">
        <v>4620207491485</v>
      </c>
      <c r="E132" s="292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96"/>
      <c r="R132" s="296"/>
      <c r="S132" s="296"/>
      <c r="T132" s="297"/>
      <c r="U132" s="34"/>
      <c r="V132" s="34"/>
      <c r="W132" s="35" t="s">
        <v>67</v>
      </c>
      <c r="X132" s="278">
        <v>140</v>
      </c>
      <c r="Y132" s="279">
        <f>IFERROR(IF(X132="","",X132),"")</f>
        <v>140</v>
      </c>
      <c r="Z132" s="36">
        <f>IFERROR(IF(X132="","",X132*0.00941),"")</f>
        <v>1.3173999999999999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252</v>
      </c>
      <c r="BN132" s="67">
        <f>IFERROR(Y132*I132,"0")</f>
        <v>252</v>
      </c>
      <c r="BO132" s="67">
        <f>IFERROR(X132/J132,"0")</f>
        <v>1</v>
      </c>
      <c r="BP132" s="67">
        <f>IFERROR(Y132/J132,"0")</f>
        <v>1</v>
      </c>
    </row>
    <row r="133" spans="1:68" ht="27" customHeight="1" x14ac:dyDescent="0.25">
      <c r="A133" s="54" t="s">
        <v>223</v>
      </c>
      <c r="B133" s="54" t="s">
        <v>224</v>
      </c>
      <c r="C133" s="31">
        <v>4301135848</v>
      </c>
      <c r="D133" s="291">
        <v>4620207491799</v>
      </c>
      <c r="E133" s="292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96"/>
      <c r="R133" s="296"/>
      <c r="S133" s="296"/>
      <c r="T133" s="297"/>
      <c r="U133" s="34"/>
      <c r="V133" s="34"/>
      <c r="W133" s="35" t="s">
        <v>67</v>
      </c>
      <c r="X133" s="278">
        <v>140</v>
      </c>
      <c r="Y133" s="279">
        <f>IFERROR(IF(X133="","",X133),"")</f>
        <v>140</v>
      </c>
      <c r="Z133" s="36">
        <f>IFERROR(IF(X133="","",X133*0.00941),"")</f>
        <v>1.3173999999999999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252</v>
      </c>
      <c r="BN133" s="67">
        <f>IFERROR(Y133*I133,"0")</f>
        <v>252</v>
      </c>
      <c r="BO133" s="67">
        <f>IFERROR(X133/J133,"0")</f>
        <v>1</v>
      </c>
      <c r="BP133" s="67">
        <f>IFERROR(Y133/J133,"0")</f>
        <v>1</v>
      </c>
    </row>
    <row r="134" spans="1:68" x14ac:dyDescent="0.2">
      <c r="A134" s="298"/>
      <c r="B134" s="288"/>
      <c r="C134" s="288"/>
      <c r="D134" s="288"/>
      <c r="E134" s="288"/>
      <c r="F134" s="288"/>
      <c r="G134" s="288"/>
      <c r="H134" s="288"/>
      <c r="I134" s="288"/>
      <c r="J134" s="288"/>
      <c r="K134" s="288"/>
      <c r="L134" s="288"/>
      <c r="M134" s="288"/>
      <c r="N134" s="288"/>
      <c r="O134" s="299"/>
      <c r="P134" s="284" t="s">
        <v>86</v>
      </c>
      <c r="Q134" s="285"/>
      <c r="R134" s="285"/>
      <c r="S134" s="285"/>
      <c r="T134" s="285"/>
      <c r="U134" s="285"/>
      <c r="V134" s="286"/>
      <c r="W134" s="37" t="s">
        <v>67</v>
      </c>
      <c r="X134" s="280">
        <f>IFERROR(SUM(X130:X133),"0")</f>
        <v>560</v>
      </c>
      <c r="Y134" s="280">
        <f>IFERROR(SUM(Y130:Y133),"0")</f>
        <v>560</v>
      </c>
      <c r="Z134" s="280">
        <f>IFERROR(IF(Z130="",0,Z130),"0")+IFERROR(IF(Z131="",0,Z131),"0")+IFERROR(IF(Z132="",0,Z132),"0")+IFERROR(IF(Z133="",0,Z133),"0")</f>
        <v>5.2695999999999996</v>
      </c>
      <c r="AA134" s="281"/>
      <c r="AB134" s="281"/>
      <c r="AC134" s="281"/>
    </row>
    <row r="135" spans="1:68" x14ac:dyDescent="0.2">
      <c r="A135" s="288"/>
      <c r="B135" s="288"/>
      <c r="C135" s="288"/>
      <c r="D135" s="288"/>
      <c r="E135" s="288"/>
      <c r="F135" s="288"/>
      <c r="G135" s="288"/>
      <c r="H135" s="288"/>
      <c r="I135" s="288"/>
      <c r="J135" s="288"/>
      <c r="K135" s="288"/>
      <c r="L135" s="288"/>
      <c r="M135" s="288"/>
      <c r="N135" s="288"/>
      <c r="O135" s="299"/>
      <c r="P135" s="284" t="s">
        <v>86</v>
      </c>
      <c r="Q135" s="285"/>
      <c r="R135" s="285"/>
      <c r="S135" s="285"/>
      <c r="T135" s="285"/>
      <c r="U135" s="285"/>
      <c r="V135" s="286"/>
      <c r="W135" s="37" t="s">
        <v>87</v>
      </c>
      <c r="X135" s="280">
        <f>IFERROR(SUMPRODUCT(X130:X133*H130:H133),"0")</f>
        <v>764.40000000000009</v>
      </c>
      <c r="Y135" s="280">
        <f>IFERROR(SUMPRODUCT(Y130:Y133*H130:H133),"0")</f>
        <v>764.40000000000009</v>
      </c>
      <c r="Z135" s="37"/>
      <c r="AA135" s="281"/>
      <c r="AB135" s="281"/>
      <c r="AC135" s="281"/>
    </row>
    <row r="136" spans="1:68" ht="14.25" hidden="1" customHeight="1" x14ac:dyDescent="0.25">
      <c r="A136" s="324" t="s">
        <v>225</v>
      </c>
      <c r="B136" s="288"/>
      <c r="C136" s="288"/>
      <c r="D136" s="288"/>
      <c r="E136" s="288"/>
      <c r="F136" s="288"/>
      <c r="G136" s="288"/>
      <c r="H136" s="288"/>
      <c r="I136" s="288"/>
      <c r="J136" s="288"/>
      <c r="K136" s="288"/>
      <c r="L136" s="288"/>
      <c r="M136" s="288"/>
      <c r="N136" s="288"/>
      <c r="O136" s="288"/>
      <c r="P136" s="288"/>
      <c r="Q136" s="288"/>
      <c r="R136" s="288"/>
      <c r="S136" s="288"/>
      <c r="T136" s="288"/>
      <c r="U136" s="288"/>
      <c r="V136" s="288"/>
      <c r="W136" s="288"/>
      <c r="X136" s="288"/>
      <c r="Y136" s="288"/>
      <c r="Z136" s="288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91">
        <v>4620207491386</v>
      </c>
      <c r="E137" s="292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7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6"/>
      <c r="R137" s="296"/>
      <c r="S137" s="296"/>
      <c r="T137" s="297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229</v>
      </c>
      <c r="B138" s="54" t="s">
        <v>230</v>
      </c>
      <c r="C138" s="31">
        <v>4301190115</v>
      </c>
      <c r="D138" s="291">
        <v>4620207491362</v>
      </c>
      <c r="E138" s="292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6"/>
      <c r="R138" s="296"/>
      <c r="S138" s="296"/>
      <c r="T138" s="297"/>
      <c r="U138" s="34"/>
      <c r="V138" s="34"/>
      <c r="W138" s="35" t="s">
        <v>67</v>
      </c>
      <c r="X138" s="278">
        <v>14</v>
      </c>
      <c r="Y138" s="279">
        <f>IFERROR(IF(X138="","",X138),"")</f>
        <v>14</v>
      </c>
      <c r="Z138" s="36">
        <f>IFERROR(IF(X138="","",X138*0.00941),"")</f>
        <v>0.13174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19.571999999999999</v>
      </c>
      <c r="BN138" s="67">
        <f>IFERROR(Y138*I138,"0")</f>
        <v>19.571999999999999</v>
      </c>
      <c r="BO138" s="67">
        <f>IFERROR(X138/J138,"0")</f>
        <v>0.1</v>
      </c>
      <c r="BP138" s="67">
        <f>IFERROR(Y138/J138,"0")</f>
        <v>0.1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91">
        <v>4620207491379</v>
      </c>
      <c r="E139" s="292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2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6"/>
      <c r="R139" s="296"/>
      <c r="S139" s="296"/>
      <c r="T139" s="297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x14ac:dyDescent="0.2">
      <c r="A140" s="298"/>
      <c r="B140" s="288"/>
      <c r="C140" s="288"/>
      <c r="D140" s="288"/>
      <c r="E140" s="288"/>
      <c r="F140" s="288"/>
      <c r="G140" s="288"/>
      <c r="H140" s="288"/>
      <c r="I140" s="288"/>
      <c r="J140" s="288"/>
      <c r="K140" s="288"/>
      <c r="L140" s="288"/>
      <c r="M140" s="288"/>
      <c r="N140" s="288"/>
      <c r="O140" s="299"/>
      <c r="P140" s="284" t="s">
        <v>86</v>
      </c>
      <c r="Q140" s="285"/>
      <c r="R140" s="285"/>
      <c r="S140" s="285"/>
      <c r="T140" s="285"/>
      <c r="U140" s="285"/>
      <c r="V140" s="286"/>
      <c r="W140" s="37" t="s">
        <v>67</v>
      </c>
      <c r="X140" s="280">
        <f>IFERROR(SUM(X137:X139),"0")</f>
        <v>14</v>
      </c>
      <c r="Y140" s="280">
        <f>IFERROR(SUM(Y137:Y139),"0")</f>
        <v>14</v>
      </c>
      <c r="Z140" s="280">
        <f>IFERROR(IF(Z137="",0,Z137),"0")+IFERROR(IF(Z138="",0,Z138),"0")+IFERROR(IF(Z139="",0,Z139),"0")</f>
        <v>0.13174</v>
      </c>
      <c r="AA140" s="281"/>
      <c r="AB140" s="281"/>
      <c r="AC140" s="281"/>
    </row>
    <row r="141" spans="1:68" x14ac:dyDescent="0.2">
      <c r="A141" s="288"/>
      <c r="B141" s="28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99"/>
      <c r="P141" s="284" t="s">
        <v>86</v>
      </c>
      <c r="Q141" s="285"/>
      <c r="R141" s="285"/>
      <c r="S141" s="285"/>
      <c r="T141" s="285"/>
      <c r="U141" s="285"/>
      <c r="V141" s="286"/>
      <c r="W141" s="37" t="s">
        <v>87</v>
      </c>
      <c r="X141" s="280">
        <f>IFERROR(SUMPRODUCT(X137:X139*H137:H139),"0")</f>
        <v>15.120000000000001</v>
      </c>
      <c r="Y141" s="280">
        <f>IFERROR(SUMPRODUCT(Y137:Y139*H137:H139),"0")</f>
        <v>15.120000000000001</v>
      </c>
      <c r="Z141" s="37"/>
      <c r="AA141" s="281"/>
      <c r="AB141" s="281"/>
      <c r="AC141" s="281"/>
    </row>
    <row r="142" spans="1:68" ht="16.5" hidden="1" customHeight="1" x14ac:dyDescent="0.25">
      <c r="A142" s="287" t="s">
        <v>233</v>
      </c>
      <c r="B142" s="28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  <c r="V142" s="288"/>
      <c r="W142" s="288"/>
      <c r="X142" s="288"/>
      <c r="Y142" s="288"/>
      <c r="Z142" s="288"/>
      <c r="AA142" s="273"/>
      <c r="AB142" s="273"/>
      <c r="AC142" s="273"/>
    </row>
    <row r="143" spans="1:68" ht="14.25" hidden="1" customHeight="1" x14ac:dyDescent="0.25">
      <c r="A143" s="324" t="s">
        <v>152</v>
      </c>
      <c r="B143" s="28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  <c r="V143" s="288"/>
      <c r="W143" s="288"/>
      <c r="X143" s="288"/>
      <c r="Y143" s="288"/>
      <c r="Z143" s="288"/>
      <c r="AA143" s="274"/>
      <c r="AB143" s="274"/>
      <c r="AC143" s="274"/>
    </row>
    <row r="144" spans="1:68" ht="27" customHeight="1" x14ac:dyDescent="0.25">
      <c r="A144" s="54" t="s">
        <v>234</v>
      </c>
      <c r="B144" s="54" t="s">
        <v>235</v>
      </c>
      <c r="C144" s="31">
        <v>4301135956</v>
      </c>
      <c r="D144" s="291">
        <v>4620207491560</v>
      </c>
      <c r="E144" s="292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328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96"/>
      <c r="R144" s="296"/>
      <c r="S144" s="296"/>
      <c r="T144" s="297"/>
      <c r="U144" s="34"/>
      <c r="V144" s="34"/>
      <c r="W144" s="35" t="s">
        <v>67</v>
      </c>
      <c r="X144" s="278">
        <v>126</v>
      </c>
      <c r="Y144" s="279">
        <f>IFERROR(IF(X144="","",X144),"")</f>
        <v>126</v>
      </c>
      <c r="Z144" s="36">
        <f>IFERROR(IF(X144="","",X144*0.01788),"")</f>
        <v>2.2528800000000002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466.65359999999998</v>
      </c>
      <c r="BN144" s="67">
        <f>IFERROR(Y144*I144,"0")</f>
        <v>466.65359999999998</v>
      </c>
      <c r="BO144" s="67">
        <f>IFERROR(X144/J144,"0")</f>
        <v>1.8</v>
      </c>
      <c r="BP144" s="67">
        <f>IFERROR(Y144/J144,"0")</f>
        <v>1.8</v>
      </c>
    </row>
    <row r="145" spans="1:68" ht="27" customHeight="1" x14ac:dyDescent="0.25">
      <c r="A145" s="54" t="s">
        <v>237</v>
      </c>
      <c r="B145" s="54" t="s">
        <v>238</v>
      </c>
      <c r="C145" s="31">
        <v>4301135962</v>
      </c>
      <c r="D145" s="291">
        <v>4620207491584</v>
      </c>
      <c r="E145" s="292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31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96"/>
      <c r="R145" s="296"/>
      <c r="S145" s="296"/>
      <c r="T145" s="297"/>
      <c r="U145" s="34"/>
      <c r="V145" s="34"/>
      <c r="W145" s="35" t="s">
        <v>67</v>
      </c>
      <c r="X145" s="278">
        <v>140</v>
      </c>
      <c r="Y145" s="279">
        <f>IFERROR(IF(X145="","",X145),"")</f>
        <v>140</v>
      </c>
      <c r="Z145" s="36">
        <f>IFERROR(IF(X145="","",X145*0.01788),"")</f>
        <v>2.5032000000000001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518.50400000000002</v>
      </c>
      <c r="BN145" s="67">
        <f>IFERROR(Y145*I145,"0")</f>
        <v>518.50400000000002</v>
      </c>
      <c r="BO145" s="67">
        <f>IFERROR(X145/J145,"0")</f>
        <v>2</v>
      </c>
      <c r="BP145" s="67">
        <f>IFERROR(Y145/J145,"0")</f>
        <v>2</v>
      </c>
    </row>
    <row r="146" spans="1:68" x14ac:dyDescent="0.2">
      <c r="A146" s="298"/>
      <c r="B146" s="288"/>
      <c r="C146" s="288"/>
      <c r="D146" s="288"/>
      <c r="E146" s="288"/>
      <c r="F146" s="288"/>
      <c r="G146" s="288"/>
      <c r="H146" s="288"/>
      <c r="I146" s="288"/>
      <c r="J146" s="288"/>
      <c r="K146" s="288"/>
      <c r="L146" s="288"/>
      <c r="M146" s="288"/>
      <c r="N146" s="288"/>
      <c r="O146" s="299"/>
      <c r="P146" s="284" t="s">
        <v>86</v>
      </c>
      <c r="Q146" s="285"/>
      <c r="R146" s="285"/>
      <c r="S146" s="285"/>
      <c r="T146" s="285"/>
      <c r="U146" s="285"/>
      <c r="V146" s="286"/>
      <c r="W146" s="37" t="s">
        <v>67</v>
      </c>
      <c r="X146" s="280">
        <f>IFERROR(SUM(X144:X145),"0")</f>
        <v>266</v>
      </c>
      <c r="Y146" s="280">
        <f>IFERROR(SUM(Y144:Y145),"0")</f>
        <v>266</v>
      </c>
      <c r="Z146" s="280">
        <f>IFERROR(IF(Z144="",0,Z144),"0")+IFERROR(IF(Z145="",0,Z145),"0")</f>
        <v>4.7560800000000008</v>
      </c>
      <c r="AA146" s="281"/>
      <c r="AB146" s="281"/>
      <c r="AC146" s="281"/>
    </row>
    <row r="147" spans="1:68" x14ac:dyDescent="0.2">
      <c r="A147" s="288"/>
      <c r="B147" s="288"/>
      <c r="C147" s="288"/>
      <c r="D147" s="288"/>
      <c r="E147" s="288"/>
      <c r="F147" s="288"/>
      <c r="G147" s="288"/>
      <c r="H147" s="288"/>
      <c r="I147" s="288"/>
      <c r="J147" s="288"/>
      <c r="K147" s="288"/>
      <c r="L147" s="288"/>
      <c r="M147" s="288"/>
      <c r="N147" s="288"/>
      <c r="O147" s="299"/>
      <c r="P147" s="284" t="s">
        <v>86</v>
      </c>
      <c r="Q147" s="285"/>
      <c r="R147" s="285"/>
      <c r="S147" s="285"/>
      <c r="T147" s="285"/>
      <c r="U147" s="285"/>
      <c r="V147" s="286"/>
      <c r="W147" s="37" t="s">
        <v>87</v>
      </c>
      <c r="X147" s="280">
        <f>IFERROR(SUMPRODUCT(X144:X145*H144:H145),"0")</f>
        <v>798</v>
      </c>
      <c r="Y147" s="280">
        <f>IFERROR(SUMPRODUCT(Y144:Y145*H144:H145),"0")</f>
        <v>798</v>
      </c>
      <c r="Z147" s="37"/>
      <c r="AA147" s="281"/>
      <c r="AB147" s="281"/>
      <c r="AC147" s="281"/>
    </row>
    <row r="148" spans="1:68" ht="16.5" hidden="1" customHeight="1" x14ac:dyDescent="0.25">
      <c r="A148" s="287" t="s">
        <v>239</v>
      </c>
      <c r="B148" s="288"/>
      <c r="C148" s="288"/>
      <c r="D148" s="288"/>
      <c r="E148" s="288"/>
      <c r="F148" s="288"/>
      <c r="G148" s="288"/>
      <c r="H148" s="288"/>
      <c r="I148" s="288"/>
      <c r="J148" s="288"/>
      <c r="K148" s="288"/>
      <c r="L148" s="288"/>
      <c r="M148" s="288"/>
      <c r="N148" s="288"/>
      <c r="O148" s="288"/>
      <c r="P148" s="288"/>
      <c r="Q148" s="288"/>
      <c r="R148" s="288"/>
      <c r="S148" s="288"/>
      <c r="T148" s="288"/>
      <c r="U148" s="288"/>
      <c r="V148" s="288"/>
      <c r="W148" s="288"/>
      <c r="X148" s="288"/>
      <c r="Y148" s="288"/>
      <c r="Z148" s="288"/>
      <c r="AA148" s="273"/>
      <c r="AB148" s="273"/>
      <c r="AC148" s="273"/>
    </row>
    <row r="149" spans="1:68" ht="14.25" hidden="1" customHeight="1" x14ac:dyDescent="0.25">
      <c r="A149" s="324" t="s">
        <v>152</v>
      </c>
      <c r="B149" s="28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8"/>
      <c r="P149" s="288"/>
      <c r="Q149" s="288"/>
      <c r="R149" s="288"/>
      <c r="S149" s="288"/>
      <c r="T149" s="288"/>
      <c r="U149" s="288"/>
      <c r="V149" s="288"/>
      <c r="W149" s="288"/>
      <c r="X149" s="288"/>
      <c r="Y149" s="288"/>
      <c r="Z149" s="288"/>
      <c r="AA149" s="274"/>
      <c r="AB149" s="274"/>
      <c r="AC149" s="274"/>
    </row>
    <row r="150" spans="1:68" ht="27" hidden="1" customHeight="1" x14ac:dyDescent="0.25">
      <c r="A150" s="54" t="s">
        <v>240</v>
      </c>
      <c r="B150" s="54" t="s">
        <v>241</v>
      </c>
      <c r="C150" s="31">
        <v>4301135954</v>
      </c>
      <c r="D150" s="291">
        <v>4620207491768</v>
      </c>
      <c r="E150" s="292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2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96"/>
      <c r="R150" s="296"/>
      <c r="S150" s="296"/>
      <c r="T150" s="297"/>
      <c r="U150" s="34"/>
      <c r="V150" s="34"/>
      <c r="W150" s="35" t="s">
        <v>67</v>
      </c>
      <c r="X150" s="278">
        <v>0</v>
      </c>
      <c r="Y150" s="279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customHeight="1" x14ac:dyDescent="0.25">
      <c r="A151" s="54" t="s">
        <v>243</v>
      </c>
      <c r="B151" s="54" t="s">
        <v>244</v>
      </c>
      <c r="C151" s="31">
        <v>4301135946</v>
      </c>
      <c r="D151" s="291">
        <v>4620207491553</v>
      </c>
      <c r="E151" s="292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6"/>
      <c r="R151" s="296"/>
      <c r="S151" s="296"/>
      <c r="T151" s="297"/>
      <c r="U151" s="34"/>
      <c r="V151" s="34"/>
      <c r="W151" s="35" t="s">
        <v>67</v>
      </c>
      <c r="X151" s="278">
        <v>98</v>
      </c>
      <c r="Y151" s="279">
        <f>IFERROR(IF(X151="","",X151),"")</f>
        <v>98</v>
      </c>
      <c r="Z151" s="36">
        <f>IFERROR(IF(X151="","",X151*0.01788),"")</f>
        <v>1.75224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362.95279999999997</v>
      </c>
      <c r="BN151" s="67">
        <f>IFERROR(Y151*I151,"0")</f>
        <v>362.95279999999997</v>
      </c>
      <c r="BO151" s="67">
        <f>IFERROR(X151/J151,"0")</f>
        <v>1.4</v>
      </c>
      <c r="BP151" s="67">
        <f>IFERROR(Y151/J151,"0")</f>
        <v>1.4</v>
      </c>
    </row>
    <row r="152" spans="1:68" x14ac:dyDescent="0.2">
      <c r="A152" s="298"/>
      <c r="B152" s="288"/>
      <c r="C152" s="288"/>
      <c r="D152" s="288"/>
      <c r="E152" s="288"/>
      <c r="F152" s="288"/>
      <c r="G152" s="288"/>
      <c r="H152" s="288"/>
      <c r="I152" s="288"/>
      <c r="J152" s="288"/>
      <c r="K152" s="288"/>
      <c r="L152" s="288"/>
      <c r="M152" s="288"/>
      <c r="N152" s="288"/>
      <c r="O152" s="299"/>
      <c r="P152" s="284" t="s">
        <v>86</v>
      </c>
      <c r="Q152" s="285"/>
      <c r="R152" s="285"/>
      <c r="S152" s="285"/>
      <c r="T152" s="285"/>
      <c r="U152" s="285"/>
      <c r="V152" s="286"/>
      <c r="W152" s="37" t="s">
        <v>67</v>
      </c>
      <c r="X152" s="280">
        <f>IFERROR(SUM(X150:X151),"0")</f>
        <v>98</v>
      </c>
      <c r="Y152" s="280">
        <f>IFERROR(SUM(Y150:Y151),"0")</f>
        <v>98</v>
      </c>
      <c r="Z152" s="280">
        <f>IFERROR(IF(Z150="",0,Z150),"0")+IFERROR(IF(Z151="",0,Z151),"0")</f>
        <v>1.75224</v>
      </c>
      <c r="AA152" s="281"/>
      <c r="AB152" s="281"/>
      <c r="AC152" s="281"/>
    </row>
    <row r="153" spans="1:68" x14ac:dyDescent="0.2">
      <c r="A153" s="288"/>
      <c r="B153" s="288"/>
      <c r="C153" s="288"/>
      <c r="D153" s="288"/>
      <c r="E153" s="288"/>
      <c r="F153" s="288"/>
      <c r="G153" s="288"/>
      <c r="H153" s="288"/>
      <c r="I153" s="288"/>
      <c r="J153" s="288"/>
      <c r="K153" s="288"/>
      <c r="L153" s="288"/>
      <c r="M153" s="288"/>
      <c r="N153" s="288"/>
      <c r="O153" s="299"/>
      <c r="P153" s="284" t="s">
        <v>86</v>
      </c>
      <c r="Q153" s="285"/>
      <c r="R153" s="285"/>
      <c r="S153" s="285"/>
      <c r="T153" s="285"/>
      <c r="U153" s="285"/>
      <c r="V153" s="286"/>
      <c r="W153" s="37" t="s">
        <v>87</v>
      </c>
      <c r="X153" s="280">
        <f>IFERROR(SUMPRODUCT(X150:X151*H150:H151),"0")</f>
        <v>294</v>
      </c>
      <c r="Y153" s="280">
        <f>IFERROR(SUMPRODUCT(Y150:Y151*H150:H151),"0")</f>
        <v>294</v>
      </c>
      <c r="Z153" s="37"/>
      <c r="AA153" s="281"/>
      <c r="AB153" s="281"/>
      <c r="AC153" s="281"/>
    </row>
    <row r="154" spans="1:68" ht="16.5" hidden="1" customHeight="1" x14ac:dyDescent="0.25">
      <c r="A154" s="287" t="s">
        <v>245</v>
      </c>
      <c r="B154" s="288"/>
      <c r="C154" s="288"/>
      <c r="D154" s="288"/>
      <c r="E154" s="288"/>
      <c r="F154" s="288"/>
      <c r="G154" s="288"/>
      <c r="H154" s="288"/>
      <c r="I154" s="288"/>
      <c r="J154" s="288"/>
      <c r="K154" s="288"/>
      <c r="L154" s="288"/>
      <c r="M154" s="288"/>
      <c r="N154" s="288"/>
      <c r="O154" s="288"/>
      <c r="P154" s="288"/>
      <c r="Q154" s="288"/>
      <c r="R154" s="288"/>
      <c r="S154" s="288"/>
      <c r="T154" s="288"/>
      <c r="U154" s="288"/>
      <c r="V154" s="288"/>
      <c r="W154" s="288"/>
      <c r="X154" s="288"/>
      <c r="Y154" s="288"/>
      <c r="Z154" s="288"/>
      <c r="AA154" s="273"/>
      <c r="AB154" s="273"/>
      <c r="AC154" s="273"/>
    </row>
    <row r="155" spans="1:68" ht="14.25" hidden="1" customHeight="1" x14ac:dyDescent="0.25">
      <c r="A155" s="324" t="s">
        <v>152</v>
      </c>
      <c r="B155" s="288"/>
      <c r="C155" s="288"/>
      <c r="D155" s="288"/>
      <c r="E155" s="288"/>
      <c r="F155" s="288"/>
      <c r="G155" s="288"/>
      <c r="H155" s="288"/>
      <c r="I155" s="288"/>
      <c r="J155" s="288"/>
      <c r="K155" s="288"/>
      <c r="L155" s="288"/>
      <c r="M155" s="288"/>
      <c r="N155" s="288"/>
      <c r="O155" s="288"/>
      <c r="P155" s="288"/>
      <c r="Q155" s="288"/>
      <c r="R155" s="288"/>
      <c r="S155" s="288"/>
      <c r="T155" s="288"/>
      <c r="U155" s="288"/>
      <c r="V155" s="288"/>
      <c r="W155" s="288"/>
      <c r="X155" s="288"/>
      <c r="Y155" s="288"/>
      <c r="Z155" s="288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91">
        <v>4620207491669</v>
      </c>
      <c r="E156" s="292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40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96"/>
      <c r="R156" s="296"/>
      <c r="S156" s="296"/>
      <c r="T156" s="297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customHeight="1" x14ac:dyDescent="0.25">
      <c r="A157" s="54" t="s">
        <v>249</v>
      </c>
      <c r="B157" s="54" t="s">
        <v>250</v>
      </c>
      <c r="C157" s="31">
        <v>4301135932</v>
      </c>
      <c r="D157" s="291">
        <v>4620207491676</v>
      </c>
      <c r="E157" s="292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96"/>
      <c r="R157" s="296"/>
      <c r="S157" s="296"/>
      <c r="T157" s="297"/>
      <c r="U157" s="34"/>
      <c r="V157" s="34"/>
      <c r="W157" s="35" t="s">
        <v>67</v>
      </c>
      <c r="X157" s="278">
        <v>70</v>
      </c>
      <c r="Y157" s="279">
        <f>IFERROR(IF(X157="","",X157),"")</f>
        <v>70</v>
      </c>
      <c r="Z157" s="36">
        <f>IFERROR(IF(X157="","",X157*0.01788),"")</f>
        <v>1.2516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187.60000000000002</v>
      </c>
      <c r="BN157" s="67">
        <f>IFERROR(Y157*I157,"0")</f>
        <v>187.60000000000002</v>
      </c>
      <c r="BO157" s="67">
        <f>IFERROR(X157/J157,"0")</f>
        <v>1</v>
      </c>
      <c r="BP157" s="67">
        <f>IFERROR(Y157/J157,"0")</f>
        <v>1</v>
      </c>
    </row>
    <row r="158" spans="1:68" x14ac:dyDescent="0.2">
      <c r="A158" s="298"/>
      <c r="B158" s="288"/>
      <c r="C158" s="288"/>
      <c r="D158" s="288"/>
      <c r="E158" s="288"/>
      <c r="F158" s="288"/>
      <c r="G158" s="288"/>
      <c r="H158" s="288"/>
      <c r="I158" s="288"/>
      <c r="J158" s="288"/>
      <c r="K158" s="288"/>
      <c r="L158" s="288"/>
      <c r="M158" s="288"/>
      <c r="N158" s="288"/>
      <c r="O158" s="299"/>
      <c r="P158" s="284" t="s">
        <v>86</v>
      </c>
      <c r="Q158" s="285"/>
      <c r="R158" s="285"/>
      <c r="S158" s="285"/>
      <c r="T158" s="285"/>
      <c r="U158" s="285"/>
      <c r="V158" s="286"/>
      <c r="W158" s="37" t="s">
        <v>67</v>
      </c>
      <c r="X158" s="280">
        <f>IFERROR(SUM(X156:X157),"0")</f>
        <v>70</v>
      </c>
      <c r="Y158" s="280">
        <f>IFERROR(SUM(Y156:Y157),"0")</f>
        <v>70</v>
      </c>
      <c r="Z158" s="280">
        <f>IFERROR(IF(Z156="",0,Z156),"0")+IFERROR(IF(Z157="",0,Z157),"0")</f>
        <v>1.2516</v>
      </c>
      <c r="AA158" s="281"/>
      <c r="AB158" s="281"/>
      <c r="AC158" s="281"/>
    </row>
    <row r="159" spans="1:68" x14ac:dyDescent="0.2">
      <c r="A159" s="288"/>
      <c r="B159" s="288"/>
      <c r="C159" s="288"/>
      <c r="D159" s="288"/>
      <c r="E159" s="288"/>
      <c r="F159" s="288"/>
      <c r="G159" s="288"/>
      <c r="H159" s="288"/>
      <c r="I159" s="288"/>
      <c r="J159" s="288"/>
      <c r="K159" s="288"/>
      <c r="L159" s="288"/>
      <c r="M159" s="288"/>
      <c r="N159" s="288"/>
      <c r="O159" s="299"/>
      <c r="P159" s="284" t="s">
        <v>86</v>
      </c>
      <c r="Q159" s="285"/>
      <c r="R159" s="285"/>
      <c r="S159" s="285"/>
      <c r="T159" s="285"/>
      <c r="U159" s="285"/>
      <c r="V159" s="286"/>
      <c r="W159" s="37" t="s">
        <v>87</v>
      </c>
      <c r="X159" s="280">
        <f>IFERROR(SUMPRODUCT(X156:X157*H156:H157),"0")</f>
        <v>168</v>
      </c>
      <c r="Y159" s="280">
        <f>IFERROR(SUMPRODUCT(Y156:Y157*H156:H157),"0")</f>
        <v>168</v>
      </c>
      <c r="Z159" s="37"/>
      <c r="AA159" s="281"/>
      <c r="AB159" s="281"/>
      <c r="AC159" s="281"/>
    </row>
    <row r="160" spans="1:68" ht="16.5" hidden="1" customHeight="1" x14ac:dyDescent="0.25">
      <c r="A160" s="287" t="s">
        <v>251</v>
      </c>
      <c r="B160" s="288"/>
      <c r="C160" s="288"/>
      <c r="D160" s="288"/>
      <c r="E160" s="288"/>
      <c r="F160" s="288"/>
      <c r="G160" s="288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288"/>
      <c r="T160" s="288"/>
      <c r="U160" s="288"/>
      <c r="V160" s="288"/>
      <c r="W160" s="288"/>
      <c r="X160" s="288"/>
      <c r="Y160" s="288"/>
      <c r="Z160" s="288"/>
      <c r="AA160" s="273"/>
      <c r="AB160" s="273"/>
      <c r="AC160" s="273"/>
    </row>
    <row r="161" spans="1:68" ht="14.25" hidden="1" customHeight="1" x14ac:dyDescent="0.25">
      <c r="A161" s="324" t="s">
        <v>152</v>
      </c>
      <c r="B161" s="288"/>
      <c r="C161" s="288"/>
      <c r="D161" s="288"/>
      <c r="E161" s="288"/>
      <c r="F161" s="288"/>
      <c r="G161" s="288"/>
      <c r="H161" s="288"/>
      <c r="I161" s="288"/>
      <c r="J161" s="288"/>
      <c r="K161" s="288"/>
      <c r="L161" s="288"/>
      <c r="M161" s="288"/>
      <c r="N161" s="288"/>
      <c r="O161" s="288"/>
      <c r="P161" s="288"/>
      <c r="Q161" s="288"/>
      <c r="R161" s="288"/>
      <c r="S161" s="288"/>
      <c r="T161" s="288"/>
      <c r="U161" s="288"/>
      <c r="V161" s="288"/>
      <c r="W161" s="288"/>
      <c r="X161" s="288"/>
      <c r="Y161" s="288"/>
      <c r="Z161" s="288"/>
      <c r="AA161" s="274"/>
      <c r="AB161" s="274"/>
      <c r="AC161" s="274"/>
    </row>
    <row r="162" spans="1:68" ht="27" customHeight="1" x14ac:dyDescent="0.25">
      <c r="A162" s="54" t="s">
        <v>252</v>
      </c>
      <c r="B162" s="54" t="s">
        <v>253</v>
      </c>
      <c r="C162" s="31">
        <v>4301135940</v>
      </c>
      <c r="D162" s="291">
        <v>4620207491614</v>
      </c>
      <c r="E162" s="292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6"/>
      <c r="R162" s="296"/>
      <c r="S162" s="296"/>
      <c r="T162" s="297"/>
      <c r="U162" s="34"/>
      <c r="V162" s="34"/>
      <c r="W162" s="35" t="s">
        <v>67</v>
      </c>
      <c r="X162" s="278">
        <v>42</v>
      </c>
      <c r="Y162" s="279">
        <f>IFERROR(IF(X162="","",X162),"")</f>
        <v>42</v>
      </c>
      <c r="Z162" s="36">
        <f>IFERROR(IF(X162="","",X162*0.01788),"")</f>
        <v>0.75095999999999996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155.55119999999999</v>
      </c>
      <c r="BN162" s="67">
        <f>IFERROR(Y162*I162,"0")</f>
        <v>155.55119999999999</v>
      </c>
      <c r="BO162" s="67">
        <f>IFERROR(X162/J162,"0")</f>
        <v>0.6</v>
      </c>
      <c r="BP162" s="67">
        <f>IFERROR(Y162/J162,"0")</f>
        <v>0.6</v>
      </c>
    </row>
    <row r="163" spans="1:68" x14ac:dyDescent="0.2">
      <c r="A163" s="298"/>
      <c r="B163" s="288"/>
      <c r="C163" s="288"/>
      <c r="D163" s="288"/>
      <c r="E163" s="288"/>
      <c r="F163" s="288"/>
      <c r="G163" s="288"/>
      <c r="H163" s="288"/>
      <c r="I163" s="288"/>
      <c r="J163" s="288"/>
      <c r="K163" s="288"/>
      <c r="L163" s="288"/>
      <c r="M163" s="288"/>
      <c r="N163" s="288"/>
      <c r="O163" s="299"/>
      <c r="P163" s="284" t="s">
        <v>86</v>
      </c>
      <c r="Q163" s="285"/>
      <c r="R163" s="285"/>
      <c r="S163" s="285"/>
      <c r="T163" s="285"/>
      <c r="U163" s="285"/>
      <c r="V163" s="286"/>
      <c r="W163" s="37" t="s">
        <v>67</v>
      </c>
      <c r="X163" s="280">
        <f>IFERROR(SUM(X162:X162),"0")</f>
        <v>42</v>
      </c>
      <c r="Y163" s="280">
        <f>IFERROR(SUM(Y162:Y162),"0")</f>
        <v>42</v>
      </c>
      <c r="Z163" s="280">
        <f>IFERROR(IF(Z162="",0,Z162),"0")</f>
        <v>0.75095999999999996</v>
      </c>
      <c r="AA163" s="281"/>
      <c r="AB163" s="281"/>
      <c r="AC163" s="281"/>
    </row>
    <row r="164" spans="1:68" x14ac:dyDescent="0.2">
      <c r="A164" s="288"/>
      <c r="B164" s="288"/>
      <c r="C164" s="288"/>
      <c r="D164" s="288"/>
      <c r="E164" s="288"/>
      <c r="F164" s="288"/>
      <c r="G164" s="288"/>
      <c r="H164" s="288"/>
      <c r="I164" s="288"/>
      <c r="J164" s="288"/>
      <c r="K164" s="288"/>
      <c r="L164" s="288"/>
      <c r="M164" s="288"/>
      <c r="N164" s="288"/>
      <c r="O164" s="299"/>
      <c r="P164" s="284" t="s">
        <v>86</v>
      </c>
      <c r="Q164" s="285"/>
      <c r="R164" s="285"/>
      <c r="S164" s="285"/>
      <c r="T164" s="285"/>
      <c r="U164" s="285"/>
      <c r="V164" s="286"/>
      <c r="W164" s="37" t="s">
        <v>87</v>
      </c>
      <c r="X164" s="280">
        <f>IFERROR(SUMPRODUCT(X162:X162*H162:H162),"0")</f>
        <v>126</v>
      </c>
      <c r="Y164" s="280">
        <f>IFERROR(SUMPRODUCT(Y162:Y162*H162:H162),"0")</f>
        <v>126</v>
      </c>
      <c r="Z164" s="37"/>
      <c r="AA164" s="281"/>
      <c r="AB164" s="281"/>
      <c r="AC164" s="281"/>
    </row>
    <row r="165" spans="1:68" ht="16.5" hidden="1" customHeight="1" x14ac:dyDescent="0.25">
      <c r="A165" s="287" t="s">
        <v>254</v>
      </c>
      <c r="B165" s="288"/>
      <c r="C165" s="288"/>
      <c r="D165" s="288"/>
      <c r="E165" s="288"/>
      <c r="F165" s="288"/>
      <c r="G165" s="288"/>
      <c r="H165" s="288"/>
      <c r="I165" s="288"/>
      <c r="J165" s="288"/>
      <c r="K165" s="288"/>
      <c r="L165" s="288"/>
      <c r="M165" s="288"/>
      <c r="N165" s="288"/>
      <c r="O165" s="288"/>
      <c r="P165" s="288"/>
      <c r="Q165" s="288"/>
      <c r="R165" s="288"/>
      <c r="S165" s="288"/>
      <c r="T165" s="288"/>
      <c r="U165" s="288"/>
      <c r="V165" s="288"/>
      <c r="W165" s="288"/>
      <c r="X165" s="288"/>
      <c r="Y165" s="288"/>
      <c r="Z165" s="288"/>
      <c r="AA165" s="273"/>
      <c r="AB165" s="273"/>
      <c r="AC165" s="273"/>
    </row>
    <row r="166" spans="1:68" ht="14.25" hidden="1" customHeight="1" x14ac:dyDescent="0.25">
      <c r="A166" s="324" t="s">
        <v>152</v>
      </c>
      <c r="B166" s="288"/>
      <c r="C166" s="288"/>
      <c r="D166" s="288"/>
      <c r="E166" s="288"/>
      <c r="F166" s="288"/>
      <c r="G166" s="288"/>
      <c r="H166" s="288"/>
      <c r="I166" s="288"/>
      <c r="J166" s="288"/>
      <c r="K166" s="288"/>
      <c r="L166" s="288"/>
      <c r="M166" s="288"/>
      <c r="N166" s="288"/>
      <c r="O166" s="288"/>
      <c r="P166" s="288"/>
      <c r="Q166" s="288"/>
      <c r="R166" s="288"/>
      <c r="S166" s="288"/>
      <c r="T166" s="288"/>
      <c r="U166" s="288"/>
      <c r="V166" s="288"/>
      <c r="W166" s="288"/>
      <c r="X166" s="288"/>
      <c r="Y166" s="288"/>
      <c r="Z166" s="288"/>
      <c r="AA166" s="274"/>
      <c r="AB166" s="274"/>
      <c r="AC166" s="274"/>
    </row>
    <row r="167" spans="1:68" ht="16.5" customHeight="1" x14ac:dyDescent="0.25">
      <c r="A167" s="54" t="s">
        <v>255</v>
      </c>
      <c r="B167" s="54" t="s">
        <v>256</v>
      </c>
      <c r="C167" s="31">
        <v>4301135607</v>
      </c>
      <c r="D167" s="291">
        <v>4607111039613</v>
      </c>
      <c r="E167" s="292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8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6"/>
      <c r="R167" s="296"/>
      <c r="S167" s="296"/>
      <c r="T167" s="297"/>
      <c r="U167" s="34"/>
      <c r="V167" s="34"/>
      <c r="W167" s="35" t="s">
        <v>67</v>
      </c>
      <c r="X167" s="278">
        <v>28</v>
      </c>
      <c r="Y167" s="279">
        <f>IFERROR(IF(X167="","",X167),"")</f>
        <v>28</v>
      </c>
      <c r="Z167" s="36">
        <f>IFERROR(IF(X167="","",X167*0.00936),"")</f>
        <v>0.26207999999999998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86.52</v>
      </c>
      <c r="BN167" s="67">
        <f>IFERROR(Y167*I167,"0")</f>
        <v>86.52</v>
      </c>
      <c r="BO167" s="67">
        <f>IFERROR(X167/J167,"0")</f>
        <v>0.22222222222222221</v>
      </c>
      <c r="BP167" s="67">
        <f>IFERROR(Y167/J167,"0")</f>
        <v>0.22222222222222221</v>
      </c>
    </row>
    <row r="168" spans="1:68" x14ac:dyDescent="0.2">
      <c r="A168" s="298"/>
      <c r="B168" s="288"/>
      <c r="C168" s="288"/>
      <c r="D168" s="288"/>
      <c r="E168" s="288"/>
      <c r="F168" s="288"/>
      <c r="G168" s="288"/>
      <c r="H168" s="288"/>
      <c r="I168" s="288"/>
      <c r="J168" s="288"/>
      <c r="K168" s="288"/>
      <c r="L168" s="288"/>
      <c r="M168" s="288"/>
      <c r="N168" s="288"/>
      <c r="O168" s="299"/>
      <c r="P168" s="284" t="s">
        <v>86</v>
      </c>
      <c r="Q168" s="285"/>
      <c r="R168" s="285"/>
      <c r="S168" s="285"/>
      <c r="T168" s="285"/>
      <c r="U168" s="285"/>
      <c r="V168" s="286"/>
      <c r="W168" s="37" t="s">
        <v>67</v>
      </c>
      <c r="X168" s="280">
        <f>IFERROR(SUM(X167:X167),"0")</f>
        <v>28</v>
      </c>
      <c r="Y168" s="280">
        <f>IFERROR(SUM(Y167:Y167),"0")</f>
        <v>28</v>
      </c>
      <c r="Z168" s="280">
        <f>IFERROR(IF(Z167="",0,Z167),"0")</f>
        <v>0.26207999999999998</v>
      </c>
      <c r="AA168" s="281"/>
      <c r="AB168" s="281"/>
      <c r="AC168" s="281"/>
    </row>
    <row r="169" spans="1:68" x14ac:dyDescent="0.2">
      <c r="A169" s="288"/>
      <c r="B169" s="288"/>
      <c r="C169" s="288"/>
      <c r="D169" s="288"/>
      <c r="E169" s="288"/>
      <c r="F169" s="288"/>
      <c r="G169" s="288"/>
      <c r="H169" s="288"/>
      <c r="I169" s="288"/>
      <c r="J169" s="288"/>
      <c r="K169" s="288"/>
      <c r="L169" s="288"/>
      <c r="M169" s="288"/>
      <c r="N169" s="288"/>
      <c r="O169" s="299"/>
      <c r="P169" s="284" t="s">
        <v>86</v>
      </c>
      <c r="Q169" s="285"/>
      <c r="R169" s="285"/>
      <c r="S169" s="285"/>
      <c r="T169" s="285"/>
      <c r="U169" s="285"/>
      <c r="V169" s="286"/>
      <c r="W169" s="37" t="s">
        <v>87</v>
      </c>
      <c r="X169" s="280">
        <f>IFERROR(SUMPRODUCT(X167:X167*H167:H167),"0")</f>
        <v>75.600000000000009</v>
      </c>
      <c r="Y169" s="280">
        <f>IFERROR(SUMPRODUCT(Y167:Y167*H167:H167),"0")</f>
        <v>75.600000000000009</v>
      </c>
      <c r="Z169" s="37"/>
      <c r="AA169" s="281"/>
      <c r="AB169" s="281"/>
      <c r="AC169" s="281"/>
    </row>
    <row r="170" spans="1:68" ht="16.5" hidden="1" customHeight="1" x14ac:dyDescent="0.25">
      <c r="A170" s="287" t="s">
        <v>258</v>
      </c>
      <c r="B170" s="288"/>
      <c r="C170" s="288"/>
      <c r="D170" s="288"/>
      <c r="E170" s="288"/>
      <c r="F170" s="288"/>
      <c r="G170" s="288"/>
      <c r="H170" s="288"/>
      <c r="I170" s="288"/>
      <c r="J170" s="288"/>
      <c r="K170" s="288"/>
      <c r="L170" s="288"/>
      <c r="M170" s="288"/>
      <c r="N170" s="288"/>
      <c r="O170" s="288"/>
      <c r="P170" s="288"/>
      <c r="Q170" s="288"/>
      <c r="R170" s="288"/>
      <c r="S170" s="288"/>
      <c r="T170" s="288"/>
      <c r="U170" s="288"/>
      <c r="V170" s="288"/>
      <c r="W170" s="288"/>
      <c r="X170" s="288"/>
      <c r="Y170" s="288"/>
      <c r="Z170" s="288"/>
      <c r="AA170" s="273"/>
      <c r="AB170" s="273"/>
      <c r="AC170" s="273"/>
    </row>
    <row r="171" spans="1:68" ht="14.25" hidden="1" customHeight="1" x14ac:dyDescent="0.25">
      <c r="A171" s="324" t="s">
        <v>152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91">
        <v>4620207491751</v>
      </c>
      <c r="E172" s="292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2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96"/>
      <c r="R172" s="296"/>
      <c r="S172" s="296"/>
      <c r="T172" s="297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298"/>
      <c r="B173" s="288"/>
      <c r="C173" s="288"/>
      <c r="D173" s="288"/>
      <c r="E173" s="288"/>
      <c r="F173" s="288"/>
      <c r="G173" s="288"/>
      <c r="H173" s="288"/>
      <c r="I173" s="288"/>
      <c r="J173" s="288"/>
      <c r="K173" s="288"/>
      <c r="L173" s="288"/>
      <c r="M173" s="288"/>
      <c r="N173" s="288"/>
      <c r="O173" s="299"/>
      <c r="P173" s="284" t="s">
        <v>86</v>
      </c>
      <c r="Q173" s="285"/>
      <c r="R173" s="285"/>
      <c r="S173" s="285"/>
      <c r="T173" s="285"/>
      <c r="U173" s="285"/>
      <c r="V173" s="286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88"/>
      <c r="B174" s="288"/>
      <c r="C174" s="288"/>
      <c r="D174" s="288"/>
      <c r="E174" s="288"/>
      <c r="F174" s="288"/>
      <c r="G174" s="288"/>
      <c r="H174" s="288"/>
      <c r="I174" s="288"/>
      <c r="J174" s="288"/>
      <c r="K174" s="288"/>
      <c r="L174" s="288"/>
      <c r="M174" s="288"/>
      <c r="N174" s="288"/>
      <c r="O174" s="299"/>
      <c r="P174" s="284" t="s">
        <v>86</v>
      </c>
      <c r="Q174" s="285"/>
      <c r="R174" s="285"/>
      <c r="S174" s="285"/>
      <c r="T174" s="285"/>
      <c r="U174" s="285"/>
      <c r="V174" s="286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3" t="s">
        <v>261</v>
      </c>
      <c r="B175" s="294"/>
      <c r="C175" s="294"/>
      <c r="D175" s="294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  <c r="AA175" s="48"/>
      <c r="AB175" s="48"/>
      <c r="AC175" s="48"/>
    </row>
    <row r="176" spans="1:68" ht="16.5" hidden="1" customHeight="1" x14ac:dyDescent="0.25">
      <c r="A176" s="287" t="s">
        <v>262</v>
      </c>
      <c r="B176" s="288"/>
      <c r="C176" s="288"/>
      <c r="D176" s="288"/>
      <c r="E176" s="288"/>
      <c r="F176" s="288"/>
      <c r="G176" s="288"/>
      <c r="H176" s="288"/>
      <c r="I176" s="288"/>
      <c r="J176" s="288"/>
      <c r="K176" s="288"/>
      <c r="L176" s="288"/>
      <c r="M176" s="288"/>
      <c r="N176" s="288"/>
      <c r="O176" s="288"/>
      <c r="P176" s="288"/>
      <c r="Q176" s="288"/>
      <c r="R176" s="288"/>
      <c r="S176" s="288"/>
      <c r="T176" s="288"/>
      <c r="U176" s="288"/>
      <c r="V176" s="288"/>
      <c r="W176" s="288"/>
      <c r="X176" s="288"/>
      <c r="Y176" s="288"/>
      <c r="Z176" s="288"/>
      <c r="AA176" s="273"/>
      <c r="AB176" s="273"/>
      <c r="AC176" s="273"/>
    </row>
    <row r="177" spans="1:68" ht="14.25" hidden="1" customHeight="1" x14ac:dyDescent="0.25">
      <c r="A177" s="324" t="s">
        <v>101</v>
      </c>
      <c r="B177" s="288"/>
      <c r="C177" s="288"/>
      <c r="D177" s="288"/>
      <c r="E177" s="288"/>
      <c r="F177" s="288"/>
      <c r="G177" s="288"/>
      <c r="H177" s="288"/>
      <c r="I177" s="288"/>
      <c r="J177" s="288"/>
      <c r="K177" s="288"/>
      <c r="L177" s="288"/>
      <c r="M177" s="288"/>
      <c r="N177" s="288"/>
      <c r="O177" s="288"/>
      <c r="P177" s="288"/>
      <c r="Q177" s="288"/>
      <c r="R177" s="288"/>
      <c r="S177" s="288"/>
      <c r="T177" s="288"/>
      <c r="U177" s="288"/>
      <c r="V177" s="288"/>
      <c r="W177" s="288"/>
      <c r="X177" s="288"/>
      <c r="Y177" s="288"/>
      <c r="Z177" s="288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91">
        <v>4620207490631</v>
      </c>
      <c r="E178" s="292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3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96"/>
      <c r="R178" s="296"/>
      <c r="S178" s="296"/>
      <c r="T178" s="297"/>
      <c r="U178" s="34"/>
      <c r="V178" s="34"/>
      <c r="W178" s="35" t="s">
        <v>67</v>
      </c>
      <c r="X178" s="278">
        <v>60</v>
      </c>
      <c r="Y178" s="279">
        <f>IFERROR(IF(X178="","",X178),"")</f>
        <v>60</v>
      </c>
      <c r="Z178" s="36">
        <f>IFERROR(IF(X178="","",X178*0.0155),"")</f>
        <v>0.92999999999999994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374.1</v>
      </c>
      <c r="BN178" s="67">
        <f>IFERROR(Y178*I178,"0")</f>
        <v>374.1</v>
      </c>
      <c r="BO178" s="67">
        <f>IFERROR(X178/J178,"0")</f>
        <v>0.7142857142857143</v>
      </c>
      <c r="BP178" s="67">
        <f>IFERROR(Y178/J178,"0")</f>
        <v>0.7142857142857143</v>
      </c>
    </row>
    <row r="179" spans="1:68" x14ac:dyDescent="0.2">
      <c r="A179" s="298"/>
      <c r="B179" s="288"/>
      <c r="C179" s="288"/>
      <c r="D179" s="288"/>
      <c r="E179" s="288"/>
      <c r="F179" s="288"/>
      <c r="G179" s="288"/>
      <c r="H179" s="288"/>
      <c r="I179" s="288"/>
      <c r="J179" s="288"/>
      <c r="K179" s="288"/>
      <c r="L179" s="288"/>
      <c r="M179" s="288"/>
      <c r="N179" s="288"/>
      <c r="O179" s="299"/>
      <c r="P179" s="284" t="s">
        <v>86</v>
      </c>
      <c r="Q179" s="285"/>
      <c r="R179" s="285"/>
      <c r="S179" s="285"/>
      <c r="T179" s="285"/>
      <c r="U179" s="285"/>
      <c r="V179" s="286"/>
      <c r="W179" s="37" t="s">
        <v>67</v>
      </c>
      <c r="X179" s="280">
        <f>IFERROR(SUM(X178:X178),"0")</f>
        <v>60</v>
      </c>
      <c r="Y179" s="280">
        <f>IFERROR(SUM(Y178:Y178),"0")</f>
        <v>60</v>
      </c>
      <c r="Z179" s="280">
        <f>IFERROR(IF(Z178="",0,Z178),"0")</f>
        <v>0.92999999999999994</v>
      </c>
      <c r="AA179" s="281"/>
      <c r="AB179" s="281"/>
      <c r="AC179" s="281"/>
    </row>
    <row r="180" spans="1:68" x14ac:dyDescent="0.2">
      <c r="A180" s="288"/>
      <c r="B180" s="288"/>
      <c r="C180" s="288"/>
      <c r="D180" s="288"/>
      <c r="E180" s="288"/>
      <c r="F180" s="288"/>
      <c r="G180" s="288"/>
      <c r="H180" s="288"/>
      <c r="I180" s="288"/>
      <c r="J180" s="288"/>
      <c r="K180" s="288"/>
      <c r="L180" s="288"/>
      <c r="M180" s="288"/>
      <c r="N180" s="288"/>
      <c r="O180" s="299"/>
      <c r="P180" s="284" t="s">
        <v>86</v>
      </c>
      <c r="Q180" s="285"/>
      <c r="R180" s="285"/>
      <c r="S180" s="285"/>
      <c r="T180" s="285"/>
      <c r="U180" s="285"/>
      <c r="V180" s="286"/>
      <c r="W180" s="37" t="s">
        <v>87</v>
      </c>
      <c r="X180" s="280">
        <f>IFERROR(SUMPRODUCT(X178:X178*H178:H178),"0")</f>
        <v>360</v>
      </c>
      <c r="Y180" s="280">
        <f>IFERROR(SUMPRODUCT(Y178:Y178*H178:H178),"0")</f>
        <v>360</v>
      </c>
      <c r="Z180" s="37"/>
      <c r="AA180" s="281"/>
      <c r="AB180" s="281"/>
      <c r="AC180" s="281"/>
    </row>
    <row r="181" spans="1:68" ht="14.25" hidden="1" customHeight="1" x14ac:dyDescent="0.25">
      <c r="A181" s="324" t="s">
        <v>152</v>
      </c>
      <c r="B181" s="288"/>
      <c r="C181" s="288"/>
      <c r="D181" s="288"/>
      <c r="E181" s="288"/>
      <c r="F181" s="288"/>
      <c r="G181" s="288"/>
      <c r="H181" s="288"/>
      <c r="I181" s="288"/>
      <c r="J181" s="288"/>
      <c r="K181" s="288"/>
      <c r="L181" s="288"/>
      <c r="M181" s="288"/>
      <c r="N181" s="288"/>
      <c r="O181" s="288"/>
      <c r="P181" s="288"/>
      <c r="Q181" s="288"/>
      <c r="R181" s="288"/>
      <c r="S181" s="288"/>
      <c r="T181" s="288"/>
      <c r="U181" s="288"/>
      <c r="V181" s="288"/>
      <c r="W181" s="288"/>
      <c r="X181" s="288"/>
      <c r="Y181" s="288"/>
      <c r="Z181" s="288"/>
      <c r="AA181" s="274"/>
      <c r="AB181" s="274"/>
      <c r="AC181" s="274"/>
    </row>
    <row r="182" spans="1:68" ht="27" customHeight="1" x14ac:dyDescent="0.25">
      <c r="A182" s="54" t="s">
        <v>266</v>
      </c>
      <c r="B182" s="54" t="s">
        <v>267</v>
      </c>
      <c r="C182" s="31">
        <v>4301135392</v>
      </c>
      <c r="D182" s="291">
        <v>4607111039132</v>
      </c>
      <c r="E182" s="292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72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96"/>
      <c r="R182" s="296"/>
      <c r="S182" s="296"/>
      <c r="T182" s="297"/>
      <c r="U182" s="34"/>
      <c r="V182" s="34"/>
      <c r="W182" s="35" t="s">
        <v>67</v>
      </c>
      <c r="X182" s="278">
        <v>98</v>
      </c>
      <c r="Y182" s="279">
        <f>IFERROR(IF(X182="","",X182),"")</f>
        <v>98</v>
      </c>
      <c r="Z182" s="36">
        <f>IFERROR(IF(X182="","",X182*0.00936),"")</f>
        <v>0.91727999999999998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381.416</v>
      </c>
      <c r="BN182" s="67">
        <f>IFERROR(Y182*I182,"0")</f>
        <v>381.416</v>
      </c>
      <c r="BO182" s="67">
        <f>IFERROR(X182/J182,"0")</f>
        <v>0.77777777777777779</v>
      </c>
      <c r="BP182" s="67">
        <f>IFERROR(Y182/J182,"0")</f>
        <v>0.77777777777777779</v>
      </c>
    </row>
    <row r="183" spans="1:68" x14ac:dyDescent="0.2">
      <c r="A183" s="298"/>
      <c r="B183" s="288"/>
      <c r="C183" s="288"/>
      <c r="D183" s="288"/>
      <c r="E183" s="288"/>
      <c r="F183" s="288"/>
      <c r="G183" s="288"/>
      <c r="H183" s="288"/>
      <c r="I183" s="288"/>
      <c r="J183" s="288"/>
      <c r="K183" s="288"/>
      <c r="L183" s="288"/>
      <c r="M183" s="288"/>
      <c r="N183" s="288"/>
      <c r="O183" s="299"/>
      <c r="P183" s="284" t="s">
        <v>86</v>
      </c>
      <c r="Q183" s="285"/>
      <c r="R183" s="285"/>
      <c r="S183" s="285"/>
      <c r="T183" s="285"/>
      <c r="U183" s="285"/>
      <c r="V183" s="286"/>
      <c r="W183" s="37" t="s">
        <v>67</v>
      </c>
      <c r="X183" s="280">
        <f>IFERROR(SUM(X182:X182),"0")</f>
        <v>98</v>
      </c>
      <c r="Y183" s="280">
        <f>IFERROR(SUM(Y182:Y182),"0")</f>
        <v>98</v>
      </c>
      <c r="Z183" s="280">
        <f>IFERROR(IF(Z182="",0,Z182),"0")</f>
        <v>0.91727999999999998</v>
      </c>
      <c r="AA183" s="281"/>
      <c r="AB183" s="281"/>
      <c r="AC183" s="281"/>
    </row>
    <row r="184" spans="1:68" x14ac:dyDescent="0.2">
      <c r="A184" s="288"/>
      <c r="B184" s="288"/>
      <c r="C184" s="288"/>
      <c r="D184" s="288"/>
      <c r="E184" s="288"/>
      <c r="F184" s="288"/>
      <c r="G184" s="288"/>
      <c r="H184" s="288"/>
      <c r="I184" s="288"/>
      <c r="J184" s="288"/>
      <c r="K184" s="288"/>
      <c r="L184" s="288"/>
      <c r="M184" s="288"/>
      <c r="N184" s="288"/>
      <c r="O184" s="299"/>
      <c r="P184" s="284" t="s">
        <v>86</v>
      </c>
      <c r="Q184" s="285"/>
      <c r="R184" s="285"/>
      <c r="S184" s="285"/>
      <c r="T184" s="285"/>
      <c r="U184" s="285"/>
      <c r="V184" s="286"/>
      <c r="W184" s="37" t="s">
        <v>87</v>
      </c>
      <c r="X184" s="280">
        <f>IFERROR(SUMPRODUCT(X182:X182*H182:H182),"0")</f>
        <v>362.6</v>
      </c>
      <c r="Y184" s="280">
        <f>IFERROR(SUMPRODUCT(Y182:Y182*H182:H182),"0")</f>
        <v>362.6</v>
      </c>
      <c r="Z184" s="37"/>
      <c r="AA184" s="281"/>
      <c r="AB184" s="281"/>
      <c r="AC184" s="281"/>
    </row>
    <row r="185" spans="1:68" ht="16.5" hidden="1" customHeight="1" x14ac:dyDescent="0.25">
      <c r="A185" s="287" t="s">
        <v>269</v>
      </c>
      <c r="B185" s="288"/>
      <c r="C185" s="288"/>
      <c r="D185" s="288"/>
      <c r="E185" s="288"/>
      <c r="F185" s="288"/>
      <c r="G185" s="288"/>
      <c r="H185" s="288"/>
      <c r="I185" s="288"/>
      <c r="J185" s="288"/>
      <c r="K185" s="288"/>
      <c r="L185" s="288"/>
      <c r="M185" s="288"/>
      <c r="N185" s="288"/>
      <c r="O185" s="288"/>
      <c r="P185" s="288"/>
      <c r="Q185" s="288"/>
      <c r="R185" s="288"/>
      <c r="S185" s="288"/>
      <c r="T185" s="288"/>
      <c r="U185" s="288"/>
      <c r="V185" s="288"/>
      <c r="W185" s="288"/>
      <c r="X185" s="288"/>
      <c r="Y185" s="288"/>
      <c r="Z185" s="288"/>
      <c r="AA185" s="273"/>
      <c r="AB185" s="273"/>
      <c r="AC185" s="273"/>
    </row>
    <row r="186" spans="1:68" ht="14.25" hidden="1" customHeight="1" x14ac:dyDescent="0.25">
      <c r="A186" s="324" t="s">
        <v>61</v>
      </c>
      <c r="B186" s="288"/>
      <c r="C186" s="288"/>
      <c r="D186" s="288"/>
      <c r="E186" s="288"/>
      <c r="F186" s="288"/>
      <c r="G186" s="288"/>
      <c r="H186" s="288"/>
      <c r="I186" s="288"/>
      <c r="J186" s="288"/>
      <c r="K186" s="288"/>
      <c r="L186" s="288"/>
      <c r="M186" s="288"/>
      <c r="N186" s="288"/>
      <c r="O186" s="288"/>
      <c r="P186" s="288"/>
      <c r="Q186" s="288"/>
      <c r="R186" s="288"/>
      <c r="S186" s="288"/>
      <c r="T186" s="288"/>
      <c r="U186" s="288"/>
      <c r="V186" s="288"/>
      <c r="W186" s="288"/>
      <c r="X186" s="288"/>
      <c r="Y186" s="288"/>
      <c r="Z186" s="288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91">
        <v>4607111036384</v>
      </c>
      <c r="E187" s="292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6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96"/>
      <c r="R187" s="296"/>
      <c r="S187" s="296"/>
      <c r="T187" s="297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273</v>
      </c>
      <c r="B188" s="54" t="s">
        <v>274</v>
      </c>
      <c r="C188" s="31">
        <v>4301071050</v>
      </c>
      <c r="D188" s="291">
        <v>4607111036216</v>
      </c>
      <c r="E188" s="292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39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96"/>
      <c r="R188" s="296"/>
      <c r="S188" s="296"/>
      <c r="T188" s="297"/>
      <c r="U188" s="34"/>
      <c r="V188" s="34"/>
      <c r="W188" s="35" t="s">
        <v>67</v>
      </c>
      <c r="X188" s="278">
        <v>0</v>
      </c>
      <c r="Y188" s="279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298"/>
      <c r="B189" s="288"/>
      <c r="C189" s="288"/>
      <c r="D189" s="288"/>
      <c r="E189" s="288"/>
      <c r="F189" s="288"/>
      <c r="G189" s="288"/>
      <c r="H189" s="288"/>
      <c r="I189" s="288"/>
      <c r="J189" s="288"/>
      <c r="K189" s="288"/>
      <c r="L189" s="288"/>
      <c r="M189" s="288"/>
      <c r="N189" s="288"/>
      <c r="O189" s="299"/>
      <c r="P189" s="284" t="s">
        <v>86</v>
      </c>
      <c r="Q189" s="285"/>
      <c r="R189" s="285"/>
      <c r="S189" s="285"/>
      <c r="T189" s="285"/>
      <c r="U189" s="285"/>
      <c r="V189" s="286"/>
      <c r="W189" s="37" t="s">
        <v>67</v>
      </c>
      <c r="X189" s="280">
        <f>IFERROR(SUM(X187:X188),"0")</f>
        <v>0</v>
      </c>
      <c r="Y189" s="280">
        <f>IFERROR(SUM(Y187:Y188),"0")</f>
        <v>0</v>
      </c>
      <c r="Z189" s="280">
        <f>IFERROR(IF(Z187="",0,Z187),"0")+IFERROR(IF(Z188="",0,Z188),"0")</f>
        <v>0</v>
      </c>
      <c r="AA189" s="281"/>
      <c r="AB189" s="281"/>
      <c r="AC189" s="281"/>
    </row>
    <row r="190" spans="1:68" hidden="1" x14ac:dyDescent="0.2">
      <c r="A190" s="288"/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99"/>
      <c r="P190" s="284" t="s">
        <v>86</v>
      </c>
      <c r="Q190" s="285"/>
      <c r="R190" s="285"/>
      <c r="S190" s="285"/>
      <c r="T190" s="285"/>
      <c r="U190" s="285"/>
      <c r="V190" s="286"/>
      <c r="W190" s="37" t="s">
        <v>87</v>
      </c>
      <c r="X190" s="280">
        <f>IFERROR(SUMPRODUCT(X187:X188*H187:H188),"0")</f>
        <v>0</v>
      </c>
      <c r="Y190" s="280">
        <f>IFERROR(SUMPRODUCT(Y187:Y188*H187:H188),"0")</f>
        <v>0</v>
      </c>
      <c r="Z190" s="37"/>
      <c r="AA190" s="281"/>
      <c r="AB190" s="281"/>
      <c r="AC190" s="281"/>
    </row>
    <row r="191" spans="1:68" ht="16.5" hidden="1" customHeight="1" x14ac:dyDescent="0.25">
      <c r="A191" s="287" t="s">
        <v>276</v>
      </c>
      <c r="B191" s="288"/>
      <c r="C191" s="288"/>
      <c r="D191" s="288"/>
      <c r="E191" s="288"/>
      <c r="F191" s="288"/>
      <c r="G191" s="288"/>
      <c r="H191" s="288"/>
      <c r="I191" s="288"/>
      <c r="J191" s="288"/>
      <c r="K191" s="288"/>
      <c r="L191" s="288"/>
      <c r="M191" s="288"/>
      <c r="N191" s="288"/>
      <c r="O191" s="288"/>
      <c r="P191" s="288"/>
      <c r="Q191" s="288"/>
      <c r="R191" s="288"/>
      <c r="S191" s="288"/>
      <c r="T191" s="288"/>
      <c r="U191" s="288"/>
      <c r="V191" s="288"/>
      <c r="W191" s="288"/>
      <c r="X191" s="288"/>
      <c r="Y191" s="288"/>
      <c r="Z191" s="288"/>
      <c r="AA191" s="273"/>
      <c r="AB191" s="273"/>
      <c r="AC191" s="273"/>
    </row>
    <row r="192" spans="1:68" ht="14.25" hidden="1" customHeight="1" x14ac:dyDescent="0.25">
      <c r="A192" s="324" t="s">
        <v>61</v>
      </c>
      <c r="B192" s="288"/>
      <c r="C192" s="288"/>
      <c r="D192" s="288"/>
      <c r="E192" s="288"/>
      <c r="F192" s="288"/>
      <c r="G192" s="288"/>
      <c r="H192" s="288"/>
      <c r="I192" s="288"/>
      <c r="J192" s="288"/>
      <c r="K192" s="288"/>
      <c r="L192" s="288"/>
      <c r="M192" s="288"/>
      <c r="N192" s="288"/>
      <c r="O192" s="288"/>
      <c r="P192" s="288"/>
      <c r="Q192" s="288"/>
      <c r="R192" s="288"/>
      <c r="S192" s="288"/>
      <c r="T192" s="288"/>
      <c r="U192" s="288"/>
      <c r="V192" s="288"/>
      <c r="W192" s="288"/>
      <c r="X192" s="288"/>
      <c r="Y192" s="288"/>
      <c r="Z192" s="288"/>
      <c r="AA192" s="274"/>
      <c r="AB192" s="274"/>
      <c r="AC192" s="274"/>
    </row>
    <row r="193" spans="1:68" ht="27" customHeight="1" x14ac:dyDescent="0.25">
      <c r="A193" s="54" t="s">
        <v>277</v>
      </c>
      <c r="B193" s="54" t="s">
        <v>278</v>
      </c>
      <c r="C193" s="31">
        <v>4301071117</v>
      </c>
      <c r="D193" s="291">
        <v>4620207491737</v>
      </c>
      <c r="E193" s="292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1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96"/>
      <c r="R193" s="296"/>
      <c r="S193" s="296"/>
      <c r="T193" s="297"/>
      <c r="U193" s="34"/>
      <c r="V193" s="34"/>
      <c r="W193" s="35" t="s">
        <v>67</v>
      </c>
      <c r="X193" s="278">
        <v>72</v>
      </c>
      <c r="Y193" s="279">
        <f>IFERROR(IF(X193="","",X193),"")</f>
        <v>72</v>
      </c>
      <c r="Z193" s="36">
        <f>IFERROR(IF(X193="","",X193*0.0155),"")</f>
        <v>1.1160000000000001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378.86399999999998</v>
      </c>
      <c r="BN193" s="67">
        <f>IFERROR(Y193*I193,"0")</f>
        <v>378.86399999999998</v>
      </c>
      <c r="BO193" s="67">
        <f>IFERROR(X193/J193,"0")</f>
        <v>0.8571428571428571</v>
      </c>
      <c r="BP193" s="67">
        <f>IFERROR(Y193/J193,"0")</f>
        <v>0.8571428571428571</v>
      </c>
    </row>
    <row r="194" spans="1:68" x14ac:dyDescent="0.2">
      <c r="A194" s="298"/>
      <c r="B194" s="288"/>
      <c r="C194" s="288"/>
      <c r="D194" s="288"/>
      <c r="E194" s="288"/>
      <c r="F194" s="288"/>
      <c r="G194" s="288"/>
      <c r="H194" s="288"/>
      <c r="I194" s="288"/>
      <c r="J194" s="288"/>
      <c r="K194" s="288"/>
      <c r="L194" s="288"/>
      <c r="M194" s="288"/>
      <c r="N194" s="288"/>
      <c r="O194" s="299"/>
      <c r="P194" s="284" t="s">
        <v>86</v>
      </c>
      <c r="Q194" s="285"/>
      <c r="R194" s="285"/>
      <c r="S194" s="285"/>
      <c r="T194" s="285"/>
      <c r="U194" s="285"/>
      <c r="V194" s="286"/>
      <c r="W194" s="37" t="s">
        <v>67</v>
      </c>
      <c r="X194" s="280">
        <f>IFERROR(SUM(X193:X193),"0")</f>
        <v>72</v>
      </c>
      <c r="Y194" s="280">
        <f>IFERROR(SUM(Y193:Y193),"0")</f>
        <v>72</v>
      </c>
      <c r="Z194" s="280">
        <f>IFERROR(IF(Z193="",0,Z193),"0")</f>
        <v>1.1160000000000001</v>
      </c>
      <c r="AA194" s="281"/>
      <c r="AB194" s="281"/>
      <c r="AC194" s="281"/>
    </row>
    <row r="195" spans="1:68" x14ac:dyDescent="0.2">
      <c r="A195" s="288"/>
      <c r="B195" s="288"/>
      <c r="C195" s="288"/>
      <c r="D195" s="288"/>
      <c r="E195" s="288"/>
      <c r="F195" s="288"/>
      <c r="G195" s="288"/>
      <c r="H195" s="288"/>
      <c r="I195" s="288"/>
      <c r="J195" s="288"/>
      <c r="K195" s="288"/>
      <c r="L195" s="288"/>
      <c r="M195" s="288"/>
      <c r="N195" s="288"/>
      <c r="O195" s="299"/>
      <c r="P195" s="284" t="s">
        <v>86</v>
      </c>
      <c r="Q195" s="285"/>
      <c r="R195" s="285"/>
      <c r="S195" s="285"/>
      <c r="T195" s="285"/>
      <c r="U195" s="285"/>
      <c r="V195" s="286"/>
      <c r="W195" s="37" t="s">
        <v>87</v>
      </c>
      <c r="X195" s="280">
        <f>IFERROR(SUMPRODUCT(X193:X193*H193:H193),"0")</f>
        <v>360</v>
      </c>
      <c r="Y195" s="280">
        <f>IFERROR(SUMPRODUCT(Y193:Y193*H193:H193),"0")</f>
        <v>360</v>
      </c>
      <c r="Z195" s="37"/>
      <c r="AA195" s="281"/>
      <c r="AB195" s="281"/>
      <c r="AC195" s="281"/>
    </row>
    <row r="196" spans="1:68" ht="27.75" hidden="1" customHeight="1" x14ac:dyDescent="0.2">
      <c r="A196" s="293" t="s">
        <v>279</v>
      </c>
      <c r="B196" s="294"/>
      <c r="C196" s="294"/>
      <c r="D196" s="294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  <c r="AA196" s="48"/>
      <c r="AB196" s="48"/>
      <c r="AC196" s="48"/>
    </row>
    <row r="197" spans="1:68" ht="16.5" hidden="1" customHeight="1" x14ac:dyDescent="0.25">
      <c r="A197" s="287" t="s">
        <v>280</v>
      </c>
      <c r="B197" s="288"/>
      <c r="C197" s="288"/>
      <c r="D197" s="288"/>
      <c r="E197" s="288"/>
      <c r="F197" s="288"/>
      <c r="G197" s="288"/>
      <c r="H197" s="288"/>
      <c r="I197" s="288"/>
      <c r="J197" s="288"/>
      <c r="K197" s="288"/>
      <c r="L197" s="288"/>
      <c r="M197" s="288"/>
      <c r="N197" s="288"/>
      <c r="O197" s="288"/>
      <c r="P197" s="288"/>
      <c r="Q197" s="288"/>
      <c r="R197" s="288"/>
      <c r="S197" s="288"/>
      <c r="T197" s="288"/>
      <c r="U197" s="288"/>
      <c r="V197" s="288"/>
      <c r="W197" s="288"/>
      <c r="X197" s="288"/>
      <c r="Y197" s="288"/>
      <c r="Z197" s="288"/>
      <c r="AA197" s="273"/>
      <c r="AB197" s="273"/>
      <c r="AC197" s="273"/>
    </row>
    <row r="198" spans="1:68" ht="14.25" hidden="1" customHeight="1" x14ac:dyDescent="0.25">
      <c r="A198" s="324" t="s">
        <v>101</v>
      </c>
      <c r="B198" s="288"/>
      <c r="C198" s="288"/>
      <c r="D198" s="288"/>
      <c r="E198" s="288"/>
      <c r="F198" s="288"/>
      <c r="G198" s="288"/>
      <c r="H198" s="288"/>
      <c r="I198" s="288"/>
      <c r="J198" s="288"/>
      <c r="K198" s="288"/>
      <c r="L198" s="288"/>
      <c r="M198" s="288"/>
      <c r="N198" s="288"/>
      <c r="O198" s="288"/>
      <c r="P198" s="288"/>
      <c r="Q198" s="288"/>
      <c r="R198" s="288"/>
      <c r="S198" s="288"/>
      <c r="T198" s="288"/>
      <c r="U198" s="288"/>
      <c r="V198" s="288"/>
      <c r="W198" s="288"/>
      <c r="X198" s="288"/>
      <c r="Y198" s="288"/>
      <c r="Z198" s="288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91">
        <v>4607111035691</v>
      </c>
      <c r="E199" s="292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4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96"/>
      <c r="R199" s="296"/>
      <c r="S199" s="296"/>
      <c r="T199" s="297"/>
      <c r="U199" s="34"/>
      <c r="V199" s="34"/>
      <c r="W199" s="35" t="s">
        <v>67</v>
      </c>
      <c r="X199" s="278">
        <v>42</v>
      </c>
      <c r="Y199" s="279">
        <f>IFERROR(IF(X199="","",X199),"")</f>
        <v>42</v>
      </c>
      <c r="Z199" s="36">
        <f>IFERROR(IF(X199="","",X199*0.01788),"")</f>
        <v>0.75095999999999996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142.29599999999999</v>
      </c>
      <c r="BN199" s="67">
        <f>IFERROR(Y199*I199,"0")</f>
        <v>142.29599999999999</v>
      </c>
      <c r="BO199" s="67">
        <f>IFERROR(X199/J199,"0")</f>
        <v>0.6</v>
      </c>
      <c r="BP199" s="67">
        <f>IFERROR(Y199/J199,"0")</f>
        <v>0.6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91">
        <v>4607111035721</v>
      </c>
      <c r="E200" s="292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96"/>
      <c r="R200" s="296"/>
      <c r="S200" s="296"/>
      <c r="T200" s="297"/>
      <c r="U200" s="34"/>
      <c r="V200" s="34"/>
      <c r="W200" s="35" t="s">
        <v>67</v>
      </c>
      <c r="X200" s="278">
        <v>42</v>
      </c>
      <c r="Y200" s="279">
        <f>IFERROR(IF(X200="","",X200),"")</f>
        <v>42</v>
      </c>
      <c r="Z200" s="36">
        <f>IFERROR(IF(X200="","",X200*0.01788),"")</f>
        <v>0.75095999999999996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142.29599999999999</v>
      </c>
      <c r="BN200" s="67">
        <f>IFERROR(Y200*I200,"0")</f>
        <v>142.29599999999999</v>
      </c>
      <c r="BO200" s="67">
        <f>IFERROR(X200/J200,"0")</f>
        <v>0.6</v>
      </c>
      <c r="BP200" s="67">
        <f>IFERROR(Y200/J200,"0")</f>
        <v>0.6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91">
        <v>4607111038487</v>
      </c>
      <c r="E201" s="292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96"/>
      <c r="R201" s="296"/>
      <c r="S201" s="296"/>
      <c r="T201" s="297"/>
      <c r="U201" s="34"/>
      <c r="V201" s="34"/>
      <c r="W201" s="35" t="s">
        <v>67</v>
      </c>
      <c r="X201" s="278">
        <v>42</v>
      </c>
      <c r="Y201" s="279">
        <f>IFERROR(IF(X201="","",X201),"")</f>
        <v>42</v>
      </c>
      <c r="Z201" s="36">
        <f>IFERROR(IF(X201="","",X201*0.01788),"")</f>
        <v>0.75095999999999996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156.91200000000001</v>
      </c>
      <c r="BN201" s="67">
        <f>IFERROR(Y201*I201,"0")</f>
        <v>156.91200000000001</v>
      </c>
      <c r="BO201" s="67">
        <f>IFERROR(X201/J201,"0")</f>
        <v>0.6</v>
      </c>
      <c r="BP201" s="67">
        <f>IFERROR(Y201/J201,"0")</f>
        <v>0.6</v>
      </c>
    </row>
    <row r="202" spans="1:68" ht="27" customHeight="1" x14ac:dyDescent="0.25">
      <c r="A202" s="54" t="s">
        <v>290</v>
      </c>
      <c r="B202" s="54" t="s">
        <v>291</v>
      </c>
      <c r="C202" s="31">
        <v>4301132243</v>
      </c>
      <c r="D202" s="291">
        <v>4620207491195</v>
      </c>
      <c r="E202" s="292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6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96"/>
      <c r="R202" s="296"/>
      <c r="S202" s="296"/>
      <c r="T202" s="297"/>
      <c r="U202" s="34"/>
      <c r="V202" s="34"/>
      <c r="W202" s="35" t="s">
        <v>67</v>
      </c>
      <c r="X202" s="278">
        <v>56</v>
      </c>
      <c r="Y202" s="279">
        <f>IFERROR(IF(X202="","",X202),"")</f>
        <v>56</v>
      </c>
      <c r="Z202" s="36">
        <f>IFERROR(IF(X202="","",X202*0.01788),"")</f>
        <v>1.0012799999999999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176.28800000000001</v>
      </c>
      <c r="BN202" s="67">
        <f>IFERROR(Y202*I202,"0")</f>
        <v>176.28800000000001</v>
      </c>
      <c r="BO202" s="67">
        <f>IFERROR(X202/J202,"0")</f>
        <v>0.8</v>
      </c>
      <c r="BP202" s="67">
        <f>IFERROR(Y202/J202,"0")</f>
        <v>0.8</v>
      </c>
    </row>
    <row r="203" spans="1:68" x14ac:dyDescent="0.2">
      <c r="A203" s="298"/>
      <c r="B203" s="288"/>
      <c r="C203" s="288"/>
      <c r="D203" s="288"/>
      <c r="E203" s="288"/>
      <c r="F203" s="288"/>
      <c r="G203" s="288"/>
      <c r="H203" s="288"/>
      <c r="I203" s="288"/>
      <c r="J203" s="288"/>
      <c r="K203" s="288"/>
      <c r="L203" s="288"/>
      <c r="M203" s="288"/>
      <c r="N203" s="288"/>
      <c r="O203" s="299"/>
      <c r="P203" s="284" t="s">
        <v>86</v>
      </c>
      <c r="Q203" s="285"/>
      <c r="R203" s="285"/>
      <c r="S203" s="285"/>
      <c r="T203" s="285"/>
      <c r="U203" s="285"/>
      <c r="V203" s="286"/>
      <c r="W203" s="37" t="s">
        <v>67</v>
      </c>
      <c r="X203" s="280">
        <f>IFERROR(SUM(X199:X202),"0")</f>
        <v>182</v>
      </c>
      <c r="Y203" s="280">
        <f>IFERROR(SUM(Y199:Y202),"0")</f>
        <v>182</v>
      </c>
      <c r="Z203" s="280">
        <f>IFERROR(IF(Z199="",0,Z199),"0")+IFERROR(IF(Z200="",0,Z200),"0")+IFERROR(IF(Z201="",0,Z201),"0")+IFERROR(IF(Z202="",0,Z202),"0")</f>
        <v>3.2541599999999997</v>
      </c>
      <c r="AA203" s="281"/>
      <c r="AB203" s="281"/>
      <c r="AC203" s="281"/>
    </row>
    <row r="204" spans="1:68" x14ac:dyDescent="0.2">
      <c r="A204" s="288"/>
      <c r="B204" s="288"/>
      <c r="C204" s="288"/>
      <c r="D204" s="288"/>
      <c r="E204" s="288"/>
      <c r="F204" s="288"/>
      <c r="G204" s="288"/>
      <c r="H204" s="288"/>
      <c r="I204" s="288"/>
      <c r="J204" s="288"/>
      <c r="K204" s="288"/>
      <c r="L204" s="288"/>
      <c r="M204" s="288"/>
      <c r="N204" s="288"/>
      <c r="O204" s="299"/>
      <c r="P204" s="284" t="s">
        <v>86</v>
      </c>
      <c r="Q204" s="285"/>
      <c r="R204" s="285"/>
      <c r="S204" s="285"/>
      <c r="T204" s="285"/>
      <c r="U204" s="285"/>
      <c r="V204" s="286"/>
      <c r="W204" s="37" t="s">
        <v>87</v>
      </c>
      <c r="X204" s="280">
        <f>IFERROR(SUMPRODUCT(X199:X202*H199:H202),"0")</f>
        <v>532.55999999999995</v>
      </c>
      <c r="Y204" s="280">
        <f>IFERROR(SUMPRODUCT(Y199:Y202*H199:H202),"0")</f>
        <v>532.55999999999995</v>
      </c>
      <c r="Z204" s="37"/>
      <c r="AA204" s="281"/>
      <c r="AB204" s="281"/>
      <c r="AC204" s="281"/>
    </row>
    <row r="205" spans="1:68" ht="27.75" hidden="1" customHeight="1" x14ac:dyDescent="0.2">
      <c r="A205" s="293" t="s">
        <v>293</v>
      </c>
      <c r="B205" s="294"/>
      <c r="C205" s="294"/>
      <c r="D205" s="294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  <c r="AA205" s="48"/>
      <c r="AB205" s="48"/>
      <c r="AC205" s="48"/>
    </row>
    <row r="206" spans="1:68" ht="16.5" hidden="1" customHeight="1" x14ac:dyDescent="0.25">
      <c r="A206" s="287" t="s">
        <v>294</v>
      </c>
      <c r="B206" s="288"/>
      <c r="C206" s="288"/>
      <c r="D206" s="288"/>
      <c r="E206" s="288"/>
      <c r="F206" s="288"/>
      <c r="G206" s="288"/>
      <c r="H206" s="288"/>
      <c r="I206" s="288"/>
      <c r="J206" s="288"/>
      <c r="K206" s="288"/>
      <c r="L206" s="288"/>
      <c r="M206" s="288"/>
      <c r="N206" s="288"/>
      <c r="O206" s="288"/>
      <c r="P206" s="288"/>
      <c r="Q206" s="288"/>
      <c r="R206" s="288"/>
      <c r="S206" s="288"/>
      <c r="T206" s="288"/>
      <c r="U206" s="288"/>
      <c r="V206" s="288"/>
      <c r="W206" s="288"/>
      <c r="X206" s="288"/>
      <c r="Y206" s="288"/>
      <c r="Z206" s="288"/>
      <c r="AA206" s="273"/>
      <c r="AB206" s="273"/>
      <c r="AC206" s="273"/>
    </row>
    <row r="207" spans="1:68" ht="14.25" hidden="1" customHeight="1" x14ac:dyDescent="0.25">
      <c r="A207" s="324" t="s">
        <v>101</v>
      </c>
      <c r="B207" s="288"/>
      <c r="C207" s="288"/>
      <c r="D207" s="288"/>
      <c r="E207" s="288"/>
      <c r="F207" s="288"/>
      <c r="G207" s="288"/>
      <c r="H207" s="288"/>
      <c r="I207" s="288"/>
      <c r="J207" s="288"/>
      <c r="K207" s="288"/>
      <c r="L207" s="288"/>
      <c r="M207" s="288"/>
      <c r="N207" s="288"/>
      <c r="O207" s="288"/>
      <c r="P207" s="288"/>
      <c r="Q207" s="288"/>
      <c r="R207" s="288"/>
      <c r="S207" s="288"/>
      <c r="T207" s="288"/>
      <c r="U207" s="288"/>
      <c r="V207" s="288"/>
      <c r="W207" s="288"/>
      <c r="X207" s="288"/>
      <c r="Y207" s="288"/>
      <c r="Z207" s="288"/>
      <c r="AA207" s="274"/>
      <c r="AB207" s="274"/>
      <c r="AC207" s="274"/>
    </row>
    <row r="208" spans="1:68" ht="27" customHeight="1" x14ac:dyDescent="0.25">
      <c r="A208" s="54" t="s">
        <v>295</v>
      </c>
      <c r="B208" s="54" t="s">
        <v>296</v>
      </c>
      <c r="C208" s="31">
        <v>4301132227</v>
      </c>
      <c r="D208" s="291">
        <v>4620207491133</v>
      </c>
      <c r="E208" s="292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96"/>
      <c r="R208" s="296"/>
      <c r="S208" s="296"/>
      <c r="T208" s="297"/>
      <c r="U208" s="34"/>
      <c r="V208" s="34"/>
      <c r="W208" s="35" t="s">
        <v>67</v>
      </c>
      <c r="X208" s="278">
        <v>14</v>
      </c>
      <c r="Y208" s="279">
        <f>IFERROR(IF(X208="","",X208),"")</f>
        <v>14</v>
      </c>
      <c r="Z208" s="36">
        <f>IFERROR(IF(X208="","",X208*0.01788),"")</f>
        <v>0.25031999999999999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41.72</v>
      </c>
      <c r="BN208" s="67">
        <f>IFERROR(Y208*I208,"0")</f>
        <v>41.72</v>
      </c>
      <c r="BO208" s="67">
        <f>IFERROR(X208/J208,"0")</f>
        <v>0.2</v>
      </c>
      <c r="BP208" s="67">
        <f>IFERROR(Y208/J208,"0")</f>
        <v>0.2</v>
      </c>
    </row>
    <row r="209" spans="1:68" x14ac:dyDescent="0.2">
      <c r="A209" s="298"/>
      <c r="B209" s="288"/>
      <c r="C209" s="288"/>
      <c r="D209" s="288"/>
      <c r="E209" s="288"/>
      <c r="F209" s="288"/>
      <c r="G209" s="288"/>
      <c r="H209" s="288"/>
      <c r="I209" s="288"/>
      <c r="J209" s="288"/>
      <c r="K209" s="288"/>
      <c r="L209" s="288"/>
      <c r="M209" s="288"/>
      <c r="N209" s="288"/>
      <c r="O209" s="299"/>
      <c r="P209" s="284" t="s">
        <v>86</v>
      </c>
      <c r="Q209" s="285"/>
      <c r="R209" s="285"/>
      <c r="S209" s="285"/>
      <c r="T209" s="285"/>
      <c r="U209" s="285"/>
      <c r="V209" s="286"/>
      <c r="W209" s="37" t="s">
        <v>67</v>
      </c>
      <c r="X209" s="280">
        <f>IFERROR(SUM(X208:X208),"0")</f>
        <v>14</v>
      </c>
      <c r="Y209" s="280">
        <f>IFERROR(SUM(Y208:Y208),"0")</f>
        <v>14</v>
      </c>
      <c r="Z209" s="280">
        <f>IFERROR(IF(Z208="",0,Z208),"0")</f>
        <v>0.25031999999999999</v>
      </c>
      <c r="AA209" s="281"/>
      <c r="AB209" s="281"/>
      <c r="AC209" s="281"/>
    </row>
    <row r="210" spans="1:68" x14ac:dyDescent="0.2">
      <c r="A210" s="288"/>
      <c r="B210" s="288"/>
      <c r="C210" s="288"/>
      <c r="D210" s="288"/>
      <c r="E210" s="288"/>
      <c r="F210" s="288"/>
      <c r="G210" s="288"/>
      <c r="H210" s="288"/>
      <c r="I210" s="288"/>
      <c r="J210" s="288"/>
      <c r="K210" s="288"/>
      <c r="L210" s="288"/>
      <c r="M210" s="288"/>
      <c r="N210" s="288"/>
      <c r="O210" s="299"/>
      <c r="P210" s="284" t="s">
        <v>86</v>
      </c>
      <c r="Q210" s="285"/>
      <c r="R210" s="285"/>
      <c r="S210" s="285"/>
      <c r="T210" s="285"/>
      <c r="U210" s="285"/>
      <c r="V210" s="286"/>
      <c r="W210" s="37" t="s">
        <v>87</v>
      </c>
      <c r="X210" s="280">
        <f>IFERROR(SUMPRODUCT(X208:X208*H208:H208),"0")</f>
        <v>38.64</v>
      </c>
      <c r="Y210" s="280">
        <f>IFERROR(SUMPRODUCT(Y208:Y208*H208:H208),"0")</f>
        <v>38.64</v>
      </c>
      <c r="Z210" s="37"/>
      <c r="AA210" s="281"/>
      <c r="AB210" s="281"/>
      <c r="AC210" s="281"/>
    </row>
    <row r="211" spans="1:68" ht="14.25" hidden="1" customHeight="1" x14ac:dyDescent="0.25">
      <c r="A211" s="324" t="s">
        <v>152</v>
      </c>
      <c r="B211" s="288"/>
      <c r="C211" s="288"/>
      <c r="D211" s="288"/>
      <c r="E211" s="288"/>
      <c r="F211" s="288"/>
      <c r="G211" s="288"/>
      <c r="H211" s="288"/>
      <c r="I211" s="288"/>
      <c r="J211" s="288"/>
      <c r="K211" s="288"/>
      <c r="L211" s="288"/>
      <c r="M211" s="288"/>
      <c r="N211" s="288"/>
      <c r="O211" s="288"/>
      <c r="P211" s="288"/>
      <c r="Q211" s="288"/>
      <c r="R211" s="288"/>
      <c r="S211" s="288"/>
      <c r="T211" s="288"/>
      <c r="U211" s="288"/>
      <c r="V211" s="288"/>
      <c r="W211" s="288"/>
      <c r="X211" s="288"/>
      <c r="Y211" s="288"/>
      <c r="Z211" s="288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91">
        <v>4620207491188</v>
      </c>
      <c r="E212" s="292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40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96"/>
      <c r="R212" s="296"/>
      <c r="S212" s="296"/>
      <c r="T212" s="297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91">
        <v>4620207490235</v>
      </c>
      <c r="E213" s="292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96"/>
      <c r="R213" s="296"/>
      <c r="S213" s="296"/>
      <c r="T213" s="297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91">
        <v>4620207490259</v>
      </c>
      <c r="E214" s="292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96"/>
      <c r="R214" s="296"/>
      <c r="S214" s="296"/>
      <c r="T214" s="297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8"/>
      <c r="B215" s="288"/>
      <c r="C215" s="288"/>
      <c r="D215" s="288"/>
      <c r="E215" s="288"/>
      <c r="F215" s="288"/>
      <c r="G215" s="288"/>
      <c r="H215" s="288"/>
      <c r="I215" s="288"/>
      <c r="J215" s="288"/>
      <c r="K215" s="288"/>
      <c r="L215" s="288"/>
      <c r="M215" s="288"/>
      <c r="N215" s="288"/>
      <c r="O215" s="299"/>
      <c r="P215" s="284" t="s">
        <v>86</v>
      </c>
      <c r="Q215" s="285"/>
      <c r="R215" s="285"/>
      <c r="S215" s="285"/>
      <c r="T215" s="285"/>
      <c r="U215" s="285"/>
      <c r="V215" s="286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88"/>
      <c r="B216" s="288"/>
      <c r="C216" s="288"/>
      <c r="D216" s="288"/>
      <c r="E216" s="288"/>
      <c r="F216" s="288"/>
      <c r="G216" s="288"/>
      <c r="H216" s="288"/>
      <c r="I216" s="288"/>
      <c r="J216" s="288"/>
      <c r="K216" s="288"/>
      <c r="L216" s="288"/>
      <c r="M216" s="288"/>
      <c r="N216" s="288"/>
      <c r="O216" s="299"/>
      <c r="P216" s="284" t="s">
        <v>86</v>
      </c>
      <c r="Q216" s="285"/>
      <c r="R216" s="285"/>
      <c r="S216" s="285"/>
      <c r="T216" s="285"/>
      <c r="U216" s="285"/>
      <c r="V216" s="286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87" t="s">
        <v>307</v>
      </c>
      <c r="B217" s="288"/>
      <c r="C217" s="288"/>
      <c r="D217" s="288"/>
      <c r="E217" s="288"/>
      <c r="F217" s="288"/>
      <c r="G217" s="288"/>
      <c r="H217" s="288"/>
      <c r="I217" s="288"/>
      <c r="J217" s="288"/>
      <c r="K217" s="288"/>
      <c r="L217" s="288"/>
      <c r="M217" s="288"/>
      <c r="N217" s="288"/>
      <c r="O217" s="288"/>
      <c r="P217" s="288"/>
      <c r="Q217" s="288"/>
      <c r="R217" s="288"/>
      <c r="S217" s="288"/>
      <c r="T217" s="288"/>
      <c r="U217" s="288"/>
      <c r="V217" s="288"/>
      <c r="W217" s="288"/>
      <c r="X217" s="288"/>
      <c r="Y217" s="288"/>
      <c r="Z217" s="288"/>
      <c r="AA217" s="273"/>
      <c r="AB217" s="273"/>
      <c r="AC217" s="273"/>
    </row>
    <row r="218" spans="1:68" ht="14.25" hidden="1" customHeight="1" x14ac:dyDescent="0.25">
      <c r="A218" s="324" t="s">
        <v>152</v>
      </c>
      <c r="B218" s="288"/>
      <c r="C218" s="288"/>
      <c r="D218" s="288"/>
      <c r="E218" s="288"/>
      <c r="F218" s="288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91">
        <v>4620207491706</v>
      </c>
      <c r="E219" s="292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3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96"/>
      <c r="R219" s="296"/>
      <c r="S219" s="296"/>
      <c r="T219" s="297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91">
        <v>4620207491522</v>
      </c>
      <c r="E220" s="292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96"/>
      <c r="R220" s="296"/>
      <c r="S220" s="296"/>
      <c r="T220" s="297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8"/>
      <c r="B221" s="288"/>
      <c r="C221" s="288"/>
      <c r="D221" s="288"/>
      <c r="E221" s="288"/>
      <c r="F221" s="288"/>
      <c r="G221" s="288"/>
      <c r="H221" s="288"/>
      <c r="I221" s="288"/>
      <c r="J221" s="288"/>
      <c r="K221" s="288"/>
      <c r="L221" s="288"/>
      <c r="M221" s="288"/>
      <c r="N221" s="288"/>
      <c r="O221" s="299"/>
      <c r="P221" s="284" t="s">
        <v>86</v>
      </c>
      <c r="Q221" s="285"/>
      <c r="R221" s="285"/>
      <c r="S221" s="285"/>
      <c r="T221" s="285"/>
      <c r="U221" s="285"/>
      <c r="V221" s="286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88"/>
      <c r="B222" s="288"/>
      <c r="C222" s="288"/>
      <c r="D222" s="288"/>
      <c r="E222" s="288"/>
      <c r="F222" s="288"/>
      <c r="G222" s="288"/>
      <c r="H222" s="288"/>
      <c r="I222" s="288"/>
      <c r="J222" s="288"/>
      <c r="K222" s="288"/>
      <c r="L222" s="288"/>
      <c r="M222" s="288"/>
      <c r="N222" s="288"/>
      <c r="O222" s="299"/>
      <c r="P222" s="284" t="s">
        <v>86</v>
      </c>
      <c r="Q222" s="285"/>
      <c r="R222" s="285"/>
      <c r="S222" s="285"/>
      <c r="T222" s="285"/>
      <c r="U222" s="285"/>
      <c r="V222" s="286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87" t="s">
        <v>314</v>
      </c>
      <c r="B223" s="288"/>
      <c r="C223" s="288"/>
      <c r="D223" s="288"/>
      <c r="E223" s="288"/>
      <c r="F223" s="288"/>
      <c r="G223" s="288"/>
      <c r="H223" s="288"/>
      <c r="I223" s="288"/>
      <c r="J223" s="288"/>
      <c r="K223" s="288"/>
      <c r="L223" s="288"/>
      <c r="M223" s="288"/>
      <c r="N223" s="288"/>
      <c r="O223" s="288"/>
      <c r="P223" s="288"/>
      <c r="Q223" s="288"/>
      <c r="R223" s="288"/>
      <c r="S223" s="288"/>
      <c r="T223" s="288"/>
      <c r="U223" s="288"/>
      <c r="V223" s="288"/>
      <c r="W223" s="288"/>
      <c r="X223" s="288"/>
      <c r="Y223" s="288"/>
      <c r="Z223" s="288"/>
      <c r="AA223" s="273"/>
      <c r="AB223" s="273"/>
      <c r="AC223" s="273"/>
    </row>
    <row r="224" spans="1:68" ht="14.25" hidden="1" customHeight="1" x14ac:dyDescent="0.25">
      <c r="A224" s="324" t="s">
        <v>61</v>
      </c>
      <c r="B224" s="288"/>
      <c r="C224" s="288"/>
      <c r="D224" s="288"/>
      <c r="E224" s="288"/>
      <c r="F224" s="288"/>
      <c r="G224" s="288"/>
      <c r="H224" s="288"/>
      <c r="I224" s="288"/>
      <c r="J224" s="288"/>
      <c r="K224" s="288"/>
      <c r="L224" s="288"/>
      <c r="M224" s="288"/>
      <c r="N224" s="288"/>
      <c r="O224" s="288"/>
      <c r="P224" s="288"/>
      <c r="Q224" s="288"/>
      <c r="R224" s="288"/>
      <c r="S224" s="288"/>
      <c r="T224" s="288"/>
      <c r="U224" s="288"/>
      <c r="V224" s="288"/>
      <c r="W224" s="288"/>
      <c r="X224" s="288"/>
      <c r="Y224" s="288"/>
      <c r="Z224" s="288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91">
        <v>4620207491096</v>
      </c>
      <c r="E225" s="292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96"/>
      <c r="R225" s="296"/>
      <c r="S225" s="296"/>
      <c r="T225" s="297"/>
      <c r="U225" s="34"/>
      <c r="V225" s="34"/>
      <c r="W225" s="35" t="s">
        <v>67</v>
      </c>
      <c r="X225" s="278">
        <v>84</v>
      </c>
      <c r="Y225" s="279">
        <f>IFERROR(IF(X225="","",X225),"")</f>
        <v>84</v>
      </c>
      <c r="Z225" s="36">
        <f>IFERROR(IF(X225="","",X225*0.0155),"")</f>
        <v>1.302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439.32000000000005</v>
      </c>
      <c r="BN225" s="67">
        <f>IFERROR(Y225*I225,"0")</f>
        <v>439.32000000000005</v>
      </c>
      <c r="BO225" s="67">
        <f>IFERROR(X225/J225,"0")</f>
        <v>1</v>
      </c>
      <c r="BP225" s="67">
        <f>IFERROR(Y225/J225,"0")</f>
        <v>1</v>
      </c>
    </row>
    <row r="226" spans="1:68" x14ac:dyDescent="0.2">
      <c r="A226" s="298"/>
      <c r="B226" s="288"/>
      <c r="C226" s="288"/>
      <c r="D226" s="288"/>
      <c r="E226" s="288"/>
      <c r="F226" s="288"/>
      <c r="G226" s="288"/>
      <c r="H226" s="288"/>
      <c r="I226" s="288"/>
      <c r="J226" s="288"/>
      <c r="K226" s="288"/>
      <c r="L226" s="288"/>
      <c r="M226" s="288"/>
      <c r="N226" s="288"/>
      <c r="O226" s="299"/>
      <c r="P226" s="284" t="s">
        <v>86</v>
      </c>
      <c r="Q226" s="285"/>
      <c r="R226" s="285"/>
      <c r="S226" s="285"/>
      <c r="T226" s="285"/>
      <c r="U226" s="285"/>
      <c r="V226" s="286"/>
      <c r="W226" s="37" t="s">
        <v>67</v>
      </c>
      <c r="X226" s="280">
        <f>IFERROR(SUM(X225:X225),"0")</f>
        <v>84</v>
      </c>
      <c r="Y226" s="280">
        <f>IFERROR(SUM(Y225:Y225),"0")</f>
        <v>84</v>
      </c>
      <c r="Z226" s="280">
        <f>IFERROR(IF(Z225="",0,Z225),"0")</f>
        <v>1.302</v>
      </c>
      <c r="AA226" s="281"/>
      <c r="AB226" s="281"/>
      <c r="AC226" s="281"/>
    </row>
    <row r="227" spans="1:68" x14ac:dyDescent="0.2">
      <c r="A227" s="288"/>
      <c r="B227" s="288"/>
      <c r="C227" s="288"/>
      <c r="D227" s="288"/>
      <c r="E227" s="288"/>
      <c r="F227" s="288"/>
      <c r="G227" s="288"/>
      <c r="H227" s="288"/>
      <c r="I227" s="288"/>
      <c r="J227" s="288"/>
      <c r="K227" s="288"/>
      <c r="L227" s="288"/>
      <c r="M227" s="288"/>
      <c r="N227" s="288"/>
      <c r="O227" s="299"/>
      <c r="P227" s="284" t="s">
        <v>86</v>
      </c>
      <c r="Q227" s="285"/>
      <c r="R227" s="285"/>
      <c r="S227" s="285"/>
      <c r="T227" s="285"/>
      <c r="U227" s="285"/>
      <c r="V227" s="286"/>
      <c r="W227" s="37" t="s">
        <v>87</v>
      </c>
      <c r="X227" s="280">
        <f>IFERROR(SUMPRODUCT(X225:X225*H225:H225),"0")</f>
        <v>420</v>
      </c>
      <c r="Y227" s="280">
        <f>IFERROR(SUMPRODUCT(Y225:Y225*H225:H225),"0")</f>
        <v>420</v>
      </c>
      <c r="Z227" s="37"/>
      <c r="AA227" s="281"/>
      <c r="AB227" s="281"/>
      <c r="AC227" s="281"/>
    </row>
    <row r="228" spans="1:68" ht="27.75" hidden="1" customHeight="1" x14ac:dyDescent="0.2">
      <c r="A228" s="293" t="s">
        <v>318</v>
      </c>
      <c r="B228" s="294"/>
      <c r="C228" s="294"/>
      <c r="D228" s="294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48"/>
      <c r="AB228" s="48"/>
      <c r="AC228" s="48"/>
    </row>
    <row r="229" spans="1:68" ht="16.5" hidden="1" customHeight="1" x14ac:dyDescent="0.25">
      <c r="A229" s="287" t="s">
        <v>319</v>
      </c>
      <c r="B229" s="288"/>
      <c r="C229" s="288"/>
      <c r="D229" s="288"/>
      <c r="E229" s="288"/>
      <c r="F229" s="288"/>
      <c r="G229" s="288"/>
      <c r="H229" s="288"/>
      <c r="I229" s="288"/>
      <c r="J229" s="288"/>
      <c r="K229" s="288"/>
      <c r="L229" s="288"/>
      <c r="M229" s="288"/>
      <c r="N229" s="288"/>
      <c r="O229" s="288"/>
      <c r="P229" s="288"/>
      <c r="Q229" s="288"/>
      <c r="R229" s="288"/>
      <c r="S229" s="288"/>
      <c r="T229" s="288"/>
      <c r="U229" s="288"/>
      <c r="V229" s="288"/>
      <c r="W229" s="288"/>
      <c r="X229" s="288"/>
      <c r="Y229" s="288"/>
      <c r="Z229" s="288"/>
      <c r="AA229" s="273"/>
      <c r="AB229" s="273"/>
      <c r="AC229" s="273"/>
    </row>
    <row r="230" spans="1:68" ht="14.25" hidden="1" customHeight="1" x14ac:dyDescent="0.25">
      <c r="A230" s="324" t="s">
        <v>61</v>
      </c>
      <c r="B230" s="288"/>
      <c r="C230" s="288"/>
      <c r="D230" s="288"/>
      <c r="E230" s="288"/>
      <c r="F230" s="288"/>
      <c r="G230" s="288"/>
      <c r="H230" s="288"/>
      <c r="I230" s="288"/>
      <c r="J230" s="288"/>
      <c r="K230" s="288"/>
      <c r="L230" s="288"/>
      <c r="M230" s="288"/>
      <c r="N230" s="288"/>
      <c r="O230" s="288"/>
      <c r="P230" s="288"/>
      <c r="Q230" s="288"/>
      <c r="R230" s="288"/>
      <c r="S230" s="288"/>
      <c r="T230" s="288"/>
      <c r="U230" s="288"/>
      <c r="V230" s="288"/>
      <c r="W230" s="288"/>
      <c r="X230" s="288"/>
      <c r="Y230" s="288"/>
      <c r="Z230" s="288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91">
        <v>4607111036162</v>
      </c>
      <c r="E231" s="292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3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6"/>
      <c r="R231" s="296"/>
      <c r="S231" s="296"/>
      <c r="T231" s="297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298"/>
      <c r="B232" s="288"/>
      <c r="C232" s="288"/>
      <c r="D232" s="288"/>
      <c r="E232" s="288"/>
      <c r="F232" s="288"/>
      <c r="G232" s="288"/>
      <c r="H232" s="288"/>
      <c r="I232" s="288"/>
      <c r="J232" s="288"/>
      <c r="K232" s="288"/>
      <c r="L232" s="288"/>
      <c r="M232" s="288"/>
      <c r="N232" s="288"/>
      <c r="O232" s="299"/>
      <c r="P232" s="284" t="s">
        <v>86</v>
      </c>
      <c r="Q232" s="285"/>
      <c r="R232" s="285"/>
      <c r="S232" s="285"/>
      <c r="T232" s="285"/>
      <c r="U232" s="285"/>
      <c r="V232" s="286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88"/>
      <c r="B233" s="288"/>
      <c r="C233" s="288"/>
      <c r="D233" s="288"/>
      <c r="E233" s="288"/>
      <c r="F233" s="288"/>
      <c r="G233" s="288"/>
      <c r="H233" s="288"/>
      <c r="I233" s="288"/>
      <c r="J233" s="288"/>
      <c r="K233" s="288"/>
      <c r="L233" s="288"/>
      <c r="M233" s="288"/>
      <c r="N233" s="288"/>
      <c r="O233" s="299"/>
      <c r="P233" s="284" t="s">
        <v>86</v>
      </c>
      <c r="Q233" s="285"/>
      <c r="R233" s="285"/>
      <c r="S233" s="285"/>
      <c r="T233" s="285"/>
      <c r="U233" s="285"/>
      <c r="V233" s="286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3" t="s">
        <v>323</v>
      </c>
      <c r="B234" s="294"/>
      <c r="C234" s="294"/>
      <c r="D234" s="294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  <c r="AA234" s="48"/>
      <c r="AB234" s="48"/>
      <c r="AC234" s="48"/>
    </row>
    <row r="235" spans="1:68" ht="16.5" hidden="1" customHeight="1" x14ac:dyDescent="0.25">
      <c r="A235" s="287" t="s">
        <v>324</v>
      </c>
      <c r="B235" s="288"/>
      <c r="C235" s="288"/>
      <c r="D235" s="288"/>
      <c r="E235" s="288"/>
      <c r="F235" s="288"/>
      <c r="G235" s="288"/>
      <c r="H235" s="288"/>
      <c r="I235" s="288"/>
      <c r="J235" s="288"/>
      <c r="K235" s="288"/>
      <c r="L235" s="288"/>
      <c r="M235" s="288"/>
      <c r="N235" s="288"/>
      <c r="O235" s="288"/>
      <c r="P235" s="288"/>
      <c r="Q235" s="288"/>
      <c r="R235" s="288"/>
      <c r="S235" s="288"/>
      <c r="T235" s="288"/>
      <c r="U235" s="288"/>
      <c r="V235" s="288"/>
      <c r="W235" s="288"/>
      <c r="X235" s="288"/>
      <c r="Y235" s="288"/>
      <c r="Z235" s="288"/>
      <c r="AA235" s="273"/>
      <c r="AB235" s="273"/>
      <c r="AC235" s="273"/>
    </row>
    <row r="236" spans="1:68" ht="14.25" hidden="1" customHeight="1" x14ac:dyDescent="0.25">
      <c r="A236" s="324" t="s">
        <v>325</v>
      </c>
      <c r="B236" s="288"/>
      <c r="C236" s="288"/>
      <c r="D236" s="288"/>
      <c r="E236" s="288"/>
      <c r="F236" s="288"/>
      <c r="G236" s="288"/>
      <c r="H236" s="288"/>
      <c r="I236" s="288"/>
      <c r="J236" s="288"/>
      <c r="K236" s="288"/>
      <c r="L236" s="288"/>
      <c r="M236" s="288"/>
      <c r="N236" s="288"/>
      <c r="O236" s="288"/>
      <c r="P236" s="288"/>
      <c r="Q236" s="288"/>
      <c r="R236" s="288"/>
      <c r="S236" s="288"/>
      <c r="T236" s="288"/>
      <c r="U236" s="288"/>
      <c r="V236" s="288"/>
      <c r="W236" s="288"/>
      <c r="X236" s="288"/>
      <c r="Y236" s="288"/>
      <c r="Z236" s="288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91">
        <v>4607111039774</v>
      </c>
      <c r="E237" s="292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6"/>
      <c r="R237" s="296"/>
      <c r="S237" s="296"/>
      <c r="T237" s="297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98"/>
      <c r="B238" s="288"/>
      <c r="C238" s="288"/>
      <c r="D238" s="288"/>
      <c r="E238" s="288"/>
      <c r="F238" s="288"/>
      <c r="G238" s="288"/>
      <c r="H238" s="288"/>
      <c r="I238" s="288"/>
      <c r="J238" s="288"/>
      <c r="K238" s="288"/>
      <c r="L238" s="288"/>
      <c r="M238" s="288"/>
      <c r="N238" s="288"/>
      <c r="O238" s="299"/>
      <c r="P238" s="284" t="s">
        <v>86</v>
      </c>
      <c r="Q238" s="285"/>
      <c r="R238" s="285"/>
      <c r="S238" s="285"/>
      <c r="T238" s="285"/>
      <c r="U238" s="285"/>
      <c r="V238" s="286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88"/>
      <c r="B239" s="288"/>
      <c r="C239" s="288"/>
      <c r="D239" s="288"/>
      <c r="E239" s="288"/>
      <c r="F239" s="288"/>
      <c r="G239" s="288"/>
      <c r="H239" s="288"/>
      <c r="I239" s="288"/>
      <c r="J239" s="288"/>
      <c r="K239" s="288"/>
      <c r="L239" s="288"/>
      <c r="M239" s="288"/>
      <c r="N239" s="288"/>
      <c r="O239" s="299"/>
      <c r="P239" s="284" t="s">
        <v>86</v>
      </c>
      <c r="Q239" s="285"/>
      <c r="R239" s="285"/>
      <c r="S239" s="285"/>
      <c r="T239" s="285"/>
      <c r="U239" s="285"/>
      <c r="V239" s="286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24" t="s">
        <v>152</v>
      </c>
      <c r="B240" s="288"/>
      <c r="C240" s="288"/>
      <c r="D240" s="288"/>
      <c r="E240" s="288"/>
      <c r="F240" s="288"/>
      <c r="G240" s="288"/>
      <c r="H240" s="288"/>
      <c r="I240" s="288"/>
      <c r="J240" s="288"/>
      <c r="K240" s="288"/>
      <c r="L240" s="288"/>
      <c r="M240" s="288"/>
      <c r="N240" s="288"/>
      <c r="O240" s="288"/>
      <c r="P240" s="288"/>
      <c r="Q240" s="288"/>
      <c r="R240" s="288"/>
      <c r="S240" s="288"/>
      <c r="T240" s="288"/>
      <c r="U240" s="288"/>
      <c r="V240" s="288"/>
      <c r="W240" s="288"/>
      <c r="X240" s="288"/>
      <c r="Y240" s="288"/>
      <c r="Z240" s="288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91">
        <v>4607111039361</v>
      </c>
      <c r="E241" s="292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4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6"/>
      <c r="R241" s="296"/>
      <c r="S241" s="296"/>
      <c r="T241" s="297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298"/>
      <c r="B242" s="288"/>
      <c r="C242" s="288"/>
      <c r="D242" s="288"/>
      <c r="E242" s="288"/>
      <c r="F242" s="288"/>
      <c r="G242" s="288"/>
      <c r="H242" s="288"/>
      <c r="I242" s="288"/>
      <c r="J242" s="288"/>
      <c r="K242" s="288"/>
      <c r="L242" s="288"/>
      <c r="M242" s="288"/>
      <c r="N242" s="288"/>
      <c r="O242" s="299"/>
      <c r="P242" s="284" t="s">
        <v>86</v>
      </c>
      <c r="Q242" s="285"/>
      <c r="R242" s="285"/>
      <c r="S242" s="285"/>
      <c r="T242" s="285"/>
      <c r="U242" s="285"/>
      <c r="V242" s="286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88"/>
      <c r="B243" s="288"/>
      <c r="C243" s="288"/>
      <c r="D243" s="288"/>
      <c r="E243" s="288"/>
      <c r="F243" s="288"/>
      <c r="G243" s="288"/>
      <c r="H243" s="288"/>
      <c r="I243" s="288"/>
      <c r="J243" s="288"/>
      <c r="K243" s="288"/>
      <c r="L243" s="288"/>
      <c r="M243" s="288"/>
      <c r="N243" s="288"/>
      <c r="O243" s="299"/>
      <c r="P243" s="284" t="s">
        <v>86</v>
      </c>
      <c r="Q243" s="285"/>
      <c r="R243" s="285"/>
      <c r="S243" s="285"/>
      <c r="T243" s="285"/>
      <c r="U243" s="285"/>
      <c r="V243" s="286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3" t="s">
        <v>331</v>
      </c>
      <c r="B244" s="294"/>
      <c r="C244" s="294"/>
      <c r="D244" s="294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  <c r="AA244" s="48"/>
      <c r="AB244" s="48"/>
      <c r="AC244" s="48"/>
    </row>
    <row r="245" spans="1:68" ht="16.5" hidden="1" customHeight="1" x14ac:dyDescent="0.25">
      <c r="A245" s="287" t="s">
        <v>331</v>
      </c>
      <c r="B245" s="288"/>
      <c r="C245" s="288"/>
      <c r="D245" s="288"/>
      <c r="E245" s="288"/>
      <c r="F245" s="288"/>
      <c r="G245" s="288"/>
      <c r="H245" s="288"/>
      <c r="I245" s="288"/>
      <c r="J245" s="288"/>
      <c r="K245" s="288"/>
      <c r="L245" s="288"/>
      <c r="M245" s="288"/>
      <c r="N245" s="288"/>
      <c r="O245" s="288"/>
      <c r="P245" s="288"/>
      <c r="Q245" s="288"/>
      <c r="R245" s="288"/>
      <c r="S245" s="288"/>
      <c r="T245" s="288"/>
      <c r="U245" s="288"/>
      <c r="V245" s="288"/>
      <c r="W245" s="288"/>
      <c r="X245" s="288"/>
      <c r="Y245" s="288"/>
      <c r="Z245" s="288"/>
      <c r="AA245" s="273"/>
      <c r="AB245" s="273"/>
      <c r="AC245" s="273"/>
    </row>
    <row r="246" spans="1:68" ht="14.25" hidden="1" customHeight="1" x14ac:dyDescent="0.25">
      <c r="A246" s="324" t="s">
        <v>101</v>
      </c>
      <c r="B246" s="288"/>
      <c r="C246" s="288"/>
      <c r="D246" s="288"/>
      <c r="E246" s="288"/>
      <c r="F246" s="288"/>
      <c r="G246" s="288"/>
      <c r="H246" s="288"/>
      <c r="I246" s="288"/>
      <c r="J246" s="288"/>
      <c r="K246" s="288"/>
      <c r="L246" s="288"/>
      <c r="M246" s="288"/>
      <c r="N246" s="288"/>
      <c r="O246" s="288"/>
      <c r="P246" s="288"/>
      <c r="Q246" s="288"/>
      <c r="R246" s="288"/>
      <c r="S246" s="288"/>
      <c r="T246" s="288"/>
      <c r="U246" s="288"/>
      <c r="V246" s="288"/>
      <c r="W246" s="288"/>
      <c r="X246" s="288"/>
      <c r="Y246" s="288"/>
      <c r="Z246" s="288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91">
        <v>4640242181950</v>
      </c>
      <c r="E247" s="292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96"/>
      <c r="R247" s="296"/>
      <c r="S247" s="296"/>
      <c r="T247" s="297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98"/>
      <c r="B248" s="288"/>
      <c r="C248" s="288"/>
      <c r="D248" s="288"/>
      <c r="E248" s="288"/>
      <c r="F248" s="288"/>
      <c r="G248" s="288"/>
      <c r="H248" s="288"/>
      <c r="I248" s="288"/>
      <c r="J248" s="288"/>
      <c r="K248" s="288"/>
      <c r="L248" s="288"/>
      <c r="M248" s="288"/>
      <c r="N248" s="288"/>
      <c r="O248" s="299"/>
      <c r="P248" s="284" t="s">
        <v>86</v>
      </c>
      <c r="Q248" s="285"/>
      <c r="R248" s="285"/>
      <c r="S248" s="285"/>
      <c r="T248" s="285"/>
      <c r="U248" s="285"/>
      <c r="V248" s="286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88"/>
      <c r="B249" s="288"/>
      <c r="C249" s="288"/>
      <c r="D249" s="288"/>
      <c r="E249" s="288"/>
      <c r="F249" s="288"/>
      <c r="G249" s="288"/>
      <c r="H249" s="288"/>
      <c r="I249" s="288"/>
      <c r="J249" s="288"/>
      <c r="K249" s="288"/>
      <c r="L249" s="288"/>
      <c r="M249" s="288"/>
      <c r="N249" s="288"/>
      <c r="O249" s="299"/>
      <c r="P249" s="284" t="s">
        <v>86</v>
      </c>
      <c r="Q249" s="285"/>
      <c r="R249" s="285"/>
      <c r="S249" s="285"/>
      <c r="T249" s="285"/>
      <c r="U249" s="285"/>
      <c r="V249" s="286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24" t="s">
        <v>180</v>
      </c>
      <c r="B250" s="288"/>
      <c r="C250" s="288"/>
      <c r="D250" s="288"/>
      <c r="E250" s="288"/>
      <c r="F250" s="288"/>
      <c r="G250" s="288"/>
      <c r="H250" s="288"/>
      <c r="I250" s="288"/>
      <c r="J250" s="288"/>
      <c r="K250" s="288"/>
      <c r="L250" s="288"/>
      <c r="M250" s="288"/>
      <c r="N250" s="288"/>
      <c r="O250" s="288"/>
      <c r="P250" s="288"/>
      <c r="Q250" s="288"/>
      <c r="R250" s="288"/>
      <c r="S250" s="288"/>
      <c r="T250" s="288"/>
      <c r="U250" s="288"/>
      <c r="V250" s="288"/>
      <c r="W250" s="288"/>
      <c r="X250" s="288"/>
      <c r="Y250" s="288"/>
      <c r="Z250" s="288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91">
        <v>4640242181943</v>
      </c>
      <c r="E251" s="292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40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96"/>
      <c r="R251" s="296"/>
      <c r="S251" s="296"/>
      <c r="T251" s="297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298"/>
      <c r="B252" s="288"/>
      <c r="C252" s="288"/>
      <c r="D252" s="288"/>
      <c r="E252" s="288"/>
      <c r="F252" s="288"/>
      <c r="G252" s="288"/>
      <c r="H252" s="288"/>
      <c r="I252" s="288"/>
      <c r="J252" s="288"/>
      <c r="K252" s="288"/>
      <c r="L252" s="288"/>
      <c r="M252" s="288"/>
      <c r="N252" s="288"/>
      <c r="O252" s="299"/>
      <c r="P252" s="284" t="s">
        <v>86</v>
      </c>
      <c r="Q252" s="285"/>
      <c r="R252" s="285"/>
      <c r="S252" s="285"/>
      <c r="T252" s="285"/>
      <c r="U252" s="285"/>
      <c r="V252" s="286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88"/>
      <c r="B253" s="288"/>
      <c r="C253" s="288"/>
      <c r="D253" s="288"/>
      <c r="E253" s="288"/>
      <c r="F253" s="288"/>
      <c r="G253" s="288"/>
      <c r="H253" s="288"/>
      <c r="I253" s="288"/>
      <c r="J253" s="288"/>
      <c r="K253" s="288"/>
      <c r="L253" s="288"/>
      <c r="M253" s="288"/>
      <c r="N253" s="288"/>
      <c r="O253" s="299"/>
      <c r="P253" s="284" t="s">
        <v>86</v>
      </c>
      <c r="Q253" s="285"/>
      <c r="R253" s="285"/>
      <c r="S253" s="285"/>
      <c r="T253" s="285"/>
      <c r="U253" s="285"/>
      <c r="V253" s="286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3" t="s">
        <v>262</v>
      </c>
      <c r="B254" s="294"/>
      <c r="C254" s="294"/>
      <c r="D254" s="294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48"/>
      <c r="AB254" s="48"/>
      <c r="AC254" s="48"/>
    </row>
    <row r="255" spans="1:68" ht="16.5" hidden="1" customHeight="1" x14ac:dyDescent="0.25">
      <c r="A255" s="287" t="s">
        <v>262</v>
      </c>
      <c r="B255" s="288"/>
      <c r="C255" s="288"/>
      <c r="D255" s="288"/>
      <c r="E255" s="288"/>
      <c r="F255" s="288"/>
      <c r="G255" s="288"/>
      <c r="H255" s="288"/>
      <c r="I255" s="288"/>
      <c r="J255" s="288"/>
      <c r="K255" s="288"/>
      <c r="L255" s="288"/>
      <c r="M255" s="288"/>
      <c r="N255" s="288"/>
      <c r="O255" s="288"/>
      <c r="P255" s="288"/>
      <c r="Q255" s="288"/>
      <c r="R255" s="288"/>
      <c r="S255" s="288"/>
      <c r="T255" s="288"/>
      <c r="U255" s="288"/>
      <c r="V255" s="288"/>
      <c r="W255" s="288"/>
      <c r="X255" s="288"/>
      <c r="Y255" s="288"/>
      <c r="Z255" s="288"/>
      <c r="AA255" s="273"/>
      <c r="AB255" s="273"/>
      <c r="AC255" s="273"/>
    </row>
    <row r="256" spans="1:68" ht="14.25" hidden="1" customHeight="1" x14ac:dyDescent="0.25">
      <c r="A256" s="324" t="s">
        <v>61</v>
      </c>
      <c r="B256" s="288"/>
      <c r="C256" s="288"/>
      <c r="D256" s="288"/>
      <c r="E256" s="288"/>
      <c r="F256" s="288"/>
      <c r="G256" s="288"/>
      <c r="H256" s="288"/>
      <c r="I256" s="288"/>
      <c r="J256" s="288"/>
      <c r="K256" s="288"/>
      <c r="L256" s="288"/>
      <c r="M256" s="288"/>
      <c r="N256" s="288"/>
      <c r="O256" s="288"/>
      <c r="P256" s="288"/>
      <c r="Q256" s="288"/>
      <c r="R256" s="288"/>
      <c r="S256" s="288"/>
      <c r="T256" s="288"/>
      <c r="U256" s="288"/>
      <c r="V256" s="288"/>
      <c r="W256" s="288"/>
      <c r="X256" s="288"/>
      <c r="Y256" s="288"/>
      <c r="Z256" s="288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91">
        <v>4640242181264</v>
      </c>
      <c r="E257" s="292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0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96"/>
      <c r="R257" s="296"/>
      <c r="S257" s="296"/>
      <c r="T257" s="297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341</v>
      </c>
      <c r="B258" s="54" t="s">
        <v>342</v>
      </c>
      <c r="C258" s="31">
        <v>4301071141</v>
      </c>
      <c r="D258" s="291">
        <v>4620207491980</v>
      </c>
      <c r="E258" s="292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7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96"/>
      <c r="R258" s="296"/>
      <c r="S258" s="296"/>
      <c r="T258" s="297"/>
      <c r="U258" s="34"/>
      <c r="V258" s="34"/>
      <c r="W258" s="35" t="s">
        <v>67</v>
      </c>
      <c r="X258" s="278">
        <v>12</v>
      </c>
      <c r="Y258" s="279">
        <f>IFERROR(IF(X258="","",X258),"")</f>
        <v>12</v>
      </c>
      <c r="Z258" s="36">
        <f>IFERROR(IF(X258="","",X258*0.0155),"")</f>
        <v>0.186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87.36</v>
      </c>
      <c r="BN258" s="67">
        <f>IFERROR(Y258*I258,"0")</f>
        <v>87.36</v>
      </c>
      <c r="BO258" s="67">
        <f>IFERROR(X258/J258,"0")</f>
        <v>0.14285714285714285</v>
      </c>
      <c r="BP258" s="67">
        <f>IFERROR(Y258/J258,"0")</f>
        <v>0.14285714285714285</v>
      </c>
    </row>
    <row r="259" spans="1:68" x14ac:dyDescent="0.2">
      <c r="A259" s="298"/>
      <c r="B259" s="288"/>
      <c r="C259" s="288"/>
      <c r="D259" s="288"/>
      <c r="E259" s="288"/>
      <c r="F259" s="288"/>
      <c r="G259" s="288"/>
      <c r="H259" s="288"/>
      <c r="I259" s="288"/>
      <c r="J259" s="288"/>
      <c r="K259" s="288"/>
      <c r="L259" s="288"/>
      <c r="M259" s="288"/>
      <c r="N259" s="288"/>
      <c r="O259" s="299"/>
      <c r="P259" s="284" t="s">
        <v>86</v>
      </c>
      <c r="Q259" s="285"/>
      <c r="R259" s="285"/>
      <c r="S259" s="285"/>
      <c r="T259" s="285"/>
      <c r="U259" s="285"/>
      <c r="V259" s="286"/>
      <c r="W259" s="37" t="s">
        <v>67</v>
      </c>
      <c r="X259" s="280">
        <f>IFERROR(SUM(X257:X258),"0")</f>
        <v>12</v>
      </c>
      <c r="Y259" s="280">
        <f>IFERROR(SUM(Y257:Y258),"0")</f>
        <v>12</v>
      </c>
      <c r="Z259" s="280">
        <f>IFERROR(IF(Z257="",0,Z257),"0")+IFERROR(IF(Z258="",0,Z258),"0")</f>
        <v>0.186</v>
      </c>
      <c r="AA259" s="281"/>
      <c r="AB259" s="281"/>
      <c r="AC259" s="281"/>
    </row>
    <row r="260" spans="1:68" x14ac:dyDescent="0.2">
      <c r="A260" s="288"/>
      <c r="B260" s="288"/>
      <c r="C260" s="288"/>
      <c r="D260" s="288"/>
      <c r="E260" s="288"/>
      <c r="F260" s="288"/>
      <c r="G260" s="288"/>
      <c r="H260" s="288"/>
      <c r="I260" s="288"/>
      <c r="J260" s="288"/>
      <c r="K260" s="288"/>
      <c r="L260" s="288"/>
      <c r="M260" s="288"/>
      <c r="N260" s="288"/>
      <c r="O260" s="299"/>
      <c r="P260" s="284" t="s">
        <v>86</v>
      </c>
      <c r="Q260" s="285"/>
      <c r="R260" s="285"/>
      <c r="S260" s="285"/>
      <c r="T260" s="285"/>
      <c r="U260" s="285"/>
      <c r="V260" s="286"/>
      <c r="W260" s="37" t="s">
        <v>87</v>
      </c>
      <c r="X260" s="280">
        <f>IFERROR(SUMPRODUCT(X257:X258*H257:H258),"0")</f>
        <v>84</v>
      </c>
      <c r="Y260" s="280">
        <f>IFERROR(SUMPRODUCT(Y257:Y258*H257:H258),"0")</f>
        <v>84</v>
      </c>
      <c r="Z260" s="37"/>
      <c r="AA260" s="281"/>
      <c r="AB260" s="281"/>
      <c r="AC260" s="281"/>
    </row>
    <row r="261" spans="1:68" ht="14.25" hidden="1" customHeight="1" x14ac:dyDescent="0.25">
      <c r="A261" s="324" t="s">
        <v>180</v>
      </c>
      <c r="B261" s="288"/>
      <c r="C261" s="288"/>
      <c r="D261" s="288"/>
      <c r="E261" s="288"/>
      <c r="F261" s="288"/>
      <c r="G261" s="288"/>
      <c r="H261" s="288"/>
      <c r="I261" s="288"/>
      <c r="J261" s="288"/>
      <c r="K261" s="288"/>
      <c r="L261" s="288"/>
      <c r="M261" s="288"/>
      <c r="N261" s="288"/>
      <c r="O261" s="288"/>
      <c r="P261" s="288"/>
      <c r="Q261" s="288"/>
      <c r="R261" s="288"/>
      <c r="S261" s="288"/>
      <c r="T261" s="288"/>
      <c r="U261" s="288"/>
      <c r="V261" s="288"/>
      <c r="W261" s="288"/>
      <c r="X261" s="288"/>
      <c r="Y261" s="288"/>
      <c r="Z261" s="288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91">
        <v>4620207492147</v>
      </c>
      <c r="E262" s="292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42" t="s">
        <v>346</v>
      </c>
      <c r="Q262" s="296"/>
      <c r="R262" s="296"/>
      <c r="S262" s="296"/>
      <c r="T262" s="297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4301136112</v>
      </c>
      <c r="D263" s="291">
        <v>4620207492154</v>
      </c>
      <c r="E263" s="292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8" t="s">
        <v>349</v>
      </c>
      <c r="Q263" s="296"/>
      <c r="R263" s="296"/>
      <c r="S263" s="296"/>
      <c r="T263" s="297"/>
      <c r="U263" s="34"/>
      <c r="V263" s="34"/>
      <c r="W263" s="35" t="s">
        <v>67</v>
      </c>
      <c r="X263" s="278">
        <v>192</v>
      </c>
      <c r="Y263" s="279">
        <f>IFERROR(IF(X263="","",X263),"")</f>
        <v>192</v>
      </c>
      <c r="Z263" s="36">
        <f>IFERROR(IF(X263="","",X263*0.0155),"")</f>
        <v>2.976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1005.1200000000001</v>
      </c>
      <c r="BN263" s="67">
        <f>IFERROR(Y263*I263,"0")</f>
        <v>1005.1200000000001</v>
      </c>
      <c r="BO263" s="67">
        <f>IFERROR(X263/J263,"0")</f>
        <v>2.2857142857142856</v>
      </c>
      <c r="BP263" s="67">
        <f>IFERROR(Y263/J263,"0")</f>
        <v>2.2857142857142856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91">
        <v>4620207492086</v>
      </c>
      <c r="E264" s="292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75" t="s">
        <v>352</v>
      </c>
      <c r="Q264" s="296"/>
      <c r="R264" s="296"/>
      <c r="S264" s="296"/>
      <c r="T264" s="297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88"/>
      <c r="C265" s="288"/>
      <c r="D265" s="288"/>
      <c r="E265" s="288"/>
      <c r="F265" s="288"/>
      <c r="G265" s="288"/>
      <c r="H265" s="288"/>
      <c r="I265" s="288"/>
      <c r="J265" s="288"/>
      <c r="K265" s="288"/>
      <c r="L265" s="288"/>
      <c r="M265" s="288"/>
      <c r="N265" s="288"/>
      <c r="O265" s="299"/>
      <c r="P265" s="284" t="s">
        <v>86</v>
      </c>
      <c r="Q265" s="285"/>
      <c r="R265" s="285"/>
      <c r="S265" s="285"/>
      <c r="T265" s="285"/>
      <c r="U265" s="285"/>
      <c r="V265" s="286"/>
      <c r="W265" s="37" t="s">
        <v>67</v>
      </c>
      <c r="X265" s="280">
        <f>IFERROR(SUM(X262:X264),"0")</f>
        <v>192</v>
      </c>
      <c r="Y265" s="280">
        <f>IFERROR(SUM(Y262:Y264),"0")</f>
        <v>192</v>
      </c>
      <c r="Z265" s="280">
        <f>IFERROR(IF(Z262="",0,Z262),"0")+IFERROR(IF(Z263="",0,Z263),"0")+IFERROR(IF(Z264="",0,Z264),"0")</f>
        <v>2.976</v>
      </c>
      <c r="AA265" s="281"/>
      <c r="AB265" s="281"/>
      <c r="AC265" s="281"/>
    </row>
    <row r="266" spans="1:68" x14ac:dyDescent="0.2">
      <c r="A266" s="288"/>
      <c r="B266" s="288"/>
      <c r="C266" s="288"/>
      <c r="D266" s="288"/>
      <c r="E266" s="288"/>
      <c r="F266" s="288"/>
      <c r="G266" s="288"/>
      <c r="H266" s="288"/>
      <c r="I266" s="288"/>
      <c r="J266" s="288"/>
      <c r="K266" s="288"/>
      <c r="L266" s="288"/>
      <c r="M266" s="288"/>
      <c r="N266" s="288"/>
      <c r="O266" s="299"/>
      <c r="P266" s="284" t="s">
        <v>86</v>
      </c>
      <c r="Q266" s="285"/>
      <c r="R266" s="285"/>
      <c r="S266" s="285"/>
      <c r="T266" s="285"/>
      <c r="U266" s="285"/>
      <c r="V266" s="286"/>
      <c r="W266" s="37" t="s">
        <v>87</v>
      </c>
      <c r="X266" s="280">
        <f>IFERROR(SUMPRODUCT(X262:X264*H262:H264),"0")</f>
        <v>960</v>
      </c>
      <c r="Y266" s="280">
        <f>IFERROR(SUMPRODUCT(Y262:Y264*H262:H264),"0")</f>
        <v>960</v>
      </c>
      <c r="Z266" s="37"/>
      <c r="AA266" s="281"/>
      <c r="AB266" s="281"/>
      <c r="AC266" s="281"/>
    </row>
    <row r="267" spans="1:68" ht="14.25" hidden="1" customHeight="1" x14ac:dyDescent="0.25">
      <c r="A267" s="324" t="s">
        <v>152</v>
      </c>
      <c r="B267" s="288"/>
      <c r="C267" s="288"/>
      <c r="D267" s="288"/>
      <c r="E267" s="288"/>
      <c r="F267" s="288"/>
      <c r="G267" s="288"/>
      <c r="H267" s="288"/>
      <c r="I267" s="288"/>
      <c r="J267" s="288"/>
      <c r="K267" s="288"/>
      <c r="L267" s="288"/>
      <c r="M267" s="288"/>
      <c r="N267" s="288"/>
      <c r="O267" s="288"/>
      <c r="P267" s="288"/>
      <c r="Q267" s="288"/>
      <c r="R267" s="288"/>
      <c r="S267" s="288"/>
      <c r="T267" s="288"/>
      <c r="U267" s="288"/>
      <c r="V267" s="288"/>
      <c r="W267" s="288"/>
      <c r="X267" s="288"/>
      <c r="Y267" s="288"/>
      <c r="Z267" s="288"/>
      <c r="AA267" s="274"/>
      <c r="AB267" s="274"/>
      <c r="AC267" s="274"/>
    </row>
    <row r="268" spans="1:68" ht="16.5" customHeight="1" x14ac:dyDescent="0.25">
      <c r="A268" s="54" t="s">
        <v>353</v>
      </c>
      <c r="B268" s="54" t="s">
        <v>354</v>
      </c>
      <c r="C268" s="31">
        <v>4301137066</v>
      </c>
      <c r="D268" s="291">
        <v>4620207492109</v>
      </c>
      <c r="E268" s="292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86" t="s">
        <v>355</v>
      </c>
      <c r="Q268" s="296"/>
      <c r="R268" s="296"/>
      <c r="S268" s="296"/>
      <c r="T268" s="297"/>
      <c r="U268" s="34"/>
      <c r="V268" s="34"/>
      <c r="W268" s="35" t="s">
        <v>67</v>
      </c>
      <c r="X268" s="278">
        <v>36</v>
      </c>
      <c r="Y268" s="279">
        <f t="shared" ref="Y268:Y277" si="18">IFERROR(IF(X268="","",X268),"")</f>
        <v>36</v>
      </c>
      <c r="Z268" s="36">
        <f>IFERROR(IF(X268="","",X268*0.0155),"")</f>
        <v>0.55800000000000005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206.46</v>
      </c>
      <c r="BN268" s="67">
        <f t="shared" ref="BN268:BN277" si="20">IFERROR(Y268*I268,"0")</f>
        <v>206.46</v>
      </c>
      <c r="BO268" s="67">
        <f t="shared" ref="BO268:BO277" si="21">IFERROR(X268/J268,"0")</f>
        <v>0.42857142857142855</v>
      </c>
      <c r="BP268" s="67">
        <f t="shared" ref="BP268:BP277" si="22">IFERROR(Y268/J268,"0")</f>
        <v>0.42857142857142855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91">
        <v>4620207492161</v>
      </c>
      <c r="E269" s="292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5" t="s">
        <v>359</v>
      </c>
      <c r="Q269" s="296"/>
      <c r="R269" s="296"/>
      <c r="S269" s="296"/>
      <c r="T269" s="297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361</v>
      </c>
      <c r="B270" s="54" t="s">
        <v>362</v>
      </c>
      <c r="C270" s="31">
        <v>4301137046</v>
      </c>
      <c r="D270" s="291">
        <v>4620207492093</v>
      </c>
      <c r="E270" s="292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5" t="s">
        <v>363</v>
      </c>
      <c r="Q270" s="296"/>
      <c r="R270" s="296"/>
      <c r="S270" s="296"/>
      <c r="T270" s="297"/>
      <c r="U270" s="34"/>
      <c r="V270" s="34"/>
      <c r="W270" s="35" t="s">
        <v>67</v>
      </c>
      <c r="X270" s="278">
        <v>0</v>
      </c>
      <c r="Y270" s="279">
        <f t="shared" si="18"/>
        <v>0</v>
      </c>
      <c r="Z270" s="36">
        <f>IFERROR(IF(X270="","",X270*0.00936),"")</f>
        <v>0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91">
        <v>4620207492222</v>
      </c>
      <c r="E271" s="292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38" t="s">
        <v>367</v>
      </c>
      <c r="Q271" s="296"/>
      <c r="R271" s="296"/>
      <c r="S271" s="296"/>
      <c r="T271" s="297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4301137074</v>
      </c>
      <c r="D272" s="291">
        <v>4620207492116</v>
      </c>
      <c r="E272" s="292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23" t="s">
        <v>370</v>
      </c>
      <c r="Q272" s="296"/>
      <c r="R272" s="296"/>
      <c r="S272" s="296"/>
      <c r="T272" s="297"/>
      <c r="U272" s="34"/>
      <c r="V272" s="34"/>
      <c r="W272" s="35" t="s">
        <v>67</v>
      </c>
      <c r="X272" s="278">
        <v>112</v>
      </c>
      <c r="Y272" s="279">
        <f t="shared" si="18"/>
        <v>112</v>
      </c>
      <c r="Z272" s="36">
        <f t="shared" ref="Z272:Z277" si="23">IFERROR(IF(X272="","",X272*0.00936),"")</f>
        <v>1.0483199999999999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357.50400000000002</v>
      </c>
      <c r="BN272" s="67">
        <f t="shared" si="20"/>
        <v>357.50400000000002</v>
      </c>
      <c r="BO272" s="67">
        <f t="shared" si="21"/>
        <v>0.88888888888888884</v>
      </c>
      <c r="BP272" s="67">
        <f t="shared" si="22"/>
        <v>0.88888888888888884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91">
        <v>4620207492123</v>
      </c>
      <c r="E273" s="292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70" t="s">
        <v>373</v>
      </c>
      <c r="Q273" s="296"/>
      <c r="R273" s="296"/>
      <c r="S273" s="296"/>
      <c r="T273" s="297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91">
        <v>4620207492130</v>
      </c>
      <c r="E274" s="292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3" t="s">
        <v>376</v>
      </c>
      <c r="Q274" s="296"/>
      <c r="R274" s="296"/>
      <c r="S274" s="296"/>
      <c r="T274" s="297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91">
        <v>4620207491942</v>
      </c>
      <c r="E275" s="292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51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96"/>
      <c r="R275" s="296"/>
      <c r="S275" s="296"/>
      <c r="T275" s="297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91">
        <v>4620207491911</v>
      </c>
      <c r="E276" s="292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4" t="s">
        <v>381</v>
      </c>
      <c r="Q276" s="296"/>
      <c r="R276" s="296"/>
      <c r="S276" s="296"/>
      <c r="T276" s="297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91">
        <v>4620207491935</v>
      </c>
      <c r="E277" s="292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84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96"/>
      <c r="R277" s="296"/>
      <c r="S277" s="296"/>
      <c r="T277" s="297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88"/>
      <c r="C278" s="288"/>
      <c r="D278" s="288"/>
      <c r="E278" s="288"/>
      <c r="F278" s="288"/>
      <c r="G278" s="288"/>
      <c r="H278" s="288"/>
      <c r="I278" s="288"/>
      <c r="J278" s="288"/>
      <c r="K278" s="288"/>
      <c r="L278" s="288"/>
      <c r="M278" s="288"/>
      <c r="N278" s="288"/>
      <c r="O278" s="299"/>
      <c r="P278" s="284" t="s">
        <v>86</v>
      </c>
      <c r="Q278" s="285"/>
      <c r="R278" s="285"/>
      <c r="S278" s="285"/>
      <c r="T278" s="285"/>
      <c r="U278" s="285"/>
      <c r="V278" s="286"/>
      <c r="W278" s="37" t="s">
        <v>67</v>
      </c>
      <c r="X278" s="280">
        <f>IFERROR(SUM(X268:X277),"0")</f>
        <v>148</v>
      </c>
      <c r="Y278" s="280">
        <f>IFERROR(SUM(Y268:Y277),"0")</f>
        <v>148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1.60632</v>
      </c>
      <c r="AA278" s="281"/>
      <c r="AB278" s="281"/>
      <c r="AC278" s="281"/>
    </row>
    <row r="279" spans="1:68" x14ac:dyDescent="0.2">
      <c r="A279" s="288"/>
      <c r="B279" s="288"/>
      <c r="C279" s="288"/>
      <c r="D279" s="288"/>
      <c r="E279" s="288"/>
      <c r="F279" s="288"/>
      <c r="G279" s="288"/>
      <c r="H279" s="288"/>
      <c r="I279" s="288"/>
      <c r="J279" s="288"/>
      <c r="K279" s="288"/>
      <c r="L279" s="288"/>
      <c r="M279" s="288"/>
      <c r="N279" s="288"/>
      <c r="O279" s="299"/>
      <c r="P279" s="284" t="s">
        <v>86</v>
      </c>
      <c r="Q279" s="285"/>
      <c r="R279" s="285"/>
      <c r="S279" s="285"/>
      <c r="T279" s="285"/>
      <c r="U279" s="285"/>
      <c r="V279" s="286"/>
      <c r="W279" s="37" t="s">
        <v>87</v>
      </c>
      <c r="X279" s="280">
        <f>IFERROR(SUMPRODUCT(X268:X277*H268:H277),"0")</f>
        <v>534</v>
      </c>
      <c r="Y279" s="280">
        <f>IFERROR(SUMPRODUCT(Y268:Y277*H268:H277),"0")</f>
        <v>534</v>
      </c>
      <c r="Z279" s="37"/>
      <c r="AA279" s="281"/>
      <c r="AB279" s="281"/>
      <c r="AC279" s="281"/>
    </row>
    <row r="280" spans="1:68" ht="15" customHeight="1" x14ac:dyDescent="0.2">
      <c r="A280" s="472"/>
      <c r="B280" s="288"/>
      <c r="C280" s="288"/>
      <c r="D280" s="288"/>
      <c r="E280" s="288"/>
      <c r="F280" s="288"/>
      <c r="G280" s="288"/>
      <c r="H280" s="288"/>
      <c r="I280" s="288"/>
      <c r="J280" s="288"/>
      <c r="K280" s="288"/>
      <c r="L280" s="288"/>
      <c r="M280" s="288"/>
      <c r="N280" s="288"/>
      <c r="O280" s="314"/>
      <c r="P280" s="350" t="s">
        <v>384</v>
      </c>
      <c r="Q280" s="309"/>
      <c r="R280" s="309"/>
      <c r="S280" s="309"/>
      <c r="T280" s="309"/>
      <c r="U280" s="309"/>
      <c r="V280" s="310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9704.36</v>
      </c>
      <c r="Y280" s="280">
        <f>IFERROR(Y31+Y35+Y41+Y48+Y54+Y62+Y71+Y77+Y82+Y88+Y98+Y104+Y115+Y119+Y123+Y128+Y135+Y141+Y147+Y153+Y159+Y164+Y169+Y174+Y180+Y184+Y190+Y195+Y204+Y210+Y216+Y222+Y227+Y233+Y239+Y243+Y249+Y253+Y260+Y266+Y279,"0")</f>
        <v>9704.36</v>
      </c>
      <c r="Z280" s="37"/>
      <c r="AA280" s="281"/>
      <c r="AB280" s="281"/>
      <c r="AC280" s="281"/>
    </row>
    <row r="281" spans="1:68" x14ac:dyDescent="0.2">
      <c r="A281" s="288"/>
      <c r="B281" s="288"/>
      <c r="C281" s="288"/>
      <c r="D281" s="288"/>
      <c r="E281" s="288"/>
      <c r="F281" s="288"/>
      <c r="G281" s="288"/>
      <c r="H281" s="288"/>
      <c r="I281" s="288"/>
      <c r="J281" s="288"/>
      <c r="K281" s="288"/>
      <c r="L281" s="288"/>
      <c r="M281" s="288"/>
      <c r="N281" s="288"/>
      <c r="O281" s="314"/>
      <c r="P281" s="350" t="s">
        <v>385</v>
      </c>
      <c r="Q281" s="309"/>
      <c r="R281" s="309"/>
      <c r="S281" s="309"/>
      <c r="T281" s="309"/>
      <c r="U281" s="309"/>
      <c r="V281" s="310"/>
      <c r="W281" s="37" t="s">
        <v>87</v>
      </c>
      <c r="X281" s="280">
        <f>IFERROR(SUM(BM22:BM277),"0")</f>
        <v>11023.553600000003</v>
      </c>
      <c r="Y281" s="280">
        <f>IFERROR(SUM(BN22:BN277),"0")</f>
        <v>11023.553600000003</v>
      </c>
      <c r="Z281" s="37"/>
      <c r="AA281" s="281"/>
      <c r="AB281" s="281"/>
      <c r="AC281" s="281"/>
    </row>
    <row r="282" spans="1:68" x14ac:dyDescent="0.2">
      <c r="A282" s="288"/>
      <c r="B282" s="288"/>
      <c r="C282" s="288"/>
      <c r="D282" s="288"/>
      <c r="E282" s="288"/>
      <c r="F282" s="288"/>
      <c r="G282" s="288"/>
      <c r="H282" s="288"/>
      <c r="I282" s="288"/>
      <c r="J282" s="288"/>
      <c r="K282" s="288"/>
      <c r="L282" s="288"/>
      <c r="M282" s="288"/>
      <c r="N282" s="288"/>
      <c r="O282" s="314"/>
      <c r="P282" s="350" t="s">
        <v>386</v>
      </c>
      <c r="Q282" s="309"/>
      <c r="R282" s="309"/>
      <c r="S282" s="309"/>
      <c r="T282" s="309"/>
      <c r="U282" s="309"/>
      <c r="V282" s="310"/>
      <c r="W282" s="37" t="s">
        <v>387</v>
      </c>
      <c r="X282" s="38">
        <f>ROUNDUP(SUM(BO22:BO277),0)</f>
        <v>34</v>
      </c>
      <c r="Y282" s="38">
        <f>ROUNDUP(SUM(BP22:BP277),0)</f>
        <v>34</v>
      </c>
      <c r="Z282" s="37"/>
      <c r="AA282" s="281"/>
      <c r="AB282" s="281"/>
      <c r="AC282" s="281"/>
    </row>
    <row r="283" spans="1:68" x14ac:dyDescent="0.2">
      <c r="A283" s="288"/>
      <c r="B283" s="288"/>
      <c r="C283" s="288"/>
      <c r="D283" s="288"/>
      <c r="E283" s="288"/>
      <c r="F283" s="288"/>
      <c r="G283" s="288"/>
      <c r="H283" s="288"/>
      <c r="I283" s="288"/>
      <c r="J283" s="288"/>
      <c r="K283" s="288"/>
      <c r="L283" s="288"/>
      <c r="M283" s="288"/>
      <c r="N283" s="288"/>
      <c r="O283" s="314"/>
      <c r="P283" s="350" t="s">
        <v>388</v>
      </c>
      <c r="Q283" s="309"/>
      <c r="R283" s="309"/>
      <c r="S283" s="309"/>
      <c r="T283" s="309"/>
      <c r="U283" s="309"/>
      <c r="V283" s="310"/>
      <c r="W283" s="37" t="s">
        <v>87</v>
      </c>
      <c r="X283" s="280">
        <f>GrossWeightTotal+PalletQtyTotal*25</f>
        <v>11873.553600000003</v>
      </c>
      <c r="Y283" s="280">
        <f>GrossWeightTotalR+PalletQtyTotalR*25</f>
        <v>11873.553600000003</v>
      </c>
      <c r="Z283" s="37"/>
      <c r="AA283" s="281"/>
      <c r="AB283" s="281"/>
      <c r="AC283" s="281"/>
    </row>
    <row r="284" spans="1:68" x14ac:dyDescent="0.2">
      <c r="A284" s="288"/>
      <c r="B284" s="288"/>
      <c r="C284" s="288"/>
      <c r="D284" s="288"/>
      <c r="E284" s="288"/>
      <c r="F284" s="288"/>
      <c r="G284" s="288"/>
      <c r="H284" s="288"/>
      <c r="I284" s="288"/>
      <c r="J284" s="288"/>
      <c r="K284" s="288"/>
      <c r="L284" s="288"/>
      <c r="M284" s="288"/>
      <c r="N284" s="288"/>
      <c r="O284" s="314"/>
      <c r="P284" s="350" t="s">
        <v>389</v>
      </c>
      <c r="Q284" s="309"/>
      <c r="R284" s="309"/>
      <c r="S284" s="309"/>
      <c r="T284" s="309"/>
      <c r="U284" s="309"/>
      <c r="V284" s="310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2994</v>
      </c>
      <c r="Y284" s="280">
        <f>IFERROR(Y30+Y34+Y40+Y47+Y53+Y61+Y70+Y76+Y81+Y87+Y97+Y103+Y114+Y118+Y122+Y127+Y134+Y140+Y146+Y152+Y158+Y163+Y168+Y173+Y179+Y183+Y189+Y194+Y203+Y209+Y215+Y221+Y226+Y232+Y238+Y242+Y248+Y252+Y259+Y265+Y278,"0")</f>
        <v>2994</v>
      </c>
      <c r="Z284" s="37"/>
      <c r="AA284" s="281"/>
      <c r="AB284" s="281"/>
      <c r="AC284" s="281"/>
    </row>
    <row r="285" spans="1:68" ht="14.25" hidden="1" customHeight="1" x14ac:dyDescent="0.2">
      <c r="A285" s="288"/>
      <c r="B285" s="288"/>
      <c r="C285" s="288"/>
      <c r="D285" s="288"/>
      <c r="E285" s="288"/>
      <c r="F285" s="288"/>
      <c r="G285" s="288"/>
      <c r="H285" s="288"/>
      <c r="I285" s="288"/>
      <c r="J285" s="288"/>
      <c r="K285" s="288"/>
      <c r="L285" s="288"/>
      <c r="M285" s="288"/>
      <c r="N285" s="288"/>
      <c r="O285" s="314"/>
      <c r="P285" s="350" t="s">
        <v>390</v>
      </c>
      <c r="Q285" s="309"/>
      <c r="R285" s="309"/>
      <c r="S285" s="309"/>
      <c r="T285" s="309"/>
      <c r="U285" s="309"/>
      <c r="V285" s="310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42.058659999999996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2" t="s">
        <v>60</v>
      </c>
      <c r="C287" s="330"/>
      <c r="D287" s="282" t="s">
        <v>99</v>
      </c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30"/>
      <c r="V287" s="282" t="s">
        <v>261</v>
      </c>
      <c r="W287" s="349"/>
      <c r="X287" s="330"/>
      <c r="Y287" s="275" t="s">
        <v>279</v>
      </c>
      <c r="Z287" s="282" t="s">
        <v>293</v>
      </c>
      <c r="AA287" s="349"/>
      <c r="AB287" s="330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53" t="s">
        <v>393</v>
      </c>
      <c r="B288" s="282" t="s">
        <v>60</v>
      </c>
      <c r="C288" s="282" t="s">
        <v>93</v>
      </c>
      <c r="D288" s="282" t="s">
        <v>100</v>
      </c>
      <c r="E288" s="282" t="s">
        <v>111</v>
      </c>
      <c r="F288" s="282" t="s">
        <v>118</v>
      </c>
      <c r="G288" s="282" t="s">
        <v>129</v>
      </c>
      <c r="H288" s="282" t="s">
        <v>144</v>
      </c>
      <c r="I288" s="282" t="s">
        <v>151</v>
      </c>
      <c r="J288" s="282" t="s">
        <v>156</v>
      </c>
      <c r="K288" s="282" t="s">
        <v>164</v>
      </c>
      <c r="L288" s="282" t="s">
        <v>179</v>
      </c>
      <c r="M288" s="282" t="s">
        <v>186</v>
      </c>
      <c r="N288" s="276"/>
      <c r="O288" s="282" t="s">
        <v>212</v>
      </c>
      <c r="P288" s="282" t="s">
        <v>233</v>
      </c>
      <c r="Q288" s="282" t="s">
        <v>239</v>
      </c>
      <c r="R288" s="282" t="s">
        <v>245</v>
      </c>
      <c r="S288" s="282" t="s">
        <v>251</v>
      </c>
      <c r="T288" s="282" t="s">
        <v>254</v>
      </c>
      <c r="U288" s="282" t="s">
        <v>258</v>
      </c>
      <c r="V288" s="282" t="s">
        <v>262</v>
      </c>
      <c r="W288" s="282" t="s">
        <v>269</v>
      </c>
      <c r="X288" s="282" t="s">
        <v>276</v>
      </c>
      <c r="Y288" s="282" t="s">
        <v>280</v>
      </c>
      <c r="Z288" s="282" t="s">
        <v>294</v>
      </c>
      <c r="AA288" s="282" t="s">
        <v>307</v>
      </c>
      <c r="AB288" s="282" t="s">
        <v>314</v>
      </c>
      <c r="AC288" s="282" t="s">
        <v>319</v>
      </c>
      <c r="AD288" s="282" t="s">
        <v>324</v>
      </c>
      <c r="AE288" s="282" t="s">
        <v>331</v>
      </c>
      <c r="AF288" s="282" t="s">
        <v>262</v>
      </c>
    </row>
    <row r="289" spans="1:32" ht="13.5" customHeight="1" thickBot="1" x14ac:dyDescent="0.25">
      <c r="A289" s="354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542.40000000000009</v>
      </c>
      <c r="C290" s="46">
        <f>IFERROR(X38*H38,"0")+IFERROR(X39*H39,"0")</f>
        <v>0</v>
      </c>
      <c r="D290" s="46">
        <f>IFERROR(X45*H45,"0")+IFERROR(X46*H46,"0")</f>
        <v>294</v>
      </c>
      <c r="E290" s="46">
        <f>IFERROR(X51*H51,"0")+IFERROR(X52*H52,"0")</f>
        <v>201.6</v>
      </c>
      <c r="F290" s="46">
        <f>IFERROR(X57*H57,"0")+IFERROR(X58*H58,"0")+IFERROR(X59*H59,"0")+IFERROR(X60*H60,"0")</f>
        <v>84</v>
      </c>
      <c r="G290" s="46">
        <f>IFERROR(X65*H65,"0")+IFERROR(X66*H66,"0")+IFERROR(X67*H67,"0")+IFERROR(X68*H68,"0")+IFERROR(X69*H69,"0")</f>
        <v>0</v>
      </c>
      <c r="H290" s="46">
        <f>IFERROR(X74*H74,"0")+IFERROR(X75*H75,"0")</f>
        <v>540</v>
      </c>
      <c r="I290" s="46">
        <f>IFERROR(X80*H80,"0")</f>
        <v>0</v>
      </c>
      <c r="J290" s="46">
        <f>IFERROR(X85*H85,"0")+IFERROR(X86*H86,"0")</f>
        <v>403.2</v>
      </c>
      <c r="K290" s="46">
        <f>IFERROR(X91*H91,"0")+IFERROR(X92*H92,"0")+IFERROR(X93*H93,"0")+IFERROR(X94*H94,"0")+IFERROR(X95*H95,"0")+IFERROR(X96*H96,"0")</f>
        <v>1128.96</v>
      </c>
      <c r="L290" s="46">
        <f>IFERROR(X101*H101,"0")+IFERROR(X102*H102,"0")</f>
        <v>90.72</v>
      </c>
      <c r="M290" s="46">
        <f>IFERROR(X107*H107,"0")+IFERROR(X108*H108,"0")+IFERROR(X109*H109,"0")+IFERROR(X110*H110,"0")+IFERROR(X111*H111,"0")+IFERROR(X112*H112,"0")+IFERROR(X113*H113,"0")+IFERROR(X117*H117,"0")+IFERROR(X121*H121,"0")</f>
        <v>526.56000000000006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779.5200000000001</v>
      </c>
      <c r="P290" s="46">
        <f>IFERROR(X144*H144,"0")+IFERROR(X145*H145,"0")</f>
        <v>798</v>
      </c>
      <c r="Q290" s="46">
        <f>IFERROR(X150*H150,"0")+IFERROR(X151*H151,"0")</f>
        <v>294</v>
      </c>
      <c r="R290" s="46">
        <f>IFERROR(X156*H156,"0")+IFERROR(X157*H157,"0")</f>
        <v>168</v>
      </c>
      <c r="S290" s="46">
        <f>IFERROR(X162*H162,"0")</f>
        <v>126</v>
      </c>
      <c r="T290" s="46">
        <f>IFERROR(X167*H167,"0")</f>
        <v>75.600000000000009</v>
      </c>
      <c r="U290" s="46">
        <f>IFERROR(X172*H172,"0")</f>
        <v>0</v>
      </c>
      <c r="V290" s="46">
        <f>IFERROR(X178*H178,"0")+IFERROR(X182*H182,"0")</f>
        <v>722.6</v>
      </c>
      <c r="W290" s="46">
        <f>IFERROR(X187*H187,"0")+IFERROR(X188*H188,"0")</f>
        <v>0</v>
      </c>
      <c r="X290" s="46">
        <f>IFERROR(X193*H193,"0")</f>
        <v>360</v>
      </c>
      <c r="Y290" s="46">
        <f>IFERROR(X199*H199,"0")+IFERROR(X200*H200,"0")+IFERROR(X201*H201,"0")+IFERROR(X202*H202,"0")</f>
        <v>532.55999999999995</v>
      </c>
      <c r="Z290" s="46">
        <f>IFERROR(X208*H208,"0")+IFERROR(X212*H212,"0")+IFERROR(X213*H213,"0")+IFERROR(X214*H214,"0")</f>
        <v>38.64</v>
      </c>
      <c r="AA290" s="46">
        <f>IFERROR(X219*H219,"0")+IFERROR(X220*H220,"0")</f>
        <v>0</v>
      </c>
      <c r="AB290" s="46">
        <f>IFERROR(X225*H225,"0")</f>
        <v>420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1578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2721.6</v>
      </c>
      <c r="B293" s="60">
        <f>SUMPRODUCT(--(BB:BB="ПГП"),--(W:W="кор"),H:H,Y:Y)+SUMPRODUCT(--(BB:BB="ПГП"),--(W:W="кг"),Y:Y)</f>
        <v>6982.7600000000011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8,96"/>
        <filter val="108,00"/>
        <filter val="11 023,55"/>
        <filter val="11 873,55"/>
        <filter val="112,00"/>
        <filter val="12,00"/>
        <filter val="126,00"/>
        <filter val="14,00"/>
        <filter val="140,00"/>
        <filter val="148,00"/>
        <filter val="15,12"/>
        <filter val="168,00"/>
        <filter val="182,00"/>
        <filter val="192,00"/>
        <filter val="196,00"/>
        <filter val="2 994,00"/>
        <filter val="201,60"/>
        <filter val="216,00"/>
        <filter val="24,00"/>
        <filter val="266,00"/>
        <filter val="28,00"/>
        <filter val="294,00"/>
        <filter val="326,40"/>
        <filter val="34"/>
        <filter val="36,00"/>
        <filter val="36,96"/>
        <filter val="360,00"/>
        <filter val="362,60"/>
        <filter val="378,00"/>
        <filter val="38,64"/>
        <filter val="403,20"/>
        <filter val="42,00"/>
        <filter val="420,00"/>
        <filter val="48,00"/>
        <filter val="489,60"/>
        <filter val="532,56"/>
        <filter val="534,00"/>
        <filter val="540,00"/>
        <filter val="56,00"/>
        <filter val="560,00"/>
        <filter val="60,00"/>
        <filter val="70,00"/>
        <filter val="72,00"/>
        <filter val="75,60"/>
        <filter val="764,40"/>
        <filter val="798,00"/>
        <filter val="84,00"/>
        <filter val="9 704,36"/>
        <filter val="90,72"/>
        <filter val="960,00"/>
        <filter val="98,00"/>
      </filters>
    </filterColumn>
    <filterColumn colId="29" showButton="0"/>
    <filterColumn colId="30" showButton="0"/>
  </autoFilter>
  <mergeCells count="509">
    <mergeCell ref="P285:V285"/>
    <mergeCell ref="P25:T25"/>
    <mergeCell ref="A215:O216"/>
    <mergeCell ref="P85:T85"/>
    <mergeCell ref="P60:T60"/>
    <mergeCell ref="D95:E95"/>
    <mergeCell ref="U17:V17"/>
    <mergeCell ref="P281:V281"/>
    <mergeCell ref="D276:E276"/>
    <mergeCell ref="A280:O285"/>
    <mergeCell ref="P103:V103"/>
    <mergeCell ref="A155:Z155"/>
    <mergeCell ref="P134:V134"/>
    <mergeCell ref="P97:V97"/>
    <mergeCell ref="P265:V265"/>
    <mergeCell ref="D277:E277"/>
    <mergeCell ref="A252:O253"/>
    <mergeCell ref="A244:Z244"/>
    <mergeCell ref="P112:T112"/>
    <mergeCell ref="D58:E58"/>
    <mergeCell ref="A116:Z116"/>
    <mergeCell ref="D231:E231"/>
    <mergeCell ref="P70:V70"/>
    <mergeCell ref="P202:T202"/>
    <mergeCell ref="X17:X18"/>
    <mergeCell ref="A163:O164"/>
    <mergeCell ref="P58:T58"/>
    <mergeCell ref="D110:E110"/>
    <mergeCell ref="P216:V216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N17:N18"/>
    <mergeCell ref="Q5:R5"/>
    <mergeCell ref="P199:T199"/>
    <mergeCell ref="D237:E237"/>
    <mergeCell ref="P247:T247"/>
    <mergeCell ref="P241:T241"/>
    <mergeCell ref="A9:C9"/>
    <mergeCell ref="D202:E202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15:M15"/>
    <mergeCell ref="A61:O62"/>
    <mergeCell ref="D201:E201"/>
    <mergeCell ref="D68:E68"/>
    <mergeCell ref="D188:E188"/>
    <mergeCell ref="P61:V61"/>
    <mergeCell ref="P48:V48"/>
    <mergeCell ref="A100:Z100"/>
    <mergeCell ref="A171:Z171"/>
    <mergeCell ref="Y17:Y18"/>
    <mergeCell ref="D57:E57"/>
    <mergeCell ref="P163:V163"/>
    <mergeCell ref="P151:T151"/>
    <mergeCell ref="P76:V76"/>
    <mergeCell ref="P126:T126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A106:Z106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R288:R289"/>
    <mergeCell ref="D51:E51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D269:E269"/>
    <mergeCell ref="A221:O222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232:O233"/>
    <mergeCell ref="A198:Z198"/>
    <mergeCell ref="A207:Z207"/>
    <mergeCell ref="D288:D289"/>
    <mergeCell ref="D39:E39"/>
    <mergeCell ref="V6:W9"/>
    <mergeCell ref="D80:E80"/>
    <mergeCell ref="P188:T188"/>
    <mergeCell ref="P123:V123"/>
    <mergeCell ref="P59:T59"/>
    <mergeCell ref="P130:T130"/>
    <mergeCell ref="P46:T46"/>
    <mergeCell ref="A114:O115"/>
    <mergeCell ref="P111:T111"/>
    <mergeCell ref="T6:U9"/>
    <mergeCell ref="A30:O31"/>
    <mergeCell ref="Q10:R10"/>
    <mergeCell ref="A37:Z37"/>
    <mergeCell ref="D137:E137"/>
    <mergeCell ref="D74:E74"/>
    <mergeCell ref="D130:E130"/>
    <mergeCell ref="Q13:R13"/>
    <mergeCell ref="P139:T139"/>
    <mergeCell ref="P47:V47"/>
    <mergeCell ref="M17:M18"/>
    <mergeCell ref="O17:O18"/>
    <mergeCell ref="P102:T102"/>
    <mergeCell ref="A185:Z185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J288:J289"/>
    <mergeCell ref="X288:X289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P253:V253"/>
    <mergeCell ref="P204:V204"/>
    <mergeCell ref="P82:V82"/>
    <mergeCell ref="P132:T132"/>
    <mergeCell ref="A122:O123"/>
    <mergeCell ref="A44:Z44"/>
    <mergeCell ref="P146:V146"/>
    <mergeCell ref="P273:T273"/>
    <mergeCell ref="D145:E145"/>
    <mergeCell ref="A218:Z218"/>
    <mergeCell ref="D112:E112"/>
    <mergeCell ref="D193:E193"/>
    <mergeCell ref="P201:T201"/>
    <mergeCell ref="A235:Z235"/>
    <mergeCell ref="P189:V189"/>
    <mergeCell ref="A90:Z90"/>
    <mergeCell ref="P96:T96"/>
    <mergeCell ref="P104:V104"/>
    <mergeCell ref="D75:E75"/>
    <mergeCell ref="P91:T91"/>
    <mergeCell ref="D268:E268"/>
    <mergeCell ref="A255:Z255"/>
    <mergeCell ref="A217:Z217"/>
    <mergeCell ref="A242:O243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Q9:R9"/>
    <mergeCell ref="A32:Z32"/>
    <mergeCell ref="P278:V278"/>
    <mergeCell ref="D24:E24"/>
    <mergeCell ref="Q11:R11"/>
    <mergeCell ref="A6:C6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P279:V279"/>
    <mergeCell ref="P280:V280"/>
    <mergeCell ref="P275:T275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A165:Z165"/>
    <mergeCell ref="P113:T113"/>
    <mergeCell ref="A229:Z229"/>
    <mergeCell ref="P271:T271"/>
    <mergeCell ref="P94:T94"/>
    <mergeCell ref="D208:E208"/>
    <mergeCell ref="D8:M8"/>
    <mergeCell ref="P237:T237"/>
    <mergeCell ref="P180:V180"/>
    <mergeCell ref="D139:E139"/>
    <mergeCell ref="P118:V118"/>
    <mergeCell ref="A228:Z228"/>
    <mergeCell ref="P95:T95"/>
    <mergeCell ref="A99:Z99"/>
    <mergeCell ref="P179:V179"/>
    <mergeCell ref="P141:V141"/>
    <mergeCell ref="A140:O141"/>
    <mergeCell ref="P233:V233"/>
    <mergeCell ref="P168:V168"/>
    <mergeCell ref="B17:B18"/>
    <mergeCell ref="P248:V248"/>
    <mergeCell ref="D108:E108"/>
    <mergeCell ref="P258:T258"/>
    <mergeCell ref="P52:T52"/>
    <mergeCell ref="A148:Z148"/>
    <mergeCell ref="A53:O54"/>
    <mergeCell ref="A166:Z166"/>
    <mergeCell ref="A120:Z120"/>
    <mergeCell ref="D96:E96"/>
    <mergeCell ref="P208:T208"/>
    <mergeCell ref="A177:Z177"/>
    <mergeCell ref="P219:T219"/>
    <mergeCell ref="D91:E91"/>
    <mergeCell ref="D162:E162"/>
    <mergeCell ref="D7:M7"/>
    <mergeCell ref="P92:T92"/>
    <mergeCell ref="D144:E144"/>
    <mergeCell ref="A209:O210"/>
    <mergeCell ref="P29:T29"/>
    <mergeCell ref="A97:O98"/>
    <mergeCell ref="D113:E113"/>
    <mergeCell ref="Q12:R12"/>
    <mergeCell ref="A17:A18"/>
    <mergeCell ref="K17:K18"/>
    <mergeCell ref="C17:C18"/>
    <mergeCell ref="D9:E9"/>
    <mergeCell ref="F9:G9"/>
    <mergeCell ref="D38:E38"/>
    <mergeCell ref="J9:M9"/>
    <mergeCell ref="P30:V30"/>
    <mergeCell ref="H17:H18"/>
    <mergeCell ref="P172:T172"/>
    <mergeCell ref="A158:O159"/>
    <mergeCell ref="P150:T150"/>
    <mergeCell ref="P28:T28"/>
    <mergeCell ref="D187:E187"/>
    <mergeCell ref="P144:T144"/>
    <mergeCell ref="P231:T231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P23:T23"/>
    <mergeCell ref="A79:Z79"/>
    <mergeCell ref="A55:Z55"/>
    <mergeCell ref="A87:O88"/>
    <mergeCell ref="P27:T27"/>
    <mergeCell ref="P41:V4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  <mergeCell ref="P272:T272"/>
    <mergeCell ref="D156:E156"/>
    <mergeCell ref="A146:O147"/>
    <mergeCell ref="D264:E26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