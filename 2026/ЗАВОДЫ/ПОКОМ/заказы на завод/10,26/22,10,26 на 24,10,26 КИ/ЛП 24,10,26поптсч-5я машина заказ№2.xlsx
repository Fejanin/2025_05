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E05BD5-63E5-4B0F-85EB-9995E89D9A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1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Z369" i="2" l="1"/>
  <c r="BN369" i="2"/>
  <c r="Z165" i="2"/>
  <c r="BN165" i="2"/>
  <c r="Z451" i="2"/>
  <c r="Z70" i="2"/>
  <c r="BP214" i="2"/>
  <c r="Y215" i="2"/>
  <c r="Y216" i="2"/>
  <c r="Z309" i="2"/>
  <c r="Z310" i="2" s="1"/>
  <c r="BN309" i="2"/>
  <c r="BP309" i="2"/>
  <c r="Y310" i="2"/>
  <c r="BP517" i="2"/>
  <c r="BP61" i="2"/>
  <c r="Z107" i="2"/>
  <c r="BN107" i="2"/>
  <c r="Z119" i="2"/>
  <c r="BN119" i="2"/>
  <c r="BP123" i="2"/>
  <c r="BP189" i="2"/>
  <c r="BP237" i="2"/>
  <c r="Z389" i="2"/>
  <c r="BN389" i="2"/>
  <c r="Z397" i="2"/>
  <c r="Z424" i="2"/>
  <c r="Z462" i="2"/>
  <c r="BN462" i="2"/>
  <c r="Y131" i="2"/>
  <c r="Z65" i="2"/>
  <c r="Z154" i="2"/>
  <c r="BN154" i="2"/>
  <c r="BP206" i="2"/>
  <c r="Z222" i="2"/>
  <c r="BN222" i="2"/>
  <c r="BP244" i="2"/>
  <c r="BP270" i="2"/>
  <c r="BP290" i="2"/>
  <c r="Z353" i="2"/>
  <c r="Z354" i="2" s="1"/>
  <c r="BN353" i="2"/>
  <c r="BP353" i="2"/>
  <c r="Y354" i="2"/>
  <c r="Y400" i="2"/>
  <c r="Z444" i="2"/>
  <c r="BP457" i="2"/>
  <c r="Z498" i="2"/>
  <c r="Z499" i="2" s="1"/>
  <c r="Y132" i="2"/>
  <c r="BP511" i="2"/>
  <c r="BN29" i="2"/>
  <c r="BN41" i="2"/>
  <c r="BN52" i="2"/>
  <c r="BN59" i="2"/>
  <c r="BN63" i="2"/>
  <c r="BP71" i="2"/>
  <c r="BN73" i="2"/>
  <c r="Z100" i="2"/>
  <c r="BN111" i="2"/>
  <c r="BP125" i="2"/>
  <c r="BN130" i="2"/>
  <c r="BP145" i="2"/>
  <c r="BN146" i="2"/>
  <c r="Z152" i="2"/>
  <c r="Z175" i="2"/>
  <c r="BN177" i="2"/>
  <c r="Y186" i="2"/>
  <c r="BP183" i="2"/>
  <c r="BN184" i="2"/>
  <c r="Z188" i="2"/>
  <c r="BN188" i="2"/>
  <c r="BP188" i="2"/>
  <c r="Y191" i="2"/>
  <c r="Z220" i="2"/>
  <c r="BP224" i="2"/>
  <c r="BN225" i="2"/>
  <c r="Z229" i="2"/>
  <c r="BN229" i="2"/>
  <c r="Z230" i="2"/>
  <c r="BN230" i="2"/>
  <c r="Z266" i="2"/>
  <c r="BN266" i="2"/>
  <c r="Z276" i="2"/>
  <c r="BN276" i="2"/>
  <c r="Z296" i="2"/>
  <c r="BN296" i="2"/>
  <c r="Z297" i="2"/>
  <c r="BN297" i="2"/>
  <c r="BN299" i="2"/>
  <c r="BP301" i="2"/>
  <c r="Z342" i="2"/>
  <c r="BN342" i="2"/>
  <c r="Y359" i="2"/>
  <c r="Z380" i="2"/>
  <c r="BN380" i="2"/>
  <c r="BP397" i="2"/>
  <c r="BN405" i="2"/>
  <c r="Z411" i="2"/>
  <c r="Z440" i="2"/>
  <c r="BN441" i="2"/>
  <c r="Z450" i="2"/>
  <c r="BP451" i="2"/>
  <c r="BP461" i="2"/>
  <c r="BN476" i="2"/>
  <c r="BN487" i="2"/>
  <c r="Z512" i="2"/>
  <c r="BN512" i="2"/>
  <c r="BN513" i="2"/>
  <c r="Z516" i="2"/>
  <c r="Z523" i="2"/>
  <c r="Z532" i="2"/>
  <c r="BN35" i="2"/>
  <c r="BN43" i="2"/>
  <c r="BN54" i="2"/>
  <c r="BN117" i="2"/>
  <c r="BN141" i="2"/>
  <c r="BN166" i="2"/>
  <c r="BN207" i="2"/>
  <c r="BN238" i="2"/>
  <c r="BN314" i="2"/>
  <c r="BP411" i="2"/>
  <c r="BN443" i="2"/>
  <c r="BN493" i="2"/>
  <c r="BN504" i="2"/>
  <c r="BP523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Z393" i="2" s="1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365" i="2" l="1"/>
  <c r="Z74" i="2"/>
  <c r="Z155" i="2"/>
  <c r="Z412" i="2"/>
  <c r="Z246" i="2"/>
  <c r="Z190" i="2"/>
  <c r="Z349" i="2"/>
  <c r="Z36" i="2"/>
  <c r="Z167" i="2"/>
  <c r="Z102" i="2"/>
  <c r="Z85" i="2"/>
  <c r="Z386" i="2"/>
  <c r="Z142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<sst xmlns="http://schemas.openxmlformats.org/spreadsheetml/2006/main" count="4249" uniqueCount="899">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</sst>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46319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Суббота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108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112.1</v>
      </c>
      <c r="BN51" s="78">
        <f>IFERROR(Y51*I51/H51,"0")</f>
        <v>112.1</v>
      </c>
      <c r="BO51" s="78">
        <f>IFERROR(1/J51*(X51/H51),"0")</f>
        <v>0.15625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10</v>
      </c>
      <c r="Y55" s="43">
        <f>IFERROR(Y51/H51,"0")+IFERROR(Y52/H52,"0")+IFERROR(Y53/H53,"0")+IFERROR(Y54/H54,"0")</f>
        <v>10</v>
      </c>
      <c r="Z55" s="43">
        <f>IFERROR(IF(Z51="",0,Z51),"0")+IFERROR(IF(Z52="",0,Z52),"0")+IFERROR(IF(Z53="",0,Z53),"0")+IFERROR(IF(Z54="",0,Z54),"0")</f>
        <v>0.1898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108</v>
      </c>
      <c r="Y56" s="43">
        <f>IFERROR(SUM(Y51:Y54),"0")</f>
        <v>108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33.6</v>
      </c>
      <c r="Y59" s="55">
        <f t="shared" ref="Y59:Y66" si="0">IFERROR(IF(X59="",0,CEILING((X59/$H59),1)*$H59),"")</f>
        <v>33.599999999999994</v>
      </c>
      <c r="Z59" s="41">
        <f>IFERROR(IF(Y59=0,"",ROUNDUP(Y59/H59,0)*0.01898),"")</f>
        <v>5.6940000000000004E-2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34.830000000000005</v>
      </c>
      <c r="BN59" s="78">
        <f t="shared" ref="BN59:BN66" si="2">IFERROR(Y59*I59/H59,"0")</f>
        <v>34.829999999999991</v>
      </c>
      <c r="BO59" s="78">
        <f t="shared" ref="BO59:BO66" si="3">IFERROR(1/J59*(X59/H59),"0")</f>
        <v>4.6875000000000007E-2</v>
      </c>
      <c r="BP59" s="78">
        <f t="shared" ref="BP59:BP66" si="4">IFERROR(1/J59*(Y59/H59),"0")</f>
        <v>4.6874999999999993E-2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691.2</v>
      </c>
      <c r="Y60" s="55">
        <f t="shared" si="0"/>
        <v>691.2</v>
      </c>
      <c r="Z60" s="41">
        <f>IFERROR(IF(Y60=0,"",ROUNDUP(Y60/H60,0)*0.01898),"")</f>
        <v>1.21472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717.44</v>
      </c>
      <c r="BN60" s="78">
        <f t="shared" si="2"/>
        <v>717.44</v>
      </c>
      <c r="BO60" s="78">
        <f t="shared" si="3"/>
        <v>1</v>
      </c>
      <c r="BP60" s="78">
        <f t="shared" si="4"/>
        <v>1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67</v>
      </c>
      <c r="Y67" s="43">
        <f>IFERROR(Y59/H59,"0")+IFERROR(Y60/H60,"0")+IFERROR(Y61/H61,"0")+IFERROR(Y62/H62,"0")+IFERROR(Y63/H63,"0")+IFERROR(Y64/H64,"0")+IFERROR(Y65/H65,"0")+IFERROR(Y66/H66,"0")</f>
        <v>67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1.27166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724.80000000000007</v>
      </c>
      <c r="Y68" s="43">
        <f>IFERROR(SUM(Y59:Y66),"0")</f>
        <v>724.80000000000007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108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112.1</v>
      </c>
      <c r="BN70" s="78">
        <f>IFERROR(Y70*I70/H70,"0")</f>
        <v>112.1</v>
      </c>
      <c r="BO70" s="78">
        <f>IFERROR(1/J70*(X70/H70),"0")</f>
        <v>0.15625</v>
      </c>
      <c r="BP70" s="78">
        <f>IFERROR(1/J70*(Y70/H70),"0")</f>
        <v>0.15625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0.1898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108</v>
      </c>
      <c r="Y75" s="43">
        <f>IFERROR(SUM(Y70:Y73),"0")</f>
        <v>108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54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56.05</v>
      </c>
      <c r="BN89" s="78">
        <f t="shared" ref="BN89:BN94" si="7">IFERROR(Y89*I89/H89,"0")</f>
        <v>56.05</v>
      </c>
      <c r="BO89" s="78">
        <f t="shared" ref="BO89:BO94" si="8">IFERROR(1/J89*(X89/H89),"0")</f>
        <v>7.8125E-2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5</v>
      </c>
      <c r="Y95" s="43">
        <f>IFERROR(Y89/H89,"0")+IFERROR(Y90/H90,"0")+IFERROR(Y91/H91,"0")+IFERROR(Y92/H92,"0")+IFERROR(Y93/H93,"0")+IFERROR(Y94/H94,"0")</f>
        <v>5</v>
      </c>
      <c r="Z95" s="43">
        <f>IFERROR(IF(Z89="",0,Z89),"0")+IFERROR(IF(Z90="",0,Z90),"0")+IFERROR(IF(Z91="",0,Z91),"0")+IFERROR(IF(Z92="",0,Z92),"0")+IFERROR(IF(Z93="",0,Z93),"0")+IFERROR(IF(Z94="",0,Z94),"0")</f>
        <v>9.4899999999999998E-2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54</v>
      </c>
      <c r="Y96" s="43">
        <f>IFERROR(SUM(Y89:Y94),"0")</f>
        <v>54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17.5</v>
      </c>
      <c r="Y175" s="55">
        <f t="shared" ref="Y175:Y184" si="15">IFERROR(IF(X175="",0,CEILING((X175/$H175),1)*$H175),"")</f>
        <v>17.5</v>
      </c>
      <c r="Z175" s="41">
        <f>IFERROR(IF(Y175=0,"",ROUNDUP(Y175/H175,0)*0.00902),"")</f>
        <v>4.5100000000000001E-2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18.45</v>
      </c>
      <c r="BN175" s="78">
        <f t="shared" ref="BN175:BN184" si="17">IFERROR(Y175*I175/H175,"0")</f>
        <v>18.45</v>
      </c>
      <c r="BO175" s="78">
        <f t="shared" ref="BO175:BO184" si="18">IFERROR(1/J175*(X175/H175),"0")</f>
        <v>3.787878787878788E-2</v>
      </c>
      <c r="BP175" s="78">
        <f t="shared" ref="BP175:BP184" si="19">IFERROR(1/J175*(Y175/H175),"0")</f>
        <v>3.787878787878788E-2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35</v>
      </c>
      <c r="Y176" s="55">
        <f t="shared" si="15"/>
        <v>35</v>
      </c>
      <c r="Z176" s="41">
        <f>IFERROR(IF(Y176=0,"",ROUNDUP(Y176/H176,0)*0.00902),"")</f>
        <v>9.0200000000000002E-2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37.65</v>
      </c>
      <c r="BN176" s="78">
        <f t="shared" si="17"/>
        <v>37.65</v>
      </c>
      <c r="BO176" s="78">
        <f t="shared" si="18"/>
        <v>7.575757575757576E-2</v>
      </c>
      <c r="BP176" s="78">
        <f t="shared" si="19"/>
        <v>7.575757575757576E-2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15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15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0.1353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52.5</v>
      </c>
      <c r="Y186" s="43">
        <f>IFERROR(SUM(Y175:Y184),"0")</f>
        <v>52.5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54</v>
      </c>
      <c r="Y370" s="55">
        <f t="shared" si="51"/>
        <v>54</v>
      </c>
      <c r="Z370" s="41">
        <f>IFERROR(IF(Y370=0,"",ROUNDUP(Y370/H370,0)*0.01898),"")</f>
        <v>9.4899999999999998E-2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56.05</v>
      </c>
      <c r="BN370" s="78">
        <f t="shared" si="53"/>
        <v>56.05</v>
      </c>
      <c r="BO370" s="78">
        <f t="shared" si="54"/>
        <v>7.8125E-2</v>
      </c>
      <c r="BP370" s="78">
        <f t="shared" si="55"/>
        <v>7.8125E-2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5</v>
      </c>
      <c r="Y376" s="43">
        <f>IFERROR(Y369/H369,"0")+IFERROR(Y370/H370,"0")+IFERROR(Y371/H371,"0")+IFERROR(Y372/H372,"0")+IFERROR(Y373/H373,"0")+IFERROR(Y374/H374,"0")+IFERROR(Y375/H375,"0")</f>
        <v>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9.4899999999999998E-2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54</v>
      </c>
      <c r="Y377" s="43">
        <f>IFERROR(SUM(Y369:Y375),"0")</f>
        <v>54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42</v>
      </c>
      <c r="Y379" s="55">
        <f t="shared" ref="Y379:Y385" si="56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44.5</v>
      </c>
      <c r="BN379" s="78">
        <f t="shared" ref="BN379:BN385" si="58">IFERROR(Y379*I379/H379,"0")</f>
        <v>44.5</v>
      </c>
      <c r="BO379" s="78">
        <f t="shared" ref="BO379:BO385" si="59">IFERROR(1/J379*(X379/H379),"0")</f>
        <v>7.575757575757576E-2</v>
      </c>
      <c r="BP379" s="78">
        <f t="shared" ref="BP379:BP385" si="60">IFERROR(1/J379*(Y379/H379),"0")</f>
        <v>7.575757575757576E-2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84</v>
      </c>
      <c r="Y380" s="55">
        <f t="shared" si="56"/>
        <v>84</v>
      </c>
      <c r="Z380" s="41">
        <f>IFERROR(IF(Y380=0,"",ROUNDUP(Y380/H380,0)*0.00902),"")</f>
        <v>0.1804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89</v>
      </c>
      <c r="BN380" s="78">
        <f t="shared" si="58"/>
        <v>89</v>
      </c>
      <c r="BO380" s="78">
        <f t="shared" si="59"/>
        <v>0.15151515151515152</v>
      </c>
      <c r="BP380" s="78">
        <f t="shared" si="60"/>
        <v>0.15151515151515152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10.5</v>
      </c>
      <c r="Y382" s="55">
        <f t="shared" si="56"/>
        <v>10.5</v>
      </c>
      <c r="Z382" s="41">
        <f>IFERROR(IF(Y382=0,"",ROUNDUP(Y382/H382,0)*0.00502),"")</f>
        <v>2.5100000000000001E-2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11.149999999999999</v>
      </c>
      <c r="BN382" s="78">
        <f t="shared" si="58"/>
        <v>11.149999999999999</v>
      </c>
      <c r="BO382" s="78">
        <f t="shared" si="59"/>
        <v>2.1367521367521368E-2</v>
      </c>
      <c r="BP382" s="78">
        <f t="shared" si="60"/>
        <v>2.1367521367521368E-2</v>
      </c>
    </row>
    <row r="383" spans="1:68" ht="27" hidden="1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35</v>
      </c>
      <c r="Y386" s="43">
        <f>IFERROR(Y379/H379,"0")+IFERROR(Y380/H380,"0")+IFERROR(Y381/H381,"0")+IFERROR(Y382/H382,"0")+IFERROR(Y383/H383,"0")+IFERROR(Y384/H384,"0")+IFERROR(Y385/H385,"0")</f>
        <v>35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0.29570000000000002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136.5</v>
      </c>
      <c r="Y387" s="43">
        <f>IFERROR(SUM(Y379:Y385),"0")</f>
        <v>136.5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998.4</v>
      </c>
      <c r="Y389" s="55">
        <f>IFERROR(IF(X389="",0,CEILING((X389/$H389),1)*$H389),"")</f>
        <v>998.4</v>
      </c>
      <c r="Z389" s="41">
        <f>IFERROR(IF(Y389=0,"",ROUNDUP(Y389/H389,0)*0.01898),"")</f>
        <v>2.42944</v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1060.864</v>
      </c>
      <c r="BN389" s="78">
        <f>IFERROR(Y389*I389/H389,"0")</f>
        <v>1060.864</v>
      </c>
      <c r="BO389" s="78">
        <f>IFERROR(1/J389*(X389/H389),"0")</f>
        <v>2</v>
      </c>
      <c r="BP389" s="78">
        <f>IFERROR(1/J389*(Y389/H389),"0")</f>
        <v>2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128</v>
      </c>
      <c r="Y393" s="43">
        <f>IFERROR(Y389/H389,"0")+IFERROR(Y390/H390,"0")+IFERROR(Y391/H391,"0")+IFERROR(Y392/H392,"0")</f>
        <v>128</v>
      </c>
      <c r="Z393" s="43">
        <f>IFERROR(IF(Z389="",0,Z389),"0")+IFERROR(IF(Z390="",0,Z390),"0")+IFERROR(IF(Z391="",0,Z391),"0")+IFERROR(IF(Z392="",0,Z392),"0")</f>
        <v>2.42944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998.4</v>
      </c>
      <c r="Y394" s="43">
        <f>IFERROR(SUM(Y389:Y392),"0")</f>
        <v>998.4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42</v>
      </c>
      <c r="Y400" s="43">
        <f>IFERROR(SUM(Y396:Y398),"0")</f>
        <v>42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7.65</v>
      </c>
      <c r="Y405" s="55">
        <f>IFERROR(IF(X405="",0,CEILING((X405/$H405),1)*$H405),"")</f>
        <v>7.6499999999999995</v>
      </c>
      <c r="Z405" s="41">
        <f>IFERROR(IF(Y405=0,"",ROUNDUP(Y405/H405,0)*0.00651),"")</f>
        <v>1.9529999999999999E-2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8.64</v>
      </c>
      <c r="BN405" s="78">
        <f>IFERROR(Y405*I405/H405,"0")</f>
        <v>8.6399999999999988</v>
      </c>
      <c r="BO405" s="78">
        <f>IFERROR(1/J405*(X405/H405),"0")</f>
        <v>1.6483516483516487E-2</v>
      </c>
      <c r="BP405" s="78">
        <f>IFERROR(1/J405*(Y405/H405),"0")</f>
        <v>1.6483516483516484E-2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3.0000000000000004</v>
      </c>
      <c r="Y406" s="43">
        <f>IFERROR(Y402/H402,"0")+IFERROR(Y403/H403,"0")+IFERROR(Y404/H404,"0")+IFERROR(Y405/H405,"0")</f>
        <v>3</v>
      </c>
      <c r="Z406" s="43">
        <f>IFERROR(IF(Z402="",0,Z402),"0")+IFERROR(IF(Z403="",0,Z403),"0")+IFERROR(IF(Z404="",0,Z404),"0")+IFERROR(IF(Z405="",0,Z405),"0")</f>
        <v>1.9529999999999999E-2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7.65</v>
      </c>
      <c r="Y407" s="43">
        <f>IFERROR(SUM(Y402:Y405),"0")</f>
        <v>7.6499999999999995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10.5</v>
      </c>
      <c r="Y431" s="55">
        <f>IFERROR(IF(X431="",0,CEILING((X431/$H431),1)*$H431),"")</f>
        <v>10.5</v>
      </c>
      <c r="Z431" s="41">
        <f>IFERROR(IF(Y431=0,"",ROUNDUP(Y431/H431,0)*0.00651),"")</f>
        <v>3.2550000000000003E-2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11.759999999999998</v>
      </c>
      <c r="BN431" s="78">
        <f>IFERROR(Y431*I431/H431,"0")</f>
        <v>11.759999999999998</v>
      </c>
      <c r="BO431" s="78">
        <f>IFERROR(1/J431*(X431/H431),"0")</f>
        <v>2.7472527472527476E-2</v>
      </c>
      <c r="BP431" s="78">
        <f>IFERROR(1/J431*(Y431/H431),"0")</f>
        <v>2.7472527472527476E-2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10.5</v>
      </c>
      <c r="Y432" s="55">
        <f>IFERROR(IF(X432="",0,CEILING((X432/$H432),1)*$H432),"")</f>
        <v>10.5</v>
      </c>
      <c r="Z432" s="41">
        <f>IFERROR(IF(Y432=0,"",ROUNDUP(Y432/H432,0)*0.00651),"")</f>
        <v>3.2550000000000003E-2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11.7</v>
      </c>
      <c r="BN432" s="78">
        <f>IFERROR(Y432*I432/H432,"0")</f>
        <v>11.7</v>
      </c>
      <c r="BO432" s="78">
        <f>IFERROR(1/J432*(X432/H432),"0")</f>
        <v>2.7472527472527476E-2</v>
      </c>
      <c r="BP432" s="78">
        <f>IFERROR(1/J432*(Y432/H432),"0")</f>
        <v>2.7472527472527476E-2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10</v>
      </c>
      <c r="Y433" s="43">
        <f>IFERROR(Y430/H430,"0")+IFERROR(Y431/H431,"0")+IFERROR(Y432/H432,"0")</f>
        <v>10</v>
      </c>
      <c r="Z433" s="43">
        <f>IFERROR(IF(Z430="",0,Z430),"0")+IFERROR(IF(Z431="",0,Z431),"0")+IFERROR(IF(Z432="",0,Z432),"0")</f>
        <v>6.5100000000000005E-2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21</v>
      </c>
      <c r="Y434" s="43">
        <f>IFERROR(SUM(Y430:Y432),"0")</f>
        <v>21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150</v>
      </c>
      <c r="Y439" s="55">
        <f t="shared" si="61"/>
        <v>150</v>
      </c>
      <c r="Z439" s="41">
        <f>IFERROR(IF(Y439=0,"",ROUNDUP(Y439/H439,0)*0.02175),"")</f>
        <v>0.21749999999999997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154.69999999999999</v>
      </c>
      <c r="BN439" s="78">
        <f t="shared" si="63"/>
        <v>154.69999999999999</v>
      </c>
      <c r="BO439" s="78">
        <f t="shared" si="64"/>
        <v>0.20833333333333331</v>
      </c>
      <c r="BP439" s="78">
        <f t="shared" si="65"/>
        <v>0.20833333333333331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61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742.56</v>
      </c>
      <c r="BN440" s="78">
        <f t="shared" si="63"/>
        <v>742.56</v>
      </c>
      <c r="BO440" s="78">
        <f t="shared" si="64"/>
        <v>1</v>
      </c>
      <c r="BP440" s="78">
        <f t="shared" si="65"/>
        <v>1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1440</v>
      </c>
      <c r="Y441" s="55">
        <f t="shared" si="61"/>
        <v>1440</v>
      </c>
      <c r="Z441" s="41">
        <f>IFERROR(IF(Y441=0,"",ROUNDUP(Y441/H441,0)*0.02175),"")</f>
        <v>2.0880000000000001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1485.12</v>
      </c>
      <c r="BN441" s="78">
        <f t="shared" si="63"/>
        <v>1485.12</v>
      </c>
      <c r="BO441" s="78">
        <f t="shared" si="64"/>
        <v>2</v>
      </c>
      <c r="BP441" s="78">
        <f t="shared" si="65"/>
        <v>2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154</v>
      </c>
      <c r="Y446" s="43">
        <f>IFERROR(Y438/H438,"0")+IFERROR(Y439/H439,"0")+IFERROR(Y440/H440,"0")+IFERROR(Y441/H441,"0")+IFERROR(Y442/H442,"0")+IFERROR(Y443/H443,"0")+IFERROR(Y444/H444,"0")+IFERROR(Y445/H445,"0")</f>
        <v>154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3.3494999999999999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2310</v>
      </c>
      <c r="Y447" s="43">
        <f>IFERROR(SUM(Y438:Y445),"0")</f>
        <v>2310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720</v>
      </c>
      <c r="Y449" s="55">
        <f>IFERROR(IF(X449="",0,CEILING((X449/$H449),1)*$H449),"")</f>
        <v>720</v>
      </c>
      <c r="Z449" s="41">
        <f>IFERROR(IF(Y449=0,"",ROUNDUP(Y449/H449,0)*0.02175),"")</f>
        <v>1.044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742.56</v>
      </c>
      <c r="BN449" s="78">
        <f>IFERROR(Y449*I449/H449,"0")</f>
        <v>742.56</v>
      </c>
      <c r="BO449" s="78">
        <f>IFERROR(1/J449*(X449/H449),"0")</f>
        <v>1</v>
      </c>
      <c r="BP449" s="78">
        <f>IFERROR(1/J449*(Y449/H449),"0")</f>
        <v>1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48</v>
      </c>
      <c r="Y452" s="43">
        <f>IFERROR(Y449/H449,"0")+IFERROR(Y450/H450,"0")+IFERROR(Y451/H451,"0")</f>
        <v>48</v>
      </c>
      <c r="Z452" s="43">
        <f>IFERROR(IF(Z449="",0,Z449),"0")+IFERROR(IF(Z450="",0,Z450),"0")+IFERROR(IF(Z451="",0,Z451),"0")</f>
        <v>1.044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720</v>
      </c>
      <c r="Y453" s="43">
        <f>IFERROR(SUM(Y449:Y451),"0")</f>
        <v>720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84</v>
      </c>
      <c r="Y547" s="55">
        <f>IFERROR(IF(X547="",0,CEILING((X547/$H547),1)*$H547),"")</f>
        <v>84</v>
      </c>
      <c r="Z547" s="41">
        <f>IFERROR(IF(Y547=0,"",ROUNDUP(Y547/H547,0)*0.00902),"")</f>
        <v>0.1804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89</v>
      </c>
      <c r="BN547" s="78">
        <f>IFERROR(Y547*I547/H547,"0")</f>
        <v>89</v>
      </c>
      <c r="BO547" s="78">
        <f>IFERROR(1/J547*(X547/H547),"0")</f>
        <v>0.15151515151515152</v>
      </c>
      <c r="BP547" s="78">
        <f>IFERROR(1/J547*(Y547/H547),"0")</f>
        <v>0.15151515151515152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20</v>
      </c>
      <c r="Y548" s="43">
        <f>IFERROR(Y547/H547,"0")</f>
        <v>20</v>
      </c>
      <c r="Z548" s="43">
        <f>IFERROR(IF(Z547="",0,Z547),"0")</f>
        <v>0.1804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84</v>
      </c>
      <c r="Y549" s="43">
        <f>IFERROR(SUM(Y547:Y547),"0")</f>
        <v>84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5420.85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5420.85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5640.6939999999995</v>
      </c>
      <c r="Y565" s="43">
        <f>IFERROR(SUM(BN22:BN561),"0")</f>
        <v>5640.6939999999995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9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5865.6939999999995</v>
      </c>
      <c r="Y567" s="43">
        <f>GrossWeightTotalR+PalletQtyTotalR*25</f>
        <v>5865.6939999999995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515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515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9.4549299999999992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108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832.80000000000007</v>
      </c>
      <c r="F574" s="52">
        <f>IFERROR(Y89*1,"0")+IFERROR(Y90*1,"0")+IFERROR(Y91*1,"0")+IFERROR(Y92*1,"0")+IFERROR(Y93*1,"0")+IFERROR(Y94*1,"0")+IFERROR(Y98*1,"0")+IFERROR(Y99*1,"0")+IFERROR(Y100*1,"0")+IFERROR(Y101*1,"0")</f>
        <v>54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52.5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1238.5500000000002</v>
      </c>
      <c r="V574" s="52">
        <f>IFERROR(Y422*1,"0")+IFERROR(Y423*1,"0")+IFERROR(Y424*1,"0")+IFERROR(Y425*1,"0")</f>
        <v>0</v>
      </c>
      <c r="W574" s="52">
        <f>IFERROR(Y430*1,"0")+IFERROR(Y431*1,"0")+IFERROR(Y432*1,"0")</f>
        <v>21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3030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84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8,00"/>
        <filter val="128,00"/>
        <filter val="136,50"/>
        <filter val="15,00"/>
        <filter val="150,00"/>
        <filter val="154,00"/>
        <filter val="17,50"/>
        <filter val="2 310,00"/>
        <filter val="20,00"/>
        <filter val="21,00"/>
        <filter val="3,00"/>
        <filter val="33,60"/>
        <filter val="35,00"/>
        <filter val="42,00"/>
        <filter val="48,00"/>
        <filter val="5 420,85"/>
        <filter val="5 640,69"/>
        <filter val="5 865,69"/>
        <filter val="5,00"/>
        <filter val="515,00"/>
        <filter val="52,50"/>
        <filter val="54,00"/>
        <filter val="67,00"/>
        <filter val="691,20"/>
        <filter val="7,65"/>
        <filter val="720,00"/>
        <filter val="724,80"/>
        <filter val="84,00"/>
        <filter val="9"/>
        <filter val="998,4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