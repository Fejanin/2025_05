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E23822-2B83-4AB4-8C4E-1DFBA481D1F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N462" i="2" s="1"/>
  <c r="P462" i="2"/>
  <c r="BO461" i="2"/>
  <c r="BM461" i="2"/>
  <c r="Y461" i="2"/>
  <c r="Y463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Y310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P290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P189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P125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P78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Z107" i="2" l="1"/>
  <c r="BP145" i="2"/>
  <c r="BP206" i="2"/>
  <c r="BN222" i="2"/>
  <c r="Z444" i="2"/>
  <c r="BP457" i="2"/>
  <c r="Y215" i="2"/>
  <c r="Z230" i="2"/>
  <c r="BP230" i="2"/>
  <c r="Z309" i="2"/>
  <c r="Z310" i="2" s="1"/>
  <c r="BP309" i="2"/>
  <c r="Y311" i="2"/>
  <c r="Y359" i="2"/>
  <c r="Z462" i="2"/>
  <c r="BP462" i="2"/>
  <c r="BP71" i="2"/>
  <c r="BN107" i="2"/>
  <c r="BP183" i="2"/>
  <c r="Z222" i="2"/>
  <c r="BP61" i="2"/>
  <c r="Z152" i="2"/>
  <c r="BP214" i="2"/>
  <c r="Y216" i="2"/>
  <c r="BN309" i="2"/>
  <c r="Z424" i="2"/>
  <c r="BN29" i="2"/>
  <c r="BN41" i="2"/>
  <c r="BN52" i="2"/>
  <c r="BN59" i="2"/>
  <c r="BN63" i="2"/>
  <c r="BN117" i="2"/>
  <c r="BN130" i="2"/>
  <c r="BN146" i="2"/>
  <c r="BN207" i="2"/>
  <c r="BN314" i="2"/>
  <c r="BP397" i="2"/>
  <c r="BP411" i="2"/>
  <c r="BN443" i="2"/>
  <c r="BN487" i="2"/>
  <c r="BN35" i="2"/>
  <c r="BN43" i="2"/>
  <c r="BN54" i="2"/>
  <c r="Z100" i="2"/>
  <c r="BN111" i="2"/>
  <c r="Y131" i="2"/>
  <c r="Y132" i="2"/>
  <c r="BN141" i="2"/>
  <c r="Z154" i="2"/>
  <c r="BN154" i="2"/>
  <c r="Z165" i="2"/>
  <c r="BN165" i="2"/>
  <c r="Z188" i="2"/>
  <c r="BN188" i="2"/>
  <c r="BP188" i="2"/>
  <c r="Y191" i="2"/>
  <c r="Z220" i="2"/>
  <c r="BP224" i="2"/>
  <c r="BP237" i="2"/>
  <c r="BN238" i="2"/>
  <c r="BP244" i="2"/>
  <c r="BP266" i="2"/>
  <c r="Z296" i="2"/>
  <c r="BN296" i="2"/>
  <c r="Z297" i="2"/>
  <c r="BN297" i="2"/>
  <c r="BN299" i="2"/>
  <c r="BP301" i="2"/>
  <c r="Z342" i="2"/>
  <c r="BN342" i="2"/>
  <c r="Z369" i="2"/>
  <c r="BN369" i="2"/>
  <c r="Z389" i="2"/>
  <c r="BN389" i="2"/>
  <c r="Z397" i="2"/>
  <c r="Z411" i="2"/>
  <c r="Z440" i="2"/>
  <c r="BN441" i="2"/>
  <c r="Z450" i="2"/>
  <c r="BP451" i="2"/>
  <c r="BP461" i="2"/>
  <c r="BN476" i="2"/>
  <c r="BN493" i="2"/>
  <c r="Z498" i="2"/>
  <c r="Z499" i="2" s="1"/>
  <c r="BN504" i="2"/>
  <c r="Z512" i="2"/>
  <c r="BN512" i="2"/>
  <c r="Z532" i="2"/>
  <c r="BP523" i="2"/>
  <c r="Y525" i="2"/>
  <c r="Z523" i="2"/>
  <c r="BP517" i="2"/>
  <c r="Z516" i="2"/>
  <c r="BN513" i="2"/>
  <c r="BP511" i="2"/>
  <c r="BN405" i="2"/>
  <c r="Z380" i="2"/>
  <c r="BN380" i="2"/>
  <c r="BP353" i="2"/>
  <c r="Y354" i="2"/>
  <c r="BN353" i="2"/>
  <c r="Z353" i="2"/>
  <c r="Z354" i="2" s="1"/>
  <c r="Z276" i="2"/>
  <c r="BN276" i="2"/>
  <c r="BP270" i="2"/>
  <c r="Z266" i="2"/>
  <c r="Z229" i="2"/>
  <c r="BN229" i="2"/>
  <c r="BN225" i="2"/>
  <c r="BN184" i="2"/>
  <c r="BN177" i="2"/>
  <c r="Y186" i="2"/>
  <c r="Z175" i="2"/>
  <c r="BN166" i="2"/>
  <c r="BP123" i="2"/>
  <c r="Z119" i="2"/>
  <c r="BN119" i="2"/>
  <c r="BN73" i="2"/>
  <c r="Z70" i="2"/>
  <c r="Z65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51" i="2"/>
  <c r="Z155" i="2" s="1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Z74" i="2" s="1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12" i="2" l="1"/>
  <c r="Z452" i="2"/>
  <c r="Z463" i="2"/>
  <c r="Z246" i="2"/>
  <c r="Z190" i="2"/>
  <c r="Z349" i="2"/>
  <c r="Z85" i="2"/>
  <c r="Z142" i="2"/>
  <c r="Z393" i="2"/>
  <c r="Z386" i="2"/>
  <c r="Z365" i="2"/>
  <c r="Z167" i="2"/>
  <c r="Z36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<sst xmlns="http://schemas.openxmlformats.org/spreadsheetml/2006/main" count="4249" uniqueCount="899">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</sst>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898</v>
      </c>
      <c r="I5" s="647"/>
      <c r="J5" s="647"/>
      <c r="K5" s="647"/>
      <c r="L5" s="647"/>
      <c r="M5" s="647"/>
      <c r="N5" s="72"/>
      <c r="P5" s="27" t="s">
        <v>4</v>
      </c>
      <c r="Q5" s="649">
        <v>46319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Суббота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2.52</v>
      </c>
      <c r="Y27" s="55">
        <f>IFERROR(IF(X27="",0,CEILING((X27/$H27),1)*$H27),"")</f>
        <v>2.52</v>
      </c>
      <c r="Z27" s="41">
        <f>IFERROR(IF(Y27=0,"",ROUNDUP(Y27/H27,0)*0.00651),"")</f>
        <v>6.5100000000000002E-3</v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2.766</v>
      </c>
      <c r="BN27" s="78">
        <f>IFERROR(Y27*I27/H27,"0")</f>
        <v>2.766</v>
      </c>
      <c r="BO27" s="78">
        <f>IFERROR(1/J27*(X27/H27),"0")</f>
        <v>5.4945054945054949E-3</v>
      </c>
      <c r="BP27" s="78">
        <f>IFERROR(1/J27*(Y27/H27),"0")</f>
        <v>5.4945054945054949E-3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2</v>
      </c>
      <c r="Y31" s="43">
        <f>IFERROR(Y26/H26,"0")+IFERROR(Y27/H27,"0")+IFERROR(Y28/H28,"0")+IFERROR(Y29/H29,"0")+IFERROR(Y30/H30,"0")</f>
        <v>2</v>
      </c>
      <c r="Z31" s="43">
        <f>IFERROR(IF(Z26="",0,Z26),"0")+IFERROR(IF(Z27="",0,Z27),"0")+IFERROR(IF(Z28="",0,Z28),"0")+IFERROR(IF(Z29="",0,Z29),"0")+IFERROR(IF(Z30="",0,Z30),"0")</f>
        <v>1.302E-2</v>
      </c>
      <c r="AA31" s="67"/>
      <c r="AB31" s="67"/>
      <c r="AC31" s="67"/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4.32</v>
      </c>
      <c r="Y32" s="43">
        <f>IFERROR(SUM(Y26:Y30),"0")</f>
        <v>4.32</v>
      </c>
      <c r="Z32" s="42"/>
      <c r="AA32" s="67"/>
      <c r="AB32" s="67"/>
      <c r="AC32" s="67"/>
    </row>
    <row r="33" spans="1:68" ht="14.25" hidden="1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0.8</v>
      </c>
      <c r="Y34" s="55">
        <f>IFERROR(IF(X34="",0,CEILING((X34/$H34),1)*$H34),"")</f>
        <v>0.8</v>
      </c>
      <c r="Z34" s="41">
        <f>IFERROR(IF(Y34=0,"",ROUNDUP(Y34/H34,0)*0.00337),"")</f>
        <v>6.7400000000000003E-3</v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1.1599999999999999</v>
      </c>
      <c r="BN34" s="78">
        <f>IFERROR(Y34*I34/H34,"0")</f>
        <v>1.1599999999999999</v>
      </c>
      <c r="BO34" s="78">
        <f>IFERROR(1/J34*(X34/H34),"0")</f>
        <v>6.0606060606060606E-3</v>
      </c>
      <c r="BP34" s="78">
        <f>IFERROR(1/J34*(Y34/H34),"0")</f>
        <v>6.0606060606060606E-3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0.64</v>
      </c>
      <c r="Y35" s="55">
        <f>IFERROR(IF(X35="",0,CEILING((X35/$H35),1)*$H35),"")</f>
        <v>0.64</v>
      </c>
      <c r="Z35" s="41">
        <f>IFERROR(IF(Y35=0,"",ROUNDUP(Y35/H35,0)*0.00337),"")</f>
        <v>6.7400000000000003E-3</v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1</v>
      </c>
      <c r="BN35" s="78">
        <f>IFERROR(Y35*I35/H35,"0")</f>
        <v>1</v>
      </c>
      <c r="BO35" s="78">
        <f>IFERROR(1/J35*(X35/H35),"0")</f>
        <v>6.0606060606060606E-3</v>
      </c>
      <c r="BP35" s="78">
        <f>IFERROR(1/J35*(Y35/H35),"0")</f>
        <v>6.0606060606060606E-3</v>
      </c>
    </row>
    <row r="36" spans="1:68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4</v>
      </c>
      <c r="Y36" s="43">
        <f>IFERROR(Y34/H34,"0")+IFERROR(Y35/H35,"0")</f>
        <v>4</v>
      </c>
      <c r="Z36" s="43">
        <f>IFERROR(IF(Z34="",0,Z34),"0")+IFERROR(IF(Z35="",0,Z35),"0")</f>
        <v>1.3480000000000001E-2</v>
      </c>
      <c r="AA36" s="67"/>
      <c r="AB36" s="67"/>
      <c r="AC36" s="67"/>
    </row>
    <row r="37" spans="1:68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1.44</v>
      </c>
      <c r="Y37" s="43">
        <f>IFERROR(SUM(Y34:Y35),"0")</f>
        <v>1.44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54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56.05</v>
      </c>
      <c r="BN51" s="78">
        <f>IFERROR(Y51*I51/H51,"0")</f>
        <v>56.05</v>
      </c>
      <c r="BO51" s="78">
        <f>IFERROR(1/J51*(X51/H51),"0")</f>
        <v>7.8125E-2</v>
      </c>
      <c r="BP51" s="78">
        <f>IFERROR(1/J51*(Y51/H51),"0")</f>
        <v>7.8125E-2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16</v>
      </c>
      <c r="Y53" s="55">
        <f>IFERROR(IF(X53="",0,CEILING((X53/$H53),1)*$H53),"")</f>
        <v>16</v>
      </c>
      <c r="Z53" s="41">
        <f>IFERROR(IF(Y53=0,"",ROUNDUP(Y53/H53,0)*0.00902),"")</f>
        <v>3.6080000000000001E-2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16.760000000000002</v>
      </c>
      <c r="BN53" s="78">
        <f>IFERROR(Y53*I53/H53,"0")</f>
        <v>16.760000000000002</v>
      </c>
      <c r="BO53" s="78">
        <f>IFERROR(1/J53*(X53/H53),"0")</f>
        <v>3.0303030303030304E-2</v>
      </c>
      <c r="BP53" s="78">
        <f>IFERROR(1/J53*(Y53/H53),"0")</f>
        <v>3.0303030303030304E-2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9</v>
      </c>
      <c r="Y55" s="43">
        <f>IFERROR(Y51/H51,"0")+IFERROR(Y52/H52,"0")+IFERROR(Y53/H53,"0")+IFERROR(Y54/H54,"0")</f>
        <v>9</v>
      </c>
      <c r="Z55" s="43">
        <f>IFERROR(IF(Z51="",0,Z51),"0")+IFERROR(IF(Z52="",0,Z52),"0")+IFERROR(IF(Z53="",0,Z53),"0")+IFERROR(IF(Z54="",0,Z54),"0")</f>
        <v>0.13097999999999999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70</v>
      </c>
      <c r="Y56" s="43">
        <f>IFERROR(SUM(Y51:Y54),"0")</f>
        <v>70</v>
      </c>
      <c r="Z56" s="42"/>
      <c r="AA56" s="67"/>
      <c r="AB56" s="67"/>
      <c r="AC56" s="67"/>
    </row>
    <row r="57" spans="1:68" ht="16.5" hidden="1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6.3</v>
      </c>
      <c r="Y65" s="55">
        <f t="shared" si="0"/>
        <v>6.3000000000000007</v>
      </c>
      <c r="Z65" s="41">
        <f>IFERROR(IF(Y65=0,"",ROUNDUP(Y65/H65,0)*0.00651),"")</f>
        <v>1.9529999999999999E-2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6.839999999999999</v>
      </c>
      <c r="BN65" s="78">
        <f t="shared" si="2"/>
        <v>6.84</v>
      </c>
      <c r="BO65" s="78">
        <f t="shared" si="3"/>
        <v>1.6483516483516484E-2</v>
      </c>
      <c r="BP65" s="78">
        <f t="shared" si="4"/>
        <v>1.6483516483516484E-2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</v>
      </c>
      <c r="Y67" s="43">
        <f>IFERROR(Y59/H59,"0")+IFERROR(Y60/H60,"0")+IFERROR(Y61/H61,"0")+IFERROR(Y62/H62,"0")+IFERROR(Y63/H63,"0")+IFERROR(Y64/H64,"0")+IFERROR(Y65/H65,"0")+IFERROR(Y66/H66,"0")</f>
        <v>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6.4629999999999993E-2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28.8</v>
      </c>
      <c r="Y68" s="43">
        <f>IFERROR(SUM(Y59:Y66),"0")</f>
        <v>28.8</v>
      </c>
      <c r="Z68" s="42"/>
      <c r="AA68" s="67"/>
      <c r="AB68" s="67"/>
      <c r="AC68" s="67"/>
    </row>
    <row r="69" spans="1:68" ht="14.25" hidden="1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16.2</v>
      </c>
      <c r="Y73" s="55">
        <f>IFERROR(IF(X73="",0,CEILING((X73/$H73),1)*$H73),"")</f>
        <v>16.200000000000003</v>
      </c>
      <c r="Z73" s="41">
        <f>IFERROR(IF(Y73=0,"",ROUNDUP(Y73/H73,0)*0.00651),"")</f>
        <v>3.9059999999999997E-2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17.279999999999998</v>
      </c>
      <c r="BN73" s="78">
        <f>IFERROR(Y73*I73/H73,"0")</f>
        <v>17.28</v>
      </c>
      <c r="BO73" s="78">
        <f>IFERROR(1/J73*(X73/H73),"0")</f>
        <v>3.2967032967032968E-2</v>
      </c>
      <c r="BP73" s="78">
        <f>IFERROR(1/J73*(Y73/H73),"0")</f>
        <v>3.2967032967032975E-2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20.999999999999996</v>
      </c>
      <c r="Y74" s="43">
        <f>IFERROR(Y70/H70,"0")+IFERROR(Y71/H71,"0")+IFERROR(Y72/H72,"0")+IFERROR(Y73/H73,"0")</f>
        <v>21</v>
      </c>
      <c r="Z74" s="43">
        <f>IFERROR(IF(Z70="",0,Z70),"0")+IFERROR(IF(Z71="",0,Z71),"0")+IFERROR(IF(Z72="",0,Z72),"0")+IFERROR(IF(Z73="",0,Z73),"0")</f>
        <v>0.32375999999999999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178.2</v>
      </c>
      <c r="Y75" s="43">
        <f>IFERROR(SUM(Y70:Y73),"0")</f>
        <v>178.2</v>
      </c>
      <c r="Z75" s="42"/>
      <c r="AA75" s="67"/>
      <c r="AB75" s="67"/>
      <c r="AC75" s="67"/>
    </row>
    <row r="76" spans="1:68" ht="14.25" hidden="1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54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56.05</v>
      </c>
      <c r="BN89" s="78">
        <f t="shared" ref="BN89:BN94" si="7">IFERROR(Y89*I89/H89,"0")</f>
        <v>56.05</v>
      </c>
      <c r="BO89" s="78">
        <f t="shared" ref="BO89:BO94" si="8">IFERROR(1/J89*(X89/H89),"0")</f>
        <v>7.8125E-2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11</v>
      </c>
      <c r="Y95" s="43">
        <f>IFERROR(Y89/H89,"0")+IFERROR(Y90/H90,"0")+IFERROR(Y91/H91,"0")+IFERROR(Y92/H92,"0")+IFERROR(Y93/H93,"0")+IFERROR(Y94/H94,"0")</f>
        <v>11</v>
      </c>
      <c r="Z95" s="43">
        <f>IFERROR(IF(Z89="",0,Z89),"0")+IFERROR(IF(Z90="",0,Z90),"0")+IFERROR(IF(Z91="",0,Z91),"0")+IFERROR(IF(Z92="",0,Z92),"0")+IFERROR(IF(Z93="",0,Z93),"0")+IFERROR(IF(Z94="",0,Z94),"0")</f>
        <v>0.14901999999999999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81</v>
      </c>
      <c r="Y96" s="43">
        <f>IFERROR(SUM(Y89:Y94),"0")</f>
        <v>81</v>
      </c>
      <c r="Z96" s="42"/>
      <c r="AA96" s="67"/>
      <c r="AB96" s="67"/>
      <c r="AC96" s="67"/>
    </row>
    <row r="97" spans="1:68" ht="14.25" hidden="1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54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56.05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7.8125E-2</v>
      </c>
      <c r="BP106" s="78">
        <f t="shared" ref="BP106:BP112" si="14">IFERROR(1/J106*(Y106/H106),"0")</f>
        <v>7.8125E-2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9</v>
      </c>
      <c r="Y111" s="55">
        <f t="shared" si="10"/>
        <v>9</v>
      </c>
      <c r="Z111" s="41">
        <f>IFERROR(IF(Y111=0,"",ROUNDUP(Y111/H111,0)*0.00902),"")</f>
        <v>1.804E-2</v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9.3800000000000008</v>
      </c>
      <c r="BN111" s="78">
        <f t="shared" si="12"/>
        <v>9.3800000000000008</v>
      </c>
      <c r="BO111" s="78">
        <f t="shared" si="13"/>
        <v>1.5151515151515152E-2</v>
      </c>
      <c r="BP111" s="78">
        <f t="shared" si="14"/>
        <v>1.5151515151515152E-2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4.8</v>
      </c>
      <c r="Y112" s="55">
        <f t="shared" si="10"/>
        <v>4.8</v>
      </c>
      <c r="Z112" s="41">
        <f>IFERROR(IF(Y112=0,"",ROUNDUP(Y112/H112,0)*0.00651),"")</f>
        <v>1.302E-2</v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5.16</v>
      </c>
      <c r="BN112" s="78">
        <f t="shared" si="12"/>
        <v>5.16</v>
      </c>
      <c r="BO112" s="78">
        <f t="shared" si="13"/>
        <v>1.098901098901099E-2</v>
      </c>
      <c r="BP112" s="78">
        <f t="shared" si="14"/>
        <v>1.098901098901099E-2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9</v>
      </c>
      <c r="Y113" s="43">
        <f>IFERROR(Y106/H106,"0")+IFERROR(Y107/H107,"0")+IFERROR(Y108/H108,"0")+IFERROR(Y109/H109,"0")+IFERROR(Y110/H110,"0")+IFERROR(Y111/H111,"0")+IFERROR(Y112/H112,"0")</f>
        <v>9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0.12595999999999999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67.8</v>
      </c>
      <c r="Y114" s="43">
        <f>IFERROR(SUM(Y106:Y112),"0")</f>
        <v>67.8</v>
      </c>
      <c r="Z114" s="42"/>
      <c r="AA114" s="67"/>
      <c r="AB114" s="67"/>
      <c r="AC114" s="67"/>
    </row>
    <row r="115" spans="1:68" ht="14.25" hidden="1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32.4</v>
      </c>
      <c r="Y116" s="55">
        <f>IFERROR(IF(X116="",0,CEILING((X116/$H116),1)*$H116),"")</f>
        <v>32.400000000000006</v>
      </c>
      <c r="Z116" s="41">
        <f>IFERROR(IF(Y116=0,"",ROUNDUP(Y116/H116,0)*0.01898),"")</f>
        <v>5.6940000000000004E-2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33.629999999999995</v>
      </c>
      <c r="BN116" s="78">
        <f>IFERROR(Y116*I116/H116,"0")</f>
        <v>33.630000000000003</v>
      </c>
      <c r="BO116" s="78">
        <f>IFERROR(1/J116*(X116/H116),"0")</f>
        <v>4.6874999999999993E-2</v>
      </c>
      <c r="BP116" s="78">
        <f>IFERROR(1/J116*(Y116/H116),"0")</f>
        <v>4.6875000000000007E-2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7.2</v>
      </c>
      <c r="Y119" s="55">
        <f>IFERROR(IF(X119="",0,CEILING((X119/$H119),1)*$H119),"")</f>
        <v>7.1999999999999993</v>
      </c>
      <c r="Z119" s="41">
        <f>IFERROR(IF(Y119=0,"",ROUNDUP(Y119/H119,0)*0.00651),"")</f>
        <v>1.9529999999999999E-2</v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7.74</v>
      </c>
      <c r="BN119" s="78">
        <f>IFERROR(Y119*I119/H119,"0")</f>
        <v>7.7399999999999993</v>
      </c>
      <c r="BO119" s="78">
        <f>IFERROR(1/J119*(X119/H119),"0")</f>
        <v>1.6483516483516484E-2</v>
      </c>
      <c r="BP119" s="78">
        <f>IFERROR(1/J119*(Y119/H119),"0")</f>
        <v>1.6483516483516484E-2</v>
      </c>
    </row>
    <row r="120" spans="1:68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6</v>
      </c>
      <c r="Y120" s="43">
        <f>IFERROR(Y116/H116,"0")+IFERROR(Y117/H117,"0")+IFERROR(Y118/H118,"0")+IFERROR(Y119/H119,"0")</f>
        <v>6</v>
      </c>
      <c r="Z120" s="43">
        <f>IFERROR(IF(Z116="",0,Z116),"0")+IFERROR(IF(Z117="",0,Z117),"0")+IFERROR(IF(Z118="",0,Z118),"0")+IFERROR(IF(Z119="",0,Z119),"0")</f>
        <v>7.647000000000001E-2</v>
      </c>
      <c r="AA120" s="67"/>
      <c r="AB120" s="67"/>
      <c r="AC120" s="67"/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39.6</v>
      </c>
      <c r="Y121" s="43">
        <f>IFERROR(SUM(Y116:Y119),"0")</f>
        <v>39.600000000000009</v>
      </c>
      <c r="Z121" s="42"/>
      <c r="AA121" s="67"/>
      <c r="AB121" s="67"/>
      <c r="AC121" s="67"/>
    </row>
    <row r="122" spans="1:68" ht="14.25" hidden="1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32.4</v>
      </c>
      <c r="Y123" s="55">
        <f>IFERROR(IF(X123="",0,CEILING((X123/$H123),1)*$H123),"")</f>
        <v>32.4</v>
      </c>
      <c r="Z123" s="41">
        <f>IFERROR(IF(Y123=0,"",ROUNDUP(Y123/H123,0)*0.01898),"")</f>
        <v>7.5920000000000001E-2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34.351999999999997</v>
      </c>
      <c r="BN123" s="78">
        <f>IFERROR(Y123*I123/H123,"0")</f>
        <v>34.351999999999997</v>
      </c>
      <c r="BO123" s="78">
        <f>IFERROR(1/J123*(X123/H123),"0")</f>
        <v>6.25E-2</v>
      </c>
      <c r="BP123" s="78">
        <f>IFERROR(1/J123*(Y123/H123),"0")</f>
        <v>6.25E-2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2.7</v>
      </c>
      <c r="Y125" s="55">
        <f>IFERROR(IF(X125="",0,CEILING((X125/$H125),1)*$H125),"")</f>
        <v>2.7</v>
      </c>
      <c r="Z125" s="41">
        <f>IFERROR(IF(Y125=0,"",ROUNDUP(Y125/H125,0)*0.00651),"")</f>
        <v>6.5100000000000002E-3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2.952</v>
      </c>
      <c r="BN125" s="78">
        <f>IFERROR(Y125*I125/H125,"0")</f>
        <v>2.952</v>
      </c>
      <c r="BO125" s="78">
        <f>IFERROR(1/J125*(X125/H125),"0")</f>
        <v>5.4945054945054949E-3</v>
      </c>
      <c r="BP125" s="78">
        <f>IFERROR(1/J125*(Y125/H125),"0")</f>
        <v>5.4945054945054949E-3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5</v>
      </c>
      <c r="Y127" s="43">
        <f>IFERROR(Y123/H123,"0")+IFERROR(Y124/H124,"0")+IFERROR(Y125/H125,"0")+IFERROR(Y126/H126,"0")</f>
        <v>5</v>
      </c>
      <c r="Z127" s="43">
        <f>IFERROR(IF(Z123="",0,Z123),"0")+IFERROR(IF(Z124="",0,Z124),"0")+IFERROR(IF(Z125="",0,Z125),"0")+IFERROR(IF(Z126="",0,Z126),"0")</f>
        <v>8.2430000000000003E-2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35.1</v>
      </c>
      <c r="Y128" s="43">
        <f>IFERROR(SUM(Y123:Y126),"0")</f>
        <v>35.1</v>
      </c>
      <c r="Z128" s="42"/>
      <c r="AA128" s="67"/>
      <c r="AB128" s="67"/>
      <c r="AC128" s="67"/>
    </row>
    <row r="129" spans="1:68" ht="14.25" hidden="1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16</v>
      </c>
      <c r="Y164" s="55">
        <f>IFERROR(IF(X164="",0,CEILING((X164/$H164),1)*$H164),"")</f>
        <v>16</v>
      </c>
      <c r="Z164" s="41">
        <f>IFERROR(IF(Y164=0,"",ROUNDUP(Y164/H164,0)*0.00902),"")</f>
        <v>3.6080000000000001E-2</v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16.760000000000002</v>
      </c>
      <c r="BN164" s="78">
        <f>IFERROR(Y164*I164/H164,"0")</f>
        <v>16.760000000000002</v>
      </c>
      <c r="BO164" s="78">
        <f>IFERROR(1/J164*(X164/H164),"0")</f>
        <v>3.0303030303030304E-2</v>
      </c>
      <c r="BP164" s="78">
        <f>IFERROR(1/J164*(Y164/H164),"0")</f>
        <v>3.0303030303030304E-2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7</v>
      </c>
      <c r="Y167" s="43">
        <f>IFERROR(Y163/H163,"0")+IFERROR(Y164/H164,"0")+IFERROR(Y165/H165,"0")+IFERROR(Y166/H166,"0")</f>
        <v>7</v>
      </c>
      <c r="Z167" s="43">
        <f>IFERROR(IF(Z163="",0,Z163),"0")+IFERROR(IF(Z164="",0,Z164),"0")+IFERROR(IF(Z165="",0,Z165),"0")+IFERROR(IF(Z166="",0,Z166),"0")</f>
        <v>5.561E-2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23.740000000000002</v>
      </c>
      <c r="Y168" s="43">
        <f>IFERROR(SUM(Y163:Y166),"0")</f>
        <v>23.740000000000002</v>
      </c>
      <c r="Z168" s="42"/>
      <c r="AA168" s="67"/>
      <c r="AB168" s="67"/>
      <c r="AC168" s="67"/>
    </row>
    <row r="169" spans="1:68" ht="14.25" hidden="1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35</v>
      </c>
      <c r="Y175" s="55">
        <f t="shared" ref="Y175:Y184" si="15">IFERROR(IF(X175="",0,CEILING((X175/$H175),1)*$H175),"")</f>
        <v>35</v>
      </c>
      <c r="Z175" s="41">
        <f>IFERROR(IF(Y175=0,"",ROUNDUP(Y175/H175,0)*0.00902),"")</f>
        <v>9.0200000000000002E-2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36.9</v>
      </c>
      <c r="BN175" s="78">
        <f t="shared" ref="BN175:BN184" si="17">IFERROR(Y175*I175/H175,"0")</f>
        <v>36.9</v>
      </c>
      <c r="BO175" s="78">
        <f t="shared" ref="BO175:BO184" si="18">IFERROR(1/J175*(X175/H175),"0")</f>
        <v>7.575757575757576E-2</v>
      </c>
      <c r="BP175" s="78">
        <f t="shared" ref="BP175:BP184" si="19">IFERROR(1/J175*(Y175/H175),"0")</f>
        <v>7.575757575757576E-2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7</v>
      </c>
      <c r="Y176" s="55">
        <f t="shared" si="15"/>
        <v>7</v>
      </c>
      <c r="Z176" s="41">
        <f>IFERROR(IF(Y176=0,"",ROUNDUP(Y176/H176,0)*0.00902),"")</f>
        <v>1.804E-2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7.53</v>
      </c>
      <c r="BN176" s="78">
        <f t="shared" si="17"/>
        <v>7.53</v>
      </c>
      <c r="BO176" s="78">
        <f t="shared" si="18"/>
        <v>1.5151515151515152E-2</v>
      </c>
      <c r="BP176" s="78">
        <f t="shared" si="19"/>
        <v>1.5151515151515152E-2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17.5</v>
      </c>
      <c r="Y177" s="55">
        <f t="shared" si="15"/>
        <v>17.5</v>
      </c>
      <c r="Z177" s="41">
        <f>IFERROR(IF(Y177=0,"",ROUNDUP(Y177/H177,0)*0.00902),"")</f>
        <v>4.5100000000000001E-2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18.45</v>
      </c>
      <c r="BN177" s="78">
        <f t="shared" si="17"/>
        <v>18.45</v>
      </c>
      <c r="BO177" s="78">
        <f t="shared" si="18"/>
        <v>3.787878787878788E-2</v>
      </c>
      <c r="BP177" s="78">
        <f t="shared" si="19"/>
        <v>3.787878787878788E-2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24.5</v>
      </c>
      <c r="Y178" s="55">
        <f t="shared" si="15"/>
        <v>24.5</v>
      </c>
      <c r="Z178" s="41">
        <f>IFERROR(IF(Y178=0,"",ROUNDUP(Y178/H178,0)*0.00902),"")</f>
        <v>6.3140000000000002E-2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25.830000000000002</v>
      </c>
      <c r="BN178" s="78">
        <f t="shared" si="17"/>
        <v>25.830000000000002</v>
      </c>
      <c r="BO178" s="78">
        <f t="shared" si="18"/>
        <v>5.3030303030303032E-2</v>
      </c>
      <c r="BP178" s="78">
        <f t="shared" si="19"/>
        <v>5.3030303030303032E-2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8.4</v>
      </c>
      <c r="Y180" s="55">
        <f t="shared" si="15"/>
        <v>8.4</v>
      </c>
      <c r="Z180" s="41">
        <f>IFERROR(IF(Y180=0,"",ROUNDUP(Y180/H180,0)*0.00502),"")</f>
        <v>2.5100000000000001E-2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8.9000000000000021</v>
      </c>
      <c r="BN180" s="78">
        <f t="shared" si="17"/>
        <v>8.9000000000000021</v>
      </c>
      <c r="BO180" s="78">
        <f t="shared" si="18"/>
        <v>2.1367521367521368E-2</v>
      </c>
      <c r="BP180" s="78">
        <f t="shared" si="19"/>
        <v>2.1367521367521368E-2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5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8.9000000000000021</v>
      </c>
      <c r="BN182" s="78">
        <f t="shared" si="17"/>
        <v>8.9000000000000021</v>
      </c>
      <c r="BO182" s="78">
        <f t="shared" si="18"/>
        <v>2.1367521367521368E-2</v>
      </c>
      <c r="BP182" s="78">
        <f t="shared" si="19"/>
        <v>2.1367521367521368E-2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8.4</v>
      </c>
      <c r="Y184" s="55">
        <f t="shared" si="15"/>
        <v>8.4</v>
      </c>
      <c r="Z184" s="41">
        <f>IFERROR(IF(Y184=0,"",ROUNDUP(Y184/H184,0)*0.00502),"")</f>
        <v>2.5100000000000001E-2</v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8.9000000000000021</v>
      </c>
      <c r="BN184" s="78">
        <f t="shared" si="17"/>
        <v>8.9000000000000021</v>
      </c>
      <c r="BO184" s="78">
        <f t="shared" si="18"/>
        <v>2.1367521367521368E-2</v>
      </c>
      <c r="BP184" s="78">
        <f t="shared" si="19"/>
        <v>2.1367521367521368E-2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39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0.29178000000000004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109.20000000000002</v>
      </c>
      <c r="Y186" s="43">
        <f>IFERROR(SUM(Y175:Y184),"0")</f>
        <v>109.20000000000002</v>
      </c>
      <c r="Z186" s="42"/>
      <c r="AA186" s="67"/>
      <c r="AB186" s="67"/>
      <c r="AC186" s="67"/>
    </row>
    <row r="187" spans="1:68" ht="14.25" hidden="1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21</v>
      </c>
      <c r="Y218" s="55">
        <f t="shared" ref="Y218:Y231" si="26">IFERROR(IF(X218="",0,CEILING((X218/$H218),1)*$H218),"")</f>
        <v>21</v>
      </c>
      <c r="Z218" s="41">
        <f>IFERROR(IF(Y218=0,"",ROUNDUP(Y218/H218,0)*0.00902),"")</f>
        <v>4.5100000000000001E-2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22.25</v>
      </c>
      <c r="BN218" s="78">
        <f t="shared" ref="BN218:BN231" si="28">IFERROR(Y218*I218/H218,"0")</f>
        <v>22.25</v>
      </c>
      <c r="BO218" s="78">
        <f t="shared" ref="BO218:BO231" si="29">IFERROR(1/J218*(X218/H218),"0")</f>
        <v>3.787878787878788E-2</v>
      </c>
      <c r="BP218" s="78">
        <f t="shared" ref="BP218:BP231" si="30">IFERROR(1/J218*(Y218/H218),"0")</f>
        <v>3.787878787878788E-2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21</v>
      </c>
      <c r="Y219" s="55">
        <f t="shared" si="26"/>
        <v>21</v>
      </c>
      <c r="Z219" s="41">
        <f>IFERROR(IF(Y219=0,"",ROUNDUP(Y219/H219,0)*0.00902),"")</f>
        <v>4.5100000000000001E-2</v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22.25</v>
      </c>
      <c r="BN219" s="78">
        <f t="shared" si="28"/>
        <v>22.25</v>
      </c>
      <c r="BO219" s="78">
        <f t="shared" si="29"/>
        <v>3.787878787878788E-2</v>
      </c>
      <c r="BP219" s="78">
        <f t="shared" si="30"/>
        <v>3.787878787878788E-2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21</v>
      </c>
      <c r="Y220" s="55">
        <f t="shared" si="26"/>
        <v>21</v>
      </c>
      <c r="Z220" s="41">
        <f>IFERROR(IF(Y220=0,"",ROUNDUP(Y220/H220,0)*0.00902),"")</f>
        <v>4.5100000000000001E-2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21.95</v>
      </c>
      <c r="BN220" s="78">
        <f t="shared" si="28"/>
        <v>21.95</v>
      </c>
      <c r="BO220" s="78">
        <f t="shared" si="29"/>
        <v>3.787878787878788E-2</v>
      </c>
      <c r="BP220" s="78">
        <f t="shared" si="30"/>
        <v>3.787878787878788E-2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10.5</v>
      </c>
      <c r="Y223" s="55">
        <f t="shared" si="26"/>
        <v>10.5</v>
      </c>
      <c r="Z223" s="41">
        <f>IFERROR(IF(Y223=0,"",ROUNDUP(Y223/H223,0)*0.00502),"")</f>
        <v>2.5100000000000001E-2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11.149999999999999</v>
      </c>
      <c r="BN223" s="78">
        <f t="shared" si="28"/>
        <v>11.149999999999999</v>
      </c>
      <c r="BO223" s="78">
        <f t="shared" si="29"/>
        <v>2.1367521367521368E-2</v>
      </c>
      <c r="BP223" s="78">
        <f t="shared" si="30"/>
        <v>2.1367521367521368E-2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9</v>
      </c>
      <c r="Y224" s="55">
        <f t="shared" si="26"/>
        <v>9</v>
      </c>
      <c r="Z224" s="41">
        <f>IFERROR(IF(Y224=0,"",ROUNDUP(Y224/H224,0)*0.00502),"")</f>
        <v>2.5100000000000001E-2</v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9.4999999999999982</v>
      </c>
      <c r="BN224" s="78">
        <f t="shared" si="28"/>
        <v>9.4999999999999982</v>
      </c>
      <c r="BO224" s="78">
        <f t="shared" si="29"/>
        <v>2.1367521367521368E-2</v>
      </c>
      <c r="BP224" s="78">
        <f t="shared" si="30"/>
        <v>2.1367521367521368E-2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10.5</v>
      </c>
      <c r="Y225" s="55">
        <f t="shared" si="26"/>
        <v>10.5</v>
      </c>
      <c r="Z225" s="41">
        <f>IFERROR(IF(Y225=0,"",ROUNDUP(Y225/H225,0)*0.00502),"")</f>
        <v>2.5100000000000001E-2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11.149999999999999</v>
      </c>
      <c r="BN225" s="78">
        <f t="shared" si="28"/>
        <v>11.149999999999999</v>
      </c>
      <c r="BO225" s="78">
        <f t="shared" si="29"/>
        <v>2.1367521367521368E-2</v>
      </c>
      <c r="BP225" s="78">
        <f t="shared" si="30"/>
        <v>2.1367521367521368E-2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9</v>
      </c>
      <c r="Y226" s="55">
        <f t="shared" si="26"/>
        <v>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9.65</v>
      </c>
      <c r="BN226" s="78">
        <f t="shared" si="28"/>
        <v>9.65</v>
      </c>
      <c r="BO226" s="78">
        <f t="shared" si="29"/>
        <v>2.1367521367521368E-2</v>
      </c>
      <c r="BP226" s="78">
        <f t="shared" si="30"/>
        <v>2.1367521367521368E-2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9</v>
      </c>
      <c r="Y227" s="55">
        <f t="shared" si="26"/>
        <v>9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9.65</v>
      </c>
      <c r="BN227" s="78">
        <f t="shared" si="28"/>
        <v>9.65</v>
      </c>
      <c r="BO227" s="78">
        <f t="shared" si="29"/>
        <v>2.1367521367521368E-2</v>
      </c>
      <c r="BP227" s="78">
        <f t="shared" si="30"/>
        <v>2.1367521367521368E-2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6"/>
        <v>10.5</v>
      </c>
      <c r="Z229" s="41">
        <f>IFERROR(IF(Y229=0,"",ROUNDUP(Y229/H229,0)*0.00502),"")</f>
        <v>2.5100000000000001E-2</v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11</v>
      </c>
      <c r="BN229" s="78">
        <f t="shared" si="28"/>
        <v>11</v>
      </c>
      <c r="BO229" s="78">
        <f t="shared" si="29"/>
        <v>2.1367521367521368E-2</v>
      </c>
      <c r="BP229" s="78">
        <f t="shared" si="30"/>
        <v>2.1367521367521368E-2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45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45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0.28590000000000004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121.5</v>
      </c>
      <c r="Y233" s="43">
        <f>IFERROR(SUM(Y218:Y231),"0")</f>
        <v>121.5</v>
      </c>
      <c r="Z233" s="42"/>
      <c r="AA233" s="67"/>
      <c r="AB233" s="67"/>
      <c r="AC233" s="67"/>
    </row>
    <row r="234" spans="1:68" ht="14.25" hidden="1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27</v>
      </c>
      <c r="Y264" s="55">
        <f t="shared" ref="Y264:Y271" si="31">IFERROR(IF(X264="",0,CEILING((X264/$H264),1)*$H264),"")</f>
        <v>27</v>
      </c>
      <c r="Z264" s="41">
        <f>IFERROR(IF(Y264=0,"",ROUNDUP(Y264/H264,0)*0.00902),"")</f>
        <v>4.5100000000000001E-2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27.95</v>
      </c>
      <c r="BN264" s="78">
        <f t="shared" ref="BN264:BN271" si="33">IFERROR(Y264*I264/H264,"0")</f>
        <v>27.95</v>
      </c>
      <c r="BO264" s="78">
        <f t="shared" ref="BO264:BO271" si="34">IFERROR(1/J264*(X264/H264),"0")</f>
        <v>3.787878787878788E-2</v>
      </c>
      <c r="BP264" s="78">
        <f t="shared" ref="BP264:BP271" si="35">IFERROR(1/J264*(Y264/H264),"0")</f>
        <v>3.787878787878788E-2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27</v>
      </c>
      <c r="Y265" s="55">
        <f t="shared" si="31"/>
        <v>27</v>
      </c>
      <c r="Z265" s="41">
        <f>IFERROR(IF(Y265=0,"",ROUNDUP(Y265/H265,0)*0.00902),"")</f>
        <v>4.5100000000000001E-2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27.95</v>
      </c>
      <c r="BN265" s="78">
        <f t="shared" si="33"/>
        <v>27.95</v>
      </c>
      <c r="BO265" s="78">
        <f t="shared" si="34"/>
        <v>3.787878787878788E-2</v>
      </c>
      <c r="BP265" s="78">
        <f t="shared" si="35"/>
        <v>3.787878787878788E-2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si="31"/>
        <v>27</v>
      </c>
      <c r="Z266" s="41">
        <f>IFERROR(IF(Y266=0,"",ROUNDUP(Y266/H266,0)*0.00902),"")</f>
        <v>4.5100000000000001E-2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27.95</v>
      </c>
      <c r="BN266" s="78">
        <f t="shared" si="33"/>
        <v>27.95</v>
      </c>
      <c r="BO266" s="78">
        <f t="shared" si="34"/>
        <v>3.787878787878788E-2</v>
      </c>
      <c r="BP266" s="78">
        <f t="shared" si="35"/>
        <v>3.787878787878788E-2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27</v>
      </c>
      <c r="Y267" s="55">
        <f t="shared" si="31"/>
        <v>27</v>
      </c>
      <c r="Z267" s="41">
        <f>IFERROR(IF(Y267=0,"",ROUNDUP(Y267/H267,0)*0.00902),"")</f>
        <v>4.5100000000000001E-2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27.95</v>
      </c>
      <c r="BN267" s="78">
        <f t="shared" si="33"/>
        <v>27.95</v>
      </c>
      <c r="BO267" s="78">
        <f t="shared" si="34"/>
        <v>3.787878787878788E-2</v>
      </c>
      <c r="BP267" s="78">
        <f t="shared" si="35"/>
        <v>3.787878787878788E-2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9</v>
      </c>
      <c r="Y268" s="55">
        <f t="shared" si="31"/>
        <v>9</v>
      </c>
      <c r="Z268" s="41">
        <f>IFERROR(IF(Y268=0,"",ROUNDUP(Y268/H268,0)*0.00502),"")</f>
        <v>2.5100000000000001E-2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9.65</v>
      </c>
      <c r="BN268" s="78">
        <f t="shared" si="33"/>
        <v>9.65</v>
      </c>
      <c r="BO268" s="78">
        <f t="shared" si="34"/>
        <v>2.1367521367521368E-2</v>
      </c>
      <c r="BP268" s="78">
        <f t="shared" si="35"/>
        <v>2.1367521367521368E-2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9</v>
      </c>
      <c r="Y270" s="55">
        <f t="shared" si="31"/>
        <v>9</v>
      </c>
      <c r="Z270" s="41">
        <f>IFERROR(IF(Y270=0,"",ROUNDUP(Y270/H270,0)*0.00502),"")</f>
        <v>2.5100000000000001E-2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9.4999999999999982</v>
      </c>
      <c r="BN270" s="78">
        <f t="shared" si="33"/>
        <v>9.4999999999999982</v>
      </c>
      <c r="BO270" s="78">
        <f t="shared" si="34"/>
        <v>2.1367521367521368E-2</v>
      </c>
      <c r="BP270" s="78">
        <f t="shared" si="35"/>
        <v>2.1367521367521368E-2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9</v>
      </c>
      <c r="Y271" s="55">
        <f t="shared" si="31"/>
        <v>9</v>
      </c>
      <c r="Z271" s="41">
        <f>IFERROR(IF(Y271=0,"",ROUNDUP(Y271/H271,0)*0.00502),"")</f>
        <v>2.5100000000000001E-2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9.4999999999999982</v>
      </c>
      <c r="BN271" s="78">
        <f t="shared" si="33"/>
        <v>9.4999999999999982</v>
      </c>
      <c r="BO271" s="78">
        <f t="shared" si="34"/>
        <v>2.1367521367521368E-2</v>
      </c>
      <c r="BP271" s="78">
        <f t="shared" si="35"/>
        <v>2.1367521367521368E-2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35</v>
      </c>
      <c r="Y272" s="43">
        <f>IFERROR(Y264/H264,"0")+IFERROR(Y265/H265,"0")+IFERROR(Y266/H266,"0")+IFERROR(Y267/H267,"0")+IFERROR(Y268/H268,"0")+IFERROR(Y269/H269,"0")+IFERROR(Y270/H270,"0")+IFERROR(Y271/H271,"0")</f>
        <v>35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0.25570000000000004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135</v>
      </c>
      <c r="Y273" s="43">
        <f>IFERROR(SUM(Y264:Y271),"0")</f>
        <v>135</v>
      </c>
      <c r="Z273" s="42"/>
      <c r="AA273" s="67"/>
      <c r="AB273" s="67"/>
      <c r="AC273" s="67"/>
    </row>
    <row r="274" spans="1:68" ht="14.25" hidden="1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8.1</v>
      </c>
      <c r="Y275" s="55">
        <f t="shared" ref="Y275:Y285" si="36">IFERROR(IF(X275="",0,CEILING((X275/$H275),1)*$H275),"")</f>
        <v>8.1</v>
      </c>
      <c r="Z275" s="41">
        <f>IFERROR(IF(Y275=0,"",ROUNDUP(Y275/H275,0)*0.01898),"")</f>
        <v>1.898E-2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8.5939999999999994</v>
      </c>
      <c r="BN275" s="78">
        <f t="shared" ref="BN275:BN285" si="38">IFERROR(Y275*I275/H275,"0")</f>
        <v>8.5939999999999994</v>
      </c>
      <c r="BO275" s="78">
        <f t="shared" ref="BO275:BO285" si="39">IFERROR(1/J275*(X275/H275),"0")</f>
        <v>1.5625E-2</v>
      </c>
      <c r="BP275" s="78">
        <f t="shared" ref="BP275:BP285" si="40">IFERROR(1/J275*(Y275/H275),"0")</f>
        <v>1.5625E-2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8.1</v>
      </c>
      <c r="Y276" s="55">
        <f t="shared" si="36"/>
        <v>8.1</v>
      </c>
      <c r="Z276" s="41">
        <f>IFERROR(IF(Y276=0,"",ROUNDUP(Y276/H276,0)*0.01898),"")</f>
        <v>1.898E-2</v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8.5760000000000005</v>
      </c>
      <c r="BN276" s="78">
        <f t="shared" si="38"/>
        <v>8.5760000000000005</v>
      </c>
      <c r="BO276" s="78">
        <f t="shared" si="39"/>
        <v>1.5625E-2</v>
      </c>
      <c r="BP276" s="78">
        <f t="shared" si="40"/>
        <v>1.5625E-2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3.7960000000000001E-2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16.2</v>
      </c>
      <c r="Y287" s="43">
        <f>IFERROR(SUM(Y275:Y285),"0")</f>
        <v>16.2</v>
      </c>
      <c r="Z287" s="42"/>
      <c r="AA287" s="67"/>
      <c r="AB287" s="67"/>
      <c r="AC287" s="67"/>
    </row>
    <row r="288" spans="1:68" ht="14.25" hidden="1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108</v>
      </c>
      <c r="Y321" s="55">
        <f t="shared" ref="Y321:Y327" si="46">IFERROR(IF(X321="",0,CEILING((X321/$H321),1)*$H321),"")</f>
        <v>108</v>
      </c>
      <c r="Z321" s="41">
        <f>IFERROR(IF(Y321=0,"",ROUNDUP(Y321/H321,0)*0.01898),"")</f>
        <v>0.1898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112.1</v>
      </c>
      <c r="BN321" s="78">
        <f t="shared" ref="BN321:BN327" si="48">IFERROR(Y321*I321/H321,"0")</f>
        <v>112.1</v>
      </c>
      <c r="BO321" s="78">
        <f t="shared" ref="BO321:BO327" si="49">IFERROR(1/J321*(X321/H321),"0")</f>
        <v>0.15625</v>
      </c>
      <c r="BP321" s="78">
        <f t="shared" ref="BP321:BP327" si="50">IFERROR(1/J321*(Y321/H321),"0")</f>
        <v>0.15625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54</v>
      </c>
      <c r="Y323" s="55">
        <f t="shared" si="46"/>
        <v>54</v>
      </c>
      <c r="Z323" s="41">
        <f>IFERROR(IF(Y323=0,"",ROUNDUP(Y323/H323,0)*0.01898),"")</f>
        <v>9.4899999999999998E-2</v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56.05</v>
      </c>
      <c r="BN323" s="78">
        <f t="shared" si="48"/>
        <v>56.05</v>
      </c>
      <c r="BO323" s="78">
        <f t="shared" si="49"/>
        <v>7.8125E-2</v>
      </c>
      <c r="BP323" s="78">
        <f t="shared" si="50"/>
        <v>7.8125E-2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43.2</v>
      </c>
      <c r="Y324" s="55">
        <f t="shared" si="46"/>
        <v>43.2</v>
      </c>
      <c r="Z324" s="41">
        <f>IFERROR(IF(Y324=0,"",ROUNDUP(Y324/H324,0)*0.01898),"")</f>
        <v>7.5920000000000001E-2</v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44.84</v>
      </c>
      <c r="BN324" s="78">
        <f t="shared" si="48"/>
        <v>44.84</v>
      </c>
      <c r="BO324" s="78">
        <f t="shared" si="49"/>
        <v>6.25E-2</v>
      </c>
      <c r="BP324" s="78">
        <f t="shared" si="50"/>
        <v>6.25E-2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108</v>
      </c>
      <c r="Y325" s="55">
        <f t="shared" si="46"/>
        <v>108</v>
      </c>
      <c r="Z325" s="41">
        <f>IFERROR(IF(Y325=0,"",ROUNDUP(Y325/H325,0)*0.01898),"")</f>
        <v>0.1898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112.1</v>
      </c>
      <c r="BN325" s="78">
        <f t="shared" si="48"/>
        <v>112.1</v>
      </c>
      <c r="BO325" s="78">
        <f t="shared" si="49"/>
        <v>0.15625</v>
      </c>
      <c r="BP325" s="78">
        <f t="shared" si="50"/>
        <v>0.15625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29</v>
      </c>
      <c r="Y328" s="43">
        <f>IFERROR(Y321/H321,"0")+IFERROR(Y322/H322,"0")+IFERROR(Y323/H323,"0")+IFERROR(Y324/H324,"0")+IFERROR(Y325/H325,"0")+IFERROR(Y326/H326,"0")+IFERROR(Y327/H327,"0")</f>
        <v>29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0.55042000000000002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313.2</v>
      </c>
      <c r="Y329" s="43">
        <f>IFERROR(SUM(Y321:Y327),"0")</f>
        <v>313.2</v>
      </c>
      <c r="Z329" s="42"/>
      <c r="AA329" s="67"/>
      <c r="AB329" s="67"/>
      <c r="AC329" s="67"/>
    </row>
    <row r="330" spans="1:68" ht="16.5" hidden="1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10.5</v>
      </c>
      <c r="Y339" s="55">
        <f>IFERROR(IF(X339="",0,CEILING((X339/$H339),1)*$H339),"")</f>
        <v>10.5</v>
      </c>
      <c r="Z339" s="41">
        <f>IFERROR(IF(Y339=0,"",ROUNDUP(Y339/H339,0)*0.00502),"")</f>
        <v>2.5100000000000001E-2</v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11.149999999999999</v>
      </c>
      <c r="BN339" s="78">
        <f>IFERROR(Y339*I339/H339,"0")</f>
        <v>11.149999999999999</v>
      </c>
      <c r="BO339" s="78">
        <f>IFERROR(1/J339*(X339/H339),"0")</f>
        <v>2.1367521367521368E-2</v>
      </c>
      <c r="BP339" s="78">
        <f>IFERROR(1/J339*(Y339/H339),"0")</f>
        <v>2.1367521367521368E-2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9.2799999999999994</v>
      </c>
      <c r="Y340" s="55">
        <f>IFERROR(IF(X340="",0,CEILING((X340/$H340),1)*$H340),"")</f>
        <v>9.2799999999999994</v>
      </c>
      <c r="Z340" s="41">
        <f>IFERROR(IF(Y340=0,"",ROUNDUP(Y340/H340,0)*0.00502),"")</f>
        <v>2.0080000000000001E-2</v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9.68</v>
      </c>
      <c r="BN340" s="78">
        <f>IFERROR(Y340*I340/H340,"0")</f>
        <v>9.68</v>
      </c>
      <c r="BO340" s="78">
        <f>IFERROR(1/J340*(X340/H340),"0")</f>
        <v>1.7094017094017096E-2</v>
      </c>
      <c r="BP340" s="78">
        <f>IFERROR(1/J340*(Y340/H340),"0")</f>
        <v>1.7094017094017096E-2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16.8</v>
      </c>
      <c r="Y341" s="55">
        <f>IFERROR(IF(X341="",0,CEILING((X341/$H341),1)*$H341),"")</f>
        <v>16.8</v>
      </c>
      <c r="Z341" s="41">
        <f>IFERROR(IF(Y341=0,"",ROUNDUP(Y341/H341,0)*0.00502),"")</f>
        <v>5.0200000000000002E-2</v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17.800000000000004</v>
      </c>
      <c r="BN341" s="78">
        <f>IFERROR(Y341*I341/H341,"0")</f>
        <v>17.800000000000004</v>
      </c>
      <c r="BO341" s="78">
        <f>IFERROR(1/J341*(X341/H341),"0")</f>
        <v>4.2735042735042736E-2</v>
      </c>
      <c r="BP341" s="78">
        <f>IFERROR(1/J341*(Y341/H341),"0")</f>
        <v>4.2735042735042736E-2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19</v>
      </c>
      <c r="Y343" s="43">
        <f>IFERROR(Y339/H339,"0")+IFERROR(Y340/H340,"0")+IFERROR(Y341/H341,"0")+IFERROR(Y342/H342,"0")</f>
        <v>19</v>
      </c>
      <c r="Z343" s="43">
        <f>IFERROR(IF(Z339="",0,Z339),"0")+IFERROR(IF(Z340="",0,Z340),"0")+IFERROR(IF(Z341="",0,Z341),"0")+IFERROR(IF(Z342="",0,Z342),"0")</f>
        <v>9.5379999999999993E-2</v>
      </c>
      <c r="AA343" s="67"/>
      <c r="AB343" s="67"/>
      <c r="AC343" s="67"/>
    </row>
    <row r="344" spans="1:68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36.58</v>
      </c>
      <c r="Y344" s="43">
        <f>IFERROR(SUM(Y339:Y342),"0")</f>
        <v>36.58</v>
      </c>
      <c r="Z344" s="42"/>
      <c r="AA344" s="67"/>
      <c r="AB344" s="67"/>
      <c r="AC344" s="67"/>
    </row>
    <row r="345" spans="1:68" ht="14.25" hidden="1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17.52</v>
      </c>
      <c r="Y353" s="55">
        <f>IFERROR(IF(X353="",0,CEILING((X353/$H353),1)*$H353),"")</f>
        <v>17.52</v>
      </c>
      <c r="Z353" s="41">
        <f>IFERROR(IF(Y353=0,"",ROUNDUP(Y353/H353,0)*0.00902),"")</f>
        <v>3.6080000000000001E-2</v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18.28</v>
      </c>
      <c r="BN353" s="78">
        <f>IFERROR(Y353*I353/H353,"0")</f>
        <v>18.28</v>
      </c>
      <c r="BO353" s="78">
        <f>IFERROR(1/J353*(X353/H353),"0")</f>
        <v>3.0303030303030304E-2</v>
      </c>
      <c r="BP353" s="78">
        <f>IFERROR(1/J353*(Y353/H353),"0")</f>
        <v>3.0303030303030304E-2</v>
      </c>
    </row>
    <row r="354" spans="1:68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4</v>
      </c>
      <c r="Y354" s="43">
        <f>IFERROR(Y353/H353,"0")</f>
        <v>4</v>
      </c>
      <c r="Z354" s="43">
        <f>IFERROR(IF(Z353="",0,Z353),"0")</f>
        <v>3.6080000000000001E-2</v>
      </c>
      <c r="AA354" s="67"/>
      <c r="AB354" s="67"/>
      <c r="AC354" s="67"/>
    </row>
    <row r="355" spans="1:68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17.52</v>
      </c>
      <c r="Y355" s="43">
        <f>IFERROR(SUM(Y353:Y353),"0")</f>
        <v>17.52</v>
      </c>
      <c r="Z355" s="42"/>
      <c r="AA355" s="67"/>
      <c r="AB355" s="67"/>
      <c r="AC355" s="67"/>
    </row>
    <row r="356" spans="1:68" ht="14.25" hidden="1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15.6</v>
      </c>
      <c r="Y362" s="55">
        <f>IFERROR(IF(X362="",0,CEILING((X362/$H362),1)*$H362),"")</f>
        <v>15.6</v>
      </c>
      <c r="Z362" s="41">
        <f>IFERROR(IF(Y362=0,"",ROUNDUP(Y362/H362,0)*0.01898),"")</f>
        <v>3.7960000000000001E-2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16.420000000000002</v>
      </c>
      <c r="BN362" s="78">
        <f>IFERROR(Y362*I362/H362,"0")</f>
        <v>16.420000000000002</v>
      </c>
      <c r="BO362" s="78">
        <f>IFERROR(1/J362*(X362/H362),"0")</f>
        <v>3.125E-2</v>
      </c>
      <c r="BP362" s="78">
        <f>IFERROR(1/J362*(Y362/H362),"0")</f>
        <v>3.125E-2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15.6</v>
      </c>
      <c r="Y363" s="55">
        <f>IFERROR(IF(X363="",0,CEILING((X363/$H363),1)*$H363),"")</f>
        <v>15.6</v>
      </c>
      <c r="Z363" s="41">
        <f>IFERROR(IF(Y363=0,"",ROUNDUP(Y363/H363,0)*0.01898),"")</f>
        <v>3.7960000000000001E-2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16.420000000000002</v>
      </c>
      <c r="BN363" s="78">
        <f>IFERROR(Y363*I363/H363,"0")</f>
        <v>16.420000000000002</v>
      </c>
      <c r="BO363" s="78">
        <f>IFERROR(1/J363*(X363/H363),"0")</f>
        <v>3.125E-2</v>
      </c>
      <c r="BP363" s="78">
        <f>IFERROR(1/J363*(Y363/H363),"0")</f>
        <v>3.125E-2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15.6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16.420000000000002</v>
      </c>
      <c r="BN364" s="78">
        <f>IFERROR(Y364*I364/H364,"0")</f>
        <v>16.420000000000002</v>
      </c>
      <c r="BO364" s="78">
        <f>IFERROR(1/J364*(X364/H364),"0")</f>
        <v>3.125E-2</v>
      </c>
      <c r="BP364" s="78">
        <f>IFERROR(1/J364*(Y364/H364),"0")</f>
        <v>3.125E-2</v>
      </c>
    </row>
    <row r="365" spans="1:68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6</v>
      </c>
      <c r="Y365" s="43">
        <f>IFERROR(Y362/H362,"0")+IFERROR(Y363/H363,"0")+IFERROR(Y364/H364,"0")</f>
        <v>6</v>
      </c>
      <c r="Z365" s="43">
        <f>IFERROR(IF(Z362="",0,Z362),"0")+IFERROR(IF(Z363="",0,Z363),"0")+IFERROR(IF(Z364="",0,Z364),"0")</f>
        <v>0.11388000000000001</v>
      </c>
      <c r="AA365" s="67"/>
      <c r="AB365" s="67"/>
      <c r="AC365" s="67"/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46.8</v>
      </c>
      <c r="Y366" s="43">
        <f>IFERROR(SUM(Y362:Y364),"0")</f>
        <v>46.8</v>
      </c>
      <c r="Z366" s="42"/>
      <c r="AA366" s="67"/>
      <c r="AB366" s="67"/>
      <c r="AC366" s="67"/>
    </row>
    <row r="367" spans="1:68" ht="16.5" hidden="1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691.2</v>
      </c>
      <c r="Y369" s="55">
        <f t="shared" ref="Y369:Y375" si="51">IFERROR(IF(X369="",0,CEILING((X369/$H369),1)*$H369),"")</f>
        <v>691.2</v>
      </c>
      <c r="Z369" s="41">
        <f>IFERROR(IF(Y369=0,"",ROUNDUP(Y369/H369,0)*0.01898),"")</f>
        <v>1.21472</v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717.44</v>
      </c>
      <c r="BN369" s="78">
        <f t="shared" ref="BN369:BN375" si="53">IFERROR(Y369*I369/H369,"0")</f>
        <v>717.44</v>
      </c>
      <c r="BO369" s="78">
        <f t="shared" ref="BO369:BO375" si="54">IFERROR(1/J369*(X369/H369),"0")</f>
        <v>1</v>
      </c>
      <c r="BP369" s="78">
        <f t="shared" ref="BP369:BP375" si="55">IFERROR(1/J369*(Y369/H369),"0")</f>
        <v>1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108</v>
      </c>
      <c r="Y370" s="55">
        <f t="shared" si="51"/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112.1</v>
      </c>
      <c r="BN370" s="78">
        <f t="shared" si="53"/>
        <v>112.1</v>
      </c>
      <c r="BO370" s="78">
        <f t="shared" si="54"/>
        <v>0.15625</v>
      </c>
      <c r="BP370" s="78">
        <f t="shared" si="55"/>
        <v>0.15625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54</v>
      </c>
      <c r="Y371" s="55">
        <f t="shared" si="51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56.05</v>
      </c>
      <c r="BN371" s="78">
        <f t="shared" si="53"/>
        <v>56.05</v>
      </c>
      <c r="BO371" s="78">
        <f t="shared" si="54"/>
        <v>7.8125E-2</v>
      </c>
      <c r="BP371" s="78">
        <f t="shared" si="55"/>
        <v>7.8125E-2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54</v>
      </c>
      <c r="Y372" s="55">
        <f t="shared" si="51"/>
        <v>54</v>
      </c>
      <c r="Z372" s="41">
        <f>IFERROR(IF(Y372=0,"",ROUNDUP(Y372/H372,0)*0.01898),"")</f>
        <v>9.4899999999999998E-2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56.05</v>
      </c>
      <c r="BN372" s="78">
        <f t="shared" si="53"/>
        <v>56.05</v>
      </c>
      <c r="BO372" s="78">
        <f t="shared" si="54"/>
        <v>7.8125E-2</v>
      </c>
      <c r="BP372" s="78">
        <f t="shared" si="55"/>
        <v>7.8125E-2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16</v>
      </c>
      <c r="Y374" s="55">
        <f t="shared" si="51"/>
        <v>16</v>
      </c>
      <c r="Z374" s="41">
        <f>IFERROR(IF(Y374=0,"",ROUNDUP(Y374/H374,0)*0.00902),"")</f>
        <v>3.6080000000000001E-2</v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16.760000000000002</v>
      </c>
      <c r="BN374" s="78">
        <f t="shared" si="53"/>
        <v>16.760000000000002</v>
      </c>
      <c r="BO374" s="78">
        <f t="shared" si="54"/>
        <v>3.0303030303030304E-2</v>
      </c>
      <c r="BP374" s="78">
        <f t="shared" si="55"/>
        <v>3.0303030303030304E-2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16</v>
      </c>
      <c r="Y375" s="55">
        <f t="shared" si="51"/>
        <v>16</v>
      </c>
      <c r="Z375" s="41">
        <f>IFERROR(IF(Y375=0,"",ROUNDUP(Y375/H375,0)*0.00902),"")</f>
        <v>3.6080000000000001E-2</v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16.760000000000002</v>
      </c>
      <c r="BN375" s="78">
        <f t="shared" si="53"/>
        <v>16.760000000000002</v>
      </c>
      <c r="BO375" s="78">
        <f t="shared" si="54"/>
        <v>3.0303030303030304E-2</v>
      </c>
      <c r="BP375" s="78">
        <f t="shared" si="55"/>
        <v>3.0303030303030304E-2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92</v>
      </c>
      <c r="Y376" s="43">
        <f>IFERROR(Y369/H369,"0")+IFERROR(Y370/H370,"0")+IFERROR(Y371/H371,"0")+IFERROR(Y372/H372,"0")+IFERROR(Y373/H373,"0")+IFERROR(Y374/H374,"0")+IFERROR(Y375/H375,"0")</f>
        <v>92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1.66648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939.2</v>
      </c>
      <c r="Y377" s="43">
        <f>IFERROR(SUM(Y369:Y375),"0")</f>
        <v>939.2</v>
      </c>
      <c r="Z377" s="42"/>
      <c r="AA377" s="67"/>
      <c r="AB377" s="67"/>
      <c r="AC377" s="67"/>
    </row>
    <row r="378" spans="1:68" ht="14.25" hidden="1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42</v>
      </c>
      <c r="Y379" s="55">
        <f t="shared" ref="Y379:Y385" si="56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44.5</v>
      </c>
      <c r="BN379" s="78">
        <f t="shared" ref="BN379:BN385" si="58">IFERROR(Y379*I379/H379,"0")</f>
        <v>44.5</v>
      </c>
      <c r="BO379" s="78">
        <f t="shared" ref="BO379:BO385" si="59">IFERROR(1/J379*(X379/H379),"0")</f>
        <v>7.575757575757576E-2</v>
      </c>
      <c r="BP379" s="78">
        <f t="shared" ref="BP379:BP385" si="60">IFERROR(1/J379*(Y379/H379),"0")</f>
        <v>7.575757575757576E-2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42</v>
      </c>
      <c r="Y380" s="55">
        <f t="shared" si="56"/>
        <v>42</v>
      </c>
      <c r="Z380" s="41">
        <f>IFERROR(IF(Y380=0,"",ROUNDUP(Y380/H380,0)*0.00902),"")</f>
        <v>9.0200000000000002E-2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44.5</v>
      </c>
      <c r="BN380" s="78">
        <f t="shared" si="58"/>
        <v>44.5</v>
      </c>
      <c r="BO380" s="78">
        <f t="shared" si="59"/>
        <v>7.575757575757576E-2</v>
      </c>
      <c r="BP380" s="78">
        <f t="shared" si="60"/>
        <v>7.575757575757576E-2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21.9</v>
      </c>
      <c r="Y381" s="55">
        <f t="shared" si="56"/>
        <v>21.9</v>
      </c>
      <c r="Z381" s="41">
        <f>IFERROR(IF(Y381=0,"",ROUNDUP(Y381/H381,0)*0.00902),"")</f>
        <v>4.5100000000000001E-2</v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23.15</v>
      </c>
      <c r="BN381" s="78">
        <f t="shared" si="58"/>
        <v>23.15</v>
      </c>
      <c r="BO381" s="78">
        <f t="shared" si="59"/>
        <v>3.787878787878788E-2</v>
      </c>
      <c r="BP381" s="78">
        <f t="shared" si="60"/>
        <v>3.787878787878788E-2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56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22.299999999999997</v>
      </c>
      <c r="BN382" s="78">
        <f t="shared" si="58"/>
        <v>22.299999999999997</v>
      </c>
      <c r="BO382" s="78">
        <f t="shared" si="59"/>
        <v>4.2735042735042736E-2</v>
      </c>
      <c r="BP382" s="78">
        <f t="shared" si="60"/>
        <v>4.2735042735042736E-2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21</v>
      </c>
      <c r="Y383" s="55">
        <f t="shared" si="56"/>
        <v>21</v>
      </c>
      <c r="Z383" s="41">
        <f>IFERROR(IF(Y383=0,"",ROUNDUP(Y383/H383,0)*0.00502),"")</f>
        <v>5.0200000000000002E-2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22</v>
      </c>
      <c r="BN383" s="78">
        <f t="shared" si="58"/>
        <v>22</v>
      </c>
      <c r="BO383" s="78">
        <f t="shared" si="59"/>
        <v>4.2735042735042736E-2</v>
      </c>
      <c r="BP383" s="78">
        <f t="shared" si="60"/>
        <v>4.2735042735042736E-2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45</v>
      </c>
      <c r="Y386" s="43">
        <f>IFERROR(Y379/H379,"0")+IFERROR(Y380/H380,"0")+IFERROR(Y381/H381,"0")+IFERROR(Y382/H382,"0")+IFERROR(Y383/H383,"0")+IFERROR(Y384/H384,"0")+IFERROR(Y385/H385,"0")</f>
        <v>45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0.32590000000000002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147.9</v>
      </c>
      <c r="Y387" s="43">
        <f>IFERROR(SUM(Y379:Y385),"0")</f>
        <v>147.9</v>
      </c>
      <c r="Z387" s="42"/>
      <c r="AA387" s="67"/>
      <c r="AB387" s="67"/>
      <c r="AC387" s="67"/>
    </row>
    <row r="388" spans="1:68" ht="14.25" hidden="1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7.8</v>
      </c>
      <c r="Y390" s="55">
        <f>IFERROR(IF(X390="",0,CEILING((X390/$H390),1)*$H390),"")</f>
        <v>7.8</v>
      </c>
      <c r="Z390" s="41">
        <f>IFERROR(IF(Y390=0,"",ROUNDUP(Y390/H390,0)*0.01898),"")</f>
        <v>1.898E-2</v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8.2940000000000005</v>
      </c>
      <c r="BN390" s="78">
        <f>IFERROR(Y390*I390/H390,"0")</f>
        <v>8.2940000000000005</v>
      </c>
      <c r="BO390" s="78">
        <f>IFERROR(1/J390*(X390/H390),"0")</f>
        <v>1.5625E-2</v>
      </c>
      <c r="BP390" s="78">
        <f>IFERROR(1/J390*(Y390/H390),"0")</f>
        <v>1.5625E-2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8.1</v>
      </c>
      <c r="Y391" s="55">
        <f>IFERROR(IF(X391="",0,CEILING((X391/$H391),1)*$H391),"")</f>
        <v>8.1</v>
      </c>
      <c r="Z391" s="41">
        <f>IFERROR(IF(Y391=0,"",ROUNDUP(Y391/H391,0)*0.01898),"")</f>
        <v>1.898E-2</v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8.5760000000000005</v>
      </c>
      <c r="BN391" s="78">
        <f>IFERROR(Y391*I391/H391,"0")</f>
        <v>8.5760000000000005</v>
      </c>
      <c r="BO391" s="78">
        <f>IFERROR(1/J391*(X391/H391),"0")</f>
        <v>1.5625E-2</v>
      </c>
      <c r="BP391" s="78">
        <f>IFERROR(1/J391*(Y391/H391),"0")</f>
        <v>1.5625E-2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2</v>
      </c>
      <c r="Y393" s="43">
        <f>IFERROR(Y389/H389,"0")+IFERROR(Y390/H390,"0")+IFERROR(Y391/H391,"0")+IFERROR(Y392/H392,"0")</f>
        <v>2</v>
      </c>
      <c r="Z393" s="43">
        <f>IFERROR(IF(Z389="",0,Z389),"0")+IFERROR(IF(Z390="",0,Z390),"0")+IFERROR(IF(Z391="",0,Z391),"0")+IFERROR(IF(Z392="",0,Z392),"0")</f>
        <v>3.7960000000000001E-2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15.899999999999999</v>
      </c>
      <c r="Y394" s="43">
        <f>IFERROR(SUM(Y389:Y392),"0")</f>
        <v>15.899999999999999</v>
      </c>
      <c r="Z394" s="42"/>
      <c r="AA394" s="67"/>
      <c r="AB394" s="67"/>
      <c r="AC394" s="67"/>
    </row>
    <row r="395" spans="1:68" ht="14.25" hidden="1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42</v>
      </c>
      <c r="Y400" s="43">
        <f>IFERROR(SUM(Y396:Y398),"0")</f>
        <v>42</v>
      </c>
      <c r="Z400" s="42"/>
      <c r="AA400" s="67"/>
      <c r="AB400" s="67"/>
      <c r="AC400" s="67"/>
    </row>
    <row r="401" spans="1:68" ht="14.25" hidden="1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3.04</v>
      </c>
      <c r="Y403" s="55">
        <f>IFERROR(IF(X403="",0,CEILING((X403/$H403),1)*$H403),"")</f>
        <v>3.04</v>
      </c>
      <c r="Z403" s="41">
        <f>IFERROR(IF(Y403=0,"",ROUNDUP(Y403/H403,0)*0.00902),"")</f>
        <v>9.0200000000000002E-3</v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3.2699999999999996</v>
      </c>
      <c r="BN403" s="78">
        <f>IFERROR(Y403*I403/H403,"0")</f>
        <v>3.2699999999999996</v>
      </c>
      <c r="BO403" s="78">
        <f>IFERROR(1/J403*(X403/H403),"0")</f>
        <v>7.575757575757576E-3</v>
      </c>
      <c r="BP403" s="78">
        <f>IFERROR(1/J403*(Y403/H403),"0")</f>
        <v>7.575757575757576E-3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2.5499999999999998</v>
      </c>
      <c r="Y405" s="55">
        <f>IFERROR(IF(X405="",0,CEILING((X405/$H405),1)*$H405),"")</f>
        <v>2.5499999999999998</v>
      </c>
      <c r="Z405" s="41">
        <f>IFERROR(IF(Y405=0,"",ROUNDUP(Y405/H405,0)*0.00651),"")</f>
        <v>6.5100000000000002E-3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2.88</v>
      </c>
      <c r="BN405" s="78">
        <f>IFERROR(Y405*I405/H405,"0")</f>
        <v>2.88</v>
      </c>
      <c r="BO405" s="78">
        <f>IFERROR(1/J405*(X405/H405),"0")</f>
        <v>5.4945054945054949E-3</v>
      </c>
      <c r="BP405" s="78">
        <f>IFERROR(1/J405*(Y405/H405),"0")</f>
        <v>5.4945054945054949E-3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3</v>
      </c>
      <c r="Y406" s="43">
        <f>IFERROR(Y402/H402,"0")+IFERROR(Y403/H403,"0")+IFERROR(Y404/H404,"0")+IFERROR(Y405/H405,"0")</f>
        <v>3</v>
      </c>
      <c r="Z406" s="43">
        <f>IFERROR(IF(Z402="",0,Z402),"0")+IFERROR(IF(Z403="",0,Z403),"0")+IFERROR(IF(Z404="",0,Z404),"0")+IFERROR(IF(Z405="",0,Z405),"0")</f>
        <v>2.2040000000000001E-2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8.14</v>
      </c>
      <c r="Y407" s="43">
        <f>IFERROR(SUM(Y402:Y405),"0")</f>
        <v>8.14</v>
      </c>
      <c r="Z407" s="42"/>
      <c r="AA407" s="67"/>
      <c r="AB407" s="67"/>
      <c r="AC407" s="67"/>
    </row>
    <row r="408" spans="1:68" ht="14.25" hidden="1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40.5</v>
      </c>
      <c r="Y430" s="55">
        <f>IFERROR(IF(X430="",0,CEILING((X430/$H430),1)*$H430),"")</f>
        <v>40.5</v>
      </c>
      <c r="Z430" s="41">
        <f>IFERROR(IF(Y430=0,"",ROUNDUP(Y430/H430,0)*0.01898),"")</f>
        <v>9.4899999999999998E-2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42.97</v>
      </c>
      <c r="BN430" s="78">
        <f>IFERROR(Y430*I430/H430,"0")</f>
        <v>42.97</v>
      </c>
      <c r="BO430" s="78">
        <f>IFERROR(1/J430*(X430/H430),"0")</f>
        <v>7.8125E-2</v>
      </c>
      <c r="BP430" s="78">
        <f>IFERROR(1/J430*(Y430/H430),"0")</f>
        <v>7.8125E-2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6.3</v>
      </c>
      <c r="Y431" s="55">
        <f>IFERROR(IF(X431="",0,CEILING((X431/$H431),1)*$H431),"")</f>
        <v>6.3000000000000007</v>
      </c>
      <c r="Z431" s="41">
        <f>IFERROR(IF(Y431=0,"",ROUNDUP(Y431/H431,0)*0.00651),"")</f>
        <v>1.9529999999999999E-2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7.0559999999999992</v>
      </c>
      <c r="BN431" s="78">
        <f>IFERROR(Y431*I431/H431,"0")</f>
        <v>7.056</v>
      </c>
      <c r="BO431" s="78">
        <f>IFERROR(1/J431*(X431/H431),"0")</f>
        <v>1.6483516483516484E-2</v>
      </c>
      <c r="BP431" s="78">
        <f>IFERROR(1/J431*(Y431/H431),"0")</f>
        <v>1.6483516483516484E-2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6.3</v>
      </c>
      <c r="Y432" s="55">
        <f>IFERROR(IF(X432="",0,CEILING((X432/$H432),1)*$H432),"")</f>
        <v>6.3000000000000007</v>
      </c>
      <c r="Z432" s="41">
        <f>IFERROR(IF(Y432=0,"",ROUNDUP(Y432/H432,0)*0.00651),"")</f>
        <v>1.9529999999999999E-2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7.02</v>
      </c>
      <c r="BN432" s="78">
        <f>IFERROR(Y432*I432/H432,"0")</f>
        <v>7.0200000000000005</v>
      </c>
      <c r="BO432" s="78">
        <f>IFERROR(1/J432*(X432/H432),"0")</f>
        <v>1.6483516483516484E-2</v>
      </c>
      <c r="BP432" s="78">
        <f>IFERROR(1/J432*(Y432/H432),"0")</f>
        <v>1.6483516483516484E-2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11</v>
      </c>
      <c r="Y433" s="43">
        <f>IFERROR(Y430/H430,"0")+IFERROR(Y431/H431,"0")+IFERROR(Y432/H432,"0")</f>
        <v>11</v>
      </c>
      <c r="Z433" s="43">
        <f>IFERROR(IF(Z430="",0,Z430),"0")+IFERROR(IF(Z431="",0,Z431),"0")+IFERROR(IF(Z432="",0,Z432),"0")</f>
        <v>0.13396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53.099999999999994</v>
      </c>
      <c r="Y434" s="43">
        <f>IFERROR(SUM(Y430:Y432),"0")</f>
        <v>53.099999999999994</v>
      </c>
      <c r="Z434" s="42"/>
      <c r="AA434" s="67"/>
      <c r="AB434" s="67"/>
      <c r="AC434" s="67"/>
    </row>
    <row r="435" spans="1:68" ht="27.75" hidden="1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hidden="1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hidden="1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720</v>
      </c>
      <c r="Y442" s="55">
        <f t="shared" si="61"/>
        <v>720</v>
      </c>
      <c r="Z442" s="41">
        <f>IFERROR(IF(Y442=0,"",ROUNDUP(Y442/H442,0)*0.02175),"")</f>
        <v>1.044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742.56</v>
      </c>
      <c r="BN442" s="78">
        <f t="shared" si="63"/>
        <v>742.56</v>
      </c>
      <c r="BO442" s="78">
        <f t="shared" si="64"/>
        <v>1</v>
      </c>
      <c r="BP442" s="78">
        <f t="shared" si="65"/>
        <v>1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48</v>
      </c>
      <c r="Y446" s="43">
        <f>IFERROR(Y438/H438,"0")+IFERROR(Y439/H439,"0")+IFERROR(Y440/H440,"0")+IFERROR(Y441/H441,"0")+IFERROR(Y442/H442,"0")+IFERROR(Y443/H443,"0")+IFERROR(Y444/H444,"0")+IFERROR(Y445/H445,"0")</f>
        <v>48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1.044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720</v>
      </c>
      <c r="Y447" s="43">
        <f>IFERROR(SUM(Y438:Y445),"0")</f>
        <v>720</v>
      </c>
      <c r="Z447" s="42"/>
      <c r="AA447" s="67"/>
      <c r="AB447" s="67"/>
      <c r="AC447" s="67"/>
    </row>
    <row r="448" spans="1:68" ht="14.25" hidden="1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720</v>
      </c>
      <c r="Y449" s="55">
        <f>IFERROR(IF(X449="",0,CEILING((X449/$H449),1)*$H449),"")</f>
        <v>720</v>
      </c>
      <c r="Z449" s="41">
        <f>IFERROR(IF(Y449=0,"",ROUNDUP(Y449/H449,0)*0.02175),"")</f>
        <v>1.044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742.56</v>
      </c>
      <c r="BN449" s="78">
        <f>IFERROR(Y449*I449/H449,"0")</f>
        <v>742.56</v>
      </c>
      <c r="BO449" s="78">
        <f>IFERROR(1/J449*(X449/H449),"0")</f>
        <v>1</v>
      </c>
      <c r="BP449" s="78">
        <f>IFERROR(1/J449*(Y449/H449),"0")</f>
        <v>1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48</v>
      </c>
      <c r="Y452" s="43">
        <f>IFERROR(Y449/H449,"0")+IFERROR(Y450/H450,"0")+IFERROR(Y451/H451,"0")</f>
        <v>48</v>
      </c>
      <c r="Z452" s="43">
        <f>IFERROR(IF(Z449="",0,Z449),"0")+IFERROR(IF(Z450="",0,Z450),"0")+IFERROR(IF(Z451="",0,Z451),"0")</f>
        <v>1.044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720</v>
      </c>
      <c r="Y453" s="43">
        <f>IFERROR(SUM(Y449:Y451),"0")</f>
        <v>720</v>
      </c>
      <c r="Z453" s="42"/>
      <c r="AA453" s="67"/>
      <c r="AB453" s="67"/>
      <c r="AC453" s="67"/>
    </row>
    <row r="454" spans="1:68" ht="14.25" hidden="1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27</v>
      </c>
      <c r="Y484" s="55">
        <f t="shared" ref="Y484:Y489" si="66">IFERROR(IF(X484="",0,CEILING((X484/$H484),1)*$H484),"")</f>
        <v>27</v>
      </c>
      <c r="Z484" s="41">
        <f>IFERROR(IF(Y484=0,"",ROUNDUP(Y484/H484,0)*0.00902),"")</f>
        <v>4.5100000000000001E-2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27.95</v>
      </c>
      <c r="BN484" s="78">
        <f t="shared" ref="BN484:BN489" si="68">IFERROR(Y484*I484/H484,"0")</f>
        <v>27.95</v>
      </c>
      <c r="BO484" s="78">
        <f t="shared" ref="BO484:BO489" si="69">IFERROR(1/J484*(X484/H484),"0")</f>
        <v>3.787878787878788E-2</v>
      </c>
      <c r="BP484" s="78">
        <f t="shared" ref="BP484:BP489" si="70">IFERROR(1/J484*(Y484/H484),"0")</f>
        <v>3.787878787878788E-2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27</v>
      </c>
      <c r="Y485" s="55">
        <f t="shared" si="66"/>
        <v>27</v>
      </c>
      <c r="Z485" s="41">
        <f>IFERROR(IF(Y485=0,"",ROUNDUP(Y485/H485,0)*0.00902),"")</f>
        <v>4.5100000000000001E-2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27.95</v>
      </c>
      <c r="BN485" s="78">
        <f t="shared" si="68"/>
        <v>27.95</v>
      </c>
      <c r="BO485" s="78">
        <f t="shared" si="69"/>
        <v>3.787878787878788E-2</v>
      </c>
      <c r="BP485" s="78">
        <f t="shared" si="70"/>
        <v>3.787878787878788E-2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10.5</v>
      </c>
      <c r="Y486" s="55">
        <f t="shared" si="66"/>
        <v>10.5</v>
      </c>
      <c r="Z486" s="41">
        <f>IFERROR(IF(Y486=0,"",ROUNDUP(Y486/H486,0)*0.00502),"")</f>
        <v>2.5100000000000001E-2</v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11.149999999999999</v>
      </c>
      <c r="BN486" s="78">
        <f t="shared" si="68"/>
        <v>11.149999999999999</v>
      </c>
      <c r="BO486" s="78">
        <f t="shared" si="69"/>
        <v>2.1367521367521368E-2</v>
      </c>
      <c r="BP486" s="78">
        <f t="shared" si="70"/>
        <v>2.1367521367521368E-2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15</v>
      </c>
      <c r="Y490" s="43">
        <f>IFERROR(Y484/H484,"0")+IFERROR(Y485/H485,"0")+IFERROR(Y486/H486,"0")+IFERROR(Y487/H487,"0")+IFERROR(Y488/H488,"0")+IFERROR(Y489/H489,"0")</f>
        <v>15</v>
      </c>
      <c r="Z490" s="43">
        <f>IFERROR(IF(Z484="",0,Z484),"0")+IFERROR(IF(Z485="",0,Z485),"0")+IFERROR(IF(Z486="",0,Z486),"0")+IFERROR(IF(Z487="",0,Z487),"0")+IFERROR(IF(Z488="",0,Z488),"0")+IFERROR(IF(Z489="",0,Z489),"0")</f>
        <v>0.1153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64.5</v>
      </c>
      <c r="Y491" s="43">
        <f>IFERROR(SUM(Y484:Y489),"0")</f>
        <v>64.5</v>
      </c>
      <c r="Z491" s="42"/>
      <c r="AA491" s="67"/>
      <c r="AB491" s="67"/>
      <c r="AC491" s="67"/>
    </row>
    <row r="492" spans="1:68" ht="14.25" hidden="1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32.4</v>
      </c>
      <c r="Y502" s="55">
        <f>IFERROR(IF(X502="",0,CEILING((X502/$H502),1)*$H502),"")</f>
        <v>32.400000000000006</v>
      </c>
      <c r="Z502" s="41">
        <f>IFERROR(IF(Y502=0,"",ROUNDUP(Y502/H502,0)*0.00902),"")</f>
        <v>5.4120000000000001E-2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33.539999999999992</v>
      </c>
      <c r="BN502" s="78">
        <f>IFERROR(Y502*I502/H502,"0")</f>
        <v>33.54</v>
      </c>
      <c r="BO502" s="78">
        <f>IFERROR(1/J502*(X502/H502),"0")</f>
        <v>4.5454545454545449E-2</v>
      </c>
      <c r="BP502" s="78">
        <f>IFERROR(1/J502*(Y502/H502),"0")</f>
        <v>4.5454545454545463E-2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5.9999999999999991</v>
      </c>
      <c r="Y505" s="43">
        <f>IFERROR(Y502/H502,"0")+IFERROR(Y503/H503,"0")+IFERROR(Y504/H504,"0")</f>
        <v>6.0000000000000009</v>
      </c>
      <c r="Z505" s="43">
        <f>IFERROR(IF(Z502="",0,Z502),"0")+IFERROR(IF(Z503="",0,Z503),"0")+IFERROR(IF(Z504="",0,Z504),"0")</f>
        <v>5.4120000000000001E-2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32.4</v>
      </c>
      <c r="Y506" s="43">
        <f>IFERROR(SUM(Y502:Y504),"0")</f>
        <v>32.400000000000006</v>
      </c>
      <c r="Z506" s="42"/>
      <c r="AA506" s="67"/>
      <c r="AB506" s="67"/>
      <c r="AC506" s="67"/>
    </row>
    <row r="507" spans="1:68" ht="27.75" hidden="1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5.28</v>
      </c>
      <c r="Y511" s="55">
        <f t="shared" si="71"/>
        <v>5.28</v>
      </c>
      <c r="Z511" s="41">
        <f>IFERROR(IF(Y511=0,"",ROUNDUP(Y511/H511,0)*0.01196),"")</f>
        <v>1.196E-2</v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5.63</v>
      </c>
      <c r="BN511" s="78">
        <f t="shared" si="73"/>
        <v>5.63</v>
      </c>
      <c r="BO511" s="78">
        <f t="shared" si="74"/>
        <v>9.6153846153846159E-3</v>
      </c>
      <c r="BP511" s="78">
        <f t="shared" si="75"/>
        <v>9.6153846153846159E-3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5.28</v>
      </c>
      <c r="Y513" s="55">
        <f t="shared" si="71"/>
        <v>5.28</v>
      </c>
      <c r="Z513" s="41">
        <f>IFERROR(IF(Y513=0,"",ROUNDUP(Y513/H513,0)*0.01196),"")</f>
        <v>1.196E-2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5.63</v>
      </c>
      <c r="BN513" s="78">
        <f t="shared" si="73"/>
        <v>5.63</v>
      </c>
      <c r="BO513" s="78">
        <f t="shared" si="74"/>
        <v>9.6153846153846159E-3</v>
      </c>
      <c r="BP513" s="78">
        <f t="shared" si="75"/>
        <v>9.6153846153846159E-3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5.28</v>
      </c>
      <c r="Y514" s="55">
        <f t="shared" si="71"/>
        <v>5.28</v>
      </c>
      <c r="Z514" s="41">
        <f>IFERROR(IF(Y514=0,"",ROUNDUP(Y514/H514,0)*0.01196),"")</f>
        <v>1.196E-2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5.63</v>
      </c>
      <c r="BN514" s="78">
        <f t="shared" si="73"/>
        <v>5.63</v>
      </c>
      <c r="BO514" s="78">
        <f t="shared" si="74"/>
        <v>9.6153846153846159E-3</v>
      </c>
      <c r="BP514" s="78">
        <f t="shared" si="75"/>
        <v>9.6153846153846159E-3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4.8</v>
      </c>
      <c r="Y516" s="55">
        <f t="shared" si="71"/>
        <v>4.8</v>
      </c>
      <c r="Z516" s="41">
        <f>IFERROR(IF(Y516=0,"",ROUNDUP(Y516/H516,0)*0.00902),"")</f>
        <v>9.0200000000000002E-3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6.91</v>
      </c>
      <c r="BN516" s="78">
        <f t="shared" si="73"/>
        <v>6.91</v>
      </c>
      <c r="BO516" s="78">
        <f t="shared" si="74"/>
        <v>7.575757575757576E-3</v>
      </c>
      <c r="BP516" s="78">
        <f t="shared" si="75"/>
        <v>7.575757575757576E-3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4.8</v>
      </c>
      <c r="Y517" s="55">
        <f t="shared" si="71"/>
        <v>4.8</v>
      </c>
      <c r="Z517" s="41">
        <f>IFERROR(IF(Y517=0,"",ROUNDUP(Y517/H517,0)*0.00902),"")</f>
        <v>9.0200000000000002E-3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6.91</v>
      </c>
      <c r="BN517" s="78">
        <f t="shared" si="73"/>
        <v>6.91</v>
      </c>
      <c r="BO517" s="78">
        <f t="shared" si="74"/>
        <v>7.575757575757576E-3</v>
      </c>
      <c r="BP517" s="78">
        <f t="shared" si="75"/>
        <v>7.575757575757576E-3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5</v>
      </c>
      <c r="Y518" s="43">
        <f>IFERROR(Y510/H510,"0")+IFERROR(Y511/H511,"0")+IFERROR(Y512/H512,"0")+IFERROR(Y513/H513,"0")+IFERROR(Y514/H514,"0")+IFERROR(Y515/H515,"0")+IFERROR(Y516/H516,"0")+IFERROR(Y517/H517,"0")</f>
        <v>5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5.3920000000000003E-2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25.44</v>
      </c>
      <c r="Y519" s="43">
        <f>IFERROR(SUM(Y510:Y517),"0")</f>
        <v>25.44</v>
      </c>
      <c r="Z519" s="42"/>
      <c r="AA519" s="67"/>
      <c r="AB519" s="67"/>
      <c r="AC519" s="67"/>
    </row>
    <row r="520" spans="1:68" ht="14.25" hidden="1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10.56</v>
      </c>
      <c r="Y521" s="55">
        <f>IFERROR(IF(X521="",0,CEILING((X521/$H521),1)*$H521),"")</f>
        <v>10.56</v>
      </c>
      <c r="Z521" s="41">
        <f>IFERROR(IF(Y521=0,"",ROUNDUP(Y521/H521,0)*0.01196),"")</f>
        <v>2.392E-2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11.26</v>
      </c>
      <c r="BN521" s="78">
        <f>IFERROR(Y521*I521/H521,"0")</f>
        <v>11.26</v>
      </c>
      <c r="BO521" s="78">
        <f>IFERROR(1/J521*(X521/H521),"0")</f>
        <v>1.9230769230769232E-2</v>
      </c>
      <c r="BP521" s="78">
        <f>IFERROR(1/J521*(Y521/H521),"0")</f>
        <v>1.9230769230769232E-2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4.8</v>
      </c>
      <c r="Y523" s="55">
        <f>IFERROR(IF(X523="",0,CEILING((X523/$H523),1)*$H523),"")</f>
        <v>4.8</v>
      </c>
      <c r="Z523" s="41">
        <f>IFERROR(IF(Y523=0,"",ROUNDUP(Y523/H523,0)*0.00902),"")</f>
        <v>9.0200000000000002E-3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6.91</v>
      </c>
      <c r="BN523" s="78">
        <f>IFERROR(Y523*I523/H523,"0")</f>
        <v>6.91</v>
      </c>
      <c r="BO523" s="78">
        <f>IFERROR(1/J523*(X523/H523),"0")</f>
        <v>7.575757575757576E-3</v>
      </c>
      <c r="BP523" s="78">
        <f>IFERROR(1/J523*(Y523/H523),"0")</f>
        <v>7.575757575757576E-3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3</v>
      </c>
      <c r="Y524" s="43">
        <f>IFERROR(Y521/H521,"0")+IFERROR(Y522/H522,"0")+IFERROR(Y523/H523,"0")</f>
        <v>3</v>
      </c>
      <c r="Z524" s="43">
        <f>IFERROR(IF(Z521="",0,Z521),"0")+IFERROR(IF(Z522="",0,Z522),"0")+IFERROR(IF(Z523="",0,Z523),"0")</f>
        <v>3.2939999999999997E-2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15.36</v>
      </c>
      <c r="Y525" s="43">
        <f>IFERROR(SUM(Y521:Y523),"0")</f>
        <v>15.36</v>
      </c>
      <c r="Z525" s="42"/>
      <c r="AA525" s="67"/>
      <c r="AB525" s="67"/>
      <c r="AC525" s="67"/>
    </row>
    <row r="526" spans="1:68" ht="14.25" hidden="1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5.28</v>
      </c>
      <c r="Y527" s="55">
        <f t="shared" ref="Y527:Y533" si="76">IFERROR(IF(X527="",0,CEILING((X527/$H527),1)*$H527),"")</f>
        <v>5.28</v>
      </c>
      <c r="Z527" s="41">
        <f>IFERROR(IF(Y527=0,"",ROUNDUP(Y527/H527,0)*0.01196),"")</f>
        <v>1.196E-2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5.63</v>
      </c>
      <c r="BN527" s="78">
        <f t="shared" ref="BN527:BN533" si="78">IFERROR(Y527*I527/H527,"0")</f>
        <v>5.63</v>
      </c>
      <c r="BO527" s="78">
        <f t="shared" ref="BO527:BO533" si="79">IFERROR(1/J527*(X527/H527),"0")</f>
        <v>9.6153846153846159E-3</v>
      </c>
      <c r="BP527" s="78">
        <f t="shared" ref="BP527:BP533" si="80">IFERROR(1/J527*(Y527/H527),"0")</f>
        <v>9.6153846153846159E-3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5.28</v>
      </c>
      <c r="Y528" s="55">
        <f t="shared" si="76"/>
        <v>5.28</v>
      </c>
      <c r="Z528" s="41">
        <f>IFERROR(IF(Y528=0,"",ROUNDUP(Y528/H528,0)*0.01196),"")</f>
        <v>1.196E-2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5.63</v>
      </c>
      <c r="BN528" s="78">
        <f t="shared" si="78"/>
        <v>5.63</v>
      </c>
      <c r="BO528" s="78">
        <f t="shared" si="79"/>
        <v>9.6153846153846159E-3</v>
      </c>
      <c r="BP528" s="78">
        <f t="shared" si="80"/>
        <v>9.6153846153846159E-3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5.28</v>
      </c>
      <c r="Y529" s="55">
        <f t="shared" si="76"/>
        <v>5.28</v>
      </c>
      <c r="Z529" s="41">
        <f>IFERROR(IF(Y529=0,"",ROUNDUP(Y529/H529,0)*0.01196),"")</f>
        <v>1.196E-2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5.63</v>
      </c>
      <c r="BN529" s="78">
        <f t="shared" si="78"/>
        <v>5.63</v>
      </c>
      <c r="BO529" s="78">
        <f t="shared" si="79"/>
        <v>9.6153846153846159E-3</v>
      </c>
      <c r="BP529" s="78">
        <f t="shared" si="80"/>
        <v>9.6153846153846159E-3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4.8</v>
      </c>
      <c r="Y530" s="55">
        <f t="shared" si="76"/>
        <v>4.8</v>
      </c>
      <c r="Z530" s="41">
        <f>IFERROR(IF(Y530=0,"",ROUNDUP(Y530/H530,0)*0.00902),"")</f>
        <v>9.0200000000000002E-3</v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6.91</v>
      </c>
      <c r="BN530" s="78">
        <f t="shared" si="78"/>
        <v>6.91</v>
      </c>
      <c r="BO530" s="78">
        <f t="shared" si="79"/>
        <v>7.575757575757576E-3</v>
      </c>
      <c r="BP530" s="78">
        <f t="shared" si="80"/>
        <v>7.575757575757576E-3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3.6</v>
      </c>
      <c r="Y531" s="55">
        <f t="shared" si="76"/>
        <v>3.6</v>
      </c>
      <c r="Z531" s="41">
        <f>IFERROR(IF(Y531=0,"",ROUNDUP(Y531/H531,0)*0.00902),"")</f>
        <v>9.0200000000000002E-3</v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3.79</v>
      </c>
      <c r="BN531" s="78">
        <f t="shared" si="78"/>
        <v>3.79</v>
      </c>
      <c r="BO531" s="78">
        <f t="shared" si="79"/>
        <v>7.575757575757576E-3</v>
      </c>
      <c r="BP531" s="78">
        <f t="shared" si="80"/>
        <v>7.575757575757576E-3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4.8</v>
      </c>
      <c r="Y532" s="55">
        <f t="shared" si="76"/>
        <v>4.8</v>
      </c>
      <c r="Z532" s="41">
        <f>IFERROR(IF(Y532=0,"",ROUNDUP(Y532/H532,0)*0.00902),"")</f>
        <v>9.0200000000000002E-3</v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6.67</v>
      </c>
      <c r="BN532" s="78">
        <f t="shared" si="78"/>
        <v>6.67</v>
      </c>
      <c r="BO532" s="78">
        <f t="shared" si="79"/>
        <v>7.575757575757576E-3</v>
      </c>
      <c r="BP532" s="78">
        <f t="shared" si="80"/>
        <v>7.575757575757576E-3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4.8</v>
      </c>
      <c r="Y533" s="55">
        <f t="shared" si="76"/>
        <v>4.8</v>
      </c>
      <c r="Z533" s="41">
        <f>IFERROR(IF(Y533=0,"",ROUNDUP(Y533/H533,0)*0.00902),"")</f>
        <v>9.0200000000000002E-3</v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6.67</v>
      </c>
      <c r="BN533" s="78">
        <f t="shared" si="78"/>
        <v>6.67</v>
      </c>
      <c r="BO533" s="78">
        <f t="shared" si="79"/>
        <v>7.575757575757576E-3</v>
      </c>
      <c r="BP533" s="78">
        <f t="shared" si="80"/>
        <v>7.575757575757576E-3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7</v>
      </c>
      <c r="Y534" s="43">
        <f>IFERROR(Y527/H527,"0")+IFERROR(Y528/H528,"0")+IFERROR(Y529/H529,"0")+IFERROR(Y530/H530,"0")+IFERROR(Y531/H531,"0")+IFERROR(Y532/H532,"0")+IFERROR(Y533/H533,"0")</f>
        <v>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7.1959999999999996E-2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33.840000000000003</v>
      </c>
      <c r="Y535" s="43">
        <f>IFERROR(SUM(Y527:Y533),"0")</f>
        <v>33.840000000000003</v>
      </c>
      <c r="Z535" s="42"/>
      <c r="AA535" s="67"/>
      <c r="AB535" s="67"/>
      <c r="AC535" s="67"/>
    </row>
    <row r="536" spans="1:68" ht="27.75" hidden="1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33.6</v>
      </c>
      <c r="Y547" s="55">
        <f>IFERROR(IF(X547="",0,CEILING((X547/$H547),1)*$H547),"")</f>
        <v>33.6</v>
      </c>
      <c r="Z547" s="41">
        <f>IFERROR(IF(Y547=0,"",ROUNDUP(Y547/H547,0)*0.00902),"")</f>
        <v>7.2160000000000002E-2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35.6</v>
      </c>
      <c r="BN547" s="78">
        <f>IFERROR(Y547*I547/H547,"0")</f>
        <v>35.6</v>
      </c>
      <c r="BO547" s="78">
        <f>IFERROR(1/J547*(X547/H547),"0")</f>
        <v>6.0606060606060608E-2</v>
      </c>
      <c r="BP547" s="78">
        <f>IFERROR(1/J547*(Y547/H547),"0")</f>
        <v>6.0606060606060608E-2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8</v>
      </c>
      <c r="Y548" s="43">
        <f>IFERROR(Y547/H547,"0")</f>
        <v>8</v>
      </c>
      <c r="Z548" s="43">
        <f>IFERROR(IF(Z547="",0,Z547),"0")</f>
        <v>7.2160000000000002E-2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33.6</v>
      </c>
      <c r="Y549" s="43">
        <f>IFERROR(SUM(Y547:Y547),"0")</f>
        <v>33.6</v>
      </c>
      <c r="Z549" s="42"/>
      <c r="AA549" s="67"/>
      <c r="AB549" s="67"/>
      <c r="AC549" s="67"/>
    </row>
    <row r="550" spans="1:68" ht="14.25" hidden="1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4177.38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4177.38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4358.1910000000007</v>
      </c>
      <c r="Y565" s="43">
        <f>IFERROR(SUM(BN22:BN561),"0")</f>
        <v>4358.1910000000007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4533.1910000000007</v>
      </c>
      <c r="Y567" s="43">
        <f>GrossWeightTotalR+PalletQtyTotalR*25</f>
        <v>4533.1910000000007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559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559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7.4721000000000002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5.76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70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207</v>
      </c>
      <c r="F574" s="52">
        <f>IFERROR(Y89*1,"0")+IFERROR(Y90*1,"0")+IFERROR(Y91*1,"0")+IFERROR(Y92*1,"0")+IFERROR(Y93*1,"0")+IFERROR(Y94*1,"0")+IFERROR(Y98*1,"0")+IFERROR(Y99*1,"0")+IFERROR(Y100*1,"0")+IFERROR(Y101*1,"0")</f>
        <v>81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142.5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132.94000000000003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121.5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151.19999999999999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313.2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36.58</v>
      </c>
      <c r="S574" s="52">
        <f>IFERROR(Y353*1,"0")+IFERROR(Y357*1,"0")</f>
        <v>17.52</v>
      </c>
      <c r="T574" s="52">
        <f>IFERROR(Y362*1,"0")+IFERROR(Y363*1,"0")+IFERROR(Y364*1,"0")</f>
        <v>46.8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1153.1399999999999</v>
      </c>
      <c r="V574" s="52">
        <f>IFERROR(Y422*1,"0")+IFERROR(Y423*1,"0")+IFERROR(Y424*1,"0")+IFERROR(Y425*1,"0")</f>
        <v>0</v>
      </c>
      <c r="W574" s="52">
        <f>IFERROR(Y430*1,"0")+IFERROR(Y431*1,"0")+IFERROR(Y432*1,"0")</f>
        <v>53.099999999999994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1440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64.5</v>
      </c>
      <c r="AA574" s="52">
        <f>IFERROR(Y498*1,"0")+IFERROR(Y502*1,"0")+IFERROR(Y503*1,"0")+IFERROR(Y504*1,"0")</f>
        <v>32.400000000000006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74.639999999999986</v>
      </c>
      <c r="AC574" s="52">
        <f>IFERROR(Y539*1,"0")+IFERROR(Y543*1,"0")+IFERROR(Y547*1,"0")+IFERROR(Y551*1,"0")+IFERROR(Y555*1,"0")+IFERROR(Y556*1,"0")</f>
        <v>33.6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4"/>
        <filter val="0,80"/>
        <filter val="1,44"/>
        <filter val="1,80"/>
        <filter val="10,50"/>
        <filter val="10,56"/>
        <filter val="108,00"/>
        <filter val="109,20"/>
        <filter val="11,00"/>
        <filter val="121,50"/>
        <filter val="135,00"/>
        <filter val="147,90"/>
        <filter val="15,00"/>
        <filter val="15,36"/>
        <filter val="15,60"/>
        <filter val="15,90"/>
        <filter val="16,00"/>
        <filter val="16,20"/>
        <filter val="16,80"/>
        <filter val="162,00"/>
        <filter val="17,50"/>
        <filter val="17,52"/>
        <filter val="178,20"/>
        <filter val="19,00"/>
        <filter val="2,00"/>
        <filter val="2,52"/>
        <filter val="2,55"/>
        <filter val="2,70"/>
        <filter val="21,00"/>
        <filter val="21,90"/>
        <filter val="22,50"/>
        <filter val="23,74"/>
        <filter val="24,50"/>
        <filter val="25,44"/>
        <filter val="27,00"/>
        <filter val="28,80"/>
        <filter val="29,00"/>
        <filter val="3,00"/>
        <filter val="3,04"/>
        <filter val="3,60"/>
        <filter val="313,20"/>
        <filter val="32,40"/>
        <filter val="33,60"/>
        <filter val="33,84"/>
        <filter val="35,00"/>
        <filter val="35,10"/>
        <filter val="36,58"/>
        <filter val="39,00"/>
        <filter val="39,60"/>
        <filter val="4 177,38"/>
        <filter val="4 358,19"/>
        <filter val="4 533,19"/>
        <filter val="4,00"/>
        <filter val="4,32"/>
        <filter val="4,80"/>
        <filter val="40,50"/>
        <filter val="42,00"/>
        <filter val="43,20"/>
        <filter val="45,00"/>
        <filter val="46,80"/>
        <filter val="48,00"/>
        <filter val="5,00"/>
        <filter val="5,28"/>
        <filter val="53,10"/>
        <filter val="54,00"/>
        <filter val="559,00"/>
        <filter val="6,00"/>
        <filter val="6,30"/>
        <filter val="64,50"/>
        <filter val="67,80"/>
        <filter val="691,20"/>
        <filter val="7"/>
        <filter val="7,00"/>
        <filter val="7,20"/>
        <filter val="7,74"/>
        <filter val="7,80"/>
        <filter val="70,00"/>
        <filter val="720,00"/>
        <filter val="8,00"/>
        <filter val="8,10"/>
        <filter val="8,14"/>
        <filter val="8,40"/>
        <filter val="81,00"/>
        <filter val="9,00"/>
        <filter val="9,28"/>
        <filter val="92,00"/>
        <filter val="939,2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2026-10-22T12:49:40Z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