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9AE9651-ADDF-4342-AAF7-C0A2AA0FB88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BP533" i="2" s="1"/>
  <c r="P533" i="2"/>
  <c r="BO532" i="2"/>
  <c r="BM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Y525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Z484" i="2" s="1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X464" i="2"/>
  <c r="X463" i="2"/>
  <c r="BO462" i="2"/>
  <c r="BM462" i="2"/>
  <c r="Y462" i="2"/>
  <c r="BP462" i="2" s="1"/>
  <c r="P462" i="2"/>
  <c r="BO461" i="2"/>
  <c r="BM461" i="2"/>
  <c r="Y461" i="2"/>
  <c r="BP461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Y366" i="2" s="1"/>
  <c r="P362" i="2"/>
  <c r="X359" i="2"/>
  <c r="X358" i="2"/>
  <c r="BO357" i="2"/>
  <c r="BM357" i="2"/>
  <c r="Y357" i="2"/>
  <c r="BP357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N313" i="2" s="1"/>
  <c r="P313" i="2"/>
  <c r="X311" i="2"/>
  <c r="X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N301" i="2" s="1"/>
  <c r="P301" i="2"/>
  <c r="BO300" i="2"/>
  <c r="BM300" i="2"/>
  <c r="Y300" i="2"/>
  <c r="Z300" i="2" s="1"/>
  <c r="P300" i="2"/>
  <c r="BO299" i="2"/>
  <c r="BM299" i="2"/>
  <c r="Y299" i="2"/>
  <c r="Z299" i="2" s="1"/>
  <c r="P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P295" i="2"/>
  <c r="X292" i="2"/>
  <c r="X291" i="2"/>
  <c r="BO290" i="2"/>
  <c r="BM290" i="2"/>
  <c r="Y290" i="2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P283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Z279" i="2" s="1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O244" i="2"/>
  <c r="BM244" i="2"/>
  <c r="Y244" i="2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N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P165" i="2"/>
  <c r="BO164" i="2"/>
  <c r="BM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X132" i="2"/>
  <c r="X131" i="2"/>
  <c r="BO130" i="2"/>
  <c r="BM130" i="2"/>
  <c r="Y130" i="2"/>
  <c r="P130" i="2"/>
  <c r="X128" i="2"/>
  <c r="X127" i="2"/>
  <c r="BO126" i="2"/>
  <c r="BM126" i="2"/>
  <c r="Y126" i="2"/>
  <c r="Z126" i="2" s="1"/>
  <c r="P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P123" i="2"/>
  <c r="X121" i="2"/>
  <c r="X120" i="2"/>
  <c r="BO119" i="2"/>
  <c r="BM119" i="2"/>
  <c r="Y119" i="2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Z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Y31" i="2" s="1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BP61" i="2" l="1"/>
  <c r="BP183" i="2"/>
  <c r="Z450" i="2"/>
  <c r="Z229" i="2"/>
  <c r="BN229" i="2"/>
  <c r="Z230" i="2"/>
  <c r="BN230" i="2"/>
  <c r="Z342" i="2"/>
  <c r="BN342" i="2"/>
  <c r="Z512" i="2"/>
  <c r="BN512" i="2"/>
  <c r="BP71" i="2"/>
  <c r="Z152" i="2"/>
  <c r="Z220" i="2"/>
  <c r="Z266" i="2"/>
  <c r="BN266" i="2"/>
  <c r="BP301" i="2"/>
  <c r="Z523" i="2"/>
  <c r="Z65" i="2"/>
  <c r="Z100" i="2"/>
  <c r="BP125" i="2"/>
  <c r="BP145" i="2"/>
  <c r="Z175" i="2"/>
  <c r="Z188" i="2"/>
  <c r="BN188" i="2"/>
  <c r="BP224" i="2"/>
  <c r="Z276" i="2"/>
  <c r="BN276" i="2"/>
  <c r="Z296" i="2"/>
  <c r="BN296" i="2"/>
  <c r="Z297" i="2"/>
  <c r="BN297" i="2"/>
  <c r="Y359" i="2"/>
  <c r="Z380" i="2"/>
  <c r="BN380" i="2"/>
  <c r="Z411" i="2"/>
  <c r="Z440" i="2"/>
  <c r="Z516" i="2"/>
  <c r="Z532" i="2"/>
  <c r="BN41" i="2"/>
  <c r="BN59" i="2"/>
  <c r="BN63" i="2"/>
  <c r="BP70" i="2"/>
  <c r="Z70" i="2"/>
  <c r="BP119" i="2"/>
  <c r="BN119" i="2"/>
  <c r="Z119" i="2"/>
  <c r="BN123" i="2"/>
  <c r="BP123" i="2"/>
  <c r="BN146" i="2"/>
  <c r="BP154" i="2"/>
  <c r="BN154" i="2"/>
  <c r="Z154" i="2"/>
  <c r="BP165" i="2"/>
  <c r="BN165" i="2"/>
  <c r="Z165" i="2"/>
  <c r="BN177" i="2"/>
  <c r="BN184" i="2"/>
  <c r="BN189" i="2"/>
  <c r="BP189" i="2"/>
  <c r="BP222" i="2"/>
  <c r="BN222" i="2"/>
  <c r="Z222" i="2"/>
  <c r="BN299" i="2"/>
  <c r="Y311" i="2"/>
  <c r="Y310" i="2"/>
  <c r="BP309" i="2"/>
  <c r="BN309" i="2"/>
  <c r="Z309" i="2"/>
  <c r="Z310" i="2" s="1"/>
  <c r="Y355" i="2"/>
  <c r="Y354" i="2"/>
  <c r="BP353" i="2"/>
  <c r="BN353" i="2"/>
  <c r="Z353" i="2"/>
  <c r="Z354" i="2" s="1"/>
  <c r="BP405" i="2"/>
  <c r="BN405" i="2"/>
  <c r="BN29" i="2"/>
  <c r="BN52" i="2"/>
  <c r="BN73" i="2"/>
  <c r="BP107" i="2"/>
  <c r="BN107" i="2"/>
  <c r="Z107" i="2"/>
  <c r="BN111" i="2"/>
  <c r="BP130" i="2"/>
  <c r="Y132" i="2"/>
  <c r="Y131" i="2"/>
  <c r="BN130" i="2"/>
  <c r="Y186" i="2"/>
  <c r="Y191" i="2"/>
  <c r="BN206" i="2"/>
  <c r="BP206" i="2"/>
  <c r="BN214" i="2"/>
  <c r="Y216" i="2"/>
  <c r="Y215" i="2"/>
  <c r="BP214" i="2"/>
  <c r="BN225" i="2"/>
  <c r="BN237" i="2"/>
  <c r="BP237" i="2"/>
  <c r="BN244" i="2"/>
  <c r="BP244" i="2"/>
  <c r="BN270" i="2"/>
  <c r="BP270" i="2"/>
  <c r="BN290" i="2"/>
  <c r="BP290" i="2"/>
  <c r="BP369" i="2"/>
  <c r="BN369" i="2"/>
  <c r="Z369" i="2"/>
  <c r="BP389" i="2"/>
  <c r="BN389" i="2"/>
  <c r="Z389" i="2"/>
  <c r="Y400" i="2"/>
  <c r="BN397" i="2"/>
  <c r="Z397" i="2"/>
  <c r="BN441" i="2"/>
  <c r="BP451" i="2"/>
  <c r="BN476" i="2"/>
  <c r="BN487" i="2"/>
  <c r="BN513" i="2"/>
  <c r="BN35" i="2"/>
  <c r="BN43" i="2"/>
  <c r="BN54" i="2"/>
  <c r="BN117" i="2"/>
  <c r="BN141" i="2"/>
  <c r="BN166" i="2"/>
  <c r="Y190" i="2"/>
  <c r="BN207" i="2"/>
  <c r="BN238" i="2"/>
  <c r="BN314" i="2"/>
  <c r="BP411" i="2"/>
  <c r="Z424" i="2"/>
  <c r="BN443" i="2"/>
  <c r="Z444" i="2"/>
  <c r="Z451" i="2"/>
  <c r="BP457" i="2"/>
  <c r="Y463" i="2"/>
  <c r="Z462" i="2"/>
  <c r="BN462" i="2"/>
  <c r="BN493" i="2"/>
  <c r="Z498" i="2"/>
  <c r="Z499" i="2" s="1"/>
  <c r="BN504" i="2"/>
  <c r="BP511" i="2"/>
  <c r="BP517" i="2"/>
  <c r="BP523" i="2"/>
  <c r="Y120" i="2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Y121" i="2"/>
  <c r="Z130" i="2"/>
  <c r="Z131" i="2" s="1"/>
  <c r="Z141" i="2"/>
  <c r="Z151" i="2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Y257" i="2"/>
  <c r="BN371" i="2"/>
  <c r="Z371" i="2"/>
  <c r="Y376" i="2"/>
  <c r="Y506" i="2"/>
  <c r="Z34" i="2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203" i="2"/>
  <c r="Z214" i="2"/>
  <c r="Z215" i="2" s="1"/>
  <c r="Z224" i="2"/>
  <c r="Z244" i="2"/>
  <c r="Z267" i="2"/>
  <c r="Z277" i="2"/>
  <c r="Z298" i="2"/>
  <c r="Z321" i="2"/>
  <c r="Z332" i="2"/>
  <c r="Z335" i="2" s="1"/>
  <c r="Y393" i="2"/>
  <c r="Z410" i="2"/>
  <c r="Z461" i="2"/>
  <c r="Z486" i="2"/>
  <c r="Z511" i="2"/>
  <c r="Z521" i="2"/>
  <c r="Z524" i="2" s="1"/>
  <c r="Z531" i="2"/>
  <c r="Y558" i="2"/>
  <c r="P574" i="2"/>
  <c r="BN321" i="2"/>
  <c r="BN332" i="2"/>
  <c r="Y335" i="2"/>
  <c r="Y344" i="2"/>
  <c r="Z439" i="2"/>
  <c r="Z449" i="2"/>
  <c r="Z452" i="2" s="1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05" i="2" s="1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412" i="2" l="1"/>
  <c r="Z393" i="2"/>
  <c r="Z463" i="2"/>
  <c r="Z246" i="2"/>
  <c r="Z190" i="2"/>
  <c r="Z349" i="2"/>
  <c r="Z36" i="2"/>
  <c r="Z167" i="2"/>
  <c r="Z102" i="2"/>
  <c r="Z85" i="2"/>
  <c r="Z386" i="2"/>
  <c r="Z142" i="2"/>
  <c r="Z365" i="2"/>
  <c r="Z74" i="2"/>
  <c r="Z155" i="2"/>
  <c r="Z120" i="2"/>
  <c r="Z240" i="2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<sst xmlns="http://schemas.openxmlformats.org/spreadsheetml/2006/main" count="4249" uniqueCount="899">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</sst>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topLeftCell="B1" zoomScaleNormal="100" zoomScaleSheetLayoutView="100" workbookViewId="0">
      <selection activeCell="AA89" sqref="AA8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898</v>
      </c>
      <c r="I5" s="647"/>
      <c r="J5" s="647"/>
      <c r="K5" s="647"/>
      <c r="L5" s="647"/>
      <c r="M5" s="647"/>
      <c r="N5" s="72"/>
      <c r="P5" s="27" t="s">
        <v>4</v>
      </c>
      <c r="Q5" s="649">
        <v>46319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881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Суббота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3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0.5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71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55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61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82"/>
      <c r="BD17" s="81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3" t="s">
        <v>83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3" t="s">
        <v>101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hidden="1" customHeight="1" x14ac:dyDescent="0.25">
      <c r="A39" s="712" t="s">
        <v>112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hidden="1" customHeight="1" x14ac:dyDescent="0.25">
      <c r="A40" s="713" t="s">
        <v>83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1" t="s">
        <v>128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hidden="1" customHeight="1" x14ac:dyDescent="0.25">
      <c r="A49" s="712" t="s">
        <v>129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hidden="1" customHeight="1" x14ac:dyDescent="0.25">
      <c r="A50" s="713" t="s">
        <v>130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12" t="s">
        <v>145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hidden="1" customHeight="1" x14ac:dyDescent="0.25">
      <c r="A58" s="713" t="s">
        <v>130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3" t="s">
        <v>165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13" t="s">
        <v>83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3" t="s">
        <v>183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2" t="s">
        <v>191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hidden="1" customHeight="1" x14ac:dyDescent="0.25">
      <c r="A88" s="713" t="s">
        <v>130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250</v>
      </c>
      <c r="Y89" s="55">
        <f t="shared" ref="Y89:Y94" si="5">IFERROR(IF(X89="",0,CEILING((X89/$H89),1)*$H89),"")</f>
        <v>259.20000000000005</v>
      </c>
      <c r="Z89" s="41">
        <f>IFERROR(IF(Y89=0,"",ROUNDUP(Y89/H89,0)*0.01898),"")</f>
        <v>0.45552000000000004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259.4907407407407</v>
      </c>
      <c r="BN89" s="78">
        <f t="shared" ref="BN89:BN94" si="7">IFERROR(Y89*I89/H89,"0")</f>
        <v>269.04000000000002</v>
      </c>
      <c r="BO89" s="78">
        <f t="shared" ref="BO89:BO94" si="8">IFERROR(1/J89*(X89/H89),"0")</f>
        <v>0.36168981481481477</v>
      </c>
      <c r="BP89" s="78">
        <f t="shared" ref="BP89:BP94" si="9">IFERROR(1/J89*(Y89/H89),"0")</f>
        <v>0.37500000000000006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23.148148148148145</v>
      </c>
      <c r="Y95" s="43">
        <f>IFERROR(Y89/H89,"0")+IFERROR(Y90/H90,"0")+IFERROR(Y91/H91,"0")+IFERROR(Y92/H92,"0")+IFERROR(Y93/H93,"0")+IFERROR(Y94/H94,"0")</f>
        <v>24.000000000000004</v>
      </c>
      <c r="Z95" s="43">
        <f>IFERROR(IF(Z89="",0,Z89),"0")+IFERROR(IF(Z90="",0,Z90),"0")+IFERROR(IF(Z91="",0,Z91),"0")+IFERROR(IF(Z92="",0,Z92),"0")+IFERROR(IF(Z93="",0,Z93),"0")+IFERROR(IF(Z94="",0,Z94),"0")</f>
        <v>0.45552000000000004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250</v>
      </c>
      <c r="Y96" s="43">
        <f>IFERROR(SUM(Y89:Y94),"0")</f>
        <v>259.20000000000005</v>
      </c>
      <c r="Z96" s="42"/>
      <c r="AA96" s="67"/>
      <c r="AB96" s="67"/>
      <c r="AC96" s="67"/>
    </row>
    <row r="97" spans="1:68" ht="14.25" hidden="1" customHeight="1" x14ac:dyDescent="0.25">
      <c r="A97" s="713" t="s">
        <v>83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150</v>
      </c>
      <c r="Y98" s="55">
        <f>IFERROR(IF(X98="",0,CEILING((X98/$H98),1)*$H98),"")</f>
        <v>153.9</v>
      </c>
      <c r="Z98" s="41">
        <f>IFERROR(IF(Y98=0,"",ROUNDUP(Y98/H98,0)*0.01898),"")</f>
        <v>0.36062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159.14814814814815</v>
      </c>
      <c r="BN98" s="78">
        <f>IFERROR(Y98*I98/H98,"0")</f>
        <v>163.286</v>
      </c>
      <c r="BO98" s="78">
        <f>IFERROR(1/J98*(X98/H98),"0")</f>
        <v>0.28935185185185186</v>
      </c>
      <c r="BP98" s="78">
        <f>IFERROR(1/J98*(Y98/H98),"0")</f>
        <v>0.296875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54</v>
      </c>
      <c r="Y100" s="55">
        <f>IFERROR(IF(X100="",0,CEILING((X100/$H100),1)*$H100),"")</f>
        <v>54</v>
      </c>
      <c r="Z100" s="41">
        <f>IFERROR(IF(Y100=0,"",ROUNDUP(Y100/H100,0)*0.00651),"")</f>
        <v>0.13020000000000001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59.039999999999992</v>
      </c>
      <c r="BN100" s="78">
        <f>IFERROR(Y100*I100/H100,"0")</f>
        <v>59.039999999999992</v>
      </c>
      <c r="BO100" s="78">
        <f>IFERROR(1/J100*(X100/H100),"0")</f>
        <v>0.1098901098901099</v>
      </c>
      <c r="BP100" s="78">
        <f>IFERROR(1/J100*(Y100/H100),"0")</f>
        <v>0.1098901098901099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38.518518518518519</v>
      </c>
      <c r="Y102" s="43">
        <f>IFERROR(Y98/H98,"0")+IFERROR(Y99/H99,"0")+IFERROR(Y100/H100,"0")+IFERROR(Y101/H101,"0")</f>
        <v>39</v>
      </c>
      <c r="Z102" s="43">
        <f>IFERROR(IF(Z98="",0,Z98),"0")+IFERROR(IF(Z99="",0,Z99),"0")+IFERROR(IF(Z100="",0,Z100),"0")+IFERROR(IF(Z101="",0,Z101),"0")</f>
        <v>0.49082000000000003</v>
      </c>
      <c r="AA102" s="67"/>
      <c r="AB102" s="67"/>
      <c r="AC102" s="67"/>
    </row>
    <row r="103" spans="1:68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204</v>
      </c>
      <c r="Y103" s="43">
        <f>IFERROR(SUM(Y98:Y101),"0")</f>
        <v>207.9</v>
      </c>
      <c r="Z103" s="42"/>
      <c r="AA103" s="67"/>
      <c r="AB103" s="67"/>
      <c r="AC103" s="67"/>
    </row>
    <row r="104" spans="1:68" ht="16.5" hidden="1" customHeight="1" x14ac:dyDescent="0.25">
      <c r="A104" s="712" t="s">
        <v>215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hidden="1" customHeight="1" x14ac:dyDescent="0.25">
      <c r="A105" s="713" t="s">
        <v>130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250</v>
      </c>
      <c r="Y106" s="55">
        <f t="shared" ref="Y106:Y112" si="10">IFERROR(IF(X106="",0,CEILING((X106/$H106),1)*$H106),"")</f>
        <v>259.20000000000005</v>
      </c>
      <c r="Z106" s="41">
        <f>IFERROR(IF(Y106=0,"",ROUNDUP(Y106/H106,0)*0.01898),"")</f>
        <v>0.45552000000000004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259.4907407407407</v>
      </c>
      <c r="BN106" s="78">
        <f t="shared" ref="BN106:BN112" si="12">IFERROR(Y106*I106/H106,"0")</f>
        <v>269.04000000000002</v>
      </c>
      <c r="BO106" s="78">
        <f t="shared" ref="BO106:BO112" si="13">IFERROR(1/J106*(X106/H106),"0")</f>
        <v>0.36168981481481477</v>
      </c>
      <c r="BP106" s="78">
        <f t="shared" ref="BP106:BP112" si="14">IFERROR(1/J106*(Y106/H106),"0")</f>
        <v>0.37500000000000006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23.148148148148145</v>
      </c>
      <c r="Y113" s="43">
        <f>IFERROR(Y106/H106,"0")+IFERROR(Y107/H107,"0")+IFERROR(Y108/H108,"0")+IFERROR(Y109/H109,"0")+IFERROR(Y110/H110,"0")+IFERROR(Y111/H111,"0")+IFERROR(Y112/H112,"0")</f>
        <v>24.000000000000004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0.45552000000000004</v>
      </c>
      <c r="AA113" s="67"/>
      <c r="AB113" s="67"/>
      <c r="AC113" s="67"/>
    </row>
    <row r="114" spans="1:68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250</v>
      </c>
      <c r="Y114" s="43">
        <f>IFERROR(SUM(Y106:Y112),"0")</f>
        <v>259.20000000000005</v>
      </c>
      <c r="Z114" s="42"/>
      <c r="AA114" s="67"/>
      <c r="AB114" s="67"/>
      <c r="AC114" s="67"/>
    </row>
    <row r="115" spans="1:68" ht="14.25" hidden="1" customHeight="1" x14ac:dyDescent="0.25">
      <c r="A115" s="713" t="s">
        <v>165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60</v>
      </c>
      <c r="Y116" s="55">
        <f>IFERROR(IF(X116="",0,CEILING((X116/$H116),1)*$H116),"")</f>
        <v>64.800000000000011</v>
      </c>
      <c r="Z116" s="41">
        <f>IFERROR(IF(Y116=0,"",ROUNDUP(Y116/H116,0)*0.01898),"")</f>
        <v>0.11388000000000001</v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62.277777777777779</v>
      </c>
      <c r="BN116" s="78">
        <f>IFERROR(Y116*I116/H116,"0")</f>
        <v>67.260000000000005</v>
      </c>
      <c r="BO116" s="78">
        <f>IFERROR(1/J116*(X116/H116),"0")</f>
        <v>8.6805555555555552E-2</v>
      </c>
      <c r="BP116" s="78">
        <f>IFERROR(1/J116*(Y116/H116),"0")</f>
        <v>9.3750000000000014E-2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36</v>
      </c>
      <c r="Y119" s="55">
        <f>IFERROR(IF(X119="",0,CEILING((X119/$H119),1)*$H119),"")</f>
        <v>36</v>
      </c>
      <c r="Z119" s="41">
        <f>IFERROR(IF(Y119=0,"",ROUNDUP(Y119/H119,0)*0.00651),"")</f>
        <v>9.7650000000000001E-2</v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38.700000000000003</v>
      </c>
      <c r="BN119" s="78">
        <f>IFERROR(Y119*I119/H119,"0")</f>
        <v>38.700000000000003</v>
      </c>
      <c r="BO119" s="78">
        <f>IFERROR(1/J119*(X119/H119),"0")</f>
        <v>8.241758241758243E-2</v>
      </c>
      <c r="BP119" s="78">
        <f>IFERROR(1/J119*(Y119/H119),"0")</f>
        <v>8.241758241758243E-2</v>
      </c>
    </row>
    <row r="120" spans="1:68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20.555555555555557</v>
      </c>
      <c r="Y120" s="43">
        <f>IFERROR(Y116/H116,"0")+IFERROR(Y117/H117,"0")+IFERROR(Y118/H118,"0")+IFERROR(Y119/H119,"0")</f>
        <v>21</v>
      </c>
      <c r="Z120" s="43">
        <f>IFERROR(IF(Z116="",0,Z116),"0")+IFERROR(IF(Z117="",0,Z117),"0")+IFERROR(IF(Z118="",0,Z118),"0")+IFERROR(IF(Z119="",0,Z119),"0")</f>
        <v>0.21153</v>
      </c>
      <c r="AA120" s="67"/>
      <c r="AB120" s="67"/>
      <c r="AC120" s="67"/>
    </row>
    <row r="121" spans="1:68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96</v>
      </c>
      <c r="Y121" s="43">
        <f>IFERROR(SUM(Y116:Y119),"0")</f>
        <v>100.80000000000001</v>
      </c>
      <c r="Z121" s="42"/>
      <c r="AA121" s="67"/>
      <c r="AB121" s="67"/>
      <c r="AC121" s="67"/>
    </row>
    <row r="122" spans="1:68" ht="14.25" hidden="1" customHeight="1" x14ac:dyDescent="0.25">
      <c r="A122" s="713" t="s">
        <v>83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400</v>
      </c>
      <c r="Y123" s="55">
        <f>IFERROR(IF(X123="",0,CEILING((X123/$H123),1)*$H123),"")</f>
        <v>405</v>
      </c>
      <c r="Z123" s="41">
        <f>IFERROR(IF(Y123=0,"",ROUNDUP(Y123/H123,0)*0.01898),"")</f>
        <v>0.94900000000000007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424.09876543209879</v>
      </c>
      <c r="BN123" s="78">
        <f>IFERROR(Y123*I123/H123,"0")</f>
        <v>429.4</v>
      </c>
      <c r="BO123" s="78">
        <f>IFERROR(1/J123*(X123/H123),"0")</f>
        <v>0.77160493827160492</v>
      </c>
      <c r="BP123" s="78">
        <f>IFERROR(1/J123*(Y123/H123),"0")</f>
        <v>0.78125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49.382716049382715</v>
      </c>
      <c r="Y127" s="43">
        <f>IFERROR(Y123/H123,"0")+IFERROR(Y124/H124,"0")+IFERROR(Y125/H125,"0")+IFERROR(Y126/H126,"0")</f>
        <v>50</v>
      </c>
      <c r="Z127" s="43">
        <f>IFERROR(IF(Z123="",0,Z123),"0")+IFERROR(IF(Z124="",0,Z124),"0")+IFERROR(IF(Z125="",0,Z125),"0")+IFERROR(IF(Z126="",0,Z126),"0")</f>
        <v>0.94900000000000007</v>
      </c>
      <c r="AA127" s="67"/>
      <c r="AB127" s="67"/>
      <c r="AC127" s="67"/>
    </row>
    <row r="128" spans="1:68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400</v>
      </c>
      <c r="Y128" s="43">
        <f>IFERROR(SUM(Y123:Y126),"0")</f>
        <v>405</v>
      </c>
      <c r="Z128" s="42"/>
      <c r="AA128" s="67"/>
      <c r="AB128" s="67"/>
      <c r="AC128" s="67"/>
    </row>
    <row r="129" spans="1:68" ht="14.25" hidden="1" customHeight="1" x14ac:dyDescent="0.25">
      <c r="A129" s="713" t="s">
        <v>183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12" t="s">
        <v>257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hidden="1" customHeight="1" x14ac:dyDescent="0.25">
      <c r="A134" s="713" t="s">
        <v>130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13" t="s">
        <v>77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13" t="s">
        <v>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12" t="s">
        <v>270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hidden="1" customHeight="1" x14ac:dyDescent="0.25">
      <c r="A150" s="713" t="s">
        <v>83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3" t="s">
        <v>101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2" t="s">
        <v>128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hidden="1" customHeight="1" x14ac:dyDescent="0.25">
      <c r="A162" s="713" t="s">
        <v>130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3" t="s">
        <v>165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3" t="s">
        <v>77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50</v>
      </c>
      <c r="Y177" s="55">
        <f t="shared" si="15"/>
        <v>52.5</v>
      </c>
      <c r="Z177" s="41">
        <f>IFERROR(IF(Y177=0,"",ROUNDUP(Y177/H177,0)*0.00902),"")</f>
        <v>0.1353</v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52.714285714285715</v>
      </c>
      <c r="BN177" s="78">
        <f t="shared" si="17"/>
        <v>55.35</v>
      </c>
      <c r="BO177" s="78">
        <f t="shared" si="18"/>
        <v>0.10822510822510824</v>
      </c>
      <c r="BP177" s="78">
        <f t="shared" si="19"/>
        <v>0.11363636363636365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50</v>
      </c>
      <c r="Y178" s="55">
        <f t="shared" si="15"/>
        <v>52.5</v>
      </c>
      <c r="Z178" s="41">
        <f>IFERROR(IF(Y178=0,"",ROUNDUP(Y178/H178,0)*0.00902),"")</f>
        <v>0.1353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52.714285714285715</v>
      </c>
      <c r="BN178" s="78">
        <f t="shared" si="17"/>
        <v>55.35</v>
      </c>
      <c r="BO178" s="78">
        <f t="shared" si="18"/>
        <v>0.10822510822510824</v>
      </c>
      <c r="BP178" s="78">
        <f t="shared" si="19"/>
        <v>0.11363636363636365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28.571428571428573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30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0.27060000000000001</v>
      </c>
      <c r="AA185" s="67"/>
      <c r="AB185" s="67"/>
      <c r="AC185" s="67"/>
    </row>
    <row r="186" spans="1:68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100</v>
      </c>
      <c r="Y186" s="43">
        <f>IFERROR(SUM(Y175:Y184),"0")</f>
        <v>105</v>
      </c>
      <c r="Z186" s="42"/>
      <c r="AA186" s="67"/>
      <c r="AB186" s="67"/>
      <c r="AC186" s="67"/>
    </row>
    <row r="187" spans="1:68" ht="14.25" hidden="1" customHeight="1" x14ac:dyDescent="0.25">
      <c r="A187" s="713" t="s">
        <v>83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3" t="s">
        <v>101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3" t="s">
        <v>339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1" t="s">
        <v>343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hidden="1" customHeight="1" x14ac:dyDescent="0.25">
      <c r="A201" s="712" t="s">
        <v>344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hidden="1" customHeight="1" x14ac:dyDescent="0.25">
      <c r="A202" s="713" t="s">
        <v>130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2" t="s">
        <v>365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hidden="1" customHeight="1" x14ac:dyDescent="0.25">
      <c r="A213" s="713" t="s">
        <v>165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3" t="s">
        <v>77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idden="1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hidden="1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hidden="1" customHeight="1" x14ac:dyDescent="0.25">
      <c r="A234" s="713" t="s">
        <v>83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3" t="s">
        <v>101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713" t="s">
        <v>426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2" t="s">
        <v>429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hidden="1" customHeight="1" x14ac:dyDescent="0.25">
      <c r="A253" s="713" t="s">
        <v>130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3" t="s">
        <v>165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3" t="s">
        <v>77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50</v>
      </c>
      <c r="Y264" s="55">
        <f t="shared" ref="Y264:Y271" si="31">IFERROR(IF(X264="",0,CEILING((X264/$H264),1)*$H264),"")</f>
        <v>54</v>
      </c>
      <c r="Z264" s="41">
        <f>IFERROR(IF(Y264=0,"",ROUNDUP(Y264/H264,0)*0.00902),"")</f>
        <v>9.0200000000000002E-2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51.759259259259252</v>
      </c>
      <c r="BN264" s="78">
        <f t="shared" ref="BN264:BN271" si="33">IFERROR(Y264*I264/H264,"0")</f>
        <v>55.9</v>
      </c>
      <c r="BO264" s="78">
        <f t="shared" ref="BO264:BO271" si="34">IFERROR(1/J264*(X264/H264),"0")</f>
        <v>7.0145903479236812E-2</v>
      </c>
      <c r="BP264" s="78">
        <f t="shared" ref="BP264:BP271" si="35">IFERROR(1/J264*(Y264/H264),"0")</f>
        <v>7.575757575757576E-2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50</v>
      </c>
      <c r="Y265" s="55">
        <f t="shared" si="31"/>
        <v>54</v>
      </c>
      <c r="Z265" s="41">
        <f>IFERROR(IF(Y265=0,"",ROUNDUP(Y265/H265,0)*0.00902),"")</f>
        <v>9.0200000000000002E-2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51.759259259259252</v>
      </c>
      <c r="BN265" s="78">
        <f t="shared" si="33"/>
        <v>55.9</v>
      </c>
      <c r="BO265" s="78">
        <f t="shared" si="34"/>
        <v>7.0145903479236812E-2</v>
      </c>
      <c r="BP265" s="78">
        <f t="shared" si="35"/>
        <v>7.575757575757576E-2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31"/>
        <v>64.800000000000011</v>
      </c>
      <c r="Z266" s="41">
        <f>IFERROR(IF(Y266=0,"",ROUNDUP(Y266/H266,0)*0.00902),"")</f>
        <v>0.10824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62.1111111111111</v>
      </c>
      <c r="BN266" s="78">
        <f t="shared" si="33"/>
        <v>67.08</v>
      </c>
      <c r="BO266" s="78">
        <f t="shared" si="34"/>
        <v>8.4175084175084181E-2</v>
      </c>
      <c r="BP266" s="78">
        <f t="shared" si="35"/>
        <v>9.0909090909090925E-2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29.62962962962963</v>
      </c>
      <c r="Y272" s="43">
        <f>IFERROR(Y264/H264,"0")+IFERROR(Y265/H265,"0")+IFERROR(Y266/H266,"0")+IFERROR(Y267/H267,"0")+IFERROR(Y268/H268,"0")+IFERROR(Y269/H269,"0")+IFERROR(Y270/H270,"0")+IFERROR(Y271/H271,"0")</f>
        <v>32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0.28864000000000001</v>
      </c>
      <c r="AA272" s="67"/>
      <c r="AB272" s="67"/>
      <c r="AC272" s="67"/>
    </row>
    <row r="273" spans="1:68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160</v>
      </c>
      <c r="Y273" s="43">
        <f>IFERROR(SUM(Y264:Y271),"0")</f>
        <v>172.8</v>
      </c>
      <c r="Z273" s="42"/>
      <c r="AA273" s="67"/>
      <c r="AB273" s="67"/>
      <c r="AC273" s="67"/>
    </row>
    <row r="274" spans="1:68" ht="14.25" hidden="1" customHeight="1" x14ac:dyDescent="0.25">
      <c r="A274" s="713" t="s">
        <v>83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idden="1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hidden="1" customHeight="1" x14ac:dyDescent="0.25">
      <c r="A288" s="713" t="s">
        <v>183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712" t="s">
        <v>495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hidden="1" customHeight="1" x14ac:dyDescent="0.25">
      <c r="A294" s="713" t="s">
        <v>130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713" t="s">
        <v>165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3" t="s">
        <v>517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3" t="s">
        <v>339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2" t="s">
        <v>530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hidden="1" customHeight="1" x14ac:dyDescent="0.25">
      <c r="A320" s="713" t="s">
        <v>130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712" t="s">
        <v>552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hidden="1" customHeight="1" x14ac:dyDescent="0.25">
      <c r="A331" s="713" t="s">
        <v>83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712" t="s">
        <v>561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hidden="1" customHeight="1" x14ac:dyDescent="0.25">
      <c r="A338" s="713" t="s">
        <v>77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3" t="s">
        <v>83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2" t="s">
        <v>583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hidden="1" customHeight="1" x14ac:dyDescent="0.25">
      <c r="A352" s="713" t="s">
        <v>77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3" t="s">
        <v>83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2" t="s">
        <v>590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hidden="1" customHeight="1" x14ac:dyDescent="0.25">
      <c r="A361" s="713" t="s">
        <v>130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40</v>
      </c>
      <c r="Y362" s="55">
        <f>IFERROR(IF(X362="",0,CEILING((X362/$H362),1)*$H362),"")</f>
        <v>46.8</v>
      </c>
      <c r="Z362" s="41">
        <f>IFERROR(IF(Y362=0,"",ROUNDUP(Y362/H362,0)*0.01898),"")</f>
        <v>0.11388000000000001</v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42.102564102564109</v>
      </c>
      <c r="BN362" s="78">
        <f>IFERROR(Y362*I362/H362,"0")</f>
        <v>49.260000000000005</v>
      </c>
      <c r="BO362" s="78">
        <f>IFERROR(1/J362*(X362/H362),"0")</f>
        <v>8.0128205128205135E-2</v>
      </c>
      <c r="BP362" s="78">
        <f>IFERROR(1/J362*(Y362/H362),"0")</f>
        <v>9.375E-2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60</v>
      </c>
      <c r="Y363" s="55">
        <f>IFERROR(IF(X363="",0,CEILING((X363/$H363),1)*$H363),"")</f>
        <v>62.4</v>
      </c>
      <c r="Z363" s="41">
        <f>IFERROR(IF(Y363=0,"",ROUNDUP(Y363/H363,0)*0.01898),"")</f>
        <v>0.15184</v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63.15384615384616</v>
      </c>
      <c r="BN363" s="78">
        <f>IFERROR(Y363*I363/H363,"0")</f>
        <v>65.680000000000007</v>
      </c>
      <c r="BO363" s="78">
        <f>IFERROR(1/J363*(X363/H363),"0")</f>
        <v>0.1201923076923077</v>
      </c>
      <c r="BP363" s="78">
        <f>IFERROR(1/J363*(Y363/H363),"0")</f>
        <v>0.125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12.820512820512821</v>
      </c>
      <c r="Y365" s="43">
        <f>IFERROR(Y362/H362,"0")+IFERROR(Y363/H363,"0")+IFERROR(Y364/H364,"0")</f>
        <v>14</v>
      </c>
      <c r="Z365" s="43">
        <f>IFERROR(IF(Z362="",0,Z362),"0")+IFERROR(IF(Z363="",0,Z363),"0")+IFERROR(IF(Z364="",0,Z364),"0")</f>
        <v>0.26572000000000001</v>
      </c>
      <c r="AA365" s="67"/>
      <c r="AB365" s="67"/>
      <c r="AC365" s="67"/>
    </row>
    <row r="366" spans="1:68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100</v>
      </c>
      <c r="Y366" s="43">
        <f>IFERROR(SUM(Y362:Y364),"0")</f>
        <v>109.19999999999999</v>
      </c>
      <c r="Z366" s="42"/>
      <c r="AA366" s="67"/>
      <c r="AB366" s="67"/>
      <c r="AC366" s="67"/>
    </row>
    <row r="367" spans="1:68" ht="16.5" hidden="1" customHeight="1" x14ac:dyDescent="0.25">
      <c r="A367" s="712" t="s">
        <v>599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hidden="1" customHeight="1" x14ac:dyDescent="0.25">
      <c r="A368" s="713" t="s">
        <v>130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3" t="s">
        <v>77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idden="1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13" t="s">
        <v>83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13" t="s">
        <v>183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13" t="s">
        <v>101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13" t="s">
        <v>667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3" t="s">
        <v>676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2" t="s">
        <v>685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hidden="1" customHeight="1" x14ac:dyDescent="0.25">
      <c r="A421" s="713" t="s">
        <v>83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6" t="s">
        <v>690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2" t="s">
        <v>697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hidden="1" customHeight="1" x14ac:dyDescent="0.25">
      <c r="A429" s="713" t="s">
        <v>83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50</v>
      </c>
      <c r="Y430" s="55">
        <f>IFERROR(IF(X430="",0,CEILING((X430/$H430),1)*$H430),"")</f>
        <v>56.699999999999996</v>
      </c>
      <c r="Z430" s="41">
        <f>IFERROR(IF(Y430=0,"",ROUNDUP(Y430/H430,0)*0.01898),"")</f>
        <v>0.13286000000000001</v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53.049382716049386</v>
      </c>
      <c r="BN430" s="78">
        <f>IFERROR(Y430*I430/H430,"0")</f>
        <v>60.157999999999994</v>
      </c>
      <c r="BO430" s="78">
        <f>IFERROR(1/J430*(X430/H430),"0")</f>
        <v>9.6450617283950615E-2</v>
      </c>
      <c r="BP430" s="78">
        <f>IFERROR(1/J430*(Y430/H430),"0")</f>
        <v>0.109375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52.5</v>
      </c>
      <c r="Y431" s="55">
        <f>IFERROR(IF(X431="",0,CEILING((X431/$H431),1)*$H431),"")</f>
        <v>52.5</v>
      </c>
      <c r="Z431" s="41">
        <f>IFERROR(IF(Y431=0,"",ROUNDUP(Y431/H431,0)*0.00651),"")</f>
        <v>0.16275000000000001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58.79999999999999</v>
      </c>
      <c r="BN431" s="78">
        <f>IFERROR(Y431*I431/H431,"0")</f>
        <v>58.79999999999999</v>
      </c>
      <c r="BO431" s="78">
        <f>IFERROR(1/J431*(X431/H431),"0")</f>
        <v>0.13736263736263737</v>
      </c>
      <c r="BP431" s="78">
        <f>IFERROR(1/J431*(Y431/H431),"0")</f>
        <v>0.13736263736263737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42</v>
      </c>
      <c r="Y432" s="55">
        <f>IFERROR(IF(X432="",0,CEILING((X432/$H432),1)*$H432),"")</f>
        <v>42</v>
      </c>
      <c r="Z432" s="41">
        <f>IFERROR(IF(Y432=0,"",ROUNDUP(Y432/H432,0)*0.00651),"")</f>
        <v>0.13020000000000001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46.8</v>
      </c>
      <c r="BN432" s="78">
        <f>IFERROR(Y432*I432/H432,"0")</f>
        <v>46.8</v>
      </c>
      <c r="BO432" s="78">
        <f>IFERROR(1/J432*(X432/H432),"0")</f>
        <v>0.1098901098901099</v>
      </c>
      <c r="BP432" s="78">
        <f>IFERROR(1/J432*(Y432/H432),"0")</f>
        <v>0.1098901098901099</v>
      </c>
    </row>
    <row r="433" spans="1:68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51.172839506172835</v>
      </c>
      <c r="Y433" s="43">
        <f>IFERROR(Y430/H430,"0")+IFERROR(Y431/H431,"0")+IFERROR(Y432/H432,"0")</f>
        <v>52</v>
      </c>
      <c r="Z433" s="43">
        <f>IFERROR(IF(Z430="",0,Z430),"0")+IFERROR(IF(Z431="",0,Z431),"0")+IFERROR(IF(Z432="",0,Z432),"0")</f>
        <v>0.42581000000000002</v>
      </c>
      <c r="AA433" s="67"/>
      <c r="AB433" s="67"/>
      <c r="AC433" s="67"/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144.5</v>
      </c>
      <c r="Y434" s="43">
        <f>IFERROR(SUM(Y430:Y432),"0")</f>
        <v>151.19999999999999</v>
      </c>
      <c r="Z434" s="42"/>
      <c r="AA434" s="67"/>
      <c r="AB434" s="67"/>
      <c r="AC434" s="67"/>
    </row>
    <row r="435" spans="1:68" ht="27.75" hidden="1" customHeight="1" x14ac:dyDescent="0.2">
      <c r="A435" s="711" t="s">
        <v>707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hidden="1" customHeight="1" x14ac:dyDescent="0.25">
      <c r="A436" s="712" t="s">
        <v>708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hidden="1" customHeight="1" x14ac:dyDescent="0.25">
      <c r="A437" s="713" t="s">
        <v>130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61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515.66666666666663</v>
      </c>
      <c r="BN439" s="78">
        <f t="shared" si="63"/>
        <v>525.98</v>
      </c>
      <c r="BO439" s="78">
        <f t="shared" si="64"/>
        <v>0.69444444444444442</v>
      </c>
      <c r="BP439" s="78">
        <f t="shared" si="65"/>
        <v>0.70833333333333326</v>
      </c>
    </row>
    <row r="440" spans="1:68" ht="27" hidden="1" customHeight="1" x14ac:dyDescent="0.25">
      <c r="A440" s="63" t="s">
        <v>715</v>
      </c>
      <c r="B440" s="63" t="s">
        <v>716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1000</v>
      </c>
      <c r="Y441" s="55">
        <f t="shared" si="61"/>
        <v>1005</v>
      </c>
      <c r="Z441" s="41">
        <f>IFERROR(IF(Y441=0,"",ROUNDUP(Y441/H441,0)*0.02175),"")</f>
        <v>1.4572499999999999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1031.3333333333333</v>
      </c>
      <c r="BN441" s="78">
        <f t="shared" si="63"/>
        <v>1036.49</v>
      </c>
      <c r="BO441" s="78">
        <f t="shared" si="64"/>
        <v>1.3888888888888888</v>
      </c>
      <c r="BP441" s="78">
        <f t="shared" si="65"/>
        <v>1.3958333333333333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100</v>
      </c>
      <c r="Y446" s="43">
        <f>IFERROR(Y438/H438,"0")+IFERROR(Y439/H439,"0")+IFERROR(Y440/H440,"0")+IFERROR(Y441/H441,"0")+IFERROR(Y442/H442,"0")+IFERROR(Y443/H443,"0")+IFERROR(Y444/H444,"0")+IFERROR(Y445/H445,"0")</f>
        <v>101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2.1967499999999998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1500</v>
      </c>
      <c r="Y447" s="43">
        <f>IFERROR(SUM(Y438:Y445),"0")</f>
        <v>1515</v>
      </c>
      <c r="Z447" s="42"/>
      <c r="AA447" s="67"/>
      <c r="AB447" s="67"/>
      <c r="AC447" s="67"/>
    </row>
    <row r="448" spans="1:68" ht="14.25" hidden="1" customHeight="1" x14ac:dyDescent="0.25">
      <c r="A448" s="713" t="s">
        <v>165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1200</v>
      </c>
      <c r="Y449" s="55">
        <f>IFERROR(IF(X449="",0,CEILING((X449/$H449),1)*$H449),"")</f>
        <v>1200</v>
      </c>
      <c r="Z449" s="41">
        <f>IFERROR(IF(Y449=0,"",ROUNDUP(Y449/H449,0)*0.02175),"")</f>
        <v>1.7399999999999998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1237.5999999999999</v>
      </c>
      <c r="BN449" s="78">
        <f>IFERROR(Y449*I449/H449,"0")</f>
        <v>1237.5999999999999</v>
      </c>
      <c r="BO449" s="78">
        <f>IFERROR(1/J449*(X449/H449),"0")</f>
        <v>1.6666666666666665</v>
      </c>
      <c r="BP449" s="78">
        <f>IFERROR(1/J449*(Y449/H449),"0")</f>
        <v>1.6666666666666665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80</v>
      </c>
      <c r="Y452" s="43">
        <f>IFERROR(Y449/H449,"0")+IFERROR(Y450/H450,"0")+IFERROR(Y451/H451,"0")</f>
        <v>80</v>
      </c>
      <c r="Z452" s="43">
        <f>IFERROR(IF(Z449="",0,Z449),"0")+IFERROR(IF(Z450="",0,Z450),"0")+IFERROR(IF(Z451="",0,Z451),"0")</f>
        <v>1.7399999999999998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1200</v>
      </c>
      <c r="Y453" s="43">
        <f>IFERROR(SUM(Y449:Y451),"0")</f>
        <v>1200</v>
      </c>
      <c r="Z453" s="42"/>
      <c r="AA453" s="67"/>
      <c r="AB453" s="67"/>
      <c r="AC453" s="67"/>
    </row>
    <row r="454" spans="1:68" ht="14.25" hidden="1" customHeight="1" x14ac:dyDescent="0.25">
      <c r="A454" s="713" t="s">
        <v>83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3" t="s">
        <v>183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712" t="s">
        <v>757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hidden="1" customHeight="1" x14ac:dyDescent="0.25">
      <c r="A466" s="713" t="s">
        <v>130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3" t="s">
        <v>83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711" t="s">
        <v>773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hidden="1" customHeight="1" x14ac:dyDescent="0.25">
      <c r="A482" s="712" t="s">
        <v>774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hidden="1" customHeight="1" x14ac:dyDescent="0.25">
      <c r="A483" s="713" t="s">
        <v>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30</v>
      </c>
      <c r="Y485" s="55">
        <f t="shared" si="66"/>
        <v>32.400000000000006</v>
      </c>
      <c r="Z485" s="41">
        <f>IFERROR(IF(Y485=0,"",ROUNDUP(Y485/H485,0)*0.00902),"")</f>
        <v>5.4120000000000001E-2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31.05555555555555</v>
      </c>
      <c r="BN485" s="78">
        <f t="shared" si="68"/>
        <v>33.54</v>
      </c>
      <c r="BO485" s="78">
        <f t="shared" si="69"/>
        <v>4.208754208754209E-2</v>
      </c>
      <c r="BP485" s="78">
        <f t="shared" si="70"/>
        <v>4.5454545454545463E-2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5.5555555555555554</v>
      </c>
      <c r="Y490" s="43">
        <f>IFERROR(Y484/H484,"0")+IFERROR(Y485/H485,"0")+IFERROR(Y486/H486,"0")+IFERROR(Y487/H487,"0")+IFERROR(Y488/H488,"0")+IFERROR(Y489/H489,"0")</f>
        <v>6.0000000000000009</v>
      </c>
      <c r="Z490" s="43">
        <f>IFERROR(IF(Z484="",0,Z484),"0")+IFERROR(IF(Z485="",0,Z485),"0")+IFERROR(IF(Z486="",0,Z486),"0")+IFERROR(IF(Z487="",0,Z487),"0")+IFERROR(IF(Z488="",0,Z488),"0")+IFERROR(IF(Z489="",0,Z489),"0")</f>
        <v>5.4120000000000001E-2</v>
      </c>
      <c r="AA490" s="67"/>
      <c r="AB490" s="67"/>
      <c r="AC490" s="67"/>
    </row>
    <row r="491" spans="1:68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30</v>
      </c>
      <c r="Y491" s="43">
        <f>IFERROR(SUM(Y484:Y489),"0")</f>
        <v>32.400000000000006</v>
      </c>
      <c r="Z491" s="42"/>
      <c r="AA491" s="67"/>
      <c r="AB491" s="67"/>
      <c r="AC491" s="67"/>
    </row>
    <row r="492" spans="1:68" ht="14.25" hidden="1" customHeight="1" x14ac:dyDescent="0.25">
      <c r="A492" s="713" t="s">
        <v>83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2" t="s">
        <v>794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hidden="1" customHeight="1" x14ac:dyDescent="0.25">
      <c r="A497" s="713" t="s">
        <v>165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3" t="s">
        <v>77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711" t="s">
        <v>806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hidden="1" customHeight="1" x14ac:dyDescent="0.25">
      <c r="A508" s="712" t="s">
        <v>806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hidden="1" customHeight="1" x14ac:dyDescent="0.25">
      <c r="A509" s="713" t="s">
        <v>130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500</v>
      </c>
      <c r="Y513" s="55">
        <f t="shared" si="71"/>
        <v>501.6</v>
      </c>
      <c r="Z513" s="41">
        <f>IFERROR(IF(Y513=0,"",ROUNDUP(Y513/H513,0)*0.01196),"")</f>
        <v>1.1362000000000001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533.14393939393938</v>
      </c>
      <c r="BN513" s="78">
        <f t="shared" si="73"/>
        <v>534.85</v>
      </c>
      <c r="BO513" s="78">
        <f t="shared" si="74"/>
        <v>0.91054778554778548</v>
      </c>
      <c r="BP513" s="78">
        <f t="shared" si="75"/>
        <v>0.91346153846153855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1000</v>
      </c>
      <c r="Y514" s="55">
        <f t="shared" si="71"/>
        <v>1003.2</v>
      </c>
      <c r="Z514" s="41">
        <f>IFERROR(IF(Y514=0,"",ROUNDUP(Y514/H514,0)*0.01196),"")</f>
        <v>2.2724000000000002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1066.2878787878788</v>
      </c>
      <c r="BN514" s="78">
        <f t="shared" si="73"/>
        <v>1069.7</v>
      </c>
      <c r="BO514" s="78">
        <f t="shared" si="74"/>
        <v>1.821095571095571</v>
      </c>
      <c r="BP514" s="78">
        <f t="shared" si="75"/>
        <v>1.8269230769230771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284.09090909090907</v>
      </c>
      <c r="Y518" s="43">
        <f>IFERROR(Y510/H510,"0")+IFERROR(Y511/H511,"0")+IFERROR(Y512/H512,"0")+IFERROR(Y513/H513,"0")+IFERROR(Y514/H514,"0")+IFERROR(Y515/H515,"0")+IFERROR(Y516/H516,"0")+IFERROR(Y517/H517,"0")</f>
        <v>285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3.4086000000000003</v>
      </c>
      <c r="AA518" s="67"/>
      <c r="AB518" s="67"/>
      <c r="AC518" s="67"/>
    </row>
    <row r="519" spans="1:68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1500</v>
      </c>
      <c r="Y519" s="43">
        <f>IFERROR(SUM(Y510:Y517),"0")</f>
        <v>1504.8000000000002</v>
      </c>
      <c r="Z519" s="42"/>
      <c r="AA519" s="67"/>
      <c r="AB519" s="67"/>
      <c r="AC519" s="67"/>
    </row>
    <row r="520" spans="1:68" ht="14.25" hidden="1" customHeight="1" x14ac:dyDescent="0.25">
      <c r="A520" s="713" t="s">
        <v>165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1000</v>
      </c>
      <c r="Y521" s="55">
        <f>IFERROR(IF(X521="",0,CEILING((X521/$H521),1)*$H521),"")</f>
        <v>1003.2</v>
      </c>
      <c r="Z521" s="41">
        <f>IFERROR(IF(Y521=0,"",ROUNDUP(Y521/H521,0)*0.01196),"")</f>
        <v>2.2724000000000002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1066.2878787878788</v>
      </c>
      <c r="BN521" s="78">
        <f>IFERROR(Y521*I521/H521,"0")</f>
        <v>1069.7</v>
      </c>
      <c r="BO521" s="78">
        <f>IFERROR(1/J521*(X521/H521),"0")</f>
        <v>1.821095571095571</v>
      </c>
      <c r="BP521" s="78">
        <f>IFERROR(1/J521*(Y521/H521),"0")</f>
        <v>1.8269230769230771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189.39393939393938</v>
      </c>
      <c r="Y524" s="43">
        <f>IFERROR(Y521/H521,"0")+IFERROR(Y522/H522,"0")+IFERROR(Y523/H523,"0")</f>
        <v>190</v>
      </c>
      <c r="Z524" s="43">
        <f>IFERROR(IF(Z521="",0,Z521),"0")+IFERROR(IF(Z522="",0,Z522),"0")+IFERROR(IF(Z523="",0,Z523),"0")</f>
        <v>2.2724000000000002</v>
      </c>
      <c r="AA524" s="67"/>
      <c r="AB524" s="67"/>
      <c r="AC524" s="67"/>
    </row>
    <row r="525" spans="1:68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1000</v>
      </c>
      <c r="Y525" s="43">
        <f>IFERROR(SUM(Y521:Y523),"0")</f>
        <v>1003.2</v>
      </c>
      <c r="Z525" s="42"/>
      <c r="AA525" s="67"/>
      <c r="AB525" s="67"/>
      <c r="AC525" s="67"/>
    </row>
    <row r="526" spans="1:68" ht="14.25" hidden="1" customHeight="1" x14ac:dyDescent="0.25">
      <c r="A526" s="713" t="s">
        <v>77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300</v>
      </c>
      <c r="Y527" s="55">
        <f t="shared" ref="Y527:Y533" si="76">IFERROR(IF(X527="",0,CEILING((X527/$H527),1)*$H527),"")</f>
        <v>300.96000000000004</v>
      </c>
      <c r="Z527" s="41">
        <f>IFERROR(IF(Y527=0,"",ROUNDUP(Y527/H527,0)*0.01196),"")</f>
        <v>0.68171999999999999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319.88636363636363</v>
      </c>
      <c r="BN527" s="78">
        <f t="shared" ref="BN527:BN533" si="78">IFERROR(Y527*I527/H527,"0")</f>
        <v>320.91000000000003</v>
      </c>
      <c r="BO527" s="78">
        <f t="shared" ref="BO527:BO533" si="79">IFERROR(1/J527*(X527/H527),"0")</f>
        <v>0.54632867132867136</v>
      </c>
      <c r="BP527" s="78">
        <f t="shared" ref="BP527:BP533" si="80">IFERROR(1/J527*(Y527/H527),"0")</f>
        <v>0.54807692307692313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400</v>
      </c>
      <c r="Y528" s="55">
        <f t="shared" si="76"/>
        <v>401.28000000000003</v>
      </c>
      <c r="Z528" s="41">
        <f>IFERROR(IF(Y528=0,"",ROUNDUP(Y528/H528,0)*0.01196),"")</f>
        <v>0.90895999999999999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426.5151515151515</v>
      </c>
      <c r="BN528" s="78">
        <f t="shared" si="78"/>
        <v>427.88</v>
      </c>
      <c r="BO528" s="78">
        <f t="shared" si="79"/>
        <v>0.72843822843822836</v>
      </c>
      <c r="BP528" s="78">
        <f t="shared" si="80"/>
        <v>0.73076923076923084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132.57575757575756</v>
      </c>
      <c r="Y534" s="43">
        <f>IFERROR(Y527/H527,"0")+IFERROR(Y528/H528,"0")+IFERROR(Y529/H529,"0")+IFERROR(Y530/H530,"0")+IFERROR(Y531/H531,"0")+IFERROR(Y532/H532,"0")+IFERROR(Y533/H533,"0")</f>
        <v>133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1.5906799999999999</v>
      </c>
      <c r="AA534" s="67"/>
      <c r="AB534" s="67"/>
      <c r="AC534" s="67"/>
    </row>
    <row r="535" spans="1:68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700</v>
      </c>
      <c r="Y535" s="43">
        <f>IFERROR(SUM(Y527:Y533),"0")</f>
        <v>702.24</v>
      </c>
      <c r="Z535" s="42"/>
      <c r="AA535" s="67"/>
      <c r="AB535" s="67"/>
      <c r="AC535" s="67"/>
    </row>
    <row r="536" spans="1:68" ht="27.75" hidden="1" customHeight="1" x14ac:dyDescent="0.2">
      <c r="A536" s="711" t="s">
        <v>850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hidden="1" customHeight="1" x14ac:dyDescent="0.25">
      <c r="A537" s="712" t="s">
        <v>850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hidden="1" customHeight="1" x14ac:dyDescent="0.25">
      <c r="A538" s="713" t="s">
        <v>130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13" t="s">
        <v>165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3" t="s">
        <v>77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13" t="s">
        <v>83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13" t="s">
        <v>183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2" t="s">
        <v>868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hidden="1" customHeight="1" x14ac:dyDescent="0.25">
      <c r="A560" s="713" t="s">
        <v>165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7634.5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7727.94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8024.986934546936</v>
      </c>
      <c r="Y565" s="43">
        <f>IFERROR(SUM(BN22:BN561),"0")</f>
        <v>8122.6939999999995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13</v>
      </c>
      <c r="Y566" s="44">
        <f>ROUNDUP(SUM(BP22:BP561),0)</f>
        <v>13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8349.986934546936</v>
      </c>
      <c r="Y567" s="43">
        <f>GrossWeightTotalR+PalletQtyTotalR*25</f>
        <v>8447.6939999999995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1068.5636585636585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1081</v>
      </c>
      <c r="Z568" s="42"/>
      <c r="AA568" s="67"/>
      <c r="AB568" s="67"/>
      <c r="AC568" s="67"/>
    </row>
    <row r="569" spans="1:68" ht="14.25" hidden="1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15.075710000000001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9" t="s">
        <v>128</v>
      </c>
      <c r="E571" s="999" t="s">
        <v>128</v>
      </c>
      <c r="F571" s="999" t="s">
        <v>128</v>
      </c>
      <c r="G571" s="999" t="s">
        <v>128</v>
      </c>
      <c r="H571" s="999" t="s">
        <v>128</v>
      </c>
      <c r="I571" s="999" t="s">
        <v>128</v>
      </c>
      <c r="J571" s="999" t="s">
        <v>128</v>
      </c>
      <c r="K571" s="999" t="s">
        <v>343</v>
      </c>
      <c r="L571" s="999" t="s">
        <v>343</v>
      </c>
      <c r="M571" s="999" t="s">
        <v>343</v>
      </c>
      <c r="N571" s="1005"/>
      <c r="O571" s="999" t="s">
        <v>343</v>
      </c>
      <c r="P571" s="999" t="s">
        <v>343</v>
      </c>
      <c r="Q571" s="999" t="s">
        <v>343</v>
      </c>
      <c r="R571" s="999" t="s">
        <v>343</v>
      </c>
      <c r="S571" s="999" t="s">
        <v>343</v>
      </c>
      <c r="T571" s="999" t="s">
        <v>343</v>
      </c>
      <c r="U571" s="999" t="s">
        <v>343</v>
      </c>
      <c r="V571" s="999" t="s">
        <v>343</v>
      </c>
      <c r="W571" s="999" t="s">
        <v>343</v>
      </c>
      <c r="X571" s="999" t="s">
        <v>707</v>
      </c>
      <c r="Y571" s="999" t="s">
        <v>707</v>
      </c>
      <c r="Z571" s="999" t="s">
        <v>773</v>
      </c>
      <c r="AA571" s="999" t="s">
        <v>773</v>
      </c>
      <c r="AB571" s="85" t="s">
        <v>806</v>
      </c>
      <c r="AC571" s="999" t="s">
        <v>850</v>
      </c>
      <c r="AD571" s="999" t="s">
        <v>850</v>
      </c>
      <c r="AF571" s="1"/>
    </row>
    <row r="572" spans="1:68" ht="14.25" customHeight="1" thickTop="1" x14ac:dyDescent="0.2">
      <c r="A572" s="1006" t="s">
        <v>10</v>
      </c>
      <c r="B572" s="999" t="s">
        <v>76</v>
      </c>
      <c r="C572" s="999" t="s">
        <v>112</v>
      </c>
      <c r="D572" s="999" t="s">
        <v>129</v>
      </c>
      <c r="E572" s="999" t="s">
        <v>145</v>
      </c>
      <c r="F572" s="999" t="s">
        <v>191</v>
      </c>
      <c r="G572" s="999" t="s">
        <v>215</v>
      </c>
      <c r="H572" s="999" t="s">
        <v>257</v>
      </c>
      <c r="I572" s="999" t="s">
        <v>270</v>
      </c>
      <c r="J572" s="999" t="s">
        <v>128</v>
      </c>
      <c r="K572" s="999" t="s">
        <v>344</v>
      </c>
      <c r="L572" s="999" t="s">
        <v>365</v>
      </c>
      <c r="M572" s="999" t="s">
        <v>429</v>
      </c>
      <c r="N572" s="1"/>
      <c r="O572" s="999" t="s">
        <v>495</v>
      </c>
      <c r="P572" s="999" t="s">
        <v>530</v>
      </c>
      <c r="Q572" s="999" t="s">
        <v>552</v>
      </c>
      <c r="R572" s="999" t="s">
        <v>561</v>
      </c>
      <c r="S572" s="999" t="s">
        <v>583</v>
      </c>
      <c r="T572" s="999" t="s">
        <v>590</v>
      </c>
      <c r="U572" s="999" t="s">
        <v>599</v>
      </c>
      <c r="V572" s="999" t="s">
        <v>685</v>
      </c>
      <c r="W572" s="999" t="s">
        <v>697</v>
      </c>
      <c r="X572" s="999" t="s">
        <v>708</v>
      </c>
      <c r="Y572" s="999" t="s">
        <v>757</v>
      </c>
      <c r="Z572" s="999" t="s">
        <v>774</v>
      </c>
      <c r="AA572" s="999" t="s">
        <v>794</v>
      </c>
      <c r="AB572" s="999" t="s">
        <v>806</v>
      </c>
      <c r="AC572" s="999" t="s">
        <v>850</v>
      </c>
      <c r="AD572" s="999" t="s">
        <v>868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467.1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765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105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172.8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109.19999999999999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52">
        <f>IFERROR(Y422*1,"0")+IFERROR(Y423*1,"0")+IFERROR(Y424*1,"0")+IFERROR(Y425*1,"0")</f>
        <v>0</v>
      </c>
      <c r="W574" s="52">
        <f>IFERROR(Y430*1,"0")+IFERROR(Y431*1,"0")+IFERROR(Y432*1,"0")</f>
        <v>151.19999999999999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2715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32.400000000000006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3210.2400000000002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68,56"/>
        <filter val="1 200,00"/>
        <filter val="1 500,00"/>
        <filter val="100,00"/>
        <filter val="12,82"/>
        <filter val="13"/>
        <filter val="132,58"/>
        <filter val="144,50"/>
        <filter val="150,00"/>
        <filter val="160,00"/>
        <filter val="189,39"/>
        <filter val="20,56"/>
        <filter val="204,00"/>
        <filter val="23,15"/>
        <filter val="250,00"/>
        <filter val="28,57"/>
        <filter val="284,09"/>
        <filter val="29,63"/>
        <filter val="30,00"/>
        <filter val="300,00"/>
        <filter val="36,00"/>
        <filter val="38,52"/>
        <filter val="40,00"/>
        <filter val="400,00"/>
        <filter val="42,00"/>
        <filter val="49,38"/>
        <filter val="5,56"/>
        <filter val="50,00"/>
        <filter val="500,00"/>
        <filter val="51,17"/>
        <filter val="52,50"/>
        <filter val="54,00"/>
        <filter val="60,00"/>
        <filter val="7 634,50"/>
        <filter val="700,00"/>
        <filter val="8 024,99"/>
        <filter val="8 349,99"/>
        <filter val="80,00"/>
        <filter val="96,00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2026-10-22T12:50:15Z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