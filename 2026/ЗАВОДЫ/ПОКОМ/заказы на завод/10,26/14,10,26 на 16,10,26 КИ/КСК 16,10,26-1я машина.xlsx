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4623189-E9D4-46E8-8C8D-A5E37F7B432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BP492" i="2" s="1"/>
  <c r="P492" i="2"/>
  <c r="X488" i="2"/>
  <c r="X487" i="2"/>
  <c r="BO486" i="2"/>
  <c r="BM486" i="2"/>
  <c r="Y486" i="2"/>
  <c r="BN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P480" i="2"/>
  <c r="BO480" i="2"/>
  <c r="BM480" i="2"/>
  <c r="Y480" i="2"/>
  <c r="Y481" i="2" s="1"/>
  <c r="P480" i="2"/>
  <c r="X477" i="2"/>
  <c r="X476" i="2"/>
  <c r="BO475" i="2"/>
  <c r="BM475" i="2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Z467" i="2" s="1"/>
  <c r="P467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Z458" i="2" s="1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Y409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Y397" i="2" s="1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Z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Z358" i="2" s="1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BN339" i="2" s="1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P285" i="2"/>
  <c r="X283" i="2"/>
  <c r="X282" i="2"/>
  <c r="BO281" i="2"/>
  <c r="BM281" i="2"/>
  <c r="Y281" i="2"/>
  <c r="BN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BN264" i="2" s="1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Z201" i="2" s="1"/>
  <c r="P201" i="2"/>
  <c r="BO200" i="2"/>
  <c r="BM200" i="2"/>
  <c r="Y200" i="2"/>
  <c r="BN200" i="2" s="1"/>
  <c r="P200" i="2"/>
  <c r="BO199" i="2"/>
  <c r="BM199" i="2"/>
  <c r="Y199" i="2"/>
  <c r="P199" i="2"/>
  <c r="X195" i="2"/>
  <c r="Y194" i="2"/>
  <c r="X194" i="2"/>
  <c r="BO193" i="2"/>
  <c r="BM193" i="2"/>
  <c r="Y193" i="2"/>
  <c r="BN193" i="2" s="1"/>
  <c r="P193" i="2"/>
  <c r="X191" i="2"/>
  <c r="Y190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P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Y152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Z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BN72" i="2" s="1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P65" i="2" s="1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102" i="2" l="1"/>
  <c r="BN184" i="2"/>
  <c r="BN202" i="2"/>
  <c r="BN238" i="2"/>
  <c r="BN249" i="2"/>
  <c r="BN274" i="2"/>
  <c r="BN315" i="2"/>
  <c r="BN354" i="2"/>
  <c r="BN439" i="2"/>
  <c r="BN458" i="2"/>
  <c r="BN467" i="2"/>
  <c r="BN485" i="2"/>
  <c r="BN142" i="2"/>
  <c r="BN179" i="2"/>
  <c r="BN189" i="2"/>
  <c r="BN201" i="2"/>
  <c r="BN219" i="2"/>
  <c r="BN244" i="2"/>
  <c r="BN271" i="2"/>
  <c r="BN292" i="2"/>
  <c r="BN316" i="2"/>
  <c r="BN359" i="2"/>
  <c r="BP366" i="2"/>
  <c r="BN374" i="2"/>
  <c r="Z393" i="2"/>
  <c r="BN433" i="2"/>
  <c r="BN460" i="2"/>
  <c r="Y535" i="2"/>
  <c r="BN346" i="2"/>
  <c r="BN427" i="2"/>
  <c r="BP423" i="2"/>
  <c r="Z423" i="2"/>
  <c r="BN499" i="2"/>
  <c r="BN55" i="2"/>
  <c r="BP286" i="2"/>
  <c r="BN89" i="2"/>
  <c r="BP276" i="2"/>
  <c r="BN367" i="2"/>
  <c r="BN381" i="2"/>
  <c r="Y539" i="2"/>
  <c r="Y540" i="2"/>
  <c r="BP537" i="2"/>
  <c r="Z537" i="2"/>
  <c r="Z533" i="2"/>
  <c r="Z534" i="2" s="1"/>
  <c r="Z525" i="2"/>
  <c r="Z526" i="2" s="1"/>
  <c r="BP525" i="2"/>
  <c r="Z521" i="2"/>
  <c r="Z522" i="2" s="1"/>
  <c r="Y523" i="2"/>
  <c r="BN512" i="2"/>
  <c r="Y516" i="2"/>
  <c r="BN509" i="2"/>
  <c r="Z497" i="2"/>
  <c r="BN492" i="2"/>
  <c r="Z485" i="2"/>
  <c r="Y482" i="2"/>
  <c r="Y476" i="2"/>
  <c r="BN475" i="2"/>
  <c r="BN450" i="2"/>
  <c r="Z437" i="2"/>
  <c r="Y440" i="2"/>
  <c r="BP431" i="2"/>
  <c r="Z431" i="2"/>
  <c r="Z434" i="2" s="1"/>
  <c r="BN425" i="2"/>
  <c r="Y416" i="2"/>
  <c r="BP407" i="2"/>
  <c r="Z407" i="2"/>
  <c r="BN401" i="2"/>
  <c r="Y402" i="2"/>
  <c r="BN395" i="2"/>
  <c r="BP393" i="2"/>
  <c r="BN387" i="2"/>
  <c r="BN364" i="2"/>
  <c r="Z359" i="2"/>
  <c r="BN357" i="2"/>
  <c r="BP356" i="2"/>
  <c r="BN348" i="2"/>
  <c r="BN341" i="2"/>
  <c r="Z339" i="2"/>
  <c r="BP339" i="2"/>
  <c r="BN333" i="2"/>
  <c r="BP327" i="2"/>
  <c r="Z327" i="2"/>
  <c r="BN318" i="2"/>
  <c r="BN301" i="2"/>
  <c r="BN293" i="2"/>
  <c r="Z292" i="2"/>
  <c r="BP281" i="2"/>
  <c r="Z281" i="2"/>
  <c r="Z280" i="2"/>
  <c r="BN277" i="2"/>
  <c r="BN272" i="2"/>
  <c r="Z271" i="2"/>
  <c r="BP266" i="2"/>
  <c r="Z264" i="2"/>
  <c r="BP264" i="2"/>
  <c r="BN261" i="2"/>
  <c r="Y245" i="2"/>
  <c r="BN233" i="2"/>
  <c r="BN226" i="2"/>
  <c r="BN223" i="2"/>
  <c r="BP222" i="2"/>
  <c r="BP221" i="2"/>
  <c r="Z221" i="2"/>
  <c r="Z219" i="2"/>
  <c r="BN217" i="2"/>
  <c r="Z200" i="2"/>
  <c r="BP200" i="2"/>
  <c r="Z184" i="2"/>
  <c r="BN177" i="2"/>
  <c r="Z174" i="2"/>
  <c r="Y164" i="2"/>
  <c r="BN159" i="2"/>
  <c r="BP150" i="2"/>
  <c r="Z150" i="2"/>
  <c r="Y134" i="2"/>
  <c r="BP126" i="2"/>
  <c r="Z126" i="2"/>
  <c r="Z127" i="2" s="1"/>
  <c r="BN122" i="2"/>
  <c r="BP115" i="2"/>
  <c r="BN111" i="2"/>
  <c r="BP95" i="2"/>
  <c r="Z95" i="2"/>
  <c r="Z89" i="2"/>
  <c r="BN87" i="2"/>
  <c r="BN85" i="2"/>
  <c r="BP78" i="2"/>
  <c r="Z78" i="2"/>
  <c r="Z73" i="2"/>
  <c r="BP73" i="2"/>
  <c r="Z72" i="2"/>
  <c r="Z74" i="2" s="1"/>
  <c r="Y74" i="2"/>
  <c r="BP72" i="2"/>
  <c r="Y75" i="2"/>
  <c r="BN68" i="2"/>
  <c r="BN65" i="2"/>
  <c r="Z65" i="2"/>
  <c r="BN58" i="2"/>
  <c r="Y50" i="2"/>
  <c r="BN46" i="2"/>
  <c r="BN39" i="2"/>
  <c r="BP29" i="2"/>
  <c r="Z29" i="2"/>
  <c r="BP27" i="2"/>
  <c r="Z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Z235" i="2" s="1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Z461" i="2" s="1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49" i="2" s="1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Z408" i="2" s="1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Z487" i="2" s="1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Z133" i="2" s="1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Z396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Z168" i="2" s="1"/>
  <c r="Y182" i="2"/>
  <c r="BP201" i="2"/>
  <c r="BN259" i="2"/>
  <c r="Y267" i="2"/>
  <c r="Y287" i="2"/>
  <c r="BP285" i="2"/>
  <c r="Z285" i="2"/>
  <c r="Y408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Y350" i="2"/>
  <c r="Z380" i="2"/>
  <c r="Y403" i="2"/>
  <c r="Z414" i="2"/>
  <c r="Z426" i="2"/>
  <c r="Z449" i="2"/>
  <c r="Z451" i="2" s="1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Z539" i="2" s="1"/>
  <c r="X556" i="2"/>
  <c r="Z226" i="2"/>
  <c r="Z249" i="2"/>
  <c r="BN521" i="2"/>
  <c r="BN533" i="2"/>
  <c r="BN480" i="2"/>
  <c r="Z492" i="2"/>
  <c r="BN538" i="2"/>
  <c r="BP521" i="2"/>
  <c r="BP533" i="2"/>
  <c r="AB556" i="2"/>
  <c r="Z159" i="2"/>
  <c r="Z251" i="2" l="1"/>
  <c r="Z328" i="2"/>
  <c r="Z69" i="2"/>
  <c r="Z186" i="2"/>
  <c r="Z108" i="2"/>
  <c r="Z440" i="2"/>
  <c r="Z402" i="2"/>
  <c r="Z383" i="2"/>
  <c r="Z321" i="2"/>
  <c r="Z267" i="2"/>
  <c r="Z256" i="2"/>
  <c r="Z241" i="2"/>
  <c r="Z151" i="2"/>
  <c r="Z123" i="2"/>
  <c r="Z50" i="2"/>
  <c r="X549" i="2"/>
  <c r="Z31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<sst xmlns="http://schemas.openxmlformats.org/spreadsheetml/2006/main" count="4118" uniqueCount="871">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</sst>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6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 t="s">
        <v>870</v>
      </c>
      <c r="I5" s="976"/>
      <c r="J5" s="976"/>
      <c r="K5" s="976"/>
      <c r="L5" s="976"/>
      <c r="M5" s="976"/>
      <c r="N5" s="72"/>
      <c r="P5" s="27" t="s">
        <v>4</v>
      </c>
      <c r="Q5" s="978">
        <v>46311</v>
      </c>
      <c r="R5" s="978"/>
      <c r="T5" s="979" t="s">
        <v>3</v>
      </c>
      <c r="U5" s="980"/>
      <c r="V5" s="981" t="s">
        <v>851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852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Пятница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1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4.1666666666666664E-2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0" t="s">
        <v>76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54"/>
      <c r="AB19" s="54"/>
      <c r="AC19" s="54"/>
    </row>
    <row r="20" spans="1:68" ht="16.5" hidden="1" customHeight="1" x14ac:dyDescent="0.25">
      <c r="A20" s="643" t="s">
        <v>76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5"/>
      <c r="AB20" s="65"/>
      <c r="AC20" s="79"/>
    </row>
    <row r="21" spans="1:68" ht="14.25" hidden="1" customHeight="1" x14ac:dyDescent="0.25">
      <c r="A21" s="644" t="s">
        <v>77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39">
        <v>4680115889071</v>
      </c>
      <c r="E22" s="639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1"/>
      <c r="R22" s="641"/>
      <c r="S22" s="641"/>
      <c r="T22" s="64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33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0" t="s">
        <v>40</v>
      </c>
      <c r="Q23" s="631"/>
      <c r="R23" s="631"/>
      <c r="S23" s="631"/>
      <c r="T23" s="631"/>
      <c r="U23" s="631"/>
      <c r="V23" s="632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44" t="s">
        <v>83</v>
      </c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44"/>
      <c r="P25" s="644"/>
      <c r="Q25" s="644"/>
      <c r="R25" s="644"/>
      <c r="S25" s="644"/>
      <c r="T25" s="644"/>
      <c r="U25" s="644"/>
      <c r="V25" s="644"/>
      <c r="W25" s="644"/>
      <c r="X25" s="644"/>
      <c r="Y25" s="644"/>
      <c r="Z25" s="64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39">
        <v>4680115885912</v>
      </c>
      <c r="E26" s="63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1"/>
      <c r="R26" s="641"/>
      <c r="S26" s="641"/>
      <c r="T26" s="64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39">
        <v>4607091388237</v>
      </c>
      <c r="E27" s="63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1"/>
      <c r="R27" s="641"/>
      <c r="S27" s="641"/>
      <c r="T27" s="64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39">
        <v>4680115887350</v>
      </c>
      <c r="E28" s="63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1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1"/>
      <c r="R28" s="641"/>
      <c r="S28" s="641"/>
      <c r="T28" s="642"/>
      <c r="U28" s="39" t="s">
        <v>46</v>
      </c>
      <c r="V28" s="39" t="s">
        <v>46</v>
      </c>
      <c r="W28" s="40" t="s">
        <v>0</v>
      </c>
      <c r="X28" s="58">
        <v>12</v>
      </c>
      <c r="Y28" s="55">
        <f>IFERROR(IF(X28="",0,CEILING((X28/$H28),1)*$H28),"")</f>
        <v>12.6</v>
      </c>
      <c r="Z28" s="41">
        <f>IFERROR(IF(Y28=0,"",ROUNDUP(Y28/H28,0)*0.00651),"")</f>
        <v>4.5569999999999999E-2</v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21.200000000000003</v>
      </c>
      <c r="BN28" s="78">
        <f>IFERROR(Y28*I28/H28,"0")</f>
        <v>22.259999999999998</v>
      </c>
      <c r="BO28" s="78">
        <f>IFERROR(1/J28*(X28/H28),"0")</f>
        <v>3.6630036630036632E-2</v>
      </c>
      <c r="BP28" s="78">
        <f>IFERROR(1/J28*(Y28/H28),"0")</f>
        <v>3.8461538461538464E-2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39">
        <v>4680115885905</v>
      </c>
      <c r="E29" s="63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1"/>
      <c r="R29" s="641"/>
      <c r="S29" s="641"/>
      <c r="T29" s="64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39">
        <v>4680115887619</v>
      </c>
      <c r="E30" s="639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1"/>
      <c r="R30" s="641"/>
      <c r="S30" s="641"/>
      <c r="T30" s="64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3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0" t="s">
        <v>40</v>
      </c>
      <c r="Q31" s="631"/>
      <c r="R31" s="631"/>
      <c r="S31" s="631"/>
      <c r="T31" s="631"/>
      <c r="U31" s="631"/>
      <c r="V31" s="632"/>
      <c r="W31" s="42" t="s">
        <v>39</v>
      </c>
      <c r="X31" s="43">
        <f>IFERROR(X26/H26,"0")+IFERROR(X27/H27,"0")+IFERROR(X28/H28,"0")+IFERROR(X29/H29,"0")+IFERROR(X30/H30,"0")</f>
        <v>6.6666666666666661</v>
      </c>
      <c r="Y31" s="43">
        <f>IFERROR(Y26/H26,"0")+IFERROR(Y27/H27,"0")+IFERROR(Y28/H28,"0")+IFERROR(Y29/H29,"0")+IFERROR(Y30/H30,"0")</f>
        <v>7</v>
      </c>
      <c r="Z31" s="43">
        <f>IFERROR(IF(Z26="",0,Z26),"0")+IFERROR(IF(Z27="",0,Z27),"0")+IFERROR(IF(Z28="",0,Z28),"0")+IFERROR(IF(Z29="",0,Z29),"0")+IFERROR(IF(Z30="",0,Z30),"0")</f>
        <v>4.5569999999999999E-2</v>
      </c>
      <c r="AA31" s="67"/>
      <c r="AB31" s="67"/>
      <c r="AC31" s="67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0</v>
      </c>
      <c r="X32" s="43">
        <f>IFERROR(SUM(X26:X30),"0")</f>
        <v>12</v>
      </c>
      <c r="Y32" s="43">
        <f>IFERROR(SUM(Y26:Y30),"0")</f>
        <v>12.6</v>
      </c>
      <c r="Z32" s="42"/>
      <c r="AA32" s="67"/>
      <c r="AB32" s="67"/>
      <c r="AC32" s="67"/>
    </row>
    <row r="33" spans="1:68" ht="27.75" hidden="1" customHeight="1" x14ac:dyDescent="0.2">
      <c r="A33" s="650" t="s">
        <v>45</v>
      </c>
      <c r="B33" s="65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0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0"/>
      <c r="AA33" s="54"/>
      <c r="AB33" s="54"/>
      <c r="AC33" s="54"/>
    </row>
    <row r="34" spans="1:68" ht="16.5" hidden="1" customHeight="1" x14ac:dyDescent="0.25">
      <c r="A34" s="643" t="s">
        <v>101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5"/>
      <c r="AB34" s="65"/>
      <c r="AC34" s="79"/>
    </row>
    <row r="35" spans="1:68" ht="14.25" hidden="1" customHeight="1" x14ac:dyDescent="0.25">
      <c r="A35" s="644" t="s">
        <v>83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39">
        <v>4680115889354</v>
      </c>
      <c r="E36" s="639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41"/>
      <c r="R36" s="641"/>
      <c r="S36" s="641"/>
      <c r="T36" s="64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39">
        <v>4680115888463</v>
      </c>
      <c r="E37" s="63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9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41"/>
      <c r="R37" s="641"/>
      <c r="S37" s="641"/>
      <c r="T37" s="64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39">
        <v>4680115889590</v>
      </c>
      <c r="E38" s="639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90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41"/>
      <c r="R38" s="641"/>
      <c r="S38" s="641"/>
      <c r="T38" s="64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39">
        <v>4680115888272</v>
      </c>
      <c r="E39" s="639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9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41"/>
      <c r="R39" s="641"/>
      <c r="S39" s="641"/>
      <c r="T39" s="64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39">
        <v>4680115888364</v>
      </c>
      <c r="E40" s="63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9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41"/>
      <c r="R40" s="641"/>
      <c r="S40" s="641"/>
      <c r="T40" s="64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633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0" t="s">
        <v>40</v>
      </c>
      <c r="Q41" s="631"/>
      <c r="R41" s="631"/>
      <c r="S41" s="631"/>
      <c r="T41" s="631"/>
      <c r="U41" s="631"/>
      <c r="V41" s="632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0" t="s">
        <v>40</v>
      </c>
      <c r="Q42" s="631"/>
      <c r="R42" s="631"/>
      <c r="S42" s="631"/>
      <c r="T42" s="631"/>
      <c r="U42" s="631"/>
      <c r="V42" s="632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50" t="s">
        <v>117</v>
      </c>
      <c r="B43" s="650"/>
      <c r="C43" s="650"/>
      <c r="D43" s="650"/>
      <c r="E43" s="650"/>
      <c r="F43" s="650"/>
      <c r="G43" s="650"/>
      <c r="H43" s="650"/>
      <c r="I43" s="650"/>
      <c r="J43" s="650"/>
      <c r="K43" s="650"/>
      <c r="L43" s="650"/>
      <c r="M43" s="650"/>
      <c r="N43" s="650"/>
      <c r="O43" s="650"/>
      <c r="P43" s="650"/>
      <c r="Q43" s="650"/>
      <c r="R43" s="650"/>
      <c r="S43" s="650"/>
      <c r="T43" s="650"/>
      <c r="U43" s="650"/>
      <c r="V43" s="650"/>
      <c r="W43" s="650"/>
      <c r="X43" s="650"/>
      <c r="Y43" s="650"/>
      <c r="Z43" s="650"/>
      <c r="AA43" s="54"/>
      <c r="AB43" s="54"/>
      <c r="AC43" s="54"/>
    </row>
    <row r="44" spans="1:68" ht="16.5" hidden="1" customHeight="1" x14ac:dyDescent="0.25">
      <c r="A44" s="643" t="s">
        <v>118</v>
      </c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3"/>
      <c r="P44" s="643"/>
      <c r="Q44" s="643"/>
      <c r="R44" s="643"/>
      <c r="S44" s="643"/>
      <c r="T44" s="643"/>
      <c r="U44" s="643"/>
      <c r="V44" s="643"/>
      <c r="W44" s="643"/>
      <c r="X44" s="643"/>
      <c r="Y44" s="643"/>
      <c r="Z44" s="643"/>
      <c r="AA44" s="65"/>
      <c r="AB44" s="65"/>
      <c r="AC44" s="79"/>
    </row>
    <row r="45" spans="1:68" ht="14.25" hidden="1" customHeight="1" x14ac:dyDescent="0.25">
      <c r="A45" s="644" t="s">
        <v>119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644"/>
      <c r="P45" s="644"/>
      <c r="Q45" s="644"/>
      <c r="R45" s="644"/>
      <c r="S45" s="644"/>
      <c r="T45" s="644"/>
      <c r="U45" s="644"/>
      <c r="V45" s="644"/>
      <c r="W45" s="644"/>
      <c r="X45" s="644"/>
      <c r="Y45" s="644"/>
      <c r="Z45" s="644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39">
        <v>4607091385670</v>
      </c>
      <c r="E46" s="639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9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41"/>
      <c r="R46" s="641"/>
      <c r="S46" s="641"/>
      <c r="T46" s="642"/>
      <c r="U46" s="39" t="s">
        <v>46</v>
      </c>
      <c r="V46" s="39" t="s">
        <v>46</v>
      </c>
      <c r="W46" s="40" t="s">
        <v>0</v>
      </c>
      <c r="X46" s="58">
        <v>50</v>
      </c>
      <c r="Y46" s="55">
        <f>IFERROR(IF(X46="",0,CEILING((X46/$H46),1)*$H46),"")</f>
        <v>54</v>
      </c>
      <c r="Z46" s="41">
        <f>IFERROR(IF(Y46=0,"",ROUNDUP(Y46/H46,0)*0.01898),"")</f>
        <v>9.4899999999999998E-2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51.898148148148145</v>
      </c>
      <c r="BN46" s="78">
        <f>IFERROR(Y46*I46/H46,"0")</f>
        <v>56.05</v>
      </c>
      <c r="BO46" s="78">
        <f>IFERROR(1/J46*(X46/H46),"0")</f>
        <v>7.2337962962962965E-2</v>
      </c>
      <c r="BP46" s="78">
        <f>IFERROR(1/J46*(Y46/H46),"0")</f>
        <v>7.8125E-2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39">
        <v>4680115887725</v>
      </c>
      <c r="E47" s="639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9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41"/>
      <c r="R47" s="641"/>
      <c r="S47" s="641"/>
      <c r="T47" s="64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39">
        <v>4607091385687</v>
      </c>
      <c r="E48" s="639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41"/>
      <c r="R48" s="641"/>
      <c r="S48" s="641"/>
      <c r="T48" s="642"/>
      <c r="U48" s="39" t="s">
        <v>46</v>
      </c>
      <c r="V48" s="39" t="s">
        <v>46</v>
      </c>
      <c r="W48" s="40" t="s">
        <v>0</v>
      </c>
      <c r="X48" s="58">
        <v>100</v>
      </c>
      <c r="Y48" s="55">
        <f>IFERROR(IF(X48="",0,CEILING((X48/$H48),1)*$H48),"")</f>
        <v>100</v>
      </c>
      <c r="Z48" s="41">
        <f>IFERROR(IF(Y48=0,"",ROUNDUP(Y48/H48,0)*0.00902),"")</f>
        <v>0.22550000000000001</v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104.75000000000001</v>
      </c>
      <c r="BN48" s="78">
        <f>IFERROR(Y48*I48/H48,"0")</f>
        <v>104.75000000000001</v>
      </c>
      <c r="BO48" s="78">
        <f>IFERROR(1/J48*(X48/H48),"0")</f>
        <v>0.18939393939393939</v>
      </c>
      <c r="BP48" s="78">
        <f>IFERROR(1/J48*(Y48/H48),"0")</f>
        <v>0.18939393939393939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39">
        <v>4680115882539</v>
      </c>
      <c r="E49" s="639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9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41"/>
      <c r="R49" s="641"/>
      <c r="S49" s="641"/>
      <c r="T49" s="64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39</v>
      </c>
      <c r="X50" s="43">
        <f>IFERROR(X46/H46,"0")+IFERROR(X47/H47,"0")+IFERROR(X48/H48,"0")+IFERROR(X49/H49,"0")</f>
        <v>29.62962962962963</v>
      </c>
      <c r="Y50" s="43">
        <f>IFERROR(Y46/H46,"0")+IFERROR(Y47/H47,"0")+IFERROR(Y48/H48,"0")+IFERROR(Y49/H49,"0")</f>
        <v>30</v>
      </c>
      <c r="Z50" s="43">
        <f>IFERROR(IF(Z46="",0,Z46),"0")+IFERROR(IF(Z47="",0,Z47),"0")+IFERROR(IF(Z48="",0,Z48),"0")+IFERROR(IF(Z49="",0,Z49),"0")</f>
        <v>0.32040000000000002</v>
      </c>
      <c r="AA50" s="67"/>
      <c r="AB50" s="67"/>
      <c r="AC50" s="67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0" t="s">
        <v>40</v>
      </c>
      <c r="Q51" s="631"/>
      <c r="R51" s="631"/>
      <c r="S51" s="631"/>
      <c r="T51" s="631"/>
      <c r="U51" s="631"/>
      <c r="V51" s="632"/>
      <c r="W51" s="42" t="s">
        <v>0</v>
      </c>
      <c r="X51" s="43">
        <f>IFERROR(SUM(X46:X49),"0")</f>
        <v>150</v>
      </c>
      <c r="Y51" s="43">
        <f>IFERROR(SUM(Y46:Y49),"0")</f>
        <v>154</v>
      </c>
      <c r="Z51" s="42"/>
      <c r="AA51" s="67"/>
      <c r="AB51" s="67"/>
      <c r="AC51" s="67"/>
    </row>
    <row r="52" spans="1:68" ht="16.5" hidden="1" customHeight="1" x14ac:dyDescent="0.25">
      <c r="A52" s="643" t="s">
        <v>134</v>
      </c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  <c r="R52" s="643"/>
      <c r="S52" s="643"/>
      <c r="T52" s="643"/>
      <c r="U52" s="643"/>
      <c r="V52" s="643"/>
      <c r="W52" s="643"/>
      <c r="X52" s="643"/>
      <c r="Y52" s="643"/>
      <c r="Z52" s="643"/>
      <c r="AA52" s="65"/>
      <c r="AB52" s="65"/>
      <c r="AC52" s="79"/>
    </row>
    <row r="53" spans="1:68" ht="14.25" hidden="1" customHeight="1" x14ac:dyDescent="0.25">
      <c r="A53" s="644" t="s">
        <v>119</v>
      </c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4"/>
      <c r="T53" s="644"/>
      <c r="U53" s="644"/>
      <c r="V53" s="644"/>
      <c r="W53" s="644"/>
      <c r="X53" s="644"/>
      <c r="Y53" s="644"/>
      <c r="Z53" s="644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39">
        <v>4680115885882</v>
      </c>
      <c r="E54" s="639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89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41"/>
      <c r="R54" s="641"/>
      <c r="S54" s="641"/>
      <c r="T54" s="642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39">
        <v>4680115881426</v>
      </c>
      <c r="E55" s="639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41"/>
      <c r="R55" s="641"/>
      <c r="S55" s="641"/>
      <c r="T55" s="642"/>
      <c r="U55" s="39" t="s">
        <v>46</v>
      </c>
      <c r="V55" s="39" t="s">
        <v>46</v>
      </c>
      <c r="W55" s="40" t="s">
        <v>0</v>
      </c>
      <c r="X55" s="58">
        <v>120</v>
      </c>
      <c r="Y55" s="55">
        <f t="shared" si="0"/>
        <v>129.60000000000002</v>
      </c>
      <c r="Z55" s="41">
        <f>IFERROR(IF(Y55=0,"",ROUNDUP(Y55/H55,0)*0.01898),"")</f>
        <v>0.22776000000000002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124.55555555555556</v>
      </c>
      <c r="BN55" s="78">
        <f t="shared" si="2"/>
        <v>134.52000000000001</v>
      </c>
      <c r="BO55" s="78">
        <f t="shared" si="3"/>
        <v>0.1736111111111111</v>
      </c>
      <c r="BP55" s="78">
        <f t="shared" si="4"/>
        <v>0.18750000000000003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39">
        <v>4680115881426</v>
      </c>
      <c r="E56" s="63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89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41"/>
      <c r="R56" s="641"/>
      <c r="S56" s="641"/>
      <c r="T56" s="64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39">
        <v>4680115880283</v>
      </c>
      <c r="E57" s="63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89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1"/>
      <c r="R57" s="641"/>
      <c r="S57" s="641"/>
      <c r="T57" s="64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39">
        <v>4680115881525</v>
      </c>
      <c r="E58" s="63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89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1"/>
      <c r="R58" s="641"/>
      <c r="S58" s="641"/>
      <c r="T58" s="64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39">
        <v>4680115881525</v>
      </c>
      <c r="E59" s="63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1"/>
      <c r="R59" s="641"/>
      <c r="S59" s="641"/>
      <c r="T59" s="64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39">
        <v>4680115885899</v>
      </c>
      <c r="E60" s="63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89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1"/>
      <c r="R60" s="641"/>
      <c r="S60" s="641"/>
      <c r="T60" s="64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39">
        <v>4680115881419</v>
      </c>
      <c r="E61" s="63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41"/>
      <c r="R61" s="641"/>
      <c r="S61" s="641"/>
      <c r="T61" s="642"/>
      <c r="U61" s="39" t="s">
        <v>46</v>
      </c>
      <c r="V61" s="39" t="s">
        <v>46</v>
      </c>
      <c r="W61" s="40" t="s">
        <v>0</v>
      </c>
      <c r="X61" s="58">
        <v>135</v>
      </c>
      <c r="Y61" s="55">
        <f t="shared" si="0"/>
        <v>135</v>
      </c>
      <c r="Z61" s="41">
        <f>IFERROR(IF(Y61=0,"",ROUNDUP(Y61/H61,0)*0.00902),"")</f>
        <v>0.27060000000000001</v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140.70000000000002</v>
      </c>
      <c r="BN61" s="78">
        <f t="shared" si="2"/>
        <v>140.70000000000002</v>
      </c>
      <c r="BO61" s="78">
        <f t="shared" si="3"/>
        <v>0.22727272727272729</v>
      </c>
      <c r="BP61" s="78">
        <f t="shared" si="4"/>
        <v>0.22727272727272729</v>
      </c>
    </row>
    <row r="62" spans="1:68" x14ac:dyDescent="0.2">
      <c r="A62" s="633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0" t="s">
        <v>40</v>
      </c>
      <c r="Q62" s="631"/>
      <c r="R62" s="631"/>
      <c r="S62" s="631"/>
      <c r="T62" s="631"/>
      <c r="U62" s="631"/>
      <c r="V62" s="632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41.111111111111114</v>
      </c>
      <c r="Y62" s="43">
        <f>IFERROR(Y54/H54,"0")+IFERROR(Y55/H55,"0")+IFERROR(Y56/H56,"0")+IFERROR(Y57/H57,"0")+IFERROR(Y58/H58,"0")+IFERROR(Y59/H59,"0")+IFERROR(Y60/H60,"0")+IFERROR(Y61/H61,"0")</f>
        <v>42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0.49836000000000003</v>
      </c>
      <c r="AA62" s="67"/>
      <c r="AB62" s="67"/>
      <c r="AC62" s="67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0" t="s">
        <v>40</v>
      </c>
      <c r="Q63" s="631"/>
      <c r="R63" s="631"/>
      <c r="S63" s="631"/>
      <c r="T63" s="631"/>
      <c r="U63" s="631"/>
      <c r="V63" s="632"/>
      <c r="W63" s="42" t="s">
        <v>0</v>
      </c>
      <c r="X63" s="43">
        <f>IFERROR(SUM(X54:X61),"0")</f>
        <v>255</v>
      </c>
      <c r="Y63" s="43">
        <f>IFERROR(SUM(Y54:Y61),"0")</f>
        <v>264.60000000000002</v>
      </c>
      <c r="Z63" s="42"/>
      <c r="AA63" s="67"/>
      <c r="AB63" s="67"/>
      <c r="AC63" s="67"/>
    </row>
    <row r="64" spans="1:68" ht="14.25" hidden="1" customHeight="1" x14ac:dyDescent="0.25">
      <c r="A64" s="644" t="s">
        <v>154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6"/>
      <c r="AB64" s="66"/>
      <c r="AC64" s="80"/>
    </row>
    <row r="65" spans="1:68" ht="27" hidden="1" customHeight="1" x14ac:dyDescent="0.25">
      <c r="A65" s="63" t="s">
        <v>155</v>
      </c>
      <c r="B65" s="63" t="s">
        <v>156</v>
      </c>
      <c r="C65" s="36">
        <v>4301020390</v>
      </c>
      <c r="D65" s="639">
        <v>4680115881440</v>
      </c>
      <c r="E65" s="63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89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41"/>
      <c r="R65" s="641"/>
      <c r="S65" s="641"/>
      <c r="T65" s="64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39">
        <v>4680115885950</v>
      </c>
      <c r="E66" s="63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8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1"/>
      <c r="R66" s="641"/>
      <c r="S66" s="641"/>
      <c r="T66" s="64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39">
        <v>4680115887688</v>
      </c>
      <c r="E67" s="63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88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1"/>
      <c r="R67" s="641"/>
      <c r="S67" s="641"/>
      <c r="T67" s="64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164</v>
      </c>
      <c r="B68" s="63" t="s">
        <v>165</v>
      </c>
      <c r="C68" s="36">
        <v>4301020389</v>
      </c>
      <c r="D68" s="639">
        <v>4680115881433</v>
      </c>
      <c r="E68" s="63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88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41"/>
      <c r="R68" s="641"/>
      <c r="S68" s="641"/>
      <c r="T68" s="64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33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0" t="s">
        <v>40</v>
      </c>
      <c r="Q69" s="631"/>
      <c r="R69" s="631"/>
      <c r="S69" s="631"/>
      <c r="T69" s="631"/>
      <c r="U69" s="631"/>
      <c r="V69" s="632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44" t="s">
        <v>83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39">
        <v>4680115884311</v>
      </c>
      <c r="E72" s="63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8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1"/>
      <c r="R72" s="641"/>
      <c r="S72" s="641"/>
      <c r="T72" s="64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39">
        <v>4680115884403</v>
      </c>
      <c r="E73" s="63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88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1"/>
      <c r="R73" s="641"/>
      <c r="S73" s="641"/>
      <c r="T73" s="64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33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0" t="s">
        <v>40</v>
      </c>
      <c r="Q74" s="631"/>
      <c r="R74" s="631"/>
      <c r="S74" s="631"/>
      <c r="T74" s="631"/>
      <c r="U74" s="631"/>
      <c r="V74" s="632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0" t="s">
        <v>40</v>
      </c>
      <c r="Q75" s="631"/>
      <c r="R75" s="631"/>
      <c r="S75" s="631"/>
      <c r="T75" s="631"/>
      <c r="U75" s="631"/>
      <c r="V75" s="632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44" t="s">
        <v>172</v>
      </c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44"/>
      <c r="P76" s="644"/>
      <c r="Q76" s="644"/>
      <c r="R76" s="644"/>
      <c r="S76" s="644"/>
      <c r="T76" s="644"/>
      <c r="U76" s="644"/>
      <c r="V76" s="644"/>
      <c r="W76" s="644"/>
      <c r="X76" s="644"/>
      <c r="Y76" s="644"/>
      <c r="Z76" s="644"/>
      <c r="AA76" s="66"/>
      <c r="AB76" s="66"/>
      <c r="AC76" s="80"/>
    </row>
    <row r="77" spans="1:68" ht="27" customHeight="1" x14ac:dyDescent="0.25">
      <c r="A77" s="63" t="s">
        <v>173</v>
      </c>
      <c r="B77" s="63" t="s">
        <v>174</v>
      </c>
      <c r="C77" s="36">
        <v>4301060455</v>
      </c>
      <c r="D77" s="639">
        <v>4680115881532</v>
      </c>
      <c r="E77" s="63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1"/>
      <c r="R77" s="641"/>
      <c r="S77" s="641"/>
      <c r="T77" s="642"/>
      <c r="U77" s="39" t="s">
        <v>46</v>
      </c>
      <c r="V77" s="39" t="s">
        <v>46</v>
      </c>
      <c r="W77" s="40" t="s">
        <v>0</v>
      </c>
      <c r="X77" s="58">
        <v>20</v>
      </c>
      <c r="Y77" s="55">
        <f>IFERROR(IF(X77="",0,CEILING((X77/$H77),1)*$H77),"")</f>
        <v>23.4</v>
      </c>
      <c r="Z77" s="41">
        <f>IFERROR(IF(Y77=0,"",ROUNDUP(Y77/H77,0)*0.01898),"")</f>
        <v>5.6940000000000004E-2</v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21.051282051282055</v>
      </c>
      <c r="BN77" s="78">
        <f>IFERROR(Y77*I77/H77,"0")</f>
        <v>24.630000000000003</v>
      </c>
      <c r="BO77" s="78">
        <f>IFERROR(1/J77*(X77/H77),"0")</f>
        <v>4.0064102564102567E-2</v>
      </c>
      <c r="BP77" s="78">
        <f>IFERROR(1/J77*(Y77/H77),"0")</f>
        <v>4.6875E-2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39">
        <v>4680115881532</v>
      </c>
      <c r="E78" s="63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88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1"/>
      <c r="R78" s="641"/>
      <c r="S78" s="641"/>
      <c r="T78" s="64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39">
        <v>4680115881464</v>
      </c>
      <c r="E79" s="639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41"/>
      <c r="R79" s="641"/>
      <c r="S79" s="641"/>
      <c r="T79" s="64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3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0" t="s">
        <v>40</v>
      </c>
      <c r="Q80" s="631"/>
      <c r="R80" s="631"/>
      <c r="S80" s="631"/>
      <c r="T80" s="631"/>
      <c r="U80" s="631"/>
      <c r="V80" s="632"/>
      <c r="W80" s="42" t="s">
        <v>39</v>
      </c>
      <c r="X80" s="43">
        <f>IFERROR(X77/H77,"0")+IFERROR(X78/H78,"0")+IFERROR(X79/H79,"0")</f>
        <v>2.5641025641025643</v>
      </c>
      <c r="Y80" s="43">
        <f>IFERROR(Y77/H77,"0")+IFERROR(Y78/H78,"0")+IFERROR(Y79/H79,"0")</f>
        <v>3</v>
      </c>
      <c r="Z80" s="43">
        <f>IFERROR(IF(Z77="",0,Z77),"0")+IFERROR(IF(Z78="",0,Z78),"0")+IFERROR(IF(Z79="",0,Z79),"0")</f>
        <v>5.6940000000000004E-2</v>
      </c>
      <c r="AA80" s="67"/>
      <c r="AB80" s="67"/>
      <c r="AC80" s="67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0" t="s">
        <v>40</v>
      </c>
      <c r="Q81" s="631"/>
      <c r="R81" s="631"/>
      <c r="S81" s="631"/>
      <c r="T81" s="631"/>
      <c r="U81" s="631"/>
      <c r="V81" s="632"/>
      <c r="W81" s="42" t="s">
        <v>0</v>
      </c>
      <c r="X81" s="43">
        <f>IFERROR(SUM(X77:X79),"0")</f>
        <v>20</v>
      </c>
      <c r="Y81" s="43">
        <f>IFERROR(SUM(Y77:Y79),"0")</f>
        <v>23.4</v>
      </c>
      <c r="Z81" s="42"/>
      <c r="AA81" s="67"/>
      <c r="AB81" s="67"/>
      <c r="AC81" s="67"/>
    </row>
    <row r="82" spans="1:68" ht="16.5" hidden="1" customHeight="1" x14ac:dyDescent="0.25">
      <c r="A82" s="643" t="s">
        <v>180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5"/>
      <c r="AB82" s="65"/>
      <c r="AC82" s="79"/>
    </row>
    <row r="83" spans="1:68" ht="14.25" hidden="1" customHeight="1" x14ac:dyDescent="0.25">
      <c r="A83" s="644" t="s">
        <v>119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39">
        <v>4680115881327</v>
      </c>
      <c r="E84" s="639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8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1"/>
      <c r="R84" s="641"/>
      <c r="S84" s="641"/>
      <c r="T84" s="642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39">
        <v>4680115881327</v>
      </c>
      <c r="E85" s="63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87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41"/>
      <c r="R85" s="641"/>
      <c r="S85" s="641"/>
      <c r="T85" s="642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39">
        <v>4680115887732</v>
      </c>
      <c r="E86" s="639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87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1"/>
      <c r="R86" s="641"/>
      <c r="S86" s="641"/>
      <c r="T86" s="64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39">
        <v>4680115881518</v>
      </c>
      <c r="E87" s="63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87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1"/>
      <c r="R87" s="641"/>
      <c r="S87" s="641"/>
      <c r="T87" s="64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39">
        <v>4680115881518</v>
      </c>
      <c r="E88" s="63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88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41"/>
      <c r="R88" s="641"/>
      <c r="S88" s="641"/>
      <c r="T88" s="64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39">
        <v>4680115881303</v>
      </c>
      <c r="E89" s="63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88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1"/>
      <c r="R89" s="641"/>
      <c r="S89" s="641"/>
      <c r="T89" s="642"/>
      <c r="U89" s="39" t="s">
        <v>46</v>
      </c>
      <c r="V89" s="39" t="s">
        <v>46</v>
      </c>
      <c r="W89" s="40" t="s">
        <v>0</v>
      </c>
      <c r="X89" s="58">
        <v>315</v>
      </c>
      <c r="Y89" s="55">
        <f t="shared" si="5"/>
        <v>315</v>
      </c>
      <c r="Z89" s="41">
        <f>IFERROR(IF(Y89=0,"",ROUNDUP(Y89/H89,0)*0.00902),"")</f>
        <v>0.63139999999999996</v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328.3</v>
      </c>
      <c r="BN89" s="78">
        <f t="shared" si="7"/>
        <v>328.3</v>
      </c>
      <c r="BO89" s="78">
        <f t="shared" si="8"/>
        <v>0.53030303030303028</v>
      </c>
      <c r="BP89" s="78">
        <f t="shared" si="9"/>
        <v>0.53030303030303028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IFERROR(X84/H84,"0")+IFERROR(X85/H85,"0")+IFERROR(X86/H86,"0")+IFERROR(X87/H87,"0")+IFERROR(X88/H88,"0")+IFERROR(X89/H89,"0")</f>
        <v>70</v>
      </c>
      <c r="Y90" s="43">
        <f>IFERROR(Y84/H84,"0")+IFERROR(Y85/H85,"0")+IFERROR(Y86/H86,"0")+IFERROR(Y87/H87,"0")+IFERROR(Y88/H88,"0")+IFERROR(Y89/H89,"0")</f>
        <v>70</v>
      </c>
      <c r="Z90" s="43">
        <f>IFERROR(IF(Z84="",0,Z84),"0")+IFERROR(IF(Z85="",0,Z85),"0")+IFERROR(IF(Z86="",0,Z86),"0")+IFERROR(IF(Z87="",0,Z87),"0")+IFERROR(IF(Z88="",0,Z88),"0")+IFERROR(IF(Z89="",0,Z89),"0")</f>
        <v>0.63139999999999996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IFERROR(SUM(X84:X89),"0")</f>
        <v>315</v>
      </c>
      <c r="Y91" s="43">
        <f>IFERROR(SUM(Y84:Y89),"0")</f>
        <v>315</v>
      </c>
      <c r="Z91" s="42"/>
      <c r="AA91" s="67"/>
      <c r="AB91" s="67"/>
      <c r="AC91" s="67"/>
    </row>
    <row r="92" spans="1:68" ht="14.25" hidden="1" customHeight="1" x14ac:dyDescent="0.25">
      <c r="A92" s="644" t="s">
        <v>83</v>
      </c>
      <c r="B92" s="644"/>
      <c r="C92" s="644"/>
      <c r="D92" s="644"/>
      <c r="E92" s="644"/>
      <c r="F92" s="644"/>
      <c r="G92" s="644"/>
      <c r="H92" s="644"/>
      <c r="I92" s="644"/>
      <c r="J92" s="644"/>
      <c r="K92" s="644"/>
      <c r="L92" s="644"/>
      <c r="M92" s="644"/>
      <c r="N92" s="644"/>
      <c r="O92" s="644"/>
      <c r="P92" s="644"/>
      <c r="Q92" s="644"/>
      <c r="R92" s="644"/>
      <c r="S92" s="644"/>
      <c r="T92" s="644"/>
      <c r="U92" s="644"/>
      <c r="V92" s="644"/>
      <c r="W92" s="644"/>
      <c r="X92" s="644"/>
      <c r="Y92" s="644"/>
      <c r="Z92" s="644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39">
        <v>4607091386967</v>
      </c>
      <c r="E93" s="63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87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1"/>
      <c r="R93" s="641"/>
      <c r="S93" s="641"/>
      <c r="T93" s="642"/>
      <c r="U93" s="39" t="s">
        <v>46</v>
      </c>
      <c r="V93" s="39" t="s">
        <v>46</v>
      </c>
      <c r="W93" s="40" t="s">
        <v>0</v>
      </c>
      <c r="X93" s="58">
        <v>80</v>
      </c>
      <c r="Y93" s="55">
        <f>IFERROR(IF(X93="",0,CEILING((X93/$H93),1)*$H93),"")</f>
        <v>81</v>
      </c>
      <c r="Z93" s="41">
        <f>IFERROR(IF(Y93=0,"",ROUNDUP(Y93/H93,0)*0.01898),"")</f>
        <v>0.1898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84.879012345679016</v>
      </c>
      <c r="BN93" s="78">
        <f>IFERROR(Y93*I93/H93,"0")</f>
        <v>85.94</v>
      </c>
      <c r="BO93" s="78">
        <f>IFERROR(1/J93*(X93/H93),"0")</f>
        <v>0.15432098765432101</v>
      </c>
      <c r="BP93" s="78">
        <f>IFERROR(1/J93*(Y93/H93),"0")</f>
        <v>0.15625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39">
        <v>4680115884953</v>
      </c>
      <c r="E94" s="63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87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1"/>
      <c r="R94" s="641"/>
      <c r="S94" s="641"/>
      <c r="T94" s="64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39">
        <v>4607091385731</v>
      </c>
      <c r="E95" s="63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87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1"/>
      <c r="R95" s="641"/>
      <c r="S95" s="641"/>
      <c r="T95" s="642"/>
      <c r="U95" s="39" t="s">
        <v>46</v>
      </c>
      <c r="V95" s="39" t="s">
        <v>46</v>
      </c>
      <c r="W95" s="40" t="s">
        <v>0</v>
      </c>
      <c r="X95" s="58">
        <v>270</v>
      </c>
      <c r="Y95" s="55">
        <f>IFERROR(IF(X95="",0,CEILING((X95/$H95),1)*$H95),"")</f>
        <v>270</v>
      </c>
      <c r="Z95" s="41">
        <f>IFERROR(IF(Y95=0,"",ROUNDUP(Y95/H95,0)*0.00651),"")</f>
        <v>0.65100000000000002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295.2</v>
      </c>
      <c r="BN95" s="78">
        <f>IFERROR(Y95*I95/H95,"0")</f>
        <v>295.2</v>
      </c>
      <c r="BO95" s="78">
        <f>IFERROR(1/J95*(X95/H95),"0")</f>
        <v>0.5494505494505495</v>
      </c>
      <c r="BP95" s="78">
        <f>IFERROR(1/J95*(Y95/H95),"0")</f>
        <v>0.5494505494505495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39">
        <v>4680115880894</v>
      </c>
      <c r="E96" s="63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87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1"/>
      <c r="R96" s="641"/>
      <c r="S96" s="641"/>
      <c r="T96" s="64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109.87654320987654</v>
      </c>
      <c r="Y97" s="43">
        <f>IFERROR(Y93/H93,"0")+IFERROR(Y94/H94,"0")+IFERROR(Y95/H95,"0")+IFERROR(Y96/H96,"0")</f>
        <v>110</v>
      </c>
      <c r="Z97" s="43">
        <f>IFERROR(IF(Z93="",0,Z93),"0")+IFERROR(IF(Z94="",0,Z94),"0")+IFERROR(IF(Z95="",0,Z95),"0")+IFERROR(IF(Z96="",0,Z96),"0")</f>
        <v>0.84079999999999999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350</v>
      </c>
      <c r="Y98" s="43">
        <f>IFERROR(SUM(Y93:Y96),"0")</f>
        <v>351</v>
      </c>
      <c r="Z98" s="42"/>
      <c r="AA98" s="67"/>
      <c r="AB98" s="67"/>
      <c r="AC98" s="67"/>
    </row>
    <row r="99" spans="1:68" ht="16.5" hidden="1" customHeight="1" x14ac:dyDescent="0.25">
      <c r="A99" s="643" t="s">
        <v>204</v>
      </c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V99" s="643"/>
      <c r="W99" s="643"/>
      <c r="X99" s="643"/>
      <c r="Y99" s="643"/>
      <c r="Z99" s="643"/>
      <c r="AA99" s="65"/>
      <c r="AB99" s="65"/>
      <c r="AC99" s="79"/>
    </row>
    <row r="100" spans="1:68" ht="14.25" hidden="1" customHeight="1" x14ac:dyDescent="0.25">
      <c r="A100" s="644" t="s">
        <v>119</v>
      </c>
      <c r="B100" s="644"/>
      <c r="C100" s="644"/>
      <c r="D100" s="644"/>
      <c r="E100" s="644"/>
      <c r="F100" s="644"/>
      <c r="G100" s="644"/>
      <c r="H100" s="644"/>
      <c r="I100" s="644"/>
      <c r="J100" s="644"/>
      <c r="K100" s="644"/>
      <c r="L100" s="644"/>
      <c r="M100" s="644"/>
      <c r="N100" s="644"/>
      <c r="O100" s="644"/>
      <c r="P100" s="644"/>
      <c r="Q100" s="644"/>
      <c r="R100" s="644"/>
      <c r="S100" s="644"/>
      <c r="T100" s="644"/>
      <c r="U100" s="644"/>
      <c r="V100" s="644"/>
      <c r="W100" s="644"/>
      <c r="X100" s="644"/>
      <c r="Y100" s="644"/>
      <c r="Z100" s="644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39">
        <v>4680115882133</v>
      </c>
      <c r="E101" s="63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8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1"/>
      <c r="R101" s="641"/>
      <c r="S101" s="641"/>
      <c r="T101" s="64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39">
        <v>4680115882133</v>
      </c>
      <c r="E102" s="63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8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1"/>
      <c r="R102" s="641"/>
      <c r="S102" s="641"/>
      <c r="T102" s="64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39">
        <v>4680115887718</v>
      </c>
      <c r="E103" s="63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8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1"/>
      <c r="R103" s="641"/>
      <c r="S103" s="641"/>
      <c r="T103" s="64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39">
        <v>4680115880269</v>
      </c>
      <c r="E104" s="63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8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41"/>
      <c r="R104" s="641"/>
      <c r="S104" s="641"/>
      <c r="T104" s="64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39">
        <v>4680115880429</v>
      </c>
      <c r="E105" s="63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8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1"/>
      <c r="R105" s="641"/>
      <c r="S105" s="641"/>
      <c r="T105" s="642"/>
      <c r="U105" s="39" t="s">
        <v>46</v>
      </c>
      <c r="V105" s="39" t="s">
        <v>46</v>
      </c>
      <c r="W105" s="40" t="s">
        <v>0</v>
      </c>
      <c r="X105" s="58">
        <v>315</v>
      </c>
      <c r="Y105" s="55">
        <f t="shared" si="10"/>
        <v>315</v>
      </c>
      <c r="Z105" s="41">
        <f>IFERROR(IF(Y105=0,"",ROUNDUP(Y105/H105,0)*0.00902),"")</f>
        <v>0.63139999999999996</v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328.3</v>
      </c>
      <c r="BN105" s="78">
        <f t="shared" si="12"/>
        <v>328.3</v>
      </c>
      <c r="BO105" s="78">
        <f t="shared" si="13"/>
        <v>0.53030303030303028</v>
      </c>
      <c r="BP105" s="78">
        <f t="shared" si="14"/>
        <v>0.53030303030303028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39">
        <v>4680115881457</v>
      </c>
      <c r="E106" s="63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8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41"/>
      <c r="R106" s="641"/>
      <c r="S106" s="641"/>
      <c r="T106" s="64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39">
        <v>4680115889477</v>
      </c>
      <c r="E107" s="639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86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41"/>
      <c r="R107" s="641"/>
      <c r="S107" s="641"/>
      <c r="T107" s="64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633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0" t="s">
        <v>40</v>
      </c>
      <c r="Q108" s="631"/>
      <c r="R108" s="631"/>
      <c r="S108" s="631"/>
      <c r="T108" s="631"/>
      <c r="U108" s="631"/>
      <c r="V108" s="632"/>
      <c r="W108" s="42" t="s">
        <v>39</v>
      </c>
      <c r="X108" s="43">
        <f>IFERROR(X101/H101,"0")+IFERROR(X102/H102,"0")+IFERROR(X103/H103,"0")+IFERROR(X104/H104,"0")+IFERROR(X105/H105,"0")+IFERROR(X106/H106,"0")+IFERROR(X107/H107,"0")</f>
        <v>70</v>
      </c>
      <c r="Y108" s="43">
        <f>IFERROR(Y101/H101,"0")+IFERROR(Y102/H102,"0")+IFERROR(Y103/H103,"0")+IFERROR(Y104/H104,"0")+IFERROR(Y105/H105,"0")+IFERROR(Y106/H106,"0")+IFERROR(Y107/H107,"0")</f>
        <v>70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0.63139999999999996</v>
      </c>
      <c r="AA108" s="67"/>
      <c r="AB108" s="67"/>
      <c r="AC108" s="67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0" t="s">
        <v>40</v>
      </c>
      <c r="Q109" s="631"/>
      <c r="R109" s="631"/>
      <c r="S109" s="631"/>
      <c r="T109" s="631"/>
      <c r="U109" s="631"/>
      <c r="V109" s="632"/>
      <c r="W109" s="42" t="s">
        <v>0</v>
      </c>
      <c r="X109" s="43">
        <f>IFERROR(SUM(X101:X107),"0")</f>
        <v>315</v>
      </c>
      <c r="Y109" s="43">
        <f>IFERROR(SUM(Y101:Y107),"0")</f>
        <v>315</v>
      </c>
      <c r="Z109" s="42"/>
      <c r="AA109" s="67"/>
      <c r="AB109" s="67"/>
      <c r="AC109" s="67"/>
    </row>
    <row r="110" spans="1:68" ht="14.25" hidden="1" customHeight="1" x14ac:dyDescent="0.25">
      <c r="A110" s="644" t="s">
        <v>154</v>
      </c>
      <c r="B110" s="644"/>
      <c r="C110" s="644"/>
      <c r="D110" s="644"/>
      <c r="E110" s="644"/>
      <c r="F110" s="644"/>
      <c r="G110" s="644"/>
      <c r="H110" s="644"/>
      <c r="I110" s="644"/>
      <c r="J110" s="644"/>
      <c r="K110" s="644"/>
      <c r="L110" s="644"/>
      <c r="M110" s="644"/>
      <c r="N110" s="644"/>
      <c r="O110" s="644"/>
      <c r="P110" s="644"/>
      <c r="Q110" s="644"/>
      <c r="R110" s="644"/>
      <c r="S110" s="644"/>
      <c r="T110" s="644"/>
      <c r="U110" s="644"/>
      <c r="V110" s="644"/>
      <c r="W110" s="644"/>
      <c r="X110" s="644"/>
      <c r="Y110" s="644"/>
      <c r="Z110" s="644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39">
        <v>4680115881488</v>
      </c>
      <c r="E111" s="639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8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1"/>
      <c r="R111" s="641"/>
      <c r="S111" s="641"/>
      <c r="T111" s="64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39">
        <v>4680115887664</v>
      </c>
      <c r="E112" s="639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8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1"/>
      <c r="R112" s="641"/>
      <c r="S112" s="641"/>
      <c r="T112" s="642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39">
        <v>4680115887664</v>
      </c>
      <c r="E113" s="639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1"/>
      <c r="R113" s="641"/>
      <c r="S113" s="641"/>
      <c r="T113" s="642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39">
        <v>4680115882775</v>
      </c>
      <c r="E114" s="639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8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1"/>
      <c r="R114" s="641"/>
      <c r="S114" s="641"/>
      <c r="T114" s="64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39">
        <v>4680115880658</v>
      </c>
      <c r="E115" s="639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8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1"/>
      <c r="R115" s="641"/>
      <c r="S115" s="641"/>
      <c r="T115" s="64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33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0" t="s">
        <v>40</v>
      </c>
      <c r="Q116" s="631"/>
      <c r="R116" s="631"/>
      <c r="S116" s="631"/>
      <c r="T116" s="631"/>
      <c r="U116" s="631"/>
      <c r="V116" s="632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44" t="s">
        <v>83</v>
      </c>
      <c r="B118" s="644"/>
      <c r="C118" s="644"/>
      <c r="D118" s="644"/>
      <c r="E118" s="644"/>
      <c r="F118" s="644"/>
      <c r="G118" s="644"/>
      <c r="H118" s="644"/>
      <c r="I118" s="644"/>
      <c r="J118" s="644"/>
      <c r="K118" s="644"/>
      <c r="L118" s="644"/>
      <c r="M118" s="644"/>
      <c r="N118" s="644"/>
      <c r="O118" s="644"/>
      <c r="P118" s="644"/>
      <c r="Q118" s="644"/>
      <c r="R118" s="644"/>
      <c r="S118" s="644"/>
      <c r="T118" s="644"/>
      <c r="U118" s="644"/>
      <c r="V118" s="644"/>
      <c r="W118" s="644"/>
      <c r="X118" s="644"/>
      <c r="Y118" s="644"/>
      <c r="Z118" s="644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39">
        <v>4607091385168</v>
      </c>
      <c r="E119" s="639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85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1"/>
      <c r="R119" s="641"/>
      <c r="S119" s="641"/>
      <c r="T119" s="642"/>
      <c r="U119" s="39" t="s">
        <v>46</v>
      </c>
      <c r="V119" s="39" t="s">
        <v>46</v>
      </c>
      <c r="W119" s="40" t="s">
        <v>0</v>
      </c>
      <c r="X119" s="58">
        <v>100</v>
      </c>
      <c r="Y119" s="55">
        <f>IFERROR(IF(X119="",0,CEILING((X119/$H119),1)*$H119),"")</f>
        <v>105.3</v>
      </c>
      <c r="Z119" s="41">
        <f>IFERROR(IF(Y119=0,"",ROUNDUP(Y119/H119,0)*0.01898),"")</f>
        <v>0.24674000000000001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106.0246913580247</v>
      </c>
      <c r="BN119" s="78">
        <f>IFERROR(Y119*I119/H119,"0")</f>
        <v>111.64399999999999</v>
      </c>
      <c r="BO119" s="78">
        <f>IFERROR(1/J119*(X119/H119),"0")</f>
        <v>0.19290123456790123</v>
      </c>
      <c r="BP119" s="78">
        <f>IFERROR(1/J119*(Y119/H119),"0")</f>
        <v>0.203125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39">
        <v>4607091383256</v>
      </c>
      <c r="E120" s="639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85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1"/>
      <c r="R120" s="641"/>
      <c r="S120" s="641"/>
      <c r="T120" s="64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39">
        <v>4607091385748</v>
      </c>
      <c r="E121" s="639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85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1"/>
      <c r="R121" s="641"/>
      <c r="S121" s="641"/>
      <c r="T121" s="642"/>
      <c r="U121" s="39" t="s">
        <v>46</v>
      </c>
      <c r="V121" s="39" t="s">
        <v>46</v>
      </c>
      <c r="W121" s="40" t="s">
        <v>0</v>
      </c>
      <c r="X121" s="58">
        <v>495</v>
      </c>
      <c r="Y121" s="55">
        <f>IFERROR(IF(X121="",0,CEILING((X121/$H121),1)*$H121),"")</f>
        <v>496.8</v>
      </c>
      <c r="Z121" s="41">
        <f>IFERROR(IF(Y121=0,"",ROUNDUP(Y121/H121,0)*0.00651),"")</f>
        <v>1.19784</v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541.19999999999993</v>
      </c>
      <c r="BN121" s="78">
        <f>IFERROR(Y121*I121/H121,"0")</f>
        <v>543.16800000000001</v>
      </c>
      <c r="BO121" s="78">
        <f>IFERROR(1/J121*(X121/H121),"0")</f>
        <v>1.0073260073260073</v>
      </c>
      <c r="BP121" s="78">
        <f>IFERROR(1/J121*(Y121/H121),"0")</f>
        <v>1.0109890109890112</v>
      </c>
    </row>
    <row r="122" spans="1:68" ht="16.5" customHeight="1" x14ac:dyDescent="0.25">
      <c r="A122" s="63" t="s">
        <v>242</v>
      </c>
      <c r="B122" s="63" t="s">
        <v>243</v>
      </c>
      <c r="C122" s="36">
        <v>4301052085</v>
      </c>
      <c r="D122" s="639">
        <v>4680115884533</v>
      </c>
      <c r="E122" s="639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86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1"/>
      <c r="R122" s="641"/>
      <c r="S122" s="641"/>
      <c r="T122" s="642"/>
      <c r="U122" s="39" t="s">
        <v>46</v>
      </c>
      <c r="V122" s="39" t="s">
        <v>46</v>
      </c>
      <c r="W122" s="40" t="s">
        <v>0</v>
      </c>
      <c r="X122" s="58">
        <v>15</v>
      </c>
      <c r="Y122" s="55">
        <f>IFERROR(IF(X122="",0,CEILING((X122/$H122),1)*$H122),"")</f>
        <v>16.2</v>
      </c>
      <c r="Z122" s="41">
        <f>IFERROR(IF(Y122=0,"",ROUNDUP(Y122/H122,0)*0.00651),"")</f>
        <v>5.8590000000000003E-2</v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16.5</v>
      </c>
      <c r="BN122" s="78">
        <f>IFERROR(Y122*I122/H122,"0")</f>
        <v>17.82</v>
      </c>
      <c r="BO122" s="78">
        <f>IFERROR(1/J122*(X122/H122),"0")</f>
        <v>4.5787545787545791E-2</v>
      </c>
      <c r="BP122" s="78">
        <f>IFERROR(1/J122*(Y122/H122),"0")</f>
        <v>4.9450549450549455E-2</v>
      </c>
    </row>
    <row r="123" spans="1:68" x14ac:dyDescent="0.2">
      <c r="A123" s="633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0" t="s">
        <v>40</v>
      </c>
      <c r="Q123" s="631"/>
      <c r="R123" s="631"/>
      <c r="S123" s="631"/>
      <c r="T123" s="631"/>
      <c r="U123" s="631"/>
      <c r="V123" s="632"/>
      <c r="W123" s="42" t="s">
        <v>39</v>
      </c>
      <c r="X123" s="43">
        <f>IFERROR(X119/H119,"0")+IFERROR(X120/H120,"0")+IFERROR(X121/H121,"0")+IFERROR(X122/H122,"0")</f>
        <v>204.01234567901233</v>
      </c>
      <c r="Y123" s="43">
        <f>IFERROR(Y119/H119,"0")+IFERROR(Y120/H120,"0")+IFERROR(Y121/H121,"0")+IFERROR(Y122/H122,"0")</f>
        <v>206</v>
      </c>
      <c r="Z123" s="43">
        <f>IFERROR(IF(Z119="",0,Z119),"0")+IFERROR(IF(Z120="",0,Z120),"0")+IFERROR(IF(Z121="",0,Z121),"0")+IFERROR(IF(Z122="",0,Z122),"0")</f>
        <v>1.5031699999999999</v>
      </c>
      <c r="AA123" s="67"/>
      <c r="AB123" s="67"/>
      <c r="AC123" s="67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0</v>
      </c>
      <c r="X124" s="43">
        <f>IFERROR(SUM(X119:X122),"0")</f>
        <v>610</v>
      </c>
      <c r="Y124" s="43">
        <f>IFERROR(SUM(Y119:Y122),"0")</f>
        <v>618.30000000000007</v>
      </c>
      <c r="Z124" s="42"/>
      <c r="AA124" s="67"/>
      <c r="AB124" s="67"/>
      <c r="AC124" s="67"/>
    </row>
    <row r="125" spans="1:68" ht="14.25" hidden="1" customHeight="1" x14ac:dyDescent="0.25">
      <c r="A125" s="644" t="s">
        <v>172</v>
      </c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44"/>
      <c r="P125" s="644"/>
      <c r="Q125" s="644"/>
      <c r="R125" s="644"/>
      <c r="S125" s="644"/>
      <c r="T125" s="644"/>
      <c r="U125" s="644"/>
      <c r="V125" s="644"/>
      <c r="W125" s="644"/>
      <c r="X125" s="644"/>
      <c r="Y125" s="644"/>
      <c r="Z125" s="644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39">
        <v>4680115880238</v>
      </c>
      <c r="E126" s="639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8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1"/>
      <c r="R126" s="641"/>
      <c r="S126" s="641"/>
      <c r="T126" s="642"/>
      <c r="U126" s="39" t="s">
        <v>46</v>
      </c>
      <c r="V126" s="39" t="s">
        <v>46</v>
      </c>
      <c r="W126" s="40" t="s">
        <v>0</v>
      </c>
      <c r="X126" s="58">
        <v>20</v>
      </c>
      <c r="Y126" s="55">
        <f>IFERROR(IF(X126="",0,CEILING((X126/$H126),1)*$H126),"")</f>
        <v>21.78</v>
      </c>
      <c r="Z126" s="41">
        <f>IFERROR(IF(Y126=0,"",ROUNDUP(Y126/H126,0)*0.00651),"")</f>
        <v>7.1610000000000007E-2</v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22.606060606060606</v>
      </c>
      <c r="BN126" s="78">
        <f>IFERROR(Y126*I126/H126,"0")</f>
        <v>24.617999999999999</v>
      </c>
      <c r="BO126" s="78">
        <f>IFERROR(1/J126*(X126/H126),"0")</f>
        <v>5.5500055500055503E-2</v>
      </c>
      <c r="BP126" s="78">
        <f>IFERROR(1/J126*(Y126/H126),"0")</f>
        <v>6.0439560439560447E-2</v>
      </c>
    </row>
    <row r="127" spans="1:68" x14ac:dyDescent="0.2">
      <c r="A127" s="633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0" t="s">
        <v>40</v>
      </c>
      <c r="Q127" s="631"/>
      <c r="R127" s="631"/>
      <c r="S127" s="631"/>
      <c r="T127" s="631"/>
      <c r="U127" s="631"/>
      <c r="V127" s="632"/>
      <c r="W127" s="42" t="s">
        <v>39</v>
      </c>
      <c r="X127" s="43">
        <f>IFERROR(X126/H126,"0")</f>
        <v>10.1010101010101</v>
      </c>
      <c r="Y127" s="43">
        <f>IFERROR(Y126/H126,"0")</f>
        <v>11</v>
      </c>
      <c r="Z127" s="43">
        <f>IFERROR(IF(Z126="",0,Z126),"0")</f>
        <v>7.1610000000000007E-2</v>
      </c>
      <c r="AA127" s="67"/>
      <c r="AB127" s="67"/>
      <c r="AC127" s="67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2" t="s">
        <v>0</v>
      </c>
      <c r="X128" s="43">
        <f>IFERROR(SUM(X126:X126),"0")</f>
        <v>20</v>
      </c>
      <c r="Y128" s="43">
        <f>IFERROR(SUM(Y126:Y126),"0")</f>
        <v>21.78</v>
      </c>
      <c r="Z128" s="42"/>
      <c r="AA128" s="67"/>
      <c r="AB128" s="67"/>
      <c r="AC128" s="67"/>
    </row>
    <row r="129" spans="1:68" ht="16.5" hidden="1" customHeight="1" x14ac:dyDescent="0.25">
      <c r="A129" s="643" t="s">
        <v>248</v>
      </c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3"/>
      <c r="P129" s="643"/>
      <c r="Q129" s="643"/>
      <c r="R129" s="643"/>
      <c r="S129" s="643"/>
      <c r="T129" s="643"/>
      <c r="U129" s="643"/>
      <c r="V129" s="643"/>
      <c r="W129" s="643"/>
      <c r="X129" s="643"/>
      <c r="Y129" s="643"/>
      <c r="Z129" s="643"/>
      <c r="AA129" s="65"/>
      <c r="AB129" s="65"/>
      <c r="AC129" s="79"/>
    </row>
    <row r="130" spans="1:68" ht="14.25" hidden="1" customHeight="1" x14ac:dyDescent="0.25">
      <c r="A130" s="644" t="s">
        <v>119</v>
      </c>
      <c r="B130" s="644"/>
      <c r="C130" s="644"/>
      <c r="D130" s="644"/>
      <c r="E130" s="644"/>
      <c r="F130" s="644"/>
      <c r="G130" s="644"/>
      <c r="H130" s="644"/>
      <c r="I130" s="644"/>
      <c r="J130" s="644"/>
      <c r="K130" s="644"/>
      <c r="L130" s="644"/>
      <c r="M130" s="644"/>
      <c r="N130" s="644"/>
      <c r="O130" s="644"/>
      <c r="P130" s="644"/>
      <c r="Q130" s="644"/>
      <c r="R130" s="644"/>
      <c r="S130" s="644"/>
      <c r="T130" s="644"/>
      <c r="U130" s="644"/>
      <c r="V130" s="644"/>
      <c r="W130" s="644"/>
      <c r="X130" s="644"/>
      <c r="Y130" s="644"/>
      <c r="Z130" s="644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39">
        <v>4680115882577</v>
      </c>
      <c r="E131" s="63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1"/>
      <c r="R131" s="641"/>
      <c r="S131" s="641"/>
      <c r="T131" s="64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39">
        <v>4680115882577</v>
      </c>
      <c r="E132" s="63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8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1"/>
      <c r="R132" s="641"/>
      <c r="S132" s="641"/>
      <c r="T132" s="642"/>
      <c r="U132" s="39" t="s">
        <v>46</v>
      </c>
      <c r="V132" s="39" t="s">
        <v>46</v>
      </c>
      <c r="W132" s="40" t="s">
        <v>0</v>
      </c>
      <c r="X132" s="58">
        <v>60</v>
      </c>
      <c r="Y132" s="55">
        <f>IFERROR(IF(X132="",0,CEILING((X132/$H132),1)*$H132),"")</f>
        <v>60.800000000000004</v>
      </c>
      <c r="Z132" s="41">
        <f>IFERROR(IF(Y132=0,"",ROUNDUP(Y132/H132,0)*0.00651),"")</f>
        <v>0.12369000000000001</v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63.374999999999993</v>
      </c>
      <c r="BN132" s="78">
        <f>IFERROR(Y132*I132/H132,"0")</f>
        <v>64.22</v>
      </c>
      <c r="BO132" s="78">
        <f>IFERROR(1/J132*(X132/H132),"0")</f>
        <v>0.10302197802197803</v>
      </c>
      <c r="BP132" s="78">
        <f>IFERROR(1/J132*(Y132/H132),"0")</f>
        <v>0.1043956043956044</v>
      </c>
    </row>
    <row r="133" spans="1:68" x14ac:dyDescent="0.2">
      <c r="A133" s="633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0" t="s">
        <v>40</v>
      </c>
      <c r="Q133" s="631"/>
      <c r="R133" s="631"/>
      <c r="S133" s="631"/>
      <c r="T133" s="631"/>
      <c r="U133" s="631"/>
      <c r="V133" s="632"/>
      <c r="W133" s="42" t="s">
        <v>39</v>
      </c>
      <c r="X133" s="43">
        <f>IFERROR(X131/H131,"0")+IFERROR(X132/H132,"0")</f>
        <v>18.75</v>
      </c>
      <c r="Y133" s="43">
        <f>IFERROR(Y131/H131,"0")+IFERROR(Y132/H132,"0")</f>
        <v>19</v>
      </c>
      <c r="Z133" s="43">
        <f>IFERROR(IF(Z131="",0,Z131),"0")+IFERROR(IF(Z132="",0,Z132),"0")</f>
        <v>0.12369000000000001</v>
      </c>
      <c r="AA133" s="67"/>
      <c r="AB133" s="67"/>
      <c r="AC133" s="67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0" t="s">
        <v>40</v>
      </c>
      <c r="Q134" s="631"/>
      <c r="R134" s="631"/>
      <c r="S134" s="631"/>
      <c r="T134" s="631"/>
      <c r="U134" s="631"/>
      <c r="V134" s="632"/>
      <c r="W134" s="42" t="s">
        <v>0</v>
      </c>
      <c r="X134" s="43">
        <f>IFERROR(SUM(X131:X132),"0")</f>
        <v>60</v>
      </c>
      <c r="Y134" s="43">
        <f>IFERROR(SUM(Y131:Y132),"0")</f>
        <v>60.800000000000004</v>
      </c>
      <c r="Z134" s="42"/>
      <c r="AA134" s="67"/>
      <c r="AB134" s="67"/>
      <c r="AC134" s="67"/>
    </row>
    <row r="135" spans="1:68" ht="14.25" hidden="1" customHeight="1" x14ac:dyDescent="0.25">
      <c r="A135" s="644" t="s">
        <v>77</v>
      </c>
      <c r="B135" s="644"/>
      <c r="C135" s="644"/>
      <c r="D135" s="644"/>
      <c r="E135" s="644"/>
      <c r="F135" s="644"/>
      <c r="G135" s="644"/>
      <c r="H135" s="644"/>
      <c r="I135" s="644"/>
      <c r="J135" s="644"/>
      <c r="K135" s="644"/>
      <c r="L135" s="644"/>
      <c r="M135" s="644"/>
      <c r="N135" s="644"/>
      <c r="O135" s="644"/>
      <c r="P135" s="644"/>
      <c r="Q135" s="644"/>
      <c r="R135" s="644"/>
      <c r="S135" s="644"/>
      <c r="T135" s="644"/>
      <c r="U135" s="644"/>
      <c r="V135" s="644"/>
      <c r="W135" s="644"/>
      <c r="X135" s="644"/>
      <c r="Y135" s="644"/>
      <c r="Z135" s="644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39">
        <v>4680115883444</v>
      </c>
      <c r="E136" s="63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8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1"/>
      <c r="R136" s="641"/>
      <c r="S136" s="641"/>
      <c r="T136" s="642"/>
      <c r="U136" s="39" t="s">
        <v>46</v>
      </c>
      <c r="V136" s="39" t="s">
        <v>46</v>
      </c>
      <c r="W136" s="40" t="s">
        <v>0</v>
      </c>
      <c r="X136" s="58">
        <v>42</v>
      </c>
      <c r="Y136" s="55">
        <f>IFERROR(IF(X136="",0,CEILING((X136/$H136),1)*$H136),"")</f>
        <v>42</v>
      </c>
      <c r="Z136" s="41">
        <f>IFERROR(IF(Y136=0,"",ROUNDUP(Y136/H136,0)*0.00651),"")</f>
        <v>9.7650000000000001E-2</v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46.02</v>
      </c>
      <c r="BN136" s="78">
        <f>IFERROR(Y136*I136/H136,"0")</f>
        <v>46.02</v>
      </c>
      <c r="BO136" s="78">
        <f>IFERROR(1/J136*(X136/H136),"0")</f>
        <v>8.241758241758243E-2</v>
      </c>
      <c r="BP136" s="78">
        <f>IFERROR(1/J136*(Y136/H136),"0")</f>
        <v>8.241758241758243E-2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39">
        <v>4680115883444</v>
      </c>
      <c r="E137" s="63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8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1"/>
      <c r="R137" s="641"/>
      <c r="S137" s="641"/>
      <c r="T137" s="64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3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0" t="s">
        <v>40</v>
      </c>
      <c r="Q138" s="631"/>
      <c r="R138" s="631"/>
      <c r="S138" s="631"/>
      <c r="T138" s="631"/>
      <c r="U138" s="631"/>
      <c r="V138" s="632"/>
      <c r="W138" s="42" t="s">
        <v>39</v>
      </c>
      <c r="X138" s="43">
        <f>IFERROR(X136/H136,"0")+IFERROR(X137/H137,"0")</f>
        <v>15.000000000000002</v>
      </c>
      <c r="Y138" s="43">
        <f>IFERROR(Y136/H136,"0")+IFERROR(Y137/H137,"0")</f>
        <v>15.000000000000002</v>
      </c>
      <c r="Z138" s="43">
        <f>IFERROR(IF(Z136="",0,Z136),"0")+IFERROR(IF(Z137="",0,Z137),"0")</f>
        <v>9.7650000000000001E-2</v>
      </c>
      <c r="AA138" s="67"/>
      <c r="AB138" s="67"/>
      <c r="AC138" s="67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0" t="s">
        <v>40</v>
      </c>
      <c r="Q139" s="631"/>
      <c r="R139" s="631"/>
      <c r="S139" s="631"/>
      <c r="T139" s="631"/>
      <c r="U139" s="631"/>
      <c r="V139" s="632"/>
      <c r="W139" s="42" t="s">
        <v>0</v>
      </c>
      <c r="X139" s="43">
        <f>IFERROR(SUM(X136:X137),"0")</f>
        <v>42</v>
      </c>
      <c r="Y139" s="43">
        <f>IFERROR(SUM(Y136:Y137),"0")</f>
        <v>42</v>
      </c>
      <c r="Z139" s="42"/>
      <c r="AA139" s="67"/>
      <c r="AB139" s="67"/>
      <c r="AC139" s="67"/>
    </row>
    <row r="140" spans="1:68" ht="14.25" hidden="1" customHeight="1" x14ac:dyDescent="0.25">
      <c r="A140" s="644" t="s">
        <v>83</v>
      </c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44"/>
      <c r="P140" s="644"/>
      <c r="Q140" s="644"/>
      <c r="R140" s="644"/>
      <c r="S140" s="644"/>
      <c r="T140" s="644"/>
      <c r="U140" s="644"/>
      <c r="V140" s="644"/>
      <c r="W140" s="644"/>
      <c r="X140" s="644"/>
      <c r="Y140" s="644"/>
      <c r="Z140" s="644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39">
        <v>4680115882584</v>
      </c>
      <c r="E141" s="63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1"/>
      <c r="R141" s="641"/>
      <c r="S141" s="641"/>
      <c r="T141" s="642"/>
      <c r="U141" s="39" t="s">
        <v>46</v>
      </c>
      <c r="V141" s="39" t="s">
        <v>46</v>
      </c>
      <c r="W141" s="40" t="s">
        <v>0</v>
      </c>
      <c r="X141" s="58">
        <v>66</v>
      </c>
      <c r="Y141" s="55">
        <f>IFERROR(IF(X141="",0,CEILING((X141/$H141),1)*$H141),"")</f>
        <v>66</v>
      </c>
      <c r="Z141" s="41">
        <f>IFERROR(IF(Y141=0,"",ROUNDUP(Y141/H141,0)*0.00651),"")</f>
        <v>0.16275000000000001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72.699999999999989</v>
      </c>
      <c r="BN141" s="78">
        <f>IFERROR(Y141*I141/H141,"0")</f>
        <v>72.699999999999989</v>
      </c>
      <c r="BO141" s="78">
        <f>IFERROR(1/J141*(X141/H141),"0")</f>
        <v>0.13736263736263737</v>
      </c>
      <c r="BP141" s="78">
        <f>IFERROR(1/J141*(Y141/H141),"0")</f>
        <v>0.13736263736263737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39">
        <v>4680115882584</v>
      </c>
      <c r="E142" s="63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1"/>
      <c r="R142" s="641"/>
      <c r="S142" s="641"/>
      <c r="T142" s="64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3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0" t="s">
        <v>40</v>
      </c>
      <c r="Q143" s="631"/>
      <c r="R143" s="631"/>
      <c r="S143" s="631"/>
      <c r="T143" s="631"/>
      <c r="U143" s="631"/>
      <c r="V143" s="632"/>
      <c r="W143" s="42" t="s">
        <v>39</v>
      </c>
      <c r="X143" s="43">
        <f>IFERROR(X141/H141,"0")+IFERROR(X142/H142,"0")</f>
        <v>25</v>
      </c>
      <c r="Y143" s="43">
        <f>IFERROR(Y141/H141,"0")+IFERROR(Y142/H142,"0")</f>
        <v>25</v>
      </c>
      <c r="Z143" s="43">
        <f>IFERROR(IF(Z141="",0,Z141),"0")+IFERROR(IF(Z142="",0,Z142),"0")</f>
        <v>0.16275000000000001</v>
      </c>
      <c r="AA143" s="67"/>
      <c r="AB143" s="67"/>
      <c r="AC143" s="67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2" t="s">
        <v>0</v>
      </c>
      <c r="X144" s="43">
        <f>IFERROR(SUM(X141:X142),"0")</f>
        <v>66</v>
      </c>
      <c r="Y144" s="43">
        <f>IFERROR(SUM(Y141:Y142),"0")</f>
        <v>66</v>
      </c>
      <c r="Z144" s="42"/>
      <c r="AA144" s="67"/>
      <c r="AB144" s="67"/>
      <c r="AC144" s="67"/>
    </row>
    <row r="145" spans="1:68" ht="16.5" hidden="1" customHeight="1" x14ac:dyDescent="0.25">
      <c r="A145" s="643" t="s">
        <v>261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5"/>
      <c r="AB145" s="65"/>
      <c r="AC145" s="79"/>
    </row>
    <row r="146" spans="1:68" ht="14.25" hidden="1" customHeight="1" x14ac:dyDescent="0.25">
      <c r="A146" s="644" t="s">
        <v>83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39">
        <v>4680115888203</v>
      </c>
      <c r="E147" s="63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84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1"/>
      <c r="R147" s="641"/>
      <c r="S147" s="641"/>
      <c r="T147" s="64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39">
        <v>4680115888180</v>
      </c>
      <c r="E148" s="63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84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1"/>
      <c r="R148" s="641"/>
      <c r="S148" s="641"/>
      <c r="T148" s="64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39">
        <v>4680115888197</v>
      </c>
      <c r="E149" s="63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41"/>
      <c r="R149" s="641"/>
      <c r="S149" s="641"/>
      <c r="T149" s="64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39">
        <v>4680115888210</v>
      </c>
      <c r="E150" s="63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84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41"/>
      <c r="R150" s="641"/>
      <c r="S150" s="641"/>
      <c r="T150" s="64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633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0" t="s">
        <v>40</v>
      </c>
      <c r="Q151" s="631"/>
      <c r="R151" s="631"/>
      <c r="S151" s="631"/>
      <c r="T151" s="631"/>
      <c r="U151" s="631"/>
      <c r="V151" s="632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44" t="s">
        <v>274</v>
      </c>
      <c r="B153" s="644"/>
      <c r="C153" s="644"/>
      <c r="D153" s="644"/>
      <c r="E153" s="644"/>
      <c r="F153" s="644"/>
      <c r="G153" s="644"/>
      <c r="H153" s="644"/>
      <c r="I153" s="644"/>
      <c r="J153" s="644"/>
      <c r="K153" s="644"/>
      <c r="L153" s="644"/>
      <c r="M153" s="644"/>
      <c r="N153" s="644"/>
      <c r="O153" s="644"/>
      <c r="P153" s="644"/>
      <c r="Q153" s="644"/>
      <c r="R153" s="644"/>
      <c r="S153" s="644"/>
      <c r="T153" s="644"/>
      <c r="U153" s="644"/>
      <c r="V153" s="644"/>
      <c r="W153" s="644"/>
      <c r="X153" s="644"/>
      <c r="Y153" s="644"/>
      <c r="Z153" s="644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39">
        <v>4680115889132</v>
      </c>
      <c r="E154" s="639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84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41"/>
      <c r="R154" s="641"/>
      <c r="S154" s="641"/>
      <c r="T154" s="64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43" t="s">
        <v>117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5"/>
      <c r="AB157" s="65"/>
      <c r="AC157" s="79"/>
    </row>
    <row r="158" spans="1:68" ht="14.25" hidden="1" customHeight="1" x14ac:dyDescent="0.25">
      <c r="A158" s="644" t="s">
        <v>119</v>
      </c>
      <c r="B158" s="644"/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44"/>
      <c r="P158" s="644"/>
      <c r="Q158" s="644"/>
      <c r="R158" s="644"/>
      <c r="S158" s="644"/>
      <c r="T158" s="644"/>
      <c r="U158" s="644"/>
      <c r="V158" s="644"/>
      <c r="W158" s="644"/>
      <c r="X158" s="644"/>
      <c r="Y158" s="644"/>
      <c r="Z158" s="644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39">
        <v>4680115887374</v>
      </c>
      <c r="E159" s="639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8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41"/>
      <c r="R159" s="641"/>
      <c r="S159" s="641"/>
      <c r="T159" s="64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39">
        <v>4607091384604</v>
      </c>
      <c r="E160" s="63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84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41"/>
      <c r="R160" s="641"/>
      <c r="S160" s="641"/>
      <c r="T160" s="64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39">
        <v>4607091384604</v>
      </c>
      <c r="E161" s="639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41"/>
      <c r="R161" s="641"/>
      <c r="S161" s="641"/>
      <c r="T161" s="64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39">
        <v>4680115888876</v>
      </c>
      <c r="E162" s="639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84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41"/>
      <c r="R162" s="641"/>
      <c r="S162" s="641"/>
      <c r="T162" s="64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44" t="s">
        <v>154</v>
      </c>
      <c r="B165" s="644"/>
      <c r="C165" s="644"/>
      <c r="D165" s="644"/>
      <c r="E165" s="644"/>
      <c r="F165" s="644"/>
      <c r="G165" s="644"/>
      <c r="H165" s="644"/>
      <c r="I165" s="644"/>
      <c r="J165" s="644"/>
      <c r="K165" s="644"/>
      <c r="L165" s="644"/>
      <c r="M165" s="644"/>
      <c r="N165" s="644"/>
      <c r="O165" s="644"/>
      <c r="P165" s="644"/>
      <c r="Q165" s="644"/>
      <c r="R165" s="644"/>
      <c r="S165" s="644"/>
      <c r="T165" s="644"/>
      <c r="U165" s="644"/>
      <c r="V165" s="644"/>
      <c r="W165" s="644"/>
      <c r="X165" s="644"/>
      <c r="Y165" s="644"/>
      <c r="Z165" s="644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39">
        <v>4680115887695</v>
      </c>
      <c r="E166" s="639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83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41"/>
      <c r="R166" s="641"/>
      <c r="S166" s="641"/>
      <c r="T166" s="64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39">
        <v>4680115889491</v>
      </c>
      <c r="E167" s="639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84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41"/>
      <c r="R167" s="641"/>
      <c r="S167" s="641"/>
      <c r="T167" s="64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33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0" t="s">
        <v>40</v>
      </c>
      <c r="Q168" s="631"/>
      <c r="R168" s="631"/>
      <c r="S168" s="631"/>
      <c r="T168" s="631"/>
      <c r="U168" s="631"/>
      <c r="V168" s="632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0" t="s">
        <v>40</v>
      </c>
      <c r="Q169" s="631"/>
      <c r="R169" s="631"/>
      <c r="S169" s="631"/>
      <c r="T169" s="631"/>
      <c r="U169" s="631"/>
      <c r="V169" s="632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44" t="s">
        <v>77</v>
      </c>
      <c r="B170" s="644"/>
      <c r="C170" s="644"/>
      <c r="D170" s="644"/>
      <c r="E170" s="644"/>
      <c r="F170" s="644"/>
      <c r="G170" s="644"/>
      <c r="H170" s="644"/>
      <c r="I170" s="644"/>
      <c r="J170" s="644"/>
      <c r="K170" s="644"/>
      <c r="L170" s="644"/>
      <c r="M170" s="644"/>
      <c r="N170" s="644"/>
      <c r="O170" s="644"/>
      <c r="P170" s="644"/>
      <c r="Q170" s="644"/>
      <c r="R170" s="644"/>
      <c r="S170" s="644"/>
      <c r="T170" s="644"/>
      <c r="U170" s="644"/>
      <c r="V170" s="644"/>
      <c r="W170" s="644"/>
      <c r="X170" s="644"/>
      <c r="Y170" s="644"/>
      <c r="Z170" s="644"/>
      <c r="AA170" s="66"/>
      <c r="AB170" s="66"/>
      <c r="AC170" s="80"/>
    </row>
    <row r="171" spans="1:68" ht="27" customHeight="1" x14ac:dyDescent="0.25">
      <c r="A171" s="63" t="s">
        <v>297</v>
      </c>
      <c r="B171" s="63" t="s">
        <v>298</v>
      </c>
      <c r="C171" s="36">
        <v>4301031496</v>
      </c>
      <c r="D171" s="639">
        <v>4680115887428</v>
      </c>
      <c r="E171" s="63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8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1"/>
      <c r="R171" s="641"/>
      <c r="S171" s="641"/>
      <c r="T171" s="642"/>
      <c r="U171" s="39" t="s">
        <v>46</v>
      </c>
      <c r="V171" s="39" t="s">
        <v>46</v>
      </c>
      <c r="W171" s="40" t="s">
        <v>0</v>
      </c>
      <c r="X171" s="58">
        <v>600</v>
      </c>
      <c r="Y171" s="55">
        <f t="shared" ref="Y171:Y180" si="15">IFERROR(IF(X171="",0,CEILING((X171/$H171),1)*$H171),"")</f>
        <v>602</v>
      </c>
      <c r="Z171" s="41">
        <f>IFERROR(IF(Y171=0,"",ROUNDUP(Y171/H171,0)*0.00902),"")</f>
        <v>1.5514399999999999</v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632.57142857142856</v>
      </c>
      <c r="BN171" s="78">
        <f t="shared" ref="BN171:BN180" si="17">IFERROR(Y171*I171/H171,"0")</f>
        <v>634.68000000000006</v>
      </c>
      <c r="BO171" s="78">
        <f t="shared" ref="BO171:BO180" si="18">IFERROR(1/J171*(X171/H171),"0")</f>
        <v>1.2987012987012987</v>
      </c>
      <c r="BP171" s="78">
        <f t="shared" ref="BP171:BP180" si="19">IFERROR(1/J171*(Y171/H171),"0")</f>
        <v>1.303030303030303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39">
        <v>4680115889170</v>
      </c>
      <c r="E172" s="63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83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1"/>
      <c r="R172" s="641"/>
      <c r="S172" s="641"/>
      <c r="T172" s="64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4301031522</v>
      </c>
      <c r="D173" s="639">
        <v>4680115887398</v>
      </c>
      <c r="E173" s="63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8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1"/>
      <c r="R173" s="641"/>
      <c r="S173" s="641"/>
      <c r="T173" s="642"/>
      <c r="U173" s="39" t="s">
        <v>46</v>
      </c>
      <c r="V173" s="39" t="s">
        <v>46</v>
      </c>
      <c r="W173" s="40" t="s">
        <v>0</v>
      </c>
      <c r="X173" s="58">
        <v>200</v>
      </c>
      <c r="Y173" s="55">
        <f t="shared" si="15"/>
        <v>203</v>
      </c>
      <c r="Z173" s="41">
        <f>IFERROR(IF(Y173=0,"",ROUNDUP(Y173/H173,0)*0.00902),"")</f>
        <v>0.52316000000000007</v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210.85714285714286</v>
      </c>
      <c r="BN173" s="78">
        <f t="shared" si="17"/>
        <v>214.01999999999998</v>
      </c>
      <c r="BO173" s="78">
        <f t="shared" si="18"/>
        <v>0.43290043290043295</v>
      </c>
      <c r="BP173" s="78">
        <f t="shared" si="19"/>
        <v>0.43939393939393939</v>
      </c>
    </row>
    <row r="174" spans="1:68" ht="27" customHeight="1" x14ac:dyDescent="0.25">
      <c r="A174" s="63" t="s">
        <v>306</v>
      </c>
      <c r="B174" s="63" t="s">
        <v>307</v>
      </c>
      <c r="C174" s="36">
        <v>4301031520</v>
      </c>
      <c r="D174" s="639">
        <v>4680115887336</v>
      </c>
      <c r="E174" s="63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83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1"/>
      <c r="R174" s="641"/>
      <c r="S174" s="641"/>
      <c r="T174" s="642"/>
      <c r="U174" s="39" t="s">
        <v>46</v>
      </c>
      <c r="V174" s="39" t="s">
        <v>46</v>
      </c>
      <c r="W174" s="40" t="s">
        <v>0</v>
      </c>
      <c r="X174" s="58">
        <v>200</v>
      </c>
      <c r="Y174" s="55">
        <f t="shared" si="15"/>
        <v>203</v>
      </c>
      <c r="Z174" s="41">
        <f>IFERROR(IF(Y174=0,"",ROUNDUP(Y174/H174,0)*0.00902),"")</f>
        <v>0.52316000000000007</v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210.85714285714286</v>
      </c>
      <c r="BN174" s="78">
        <f t="shared" si="17"/>
        <v>214.01999999999998</v>
      </c>
      <c r="BO174" s="78">
        <f t="shared" si="18"/>
        <v>0.43290043290043295</v>
      </c>
      <c r="BP174" s="78">
        <f t="shared" si="19"/>
        <v>0.43939393939393939</v>
      </c>
    </row>
    <row r="175" spans="1:68" ht="16.5" customHeight="1" x14ac:dyDescent="0.25">
      <c r="A175" s="63" t="s">
        <v>309</v>
      </c>
      <c r="B175" s="63" t="s">
        <v>310</v>
      </c>
      <c r="C175" s="36">
        <v>4301031528</v>
      </c>
      <c r="D175" s="639">
        <v>4680115887787</v>
      </c>
      <c r="E175" s="63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83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1"/>
      <c r="R175" s="641"/>
      <c r="S175" s="641"/>
      <c r="T175" s="642"/>
      <c r="U175" s="39" t="s">
        <v>46</v>
      </c>
      <c r="V175" s="39" t="s">
        <v>46</v>
      </c>
      <c r="W175" s="40" t="s">
        <v>0</v>
      </c>
      <c r="X175" s="58">
        <v>11</v>
      </c>
      <c r="Y175" s="55">
        <f t="shared" si="15"/>
        <v>11.700000000000001</v>
      </c>
      <c r="Z175" s="41">
        <f>IFERROR(IF(Y175=0,"",ROUNDUP(Y175/H175,0)*0.00726),"")</f>
        <v>9.4380000000000006E-2</v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13.566666666666666</v>
      </c>
      <c r="BN175" s="78">
        <f t="shared" si="17"/>
        <v>14.430000000000001</v>
      </c>
      <c r="BO175" s="78">
        <f t="shared" si="18"/>
        <v>6.3657407407407399E-2</v>
      </c>
      <c r="BP175" s="78">
        <f t="shared" si="19"/>
        <v>6.7708333333333329E-2</v>
      </c>
    </row>
    <row r="176" spans="1:68" ht="27" customHeight="1" x14ac:dyDescent="0.25">
      <c r="A176" s="63" t="s">
        <v>312</v>
      </c>
      <c r="B176" s="63" t="s">
        <v>313</v>
      </c>
      <c r="C176" s="36">
        <v>4301031448</v>
      </c>
      <c r="D176" s="639">
        <v>4680115887503</v>
      </c>
      <c r="E176" s="63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1"/>
      <c r="R176" s="641"/>
      <c r="S176" s="641"/>
      <c r="T176" s="642"/>
      <c r="U176" s="39" t="s">
        <v>46</v>
      </c>
      <c r="V176" s="39" t="s">
        <v>46</v>
      </c>
      <c r="W176" s="40" t="s">
        <v>0</v>
      </c>
      <c r="X176" s="58">
        <v>504</v>
      </c>
      <c r="Y176" s="55">
        <f t="shared" si="15"/>
        <v>504</v>
      </c>
      <c r="Z176" s="41">
        <f>IFERROR(IF(Y176=0,"",ROUNDUP(Y176/H176,0)*0.00502),"")</f>
        <v>1.506</v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534</v>
      </c>
      <c r="BN176" s="78">
        <f t="shared" si="17"/>
        <v>534</v>
      </c>
      <c r="BO176" s="78">
        <f t="shared" si="18"/>
        <v>1.2820512820512822</v>
      </c>
      <c r="BP176" s="78">
        <f t="shared" si="19"/>
        <v>1.2820512820512822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39">
        <v>4680115887763</v>
      </c>
      <c r="E177" s="63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83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1"/>
      <c r="R177" s="641"/>
      <c r="S177" s="641"/>
      <c r="T177" s="64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317</v>
      </c>
      <c r="B178" s="63" t="s">
        <v>318</v>
      </c>
      <c r="C178" s="36">
        <v>4301031521</v>
      </c>
      <c r="D178" s="639">
        <v>4680115887480</v>
      </c>
      <c r="E178" s="63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83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1"/>
      <c r="R178" s="641"/>
      <c r="S178" s="641"/>
      <c r="T178" s="642"/>
      <c r="U178" s="39" t="s">
        <v>46</v>
      </c>
      <c r="V178" s="39" t="s">
        <v>46</v>
      </c>
      <c r="W178" s="40" t="s">
        <v>0</v>
      </c>
      <c r="X178" s="58">
        <v>56</v>
      </c>
      <c r="Y178" s="55">
        <f t="shared" si="15"/>
        <v>57.12</v>
      </c>
      <c r="Z178" s="41">
        <f>IFERROR(IF(Y178=0,"",ROUNDUP(Y178/H178,0)*0.00502),"")</f>
        <v>0.17068</v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59.333333333333343</v>
      </c>
      <c r="BN178" s="78">
        <f t="shared" si="17"/>
        <v>60.519999999999996</v>
      </c>
      <c r="BO178" s="78">
        <f t="shared" si="18"/>
        <v>0.14245014245014248</v>
      </c>
      <c r="BP178" s="78">
        <f t="shared" si="19"/>
        <v>0.14529914529914531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39">
        <v>4680115888067</v>
      </c>
      <c r="E179" s="639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1"/>
      <c r="R179" s="641"/>
      <c r="S179" s="641"/>
      <c r="T179" s="64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4301031519</v>
      </c>
      <c r="D180" s="639">
        <v>4680115887435</v>
      </c>
      <c r="E180" s="63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83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1"/>
      <c r="R180" s="641"/>
      <c r="S180" s="641"/>
      <c r="T180" s="642"/>
      <c r="U180" s="39" t="s">
        <v>46</v>
      </c>
      <c r="V180" s="39" t="s">
        <v>46</v>
      </c>
      <c r="W180" s="40" t="s">
        <v>0</v>
      </c>
      <c r="X180" s="58">
        <v>73</v>
      </c>
      <c r="Y180" s="55">
        <f t="shared" si="15"/>
        <v>73.92</v>
      </c>
      <c r="Z180" s="41">
        <f>IFERROR(IF(Y180=0,"",ROUNDUP(Y180/H180,0)*0.00502),"")</f>
        <v>0.22088000000000002</v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77.345238095238102</v>
      </c>
      <c r="BN180" s="78">
        <f t="shared" si="17"/>
        <v>78.320000000000007</v>
      </c>
      <c r="BO180" s="78">
        <f t="shared" si="18"/>
        <v>0.18569393569393572</v>
      </c>
      <c r="BP180" s="78">
        <f t="shared" si="19"/>
        <v>0.18803418803418806</v>
      </c>
    </row>
    <row r="181" spans="1:68" x14ac:dyDescent="0.2">
      <c r="A181" s="633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0" t="s">
        <v>40</v>
      </c>
      <c r="Q181" s="631"/>
      <c r="R181" s="631"/>
      <c r="S181" s="631"/>
      <c r="T181" s="631"/>
      <c r="U181" s="631"/>
      <c r="V181" s="632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674.72222222222229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679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4.5897000000000006</v>
      </c>
      <c r="AA181" s="67"/>
      <c r="AB181" s="67"/>
      <c r="AC181" s="67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0</v>
      </c>
      <c r="X182" s="43">
        <f>IFERROR(SUM(X171:X180),"0")</f>
        <v>1644</v>
      </c>
      <c r="Y182" s="43">
        <f>IFERROR(SUM(Y171:Y180),"0")</f>
        <v>1654.74</v>
      </c>
      <c r="Z182" s="42"/>
      <c r="AA182" s="67"/>
      <c r="AB182" s="67"/>
      <c r="AC182" s="67"/>
    </row>
    <row r="183" spans="1:68" ht="14.25" hidden="1" customHeight="1" x14ac:dyDescent="0.25">
      <c r="A183" s="644" t="s">
        <v>83</v>
      </c>
      <c r="B183" s="644"/>
      <c r="C183" s="644"/>
      <c r="D183" s="644"/>
      <c r="E183" s="644"/>
      <c r="F183" s="644"/>
      <c r="G183" s="644"/>
      <c r="H183" s="644"/>
      <c r="I183" s="644"/>
      <c r="J183" s="644"/>
      <c r="K183" s="644"/>
      <c r="L183" s="644"/>
      <c r="M183" s="644"/>
      <c r="N183" s="644"/>
      <c r="O183" s="644"/>
      <c r="P183" s="644"/>
      <c r="Q183" s="644"/>
      <c r="R183" s="644"/>
      <c r="S183" s="644"/>
      <c r="T183" s="644"/>
      <c r="U183" s="644"/>
      <c r="V183" s="644"/>
      <c r="W183" s="644"/>
      <c r="X183" s="644"/>
      <c r="Y183" s="644"/>
      <c r="Z183" s="644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39">
        <v>4680115888395</v>
      </c>
      <c r="E184" s="63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1"/>
      <c r="R184" s="641"/>
      <c r="S184" s="641"/>
      <c r="T184" s="64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39">
        <v>4680115888371</v>
      </c>
      <c r="E185" s="63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1"/>
      <c r="R185" s="641"/>
      <c r="S185" s="641"/>
      <c r="T185" s="64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33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0" t="s">
        <v>40</v>
      </c>
      <c r="Q186" s="631"/>
      <c r="R186" s="631"/>
      <c r="S186" s="631"/>
      <c r="T186" s="631"/>
      <c r="U186" s="631"/>
      <c r="V186" s="632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4" t="s">
        <v>274</v>
      </c>
      <c r="B188" s="644"/>
      <c r="C188" s="644"/>
      <c r="D188" s="644"/>
      <c r="E188" s="644"/>
      <c r="F188" s="644"/>
      <c r="G188" s="644"/>
      <c r="H188" s="644"/>
      <c r="I188" s="644"/>
      <c r="J188" s="644"/>
      <c r="K188" s="644"/>
      <c r="L188" s="644"/>
      <c r="M188" s="644"/>
      <c r="N188" s="644"/>
      <c r="O188" s="644"/>
      <c r="P188" s="644"/>
      <c r="Q188" s="644"/>
      <c r="R188" s="644"/>
      <c r="S188" s="644"/>
      <c r="T188" s="644"/>
      <c r="U188" s="644"/>
      <c r="V188" s="644"/>
      <c r="W188" s="644"/>
      <c r="X188" s="644"/>
      <c r="Y188" s="644"/>
      <c r="Z188" s="644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39">
        <v>4680115889026</v>
      </c>
      <c r="E189" s="63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1"/>
      <c r="R189" s="641"/>
      <c r="S189" s="641"/>
      <c r="T189" s="64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33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0" t="s">
        <v>40</v>
      </c>
      <c r="Q190" s="631"/>
      <c r="R190" s="631"/>
      <c r="S190" s="631"/>
      <c r="T190" s="631"/>
      <c r="U190" s="631"/>
      <c r="V190" s="632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0" t="s">
        <v>40</v>
      </c>
      <c r="Q191" s="631"/>
      <c r="R191" s="631"/>
      <c r="S191" s="631"/>
      <c r="T191" s="631"/>
      <c r="U191" s="631"/>
      <c r="V191" s="632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4" t="s">
        <v>334</v>
      </c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44"/>
      <c r="P192" s="644"/>
      <c r="Q192" s="644"/>
      <c r="R192" s="644"/>
      <c r="S192" s="644"/>
      <c r="T192" s="644"/>
      <c r="U192" s="644"/>
      <c r="V192" s="644"/>
      <c r="W192" s="644"/>
      <c r="X192" s="644"/>
      <c r="Y192" s="644"/>
      <c r="Z192" s="644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39">
        <v>4680115889033</v>
      </c>
      <c r="E193" s="63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1"/>
      <c r="R193" s="641"/>
      <c r="S193" s="641"/>
      <c r="T193" s="64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0" t="s">
        <v>40</v>
      </c>
      <c r="Q195" s="631"/>
      <c r="R195" s="631"/>
      <c r="S195" s="631"/>
      <c r="T195" s="631"/>
      <c r="U195" s="631"/>
      <c r="V195" s="632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50" t="s">
        <v>338</v>
      </c>
      <c r="B196" s="650"/>
      <c r="C196" s="650"/>
      <c r="D196" s="650"/>
      <c r="E196" s="650"/>
      <c r="F196" s="650"/>
      <c r="G196" s="650"/>
      <c r="H196" s="650"/>
      <c r="I196" s="650"/>
      <c r="J196" s="650"/>
      <c r="K196" s="650"/>
      <c r="L196" s="650"/>
      <c r="M196" s="650"/>
      <c r="N196" s="650"/>
      <c r="O196" s="650"/>
      <c r="P196" s="650"/>
      <c r="Q196" s="650"/>
      <c r="R196" s="650"/>
      <c r="S196" s="650"/>
      <c r="T196" s="650"/>
      <c r="U196" s="650"/>
      <c r="V196" s="650"/>
      <c r="W196" s="650"/>
      <c r="X196" s="650"/>
      <c r="Y196" s="650"/>
      <c r="Z196" s="650"/>
      <c r="AA196" s="54"/>
      <c r="AB196" s="54"/>
      <c r="AC196" s="54"/>
    </row>
    <row r="197" spans="1:68" ht="16.5" hidden="1" customHeight="1" x14ac:dyDescent="0.25">
      <c r="A197" s="643" t="s">
        <v>339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5"/>
      <c r="AB197" s="65"/>
      <c r="AC197" s="79"/>
    </row>
    <row r="198" spans="1:68" ht="14.25" hidden="1" customHeight="1" x14ac:dyDescent="0.25">
      <c r="A198" s="644" t="s">
        <v>119</v>
      </c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4"/>
      <c r="P198" s="644"/>
      <c r="Q198" s="644"/>
      <c r="R198" s="644"/>
      <c r="S198" s="644"/>
      <c r="T198" s="644"/>
      <c r="U198" s="644"/>
      <c r="V198" s="644"/>
      <c r="W198" s="644"/>
      <c r="X198" s="644"/>
      <c r="Y198" s="644"/>
      <c r="Z198" s="644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39">
        <v>4607091383423</v>
      </c>
      <c r="E199" s="63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1"/>
      <c r="R199" s="641"/>
      <c r="S199" s="641"/>
      <c r="T199" s="64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39">
        <v>4680115888760</v>
      </c>
      <c r="E200" s="63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1"/>
      <c r="R200" s="641"/>
      <c r="S200" s="641"/>
      <c r="T200" s="64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39">
        <v>4680115888807</v>
      </c>
      <c r="E201" s="63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1"/>
      <c r="R201" s="641"/>
      <c r="S201" s="641"/>
      <c r="T201" s="64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39">
        <v>4680115888852</v>
      </c>
      <c r="E202" s="63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1"/>
      <c r="R202" s="641"/>
      <c r="S202" s="641"/>
      <c r="T202" s="64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39">
        <v>4680115886957</v>
      </c>
      <c r="E203" s="63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1"/>
      <c r="R203" s="641"/>
      <c r="S203" s="641"/>
      <c r="T203" s="64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39">
        <v>4680115885660</v>
      </c>
      <c r="E204" s="63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1"/>
      <c r="R204" s="641"/>
      <c r="S204" s="641"/>
      <c r="T204" s="64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39">
        <v>4680115886773</v>
      </c>
      <c r="E205" s="63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1"/>
      <c r="R205" s="641"/>
      <c r="S205" s="641"/>
      <c r="T205" s="64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33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0" t="s">
        <v>40</v>
      </c>
      <c r="Q206" s="631"/>
      <c r="R206" s="631"/>
      <c r="S206" s="631"/>
      <c r="T206" s="631"/>
      <c r="U206" s="631"/>
      <c r="V206" s="632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0" t="s">
        <v>40</v>
      </c>
      <c r="Q207" s="631"/>
      <c r="R207" s="631"/>
      <c r="S207" s="631"/>
      <c r="T207" s="631"/>
      <c r="U207" s="631"/>
      <c r="V207" s="632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3" t="s">
        <v>360</v>
      </c>
      <c r="B208" s="643"/>
      <c r="C208" s="643"/>
      <c r="D208" s="643"/>
      <c r="E208" s="643"/>
      <c r="F208" s="643"/>
      <c r="G208" s="643"/>
      <c r="H208" s="643"/>
      <c r="I208" s="643"/>
      <c r="J208" s="643"/>
      <c r="K208" s="643"/>
      <c r="L208" s="643"/>
      <c r="M208" s="643"/>
      <c r="N208" s="643"/>
      <c r="O208" s="643"/>
      <c r="P208" s="643"/>
      <c r="Q208" s="643"/>
      <c r="R208" s="643"/>
      <c r="S208" s="643"/>
      <c r="T208" s="643"/>
      <c r="U208" s="643"/>
      <c r="V208" s="643"/>
      <c r="W208" s="643"/>
      <c r="X208" s="643"/>
      <c r="Y208" s="643"/>
      <c r="Z208" s="643"/>
      <c r="AA208" s="65"/>
      <c r="AB208" s="65"/>
      <c r="AC208" s="79"/>
    </row>
    <row r="209" spans="1:68" ht="14.25" hidden="1" customHeight="1" x14ac:dyDescent="0.25">
      <c r="A209" s="644" t="s">
        <v>154</v>
      </c>
      <c r="B209" s="644"/>
      <c r="C209" s="644"/>
      <c r="D209" s="644"/>
      <c r="E209" s="644"/>
      <c r="F209" s="644"/>
      <c r="G209" s="644"/>
      <c r="H209" s="644"/>
      <c r="I209" s="644"/>
      <c r="J209" s="644"/>
      <c r="K209" s="644"/>
      <c r="L209" s="644"/>
      <c r="M209" s="644"/>
      <c r="N209" s="644"/>
      <c r="O209" s="644"/>
      <c r="P209" s="644"/>
      <c r="Q209" s="644"/>
      <c r="R209" s="644"/>
      <c r="S209" s="644"/>
      <c r="T209" s="644"/>
      <c r="U209" s="644"/>
      <c r="V209" s="644"/>
      <c r="W209" s="644"/>
      <c r="X209" s="644"/>
      <c r="Y209" s="644"/>
      <c r="Z209" s="644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39">
        <v>4680115886223</v>
      </c>
      <c r="E210" s="63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1"/>
      <c r="R210" s="641"/>
      <c r="S210" s="641"/>
      <c r="T210" s="64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33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0" t="s">
        <v>40</v>
      </c>
      <c r="Q211" s="631"/>
      <c r="R211" s="631"/>
      <c r="S211" s="631"/>
      <c r="T211" s="631"/>
      <c r="U211" s="631"/>
      <c r="V211" s="632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0" t="s">
        <v>40</v>
      </c>
      <c r="Q212" s="631"/>
      <c r="R212" s="631"/>
      <c r="S212" s="631"/>
      <c r="T212" s="631"/>
      <c r="U212" s="631"/>
      <c r="V212" s="632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4" t="s">
        <v>77</v>
      </c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44"/>
      <c r="P213" s="644"/>
      <c r="Q213" s="644"/>
      <c r="R213" s="644"/>
      <c r="S213" s="644"/>
      <c r="T213" s="644"/>
      <c r="U213" s="644"/>
      <c r="V213" s="644"/>
      <c r="W213" s="644"/>
      <c r="X213" s="644"/>
      <c r="Y213" s="644"/>
      <c r="Z213" s="644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39">
        <v>4680115880993</v>
      </c>
      <c r="E214" s="63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1"/>
      <c r="R214" s="641"/>
      <c r="S214" s="641"/>
      <c r="T214" s="64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39">
        <v>4680115881761</v>
      </c>
      <c r="E215" s="63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1"/>
      <c r="R215" s="641"/>
      <c r="S215" s="641"/>
      <c r="T215" s="64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39">
        <v>4680115881563</v>
      </c>
      <c r="E216" s="63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41"/>
      <c r="R216" s="641"/>
      <c r="S216" s="641"/>
      <c r="T216" s="642"/>
      <c r="U216" s="39" t="s">
        <v>46</v>
      </c>
      <c r="V216" s="39" t="s">
        <v>46</v>
      </c>
      <c r="W216" s="40" t="s">
        <v>0</v>
      </c>
      <c r="X216" s="58">
        <v>70</v>
      </c>
      <c r="Y216" s="55">
        <f t="shared" si="26"/>
        <v>71.400000000000006</v>
      </c>
      <c r="Z216" s="41">
        <f>IFERROR(IF(Y216=0,"",ROUNDUP(Y216/H216,0)*0.00902),"")</f>
        <v>0.15334</v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73.166666666666657</v>
      </c>
      <c r="BN216" s="78">
        <f t="shared" si="28"/>
        <v>74.63000000000001</v>
      </c>
      <c r="BO216" s="78">
        <f t="shared" si="29"/>
        <v>0.12626262626262624</v>
      </c>
      <c r="BP216" s="78">
        <f t="shared" si="30"/>
        <v>0.12878787878787878</v>
      </c>
    </row>
    <row r="217" spans="1:68" ht="37.5" hidden="1" customHeight="1" x14ac:dyDescent="0.25">
      <c r="A217" s="63" t="s">
        <v>373</v>
      </c>
      <c r="B217" s="63" t="s">
        <v>374</v>
      </c>
      <c r="C217" s="36">
        <v>4301031447</v>
      </c>
      <c r="D217" s="639">
        <v>4680115887565</v>
      </c>
      <c r="E217" s="639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1"/>
      <c r="R217" s="641"/>
      <c r="S217" s="641"/>
      <c r="T217" s="64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39">
        <v>4680115880986</v>
      </c>
      <c r="E218" s="63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1"/>
      <c r="R218" s="641"/>
      <c r="S218" s="641"/>
      <c r="T218" s="642"/>
      <c r="U218" s="39" t="s">
        <v>46</v>
      </c>
      <c r="V218" s="39" t="s">
        <v>46</v>
      </c>
      <c r="W218" s="40" t="s">
        <v>0</v>
      </c>
      <c r="X218" s="58">
        <v>70</v>
      </c>
      <c r="Y218" s="55">
        <f t="shared" si="26"/>
        <v>71.400000000000006</v>
      </c>
      <c r="Z218" s="41">
        <f>IFERROR(IF(Y218=0,"",ROUNDUP(Y218/H218,0)*0.00502),"")</f>
        <v>0.17068</v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74.333333333333329</v>
      </c>
      <c r="BN218" s="78">
        <f t="shared" si="28"/>
        <v>75.820000000000007</v>
      </c>
      <c r="BO218" s="78">
        <f t="shared" si="29"/>
        <v>0.14245014245014245</v>
      </c>
      <c r="BP218" s="78">
        <f t="shared" si="30"/>
        <v>0.14529914529914531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39">
        <v>4680115887213</v>
      </c>
      <c r="E219" s="63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1"/>
      <c r="R219" s="641"/>
      <c r="S219" s="641"/>
      <c r="T219" s="64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39">
        <v>4680115881785</v>
      </c>
      <c r="E220" s="63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1"/>
      <c r="R220" s="641"/>
      <c r="S220" s="641"/>
      <c r="T220" s="642"/>
      <c r="U220" s="39" t="s">
        <v>46</v>
      </c>
      <c r="V220" s="39" t="s">
        <v>46</v>
      </c>
      <c r="W220" s="40" t="s">
        <v>0</v>
      </c>
      <c r="X220" s="58">
        <v>88</v>
      </c>
      <c r="Y220" s="55">
        <f t="shared" si="26"/>
        <v>88.2</v>
      </c>
      <c r="Z220" s="41">
        <f>IFERROR(IF(Y220=0,"",ROUNDUP(Y220/H220,0)*0.00502),"")</f>
        <v>0.21084</v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93.447619047619042</v>
      </c>
      <c r="BN220" s="78">
        <f t="shared" si="28"/>
        <v>93.66</v>
      </c>
      <c r="BO220" s="78">
        <f t="shared" si="29"/>
        <v>0.17908017908017909</v>
      </c>
      <c r="BP220" s="78">
        <f t="shared" si="30"/>
        <v>0.17948717948717952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39">
        <v>4680115888432</v>
      </c>
      <c r="E221" s="63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1"/>
      <c r="R221" s="641"/>
      <c r="S221" s="641"/>
      <c r="T221" s="64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39">
        <v>4680115886537</v>
      </c>
      <c r="E222" s="63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1"/>
      <c r="R222" s="641"/>
      <c r="S222" s="641"/>
      <c r="T222" s="64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39">
        <v>4680115887596</v>
      </c>
      <c r="E223" s="639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0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1"/>
      <c r="R223" s="641"/>
      <c r="S223" s="641"/>
      <c r="T223" s="64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392</v>
      </c>
      <c r="B224" s="63" t="s">
        <v>393</v>
      </c>
      <c r="C224" s="36">
        <v>4301031530</v>
      </c>
      <c r="D224" s="639">
        <v>4680115881679</v>
      </c>
      <c r="E224" s="63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0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1"/>
      <c r="R224" s="641"/>
      <c r="S224" s="641"/>
      <c r="T224" s="642"/>
      <c r="U224" s="39" t="s">
        <v>46</v>
      </c>
      <c r="V224" s="39" t="s">
        <v>46</v>
      </c>
      <c r="W224" s="40" t="s">
        <v>0</v>
      </c>
      <c r="X224" s="58">
        <v>52</v>
      </c>
      <c r="Y224" s="55">
        <f t="shared" si="26"/>
        <v>52.5</v>
      </c>
      <c r="Z224" s="41">
        <f>IFERROR(IF(Y224=0,"",ROUNDUP(Y224/H224,0)*0.00502),"")</f>
        <v>0.1255</v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54.476190476190474</v>
      </c>
      <c r="BN224" s="78">
        <f t="shared" si="28"/>
        <v>55.000000000000007</v>
      </c>
      <c r="BO224" s="78">
        <f t="shared" si="29"/>
        <v>0.10582010582010581</v>
      </c>
      <c r="BP224" s="78">
        <f t="shared" si="30"/>
        <v>0.10683760683760685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39">
        <v>4680115880191</v>
      </c>
      <c r="E225" s="63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0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1"/>
      <c r="R225" s="641"/>
      <c r="S225" s="641"/>
      <c r="T225" s="64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39">
        <v>4680115883963</v>
      </c>
      <c r="E226" s="63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1"/>
      <c r="R226" s="641"/>
      <c r="S226" s="641"/>
      <c r="T226" s="64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116.66666666666666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118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0.66036000000000006</v>
      </c>
      <c r="AA227" s="67"/>
      <c r="AB227" s="67"/>
      <c r="AC227" s="67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0" t="s">
        <v>40</v>
      </c>
      <c r="Q228" s="631"/>
      <c r="R228" s="631"/>
      <c r="S228" s="631"/>
      <c r="T228" s="631"/>
      <c r="U228" s="631"/>
      <c r="V228" s="632"/>
      <c r="W228" s="42" t="s">
        <v>0</v>
      </c>
      <c r="X228" s="43">
        <f>IFERROR(SUM(X214:X226),"0")</f>
        <v>280</v>
      </c>
      <c r="Y228" s="43">
        <f>IFERROR(SUM(Y214:Y226),"0")</f>
        <v>283.5</v>
      </c>
      <c r="Z228" s="42"/>
      <c r="AA228" s="67"/>
      <c r="AB228" s="67"/>
      <c r="AC228" s="67"/>
    </row>
    <row r="229" spans="1:68" ht="14.25" hidden="1" customHeight="1" x14ac:dyDescent="0.25">
      <c r="A229" s="644" t="s">
        <v>83</v>
      </c>
      <c r="B229" s="644"/>
      <c r="C229" s="644"/>
      <c r="D229" s="644"/>
      <c r="E229" s="644"/>
      <c r="F229" s="644"/>
      <c r="G229" s="644"/>
      <c r="H229" s="644"/>
      <c r="I229" s="644"/>
      <c r="J229" s="644"/>
      <c r="K229" s="644"/>
      <c r="L229" s="644"/>
      <c r="M229" s="644"/>
      <c r="N229" s="644"/>
      <c r="O229" s="644"/>
      <c r="P229" s="644"/>
      <c r="Q229" s="644"/>
      <c r="R229" s="644"/>
      <c r="S229" s="644"/>
      <c r="T229" s="644"/>
      <c r="U229" s="644"/>
      <c r="V229" s="644"/>
      <c r="W229" s="644"/>
      <c r="X229" s="644"/>
      <c r="Y229" s="644"/>
      <c r="Z229" s="644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39">
        <v>4680115888692</v>
      </c>
      <c r="E230" s="63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0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1"/>
      <c r="R230" s="641"/>
      <c r="S230" s="641"/>
      <c r="T230" s="64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39">
        <v>4680115888722</v>
      </c>
      <c r="E231" s="63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1"/>
      <c r="R231" s="641"/>
      <c r="S231" s="641"/>
      <c r="T231" s="64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39">
        <v>4680115888951</v>
      </c>
      <c r="E232" s="63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0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1"/>
      <c r="R232" s="641"/>
      <c r="S232" s="641"/>
      <c r="T232" s="64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39">
        <v>4680115888975</v>
      </c>
      <c r="E233" s="63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03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1"/>
      <c r="R233" s="641"/>
      <c r="S233" s="641"/>
      <c r="T233" s="64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39">
        <v>4680115888982</v>
      </c>
      <c r="E234" s="63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79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1"/>
      <c r="R234" s="641"/>
      <c r="S234" s="641"/>
      <c r="T234" s="64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4" t="s">
        <v>274</v>
      </c>
      <c r="B237" s="644"/>
      <c r="C237" s="644"/>
      <c r="D237" s="644"/>
      <c r="E237" s="644"/>
      <c r="F237" s="644"/>
      <c r="G237" s="644"/>
      <c r="H237" s="644"/>
      <c r="I237" s="644"/>
      <c r="J237" s="644"/>
      <c r="K237" s="644"/>
      <c r="L237" s="644"/>
      <c r="M237" s="644"/>
      <c r="N237" s="644"/>
      <c r="O237" s="644"/>
      <c r="P237" s="644"/>
      <c r="Q237" s="644"/>
      <c r="R237" s="644"/>
      <c r="S237" s="644"/>
      <c r="T237" s="644"/>
      <c r="U237" s="644"/>
      <c r="V237" s="644"/>
      <c r="W237" s="644"/>
      <c r="X237" s="644"/>
      <c r="Y237" s="644"/>
      <c r="Z237" s="644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39">
        <v>4680115886780</v>
      </c>
      <c r="E238" s="63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1"/>
      <c r="R238" s="641"/>
      <c r="S238" s="641"/>
      <c r="T238" s="64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39">
        <v>4680115886742</v>
      </c>
      <c r="E239" s="63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1"/>
      <c r="R239" s="641"/>
      <c r="S239" s="641"/>
      <c r="T239" s="64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39">
        <v>4680115886766</v>
      </c>
      <c r="E240" s="63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1"/>
      <c r="R240" s="641"/>
      <c r="S240" s="641"/>
      <c r="T240" s="64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33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0" t="s">
        <v>40</v>
      </c>
      <c r="Q241" s="631"/>
      <c r="R241" s="631"/>
      <c r="S241" s="631"/>
      <c r="T241" s="631"/>
      <c r="U241" s="631"/>
      <c r="V241" s="632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4" t="s">
        <v>420</v>
      </c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44"/>
      <c r="P243" s="644"/>
      <c r="Q243" s="644"/>
      <c r="R243" s="644"/>
      <c r="S243" s="644"/>
      <c r="T243" s="644"/>
      <c r="U243" s="644"/>
      <c r="V243" s="644"/>
      <c r="W243" s="644"/>
      <c r="X243" s="644"/>
      <c r="Y243" s="644"/>
      <c r="Z243" s="644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39">
        <v>4680115886797</v>
      </c>
      <c r="E244" s="63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1"/>
      <c r="R244" s="641"/>
      <c r="S244" s="641"/>
      <c r="T244" s="64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33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0" t="s">
        <v>40</v>
      </c>
      <c r="Q245" s="631"/>
      <c r="R245" s="631"/>
      <c r="S245" s="631"/>
      <c r="T245" s="631"/>
      <c r="U245" s="631"/>
      <c r="V245" s="632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3" t="s">
        <v>423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5"/>
      <c r="AB247" s="65"/>
      <c r="AC247" s="79"/>
    </row>
    <row r="248" spans="1:68" ht="14.25" hidden="1" customHeight="1" x14ac:dyDescent="0.25">
      <c r="A248" s="644" t="s">
        <v>119</v>
      </c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44"/>
      <c r="P248" s="644"/>
      <c r="Q248" s="644"/>
      <c r="R248" s="644"/>
      <c r="S248" s="644"/>
      <c r="T248" s="644"/>
      <c r="U248" s="644"/>
      <c r="V248" s="644"/>
      <c r="W248" s="644"/>
      <c r="X248" s="644"/>
      <c r="Y248" s="644"/>
      <c r="Z248" s="644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39">
        <v>4680115881402</v>
      </c>
      <c r="E249" s="63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1"/>
      <c r="R249" s="641"/>
      <c r="S249" s="641"/>
      <c r="T249" s="64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39">
        <v>4680115881396</v>
      </c>
      <c r="E250" s="63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1"/>
      <c r="R250" s="641"/>
      <c r="S250" s="641"/>
      <c r="T250" s="64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44" t="s">
        <v>154</v>
      </c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44"/>
      <c r="P253" s="644"/>
      <c r="Q253" s="644"/>
      <c r="R253" s="644"/>
      <c r="S253" s="644"/>
      <c r="T253" s="644"/>
      <c r="U253" s="644"/>
      <c r="V253" s="644"/>
      <c r="W253" s="644"/>
      <c r="X253" s="644"/>
      <c r="Y253" s="644"/>
      <c r="Z253" s="644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39">
        <v>4680115882935</v>
      </c>
      <c r="E254" s="63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41"/>
      <c r="R254" s="641"/>
      <c r="S254" s="641"/>
      <c r="T254" s="64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39">
        <v>4680115880764</v>
      </c>
      <c r="E255" s="639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41"/>
      <c r="R255" s="641"/>
      <c r="S255" s="641"/>
      <c r="T255" s="64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0" t="s">
        <v>40</v>
      </c>
      <c r="Q257" s="631"/>
      <c r="R257" s="631"/>
      <c r="S257" s="631"/>
      <c r="T257" s="631"/>
      <c r="U257" s="631"/>
      <c r="V257" s="63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44" t="s">
        <v>77</v>
      </c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44"/>
      <c r="P258" s="644"/>
      <c r="Q258" s="644"/>
      <c r="R258" s="644"/>
      <c r="S258" s="644"/>
      <c r="T258" s="644"/>
      <c r="U258" s="644"/>
      <c r="V258" s="644"/>
      <c r="W258" s="644"/>
      <c r="X258" s="644"/>
      <c r="Y258" s="644"/>
      <c r="Z258" s="644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39">
        <v>4680115882683</v>
      </c>
      <c r="E259" s="639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41"/>
      <c r="R259" s="641"/>
      <c r="S259" s="641"/>
      <c r="T259" s="642"/>
      <c r="U259" s="39" t="s">
        <v>46</v>
      </c>
      <c r="V259" s="39" t="s">
        <v>46</v>
      </c>
      <c r="W259" s="40" t="s">
        <v>0</v>
      </c>
      <c r="X259" s="58">
        <v>400</v>
      </c>
      <c r="Y259" s="55">
        <f t="shared" ref="Y259:Y266" si="31">IFERROR(IF(X259="",0,CEILING((X259/$H259),1)*$H259),"")</f>
        <v>405</v>
      </c>
      <c r="Z259" s="41">
        <f>IFERROR(IF(Y259=0,"",ROUNDUP(Y259/H259,0)*0.00902),"")</f>
        <v>0.67649999999999999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414.07407407407402</v>
      </c>
      <c r="BN259" s="78">
        <f t="shared" ref="BN259:BN266" si="33">IFERROR(Y259*I259/H259,"0")</f>
        <v>419.24999999999994</v>
      </c>
      <c r="BO259" s="78">
        <f t="shared" ref="BO259:BO266" si="34">IFERROR(1/J259*(X259/H259),"0")</f>
        <v>0.5611672278338945</v>
      </c>
      <c r="BP259" s="78">
        <f t="shared" ref="BP259:BP266" si="35">IFERROR(1/J259*(Y259/H259),"0")</f>
        <v>0.56818181818181823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39">
        <v>4680115882690</v>
      </c>
      <c r="E260" s="63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41"/>
      <c r="R260" s="641"/>
      <c r="S260" s="641"/>
      <c r="T260" s="642"/>
      <c r="U260" s="39" t="s">
        <v>46</v>
      </c>
      <c r="V260" s="39" t="s">
        <v>46</v>
      </c>
      <c r="W260" s="40" t="s">
        <v>0</v>
      </c>
      <c r="X260" s="58">
        <v>40</v>
      </c>
      <c r="Y260" s="55">
        <f t="shared" si="31"/>
        <v>43.2</v>
      </c>
      <c r="Z260" s="41">
        <f>IFERROR(IF(Y260=0,"",ROUNDUP(Y260/H260,0)*0.00902),"")</f>
        <v>7.2160000000000002E-2</v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41.407407407407405</v>
      </c>
      <c r="BN260" s="78">
        <f t="shared" si="33"/>
        <v>44.72</v>
      </c>
      <c r="BO260" s="78">
        <f t="shared" si="34"/>
        <v>5.6116722783389444E-2</v>
      </c>
      <c r="BP260" s="78">
        <f t="shared" si="35"/>
        <v>6.0606060606060608E-2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39">
        <v>4680115882669</v>
      </c>
      <c r="E261" s="63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41"/>
      <c r="R261" s="641"/>
      <c r="S261" s="641"/>
      <c r="T261" s="642"/>
      <c r="U261" s="39" t="s">
        <v>46</v>
      </c>
      <c r="V261" s="39" t="s">
        <v>46</v>
      </c>
      <c r="W261" s="40" t="s">
        <v>0</v>
      </c>
      <c r="X261" s="58">
        <v>300</v>
      </c>
      <c r="Y261" s="55">
        <f t="shared" si="31"/>
        <v>302.40000000000003</v>
      </c>
      <c r="Z261" s="41">
        <f>IFERROR(IF(Y261=0,"",ROUNDUP(Y261/H261,0)*0.00902),"")</f>
        <v>0.50512000000000001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310.55555555555554</v>
      </c>
      <c r="BN261" s="78">
        <f t="shared" si="33"/>
        <v>313.04000000000002</v>
      </c>
      <c r="BO261" s="78">
        <f t="shared" si="34"/>
        <v>0.42087542087542085</v>
      </c>
      <c r="BP261" s="78">
        <f t="shared" si="35"/>
        <v>0.42424242424242425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39">
        <v>4680115882676</v>
      </c>
      <c r="E262" s="63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41"/>
      <c r="R262" s="641"/>
      <c r="S262" s="641"/>
      <c r="T262" s="642"/>
      <c r="U262" s="39" t="s">
        <v>46</v>
      </c>
      <c r="V262" s="39" t="s">
        <v>46</v>
      </c>
      <c r="W262" s="40" t="s">
        <v>0</v>
      </c>
      <c r="X262" s="58">
        <v>40</v>
      </c>
      <c r="Y262" s="55">
        <f t="shared" si="31"/>
        <v>43.2</v>
      </c>
      <c r="Z262" s="41">
        <f>IFERROR(IF(Y262=0,"",ROUNDUP(Y262/H262,0)*0.00902),"")</f>
        <v>7.2160000000000002E-2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41.407407407407405</v>
      </c>
      <c r="BN262" s="78">
        <f t="shared" si="33"/>
        <v>44.72</v>
      </c>
      <c r="BO262" s="78">
        <f t="shared" si="34"/>
        <v>5.6116722783389444E-2</v>
      </c>
      <c r="BP262" s="78">
        <f t="shared" si="35"/>
        <v>6.0606060606060608E-2</v>
      </c>
    </row>
    <row r="263" spans="1:68" ht="27" customHeight="1" x14ac:dyDescent="0.25">
      <c r="A263" s="63" t="s">
        <v>446</v>
      </c>
      <c r="B263" s="63" t="s">
        <v>447</v>
      </c>
      <c r="C263" s="36">
        <v>4301031223</v>
      </c>
      <c r="D263" s="639">
        <v>4680115884014</v>
      </c>
      <c r="E263" s="639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41"/>
      <c r="R263" s="641"/>
      <c r="S263" s="641"/>
      <c r="T263" s="642"/>
      <c r="U263" s="39" t="s">
        <v>46</v>
      </c>
      <c r="V263" s="39" t="s">
        <v>46</v>
      </c>
      <c r="W263" s="40" t="s">
        <v>0</v>
      </c>
      <c r="X263" s="58">
        <v>180</v>
      </c>
      <c r="Y263" s="55">
        <f t="shared" si="31"/>
        <v>180</v>
      </c>
      <c r="Z263" s="41">
        <f>IFERROR(IF(Y263=0,"",ROUNDUP(Y263/H263,0)*0.00502),"")</f>
        <v>0.502</v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192.99999999999997</v>
      </c>
      <c r="BN263" s="78">
        <f t="shared" si="33"/>
        <v>192.99999999999997</v>
      </c>
      <c r="BO263" s="78">
        <f t="shared" si="34"/>
        <v>0.42735042735042739</v>
      </c>
      <c r="BP263" s="78">
        <f t="shared" si="35"/>
        <v>0.42735042735042739</v>
      </c>
    </row>
    <row r="264" spans="1:68" ht="27" customHeight="1" x14ac:dyDescent="0.25">
      <c r="A264" s="63" t="s">
        <v>448</v>
      </c>
      <c r="B264" s="63" t="s">
        <v>449</v>
      </c>
      <c r="C264" s="36">
        <v>4301031222</v>
      </c>
      <c r="D264" s="639">
        <v>4680115884007</v>
      </c>
      <c r="E264" s="639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41"/>
      <c r="R264" s="641"/>
      <c r="S264" s="641"/>
      <c r="T264" s="642"/>
      <c r="U264" s="39" t="s">
        <v>46</v>
      </c>
      <c r="V264" s="39" t="s">
        <v>46</v>
      </c>
      <c r="W264" s="40" t="s">
        <v>0</v>
      </c>
      <c r="X264" s="58">
        <v>30</v>
      </c>
      <c r="Y264" s="55">
        <f t="shared" si="31"/>
        <v>30.6</v>
      </c>
      <c r="Z264" s="41">
        <f>IFERROR(IF(Y264=0,"",ROUNDUP(Y264/H264,0)*0.00502),"")</f>
        <v>8.5339999999999999E-2</v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31.666666666666664</v>
      </c>
      <c r="BN264" s="78">
        <f t="shared" si="33"/>
        <v>32.299999999999997</v>
      </c>
      <c r="BO264" s="78">
        <f t="shared" si="34"/>
        <v>7.122507122507124E-2</v>
      </c>
      <c r="BP264" s="78">
        <f t="shared" si="35"/>
        <v>7.2649572649572655E-2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39">
        <v>4680115884038</v>
      </c>
      <c r="E265" s="63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41"/>
      <c r="R265" s="641"/>
      <c r="S265" s="641"/>
      <c r="T265" s="64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39">
        <v>4680115884021</v>
      </c>
      <c r="E266" s="63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41"/>
      <c r="R266" s="641"/>
      <c r="S266" s="641"/>
      <c r="T266" s="64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261.11111111111114</v>
      </c>
      <c r="Y267" s="43">
        <f>IFERROR(Y259/H259,"0")+IFERROR(Y260/H260,"0")+IFERROR(Y261/H261,"0")+IFERROR(Y262/H262,"0")+IFERROR(Y263/H263,"0")+IFERROR(Y264/H264,"0")+IFERROR(Y265/H265,"0")+IFERROR(Y266/H266,"0")</f>
        <v>264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1.9132799999999999</v>
      </c>
      <c r="AA267" s="67"/>
      <c r="AB267" s="67"/>
      <c r="AC267" s="67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IFERROR(SUM(X259:X266),"0")</f>
        <v>990</v>
      </c>
      <c r="Y268" s="43">
        <f>IFERROR(SUM(Y259:Y266),"0")</f>
        <v>1004.4000000000001</v>
      </c>
      <c r="Z268" s="42"/>
      <c r="AA268" s="67"/>
      <c r="AB268" s="67"/>
      <c r="AC268" s="67"/>
    </row>
    <row r="269" spans="1:68" ht="14.25" hidden="1" customHeight="1" x14ac:dyDescent="0.25">
      <c r="A269" s="644" t="s">
        <v>83</v>
      </c>
      <c r="B269" s="644"/>
      <c r="C269" s="644"/>
      <c r="D269" s="644"/>
      <c r="E269" s="644"/>
      <c r="F269" s="644"/>
      <c r="G269" s="644"/>
      <c r="H269" s="644"/>
      <c r="I269" s="644"/>
      <c r="J269" s="644"/>
      <c r="K269" s="644"/>
      <c r="L269" s="644"/>
      <c r="M269" s="644"/>
      <c r="N269" s="644"/>
      <c r="O269" s="644"/>
      <c r="P269" s="644"/>
      <c r="Q269" s="644"/>
      <c r="R269" s="644"/>
      <c r="S269" s="644"/>
      <c r="T269" s="644"/>
      <c r="U269" s="644"/>
      <c r="V269" s="644"/>
      <c r="W269" s="644"/>
      <c r="X269" s="644"/>
      <c r="Y269" s="644"/>
      <c r="Z269" s="644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39">
        <v>4680115881594</v>
      </c>
      <c r="E270" s="639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41"/>
      <c r="R270" s="641"/>
      <c r="S270" s="641"/>
      <c r="T270" s="642"/>
      <c r="U270" s="39" t="s">
        <v>46</v>
      </c>
      <c r="V270" s="39" t="s">
        <v>46</v>
      </c>
      <c r="W270" s="40" t="s">
        <v>0</v>
      </c>
      <c r="X270" s="58">
        <v>200</v>
      </c>
      <c r="Y270" s="55">
        <f t="shared" ref="Y270:Y281" si="36">IFERROR(IF(X270="",0,CEILING((X270/$H270),1)*$H270),"")</f>
        <v>202.5</v>
      </c>
      <c r="Z270" s="41">
        <f>IFERROR(IF(Y270=0,"",ROUNDUP(Y270/H270,0)*0.01898),"")</f>
        <v>0.47450000000000003</v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212.19753086419755</v>
      </c>
      <c r="BN270" s="78">
        <f t="shared" ref="BN270:BN281" si="38">IFERROR(Y270*I270/H270,"0")</f>
        <v>214.85</v>
      </c>
      <c r="BO270" s="78">
        <f t="shared" ref="BO270:BO281" si="39">IFERROR(1/J270*(X270/H270),"0")</f>
        <v>0.38580246913580246</v>
      </c>
      <c r="BP270" s="78">
        <f t="shared" ref="BP270:BP281" si="40">IFERROR(1/J270*(Y270/H270),"0")</f>
        <v>0.390625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4301051411</v>
      </c>
      <c r="D271" s="639">
        <v>4680115881617</v>
      </c>
      <c r="E271" s="639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41"/>
      <c r="R271" s="641"/>
      <c r="S271" s="641"/>
      <c r="T271" s="64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39">
        <v>4680115880573</v>
      </c>
      <c r="E272" s="639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41"/>
      <c r="R272" s="641"/>
      <c r="S272" s="641"/>
      <c r="T272" s="642"/>
      <c r="U272" s="39" t="s">
        <v>46</v>
      </c>
      <c r="V272" s="39" t="s">
        <v>46</v>
      </c>
      <c r="W272" s="40" t="s">
        <v>0</v>
      </c>
      <c r="X272" s="58">
        <v>50</v>
      </c>
      <c r="Y272" s="55">
        <f t="shared" si="36"/>
        <v>52.199999999999996</v>
      </c>
      <c r="Z272" s="41">
        <f>IFERROR(IF(Y272=0,"",ROUNDUP(Y272/H272,0)*0.01898),"")</f>
        <v>0.11388000000000001</v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52.839080459770123</v>
      </c>
      <c r="BN272" s="78">
        <f t="shared" si="38"/>
        <v>55.164000000000009</v>
      </c>
      <c r="BO272" s="78">
        <f t="shared" si="39"/>
        <v>8.9798850574712652E-2</v>
      </c>
      <c r="BP272" s="78">
        <f t="shared" si="40"/>
        <v>9.375E-2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39">
        <v>4680115882195</v>
      </c>
      <c r="E273" s="639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41"/>
      <c r="R273" s="641"/>
      <c r="S273" s="641"/>
      <c r="T273" s="642"/>
      <c r="U273" s="39" t="s">
        <v>46</v>
      </c>
      <c r="V273" s="39" t="s">
        <v>46</v>
      </c>
      <c r="W273" s="40" t="s">
        <v>0</v>
      </c>
      <c r="X273" s="58">
        <v>360</v>
      </c>
      <c r="Y273" s="55">
        <f t="shared" si="36"/>
        <v>360</v>
      </c>
      <c r="Z273" s="41">
        <f>IFERROR(IF(Y273=0,"",ROUNDUP(Y273/H273,0)*0.00651),"")</f>
        <v>0.97650000000000003</v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400.5</v>
      </c>
      <c r="BN273" s="78">
        <f t="shared" si="38"/>
        <v>400.5</v>
      </c>
      <c r="BO273" s="78">
        <f t="shared" si="39"/>
        <v>0.82417582417582425</v>
      </c>
      <c r="BP273" s="78">
        <f t="shared" si="40"/>
        <v>0.82417582417582425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39">
        <v>4680115882607</v>
      </c>
      <c r="E274" s="639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41"/>
      <c r="R274" s="641"/>
      <c r="S274" s="641"/>
      <c r="T274" s="64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39">
        <v>4680115882607</v>
      </c>
      <c r="E275" s="639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41"/>
      <c r="R275" s="641"/>
      <c r="S275" s="641"/>
      <c r="T275" s="64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39">
        <v>4680115880092</v>
      </c>
      <c r="E276" s="63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41"/>
      <c r="R276" s="641"/>
      <c r="S276" s="641"/>
      <c r="T276" s="642"/>
      <c r="U276" s="39" t="s">
        <v>46</v>
      </c>
      <c r="V276" s="39" t="s">
        <v>46</v>
      </c>
      <c r="W276" s="40" t="s">
        <v>0</v>
      </c>
      <c r="X276" s="58">
        <v>160</v>
      </c>
      <c r="Y276" s="55">
        <f t="shared" si="36"/>
        <v>160.79999999999998</v>
      </c>
      <c r="Z276" s="41">
        <f>IFERROR(IF(Y276=0,"",ROUNDUP(Y276/H276,0)*0.00651),"")</f>
        <v>0.43617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176.80000000000004</v>
      </c>
      <c r="BN276" s="78">
        <f t="shared" si="38"/>
        <v>177.684</v>
      </c>
      <c r="BO276" s="78">
        <f t="shared" si="39"/>
        <v>0.36630036630036633</v>
      </c>
      <c r="BP276" s="78">
        <f t="shared" si="40"/>
        <v>0.36813186813186816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39">
        <v>4680115889064</v>
      </c>
      <c r="E277" s="639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41"/>
      <c r="R277" s="641"/>
      <c r="S277" s="641"/>
      <c r="T277" s="64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39">
        <v>4680115880221</v>
      </c>
      <c r="E278" s="639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41"/>
      <c r="R278" s="641"/>
      <c r="S278" s="641"/>
      <c r="T278" s="64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39">
        <v>4680115880504</v>
      </c>
      <c r="E279" s="63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41"/>
      <c r="R279" s="641"/>
      <c r="S279" s="641"/>
      <c r="T279" s="642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36"/>
        <v>60</v>
      </c>
      <c r="Z279" s="41">
        <f>IFERROR(IF(Y279=0,"",ROUNDUP(Y279/H279,0)*0.00651),"")</f>
        <v>0.16275000000000001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66.300000000000011</v>
      </c>
      <c r="BN279" s="78">
        <f t="shared" si="38"/>
        <v>66.300000000000011</v>
      </c>
      <c r="BO279" s="78">
        <f t="shared" si="39"/>
        <v>0.13736263736263737</v>
      </c>
      <c r="BP279" s="78">
        <f t="shared" si="40"/>
        <v>0.13736263736263737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39">
        <v>4680115882164</v>
      </c>
      <c r="E280" s="639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41"/>
      <c r="R280" s="641"/>
      <c r="S280" s="641"/>
      <c r="T280" s="642"/>
      <c r="U280" s="39" t="s">
        <v>46</v>
      </c>
      <c r="V280" s="39" t="s">
        <v>46</v>
      </c>
      <c r="W280" s="40" t="s">
        <v>0</v>
      </c>
      <c r="X280" s="58">
        <v>200</v>
      </c>
      <c r="Y280" s="55">
        <f t="shared" si="36"/>
        <v>201.6</v>
      </c>
      <c r="Z280" s="41">
        <f>IFERROR(IF(Y280=0,"",ROUNDUP(Y280/H280,0)*0.00651),"")</f>
        <v>0.54683999999999999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221.50000000000003</v>
      </c>
      <c r="BN280" s="78">
        <f t="shared" si="38"/>
        <v>223.27200000000002</v>
      </c>
      <c r="BO280" s="78">
        <f t="shared" si="39"/>
        <v>0.45787545787545797</v>
      </c>
      <c r="BP280" s="78">
        <f t="shared" si="40"/>
        <v>0.46153846153846156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39">
        <v>4680115888340</v>
      </c>
      <c r="E281" s="63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41"/>
      <c r="R281" s="641"/>
      <c r="S281" s="641"/>
      <c r="T281" s="64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355.43848446147297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357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2.7106400000000002</v>
      </c>
      <c r="AA282" s="67"/>
      <c r="AB282" s="67"/>
      <c r="AC282" s="67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IFERROR(SUM(X270:X281),"0")</f>
        <v>1030</v>
      </c>
      <c r="Y283" s="43">
        <f>IFERROR(SUM(Y270:Y281),"0")</f>
        <v>1037.0999999999999</v>
      </c>
      <c r="Z283" s="42"/>
      <c r="AA283" s="67"/>
      <c r="AB283" s="67"/>
      <c r="AC283" s="67"/>
    </row>
    <row r="284" spans="1:68" ht="14.25" hidden="1" customHeight="1" x14ac:dyDescent="0.25">
      <c r="A284" s="644" t="s">
        <v>172</v>
      </c>
      <c r="B284" s="644"/>
      <c r="C284" s="644"/>
      <c r="D284" s="644"/>
      <c r="E284" s="644"/>
      <c r="F284" s="644"/>
      <c r="G284" s="644"/>
      <c r="H284" s="644"/>
      <c r="I284" s="644"/>
      <c r="J284" s="644"/>
      <c r="K284" s="644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39">
        <v>4680115880818</v>
      </c>
      <c r="E285" s="63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41"/>
      <c r="R285" s="641"/>
      <c r="S285" s="641"/>
      <c r="T285" s="642"/>
      <c r="U285" s="39" t="s">
        <v>46</v>
      </c>
      <c r="V285" s="39" t="s">
        <v>46</v>
      </c>
      <c r="W285" s="40" t="s">
        <v>0</v>
      </c>
      <c r="X285" s="58">
        <v>40</v>
      </c>
      <c r="Y285" s="55">
        <f>IFERROR(IF(X285="",0,CEILING((X285/$H285),1)*$H285),"")</f>
        <v>40.799999999999997</v>
      </c>
      <c r="Z285" s="41">
        <f>IFERROR(IF(Y285=0,"",ROUNDUP(Y285/H285,0)*0.00651),"")</f>
        <v>0.11067</v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44.20000000000001</v>
      </c>
      <c r="BN285" s="78">
        <f>IFERROR(Y285*I285/H285,"0")</f>
        <v>45.084000000000003</v>
      </c>
      <c r="BO285" s="78">
        <f>IFERROR(1/J285*(X285/H285),"0")</f>
        <v>9.1575091575091583E-2</v>
      </c>
      <c r="BP285" s="78">
        <f>IFERROR(1/J285*(Y285/H285),"0")</f>
        <v>9.3406593406593408E-2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39">
        <v>4680115880801</v>
      </c>
      <c r="E286" s="63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41"/>
      <c r="R286" s="641"/>
      <c r="S286" s="641"/>
      <c r="T286" s="642"/>
      <c r="U286" s="39" t="s">
        <v>46</v>
      </c>
      <c r="V286" s="39" t="s">
        <v>46</v>
      </c>
      <c r="W286" s="40" t="s">
        <v>0</v>
      </c>
      <c r="X286" s="58">
        <v>40</v>
      </c>
      <c r="Y286" s="55">
        <f>IFERROR(IF(X286="",0,CEILING((X286/$H286),1)*$H286),"")</f>
        <v>40.799999999999997</v>
      </c>
      <c r="Z286" s="41">
        <f>IFERROR(IF(Y286=0,"",ROUNDUP(Y286/H286,0)*0.00651),"")</f>
        <v>0.11067</v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44.20000000000001</v>
      </c>
      <c r="BN286" s="78">
        <f>IFERROR(Y286*I286/H286,"0")</f>
        <v>45.084000000000003</v>
      </c>
      <c r="BO286" s="78">
        <f>IFERROR(1/J286*(X286/H286),"0")</f>
        <v>9.1575091575091583E-2</v>
      </c>
      <c r="BP286" s="78">
        <f>IFERROR(1/J286*(Y286/H286),"0")</f>
        <v>9.3406593406593408E-2</v>
      </c>
    </row>
    <row r="287" spans="1:68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2" t="s">
        <v>39</v>
      </c>
      <c r="X287" s="43">
        <f>IFERROR(X285/H285,"0")+IFERROR(X286/H286,"0")</f>
        <v>33.333333333333336</v>
      </c>
      <c r="Y287" s="43">
        <f>IFERROR(Y285/H285,"0")+IFERROR(Y286/H286,"0")</f>
        <v>34</v>
      </c>
      <c r="Z287" s="43">
        <f>IFERROR(IF(Z285="",0,Z285),"0")+IFERROR(IF(Z286="",0,Z286),"0")</f>
        <v>0.22134000000000001</v>
      </c>
      <c r="AA287" s="67"/>
      <c r="AB287" s="67"/>
      <c r="AC287" s="67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0</v>
      </c>
      <c r="X288" s="43">
        <f>IFERROR(SUM(X285:X286),"0")</f>
        <v>80</v>
      </c>
      <c r="Y288" s="43">
        <f>IFERROR(SUM(Y285:Y286),"0")</f>
        <v>81.599999999999994</v>
      </c>
      <c r="Z288" s="42"/>
      <c r="AA288" s="67"/>
      <c r="AB288" s="67"/>
      <c r="AC288" s="67"/>
    </row>
    <row r="289" spans="1:68" ht="16.5" hidden="1" customHeight="1" x14ac:dyDescent="0.25">
      <c r="A289" s="643" t="s">
        <v>491</v>
      </c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3"/>
      <c r="P289" s="643"/>
      <c r="Q289" s="643"/>
      <c r="R289" s="643"/>
      <c r="S289" s="643"/>
      <c r="T289" s="643"/>
      <c r="U289" s="643"/>
      <c r="V289" s="643"/>
      <c r="W289" s="643"/>
      <c r="X289" s="643"/>
      <c r="Y289" s="643"/>
      <c r="Z289" s="643"/>
      <c r="AA289" s="65"/>
      <c r="AB289" s="65"/>
      <c r="AC289" s="79"/>
    </row>
    <row r="290" spans="1:68" ht="14.25" hidden="1" customHeight="1" x14ac:dyDescent="0.25">
      <c r="A290" s="644" t="s">
        <v>119</v>
      </c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44"/>
      <c r="P290" s="644"/>
      <c r="Q290" s="644"/>
      <c r="R290" s="644"/>
      <c r="S290" s="644"/>
      <c r="T290" s="644"/>
      <c r="U290" s="644"/>
      <c r="V290" s="644"/>
      <c r="W290" s="644"/>
      <c r="X290" s="644"/>
      <c r="Y290" s="644"/>
      <c r="Z290" s="644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39">
        <v>4680115884137</v>
      </c>
      <c r="E291" s="639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41"/>
      <c r="R291" s="641"/>
      <c r="S291" s="641"/>
      <c r="T291" s="64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39">
        <v>4680115884236</v>
      </c>
      <c r="E292" s="63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41"/>
      <c r="R292" s="641"/>
      <c r="S292" s="641"/>
      <c r="T292" s="64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4301011721</v>
      </c>
      <c r="D293" s="639">
        <v>4680115884175</v>
      </c>
      <c r="E293" s="63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41"/>
      <c r="R293" s="641"/>
      <c r="S293" s="641"/>
      <c r="T293" s="642"/>
      <c r="U293" s="39" t="s">
        <v>46</v>
      </c>
      <c r="V293" s="39" t="s">
        <v>46</v>
      </c>
      <c r="W293" s="40" t="s">
        <v>0</v>
      </c>
      <c r="X293" s="58">
        <v>50</v>
      </c>
      <c r="Y293" s="55">
        <f t="shared" si="41"/>
        <v>58</v>
      </c>
      <c r="Z293" s="41">
        <f>IFERROR(IF(Y293=0,"",ROUNDUP(Y293/H293,0)*0.01898),"")</f>
        <v>9.4899999999999998E-2</v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51.767241379310349</v>
      </c>
      <c r="BN293" s="78">
        <f t="shared" si="43"/>
        <v>60.050000000000004</v>
      </c>
      <c r="BO293" s="78">
        <f t="shared" si="44"/>
        <v>6.7349137931034489E-2</v>
      </c>
      <c r="BP293" s="78">
        <f t="shared" si="45"/>
        <v>7.8125E-2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39">
        <v>4680115884144</v>
      </c>
      <c r="E294" s="639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41"/>
      <c r="R294" s="641"/>
      <c r="S294" s="641"/>
      <c r="T294" s="642"/>
      <c r="U294" s="39" t="s">
        <v>46</v>
      </c>
      <c r="V294" s="39" t="s">
        <v>46</v>
      </c>
      <c r="W294" s="40" t="s">
        <v>0</v>
      </c>
      <c r="X294" s="58">
        <v>20</v>
      </c>
      <c r="Y294" s="55">
        <f t="shared" si="41"/>
        <v>20</v>
      </c>
      <c r="Z294" s="41">
        <f>IFERROR(IF(Y294=0,"",ROUNDUP(Y294/H294,0)*0.00902),"")</f>
        <v>4.5100000000000001E-2</v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20.950000000000003</v>
      </c>
      <c r="BN294" s="78">
        <f t="shared" si="43"/>
        <v>20.950000000000003</v>
      </c>
      <c r="BO294" s="78">
        <f t="shared" si="44"/>
        <v>3.787878787878788E-2</v>
      </c>
      <c r="BP294" s="78">
        <f t="shared" si="45"/>
        <v>3.787878787878788E-2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39">
        <v>4680115886551</v>
      </c>
      <c r="E295" s="63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41"/>
      <c r="R295" s="641"/>
      <c r="S295" s="641"/>
      <c r="T295" s="64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39">
        <v>4680115887282</v>
      </c>
      <c r="E296" s="639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41"/>
      <c r="R296" s="641"/>
      <c r="S296" s="641"/>
      <c r="T296" s="64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508</v>
      </c>
      <c r="B297" s="63" t="s">
        <v>509</v>
      </c>
      <c r="C297" s="36">
        <v>4301011722</v>
      </c>
      <c r="D297" s="639">
        <v>4680115884205</v>
      </c>
      <c r="E297" s="639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41"/>
      <c r="R297" s="641"/>
      <c r="S297" s="641"/>
      <c r="T297" s="64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x14ac:dyDescent="0.2">
      <c r="A298" s="633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0" t="s">
        <v>40</v>
      </c>
      <c r="Q298" s="631"/>
      <c r="R298" s="631"/>
      <c r="S298" s="631"/>
      <c r="T298" s="631"/>
      <c r="U298" s="631"/>
      <c r="V298" s="632"/>
      <c r="W298" s="42" t="s">
        <v>39</v>
      </c>
      <c r="X298" s="43">
        <f>IFERROR(X291/H291,"0")+IFERROR(X292/H292,"0")+IFERROR(X293/H293,"0")+IFERROR(X294/H294,"0")+IFERROR(X295/H295,"0")+IFERROR(X296/H296,"0")+IFERROR(X297/H297,"0")</f>
        <v>9.3103448275862064</v>
      </c>
      <c r="Y298" s="43">
        <f>IFERROR(Y291/H291,"0")+IFERROR(Y292/H292,"0")+IFERROR(Y293/H293,"0")+IFERROR(Y294/H294,"0")+IFERROR(Y295/H295,"0")+IFERROR(Y296/H296,"0")+IFERROR(Y297/H297,"0")</f>
        <v>10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0.14000000000000001</v>
      </c>
      <c r="AA298" s="67"/>
      <c r="AB298" s="67"/>
      <c r="AC298" s="67"/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0</v>
      </c>
      <c r="X299" s="43">
        <f>IFERROR(SUM(X291:X297),"0")</f>
        <v>70</v>
      </c>
      <c r="Y299" s="43">
        <f>IFERROR(SUM(Y291:Y297),"0")</f>
        <v>78</v>
      </c>
      <c r="Z299" s="42"/>
      <c r="AA299" s="67"/>
      <c r="AB299" s="67"/>
      <c r="AC299" s="67"/>
    </row>
    <row r="300" spans="1:68" ht="14.25" hidden="1" customHeight="1" x14ac:dyDescent="0.25">
      <c r="A300" s="644" t="s">
        <v>154</v>
      </c>
      <c r="B300" s="644"/>
      <c r="C300" s="644"/>
      <c r="D300" s="644"/>
      <c r="E300" s="644"/>
      <c r="F300" s="644"/>
      <c r="G300" s="644"/>
      <c r="H300" s="644"/>
      <c r="I300" s="644"/>
      <c r="J300" s="644"/>
      <c r="K300" s="644"/>
      <c r="L300" s="644"/>
      <c r="M300" s="644"/>
      <c r="N300" s="644"/>
      <c r="O300" s="644"/>
      <c r="P300" s="644"/>
      <c r="Q300" s="644"/>
      <c r="R300" s="644"/>
      <c r="S300" s="644"/>
      <c r="T300" s="644"/>
      <c r="U300" s="644"/>
      <c r="V300" s="644"/>
      <c r="W300" s="644"/>
      <c r="X300" s="644"/>
      <c r="Y300" s="644"/>
      <c r="Z300" s="644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39">
        <v>4680115885981</v>
      </c>
      <c r="E301" s="639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41"/>
      <c r="R301" s="641"/>
      <c r="S301" s="641"/>
      <c r="T301" s="64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44" t="s">
        <v>513</v>
      </c>
      <c r="B304" s="644"/>
      <c r="C304" s="644"/>
      <c r="D304" s="644"/>
      <c r="E304" s="644"/>
      <c r="F304" s="644"/>
      <c r="G304" s="644"/>
      <c r="H304" s="644"/>
      <c r="I304" s="644"/>
      <c r="J304" s="644"/>
      <c r="K304" s="644"/>
      <c r="L304" s="644"/>
      <c r="M304" s="644"/>
      <c r="N304" s="644"/>
      <c r="O304" s="644"/>
      <c r="P304" s="644"/>
      <c r="Q304" s="644"/>
      <c r="R304" s="644"/>
      <c r="S304" s="644"/>
      <c r="T304" s="644"/>
      <c r="U304" s="644"/>
      <c r="V304" s="644"/>
      <c r="W304" s="644"/>
      <c r="X304" s="644"/>
      <c r="Y304" s="644"/>
      <c r="Z304" s="644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39">
        <v>4680115886803</v>
      </c>
      <c r="E305" s="63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41"/>
      <c r="R305" s="641"/>
      <c r="S305" s="641"/>
      <c r="T305" s="64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0" t="s">
        <v>40</v>
      </c>
      <c r="Q307" s="631"/>
      <c r="R307" s="631"/>
      <c r="S307" s="631"/>
      <c r="T307" s="631"/>
      <c r="U307" s="631"/>
      <c r="V307" s="632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44" t="s">
        <v>334</v>
      </c>
      <c r="B308" s="644"/>
      <c r="C308" s="644"/>
      <c r="D308" s="644"/>
      <c r="E308" s="644"/>
      <c r="F308" s="644"/>
      <c r="G308" s="644"/>
      <c r="H308" s="644"/>
      <c r="I308" s="644"/>
      <c r="J308" s="644"/>
      <c r="K308" s="644"/>
      <c r="L308" s="644"/>
      <c r="M308" s="644"/>
      <c r="N308" s="644"/>
      <c r="O308" s="644"/>
      <c r="P308" s="644"/>
      <c r="Q308" s="644"/>
      <c r="R308" s="644"/>
      <c r="S308" s="644"/>
      <c r="T308" s="644"/>
      <c r="U308" s="644"/>
      <c r="V308" s="644"/>
      <c r="W308" s="644"/>
      <c r="X308" s="644"/>
      <c r="Y308" s="644"/>
      <c r="Z308" s="644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39">
        <v>4680115886681</v>
      </c>
      <c r="E309" s="639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41"/>
      <c r="R309" s="641"/>
      <c r="S309" s="641"/>
      <c r="T309" s="642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39">
        <v>4680115886735</v>
      </c>
      <c r="E310" s="639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41"/>
      <c r="R310" s="641"/>
      <c r="S310" s="641"/>
      <c r="T310" s="64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633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0" t="s">
        <v>40</v>
      </c>
      <c r="Q311" s="631"/>
      <c r="R311" s="631"/>
      <c r="S311" s="631"/>
      <c r="T311" s="631"/>
      <c r="U311" s="631"/>
      <c r="V311" s="632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43" t="s">
        <v>522</v>
      </c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3"/>
      <c r="P313" s="643"/>
      <c r="Q313" s="643"/>
      <c r="R313" s="643"/>
      <c r="S313" s="643"/>
      <c r="T313" s="643"/>
      <c r="U313" s="643"/>
      <c r="V313" s="643"/>
      <c r="W313" s="643"/>
      <c r="X313" s="643"/>
      <c r="Y313" s="643"/>
      <c r="Z313" s="643"/>
      <c r="AA313" s="65"/>
      <c r="AB313" s="65"/>
      <c r="AC313" s="79"/>
    </row>
    <row r="314" spans="1:68" ht="14.25" hidden="1" customHeight="1" x14ac:dyDescent="0.25">
      <c r="A314" s="644" t="s">
        <v>119</v>
      </c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44"/>
      <c r="P314" s="644"/>
      <c r="Q314" s="644"/>
      <c r="R314" s="644"/>
      <c r="S314" s="644"/>
      <c r="T314" s="644"/>
      <c r="U314" s="644"/>
      <c r="V314" s="644"/>
      <c r="W314" s="644"/>
      <c r="X314" s="644"/>
      <c r="Y314" s="644"/>
      <c r="Z314" s="644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39">
        <v>4680115885837</v>
      </c>
      <c r="E315" s="639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7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41"/>
      <c r="R315" s="641"/>
      <c r="S315" s="641"/>
      <c r="T315" s="642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39">
        <v>4680115889637</v>
      </c>
      <c r="E316" s="639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41"/>
      <c r="R316" s="641"/>
      <c r="S316" s="641"/>
      <c r="T316" s="642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39">
        <v>4680115887237</v>
      </c>
      <c r="E317" s="639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41"/>
      <c r="R317" s="641"/>
      <c r="S317" s="641"/>
      <c r="T317" s="642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39">
        <v>4680115885806</v>
      </c>
      <c r="E318" s="63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41"/>
      <c r="R318" s="641"/>
      <c r="S318" s="641"/>
      <c r="T318" s="64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39">
        <v>4680115885844</v>
      </c>
      <c r="E319" s="639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7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41"/>
      <c r="R319" s="641"/>
      <c r="S319" s="641"/>
      <c r="T319" s="64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39">
        <v>4680115885820</v>
      </c>
      <c r="E320" s="639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41"/>
      <c r="R320" s="641"/>
      <c r="S320" s="641"/>
      <c r="T320" s="64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43" t="s">
        <v>541</v>
      </c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3"/>
      <c r="P323" s="643"/>
      <c r="Q323" s="643"/>
      <c r="R323" s="643"/>
      <c r="S323" s="643"/>
      <c r="T323" s="643"/>
      <c r="U323" s="643"/>
      <c r="V323" s="643"/>
      <c r="W323" s="643"/>
      <c r="X323" s="643"/>
      <c r="Y323" s="643"/>
      <c r="Z323" s="643"/>
      <c r="AA323" s="65"/>
      <c r="AB323" s="65"/>
      <c r="AC323" s="79"/>
    </row>
    <row r="324" spans="1:68" ht="14.25" hidden="1" customHeight="1" x14ac:dyDescent="0.25">
      <c r="A324" s="644" t="s">
        <v>83</v>
      </c>
      <c r="B324" s="644"/>
      <c r="C324" s="644"/>
      <c r="D324" s="644"/>
      <c r="E324" s="644"/>
      <c r="F324" s="644"/>
      <c r="G324" s="644"/>
      <c r="H324" s="644"/>
      <c r="I324" s="644"/>
      <c r="J324" s="644"/>
      <c r="K324" s="644"/>
      <c r="L324" s="644"/>
      <c r="M324" s="644"/>
      <c r="N324" s="644"/>
      <c r="O324" s="644"/>
      <c r="P324" s="644"/>
      <c r="Q324" s="644"/>
      <c r="R324" s="644"/>
      <c r="S324" s="644"/>
      <c r="T324" s="644"/>
      <c r="U324" s="644"/>
      <c r="V324" s="644"/>
      <c r="W324" s="644"/>
      <c r="X324" s="644"/>
      <c r="Y324" s="644"/>
      <c r="Z324" s="644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39">
        <v>4680115886186</v>
      </c>
      <c r="E325" s="639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41"/>
      <c r="R325" s="641"/>
      <c r="S325" s="641"/>
      <c r="T325" s="64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39">
        <v>4680115881228</v>
      </c>
      <c r="E326" s="639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41"/>
      <c r="R326" s="641"/>
      <c r="S326" s="641"/>
      <c r="T326" s="642"/>
      <c r="U326" s="39" t="s">
        <v>46</v>
      </c>
      <c r="V326" s="39" t="s">
        <v>46</v>
      </c>
      <c r="W326" s="40" t="s">
        <v>0</v>
      </c>
      <c r="X326" s="58">
        <v>80</v>
      </c>
      <c r="Y326" s="55">
        <f>IFERROR(IF(X326="",0,CEILING((X326/$H326),1)*$H326),"")</f>
        <v>81.599999999999994</v>
      </c>
      <c r="Z326" s="41">
        <f>IFERROR(IF(Y326=0,"",ROUNDUP(Y326/H326,0)*0.00651),"")</f>
        <v>0.22134000000000001</v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88.40000000000002</v>
      </c>
      <c r="BN326" s="78">
        <f>IFERROR(Y326*I326/H326,"0")</f>
        <v>90.168000000000006</v>
      </c>
      <c r="BO326" s="78">
        <f>IFERROR(1/J326*(X326/H326),"0")</f>
        <v>0.18315018315018317</v>
      </c>
      <c r="BP326" s="78">
        <f>IFERROR(1/J326*(Y326/H326),"0")</f>
        <v>0.18681318681318682</v>
      </c>
    </row>
    <row r="327" spans="1:68" ht="27" hidden="1" customHeight="1" x14ac:dyDescent="0.25">
      <c r="A327" s="63" t="s">
        <v>548</v>
      </c>
      <c r="B327" s="63" t="s">
        <v>549</v>
      </c>
      <c r="C327" s="36">
        <v>4301051388</v>
      </c>
      <c r="D327" s="639">
        <v>4680115881211</v>
      </c>
      <c r="E327" s="639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41"/>
      <c r="R327" s="641"/>
      <c r="S327" s="641"/>
      <c r="T327" s="64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IFERROR(X325/H325,"0")+IFERROR(X326/H326,"0")+IFERROR(X327/H327,"0")</f>
        <v>33.333333333333336</v>
      </c>
      <c r="Y328" s="43">
        <f>IFERROR(Y325/H325,"0")+IFERROR(Y326/H326,"0")+IFERROR(Y327/H327,"0")</f>
        <v>34</v>
      </c>
      <c r="Z328" s="43">
        <f>IFERROR(IF(Z325="",0,Z325),"0")+IFERROR(IF(Z326="",0,Z326),"0")+IFERROR(IF(Z327="",0,Z327),"0")</f>
        <v>0.22134000000000001</v>
      </c>
      <c r="AA328" s="67"/>
      <c r="AB328" s="67"/>
      <c r="AC328" s="67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IFERROR(SUM(X325:X327),"0")</f>
        <v>80</v>
      </c>
      <c r="Y329" s="43">
        <f>IFERROR(SUM(Y325:Y327),"0")</f>
        <v>81.599999999999994</v>
      </c>
      <c r="Z329" s="42"/>
      <c r="AA329" s="67"/>
      <c r="AB329" s="67"/>
      <c r="AC329" s="67"/>
    </row>
    <row r="330" spans="1:68" ht="16.5" hidden="1" customHeight="1" x14ac:dyDescent="0.25">
      <c r="A330" s="643" t="s">
        <v>550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5"/>
      <c r="AB330" s="65"/>
      <c r="AC330" s="79"/>
    </row>
    <row r="331" spans="1:68" ht="14.25" hidden="1" customHeight="1" x14ac:dyDescent="0.25">
      <c r="A331" s="644" t="s">
        <v>77</v>
      </c>
      <c r="B331" s="644"/>
      <c r="C331" s="644"/>
      <c r="D331" s="644"/>
      <c r="E331" s="644"/>
      <c r="F331" s="644"/>
      <c r="G331" s="644"/>
      <c r="H331" s="644"/>
      <c r="I331" s="644"/>
      <c r="J331" s="644"/>
      <c r="K331" s="644"/>
      <c r="L331" s="644"/>
      <c r="M331" s="644"/>
      <c r="N331" s="644"/>
      <c r="O331" s="644"/>
      <c r="P331" s="644"/>
      <c r="Q331" s="644"/>
      <c r="R331" s="644"/>
      <c r="S331" s="644"/>
      <c r="T331" s="644"/>
      <c r="U331" s="644"/>
      <c r="V331" s="644"/>
      <c r="W331" s="644"/>
      <c r="X331" s="644"/>
      <c r="Y331" s="644"/>
      <c r="Z331" s="644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39">
        <v>4680115888319</v>
      </c>
      <c r="E332" s="639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41"/>
      <c r="R332" s="641"/>
      <c r="S332" s="641"/>
      <c r="T332" s="64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39">
        <v>4680115884700</v>
      </c>
      <c r="E333" s="639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41"/>
      <c r="R333" s="641"/>
      <c r="S333" s="641"/>
      <c r="T333" s="64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39">
        <v>4680115880344</v>
      </c>
      <c r="E334" s="639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41"/>
      <c r="R334" s="641"/>
      <c r="S334" s="641"/>
      <c r="T334" s="642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39">
        <v>4680115886919</v>
      </c>
      <c r="E335" s="639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41"/>
      <c r="R335" s="641"/>
      <c r="S335" s="641"/>
      <c r="T335" s="64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33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0" t="s">
        <v>40</v>
      </c>
      <c r="Q336" s="631"/>
      <c r="R336" s="631"/>
      <c r="S336" s="631"/>
      <c r="T336" s="631"/>
      <c r="U336" s="631"/>
      <c r="V336" s="632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0" t="s">
        <v>40</v>
      </c>
      <c r="Q337" s="631"/>
      <c r="R337" s="631"/>
      <c r="S337" s="631"/>
      <c r="T337" s="631"/>
      <c r="U337" s="631"/>
      <c r="V337" s="632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44" t="s">
        <v>83</v>
      </c>
      <c r="B338" s="644"/>
      <c r="C338" s="644"/>
      <c r="D338" s="644"/>
      <c r="E338" s="644"/>
      <c r="F338" s="644"/>
      <c r="G338" s="644"/>
      <c r="H338" s="644"/>
      <c r="I338" s="644"/>
      <c r="J338" s="644"/>
      <c r="K338" s="644"/>
      <c r="L338" s="644"/>
      <c r="M338" s="644"/>
      <c r="N338" s="644"/>
      <c r="O338" s="644"/>
      <c r="P338" s="644"/>
      <c r="Q338" s="644"/>
      <c r="R338" s="644"/>
      <c r="S338" s="644"/>
      <c r="T338" s="644"/>
      <c r="U338" s="644"/>
      <c r="V338" s="644"/>
      <c r="W338" s="644"/>
      <c r="X338" s="644"/>
      <c r="Y338" s="644"/>
      <c r="Z338" s="644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39">
        <v>4680115884618</v>
      </c>
      <c r="E339" s="639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41"/>
      <c r="R339" s="641"/>
      <c r="S339" s="641"/>
      <c r="T339" s="64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39">
        <v>4680115887114</v>
      </c>
      <c r="E340" s="639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41"/>
      <c r="R340" s="641"/>
      <c r="S340" s="641"/>
      <c r="T340" s="64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39">
        <v>4680115887466</v>
      </c>
      <c r="E341" s="639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41"/>
      <c r="R341" s="641"/>
      <c r="S341" s="641"/>
      <c r="T341" s="64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0" t="s">
        <v>40</v>
      </c>
      <c r="Q343" s="631"/>
      <c r="R343" s="631"/>
      <c r="S343" s="631"/>
      <c r="T343" s="631"/>
      <c r="U343" s="631"/>
      <c r="V343" s="632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3" t="s">
        <v>572</v>
      </c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3"/>
      <c r="P344" s="643"/>
      <c r="Q344" s="643"/>
      <c r="R344" s="643"/>
      <c r="S344" s="643"/>
      <c r="T344" s="643"/>
      <c r="U344" s="643"/>
      <c r="V344" s="643"/>
      <c r="W344" s="643"/>
      <c r="X344" s="643"/>
      <c r="Y344" s="643"/>
      <c r="Z344" s="643"/>
      <c r="AA344" s="65"/>
      <c r="AB344" s="65"/>
      <c r="AC344" s="79"/>
    </row>
    <row r="345" spans="1:68" ht="14.25" hidden="1" customHeight="1" x14ac:dyDescent="0.25">
      <c r="A345" s="644" t="s">
        <v>119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39">
        <v>4680115887947</v>
      </c>
      <c r="E346" s="639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41"/>
      <c r="R346" s="641"/>
      <c r="S346" s="641"/>
      <c r="T346" s="642"/>
      <c r="U346" s="39" t="s">
        <v>46</v>
      </c>
      <c r="V346" s="39" t="s">
        <v>46</v>
      </c>
      <c r="W346" s="40" t="s">
        <v>0</v>
      </c>
      <c r="X346" s="58">
        <v>250</v>
      </c>
      <c r="Y346" s="55">
        <f>IFERROR(IF(X346="",0,CEILING((X346/$H346),1)*$H346),"")</f>
        <v>257.39999999999998</v>
      </c>
      <c r="Z346" s="41">
        <f>IFERROR(IF(Y346=0,"",ROUNDUP(Y346/H346,0)*0.01898),"")</f>
        <v>0.62634000000000001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263.14102564102564</v>
      </c>
      <c r="BN346" s="78">
        <f>IFERROR(Y346*I346/H346,"0")</f>
        <v>270.93</v>
      </c>
      <c r="BO346" s="78">
        <f>IFERROR(1/J346*(X346/H346),"0")</f>
        <v>0.50080128205128205</v>
      </c>
      <c r="BP346" s="78">
        <f>IFERROR(1/J346*(Y346/H346),"0")</f>
        <v>0.515625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39">
        <v>4680115887978</v>
      </c>
      <c r="E347" s="639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41"/>
      <c r="R347" s="641"/>
      <c r="S347" s="641"/>
      <c r="T347" s="642"/>
      <c r="U347" s="39" t="s">
        <v>46</v>
      </c>
      <c r="V347" s="39" t="s">
        <v>46</v>
      </c>
      <c r="W347" s="40" t="s">
        <v>0</v>
      </c>
      <c r="X347" s="58">
        <v>240</v>
      </c>
      <c r="Y347" s="55">
        <f>IFERROR(IF(X347="",0,CEILING((X347/$H347),1)*$H347),"")</f>
        <v>241.79999999999998</v>
      </c>
      <c r="Z347" s="41">
        <f>IFERROR(IF(Y347=0,"",ROUNDUP(Y347/H347,0)*0.01898),"")</f>
        <v>0.58838000000000001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252.61538461538464</v>
      </c>
      <c r="BN347" s="78">
        <f>IFERROR(Y347*I347/H347,"0")</f>
        <v>254.51000000000002</v>
      </c>
      <c r="BO347" s="78">
        <f>IFERROR(1/J347*(X347/H347),"0")</f>
        <v>0.48076923076923078</v>
      </c>
      <c r="BP347" s="78">
        <f>IFERROR(1/J347*(Y347/H347),"0")</f>
        <v>0.484375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39">
        <v>4680115887992</v>
      </c>
      <c r="E348" s="639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41"/>
      <c r="R348" s="641"/>
      <c r="S348" s="641"/>
      <c r="T348" s="642"/>
      <c r="U348" s="39" t="s">
        <v>46</v>
      </c>
      <c r="V348" s="39" t="s">
        <v>46</v>
      </c>
      <c r="W348" s="40" t="s">
        <v>0</v>
      </c>
      <c r="X348" s="58">
        <v>80</v>
      </c>
      <c r="Y348" s="55">
        <f>IFERROR(IF(X348="",0,CEILING((X348/$H348),1)*$H348),"")</f>
        <v>85.8</v>
      </c>
      <c r="Z348" s="41">
        <f>IFERROR(IF(Y348=0,"",ROUNDUP(Y348/H348,0)*0.01898),"")</f>
        <v>0.20877999999999999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84.205128205128219</v>
      </c>
      <c r="BN348" s="78">
        <f>IFERROR(Y348*I348/H348,"0")</f>
        <v>90.31</v>
      </c>
      <c r="BO348" s="78">
        <f>IFERROR(1/J348*(X348/H348),"0")</f>
        <v>0.16025641025641027</v>
      </c>
      <c r="BP348" s="78">
        <f>IFERROR(1/J348*(Y348/H348),"0")</f>
        <v>0.171875</v>
      </c>
    </row>
    <row r="349" spans="1:68" x14ac:dyDescent="0.2">
      <c r="A349" s="633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0" t="s">
        <v>40</v>
      </c>
      <c r="Q349" s="631"/>
      <c r="R349" s="631"/>
      <c r="S349" s="631"/>
      <c r="T349" s="631"/>
      <c r="U349" s="631"/>
      <c r="V349" s="632"/>
      <c r="W349" s="42" t="s">
        <v>39</v>
      </c>
      <c r="X349" s="43">
        <f>IFERROR(X346/H346,"0")+IFERROR(X347/H347,"0")+IFERROR(X348/H348,"0")</f>
        <v>73.07692307692308</v>
      </c>
      <c r="Y349" s="43">
        <f>IFERROR(Y346/H346,"0")+IFERROR(Y347/H347,"0")+IFERROR(Y348/H348,"0")</f>
        <v>75</v>
      </c>
      <c r="Z349" s="43">
        <f>IFERROR(IF(Z346="",0,Z346),"0")+IFERROR(IF(Z347="",0,Z347),"0")+IFERROR(IF(Z348="",0,Z348),"0")</f>
        <v>1.4235</v>
      </c>
      <c r="AA349" s="67"/>
      <c r="AB349" s="67"/>
      <c r="AC349" s="67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2" t="s">
        <v>0</v>
      </c>
      <c r="X350" s="43">
        <f>IFERROR(SUM(X346:X348),"0")</f>
        <v>570</v>
      </c>
      <c r="Y350" s="43">
        <f>IFERROR(SUM(Y346:Y348),"0")</f>
        <v>584.99999999999989</v>
      </c>
      <c r="Z350" s="42"/>
      <c r="AA350" s="67"/>
      <c r="AB350" s="67"/>
      <c r="AC350" s="67"/>
    </row>
    <row r="351" spans="1:68" ht="16.5" hidden="1" customHeight="1" x14ac:dyDescent="0.25">
      <c r="A351" s="643" t="s">
        <v>581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5"/>
      <c r="AB351" s="65"/>
      <c r="AC351" s="79"/>
    </row>
    <row r="352" spans="1:68" ht="14.25" hidden="1" customHeight="1" x14ac:dyDescent="0.25">
      <c r="A352" s="644" t="s">
        <v>119</v>
      </c>
      <c r="B352" s="644"/>
      <c r="C352" s="644"/>
      <c r="D352" s="644"/>
      <c r="E352" s="644"/>
      <c r="F352" s="644"/>
      <c r="G352" s="644"/>
      <c r="H352" s="644"/>
      <c r="I352" s="644"/>
      <c r="J352" s="644"/>
      <c r="K352" s="644"/>
      <c r="L352" s="644"/>
      <c r="M352" s="644"/>
      <c r="N352" s="644"/>
      <c r="O352" s="644"/>
      <c r="P352" s="644"/>
      <c r="Q352" s="644"/>
      <c r="R352" s="644"/>
      <c r="S352" s="644"/>
      <c r="T352" s="644"/>
      <c r="U352" s="644"/>
      <c r="V352" s="644"/>
      <c r="W352" s="644"/>
      <c r="X352" s="644"/>
      <c r="Y352" s="644"/>
      <c r="Z352" s="644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39">
        <v>4680115889293</v>
      </c>
      <c r="E353" s="639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73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41"/>
      <c r="R353" s="641"/>
      <c r="S353" s="641"/>
      <c r="T353" s="64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39">
        <v>4680115887190</v>
      </c>
      <c r="E354" s="639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41"/>
      <c r="R354" s="641"/>
      <c r="S354" s="641"/>
      <c r="T354" s="64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39">
        <v>4680115889880</v>
      </c>
      <c r="E355" s="639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73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41"/>
      <c r="R355" s="641"/>
      <c r="S355" s="641"/>
      <c r="T355" s="642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39">
        <v>4680115887138</v>
      </c>
      <c r="E356" s="639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7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41"/>
      <c r="R356" s="641"/>
      <c r="S356" s="641"/>
      <c r="T356" s="642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39">
        <v>4680115885554</v>
      </c>
      <c r="E357" s="639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7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41"/>
      <c r="R357" s="641"/>
      <c r="S357" s="641"/>
      <c r="T357" s="642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39">
        <v>4680115887220</v>
      </c>
      <c r="E358" s="639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73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41"/>
      <c r="R358" s="641"/>
      <c r="S358" s="641"/>
      <c r="T358" s="64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39">
        <v>4680115885608</v>
      </c>
      <c r="E359" s="639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7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41"/>
      <c r="R359" s="641"/>
      <c r="S359" s="641"/>
      <c r="T359" s="64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hidden="1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0" t="s">
        <v>40</v>
      </c>
      <c r="Q361" s="631"/>
      <c r="R361" s="631"/>
      <c r="S361" s="631"/>
      <c r="T361" s="631"/>
      <c r="U361" s="631"/>
      <c r="V361" s="632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44" t="s">
        <v>77</v>
      </c>
      <c r="B362" s="644"/>
      <c r="C362" s="644"/>
      <c r="D362" s="644"/>
      <c r="E362" s="644"/>
      <c r="F362" s="644"/>
      <c r="G362" s="644"/>
      <c r="H362" s="644"/>
      <c r="I362" s="644"/>
      <c r="J362" s="644"/>
      <c r="K362" s="644"/>
      <c r="L362" s="644"/>
      <c r="M362" s="644"/>
      <c r="N362" s="644"/>
      <c r="O362" s="644"/>
      <c r="P362" s="644"/>
      <c r="Q362" s="644"/>
      <c r="R362" s="644"/>
      <c r="S362" s="644"/>
      <c r="T362" s="644"/>
      <c r="U362" s="644"/>
      <c r="V362" s="644"/>
      <c r="W362" s="644"/>
      <c r="X362" s="644"/>
      <c r="Y362" s="644"/>
      <c r="Z362" s="644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39">
        <v>4607091387193</v>
      </c>
      <c r="E363" s="639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7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41"/>
      <c r="R363" s="641"/>
      <c r="S363" s="641"/>
      <c r="T363" s="64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39">
        <v>4607091387230</v>
      </c>
      <c r="E364" s="639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7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41"/>
      <c r="R364" s="641"/>
      <c r="S364" s="641"/>
      <c r="T364" s="64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39">
        <v>4607091387292</v>
      </c>
      <c r="E365" s="639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7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41"/>
      <c r="R365" s="641"/>
      <c r="S365" s="641"/>
      <c r="T365" s="64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39">
        <v>4607091387285</v>
      </c>
      <c r="E366" s="639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41"/>
      <c r="R366" s="641"/>
      <c r="S366" s="641"/>
      <c r="T366" s="64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39">
        <v>4607091389845</v>
      </c>
      <c r="E367" s="639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41"/>
      <c r="R367" s="641"/>
      <c r="S367" s="641"/>
      <c r="T367" s="642"/>
      <c r="U367" s="39" t="s">
        <v>46</v>
      </c>
      <c r="V367" s="39" t="s">
        <v>46</v>
      </c>
      <c r="W367" s="40" t="s">
        <v>0</v>
      </c>
      <c r="X367" s="58">
        <v>210</v>
      </c>
      <c r="Y367" s="55">
        <f t="shared" si="56"/>
        <v>210</v>
      </c>
      <c r="Z367" s="41">
        <f>IFERROR(IF(Y367=0,"",ROUNDUP(Y367/H367,0)*0.00502),"")</f>
        <v>0.502</v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220.00000000000003</v>
      </c>
      <c r="BN367" s="78">
        <f t="shared" si="58"/>
        <v>220.00000000000003</v>
      </c>
      <c r="BO367" s="78">
        <f t="shared" si="59"/>
        <v>0.42735042735042739</v>
      </c>
      <c r="BP367" s="78">
        <f t="shared" si="60"/>
        <v>0.42735042735042739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39">
        <v>4680115887442</v>
      </c>
      <c r="E368" s="639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41"/>
      <c r="R368" s="641"/>
      <c r="S368" s="641"/>
      <c r="T368" s="64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39">
        <v>4607091383836</v>
      </c>
      <c r="E369" s="639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41"/>
      <c r="R369" s="641"/>
      <c r="S369" s="641"/>
      <c r="T369" s="642"/>
      <c r="U369" s="39" t="s">
        <v>46</v>
      </c>
      <c r="V369" s="39" t="s">
        <v>46</v>
      </c>
      <c r="W369" s="40" t="s">
        <v>0</v>
      </c>
      <c r="X369" s="58">
        <v>45</v>
      </c>
      <c r="Y369" s="55">
        <f t="shared" si="56"/>
        <v>45</v>
      </c>
      <c r="Z369" s="41">
        <f>IFERROR(IF(Y369=0,"",ROUNDUP(Y369/H369,0)*0.00651),"")</f>
        <v>0.16275000000000001</v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50.7</v>
      </c>
      <c r="BN369" s="78">
        <f t="shared" si="58"/>
        <v>50.7</v>
      </c>
      <c r="BO369" s="78">
        <f t="shared" si="59"/>
        <v>0.13736263736263737</v>
      </c>
      <c r="BP369" s="78">
        <f t="shared" si="60"/>
        <v>0.13736263736263737</v>
      </c>
    </row>
    <row r="370" spans="1:68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2" t="s">
        <v>39</v>
      </c>
      <c r="X370" s="43">
        <f>IFERROR(X363/H363,"0")+IFERROR(X364/H364,"0")+IFERROR(X365/H365,"0")+IFERROR(X366/H366,"0")+IFERROR(X367/H367,"0")+IFERROR(X368/H368,"0")+IFERROR(X369/H369,"0")</f>
        <v>125</v>
      </c>
      <c r="Y370" s="43">
        <f>IFERROR(Y363/H363,"0")+IFERROR(Y364/H364,"0")+IFERROR(Y365/H365,"0")+IFERROR(Y366/H366,"0")+IFERROR(Y367/H367,"0")+IFERROR(Y368/H368,"0")+IFERROR(Y369/H369,"0")</f>
        <v>125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0.66474999999999995</v>
      </c>
      <c r="AA370" s="67"/>
      <c r="AB370" s="67"/>
      <c r="AC370" s="67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0</v>
      </c>
      <c r="X371" s="43">
        <f>IFERROR(SUM(X363:X369),"0")</f>
        <v>255</v>
      </c>
      <c r="Y371" s="43">
        <f>IFERROR(SUM(Y363:Y369),"0")</f>
        <v>255</v>
      </c>
      <c r="Z371" s="42"/>
      <c r="AA371" s="67"/>
      <c r="AB371" s="67"/>
      <c r="AC371" s="67"/>
    </row>
    <row r="372" spans="1:68" ht="14.25" hidden="1" customHeight="1" x14ac:dyDescent="0.25">
      <c r="A372" s="644" t="s">
        <v>83</v>
      </c>
      <c r="B372" s="644"/>
      <c r="C372" s="644"/>
      <c r="D372" s="644"/>
      <c r="E372" s="644"/>
      <c r="F372" s="644"/>
      <c r="G372" s="644"/>
      <c r="H372" s="644"/>
      <c r="I372" s="644"/>
      <c r="J372" s="644"/>
      <c r="K372" s="644"/>
      <c r="L372" s="644"/>
      <c r="M372" s="644"/>
      <c r="N372" s="644"/>
      <c r="O372" s="644"/>
      <c r="P372" s="644"/>
      <c r="Q372" s="644"/>
      <c r="R372" s="644"/>
      <c r="S372" s="644"/>
      <c r="T372" s="644"/>
      <c r="U372" s="644"/>
      <c r="V372" s="644"/>
      <c r="W372" s="644"/>
      <c r="X372" s="644"/>
      <c r="Y372" s="644"/>
      <c r="Z372" s="644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39">
        <v>4607091387766</v>
      </c>
      <c r="E373" s="639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41"/>
      <c r="R373" s="641"/>
      <c r="S373" s="641"/>
      <c r="T373" s="642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39">
        <v>4607091387957</v>
      </c>
      <c r="E374" s="639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41"/>
      <c r="R374" s="641"/>
      <c r="S374" s="641"/>
      <c r="T374" s="642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39">
        <v>4607091387964</v>
      </c>
      <c r="E375" s="639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41"/>
      <c r="R375" s="641"/>
      <c r="S375" s="641"/>
      <c r="T375" s="64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39">
        <v>4680115884588</v>
      </c>
      <c r="E376" s="639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7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41"/>
      <c r="R376" s="641"/>
      <c r="S376" s="641"/>
      <c r="T376" s="642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44" t="s">
        <v>172</v>
      </c>
      <c r="B379" s="644"/>
      <c r="C379" s="644"/>
      <c r="D379" s="644"/>
      <c r="E379" s="644"/>
      <c r="F379" s="644"/>
      <c r="G379" s="644"/>
      <c r="H379" s="644"/>
      <c r="I379" s="644"/>
      <c r="J379" s="644"/>
      <c r="K379" s="644"/>
      <c r="L379" s="644"/>
      <c r="M379" s="644"/>
      <c r="N379" s="644"/>
      <c r="O379" s="644"/>
      <c r="P379" s="644"/>
      <c r="Q379" s="644"/>
      <c r="R379" s="644"/>
      <c r="S379" s="644"/>
      <c r="T379" s="644"/>
      <c r="U379" s="644"/>
      <c r="V379" s="644"/>
      <c r="W379" s="644"/>
      <c r="X379" s="644"/>
      <c r="Y379" s="644"/>
      <c r="Z379" s="644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39">
        <v>4607091380880</v>
      </c>
      <c r="E380" s="639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41"/>
      <c r="R380" s="641"/>
      <c r="S380" s="641"/>
      <c r="T380" s="642"/>
      <c r="U380" s="39" t="s">
        <v>46</v>
      </c>
      <c r="V380" s="39" t="s">
        <v>46</v>
      </c>
      <c r="W380" s="40" t="s">
        <v>0</v>
      </c>
      <c r="X380" s="58">
        <v>200</v>
      </c>
      <c r="Y380" s="55">
        <f>IFERROR(IF(X380="",0,CEILING((X380/$H380),1)*$H380),"")</f>
        <v>201.60000000000002</v>
      </c>
      <c r="Z380" s="41">
        <f>IFERROR(IF(Y380=0,"",ROUNDUP(Y380/H380,0)*0.01898),"")</f>
        <v>0.45552000000000004</v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211.76190476190476</v>
      </c>
      <c r="BN380" s="78">
        <f>IFERROR(Y380*I380/H380,"0")</f>
        <v>213.45600000000002</v>
      </c>
      <c r="BO380" s="78">
        <f>IFERROR(1/J380*(X380/H380),"0")</f>
        <v>0.37202380952380953</v>
      </c>
      <c r="BP380" s="78">
        <f>IFERROR(1/J380*(Y380/H380),"0")</f>
        <v>0.375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39">
        <v>4607091384482</v>
      </c>
      <c r="E381" s="639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72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41"/>
      <c r="R381" s="641"/>
      <c r="S381" s="641"/>
      <c r="T381" s="642"/>
      <c r="U381" s="39" t="s">
        <v>46</v>
      </c>
      <c r="V381" s="39" t="s">
        <v>46</v>
      </c>
      <c r="W381" s="40" t="s">
        <v>0</v>
      </c>
      <c r="X381" s="58">
        <v>450</v>
      </c>
      <c r="Y381" s="55">
        <f>IFERROR(IF(X381="",0,CEILING((X381/$H381),1)*$H381),"")</f>
        <v>452.4</v>
      </c>
      <c r="Z381" s="41">
        <f>IFERROR(IF(Y381=0,"",ROUNDUP(Y381/H381,0)*0.01898),"")</f>
        <v>1.10084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478.50000000000006</v>
      </c>
      <c r="BN381" s="78">
        <f>IFERROR(Y381*I381/H381,"0")</f>
        <v>481.05200000000002</v>
      </c>
      <c r="BO381" s="78">
        <f>IFERROR(1/J381*(X381/H381),"0")</f>
        <v>0.90144230769230771</v>
      </c>
      <c r="BP381" s="78">
        <f>IFERROR(1/J381*(Y381/H381),"0")</f>
        <v>0.90625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39">
        <v>4607091380897</v>
      </c>
      <c r="E382" s="639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7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41"/>
      <c r="R382" s="641"/>
      <c r="S382" s="641"/>
      <c r="T382" s="642"/>
      <c r="U382" s="39" t="s">
        <v>46</v>
      </c>
      <c r="V382" s="39" t="s">
        <v>46</v>
      </c>
      <c r="W382" s="40" t="s">
        <v>0</v>
      </c>
      <c r="X382" s="58">
        <v>80</v>
      </c>
      <c r="Y382" s="55">
        <f>IFERROR(IF(X382="",0,CEILING((X382/$H382),1)*$H382),"")</f>
        <v>84</v>
      </c>
      <c r="Z382" s="41">
        <f>IFERROR(IF(Y382=0,"",ROUNDUP(Y382/H382,0)*0.01898),"")</f>
        <v>0.1898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84.704761904761895</v>
      </c>
      <c r="BN382" s="78">
        <f>IFERROR(Y382*I382/H382,"0")</f>
        <v>88.94</v>
      </c>
      <c r="BO382" s="78">
        <f>IFERROR(1/J382*(X382/H382),"0")</f>
        <v>0.14880952380952381</v>
      </c>
      <c r="BP382" s="78">
        <f>IFERROR(1/J382*(Y382/H382),"0")</f>
        <v>0.15625</v>
      </c>
    </row>
    <row r="383" spans="1:68" x14ac:dyDescent="0.2">
      <c r="A383" s="633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0" t="s">
        <v>40</v>
      </c>
      <c r="Q383" s="631"/>
      <c r="R383" s="631"/>
      <c r="S383" s="631"/>
      <c r="T383" s="631"/>
      <c r="U383" s="631"/>
      <c r="V383" s="632"/>
      <c r="W383" s="42" t="s">
        <v>39</v>
      </c>
      <c r="X383" s="43">
        <f>IFERROR(X380/H380,"0")+IFERROR(X381/H381,"0")+IFERROR(X382/H382,"0")</f>
        <v>91.025641025641022</v>
      </c>
      <c r="Y383" s="43">
        <f>IFERROR(Y380/H380,"0")+IFERROR(Y381/H381,"0")+IFERROR(Y382/H382,"0")</f>
        <v>92</v>
      </c>
      <c r="Z383" s="43">
        <f>IFERROR(IF(Z380="",0,Z380),"0")+IFERROR(IF(Z381="",0,Z381),"0")+IFERROR(IF(Z382="",0,Z382),"0")</f>
        <v>1.7461600000000002</v>
      </c>
      <c r="AA383" s="67"/>
      <c r="AB383" s="67"/>
      <c r="AC383" s="67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0</v>
      </c>
      <c r="X384" s="43">
        <f>IFERROR(SUM(X380:X382),"0")</f>
        <v>730</v>
      </c>
      <c r="Y384" s="43">
        <f>IFERROR(SUM(Y380:Y382),"0")</f>
        <v>738</v>
      </c>
      <c r="Z384" s="42"/>
      <c r="AA384" s="67"/>
      <c r="AB384" s="67"/>
      <c r="AC384" s="67"/>
    </row>
    <row r="385" spans="1:68" ht="14.25" hidden="1" customHeight="1" x14ac:dyDescent="0.25">
      <c r="A385" s="644" t="s">
        <v>274</v>
      </c>
      <c r="B385" s="644"/>
      <c r="C385" s="644"/>
      <c r="D385" s="644"/>
      <c r="E385" s="644"/>
      <c r="F385" s="644"/>
      <c r="G385" s="644"/>
      <c r="H385" s="644"/>
      <c r="I385" s="644"/>
      <c r="J385" s="644"/>
      <c r="K385" s="644"/>
      <c r="L385" s="644"/>
      <c r="M385" s="644"/>
      <c r="N385" s="644"/>
      <c r="O385" s="644"/>
      <c r="P385" s="644"/>
      <c r="Q385" s="644"/>
      <c r="R385" s="644"/>
      <c r="S385" s="644"/>
      <c r="T385" s="644"/>
      <c r="U385" s="644"/>
      <c r="V385" s="644"/>
      <c r="W385" s="644"/>
      <c r="X385" s="644"/>
      <c r="Y385" s="644"/>
      <c r="Z385" s="644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4301030235</v>
      </c>
      <c r="D386" s="639">
        <v>4607091388381</v>
      </c>
      <c r="E386" s="639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41"/>
      <c r="R386" s="641"/>
      <c r="S386" s="641"/>
      <c r="T386" s="642"/>
      <c r="U386" s="39" t="s">
        <v>46</v>
      </c>
      <c r="V386" s="39" t="s">
        <v>46</v>
      </c>
      <c r="W386" s="40" t="s">
        <v>0</v>
      </c>
      <c r="X386" s="58">
        <v>50</v>
      </c>
      <c r="Y386" s="55">
        <f>IFERROR(IF(X386="",0,CEILING((X386/$H386),1)*$H386),"")</f>
        <v>51.68</v>
      </c>
      <c r="Z386" s="41">
        <f>IFERROR(IF(Y386=0,"",ROUNDUP(Y386/H386,0)*0.00902),"")</f>
        <v>0.15334</v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54.440789473684212</v>
      </c>
      <c r="BN386" s="78">
        <f>IFERROR(Y386*I386/H386,"0")</f>
        <v>56.269999999999996</v>
      </c>
      <c r="BO386" s="78">
        <f>IFERROR(1/J386*(X386/H386),"0")</f>
        <v>0.12460127591706538</v>
      </c>
      <c r="BP386" s="78">
        <f>IFERROR(1/J386*(Y386/H386),"0")</f>
        <v>0.12878787878787878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39">
        <v>4607091388374</v>
      </c>
      <c r="E387" s="639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41"/>
      <c r="R387" s="641"/>
      <c r="S387" s="641"/>
      <c r="T387" s="64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39">
        <v>4607091383102</v>
      </c>
      <c r="E388" s="639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41"/>
      <c r="R388" s="641"/>
      <c r="S388" s="641"/>
      <c r="T388" s="64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39">
        <v>4607091388404</v>
      </c>
      <c r="E389" s="639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7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41"/>
      <c r="R389" s="641"/>
      <c r="S389" s="641"/>
      <c r="T389" s="64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33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0" t="s">
        <v>40</v>
      </c>
      <c r="Q390" s="631"/>
      <c r="R390" s="631"/>
      <c r="S390" s="631"/>
      <c r="T390" s="631"/>
      <c r="U390" s="631"/>
      <c r="V390" s="632"/>
      <c r="W390" s="42" t="s">
        <v>39</v>
      </c>
      <c r="X390" s="43">
        <f>IFERROR(X386/H386,"0")+IFERROR(X387/H387,"0")+IFERROR(X388/H388,"0")+IFERROR(X389/H389,"0")</f>
        <v>16.44736842105263</v>
      </c>
      <c r="Y390" s="43">
        <f>IFERROR(Y386/H386,"0")+IFERROR(Y387/H387,"0")+IFERROR(Y388/H388,"0")+IFERROR(Y389/H389,"0")</f>
        <v>17</v>
      </c>
      <c r="Z390" s="43">
        <f>IFERROR(IF(Z386="",0,Z386),"0")+IFERROR(IF(Z387="",0,Z387),"0")+IFERROR(IF(Z388="",0,Z388),"0")+IFERROR(IF(Z389="",0,Z389),"0")</f>
        <v>0.15334</v>
      </c>
      <c r="AA390" s="67"/>
      <c r="AB390" s="67"/>
      <c r="AC390" s="67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0" t="s">
        <v>40</v>
      </c>
      <c r="Q391" s="631"/>
      <c r="R391" s="631"/>
      <c r="S391" s="631"/>
      <c r="T391" s="631"/>
      <c r="U391" s="631"/>
      <c r="V391" s="632"/>
      <c r="W391" s="42" t="s">
        <v>0</v>
      </c>
      <c r="X391" s="43">
        <f>IFERROR(SUM(X386:X389),"0")</f>
        <v>50</v>
      </c>
      <c r="Y391" s="43">
        <f>IFERROR(SUM(Y386:Y389),"0")</f>
        <v>51.68</v>
      </c>
      <c r="Z391" s="42"/>
      <c r="AA391" s="67"/>
      <c r="AB391" s="67"/>
      <c r="AC391" s="67"/>
    </row>
    <row r="392" spans="1:68" ht="14.25" hidden="1" customHeight="1" x14ac:dyDescent="0.25">
      <c r="A392" s="644" t="s">
        <v>649</v>
      </c>
      <c r="B392" s="644"/>
      <c r="C392" s="644"/>
      <c r="D392" s="644"/>
      <c r="E392" s="644"/>
      <c r="F392" s="644"/>
      <c r="G392" s="644"/>
      <c r="H392" s="644"/>
      <c r="I392" s="644"/>
      <c r="J392" s="644"/>
      <c r="K392" s="644"/>
      <c r="L392" s="644"/>
      <c r="M392" s="644"/>
      <c r="N392" s="644"/>
      <c r="O392" s="644"/>
      <c r="P392" s="644"/>
      <c r="Q392" s="644"/>
      <c r="R392" s="644"/>
      <c r="S392" s="644"/>
      <c r="T392" s="644"/>
      <c r="U392" s="644"/>
      <c r="V392" s="644"/>
      <c r="W392" s="644"/>
      <c r="X392" s="644"/>
      <c r="Y392" s="644"/>
      <c r="Z392" s="644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39">
        <v>4680115881808</v>
      </c>
      <c r="E393" s="639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41"/>
      <c r="R393" s="641"/>
      <c r="S393" s="641"/>
      <c r="T393" s="64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39">
        <v>4680115881822</v>
      </c>
      <c r="E394" s="639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41"/>
      <c r="R394" s="641"/>
      <c r="S394" s="641"/>
      <c r="T394" s="64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39">
        <v>4680115880016</v>
      </c>
      <c r="E395" s="639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7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41"/>
      <c r="R395" s="641"/>
      <c r="S395" s="641"/>
      <c r="T395" s="64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0" t="s">
        <v>40</v>
      </c>
      <c r="Q397" s="631"/>
      <c r="R397" s="631"/>
      <c r="S397" s="631"/>
      <c r="T397" s="631"/>
      <c r="U397" s="631"/>
      <c r="V397" s="632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44" t="s">
        <v>658</v>
      </c>
      <c r="B398" s="644"/>
      <c r="C398" s="644"/>
      <c r="D398" s="644"/>
      <c r="E398" s="644"/>
      <c r="F398" s="644"/>
      <c r="G398" s="644"/>
      <c r="H398" s="644"/>
      <c r="I398" s="644"/>
      <c r="J398" s="644"/>
      <c r="K398" s="644"/>
      <c r="L398" s="644"/>
      <c r="M398" s="644"/>
      <c r="N398" s="644"/>
      <c r="O398" s="644"/>
      <c r="P398" s="644"/>
      <c r="Q398" s="644"/>
      <c r="R398" s="644"/>
      <c r="S398" s="644"/>
      <c r="T398" s="644"/>
      <c r="U398" s="644"/>
      <c r="V398" s="644"/>
      <c r="W398" s="644"/>
      <c r="X398" s="644"/>
      <c r="Y398" s="644"/>
      <c r="Z398" s="644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39">
        <v>4680115888678</v>
      </c>
      <c r="E399" s="639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71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41"/>
      <c r="R399" s="641"/>
      <c r="S399" s="641"/>
      <c r="T399" s="64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39">
        <v>4680115888654</v>
      </c>
      <c r="E400" s="639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41"/>
      <c r="R400" s="641"/>
      <c r="S400" s="641"/>
      <c r="T400" s="64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39">
        <v>4680115888753</v>
      </c>
      <c r="E401" s="639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70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41"/>
      <c r="R401" s="641"/>
      <c r="S401" s="641"/>
      <c r="T401" s="64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43" t="s">
        <v>667</v>
      </c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3"/>
      <c r="P404" s="643"/>
      <c r="Q404" s="643"/>
      <c r="R404" s="643"/>
      <c r="S404" s="643"/>
      <c r="T404" s="643"/>
      <c r="U404" s="643"/>
      <c r="V404" s="643"/>
      <c r="W404" s="643"/>
      <c r="X404" s="643"/>
      <c r="Y404" s="643"/>
      <c r="Z404" s="643"/>
      <c r="AA404" s="65"/>
      <c r="AB404" s="65"/>
      <c r="AC404" s="79"/>
    </row>
    <row r="405" spans="1:68" ht="14.25" hidden="1" customHeight="1" x14ac:dyDescent="0.25">
      <c r="A405" s="644" t="s">
        <v>83</v>
      </c>
      <c r="B405" s="644"/>
      <c r="C405" s="644"/>
      <c r="D405" s="644"/>
      <c r="E405" s="644"/>
      <c r="F405" s="644"/>
      <c r="G405" s="644"/>
      <c r="H405" s="644"/>
      <c r="I405" s="644"/>
      <c r="J405" s="644"/>
      <c r="K405" s="644"/>
      <c r="L405" s="644"/>
      <c r="M405" s="644"/>
      <c r="N405" s="644"/>
      <c r="O405" s="644"/>
      <c r="P405" s="644"/>
      <c r="Q405" s="644"/>
      <c r="R405" s="644"/>
      <c r="S405" s="644"/>
      <c r="T405" s="644"/>
      <c r="U405" s="644"/>
      <c r="V405" s="644"/>
      <c r="W405" s="644"/>
      <c r="X405" s="644"/>
      <c r="Y405" s="644"/>
      <c r="Z405" s="644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39">
        <v>4680115889415</v>
      </c>
      <c r="E406" s="639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70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41"/>
      <c r="R406" s="641"/>
      <c r="S406" s="641"/>
      <c r="T406" s="64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39">
        <v>4680115889422</v>
      </c>
      <c r="E407" s="639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70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41"/>
      <c r="R407" s="641"/>
      <c r="S407" s="641"/>
      <c r="T407" s="64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43" t="s">
        <v>674</v>
      </c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3"/>
      <c r="P410" s="643"/>
      <c r="Q410" s="643"/>
      <c r="R410" s="643"/>
      <c r="S410" s="643"/>
      <c r="T410" s="643"/>
      <c r="U410" s="643"/>
      <c r="V410" s="643"/>
      <c r="W410" s="643"/>
      <c r="X410" s="643"/>
      <c r="Y410" s="643"/>
      <c r="Z410" s="643"/>
      <c r="AA410" s="65"/>
      <c r="AB410" s="65"/>
      <c r="AC410" s="79"/>
    </row>
    <row r="411" spans="1:68" ht="14.25" hidden="1" customHeight="1" x14ac:dyDescent="0.25">
      <c r="A411" s="644" t="s">
        <v>83</v>
      </c>
      <c r="B411" s="644"/>
      <c r="C411" s="644"/>
      <c r="D411" s="644"/>
      <c r="E411" s="644"/>
      <c r="F411" s="644"/>
      <c r="G411" s="644"/>
      <c r="H411" s="644"/>
      <c r="I411" s="644"/>
      <c r="J411" s="644"/>
      <c r="K411" s="644"/>
      <c r="L411" s="644"/>
      <c r="M411" s="644"/>
      <c r="N411" s="644"/>
      <c r="O411" s="644"/>
      <c r="P411" s="644"/>
      <c r="Q411" s="644"/>
      <c r="R411" s="644"/>
      <c r="S411" s="644"/>
      <c r="T411" s="644"/>
      <c r="U411" s="644"/>
      <c r="V411" s="644"/>
      <c r="W411" s="644"/>
      <c r="X411" s="644"/>
      <c r="Y411" s="644"/>
      <c r="Z411" s="644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39">
        <v>4607091387919</v>
      </c>
      <c r="E412" s="639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7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41"/>
      <c r="R412" s="641"/>
      <c r="S412" s="641"/>
      <c r="T412" s="64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678</v>
      </c>
      <c r="B413" s="63" t="s">
        <v>679</v>
      </c>
      <c r="C413" s="36">
        <v>4301051461</v>
      </c>
      <c r="D413" s="639">
        <v>4680115883604</v>
      </c>
      <c r="E413" s="639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7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41"/>
      <c r="R413" s="641"/>
      <c r="S413" s="641"/>
      <c r="T413" s="64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39">
        <v>4680115883567</v>
      </c>
      <c r="E414" s="639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7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41"/>
      <c r="R414" s="641"/>
      <c r="S414" s="641"/>
      <c r="T414" s="64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27.75" hidden="1" customHeight="1" x14ac:dyDescent="0.2">
      <c r="A417" s="650" t="s">
        <v>684</v>
      </c>
      <c r="B417" s="650"/>
      <c r="C417" s="650"/>
      <c r="D417" s="650"/>
      <c r="E417" s="650"/>
      <c r="F417" s="650"/>
      <c r="G417" s="650"/>
      <c r="H417" s="650"/>
      <c r="I417" s="650"/>
      <c r="J417" s="650"/>
      <c r="K417" s="650"/>
      <c r="L417" s="650"/>
      <c r="M417" s="650"/>
      <c r="N417" s="650"/>
      <c r="O417" s="650"/>
      <c r="P417" s="650"/>
      <c r="Q417" s="650"/>
      <c r="R417" s="650"/>
      <c r="S417" s="650"/>
      <c r="T417" s="650"/>
      <c r="U417" s="650"/>
      <c r="V417" s="650"/>
      <c r="W417" s="650"/>
      <c r="X417" s="650"/>
      <c r="Y417" s="650"/>
      <c r="Z417" s="650"/>
      <c r="AA417" s="54"/>
      <c r="AB417" s="54"/>
      <c r="AC417" s="54"/>
    </row>
    <row r="418" spans="1:68" ht="16.5" hidden="1" customHeight="1" x14ac:dyDescent="0.25">
      <c r="A418" s="643" t="s">
        <v>685</v>
      </c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3"/>
      <c r="P418" s="643"/>
      <c r="Q418" s="643"/>
      <c r="R418" s="643"/>
      <c r="S418" s="643"/>
      <c r="T418" s="643"/>
      <c r="U418" s="643"/>
      <c r="V418" s="643"/>
      <c r="W418" s="643"/>
      <c r="X418" s="643"/>
      <c r="Y418" s="643"/>
      <c r="Z418" s="643"/>
      <c r="AA418" s="65"/>
      <c r="AB418" s="65"/>
      <c r="AC418" s="79"/>
    </row>
    <row r="419" spans="1:68" ht="14.25" hidden="1" customHeight="1" x14ac:dyDescent="0.25">
      <c r="A419" s="644" t="s">
        <v>119</v>
      </c>
      <c r="B419" s="644"/>
      <c r="C419" s="644"/>
      <c r="D419" s="644"/>
      <c r="E419" s="644"/>
      <c r="F419" s="644"/>
      <c r="G419" s="644"/>
      <c r="H419" s="644"/>
      <c r="I419" s="644"/>
      <c r="J419" s="644"/>
      <c r="K419" s="644"/>
      <c r="L419" s="644"/>
      <c r="M419" s="644"/>
      <c r="N419" s="644"/>
      <c r="O419" s="644"/>
      <c r="P419" s="644"/>
      <c r="Q419" s="644"/>
      <c r="R419" s="644"/>
      <c r="S419" s="644"/>
      <c r="T419" s="644"/>
      <c r="U419" s="644"/>
      <c r="V419" s="644"/>
      <c r="W419" s="644"/>
      <c r="X419" s="644"/>
      <c r="Y419" s="644"/>
      <c r="Z419" s="644"/>
      <c r="AA419" s="66"/>
      <c r="AB419" s="66"/>
      <c r="AC419" s="80"/>
    </row>
    <row r="420" spans="1:68" ht="27" customHeight="1" x14ac:dyDescent="0.25">
      <c r="A420" s="63" t="s">
        <v>686</v>
      </c>
      <c r="B420" s="63" t="s">
        <v>687</v>
      </c>
      <c r="C420" s="36">
        <v>4301012332</v>
      </c>
      <c r="D420" s="639">
        <v>4680115888401</v>
      </c>
      <c r="E420" s="639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7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41"/>
      <c r="R420" s="641"/>
      <c r="S420" s="641"/>
      <c r="T420" s="642"/>
      <c r="U420" s="39" t="s">
        <v>46</v>
      </c>
      <c r="V420" s="39" t="s">
        <v>46</v>
      </c>
      <c r="W420" s="40" t="s">
        <v>0</v>
      </c>
      <c r="X420" s="58">
        <v>400</v>
      </c>
      <c r="Y420" s="55">
        <f t="shared" ref="Y420:Y427" si="61">IFERROR(IF(X420="",0,CEILING((X420/$H420),1)*$H420),"")</f>
        <v>405</v>
      </c>
      <c r="Z420" s="41">
        <f>IFERROR(IF(Y420=0,"",ROUNDUP(Y420/H420,0)*0.02175),"")</f>
        <v>0.58724999999999994</v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412.53333333333336</v>
      </c>
      <c r="BN420" s="78">
        <f t="shared" ref="BN420:BN427" si="63">IFERROR(Y420*I420/H420,"0")</f>
        <v>417.69</v>
      </c>
      <c r="BO420" s="78">
        <f t="shared" ref="BO420:BO427" si="64">IFERROR(1/J420*(X420/H420),"0")</f>
        <v>0.55555555555555558</v>
      </c>
      <c r="BP420" s="78">
        <f t="shared" ref="BP420:BP427" si="65">IFERROR(1/J420*(Y420/H420),"0")</f>
        <v>0.5625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39">
        <v>4680115884847</v>
      </c>
      <c r="E421" s="639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7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41"/>
      <c r="R421" s="641"/>
      <c r="S421" s="641"/>
      <c r="T421" s="642"/>
      <c r="U421" s="39" t="s">
        <v>46</v>
      </c>
      <c r="V421" s="39" t="s">
        <v>46</v>
      </c>
      <c r="W421" s="40" t="s">
        <v>0</v>
      </c>
      <c r="X421" s="58">
        <v>1500</v>
      </c>
      <c r="Y421" s="55">
        <f t="shared" si="61"/>
        <v>1500</v>
      </c>
      <c r="Z421" s="41">
        <f>IFERROR(IF(Y421=0,"",ROUNDUP(Y421/H421,0)*0.02175),"")</f>
        <v>2.1749999999999998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1547</v>
      </c>
      <c r="BN421" s="78">
        <f t="shared" si="63"/>
        <v>1547</v>
      </c>
      <c r="BO421" s="78">
        <f t="shared" si="64"/>
        <v>2.083333333333333</v>
      </c>
      <c r="BP421" s="78">
        <f t="shared" si="65"/>
        <v>2.083333333333333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39">
        <v>4680115884854</v>
      </c>
      <c r="E422" s="63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41"/>
      <c r="R422" s="641"/>
      <c r="S422" s="641"/>
      <c r="T422" s="642"/>
      <c r="U422" s="39" t="s">
        <v>46</v>
      </c>
      <c r="V422" s="39" t="s">
        <v>46</v>
      </c>
      <c r="W422" s="40" t="s">
        <v>0</v>
      </c>
      <c r="X422" s="58">
        <v>1800</v>
      </c>
      <c r="Y422" s="55">
        <f t="shared" si="61"/>
        <v>1800</v>
      </c>
      <c r="Z422" s="41">
        <f>IFERROR(IF(Y422=0,"",ROUNDUP(Y422/H422,0)*0.02175),"")</f>
        <v>2.61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1856.4</v>
      </c>
      <c r="BN422" s="78">
        <f t="shared" si="63"/>
        <v>1856.4</v>
      </c>
      <c r="BO422" s="78">
        <f t="shared" si="64"/>
        <v>2.5</v>
      </c>
      <c r="BP422" s="78">
        <f t="shared" si="65"/>
        <v>2.5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39">
        <v>4680115884830</v>
      </c>
      <c r="E423" s="63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6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41"/>
      <c r="R423" s="641"/>
      <c r="S423" s="641"/>
      <c r="T423" s="642"/>
      <c r="U423" s="39" t="s">
        <v>46</v>
      </c>
      <c r="V423" s="39" t="s">
        <v>46</v>
      </c>
      <c r="W423" s="40" t="s">
        <v>0</v>
      </c>
      <c r="X423" s="58">
        <v>2300</v>
      </c>
      <c r="Y423" s="55">
        <f t="shared" si="61"/>
        <v>2310</v>
      </c>
      <c r="Z423" s="41">
        <f>IFERROR(IF(Y423=0,"",ROUNDUP(Y423/H423,0)*0.02175),"")</f>
        <v>3.3494999999999999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2372.0666666666666</v>
      </c>
      <c r="BN423" s="78">
        <f t="shared" si="63"/>
        <v>2382.38</v>
      </c>
      <c r="BO423" s="78">
        <f t="shared" si="64"/>
        <v>3.1944444444444446</v>
      </c>
      <c r="BP423" s="78">
        <f t="shared" si="65"/>
        <v>3.208333333333333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39">
        <v>4680115889231</v>
      </c>
      <c r="E424" s="63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69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41"/>
      <c r="R424" s="641"/>
      <c r="S424" s="641"/>
      <c r="T424" s="642"/>
      <c r="U424" s="39" t="s">
        <v>46</v>
      </c>
      <c r="V424" s="39" t="s">
        <v>46</v>
      </c>
      <c r="W424" s="40" t="s">
        <v>0</v>
      </c>
      <c r="X424" s="58">
        <v>600</v>
      </c>
      <c r="Y424" s="55">
        <f t="shared" si="61"/>
        <v>600</v>
      </c>
      <c r="Z424" s="41">
        <f>IFERROR(IF(Y424=0,"",ROUNDUP(Y424/H424,0)*0.02175),"")</f>
        <v>0.86999999999999988</v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618.79999999999995</v>
      </c>
      <c r="BN424" s="78">
        <f t="shared" si="63"/>
        <v>618.79999999999995</v>
      </c>
      <c r="BO424" s="78">
        <f t="shared" si="64"/>
        <v>0.83333333333333326</v>
      </c>
      <c r="BP424" s="78">
        <f t="shared" si="65"/>
        <v>0.83333333333333326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39">
        <v>4680115882638</v>
      </c>
      <c r="E425" s="639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41"/>
      <c r="R425" s="641"/>
      <c r="S425" s="641"/>
      <c r="T425" s="64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39">
        <v>4680115884922</v>
      </c>
      <c r="E426" s="639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41"/>
      <c r="R426" s="641"/>
      <c r="S426" s="641"/>
      <c r="T426" s="64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39">
        <v>4680115884861</v>
      </c>
      <c r="E427" s="639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6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41"/>
      <c r="R427" s="641"/>
      <c r="S427" s="641"/>
      <c r="T427" s="642"/>
      <c r="U427" s="39" t="s">
        <v>46</v>
      </c>
      <c r="V427" s="39" t="s">
        <v>46</v>
      </c>
      <c r="W427" s="40" t="s">
        <v>0</v>
      </c>
      <c r="X427" s="58">
        <v>15</v>
      </c>
      <c r="Y427" s="55">
        <f t="shared" si="61"/>
        <v>15</v>
      </c>
      <c r="Z427" s="41">
        <f>IFERROR(IF(Y427=0,"",ROUNDUP(Y427/H427,0)*0.00902),"")</f>
        <v>2.7060000000000001E-2</v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15.570000000000002</v>
      </c>
      <c r="BN427" s="78">
        <f t="shared" si="63"/>
        <v>15.570000000000002</v>
      </c>
      <c r="BO427" s="78">
        <f t="shared" si="64"/>
        <v>2.2727272727272728E-2</v>
      </c>
      <c r="BP427" s="78">
        <f t="shared" si="65"/>
        <v>2.2727272727272728E-2</v>
      </c>
    </row>
    <row r="428" spans="1:68" x14ac:dyDescent="0.2">
      <c r="A428" s="633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0" t="s">
        <v>40</v>
      </c>
      <c r="Q428" s="631"/>
      <c r="R428" s="631"/>
      <c r="S428" s="631"/>
      <c r="T428" s="631"/>
      <c r="U428" s="631"/>
      <c r="V428" s="632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443</v>
      </c>
      <c r="Y428" s="43">
        <f>IFERROR(Y420/H420,"0")+IFERROR(Y421/H421,"0")+IFERROR(Y422/H422,"0")+IFERROR(Y423/H423,"0")+IFERROR(Y424/H424,"0")+IFERROR(Y425/H425,"0")+IFERROR(Y426/H426,"0")+IFERROR(Y427/H427,"0")</f>
        <v>444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9.6188099999999999</v>
      </c>
      <c r="AA428" s="67"/>
      <c r="AB428" s="67"/>
      <c r="AC428" s="67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0" t="s">
        <v>40</v>
      </c>
      <c r="Q429" s="631"/>
      <c r="R429" s="631"/>
      <c r="S429" s="631"/>
      <c r="T429" s="631"/>
      <c r="U429" s="631"/>
      <c r="V429" s="632"/>
      <c r="W429" s="42" t="s">
        <v>0</v>
      </c>
      <c r="X429" s="43">
        <f>IFERROR(SUM(X420:X427),"0")</f>
        <v>6615</v>
      </c>
      <c r="Y429" s="43">
        <f>IFERROR(SUM(Y420:Y427),"0")</f>
        <v>6630</v>
      </c>
      <c r="Z429" s="42"/>
      <c r="AA429" s="67"/>
      <c r="AB429" s="67"/>
      <c r="AC429" s="67"/>
    </row>
    <row r="430" spans="1:68" ht="14.25" hidden="1" customHeight="1" x14ac:dyDescent="0.25">
      <c r="A430" s="644" t="s">
        <v>154</v>
      </c>
      <c r="B430" s="644"/>
      <c r="C430" s="644"/>
      <c r="D430" s="644"/>
      <c r="E430" s="644"/>
      <c r="F430" s="644"/>
      <c r="G430" s="644"/>
      <c r="H430" s="644"/>
      <c r="I430" s="644"/>
      <c r="J430" s="644"/>
      <c r="K430" s="644"/>
      <c r="L430" s="644"/>
      <c r="M430" s="644"/>
      <c r="N430" s="644"/>
      <c r="O430" s="644"/>
      <c r="P430" s="644"/>
      <c r="Q430" s="644"/>
      <c r="R430" s="644"/>
      <c r="S430" s="644"/>
      <c r="T430" s="644"/>
      <c r="U430" s="644"/>
      <c r="V430" s="644"/>
      <c r="W430" s="644"/>
      <c r="X430" s="644"/>
      <c r="Y430" s="644"/>
      <c r="Z430" s="644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39">
        <v>4607091383980</v>
      </c>
      <c r="E431" s="639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41"/>
      <c r="R431" s="641"/>
      <c r="S431" s="641"/>
      <c r="T431" s="642"/>
      <c r="U431" s="39" t="s">
        <v>46</v>
      </c>
      <c r="V431" s="39" t="s">
        <v>46</v>
      </c>
      <c r="W431" s="40" t="s">
        <v>0</v>
      </c>
      <c r="X431" s="58">
        <v>1000</v>
      </c>
      <c r="Y431" s="55">
        <f>IFERROR(IF(X431="",0,CEILING((X431/$H431),1)*$H431),"")</f>
        <v>1005</v>
      </c>
      <c r="Z431" s="41">
        <f>IFERROR(IF(Y431=0,"",ROUNDUP(Y431/H431,0)*0.02175),"")</f>
        <v>1.4572499999999999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1031.3333333333333</v>
      </c>
      <c r="BN431" s="78">
        <f>IFERROR(Y431*I431/H431,"0")</f>
        <v>1036.49</v>
      </c>
      <c r="BO431" s="78">
        <f>IFERROR(1/J431*(X431/H431),"0")</f>
        <v>1.3888888888888888</v>
      </c>
      <c r="BP431" s="78">
        <f>IFERROR(1/J431*(Y431/H431),"0")</f>
        <v>1.3958333333333333</v>
      </c>
    </row>
    <row r="432" spans="1:68" ht="27" customHeight="1" x14ac:dyDescent="0.25">
      <c r="A432" s="63" t="s">
        <v>713</v>
      </c>
      <c r="B432" s="63" t="s">
        <v>714</v>
      </c>
      <c r="C432" s="36">
        <v>4301020355</v>
      </c>
      <c r="D432" s="639">
        <v>4680115888425</v>
      </c>
      <c r="E432" s="639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69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41"/>
      <c r="R432" s="641"/>
      <c r="S432" s="641"/>
      <c r="T432" s="642"/>
      <c r="U432" s="39" t="s">
        <v>46</v>
      </c>
      <c r="V432" s="39" t="s">
        <v>46</v>
      </c>
      <c r="W432" s="40" t="s">
        <v>0</v>
      </c>
      <c r="X432" s="58">
        <v>300</v>
      </c>
      <c r="Y432" s="55">
        <f>IFERROR(IF(X432="",0,CEILING((X432/$H432),1)*$H432),"")</f>
        <v>300</v>
      </c>
      <c r="Z432" s="41">
        <f>IFERROR(IF(Y432=0,"",ROUNDUP(Y432/H432,0)*0.02175),"")</f>
        <v>0.43499999999999994</v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309.39999999999998</v>
      </c>
      <c r="BN432" s="78">
        <f>IFERROR(Y432*I432/H432,"0")</f>
        <v>309.39999999999998</v>
      </c>
      <c r="BO432" s="78">
        <f>IFERROR(1/J432*(X432/H432),"0")</f>
        <v>0.41666666666666663</v>
      </c>
      <c r="BP432" s="78">
        <f>IFERROR(1/J432*(Y432/H432),"0")</f>
        <v>0.41666666666666663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39">
        <v>4607091384178</v>
      </c>
      <c r="E433" s="639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6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41"/>
      <c r="R433" s="641"/>
      <c r="S433" s="641"/>
      <c r="T433" s="64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2" t="s">
        <v>39</v>
      </c>
      <c r="X434" s="43">
        <f>IFERROR(X431/H431,"0")+IFERROR(X432/H432,"0")+IFERROR(X433/H433,"0")</f>
        <v>86.666666666666671</v>
      </c>
      <c r="Y434" s="43">
        <f>IFERROR(Y431/H431,"0")+IFERROR(Y432/H432,"0")+IFERROR(Y433/H433,"0")</f>
        <v>87</v>
      </c>
      <c r="Z434" s="43">
        <f>IFERROR(IF(Z431="",0,Z431),"0")+IFERROR(IF(Z432="",0,Z432),"0")+IFERROR(IF(Z433="",0,Z433),"0")</f>
        <v>1.8922499999999998</v>
      </c>
      <c r="AA434" s="67"/>
      <c r="AB434" s="67"/>
      <c r="AC434" s="67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0" t="s">
        <v>40</v>
      </c>
      <c r="Q435" s="631"/>
      <c r="R435" s="631"/>
      <c r="S435" s="631"/>
      <c r="T435" s="631"/>
      <c r="U435" s="631"/>
      <c r="V435" s="632"/>
      <c r="W435" s="42" t="s">
        <v>0</v>
      </c>
      <c r="X435" s="43">
        <f>IFERROR(SUM(X431:X433),"0")</f>
        <v>1300</v>
      </c>
      <c r="Y435" s="43">
        <f>IFERROR(SUM(Y431:Y433),"0")</f>
        <v>1305</v>
      </c>
      <c r="Z435" s="42"/>
      <c r="AA435" s="67"/>
      <c r="AB435" s="67"/>
      <c r="AC435" s="67"/>
    </row>
    <row r="436" spans="1:68" ht="14.25" hidden="1" customHeight="1" x14ac:dyDescent="0.25">
      <c r="A436" s="644" t="s">
        <v>83</v>
      </c>
      <c r="B436" s="644"/>
      <c r="C436" s="644"/>
      <c r="D436" s="644"/>
      <c r="E436" s="644"/>
      <c r="F436" s="644"/>
      <c r="G436" s="644"/>
      <c r="H436" s="644"/>
      <c r="I436" s="644"/>
      <c r="J436" s="644"/>
      <c r="K436" s="644"/>
      <c r="L436" s="644"/>
      <c r="M436" s="644"/>
      <c r="N436" s="644"/>
      <c r="O436" s="644"/>
      <c r="P436" s="644"/>
      <c r="Q436" s="644"/>
      <c r="R436" s="644"/>
      <c r="S436" s="644"/>
      <c r="T436" s="644"/>
      <c r="U436" s="644"/>
      <c r="V436" s="644"/>
      <c r="W436" s="644"/>
      <c r="X436" s="644"/>
      <c r="Y436" s="644"/>
      <c r="Z436" s="644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39">
        <v>4607091383928</v>
      </c>
      <c r="E437" s="639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41"/>
      <c r="R437" s="641"/>
      <c r="S437" s="641"/>
      <c r="T437" s="64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39">
        <v>4607091384260</v>
      </c>
      <c r="E438" s="639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41"/>
      <c r="R438" s="641"/>
      <c r="S438" s="641"/>
      <c r="T438" s="64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39">
        <v>4680115889538</v>
      </c>
      <c r="E439" s="639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69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41"/>
      <c r="R439" s="641"/>
      <c r="S439" s="641"/>
      <c r="T439" s="64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0" t="s">
        <v>40</v>
      </c>
      <c r="Q441" s="631"/>
      <c r="R441" s="631"/>
      <c r="S441" s="631"/>
      <c r="T441" s="631"/>
      <c r="U441" s="631"/>
      <c r="V441" s="632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44" t="s">
        <v>172</v>
      </c>
      <c r="B442" s="644"/>
      <c r="C442" s="644"/>
      <c r="D442" s="644"/>
      <c r="E442" s="644"/>
      <c r="F442" s="644"/>
      <c r="G442" s="644"/>
      <c r="H442" s="644"/>
      <c r="I442" s="644"/>
      <c r="J442" s="644"/>
      <c r="K442" s="644"/>
      <c r="L442" s="644"/>
      <c r="M442" s="644"/>
      <c r="N442" s="644"/>
      <c r="O442" s="644"/>
      <c r="P442" s="644"/>
      <c r="Q442" s="644"/>
      <c r="R442" s="644"/>
      <c r="S442" s="644"/>
      <c r="T442" s="644"/>
      <c r="U442" s="644"/>
      <c r="V442" s="644"/>
      <c r="W442" s="644"/>
      <c r="X442" s="644"/>
      <c r="Y442" s="644"/>
      <c r="Z442" s="644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39">
        <v>4680115889545</v>
      </c>
      <c r="E443" s="639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68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41"/>
      <c r="R443" s="641"/>
      <c r="S443" s="641"/>
      <c r="T443" s="64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39">
        <v>4607091384673</v>
      </c>
      <c r="E444" s="63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6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41"/>
      <c r="R444" s="641"/>
      <c r="S444" s="641"/>
      <c r="T444" s="64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43" t="s">
        <v>734</v>
      </c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3"/>
      <c r="P447" s="643"/>
      <c r="Q447" s="643"/>
      <c r="R447" s="643"/>
      <c r="S447" s="643"/>
      <c r="T447" s="643"/>
      <c r="U447" s="643"/>
      <c r="V447" s="643"/>
      <c r="W447" s="643"/>
      <c r="X447" s="643"/>
      <c r="Y447" s="643"/>
      <c r="Z447" s="643"/>
      <c r="AA447" s="65"/>
      <c r="AB447" s="65"/>
      <c r="AC447" s="79"/>
    </row>
    <row r="448" spans="1:68" ht="14.25" hidden="1" customHeight="1" x14ac:dyDescent="0.25">
      <c r="A448" s="644" t="s">
        <v>119</v>
      </c>
      <c r="B448" s="644"/>
      <c r="C448" s="644"/>
      <c r="D448" s="644"/>
      <c r="E448" s="644"/>
      <c r="F448" s="644"/>
      <c r="G448" s="644"/>
      <c r="H448" s="644"/>
      <c r="I448" s="644"/>
      <c r="J448" s="644"/>
      <c r="K448" s="644"/>
      <c r="L448" s="644"/>
      <c r="M448" s="644"/>
      <c r="N448" s="644"/>
      <c r="O448" s="644"/>
      <c r="P448" s="644"/>
      <c r="Q448" s="644"/>
      <c r="R448" s="644"/>
      <c r="S448" s="644"/>
      <c r="T448" s="644"/>
      <c r="U448" s="644"/>
      <c r="V448" s="644"/>
      <c r="W448" s="644"/>
      <c r="X448" s="644"/>
      <c r="Y448" s="644"/>
      <c r="Z448" s="644"/>
      <c r="AA448" s="66"/>
      <c r="AB448" s="66"/>
      <c r="AC448" s="80"/>
    </row>
    <row r="449" spans="1:68" ht="27" customHeight="1" x14ac:dyDescent="0.25">
      <c r="A449" s="63" t="s">
        <v>735</v>
      </c>
      <c r="B449" s="63" t="s">
        <v>736</v>
      </c>
      <c r="C449" s="36">
        <v>4301011875</v>
      </c>
      <c r="D449" s="639">
        <v>4680115884885</v>
      </c>
      <c r="E449" s="639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6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41"/>
      <c r="R449" s="641"/>
      <c r="S449" s="641"/>
      <c r="T449" s="642"/>
      <c r="U449" s="39" t="s">
        <v>46</v>
      </c>
      <c r="V449" s="39" t="s">
        <v>46</v>
      </c>
      <c r="W449" s="40" t="s">
        <v>0</v>
      </c>
      <c r="X449" s="58">
        <v>30</v>
      </c>
      <c r="Y449" s="55">
        <f>IFERROR(IF(X449="",0,CEILING((X449/$H449),1)*$H449),"")</f>
        <v>36</v>
      </c>
      <c r="Z449" s="41">
        <f>IFERROR(IF(Y449=0,"",ROUNDUP(Y449/H449,0)*0.01898),"")</f>
        <v>5.6940000000000004E-2</v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31.025000000000002</v>
      </c>
      <c r="BN449" s="78">
        <f>IFERROR(Y449*I449/H449,"0")</f>
        <v>37.229999999999997</v>
      </c>
      <c r="BO449" s="78">
        <f>IFERROR(1/J449*(X449/H449),"0")</f>
        <v>3.90625E-2</v>
      </c>
      <c r="BP449" s="78">
        <f>IFERROR(1/J449*(Y449/H449),"0")</f>
        <v>4.6875E-2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39">
        <v>4680115884908</v>
      </c>
      <c r="E450" s="639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6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41"/>
      <c r="R450" s="641"/>
      <c r="S450" s="641"/>
      <c r="T450" s="64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33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0" t="s">
        <v>40</v>
      </c>
      <c r="Q451" s="631"/>
      <c r="R451" s="631"/>
      <c r="S451" s="631"/>
      <c r="T451" s="631"/>
      <c r="U451" s="631"/>
      <c r="V451" s="632"/>
      <c r="W451" s="42" t="s">
        <v>39</v>
      </c>
      <c r="X451" s="43">
        <f>IFERROR(X449/H449,"0")+IFERROR(X450/H450,"0")</f>
        <v>2.5</v>
      </c>
      <c r="Y451" s="43">
        <f>IFERROR(Y449/H449,"0")+IFERROR(Y450/H450,"0")</f>
        <v>3</v>
      </c>
      <c r="Z451" s="43">
        <f>IFERROR(IF(Z449="",0,Z449),"0")+IFERROR(IF(Z450="",0,Z450),"0")</f>
        <v>5.6940000000000004E-2</v>
      </c>
      <c r="AA451" s="67"/>
      <c r="AB451" s="67"/>
      <c r="AC451" s="67"/>
    </row>
    <row r="452" spans="1:68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0</v>
      </c>
      <c r="X452" s="43">
        <f>IFERROR(SUM(X449:X450),"0")</f>
        <v>30</v>
      </c>
      <c r="Y452" s="43">
        <f>IFERROR(SUM(Y449:Y450),"0")</f>
        <v>36</v>
      </c>
      <c r="Z452" s="42"/>
      <c r="AA452" s="67"/>
      <c r="AB452" s="67"/>
      <c r="AC452" s="67"/>
    </row>
    <row r="453" spans="1:68" ht="14.25" hidden="1" customHeight="1" x14ac:dyDescent="0.25">
      <c r="A453" s="644" t="s">
        <v>77</v>
      </c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4"/>
      <c r="P453" s="644"/>
      <c r="Q453" s="644"/>
      <c r="R453" s="644"/>
      <c r="S453" s="644"/>
      <c r="T453" s="644"/>
      <c r="U453" s="644"/>
      <c r="V453" s="644"/>
      <c r="W453" s="644"/>
      <c r="X453" s="644"/>
      <c r="Y453" s="644"/>
      <c r="Z453" s="644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39">
        <v>4607091384802</v>
      </c>
      <c r="E454" s="639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6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41"/>
      <c r="R454" s="641"/>
      <c r="S454" s="641"/>
      <c r="T454" s="64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44" t="s">
        <v>83</v>
      </c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44"/>
      <c r="P457" s="644"/>
      <c r="Q457" s="644"/>
      <c r="R457" s="644"/>
      <c r="S457" s="644"/>
      <c r="T457" s="644"/>
      <c r="U457" s="644"/>
      <c r="V457" s="644"/>
      <c r="W457" s="644"/>
      <c r="X457" s="644"/>
      <c r="Y457" s="644"/>
      <c r="Z457" s="644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39">
        <v>4607091384246</v>
      </c>
      <c r="E458" s="639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68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41"/>
      <c r="R458" s="641"/>
      <c r="S458" s="641"/>
      <c r="T458" s="64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39">
        <v>4607091384253</v>
      </c>
      <c r="E459" s="639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68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41"/>
      <c r="R459" s="641"/>
      <c r="S459" s="641"/>
      <c r="T459" s="64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39">
        <v>4607091384253</v>
      </c>
      <c r="E460" s="639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6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41"/>
      <c r="R460" s="641"/>
      <c r="S460" s="641"/>
      <c r="T460" s="64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33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0" t="s">
        <v>40</v>
      </c>
      <c r="Q461" s="631"/>
      <c r="R461" s="631"/>
      <c r="S461" s="631"/>
      <c r="T461" s="631"/>
      <c r="U461" s="631"/>
      <c r="V461" s="632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0" t="s">
        <v>40</v>
      </c>
      <c r="Q462" s="631"/>
      <c r="R462" s="631"/>
      <c r="S462" s="631"/>
      <c r="T462" s="631"/>
      <c r="U462" s="631"/>
      <c r="V462" s="632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50" t="s">
        <v>750</v>
      </c>
      <c r="B463" s="650"/>
      <c r="C463" s="650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0"/>
      <c r="P463" s="650"/>
      <c r="Q463" s="650"/>
      <c r="R463" s="650"/>
      <c r="S463" s="650"/>
      <c r="T463" s="650"/>
      <c r="U463" s="650"/>
      <c r="V463" s="650"/>
      <c r="W463" s="650"/>
      <c r="X463" s="650"/>
      <c r="Y463" s="650"/>
      <c r="Z463" s="650"/>
      <c r="AA463" s="54"/>
      <c r="AB463" s="54"/>
      <c r="AC463" s="54"/>
    </row>
    <row r="464" spans="1:68" ht="16.5" hidden="1" customHeight="1" x14ac:dyDescent="0.25">
      <c r="A464" s="643" t="s">
        <v>751</v>
      </c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3"/>
      <c r="P464" s="643"/>
      <c r="Q464" s="643"/>
      <c r="R464" s="643"/>
      <c r="S464" s="643"/>
      <c r="T464" s="643"/>
      <c r="U464" s="643"/>
      <c r="V464" s="643"/>
      <c r="W464" s="643"/>
      <c r="X464" s="643"/>
      <c r="Y464" s="643"/>
      <c r="Z464" s="643"/>
      <c r="AA464" s="65"/>
      <c r="AB464" s="65"/>
      <c r="AC464" s="79"/>
    </row>
    <row r="465" spans="1:68" ht="14.25" hidden="1" customHeight="1" x14ac:dyDescent="0.25">
      <c r="A465" s="644" t="s">
        <v>77</v>
      </c>
      <c r="B465" s="644"/>
      <c r="C465" s="644"/>
      <c r="D465" s="644"/>
      <c r="E465" s="644"/>
      <c r="F465" s="644"/>
      <c r="G465" s="644"/>
      <c r="H465" s="644"/>
      <c r="I465" s="644"/>
      <c r="J465" s="644"/>
      <c r="K465" s="644"/>
      <c r="L465" s="644"/>
      <c r="M465" s="644"/>
      <c r="N465" s="644"/>
      <c r="O465" s="644"/>
      <c r="P465" s="644"/>
      <c r="Q465" s="644"/>
      <c r="R465" s="644"/>
      <c r="S465" s="644"/>
      <c r="T465" s="644"/>
      <c r="U465" s="644"/>
      <c r="V465" s="644"/>
      <c r="W465" s="644"/>
      <c r="X465" s="644"/>
      <c r="Y465" s="644"/>
      <c r="Z465" s="644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39">
        <v>4680115886100</v>
      </c>
      <c r="E466" s="63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41"/>
      <c r="R466" s="641"/>
      <c r="S466" s="641"/>
      <c r="T466" s="642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39">
        <v>4680115886124</v>
      </c>
      <c r="E467" s="639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41"/>
      <c r="R467" s="641"/>
      <c r="S467" s="641"/>
      <c r="T467" s="642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39">
        <v>4607091384338</v>
      </c>
      <c r="E468" s="63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41"/>
      <c r="R468" s="641"/>
      <c r="S468" s="641"/>
      <c r="T468" s="64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39">
        <v>4680115883161</v>
      </c>
      <c r="E469" s="639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41"/>
      <c r="R469" s="641"/>
      <c r="S469" s="641"/>
      <c r="T469" s="64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39">
        <v>4607091389531</v>
      </c>
      <c r="E470" s="63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41"/>
      <c r="R470" s="641"/>
      <c r="S470" s="641"/>
      <c r="T470" s="64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39">
        <v>4607091384345</v>
      </c>
      <c r="E471" s="63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41"/>
      <c r="R471" s="641"/>
      <c r="S471" s="641"/>
      <c r="T471" s="64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44" t="s">
        <v>83</v>
      </c>
      <c r="B474" s="644"/>
      <c r="C474" s="644"/>
      <c r="D474" s="644"/>
      <c r="E474" s="644"/>
      <c r="F474" s="644"/>
      <c r="G474" s="644"/>
      <c r="H474" s="644"/>
      <c r="I474" s="644"/>
      <c r="J474" s="644"/>
      <c r="K474" s="644"/>
      <c r="L474" s="644"/>
      <c r="M474" s="644"/>
      <c r="N474" s="644"/>
      <c r="O474" s="644"/>
      <c r="P474" s="644"/>
      <c r="Q474" s="644"/>
      <c r="R474" s="644"/>
      <c r="S474" s="644"/>
      <c r="T474" s="644"/>
      <c r="U474" s="644"/>
      <c r="V474" s="644"/>
      <c r="W474" s="644"/>
      <c r="X474" s="644"/>
      <c r="Y474" s="644"/>
      <c r="Z474" s="644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39">
        <v>4607091384352</v>
      </c>
      <c r="E475" s="639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41"/>
      <c r="R475" s="641"/>
      <c r="S475" s="641"/>
      <c r="T475" s="64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43" t="s">
        <v>771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5"/>
      <c r="AB478" s="65"/>
      <c r="AC478" s="79"/>
    </row>
    <row r="479" spans="1:68" ht="14.25" hidden="1" customHeight="1" x14ac:dyDescent="0.25">
      <c r="A479" s="644" t="s">
        <v>154</v>
      </c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44"/>
      <c r="P479" s="644"/>
      <c r="Q479" s="644"/>
      <c r="R479" s="644"/>
      <c r="S479" s="644"/>
      <c r="T479" s="644"/>
      <c r="U479" s="644"/>
      <c r="V479" s="644"/>
      <c r="W479" s="644"/>
      <c r="X479" s="644"/>
      <c r="Y479" s="644"/>
      <c r="Z479" s="644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39">
        <v>4680115885240</v>
      </c>
      <c r="E480" s="639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6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41"/>
      <c r="R480" s="641"/>
      <c r="S480" s="641"/>
      <c r="T480" s="64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44" t="s">
        <v>77</v>
      </c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44"/>
      <c r="P483" s="644"/>
      <c r="Q483" s="644"/>
      <c r="R483" s="644"/>
      <c r="S483" s="644"/>
      <c r="T483" s="644"/>
      <c r="U483" s="644"/>
      <c r="V483" s="644"/>
      <c r="W483" s="644"/>
      <c r="X483" s="644"/>
      <c r="Y483" s="644"/>
      <c r="Z483" s="644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39">
        <v>4680115886094</v>
      </c>
      <c r="E484" s="639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41"/>
      <c r="R484" s="641"/>
      <c r="S484" s="641"/>
      <c r="T484" s="64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39">
        <v>4680115880771</v>
      </c>
      <c r="E485" s="63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6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41"/>
      <c r="R485" s="641"/>
      <c r="S485" s="641"/>
      <c r="T485" s="64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39">
        <v>4607091389500</v>
      </c>
      <c r="E486" s="63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41"/>
      <c r="R486" s="641"/>
      <c r="S486" s="641"/>
      <c r="T486" s="642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0" t="s">
        <v>40</v>
      </c>
      <c r="Q488" s="631"/>
      <c r="R488" s="631"/>
      <c r="S488" s="631"/>
      <c r="T488" s="631"/>
      <c r="U488" s="631"/>
      <c r="V488" s="632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50" t="s">
        <v>783</v>
      </c>
      <c r="B489" s="650"/>
      <c r="C489" s="650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0"/>
      <c r="P489" s="650"/>
      <c r="Q489" s="650"/>
      <c r="R489" s="650"/>
      <c r="S489" s="650"/>
      <c r="T489" s="650"/>
      <c r="U489" s="650"/>
      <c r="V489" s="650"/>
      <c r="W489" s="650"/>
      <c r="X489" s="650"/>
      <c r="Y489" s="650"/>
      <c r="Z489" s="650"/>
      <c r="AA489" s="54"/>
      <c r="AB489" s="54"/>
      <c r="AC489" s="54"/>
    </row>
    <row r="490" spans="1:68" ht="16.5" hidden="1" customHeight="1" x14ac:dyDescent="0.25">
      <c r="A490" s="643" t="s">
        <v>783</v>
      </c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3"/>
      <c r="P490" s="643"/>
      <c r="Q490" s="643"/>
      <c r="R490" s="643"/>
      <c r="S490" s="643"/>
      <c r="T490" s="643"/>
      <c r="U490" s="643"/>
      <c r="V490" s="643"/>
      <c r="W490" s="643"/>
      <c r="X490" s="643"/>
      <c r="Y490" s="643"/>
      <c r="Z490" s="643"/>
      <c r="AA490" s="65"/>
      <c r="AB490" s="65"/>
      <c r="AC490" s="79"/>
    </row>
    <row r="491" spans="1:68" ht="14.25" hidden="1" customHeight="1" x14ac:dyDescent="0.25">
      <c r="A491" s="644" t="s">
        <v>119</v>
      </c>
      <c r="B491" s="644"/>
      <c r="C491" s="644"/>
      <c r="D491" s="644"/>
      <c r="E491" s="644"/>
      <c r="F491" s="644"/>
      <c r="G491" s="644"/>
      <c r="H491" s="644"/>
      <c r="I491" s="644"/>
      <c r="J491" s="644"/>
      <c r="K491" s="644"/>
      <c r="L491" s="644"/>
      <c r="M491" s="644"/>
      <c r="N491" s="644"/>
      <c r="O491" s="644"/>
      <c r="P491" s="644"/>
      <c r="Q491" s="644"/>
      <c r="R491" s="644"/>
      <c r="S491" s="644"/>
      <c r="T491" s="644"/>
      <c r="U491" s="644"/>
      <c r="V491" s="644"/>
      <c r="W491" s="644"/>
      <c r="X491" s="644"/>
      <c r="Y491" s="644"/>
      <c r="Z491" s="644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39">
        <v>4607091389067</v>
      </c>
      <c r="E492" s="63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6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41"/>
      <c r="R492" s="641"/>
      <c r="S492" s="641"/>
      <c r="T492" s="642"/>
      <c r="U492" s="39" t="s">
        <v>46</v>
      </c>
      <c r="V492" s="39" t="s">
        <v>46</v>
      </c>
      <c r="W492" s="40" t="s">
        <v>0</v>
      </c>
      <c r="X492" s="58">
        <v>60</v>
      </c>
      <c r="Y492" s="55">
        <f t="shared" ref="Y492:Y499" si="71">IFERROR(IF(X492="",0,CEILING((X492/$H492),1)*$H492),"")</f>
        <v>63.36</v>
      </c>
      <c r="Z492" s="41">
        <f>IFERROR(IF(Y492=0,"",ROUNDUP(Y492/H492,0)*0.01196),"")</f>
        <v>0.14352000000000001</v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63.977272727272727</v>
      </c>
      <c r="BN492" s="78">
        <f t="shared" ref="BN492:BN499" si="73">IFERROR(Y492*I492/H492,"0")</f>
        <v>67.559999999999988</v>
      </c>
      <c r="BO492" s="78">
        <f t="shared" ref="BO492:BO499" si="74">IFERROR(1/J492*(X492/H492),"0")</f>
        <v>0.10926573426573427</v>
      </c>
      <c r="BP492" s="78">
        <f t="shared" ref="BP492:BP499" si="75">IFERROR(1/J492*(Y492/H492),"0")</f>
        <v>0.11538461538461539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39">
        <v>4680115889576</v>
      </c>
      <c r="E493" s="63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6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41"/>
      <c r="R493" s="641"/>
      <c r="S493" s="641"/>
      <c r="T493" s="64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39">
        <v>4680115885271</v>
      </c>
      <c r="E494" s="63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6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41"/>
      <c r="R494" s="641"/>
      <c r="S494" s="641"/>
      <c r="T494" s="64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hidden="1" customHeight="1" x14ac:dyDescent="0.25">
      <c r="A495" s="63" t="s">
        <v>792</v>
      </c>
      <c r="B495" s="63" t="s">
        <v>793</v>
      </c>
      <c r="C495" s="36">
        <v>4301011369</v>
      </c>
      <c r="D495" s="639">
        <v>4680115885226</v>
      </c>
      <c r="E495" s="63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66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41"/>
      <c r="R495" s="641"/>
      <c r="S495" s="641"/>
      <c r="T495" s="64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1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0</v>
      </c>
      <c r="BN495" s="78">
        <f t="shared" si="73"/>
        <v>0</v>
      </c>
      <c r="BO495" s="78">
        <f t="shared" si="74"/>
        <v>0</v>
      </c>
      <c r="BP495" s="78">
        <f t="shared" si="75"/>
        <v>0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39">
        <v>4607091389104</v>
      </c>
      <c r="E496" s="63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6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41"/>
      <c r="R496" s="641"/>
      <c r="S496" s="641"/>
      <c r="T496" s="642"/>
      <c r="U496" s="39" t="s">
        <v>46</v>
      </c>
      <c r="V496" s="39" t="s">
        <v>46</v>
      </c>
      <c r="W496" s="40" t="s">
        <v>0</v>
      </c>
      <c r="X496" s="58">
        <v>250</v>
      </c>
      <c r="Y496" s="55">
        <f t="shared" si="71"/>
        <v>253.44</v>
      </c>
      <c r="Z496" s="41">
        <f>IFERROR(IF(Y496=0,"",ROUNDUP(Y496/H496,0)*0.01196),"")</f>
        <v>0.57408000000000003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266.57196969696969</v>
      </c>
      <c r="BN496" s="78">
        <f t="shared" si="73"/>
        <v>270.23999999999995</v>
      </c>
      <c r="BO496" s="78">
        <f t="shared" si="74"/>
        <v>0.45527389277389274</v>
      </c>
      <c r="BP496" s="78">
        <f t="shared" si="75"/>
        <v>0.46153846153846156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39">
        <v>4680115886391</v>
      </c>
      <c r="E497" s="639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6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41"/>
      <c r="R497" s="641"/>
      <c r="S497" s="641"/>
      <c r="T497" s="64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39">
        <v>4680115880603</v>
      </c>
      <c r="E498" s="639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6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41"/>
      <c r="R498" s="641"/>
      <c r="S498" s="641"/>
      <c r="T498" s="642"/>
      <c r="U498" s="39" t="s">
        <v>46</v>
      </c>
      <c r="V498" s="39" t="s">
        <v>46</v>
      </c>
      <c r="W498" s="40" t="s">
        <v>0</v>
      </c>
      <c r="X498" s="58">
        <v>30</v>
      </c>
      <c r="Y498" s="55">
        <f t="shared" si="71"/>
        <v>33.6</v>
      </c>
      <c r="Z498" s="41">
        <f>IFERROR(IF(Y498=0,"",ROUNDUP(Y498/H498,0)*0.00902),"")</f>
        <v>6.3140000000000002E-2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43.187500000000007</v>
      </c>
      <c r="BN498" s="78">
        <f t="shared" si="73"/>
        <v>48.370000000000005</v>
      </c>
      <c r="BO498" s="78">
        <f t="shared" si="74"/>
        <v>4.7348484848484848E-2</v>
      </c>
      <c r="BP498" s="78">
        <f t="shared" si="75"/>
        <v>5.3030303030303039E-2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39">
        <v>4607091389982</v>
      </c>
      <c r="E499" s="639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6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41"/>
      <c r="R499" s="641"/>
      <c r="S499" s="641"/>
      <c r="T499" s="642"/>
      <c r="U499" s="39" t="s">
        <v>46</v>
      </c>
      <c r="V499" s="39" t="s">
        <v>46</v>
      </c>
      <c r="W499" s="40" t="s">
        <v>0</v>
      </c>
      <c r="X499" s="58">
        <v>240</v>
      </c>
      <c r="Y499" s="55">
        <f t="shared" si="71"/>
        <v>240</v>
      </c>
      <c r="Z499" s="41">
        <f>IFERROR(IF(Y499=0,"",ROUNDUP(Y499/H499,0)*0.00902),"")</f>
        <v>0.45100000000000001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345.50000000000006</v>
      </c>
      <c r="BN499" s="78">
        <f t="shared" si="73"/>
        <v>345.50000000000006</v>
      </c>
      <c r="BO499" s="78">
        <f t="shared" si="74"/>
        <v>0.37878787878787878</v>
      </c>
      <c r="BP499" s="78">
        <f t="shared" si="75"/>
        <v>0.37878787878787878</v>
      </c>
    </row>
    <row r="500" spans="1:68" x14ac:dyDescent="0.2">
      <c r="A500" s="633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0" t="s">
        <v>40</v>
      </c>
      <c r="Q500" s="631"/>
      <c r="R500" s="631"/>
      <c r="S500" s="631"/>
      <c r="T500" s="631"/>
      <c r="U500" s="631"/>
      <c r="V500" s="632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114.9621212121212</v>
      </c>
      <c r="Y500" s="43">
        <f>IFERROR(Y492/H492,"0")+IFERROR(Y493/H493,"0")+IFERROR(Y494/H494,"0")+IFERROR(Y495/H495,"0")+IFERROR(Y496/H496,"0")+IFERROR(Y497/H497,"0")+IFERROR(Y498/H498,"0")+IFERROR(Y499/H499,"0")</f>
        <v>117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1.2317400000000001</v>
      </c>
      <c r="AA500" s="67"/>
      <c r="AB500" s="67"/>
      <c r="AC500" s="67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0" t="s">
        <v>40</v>
      </c>
      <c r="Q501" s="631"/>
      <c r="R501" s="631"/>
      <c r="S501" s="631"/>
      <c r="T501" s="631"/>
      <c r="U501" s="631"/>
      <c r="V501" s="632"/>
      <c r="W501" s="42" t="s">
        <v>0</v>
      </c>
      <c r="X501" s="43">
        <f>IFERROR(SUM(X492:X499),"0")</f>
        <v>580</v>
      </c>
      <c r="Y501" s="43">
        <f>IFERROR(SUM(Y492:Y499),"0")</f>
        <v>590.40000000000009</v>
      </c>
      <c r="Z501" s="42"/>
      <c r="AA501" s="67"/>
      <c r="AB501" s="67"/>
      <c r="AC501" s="67"/>
    </row>
    <row r="502" spans="1:68" ht="14.25" hidden="1" customHeight="1" x14ac:dyDescent="0.25">
      <c r="A502" s="644" t="s">
        <v>154</v>
      </c>
      <c r="B502" s="644"/>
      <c r="C502" s="644"/>
      <c r="D502" s="644"/>
      <c r="E502" s="644"/>
      <c r="F502" s="644"/>
      <c r="G502" s="644"/>
      <c r="H502" s="644"/>
      <c r="I502" s="644"/>
      <c r="J502" s="644"/>
      <c r="K502" s="644"/>
      <c r="L502" s="644"/>
      <c r="M502" s="644"/>
      <c r="N502" s="644"/>
      <c r="O502" s="644"/>
      <c r="P502" s="644"/>
      <c r="Q502" s="644"/>
      <c r="R502" s="644"/>
      <c r="S502" s="644"/>
      <c r="T502" s="644"/>
      <c r="U502" s="644"/>
      <c r="V502" s="644"/>
      <c r="W502" s="644"/>
      <c r="X502" s="644"/>
      <c r="Y502" s="644"/>
      <c r="Z502" s="644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39">
        <v>4607091388930</v>
      </c>
      <c r="E503" s="63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6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41"/>
      <c r="R503" s="641"/>
      <c r="S503" s="641"/>
      <c r="T503" s="642"/>
      <c r="U503" s="39" t="s">
        <v>46</v>
      </c>
      <c r="V503" s="39" t="s">
        <v>46</v>
      </c>
      <c r="W503" s="40" t="s">
        <v>0</v>
      </c>
      <c r="X503" s="58">
        <v>200</v>
      </c>
      <c r="Y503" s="55">
        <f>IFERROR(IF(X503="",0,CEILING((X503/$H503),1)*$H503),"")</f>
        <v>200.64000000000001</v>
      </c>
      <c r="Z503" s="41">
        <f>IFERROR(IF(Y503=0,"",ROUNDUP(Y503/H503,0)*0.01196),"")</f>
        <v>0.45448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213.25757575757575</v>
      </c>
      <c r="BN503" s="78">
        <f>IFERROR(Y503*I503/H503,"0")</f>
        <v>213.94</v>
      </c>
      <c r="BO503" s="78">
        <f>IFERROR(1/J503*(X503/H503),"0")</f>
        <v>0.36421911421911418</v>
      </c>
      <c r="BP503" s="78">
        <f>IFERROR(1/J503*(Y503/H503),"0")</f>
        <v>0.36538461538461542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39">
        <v>4680115886407</v>
      </c>
      <c r="E504" s="639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6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41"/>
      <c r="R504" s="641"/>
      <c r="S504" s="641"/>
      <c r="T504" s="64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39">
        <v>4680115880054</v>
      </c>
      <c r="E505" s="63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6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41"/>
      <c r="R505" s="641"/>
      <c r="S505" s="641"/>
      <c r="T505" s="642"/>
      <c r="U505" s="39" t="s">
        <v>46</v>
      </c>
      <c r="V505" s="39" t="s">
        <v>46</v>
      </c>
      <c r="W505" s="40" t="s">
        <v>0</v>
      </c>
      <c r="X505" s="58">
        <v>84</v>
      </c>
      <c r="Y505" s="55">
        <f>IFERROR(IF(X505="",0,CEILING((X505/$H505),1)*$H505),"")</f>
        <v>86.399999999999991</v>
      </c>
      <c r="Z505" s="41">
        <f>IFERROR(IF(Y505=0,"",ROUNDUP(Y505/H505,0)*0.00902),"")</f>
        <v>0.16236</v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120.92500000000001</v>
      </c>
      <c r="BN505" s="78">
        <f>IFERROR(Y505*I505/H505,"0")</f>
        <v>124.38000000000001</v>
      </c>
      <c r="BO505" s="78">
        <f>IFERROR(1/J505*(X505/H505),"0")</f>
        <v>0.13257575757575757</v>
      </c>
      <c r="BP505" s="78">
        <f>IFERROR(1/J505*(Y505/H505),"0")</f>
        <v>0.13636363636363635</v>
      </c>
    </row>
    <row r="506" spans="1:68" x14ac:dyDescent="0.2">
      <c r="A506" s="633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0" t="s">
        <v>40</v>
      </c>
      <c r="Q506" s="631"/>
      <c r="R506" s="631"/>
      <c r="S506" s="631"/>
      <c r="T506" s="631"/>
      <c r="U506" s="631"/>
      <c r="V506" s="632"/>
      <c r="W506" s="42" t="s">
        <v>39</v>
      </c>
      <c r="X506" s="43">
        <f>IFERROR(X503/H503,"0")+IFERROR(X504/H504,"0")+IFERROR(X505/H505,"0")</f>
        <v>55.378787878787875</v>
      </c>
      <c r="Y506" s="43">
        <f>IFERROR(Y503/H503,"0")+IFERROR(Y504/H504,"0")+IFERROR(Y505/H505,"0")</f>
        <v>56</v>
      </c>
      <c r="Z506" s="43">
        <f>IFERROR(IF(Z503="",0,Z503),"0")+IFERROR(IF(Z504="",0,Z504),"0")+IFERROR(IF(Z505="",0,Z505),"0")</f>
        <v>0.61684000000000005</v>
      </c>
      <c r="AA506" s="67"/>
      <c r="AB506" s="67"/>
      <c r="AC506" s="67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0" t="s">
        <v>40</v>
      </c>
      <c r="Q507" s="631"/>
      <c r="R507" s="631"/>
      <c r="S507" s="631"/>
      <c r="T507" s="631"/>
      <c r="U507" s="631"/>
      <c r="V507" s="632"/>
      <c r="W507" s="42" t="s">
        <v>0</v>
      </c>
      <c r="X507" s="43">
        <f>IFERROR(SUM(X503:X505),"0")</f>
        <v>284</v>
      </c>
      <c r="Y507" s="43">
        <f>IFERROR(SUM(Y503:Y505),"0")</f>
        <v>287.04000000000002</v>
      </c>
      <c r="Z507" s="42"/>
      <c r="AA507" s="67"/>
      <c r="AB507" s="67"/>
      <c r="AC507" s="67"/>
    </row>
    <row r="508" spans="1:68" ht="14.25" hidden="1" customHeight="1" x14ac:dyDescent="0.25">
      <c r="A508" s="644" t="s">
        <v>77</v>
      </c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44"/>
      <c r="P508" s="644"/>
      <c r="Q508" s="644"/>
      <c r="R508" s="644"/>
      <c r="S508" s="644"/>
      <c r="T508" s="644"/>
      <c r="U508" s="644"/>
      <c r="V508" s="644"/>
      <c r="W508" s="644"/>
      <c r="X508" s="644"/>
      <c r="Y508" s="644"/>
      <c r="Z508" s="644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39">
        <v>4680115883116</v>
      </c>
      <c r="E509" s="63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6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41"/>
      <c r="R509" s="641"/>
      <c r="S509" s="641"/>
      <c r="T509" s="64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hidden="1" customHeight="1" x14ac:dyDescent="0.25">
      <c r="A510" s="63" t="s">
        <v>814</v>
      </c>
      <c r="B510" s="63" t="s">
        <v>815</v>
      </c>
      <c r="C510" s="36">
        <v>4301031350</v>
      </c>
      <c r="D510" s="639">
        <v>4680115883093</v>
      </c>
      <c r="E510" s="63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6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41"/>
      <c r="R510" s="641"/>
      <c r="S510" s="641"/>
      <c r="T510" s="64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39">
        <v>4680115883109</v>
      </c>
      <c r="E511" s="63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6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41"/>
      <c r="R511" s="641"/>
      <c r="S511" s="641"/>
      <c r="T511" s="642"/>
      <c r="U511" s="39" t="s">
        <v>46</v>
      </c>
      <c r="V511" s="39" t="s">
        <v>46</v>
      </c>
      <c r="W511" s="40" t="s">
        <v>0</v>
      </c>
      <c r="X511" s="58">
        <v>50</v>
      </c>
      <c r="Y511" s="55">
        <f t="shared" si="76"/>
        <v>52.800000000000004</v>
      </c>
      <c r="Z511" s="41">
        <f>IFERROR(IF(Y511=0,"",ROUNDUP(Y511/H511,0)*0.01196),"")</f>
        <v>0.1196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53.314393939393938</v>
      </c>
      <c r="BN511" s="78">
        <f t="shared" si="78"/>
        <v>56.3</v>
      </c>
      <c r="BO511" s="78">
        <f t="shared" si="79"/>
        <v>9.1054778554778545E-2</v>
      </c>
      <c r="BP511" s="78">
        <f t="shared" si="80"/>
        <v>9.6153846153846159E-2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39">
        <v>4680115882072</v>
      </c>
      <c r="E512" s="639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65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41"/>
      <c r="R512" s="641"/>
      <c r="S512" s="641"/>
      <c r="T512" s="642"/>
      <c r="U512" s="39" t="s">
        <v>46</v>
      </c>
      <c r="V512" s="39" t="s">
        <v>46</v>
      </c>
      <c r="W512" s="40" t="s">
        <v>0</v>
      </c>
      <c r="X512" s="58">
        <v>60</v>
      </c>
      <c r="Y512" s="55">
        <f t="shared" si="76"/>
        <v>62.4</v>
      </c>
      <c r="Z512" s="41">
        <f>IFERROR(IF(Y512=0,"",ROUNDUP(Y512/H512,0)*0.00902),"")</f>
        <v>0.11726</v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86.375000000000014</v>
      </c>
      <c r="BN512" s="78">
        <f t="shared" si="78"/>
        <v>89.830000000000013</v>
      </c>
      <c r="BO512" s="78">
        <f t="shared" si="79"/>
        <v>9.4696969696969696E-2</v>
      </c>
      <c r="BP512" s="78">
        <f t="shared" si="80"/>
        <v>9.8484848484848481E-2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39">
        <v>4680115882102</v>
      </c>
      <c r="E513" s="639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6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41"/>
      <c r="R513" s="641"/>
      <c r="S513" s="641"/>
      <c r="T513" s="64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822</v>
      </c>
      <c r="B514" s="63" t="s">
        <v>824</v>
      </c>
      <c r="C514" s="36">
        <v>4301031418</v>
      </c>
      <c r="D514" s="639">
        <v>4680115882102</v>
      </c>
      <c r="E514" s="639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6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41"/>
      <c r="R514" s="641"/>
      <c r="S514" s="641"/>
      <c r="T514" s="642"/>
      <c r="U514" s="39" t="s">
        <v>46</v>
      </c>
      <c r="V514" s="39" t="s">
        <v>46</v>
      </c>
      <c r="W514" s="40" t="s">
        <v>0</v>
      </c>
      <c r="X514" s="58">
        <v>12</v>
      </c>
      <c r="Y514" s="55">
        <f t="shared" si="76"/>
        <v>14.399999999999999</v>
      </c>
      <c r="Z514" s="41">
        <f>IFERROR(IF(Y514=0,"",ROUNDUP(Y514/H514,0)*0.00902),"")</f>
        <v>2.7060000000000001E-2</v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16.675000000000001</v>
      </c>
      <c r="BN514" s="78">
        <f t="shared" si="78"/>
        <v>20.009999999999998</v>
      </c>
      <c r="BO514" s="78">
        <f t="shared" si="79"/>
        <v>1.893939393939394E-2</v>
      </c>
      <c r="BP514" s="78">
        <f t="shared" si="80"/>
        <v>2.2727272727272728E-2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39">
        <v>4680115882096</v>
      </c>
      <c r="E515" s="639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41"/>
      <c r="R515" s="641"/>
      <c r="S515" s="641"/>
      <c r="T515" s="642"/>
      <c r="U515" s="39" t="s">
        <v>46</v>
      </c>
      <c r="V515" s="39" t="s">
        <v>46</v>
      </c>
      <c r="W515" s="40" t="s">
        <v>0</v>
      </c>
      <c r="X515" s="58">
        <v>72</v>
      </c>
      <c r="Y515" s="55">
        <f t="shared" si="76"/>
        <v>72</v>
      </c>
      <c r="Z515" s="41">
        <f>IFERROR(IF(Y515=0,"",ROUNDUP(Y515/H515,0)*0.00902),"")</f>
        <v>0.1353</v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100.05000000000001</v>
      </c>
      <c r="BN515" s="78">
        <f t="shared" si="78"/>
        <v>100.05000000000001</v>
      </c>
      <c r="BO515" s="78">
        <f t="shared" si="79"/>
        <v>0.11363636363636365</v>
      </c>
      <c r="BP515" s="78">
        <f t="shared" si="80"/>
        <v>0.11363636363636365</v>
      </c>
    </row>
    <row r="516" spans="1:68" x14ac:dyDescent="0.2">
      <c r="A516" s="633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0" t="s">
        <v>40</v>
      </c>
      <c r="Q516" s="631"/>
      <c r="R516" s="631"/>
      <c r="S516" s="631"/>
      <c r="T516" s="631"/>
      <c r="U516" s="631"/>
      <c r="V516" s="632"/>
      <c r="W516" s="42" t="s">
        <v>39</v>
      </c>
      <c r="X516" s="43">
        <f>IFERROR(X509/H509,"0")+IFERROR(X510/H510,"0")+IFERROR(X511/H511,"0")+IFERROR(X512/H512,"0")+IFERROR(X513/H513,"0")+IFERROR(X514/H514,"0")+IFERROR(X515/H515,"0")</f>
        <v>39.469696969696969</v>
      </c>
      <c r="Y516" s="43">
        <f>IFERROR(Y509/H509,"0")+IFERROR(Y510/H510,"0")+IFERROR(Y511/H511,"0")+IFERROR(Y512/H512,"0")+IFERROR(Y513/H513,"0")+IFERROR(Y514/H514,"0")+IFERROR(Y515/H515,"0")</f>
        <v>41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0.39922000000000002</v>
      </c>
      <c r="AA516" s="67"/>
      <c r="AB516" s="67"/>
      <c r="AC516" s="67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0" t="s">
        <v>40</v>
      </c>
      <c r="Q517" s="631"/>
      <c r="R517" s="631"/>
      <c r="S517" s="631"/>
      <c r="T517" s="631"/>
      <c r="U517" s="631"/>
      <c r="V517" s="632"/>
      <c r="W517" s="42" t="s">
        <v>0</v>
      </c>
      <c r="X517" s="43">
        <f>IFERROR(SUM(X509:X515),"0")</f>
        <v>194</v>
      </c>
      <c r="Y517" s="43">
        <f>IFERROR(SUM(Y509:Y515),"0")</f>
        <v>201.6</v>
      </c>
      <c r="Z517" s="42"/>
      <c r="AA517" s="67"/>
      <c r="AB517" s="67"/>
      <c r="AC517" s="67"/>
    </row>
    <row r="518" spans="1:68" ht="27.75" hidden="1" customHeight="1" x14ac:dyDescent="0.2">
      <c r="A518" s="650" t="s">
        <v>827</v>
      </c>
      <c r="B518" s="650"/>
      <c r="C518" s="650"/>
      <c r="D518" s="650"/>
      <c r="E518" s="650"/>
      <c r="F518" s="650"/>
      <c r="G518" s="650"/>
      <c r="H518" s="650"/>
      <c r="I518" s="650"/>
      <c r="J518" s="650"/>
      <c r="K518" s="650"/>
      <c r="L518" s="650"/>
      <c r="M518" s="650"/>
      <c r="N518" s="650"/>
      <c r="O518" s="650"/>
      <c r="P518" s="650"/>
      <c r="Q518" s="650"/>
      <c r="R518" s="650"/>
      <c r="S518" s="650"/>
      <c r="T518" s="650"/>
      <c r="U518" s="650"/>
      <c r="V518" s="650"/>
      <c r="W518" s="650"/>
      <c r="X518" s="650"/>
      <c r="Y518" s="650"/>
      <c r="Z518" s="650"/>
      <c r="AA518" s="54"/>
      <c r="AB518" s="54"/>
      <c r="AC518" s="54"/>
    </row>
    <row r="519" spans="1:68" ht="16.5" hidden="1" customHeight="1" x14ac:dyDescent="0.25">
      <c r="A519" s="643" t="s">
        <v>827</v>
      </c>
      <c r="B519" s="643"/>
      <c r="C519" s="643"/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43"/>
      <c r="Y519" s="643"/>
      <c r="Z519" s="643"/>
      <c r="AA519" s="65"/>
      <c r="AB519" s="65"/>
      <c r="AC519" s="79"/>
    </row>
    <row r="520" spans="1:68" ht="14.25" hidden="1" customHeight="1" x14ac:dyDescent="0.25">
      <c r="A520" s="644" t="s">
        <v>119</v>
      </c>
      <c r="B520" s="644"/>
      <c r="C520" s="644"/>
      <c r="D520" s="644"/>
      <c r="E520" s="644"/>
      <c r="F520" s="644"/>
      <c r="G520" s="644"/>
      <c r="H520" s="644"/>
      <c r="I520" s="644"/>
      <c r="J520" s="644"/>
      <c r="K520" s="644"/>
      <c r="L520" s="644"/>
      <c r="M520" s="644"/>
      <c r="N520" s="644"/>
      <c r="O520" s="644"/>
      <c r="P520" s="644"/>
      <c r="Q520" s="644"/>
      <c r="R520" s="644"/>
      <c r="S520" s="644"/>
      <c r="T520" s="644"/>
      <c r="U520" s="644"/>
      <c r="V520" s="644"/>
      <c r="W520" s="644"/>
      <c r="X520" s="644"/>
      <c r="Y520" s="644"/>
      <c r="Z520" s="644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39">
        <v>4680115889736</v>
      </c>
      <c r="E521" s="639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65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41"/>
      <c r="R521" s="641"/>
      <c r="S521" s="641"/>
      <c r="T521" s="642"/>
      <c r="U521" s="39" t="s">
        <v>46</v>
      </c>
      <c r="V521" s="39" t="s">
        <v>46</v>
      </c>
      <c r="W521" s="40" t="s">
        <v>0</v>
      </c>
      <c r="X521" s="58">
        <v>200</v>
      </c>
      <c r="Y521" s="55">
        <f>IFERROR(IF(X521="",0,CEILING((X521/$H521),1)*$H521),"")</f>
        <v>204</v>
      </c>
      <c r="Z521" s="41">
        <f>IFERROR(IF(Y521=0,"",ROUNDUP(Y521/H521,0)*0.01898),"")</f>
        <v>0.32266</v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206.83333333333334</v>
      </c>
      <c r="BN521" s="78">
        <f>IFERROR(Y521*I521/H521,"0")</f>
        <v>210.97</v>
      </c>
      <c r="BO521" s="78">
        <f>IFERROR(1/J521*(X521/H521),"0")</f>
        <v>0.26041666666666669</v>
      </c>
      <c r="BP521" s="78">
        <f>IFERROR(1/J521*(Y521/H521),"0")</f>
        <v>0.265625</v>
      </c>
    </row>
    <row r="522" spans="1:68" x14ac:dyDescent="0.2">
      <c r="A522" s="633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0" t="s">
        <v>40</v>
      </c>
      <c r="Q522" s="631"/>
      <c r="R522" s="631"/>
      <c r="S522" s="631"/>
      <c r="T522" s="631"/>
      <c r="U522" s="631"/>
      <c r="V522" s="632"/>
      <c r="W522" s="42" t="s">
        <v>39</v>
      </c>
      <c r="X522" s="43">
        <f>IFERROR(X521/H521,"0")</f>
        <v>16.666666666666668</v>
      </c>
      <c r="Y522" s="43">
        <f>IFERROR(Y521/H521,"0")</f>
        <v>17</v>
      </c>
      <c r="Z522" s="43">
        <f>IFERROR(IF(Z521="",0,Z521),"0")</f>
        <v>0.32266</v>
      </c>
      <c r="AA522" s="67"/>
      <c r="AB522" s="67"/>
      <c r="AC522" s="67"/>
    </row>
    <row r="523" spans="1:68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0" t="s">
        <v>40</v>
      </c>
      <c r="Q523" s="631"/>
      <c r="R523" s="631"/>
      <c r="S523" s="631"/>
      <c r="T523" s="631"/>
      <c r="U523" s="631"/>
      <c r="V523" s="632"/>
      <c r="W523" s="42" t="s">
        <v>0</v>
      </c>
      <c r="X523" s="43">
        <f>IFERROR(SUM(X521:X521),"0")</f>
        <v>200</v>
      </c>
      <c r="Y523" s="43">
        <f>IFERROR(SUM(Y521:Y521),"0")</f>
        <v>204</v>
      </c>
      <c r="Z523" s="42"/>
      <c r="AA523" s="67"/>
      <c r="AB523" s="67"/>
      <c r="AC523" s="67"/>
    </row>
    <row r="524" spans="1:68" ht="14.25" hidden="1" customHeight="1" x14ac:dyDescent="0.25">
      <c r="A524" s="644" t="s">
        <v>154</v>
      </c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44"/>
      <c r="P524" s="644"/>
      <c r="Q524" s="644"/>
      <c r="R524" s="644"/>
      <c r="S524" s="644"/>
      <c r="T524" s="644"/>
      <c r="U524" s="644"/>
      <c r="V524" s="644"/>
      <c r="W524" s="644"/>
      <c r="X524" s="644"/>
      <c r="Y524" s="644"/>
      <c r="Z524" s="644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39">
        <v>4680115889781</v>
      </c>
      <c r="E525" s="63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64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41"/>
      <c r="R525" s="641"/>
      <c r="S525" s="641"/>
      <c r="T525" s="64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3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0" t="s">
        <v>40</v>
      </c>
      <c r="Q526" s="631"/>
      <c r="R526" s="631"/>
      <c r="S526" s="631"/>
      <c r="T526" s="631"/>
      <c r="U526" s="631"/>
      <c r="V526" s="63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0" t="s">
        <v>40</v>
      </c>
      <c r="Q527" s="631"/>
      <c r="R527" s="631"/>
      <c r="S527" s="631"/>
      <c r="T527" s="631"/>
      <c r="U527" s="631"/>
      <c r="V527" s="63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44" t="s">
        <v>77</v>
      </c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4"/>
      <c r="P528" s="644"/>
      <c r="Q528" s="644"/>
      <c r="R528" s="644"/>
      <c r="S528" s="644"/>
      <c r="T528" s="644"/>
      <c r="U528" s="644"/>
      <c r="V528" s="644"/>
      <c r="W528" s="644"/>
      <c r="X528" s="644"/>
      <c r="Y528" s="644"/>
      <c r="Z528" s="644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39">
        <v>4680115889774</v>
      </c>
      <c r="E529" s="639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64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41"/>
      <c r="R529" s="641"/>
      <c r="S529" s="641"/>
      <c r="T529" s="64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33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0" t="s">
        <v>40</v>
      </c>
      <c r="Q530" s="631"/>
      <c r="R530" s="631"/>
      <c r="S530" s="631"/>
      <c r="T530" s="631"/>
      <c r="U530" s="631"/>
      <c r="V530" s="63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0" t="s">
        <v>40</v>
      </c>
      <c r="Q531" s="631"/>
      <c r="R531" s="631"/>
      <c r="S531" s="631"/>
      <c r="T531" s="631"/>
      <c r="U531" s="631"/>
      <c r="V531" s="63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44" t="s">
        <v>83</v>
      </c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4"/>
      <c r="P532" s="644"/>
      <c r="Q532" s="644"/>
      <c r="R532" s="644"/>
      <c r="S532" s="644"/>
      <c r="T532" s="644"/>
      <c r="U532" s="644"/>
      <c r="V532" s="644"/>
      <c r="W532" s="644"/>
      <c r="X532" s="644"/>
      <c r="Y532" s="644"/>
      <c r="Z532" s="644"/>
      <c r="AA532" s="66"/>
      <c r="AB532" s="66"/>
      <c r="AC532" s="80"/>
    </row>
    <row r="533" spans="1:68" ht="27" customHeight="1" x14ac:dyDescent="0.25">
      <c r="A533" s="63" t="s">
        <v>836</v>
      </c>
      <c r="B533" s="63" t="s">
        <v>837</v>
      </c>
      <c r="C533" s="36">
        <v>4301052282</v>
      </c>
      <c r="D533" s="639">
        <v>4680115889811</v>
      </c>
      <c r="E533" s="639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64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41"/>
      <c r="R533" s="641"/>
      <c r="S533" s="641"/>
      <c r="T533" s="642"/>
      <c r="U533" s="39" t="s">
        <v>46</v>
      </c>
      <c r="V533" s="39" t="s">
        <v>46</v>
      </c>
      <c r="W533" s="40" t="s">
        <v>0</v>
      </c>
      <c r="X533" s="58">
        <v>600</v>
      </c>
      <c r="Y533" s="55">
        <f>IFERROR(IF(X533="",0,CEILING((X533/$H533),1)*$H533),"")</f>
        <v>603</v>
      </c>
      <c r="Z533" s="41">
        <f>IFERROR(IF(Y533=0,"",ROUNDUP(Y533/H533,0)*0.01898),"")</f>
        <v>1.27166</v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632.93333333333328</v>
      </c>
      <c r="BN533" s="78">
        <f>IFERROR(Y533*I533/H533,"0")</f>
        <v>636.09799999999996</v>
      </c>
      <c r="BO533" s="78">
        <f>IFERROR(1/J533*(X533/H533),"0")</f>
        <v>1.0416666666666667</v>
      </c>
      <c r="BP533" s="78">
        <f>IFERROR(1/J533*(Y533/H533),"0")</f>
        <v>1.046875</v>
      </c>
    </row>
    <row r="534" spans="1:68" x14ac:dyDescent="0.2">
      <c r="A534" s="633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0" t="s">
        <v>40</v>
      </c>
      <c r="Q534" s="631"/>
      <c r="R534" s="631"/>
      <c r="S534" s="631"/>
      <c r="T534" s="631"/>
      <c r="U534" s="631"/>
      <c r="V534" s="632"/>
      <c r="W534" s="42" t="s">
        <v>39</v>
      </c>
      <c r="X534" s="43">
        <f>IFERROR(X533/H533,"0")</f>
        <v>66.666666666666671</v>
      </c>
      <c r="Y534" s="43">
        <f>IFERROR(Y533/H533,"0")</f>
        <v>67</v>
      </c>
      <c r="Z534" s="43">
        <f>IFERROR(IF(Z533="",0,Z533),"0")</f>
        <v>1.27166</v>
      </c>
      <c r="AA534" s="67"/>
      <c r="AB534" s="67"/>
      <c r="AC534" s="67"/>
    </row>
    <row r="535" spans="1:68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0" t="s">
        <v>40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IFERROR(SUM(X533:X533),"0")</f>
        <v>600</v>
      </c>
      <c r="Y535" s="43">
        <f>IFERROR(SUM(Y533:Y533),"0")</f>
        <v>603</v>
      </c>
      <c r="Z535" s="42"/>
      <c r="AA535" s="67"/>
      <c r="AB535" s="67"/>
      <c r="AC535" s="67"/>
    </row>
    <row r="536" spans="1:68" ht="14.25" hidden="1" customHeight="1" x14ac:dyDescent="0.25">
      <c r="A536" s="644" t="s">
        <v>172</v>
      </c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4"/>
      <c r="P536" s="644"/>
      <c r="Q536" s="644"/>
      <c r="R536" s="644"/>
      <c r="S536" s="644"/>
      <c r="T536" s="644"/>
      <c r="U536" s="644"/>
      <c r="V536" s="644"/>
      <c r="W536" s="644"/>
      <c r="X536" s="644"/>
      <c r="Y536" s="644"/>
      <c r="Z536" s="644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39">
        <v>4680115889804</v>
      </c>
      <c r="E537" s="639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64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41"/>
      <c r="R537" s="641"/>
      <c r="S537" s="641"/>
      <c r="T537" s="64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39">
        <v>4680115889828</v>
      </c>
      <c r="E538" s="639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64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41"/>
      <c r="R538" s="641"/>
      <c r="S538" s="641"/>
      <c r="T538" s="64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33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0" t="s">
        <v>40</v>
      </c>
      <c r="Q539" s="631"/>
      <c r="R539" s="631"/>
      <c r="S539" s="631"/>
      <c r="T539" s="631"/>
      <c r="U539" s="631"/>
      <c r="V539" s="632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0" t="s">
        <v>40</v>
      </c>
      <c r="Q540" s="631"/>
      <c r="R540" s="631"/>
      <c r="S540" s="631"/>
      <c r="T540" s="631"/>
      <c r="U540" s="631"/>
      <c r="V540" s="632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43" t="s">
        <v>845</v>
      </c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3"/>
      <c r="P541" s="643"/>
      <c r="Q541" s="643"/>
      <c r="R541" s="643"/>
      <c r="S541" s="643"/>
      <c r="T541" s="643"/>
      <c r="U541" s="643"/>
      <c r="V541" s="643"/>
      <c r="W541" s="643"/>
      <c r="X541" s="643"/>
      <c r="Y541" s="643"/>
      <c r="Z541" s="643"/>
      <c r="AA541" s="65"/>
      <c r="AB541" s="65"/>
      <c r="AC541" s="79"/>
    </row>
    <row r="542" spans="1:68" ht="14.25" hidden="1" customHeight="1" x14ac:dyDescent="0.25">
      <c r="A542" s="644" t="s">
        <v>154</v>
      </c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44"/>
      <c r="P542" s="644"/>
      <c r="Q542" s="644"/>
      <c r="R542" s="644"/>
      <c r="S542" s="644"/>
      <c r="T542" s="644"/>
      <c r="U542" s="644"/>
      <c r="V542" s="644"/>
      <c r="W542" s="644"/>
      <c r="X542" s="644"/>
      <c r="Y542" s="644"/>
      <c r="Z542" s="644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39">
        <v>4680115889798</v>
      </c>
      <c r="E543" s="639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64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41"/>
      <c r="R543" s="641"/>
      <c r="S543" s="641"/>
      <c r="T543" s="64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33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0" t="s">
        <v>40</v>
      </c>
      <c r="Q544" s="631"/>
      <c r="R544" s="631"/>
      <c r="S544" s="631"/>
      <c r="T544" s="631"/>
      <c r="U544" s="631"/>
      <c r="V544" s="6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0" t="s">
        <v>40</v>
      </c>
      <c r="Q545" s="631"/>
      <c r="R545" s="631"/>
      <c r="S545" s="631"/>
      <c r="T545" s="631"/>
      <c r="U545" s="631"/>
      <c r="V545" s="6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633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638"/>
      <c r="P546" s="635" t="s">
        <v>33</v>
      </c>
      <c r="Q546" s="636"/>
      <c r="R546" s="636"/>
      <c r="S546" s="636"/>
      <c r="T546" s="636"/>
      <c r="U546" s="636"/>
      <c r="V546" s="63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17797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17952.140000000003</v>
      </c>
      <c r="Z546" s="42"/>
      <c r="AA546" s="67"/>
      <c r="AB546" s="67"/>
      <c r="AC546" s="67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638"/>
      <c r="P547" s="635" t="s">
        <v>34</v>
      </c>
      <c r="Q547" s="636"/>
      <c r="R547" s="636"/>
      <c r="S547" s="636"/>
      <c r="T547" s="636"/>
      <c r="U547" s="636"/>
      <c r="V547" s="637"/>
      <c r="W547" s="42" t="s">
        <v>0</v>
      </c>
      <c r="X547" s="43">
        <f>IFERROR(SUM(BM22:BM543),"0")</f>
        <v>18858.777182506998</v>
      </c>
      <c r="Y547" s="43">
        <f>IFERROR(SUM(BN22:BN543),"0")</f>
        <v>19026.452000000005</v>
      </c>
      <c r="Z547" s="42"/>
      <c r="AA547" s="67"/>
      <c r="AB547" s="67"/>
      <c r="AC547" s="67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638"/>
      <c r="P548" s="635" t="s">
        <v>35</v>
      </c>
      <c r="Q548" s="636"/>
      <c r="R548" s="636"/>
      <c r="S548" s="636"/>
      <c r="T548" s="636"/>
      <c r="U548" s="636"/>
      <c r="V548" s="637"/>
      <c r="W548" s="42" t="s">
        <v>20</v>
      </c>
      <c r="X548" s="44">
        <f>ROUNDUP(SUM(BO22:BO543),0)</f>
        <v>31</v>
      </c>
      <c r="Y548" s="44">
        <f>ROUNDUP(SUM(BP22:BP543),0)</f>
        <v>31</v>
      </c>
      <c r="Z548" s="42"/>
      <c r="AA548" s="67"/>
      <c r="AB548" s="67"/>
      <c r="AC548" s="67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638"/>
      <c r="P549" s="635" t="s">
        <v>36</v>
      </c>
      <c r="Q549" s="636"/>
      <c r="R549" s="636"/>
      <c r="S549" s="636"/>
      <c r="T549" s="636"/>
      <c r="U549" s="636"/>
      <c r="V549" s="637"/>
      <c r="W549" s="42" t="s">
        <v>0</v>
      </c>
      <c r="X549" s="43">
        <f>GrossWeightTotal+PalletQtyTotal*25</f>
        <v>19633.777182506998</v>
      </c>
      <c r="Y549" s="43">
        <f>GrossWeightTotalR+PalletQtyTotalR*25</f>
        <v>19801.452000000005</v>
      </c>
      <c r="Z549" s="42"/>
      <c r="AA549" s="67"/>
      <c r="AB549" s="67"/>
      <c r="AC549" s="67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638"/>
      <c r="P550" s="635" t="s">
        <v>37</v>
      </c>
      <c r="Q550" s="636"/>
      <c r="R550" s="636"/>
      <c r="S550" s="636"/>
      <c r="T550" s="636"/>
      <c r="U550" s="636"/>
      <c r="V550" s="63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3217.4874435013571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3245</v>
      </c>
      <c r="Z550" s="42"/>
      <c r="AA550" s="67"/>
      <c r="AB550" s="67"/>
      <c r="AC550" s="67"/>
    </row>
    <row r="551" spans="1:32" ht="14.25" hidden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638"/>
      <c r="P551" s="635" t="s">
        <v>38</v>
      </c>
      <c r="Q551" s="636"/>
      <c r="R551" s="636"/>
      <c r="S551" s="636"/>
      <c r="T551" s="636"/>
      <c r="U551" s="636"/>
      <c r="V551" s="63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34.838270000000001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626" t="s">
        <v>117</v>
      </c>
      <c r="E553" s="626" t="s">
        <v>117</v>
      </c>
      <c r="F553" s="626" t="s">
        <v>117</v>
      </c>
      <c r="G553" s="626" t="s">
        <v>117</v>
      </c>
      <c r="H553" s="626" t="s">
        <v>117</v>
      </c>
      <c r="I553" s="626" t="s">
        <v>117</v>
      </c>
      <c r="J553" s="626" t="s">
        <v>117</v>
      </c>
      <c r="K553" s="626" t="s">
        <v>338</v>
      </c>
      <c r="L553" s="626" t="s">
        <v>338</v>
      </c>
      <c r="M553" s="626" t="s">
        <v>338</v>
      </c>
      <c r="N553" s="627"/>
      <c r="O553" s="626" t="s">
        <v>338</v>
      </c>
      <c r="P553" s="626" t="s">
        <v>338</v>
      </c>
      <c r="Q553" s="626" t="s">
        <v>338</v>
      </c>
      <c r="R553" s="626" t="s">
        <v>338</v>
      </c>
      <c r="S553" s="626" t="s">
        <v>338</v>
      </c>
      <c r="T553" s="626" t="s">
        <v>338</v>
      </c>
      <c r="U553" s="626" t="s">
        <v>338</v>
      </c>
      <c r="V553" s="626" t="s">
        <v>338</v>
      </c>
      <c r="W553" s="626" t="s">
        <v>684</v>
      </c>
      <c r="X553" s="626" t="s">
        <v>684</v>
      </c>
      <c r="Y553" s="626" t="s">
        <v>750</v>
      </c>
      <c r="Z553" s="626" t="s">
        <v>750</v>
      </c>
      <c r="AA553" s="85" t="s">
        <v>783</v>
      </c>
      <c r="AB553" s="626" t="s">
        <v>827</v>
      </c>
      <c r="AC553" s="626" t="s">
        <v>827</v>
      </c>
      <c r="AF553" s="1"/>
    </row>
    <row r="554" spans="1:32" ht="14.25" customHeight="1" thickTop="1" x14ac:dyDescent="0.2">
      <c r="A554" s="628" t="s">
        <v>10</v>
      </c>
      <c r="B554" s="626" t="s">
        <v>76</v>
      </c>
      <c r="C554" s="626" t="s">
        <v>101</v>
      </c>
      <c r="D554" s="626" t="s">
        <v>118</v>
      </c>
      <c r="E554" s="626" t="s">
        <v>134</v>
      </c>
      <c r="F554" s="626" t="s">
        <v>180</v>
      </c>
      <c r="G554" s="626" t="s">
        <v>204</v>
      </c>
      <c r="H554" s="626" t="s">
        <v>248</v>
      </c>
      <c r="I554" s="626" t="s">
        <v>261</v>
      </c>
      <c r="J554" s="626" t="s">
        <v>117</v>
      </c>
      <c r="K554" s="626" t="s">
        <v>339</v>
      </c>
      <c r="L554" s="626" t="s">
        <v>360</v>
      </c>
      <c r="M554" s="626" t="s">
        <v>423</v>
      </c>
      <c r="N554" s="1"/>
      <c r="O554" s="626" t="s">
        <v>491</v>
      </c>
      <c r="P554" s="626" t="s">
        <v>522</v>
      </c>
      <c r="Q554" s="626" t="s">
        <v>541</v>
      </c>
      <c r="R554" s="626" t="s">
        <v>550</v>
      </c>
      <c r="S554" s="626" t="s">
        <v>572</v>
      </c>
      <c r="T554" s="626" t="s">
        <v>581</v>
      </c>
      <c r="U554" s="626" t="s">
        <v>667</v>
      </c>
      <c r="V554" s="626" t="s">
        <v>674</v>
      </c>
      <c r="W554" s="626" t="s">
        <v>685</v>
      </c>
      <c r="X554" s="626" t="s">
        <v>734</v>
      </c>
      <c r="Y554" s="626" t="s">
        <v>751</v>
      </c>
      <c r="Z554" s="626" t="s">
        <v>771</v>
      </c>
      <c r="AA554" s="626" t="s">
        <v>783</v>
      </c>
      <c r="AB554" s="626" t="s">
        <v>827</v>
      </c>
      <c r="AC554" s="626" t="s">
        <v>845</v>
      </c>
      <c r="AF554" s="1"/>
    </row>
    <row r="555" spans="1:32" ht="13.5" thickBot="1" x14ac:dyDescent="0.25">
      <c r="A555" s="629"/>
      <c r="B555" s="626"/>
      <c r="C555" s="626"/>
      <c r="D555" s="626"/>
      <c r="E555" s="626"/>
      <c r="F555" s="626"/>
      <c r="G555" s="626"/>
      <c r="H555" s="626"/>
      <c r="I555" s="626"/>
      <c r="J555" s="626"/>
      <c r="K555" s="626"/>
      <c r="L555" s="626"/>
      <c r="M555" s="626"/>
      <c r="N555" s="1"/>
      <c r="O555" s="626"/>
      <c r="P555" s="626"/>
      <c r="Q555" s="626"/>
      <c r="R555" s="626"/>
      <c r="S555" s="626"/>
      <c r="T555" s="626"/>
      <c r="U555" s="626"/>
      <c r="V555" s="626"/>
      <c r="W555" s="626"/>
      <c r="X555" s="626"/>
      <c r="Y555" s="626"/>
      <c r="Z555" s="626"/>
      <c r="AA555" s="626"/>
      <c r="AB555" s="626"/>
      <c r="AC555" s="626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12.6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154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288</v>
      </c>
      <c r="F556" s="52">
        <f>IFERROR(Y84*1,"0")+IFERROR(Y85*1,"0")+IFERROR(Y86*1,"0")+IFERROR(Y87*1,"0")+IFERROR(Y88*1,"0")+IFERROR(Y89*1,"0")+IFERROR(Y93*1,"0")+IFERROR(Y94*1,"0")+IFERROR(Y95*1,"0")+IFERROR(Y96*1,"0")</f>
        <v>666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955.08</v>
      </c>
      <c r="H556" s="52">
        <f>IFERROR(Y131*1,"0")+IFERROR(Y132*1,"0")+IFERROR(Y136*1,"0")+IFERROR(Y137*1,"0")+IFERROR(Y141*1,"0")+IFERROR(Y142*1,"0")</f>
        <v>168.8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1654.74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283.5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2123.1000000000004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78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81.599999999999994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584.99999999999989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1044.68</v>
      </c>
      <c r="U556" s="52">
        <f>IFERROR(Y406*1,"0")+IFERROR(Y407*1,"0")</f>
        <v>0</v>
      </c>
      <c r="V556" s="52">
        <f>IFERROR(Y412*1,"0")+IFERROR(Y413*1,"0")+IFERROR(Y414*1,"0")</f>
        <v>0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7935</v>
      </c>
      <c r="X556" s="52">
        <f>IFERROR(Y449*1,"0")+IFERROR(Y450*1,"0")+IFERROR(Y454*1,"0")+IFERROR(Y458*1,"0")+IFERROR(Y459*1,"0")+IFERROR(Y460*1,"0")</f>
        <v>36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1079.04</v>
      </c>
      <c r="AB556" s="52">
        <f>IFERROR(Y521*1,"0")+IFERROR(Y525*1,"0")+IFERROR(Y529*1,"0")+IFERROR(Y533*1,"0")+IFERROR(Y537*1,"0")+IFERROR(Y538*1,"0")</f>
        <v>807</v>
      </c>
      <c r="AC556" s="52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0,00"/>
        <filter val="1 300,00"/>
        <filter val="1 500,00"/>
        <filter val="1 644,00"/>
        <filter val="1 800,00"/>
        <filter val="10,10"/>
        <filter val="100,00"/>
        <filter val="109,88"/>
        <filter val="11,00"/>
        <filter val="114,96"/>
        <filter val="116,67"/>
        <filter val="12,00"/>
        <filter val="120,00"/>
        <filter val="125,00"/>
        <filter val="135,00"/>
        <filter val="15,00"/>
        <filter val="150,00"/>
        <filter val="16,45"/>
        <filter val="16,67"/>
        <filter val="160,00"/>
        <filter val="17 797,00"/>
        <filter val="18 858,78"/>
        <filter val="18,75"/>
        <filter val="180,00"/>
        <filter val="19 633,78"/>
        <filter val="194,00"/>
        <filter val="2 300,00"/>
        <filter val="2,50"/>
        <filter val="2,56"/>
        <filter val="20,00"/>
        <filter val="200,00"/>
        <filter val="204,01"/>
        <filter val="210,00"/>
        <filter val="240,00"/>
        <filter val="25,00"/>
        <filter val="250,00"/>
        <filter val="255,00"/>
        <filter val="261,11"/>
        <filter val="270,00"/>
        <filter val="280,00"/>
        <filter val="284,00"/>
        <filter val="29,63"/>
        <filter val="3 217,49"/>
        <filter val="30,00"/>
        <filter val="300,00"/>
        <filter val="31"/>
        <filter val="315,00"/>
        <filter val="33,33"/>
        <filter val="350,00"/>
        <filter val="355,44"/>
        <filter val="360,00"/>
        <filter val="39,47"/>
        <filter val="40,00"/>
        <filter val="400,00"/>
        <filter val="41,11"/>
        <filter val="42,00"/>
        <filter val="443,00"/>
        <filter val="45,00"/>
        <filter val="450,00"/>
        <filter val="495,00"/>
        <filter val="50,00"/>
        <filter val="504,00"/>
        <filter val="52,00"/>
        <filter val="55,38"/>
        <filter val="56,00"/>
        <filter val="570,00"/>
        <filter val="580,00"/>
        <filter val="6 615,00"/>
        <filter val="6,67"/>
        <filter val="60,00"/>
        <filter val="600,00"/>
        <filter val="610,00"/>
        <filter val="66,00"/>
        <filter val="66,67"/>
        <filter val="674,72"/>
        <filter val="70,00"/>
        <filter val="72,00"/>
        <filter val="73,00"/>
        <filter val="73,08"/>
        <filter val="730,00"/>
        <filter val="80,00"/>
        <filter val="84,00"/>
        <filter val="86,67"/>
        <filter val="88,00"/>
        <filter val="9,31"/>
        <filter val="91,03"/>
        <filter val="990,00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9" spans="2:8" x14ac:dyDescent="0.2">
      <c r="B9" s="53" t="s">
        <v>858</v>
      </c>
      <c r="C9" s="53" t="s">
        <v>853</v>
      </c>
      <c r="D9" s="53" t="s">
        <v>46</v>
      </c>
      <c r="E9" s="53" t="s">
        <v>46</v>
      </c>
    </row>
    <row r="11" spans="2:8" x14ac:dyDescent="0.2">
      <c r="B11" s="53" t="s">
        <v>858</v>
      </c>
      <c r="C11" s="53" t="s">
        <v>856</v>
      </c>
      <c r="D11" s="53" t="s">
        <v>46</v>
      </c>
      <c r="E11" s="53" t="s">
        <v>46</v>
      </c>
    </row>
    <row r="13" spans="2:8" x14ac:dyDescent="0.2">
      <c r="B13" s="53" t="s">
        <v>859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869</v>
      </c>
      <c r="C23" s="53" t="s">
        <v>46</v>
      </c>
      <c r="D23" s="53" t="s">
        <v>46</v>
      </c>
      <c r="E23" s="53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2026-10-14T12:50:10Z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