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2D9901E-4513-4385-81AC-29EA2FB0E29A}" xr6:coauthVersionLast="47" xr6:coauthVersionMax="47" xr10:uidLastSave="{00000000-0000-0000-0000-000000000000}"/>
  <bookViews>
    <workbookView xWindow="45" yWindow="0" windowWidth="23340" windowHeight="15405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заказа'!$A$17:$BC$118</definedName>
    <definedName name="CodeProxySet">Setting!$E$21:$E$22</definedName>
    <definedName name="Comment">'Бланк заказа'!$I$5</definedName>
    <definedName name="ContactInformation">'Бланк заказа'!$A$12</definedName>
    <definedName name="CustAccount">'Бланк заказа'!$S$9</definedName>
    <definedName name="CustName">'Бланк заказа'!$S$6</definedName>
    <definedName name="DateFrom">'Бланк заказа'!$Q$1:$R$1</definedName>
    <definedName name="DeliveryAddress">'Бланк заказа'!$E$6</definedName>
    <definedName name="DeliveryAdressList">Setting!$B$6:$B$8</definedName>
    <definedName name="DeliveryCodeAdressList">Setting!$C$6:$C$8</definedName>
    <definedName name="DeliveryConditions">'Бланк заказа'!$S$11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заказа'!$S$5</definedName>
    <definedName name="FileCodeCheck">Setting!$G$1</definedName>
    <definedName name="FIOProxy">'Бланк заказа'!$I$9:$K$9</definedName>
    <definedName name="FIOProxySet">Setting!$C$21:$C$22</definedName>
    <definedName name="IOSG1">Setting!$B$16:$B$16</definedName>
    <definedName name="IOSG2">Setting!$B$17:$B$17</definedName>
    <definedName name="IOSG3">Setting!$B$18:$B$18</definedName>
    <definedName name="IOSG4">Setting!$B$19:$B$19</definedName>
    <definedName name="IOSG5">Setting!$B$20:$B$20</definedName>
    <definedName name="LoadDate">'Бланк заказа'!$Q$5</definedName>
    <definedName name="LoadTime">'Бланк заказа'!$Q$8</definedName>
    <definedName name="NumProxy">'Бланк заказа'!$E$10:$F$10</definedName>
    <definedName name="NumProxySet">Setting!$B$21:$B$22</definedName>
    <definedName name="PassportProxy">'Бланк заказа'!$M$9:$N$9</definedName>
    <definedName name="PassportProxySet">Setting!$D$21:$D$22</definedName>
    <definedName name="ProductId1">'Бланк заказа'!$B$21:$B$21</definedName>
    <definedName name="ProductId10">'Бланк заказа'!$B$61:$B$61</definedName>
    <definedName name="ProductId11">'Бланк заказа'!$B$65:$B$65</definedName>
    <definedName name="ProductId12">'Бланк заказа'!$B$70:$B$70</definedName>
    <definedName name="ProductId13">'Бланк заказа'!$B$75:$B$75</definedName>
    <definedName name="ProductId14">'Бланк заказа'!$B$79:$B$79</definedName>
    <definedName name="ProductId15">'Бланк заказа'!$B$84:$B$84</definedName>
    <definedName name="ProductId16">'Бланк заказа'!$B$89:$B$89</definedName>
    <definedName name="ProductId17">'Бланк заказа'!$B$90:$B$90</definedName>
    <definedName name="ProductId18">'Бланк заказа'!$B$94:$B$94</definedName>
    <definedName name="ProductId19">'Бланк заказа'!$B$95:$B$95</definedName>
    <definedName name="ProductId2">'Бланк заказа'!$B$27:$B$27</definedName>
    <definedName name="ProductId20">'Бланк заказа'!$B$100:$B$100</definedName>
    <definedName name="ProductId21">'Бланк заказа'!$B$104:$B$104</definedName>
    <definedName name="ProductId22">'Бланк заказа'!$B$110:$B$110</definedName>
    <definedName name="ProductId3">'Бланк заказа'!$B$33:$B$33</definedName>
    <definedName name="ProductId4">'Бланк заказа'!$B$38:$B$38</definedName>
    <definedName name="ProductId5">'Бланк заказа'!$B$43:$B$43</definedName>
    <definedName name="ProductId6">'Бланк заказа'!$B$44:$B$44</definedName>
    <definedName name="ProductId7">'Бланк заказа'!$B$49:$B$49</definedName>
    <definedName name="ProductId8">'Бланк заказа'!$B$54:$B$54</definedName>
    <definedName name="ProductId9">'Бланк заказа'!$B$55:$B$55</definedName>
    <definedName name="Proxy">Setting!$B$21:$E$22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_1">'Бланк заказа'!$U$21:$U$21</definedName>
    <definedName name="SalesQty1_2">'Бланк заказа'!$W$21:$W$21</definedName>
    <definedName name="SalesQty1_3">'Бланк заказа'!$Y$21:$Y$21</definedName>
    <definedName name="SalesQty1_4">'Бланк заказа'!$AA$21:$AA$21</definedName>
    <definedName name="SalesQty1_5">'Бланк заказа'!$AC$21:$AC$21</definedName>
    <definedName name="SalesQty10_1">'Бланк заказа'!$U$61:$U$61</definedName>
    <definedName name="SalesQty10_2">'Бланк заказа'!$W$61:$W$61</definedName>
    <definedName name="SalesQty10_3">'Бланк заказа'!$Y$61:$Y$61</definedName>
    <definedName name="SalesQty10_4">'Бланк заказа'!$AA$61:$AA$61</definedName>
    <definedName name="SalesQty10_5">'Бланк заказа'!$AC$61:$AC$61</definedName>
    <definedName name="SalesQty11_1">'Бланк заказа'!$U$65:$U$65</definedName>
    <definedName name="SalesQty11_2">'Бланк заказа'!$W$65:$W$65</definedName>
    <definedName name="SalesQty11_3">'Бланк заказа'!$Y$65:$Y$65</definedName>
    <definedName name="SalesQty11_4">'Бланк заказа'!$AA$65:$AA$65</definedName>
    <definedName name="SalesQty11_5">'Бланк заказа'!$AC$65:$AC$65</definedName>
    <definedName name="SalesQty12_1">'Бланк заказа'!$U$70:$U$70</definedName>
    <definedName name="SalesQty12_2">'Бланк заказа'!$W$70:$W$70</definedName>
    <definedName name="SalesQty12_3">'Бланк заказа'!$Y$70:$Y$70</definedName>
    <definedName name="SalesQty12_4">'Бланк заказа'!$AA$70:$AA$70</definedName>
    <definedName name="SalesQty12_5">'Бланк заказа'!$AC$70:$AC$70</definedName>
    <definedName name="SalesQty13_1">'Бланк заказа'!$U$75:$U$75</definedName>
    <definedName name="SalesQty13_2">'Бланк заказа'!$W$75:$W$75</definedName>
    <definedName name="SalesQty13_3">'Бланк заказа'!$Y$75:$Y$75</definedName>
    <definedName name="SalesQty13_4">'Бланк заказа'!$AA$75:$AA$75</definedName>
    <definedName name="SalesQty13_5">'Бланк заказа'!$AC$75:$AC$75</definedName>
    <definedName name="SalesQty14_1">'Бланк заказа'!$U$79:$U$79</definedName>
    <definedName name="SalesQty14_2">'Бланк заказа'!$W$79:$W$79</definedName>
    <definedName name="SalesQty14_3">'Бланк заказа'!$Y$79:$Y$79</definedName>
    <definedName name="SalesQty14_4">'Бланк заказа'!$AA$79:$AA$79</definedName>
    <definedName name="SalesQty14_5">'Бланк заказа'!$AC$79:$AC$79</definedName>
    <definedName name="SalesQty15_1">'Бланк заказа'!$U$84:$U$84</definedName>
    <definedName name="SalesQty15_2">'Бланк заказа'!$W$84:$W$84</definedName>
    <definedName name="SalesQty15_3">'Бланк заказа'!$Y$84:$Y$84</definedName>
    <definedName name="SalesQty15_4">'Бланк заказа'!$AA$84:$AA$84</definedName>
    <definedName name="SalesQty15_5">'Бланк заказа'!$AC$84:$AC$84</definedName>
    <definedName name="SalesQty16_1">'Бланк заказа'!$U$89:$U$89</definedName>
    <definedName name="SalesQty16_2">'Бланк заказа'!$W$89:$W$89</definedName>
    <definedName name="SalesQty16_3">'Бланк заказа'!$Y$89:$Y$89</definedName>
    <definedName name="SalesQty16_4">'Бланк заказа'!$AA$89:$AA$89</definedName>
    <definedName name="SalesQty16_5">'Бланк заказа'!$AC$89:$AC$89</definedName>
    <definedName name="SalesQty17_1">'Бланк заказа'!$U$90:$U$90</definedName>
    <definedName name="SalesQty17_2">'Бланк заказа'!$W$90:$W$90</definedName>
    <definedName name="SalesQty17_3">'Бланк заказа'!$Y$90:$Y$90</definedName>
    <definedName name="SalesQty17_4">'Бланк заказа'!$AA$90:$AA$90</definedName>
    <definedName name="SalesQty17_5">'Бланк заказа'!$AC$90:$AC$90</definedName>
    <definedName name="SalesQty18_1">'Бланк заказа'!$U$94:$U$94</definedName>
    <definedName name="SalesQty18_2">'Бланк заказа'!$W$94:$W$94</definedName>
    <definedName name="SalesQty18_3">'Бланк заказа'!$Y$94:$Y$94</definedName>
    <definedName name="SalesQty18_4">'Бланк заказа'!$AA$94:$AA$94</definedName>
    <definedName name="SalesQty18_5">'Бланк заказа'!$AC$94:$AC$94</definedName>
    <definedName name="SalesQty19_1">'Бланк заказа'!$U$95:$U$95</definedName>
    <definedName name="SalesQty19_2">'Бланк заказа'!$W$95:$W$95</definedName>
    <definedName name="SalesQty19_3">'Бланк заказа'!$Y$95:$Y$95</definedName>
    <definedName name="SalesQty19_4">'Бланк заказа'!$AA$95:$AA$95</definedName>
    <definedName name="SalesQty19_5">'Бланк заказа'!$AC$95:$AC$95</definedName>
    <definedName name="SalesQty2_1">'Бланк заказа'!$U$27:$U$27</definedName>
    <definedName name="SalesQty2_2">'Бланк заказа'!$W$27:$W$27</definedName>
    <definedName name="SalesQty2_3">'Бланк заказа'!$Y$27:$Y$27</definedName>
    <definedName name="SalesQty2_4">'Бланк заказа'!$AA$27:$AA$27</definedName>
    <definedName name="SalesQty2_5">'Бланк заказа'!$AC$27:$AC$27</definedName>
    <definedName name="SalesQty20_1">'Бланк заказа'!$U$100:$U$100</definedName>
    <definedName name="SalesQty20_2">'Бланк заказа'!$W$100:$W$100</definedName>
    <definedName name="SalesQty20_3">'Бланк заказа'!$Y$100:$Y$100</definedName>
    <definedName name="SalesQty20_4">'Бланк заказа'!$AA$100:$AA$100</definedName>
    <definedName name="SalesQty20_5">'Бланк заказа'!$AC$100:$AC$100</definedName>
    <definedName name="SalesQty21_1">'Бланк заказа'!$U$104:$U$104</definedName>
    <definedName name="SalesQty21_2">'Бланк заказа'!$W$104:$W$104</definedName>
    <definedName name="SalesQty21_3">'Бланк заказа'!$Y$104:$Y$104</definedName>
    <definedName name="SalesQty21_4">'Бланк заказа'!$AA$104:$AA$104</definedName>
    <definedName name="SalesQty21_5">'Бланк заказа'!$AC$104:$AC$104</definedName>
    <definedName name="SalesQty22_1">'Бланк заказа'!$U$110:$U$110</definedName>
    <definedName name="SalesQty22_2">'Бланк заказа'!$W$110:$W$110</definedName>
    <definedName name="SalesQty22_3">'Бланк заказа'!$Y$110:$Y$110</definedName>
    <definedName name="SalesQty22_4">'Бланк заказа'!$AA$110:$AA$110</definedName>
    <definedName name="SalesQty22_5">'Бланк заказа'!$AC$110:$AC$110</definedName>
    <definedName name="SalesQty3_1">'Бланк заказа'!$U$33:$U$33</definedName>
    <definedName name="SalesQty3_2">'Бланк заказа'!$W$33:$W$33</definedName>
    <definedName name="SalesQty3_3">'Бланк заказа'!$Y$33:$Y$33</definedName>
    <definedName name="SalesQty3_4">'Бланк заказа'!$AA$33:$AA$33</definedName>
    <definedName name="SalesQty3_5">'Бланк заказа'!$AC$33:$AC$33</definedName>
    <definedName name="SalesQty4_1">'Бланк заказа'!$U$38:$U$38</definedName>
    <definedName name="SalesQty4_2">'Бланк заказа'!$W$38:$W$38</definedName>
    <definedName name="SalesQty4_3">'Бланк заказа'!$Y$38:$Y$38</definedName>
    <definedName name="SalesQty4_4">'Бланк заказа'!$AA$38:$AA$38</definedName>
    <definedName name="SalesQty4_5">'Бланк заказа'!$AC$38:$AC$38</definedName>
    <definedName name="SalesQty5_1">'Бланк заказа'!$U$43:$U$43</definedName>
    <definedName name="SalesQty5_2">'Бланк заказа'!$W$43:$W$43</definedName>
    <definedName name="SalesQty5_3">'Бланк заказа'!$Y$43:$Y$43</definedName>
    <definedName name="SalesQty5_4">'Бланк заказа'!$AA$43:$AA$43</definedName>
    <definedName name="SalesQty5_5">'Бланк заказа'!$AC$43:$AC$43</definedName>
    <definedName name="SalesQty6_1">'Бланк заказа'!$U$44:$U$44</definedName>
    <definedName name="SalesQty6_2">'Бланк заказа'!$W$44:$W$44</definedName>
    <definedName name="SalesQty6_3">'Бланк заказа'!$Y$44:$Y$44</definedName>
    <definedName name="SalesQty6_4">'Бланк заказа'!$AA$44:$AA$44</definedName>
    <definedName name="SalesQty6_5">'Бланк заказа'!$AC$44:$AC$44</definedName>
    <definedName name="SalesQty7_1">'Бланк заказа'!$U$49:$U$49</definedName>
    <definedName name="SalesQty7_2">'Бланк заказа'!$W$49:$W$49</definedName>
    <definedName name="SalesQty7_3">'Бланк заказа'!$Y$49:$Y$49</definedName>
    <definedName name="SalesQty7_4">'Бланк заказа'!$AA$49:$AA$49</definedName>
    <definedName name="SalesQty7_5">'Бланк заказа'!$AC$49:$AC$49</definedName>
    <definedName name="SalesQty8_1">'Бланк заказа'!$U$54:$U$54</definedName>
    <definedName name="SalesQty8_2">'Бланк заказа'!$W$54:$W$54</definedName>
    <definedName name="SalesQty8_3">'Бланк заказа'!$Y$54:$Y$54</definedName>
    <definedName name="SalesQty8_4">'Бланк заказа'!$AA$54:$AA$54</definedName>
    <definedName name="SalesQty8_5">'Бланк заказа'!$AC$54:$AC$54</definedName>
    <definedName name="SalesQty9_1">'Бланк заказа'!$U$55:$U$55</definedName>
    <definedName name="SalesQty9_2">'Бланк заказа'!$W$55:$W$55</definedName>
    <definedName name="SalesQty9_3">'Бланк заказа'!$Y$55:$Y$55</definedName>
    <definedName name="SalesQty9_4">'Бланк заказа'!$AA$55:$AA$55</definedName>
    <definedName name="SalesQty9_5">'Бланк заказа'!$AC$55:$AC$55</definedName>
    <definedName name="SalesRequestType">'Бланк заказа'!$S$10</definedName>
    <definedName name="SalesRoundBox1_1">'Бланк заказа'!$V$21:$V$21</definedName>
    <definedName name="SalesRoundBox1_2">'Бланк заказа'!$X$21:$X$21</definedName>
    <definedName name="SalesRoundBox1_3">'Бланк заказа'!$Z$21:$Z$21</definedName>
    <definedName name="SalesRoundBox1_4">'Бланк заказа'!$AB$21:$AB$21</definedName>
    <definedName name="SalesRoundBox1_5">'Бланк заказа'!$AD$21:$AD$21</definedName>
    <definedName name="SalesRoundBox10_1">'Бланк заказа'!$V$61:$V$61</definedName>
    <definedName name="SalesRoundBox10_2">'Бланк заказа'!$X$61:$X$61</definedName>
    <definedName name="SalesRoundBox10_3">'Бланк заказа'!$Z$61:$Z$61</definedName>
    <definedName name="SalesRoundBox10_4">'Бланк заказа'!$AB$61:$AB$61</definedName>
    <definedName name="SalesRoundBox10_5">'Бланк заказа'!$AD$61:$AD$61</definedName>
    <definedName name="SalesRoundBox11_1">'Бланк заказа'!$V$65:$V$65</definedName>
    <definedName name="SalesRoundBox11_2">'Бланк заказа'!$X$65:$X$65</definedName>
    <definedName name="SalesRoundBox11_3">'Бланк заказа'!$Z$65:$Z$65</definedName>
    <definedName name="SalesRoundBox11_4">'Бланк заказа'!$AB$65:$AB$65</definedName>
    <definedName name="SalesRoundBox11_5">'Бланк заказа'!$AD$65:$AD$65</definedName>
    <definedName name="SalesRoundBox12_1">'Бланк заказа'!$V$70:$V$70</definedName>
    <definedName name="SalesRoundBox12_2">'Бланк заказа'!$X$70:$X$70</definedName>
    <definedName name="SalesRoundBox12_3">'Бланк заказа'!$Z$70:$Z$70</definedName>
    <definedName name="SalesRoundBox12_4">'Бланк заказа'!$AB$70:$AB$70</definedName>
    <definedName name="SalesRoundBox12_5">'Бланк заказа'!$AD$70:$AD$70</definedName>
    <definedName name="SalesRoundBox13_1">'Бланк заказа'!$V$75:$V$75</definedName>
    <definedName name="SalesRoundBox13_2">'Бланк заказа'!$X$75:$X$75</definedName>
    <definedName name="SalesRoundBox13_3">'Бланк заказа'!$Z$75:$Z$75</definedName>
    <definedName name="SalesRoundBox13_4">'Бланк заказа'!$AB$75:$AB$75</definedName>
    <definedName name="SalesRoundBox13_5">'Бланк заказа'!$AD$75:$AD$75</definedName>
    <definedName name="SalesRoundBox14_1">'Бланк заказа'!$V$79:$V$79</definedName>
    <definedName name="SalesRoundBox14_2">'Бланк заказа'!$X$79:$X$79</definedName>
    <definedName name="SalesRoundBox14_3">'Бланк заказа'!$Z$79:$Z$79</definedName>
    <definedName name="SalesRoundBox14_4">'Бланк заказа'!$AB$79:$AB$79</definedName>
    <definedName name="SalesRoundBox14_5">'Бланк заказа'!$AD$79:$AD$79</definedName>
    <definedName name="SalesRoundBox15_1">'Бланк заказа'!$V$84:$V$84</definedName>
    <definedName name="SalesRoundBox15_2">'Бланк заказа'!$X$84:$X$84</definedName>
    <definedName name="SalesRoundBox15_3">'Бланк заказа'!$Z$84:$Z$84</definedName>
    <definedName name="SalesRoundBox15_4">'Бланк заказа'!$AB$84:$AB$84</definedName>
    <definedName name="SalesRoundBox15_5">'Бланк заказа'!$AD$84:$AD$84</definedName>
    <definedName name="SalesRoundBox16_1">'Бланк заказа'!$V$89:$V$89</definedName>
    <definedName name="SalesRoundBox16_2">'Бланк заказа'!$X$89:$X$89</definedName>
    <definedName name="SalesRoundBox16_3">'Бланк заказа'!$Z$89:$Z$89</definedName>
    <definedName name="SalesRoundBox16_4">'Бланк заказа'!$AB$89:$AB$89</definedName>
    <definedName name="SalesRoundBox16_5">'Бланк заказа'!$AD$89:$AD$89</definedName>
    <definedName name="SalesRoundBox17_1">'Бланк заказа'!$V$90:$V$90</definedName>
    <definedName name="SalesRoundBox17_2">'Бланк заказа'!$X$90:$X$90</definedName>
    <definedName name="SalesRoundBox17_3">'Бланк заказа'!$Z$90:$Z$90</definedName>
    <definedName name="SalesRoundBox17_4">'Бланк заказа'!$AB$90:$AB$90</definedName>
    <definedName name="SalesRoundBox17_5">'Бланк заказа'!$AD$90:$AD$90</definedName>
    <definedName name="SalesRoundBox18_1">'Бланк заказа'!$V$94:$V$94</definedName>
    <definedName name="SalesRoundBox18_2">'Бланк заказа'!$X$94:$X$94</definedName>
    <definedName name="SalesRoundBox18_3">'Бланк заказа'!$Z$94:$Z$94</definedName>
    <definedName name="SalesRoundBox18_4">'Бланк заказа'!$AB$94:$AB$94</definedName>
    <definedName name="SalesRoundBox18_5">'Бланк заказа'!$AD$94:$AD$94</definedName>
    <definedName name="SalesRoundBox19_1">'Бланк заказа'!$V$95:$V$95</definedName>
    <definedName name="SalesRoundBox19_2">'Бланк заказа'!$X$95:$X$95</definedName>
    <definedName name="SalesRoundBox19_3">'Бланк заказа'!$Z$95:$Z$95</definedName>
    <definedName name="SalesRoundBox19_4">'Бланк заказа'!$AB$95:$AB$95</definedName>
    <definedName name="SalesRoundBox19_5">'Бланк заказа'!$AD$95:$AD$95</definedName>
    <definedName name="SalesRoundBox2_1">'Бланк заказа'!$V$27:$V$27</definedName>
    <definedName name="SalesRoundBox2_2">'Бланк заказа'!$X$27:$X$27</definedName>
    <definedName name="SalesRoundBox2_3">'Бланк заказа'!$Z$27:$Z$27</definedName>
    <definedName name="SalesRoundBox2_4">'Бланк заказа'!$AB$27:$AB$27</definedName>
    <definedName name="SalesRoundBox2_5">'Бланк заказа'!$AD$27:$AD$27</definedName>
    <definedName name="SalesRoundBox20_1">'Бланк заказа'!$V$100:$V$100</definedName>
    <definedName name="SalesRoundBox20_2">'Бланк заказа'!$X$100:$X$100</definedName>
    <definedName name="SalesRoundBox20_3">'Бланк заказа'!$Z$100:$Z$100</definedName>
    <definedName name="SalesRoundBox20_4">'Бланк заказа'!$AB$100:$AB$100</definedName>
    <definedName name="SalesRoundBox20_5">'Бланк заказа'!$AD$100:$AD$100</definedName>
    <definedName name="SalesRoundBox21_1">'Бланк заказа'!$V$104:$V$104</definedName>
    <definedName name="SalesRoundBox21_2">'Бланк заказа'!$X$104:$X$104</definedName>
    <definedName name="SalesRoundBox21_3">'Бланк заказа'!$Z$104:$Z$104</definedName>
    <definedName name="SalesRoundBox21_4">'Бланк заказа'!$AB$104:$AB$104</definedName>
    <definedName name="SalesRoundBox21_5">'Бланк заказа'!$AD$104:$AD$104</definedName>
    <definedName name="SalesRoundBox22_1">'Бланк заказа'!$V$110:$V$110</definedName>
    <definedName name="SalesRoundBox22_2">'Бланк заказа'!$X$110:$X$110</definedName>
    <definedName name="SalesRoundBox22_3">'Бланк заказа'!$Z$110:$Z$110</definedName>
    <definedName name="SalesRoundBox22_4">'Бланк заказа'!$AB$110:$AB$110</definedName>
    <definedName name="SalesRoundBox22_5">'Бланк заказа'!$AD$110:$AD$110</definedName>
    <definedName name="SalesRoundBox3_1">'Бланк заказа'!$V$33:$V$33</definedName>
    <definedName name="SalesRoundBox3_2">'Бланк заказа'!$X$33:$X$33</definedName>
    <definedName name="SalesRoundBox3_3">'Бланк заказа'!$Z$33:$Z$33</definedName>
    <definedName name="SalesRoundBox3_4">'Бланк заказа'!$AB$33:$AB$33</definedName>
    <definedName name="SalesRoundBox3_5">'Бланк заказа'!$AD$33:$AD$33</definedName>
    <definedName name="SalesRoundBox4_1">'Бланк заказа'!$V$38:$V$38</definedName>
    <definedName name="SalesRoundBox4_2">'Бланк заказа'!$X$38:$X$38</definedName>
    <definedName name="SalesRoundBox4_3">'Бланк заказа'!$Z$38:$Z$38</definedName>
    <definedName name="SalesRoundBox4_4">'Бланк заказа'!$AB$38:$AB$38</definedName>
    <definedName name="SalesRoundBox4_5">'Бланк заказа'!$AD$38:$AD$38</definedName>
    <definedName name="SalesRoundBox5_1">'Бланк заказа'!$V$43:$V$43</definedName>
    <definedName name="SalesRoundBox5_2">'Бланк заказа'!$X$43:$X$43</definedName>
    <definedName name="SalesRoundBox5_3">'Бланк заказа'!$Z$43:$Z$43</definedName>
    <definedName name="SalesRoundBox5_4">'Бланк заказа'!$AB$43:$AB$43</definedName>
    <definedName name="SalesRoundBox5_5">'Бланк заказа'!$AD$43:$AD$43</definedName>
    <definedName name="SalesRoundBox6_1">'Бланк заказа'!$V$44:$V$44</definedName>
    <definedName name="SalesRoundBox6_2">'Бланк заказа'!$X$44:$X$44</definedName>
    <definedName name="SalesRoundBox6_3">'Бланк заказа'!$Z$44:$Z$44</definedName>
    <definedName name="SalesRoundBox6_4">'Бланк заказа'!$AB$44:$AB$44</definedName>
    <definedName name="SalesRoundBox6_5">'Бланк заказа'!$AD$44:$AD$44</definedName>
    <definedName name="SalesRoundBox7_1">'Бланк заказа'!$V$49:$V$49</definedName>
    <definedName name="SalesRoundBox7_2">'Бланк заказа'!$X$49:$X$49</definedName>
    <definedName name="SalesRoundBox7_3">'Бланк заказа'!$Z$49:$Z$49</definedName>
    <definedName name="SalesRoundBox7_4">'Бланк заказа'!$AB$49:$AB$49</definedName>
    <definedName name="SalesRoundBox7_5">'Бланк заказа'!$AD$49:$AD$49</definedName>
    <definedName name="SalesRoundBox8_1">'Бланк заказа'!$V$54:$V$54</definedName>
    <definedName name="SalesRoundBox8_2">'Бланк заказа'!$X$54:$X$54</definedName>
    <definedName name="SalesRoundBox8_3">'Бланк заказа'!$Z$54:$Z$54</definedName>
    <definedName name="SalesRoundBox8_4">'Бланк заказа'!$AB$54:$AB$54</definedName>
    <definedName name="SalesRoundBox8_5">'Бланк заказа'!$AD$54:$AD$54</definedName>
    <definedName name="SalesRoundBox9_1">'Бланк заказа'!$V$55:$V$55</definedName>
    <definedName name="SalesRoundBox9_2">'Бланк заказа'!$X$55:$X$55</definedName>
    <definedName name="SalesRoundBox9_3">'Бланк заказа'!$Z$55:$Z$55</definedName>
    <definedName name="SalesRoundBox9_4">'Бланк заказа'!$AB$55:$AB$55</definedName>
    <definedName name="SalesRoundBox9_5">'Бланк заказа'!$AD$55:$AD$55</definedName>
    <definedName name="Table">Setting!$B$6:$D$8</definedName>
    <definedName name="TemplateProductType">'Бланк заказа'!$F$1</definedName>
    <definedName name="TypeProxy">'Бланк заказа'!$E$9:$F$9</definedName>
    <definedName name="UnitOfMeasure1">'Бланк заказа'!$T$21:$T$21</definedName>
    <definedName name="UnitOfMeasure10">'Бланк заказа'!$T$61:$T$61</definedName>
    <definedName name="UnitOfMeasure11">'Бланк заказа'!$T$65:$T$65</definedName>
    <definedName name="UnitOfMeasure12">'Бланк заказа'!$T$70:$T$70</definedName>
    <definedName name="UnitOfMeasure13">'Бланк заказа'!$T$75:$T$75</definedName>
    <definedName name="UnitOfMeasure14">'Бланк заказа'!$T$79:$T$79</definedName>
    <definedName name="UnitOfMeasure15">'Бланк заказа'!$T$84:$T$84</definedName>
    <definedName name="UnitOfMeasure16">'Бланк заказа'!$T$89:$T$89</definedName>
    <definedName name="UnitOfMeasure17">'Бланк заказа'!$T$90:$T$90</definedName>
    <definedName name="UnitOfMeasure18">'Бланк заказа'!$T$94:$T$94</definedName>
    <definedName name="UnitOfMeasure19">'Бланк заказа'!$T$95:$T$95</definedName>
    <definedName name="UnitOfMeasure2">'Бланк заказа'!$T$27:$T$27</definedName>
    <definedName name="UnitOfMeasure20">'Бланк заказа'!$T$100:$T$100</definedName>
    <definedName name="UnitOfMeasure21">'Бланк заказа'!$T$104:$T$104</definedName>
    <definedName name="UnitOfMeasure22">'Бланк заказа'!$T$110:$T$110</definedName>
    <definedName name="UnitOfMeasure3">'Бланк заказа'!$T$33:$T$33</definedName>
    <definedName name="UnitOfMeasure4">'Бланк заказа'!$T$38:$T$38</definedName>
    <definedName name="UnitOfMeasure5">'Бланк заказа'!$T$43:$T$43</definedName>
    <definedName name="UnitOfMeasure6">'Бланк заказа'!$T$44:$T$44</definedName>
    <definedName name="UnitOfMeasure7">'Бланк заказа'!$T$49:$T$49</definedName>
    <definedName name="UnitOfMeasure8">'Бланк заказа'!$T$54:$T$54</definedName>
    <definedName name="UnitOfMeasure9">'Бланк заказа'!$T$55:$T$55</definedName>
    <definedName name="UnloadAddress">'Бланк заказа'!$E$8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C112" i="2" l="1"/>
  <c r="AA112" i="2"/>
  <c r="Y112" i="2"/>
  <c r="W112" i="2"/>
  <c r="U112" i="2"/>
  <c r="AC111" i="2"/>
  <c r="AA111" i="2"/>
  <c r="Y111" i="2"/>
  <c r="W111" i="2"/>
  <c r="U111" i="2"/>
  <c r="CI110" i="2"/>
  <c r="CG110" i="2"/>
  <c r="CE110" i="2"/>
  <c r="CC110" i="2"/>
  <c r="CA110" i="2"/>
  <c r="BY110" i="2"/>
  <c r="BW110" i="2"/>
  <c r="BU110" i="2"/>
  <c r="BS110" i="2"/>
  <c r="BQ110" i="2"/>
  <c r="AD110" i="2"/>
  <c r="AD111" i="2" s="1"/>
  <c r="AB110" i="2"/>
  <c r="CF110" i="2" s="1"/>
  <c r="Z110" i="2"/>
  <c r="CB110" i="2" s="1"/>
  <c r="X110" i="2"/>
  <c r="X111" i="2" s="1"/>
  <c r="V110" i="2"/>
  <c r="O110" i="2"/>
  <c r="AC106" i="2"/>
  <c r="AA106" i="2"/>
  <c r="Y106" i="2"/>
  <c r="W106" i="2"/>
  <c r="U106" i="2"/>
  <c r="AC105" i="2"/>
  <c r="AA105" i="2"/>
  <c r="Y105" i="2"/>
  <c r="W105" i="2"/>
  <c r="U105" i="2"/>
  <c r="CI104" i="2"/>
  <c r="CG104" i="2"/>
  <c r="CE104" i="2"/>
  <c r="CC104" i="2"/>
  <c r="CA104" i="2"/>
  <c r="BY104" i="2"/>
  <c r="BW104" i="2"/>
  <c r="BU104" i="2"/>
  <c r="BS104" i="2"/>
  <c r="BQ104" i="2"/>
  <c r="AD104" i="2"/>
  <c r="AD106" i="2" s="1"/>
  <c r="AB104" i="2"/>
  <c r="CF104" i="2" s="1"/>
  <c r="Z104" i="2"/>
  <c r="Z106" i="2" s="1"/>
  <c r="X104" i="2"/>
  <c r="X106" i="2" s="1"/>
  <c r="V104" i="2"/>
  <c r="V105" i="2" s="1"/>
  <c r="O104" i="2"/>
  <c r="AC102" i="2"/>
  <c r="AA102" i="2"/>
  <c r="Y102" i="2"/>
  <c r="W102" i="2"/>
  <c r="U102" i="2"/>
  <c r="AC101" i="2"/>
  <c r="AA101" i="2"/>
  <c r="Y101" i="2"/>
  <c r="W101" i="2"/>
  <c r="U101" i="2"/>
  <c r="CI100" i="2"/>
  <c r="CG100" i="2"/>
  <c r="CE100" i="2"/>
  <c r="CC100" i="2"/>
  <c r="CA100" i="2"/>
  <c r="BY100" i="2"/>
  <c r="BW100" i="2"/>
  <c r="BU100" i="2"/>
  <c r="BS100" i="2"/>
  <c r="BQ100" i="2"/>
  <c r="AD100" i="2"/>
  <c r="AD101" i="2" s="1"/>
  <c r="AB100" i="2"/>
  <c r="AB102" i="2" s="1"/>
  <c r="Z100" i="2"/>
  <c r="Z102" i="2" s="1"/>
  <c r="X100" i="2"/>
  <c r="V100" i="2"/>
  <c r="BR100" i="2" s="1"/>
  <c r="O100" i="2"/>
  <c r="AC97" i="2"/>
  <c r="AA97" i="2"/>
  <c r="Y97" i="2"/>
  <c r="W97" i="2"/>
  <c r="U97" i="2"/>
  <c r="AC96" i="2"/>
  <c r="AA96" i="2"/>
  <c r="Y96" i="2"/>
  <c r="W96" i="2"/>
  <c r="U96" i="2"/>
  <c r="CI95" i="2"/>
  <c r="CG95" i="2"/>
  <c r="CE95" i="2"/>
  <c r="CC95" i="2"/>
  <c r="CA95" i="2"/>
  <c r="BY95" i="2"/>
  <c r="BW95" i="2"/>
  <c r="BU95" i="2"/>
  <c r="BS95" i="2"/>
  <c r="BQ95" i="2"/>
  <c r="AD95" i="2"/>
  <c r="CH95" i="2" s="1"/>
  <c r="AB95" i="2"/>
  <c r="CF95" i="2" s="1"/>
  <c r="Z95" i="2"/>
  <c r="BZ95" i="2" s="1"/>
  <c r="X95" i="2"/>
  <c r="V95" i="2"/>
  <c r="BT95" i="2" s="1"/>
  <c r="O95" i="2"/>
  <c r="CI94" i="2"/>
  <c r="CG94" i="2"/>
  <c r="CE94" i="2"/>
  <c r="CC94" i="2"/>
  <c r="CA94" i="2"/>
  <c r="BY94" i="2"/>
  <c r="BW94" i="2"/>
  <c r="BU94" i="2"/>
  <c r="BS94" i="2"/>
  <c r="BQ94" i="2"/>
  <c r="AD94" i="2"/>
  <c r="CH94" i="2" s="1"/>
  <c r="AB94" i="2"/>
  <c r="CF94" i="2" s="1"/>
  <c r="Z94" i="2"/>
  <c r="CB94" i="2" s="1"/>
  <c r="X94" i="2"/>
  <c r="BV94" i="2" s="1"/>
  <c r="V94" i="2"/>
  <c r="O94" i="2"/>
  <c r="AC92" i="2"/>
  <c r="AA92" i="2"/>
  <c r="Y92" i="2"/>
  <c r="W92" i="2"/>
  <c r="U92" i="2"/>
  <c r="AC91" i="2"/>
  <c r="AA91" i="2"/>
  <c r="Y91" i="2"/>
  <c r="W91" i="2"/>
  <c r="U91" i="2"/>
  <c r="CI90" i="2"/>
  <c r="CG90" i="2"/>
  <c r="CE90" i="2"/>
  <c r="CC90" i="2"/>
  <c r="CA90" i="2"/>
  <c r="BY90" i="2"/>
  <c r="BW90" i="2"/>
  <c r="BU90" i="2"/>
  <c r="BS90" i="2"/>
  <c r="BQ90" i="2"/>
  <c r="AD90" i="2"/>
  <c r="CH90" i="2" s="1"/>
  <c r="AB90" i="2"/>
  <c r="CF90" i="2" s="1"/>
  <c r="Z90" i="2"/>
  <c r="BZ90" i="2" s="1"/>
  <c r="X90" i="2"/>
  <c r="BX90" i="2" s="1"/>
  <c r="V90" i="2"/>
  <c r="BT90" i="2" s="1"/>
  <c r="O90" i="2"/>
  <c r="CI89" i="2"/>
  <c r="CG89" i="2"/>
  <c r="CE89" i="2"/>
  <c r="CC89" i="2"/>
  <c r="CA89" i="2"/>
  <c r="BY89" i="2"/>
  <c r="BW89" i="2"/>
  <c r="BU89" i="2"/>
  <c r="BS89" i="2"/>
  <c r="BQ89" i="2"/>
  <c r="AD89" i="2"/>
  <c r="CJ89" i="2" s="1"/>
  <c r="AB89" i="2"/>
  <c r="Z89" i="2"/>
  <c r="BZ89" i="2" s="1"/>
  <c r="X89" i="2"/>
  <c r="BX89" i="2" s="1"/>
  <c r="V89" i="2"/>
  <c r="O89" i="2"/>
  <c r="AC86" i="2"/>
  <c r="AA86" i="2"/>
  <c r="Y86" i="2"/>
  <c r="W86" i="2"/>
  <c r="U86" i="2"/>
  <c r="AC85" i="2"/>
  <c r="AA85" i="2"/>
  <c r="Y85" i="2"/>
  <c r="W85" i="2"/>
  <c r="U85" i="2"/>
  <c r="CI84" i="2"/>
  <c r="CG84" i="2"/>
  <c r="CE84" i="2"/>
  <c r="CC84" i="2"/>
  <c r="CA84" i="2"/>
  <c r="BY84" i="2"/>
  <c r="BW84" i="2"/>
  <c r="BU84" i="2"/>
  <c r="BS84" i="2"/>
  <c r="BQ84" i="2"/>
  <c r="AD84" i="2"/>
  <c r="AD86" i="2" s="1"/>
  <c r="AB84" i="2"/>
  <c r="AB86" i="2" s="1"/>
  <c r="Z84" i="2"/>
  <c r="Z86" i="2" s="1"/>
  <c r="X84" i="2"/>
  <c r="V84" i="2"/>
  <c r="O84" i="2"/>
  <c r="AC81" i="2"/>
  <c r="AA81" i="2"/>
  <c r="Y81" i="2"/>
  <c r="W81" i="2"/>
  <c r="U81" i="2"/>
  <c r="AC80" i="2"/>
  <c r="AA80" i="2"/>
  <c r="Y80" i="2"/>
  <c r="W80" i="2"/>
  <c r="U80" i="2"/>
  <c r="CI79" i="2"/>
  <c r="CG79" i="2"/>
  <c r="CE79" i="2"/>
  <c r="CC79" i="2"/>
  <c r="CA79" i="2"/>
  <c r="BY79" i="2"/>
  <c r="BW79" i="2"/>
  <c r="BU79" i="2"/>
  <c r="BS79" i="2"/>
  <c r="BQ79" i="2"/>
  <c r="AD79" i="2"/>
  <c r="AD80" i="2" s="1"/>
  <c r="AB79" i="2"/>
  <c r="CF79" i="2" s="1"/>
  <c r="Z79" i="2"/>
  <c r="Z80" i="2" s="1"/>
  <c r="X79" i="2"/>
  <c r="X80" i="2" s="1"/>
  <c r="V79" i="2"/>
  <c r="V81" i="2" s="1"/>
  <c r="O79" i="2"/>
  <c r="AC77" i="2"/>
  <c r="AA77" i="2"/>
  <c r="Y77" i="2"/>
  <c r="W77" i="2"/>
  <c r="U77" i="2"/>
  <c r="AC76" i="2"/>
  <c r="AA76" i="2"/>
  <c r="Y76" i="2"/>
  <c r="W76" i="2"/>
  <c r="U76" i="2"/>
  <c r="CI75" i="2"/>
  <c r="CG75" i="2"/>
  <c r="CE75" i="2"/>
  <c r="CC75" i="2"/>
  <c r="CA75" i="2"/>
  <c r="BY75" i="2"/>
  <c r="BW75" i="2"/>
  <c r="BU75" i="2"/>
  <c r="BS75" i="2"/>
  <c r="BQ75" i="2"/>
  <c r="AD75" i="2"/>
  <c r="AD77" i="2" s="1"/>
  <c r="AB75" i="2"/>
  <c r="CF75" i="2" s="1"/>
  <c r="Z75" i="2"/>
  <c r="Z76" i="2" s="1"/>
  <c r="X75" i="2"/>
  <c r="BX75" i="2" s="1"/>
  <c r="V75" i="2"/>
  <c r="O75" i="2"/>
  <c r="AC72" i="2"/>
  <c r="AA72" i="2"/>
  <c r="Y72" i="2"/>
  <c r="W72" i="2"/>
  <c r="U72" i="2"/>
  <c r="AC71" i="2"/>
  <c r="AA71" i="2"/>
  <c r="Y71" i="2"/>
  <c r="W71" i="2"/>
  <c r="U71" i="2"/>
  <c r="CI70" i="2"/>
  <c r="CG70" i="2"/>
  <c r="CE70" i="2"/>
  <c r="CC70" i="2"/>
  <c r="CA70" i="2"/>
  <c r="BY70" i="2"/>
  <c r="BW70" i="2"/>
  <c r="BU70" i="2"/>
  <c r="BS70" i="2"/>
  <c r="BQ70" i="2"/>
  <c r="AD70" i="2"/>
  <c r="AD72" i="2" s="1"/>
  <c r="AB70" i="2"/>
  <c r="AB72" i="2" s="1"/>
  <c r="Z70" i="2"/>
  <c r="Z72" i="2" s="1"/>
  <c r="X70" i="2"/>
  <c r="V70" i="2"/>
  <c r="BT70" i="2" s="1"/>
  <c r="O70" i="2"/>
  <c r="AC67" i="2"/>
  <c r="AA67" i="2"/>
  <c r="Y67" i="2"/>
  <c r="W67" i="2"/>
  <c r="U67" i="2"/>
  <c r="AC66" i="2"/>
  <c r="AA66" i="2"/>
  <c r="Y66" i="2"/>
  <c r="W66" i="2"/>
  <c r="U66" i="2"/>
  <c r="CI65" i="2"/>
  <c r="CG65" i="2"/>
  <c r="CE65" i="2"/>
  <c r="CC65" i="2"/>
  <c r="CA65" i="2"/>
  <c r="BY65" i="2"/>
  <c r="BW65" i="2"/>
  <c r="BU65" i="2"/>
  <c r="BS65" i="2"/>
  <c r="BQ65" i="2"/>
  <c r="AD65" i="2"/>
  <c r="AD66" i="2" s="1"/>
  <c r="AB65" i="2"/>
  <c r="CF65" i="2" s="1"/>
  <c r="Z65" i="2"/>
  <c r="BZ65" i="2" s="1"/>
  <c r="X65" i="2"/>
  <c r="X66" i="2" s="1"/>
  <c r="V65" i="2"/>
  <c r="V67" i="2" s="1"/>
  <c r="O65" i="2"/>
  <c r="AC63" i="2"/>
  <c r="AA63" i="2"/>
  <c r="Y63" i="2"/>
  <c r="W63" i="2"/>
  <c r="U63" i="2"/>
  <c r="AC62" i="2"/>
  <c r="AA62" i="2"/>
  <c r="Y62" i="2"/>
  <c r="W62" i="2"/>
  <c r="U62" i="2"/>
  <c r="CI61" i="2"/>
  <c r="CG61" i="2"/>
  <c r="CE61" i="2"/>
  <c r="CC61" i="2"/>
  <c r="CA61" i="2"/>
  <c r="BY61" i="2"/>
  <c r="BW61" i="2"/>
  <c r="BU61" i="2"/>
  <c r="BS61" i="2"/>
  <c r="BQ61" i="2"/>
  <c r="AD61" i="2"/>
  <c r="AD63" i="2" s="1"/>
  <c r="AB61" i="2"/>
  <c r="CF61" i="2" s="1"/>
  <c r="Z61" i="2"/>
  <c r="Z63" i="2" s="1"/>
  <c r="X61" i="2"/>
  <c r="BV61" i="2" s="1"/>
  <c r="V61" i="2"/>
  <c r="O61" i="2"/>
  <c r="AC57" i="2"/>
  <c r="AA57" i="2"/>
  <c r="Y57" i="2"/>
  <c r="W57" i="2"/>
  <c r="U57" i="2"/>
  <c r="AC56" i="2"/>
  <c r="AA56" i="2"/>
  <c r="Y56" i="2"/>
  <c r="W56" i="2"/>
  <c r="U56" i="2"/>
  <c r="CI55" i="2"/>
  <c r="CG55" i="2"/>
  <c r="CE55" i="2"/>
  <c r="CC55" i="2"/>
  <c r="CA55" i="2"/>
  <c r="BY55" i="2"/>
  <c r="BW55" i="2"/>
  <c r="BU55" i="2"/>
  <c r="BS55" i="2"/>
  <c r="BQ55" i="2"/>
  <c r="AD55" i="2"/>
  <c r="CH55" i="2" s="1"/>
  <c r="AB55" i="2"/>
  <c r="CF55" i="2" s="1"/>
  <c r="Z55" i="2"/>
  <c r="X55" i="2"/>
  <c r="V55" i="2"/>
  <c r="BT55" i="2" s="1"/>
  <c r="O55" i="2"/>
  <c r="CI54" i="2"/>
  <c r="CG54" i="2"/>
  <c r="CE54" i="2"/>
  <c r="CC54" i="2"/>
  <c r="CA54" i="2"/>
  <c r="BY54" i="2"/>
  <c r="BW54" i="2"/>
  <c r="BU54" i="2"/>
  <c r="BS54" i="2"/>
  <c r="BQ54" i="2"/>
  <c r="AD54" i="2"/>
  <c r="CJ54" i="2" s="1"/>
  <c r="AB54" i="2"/>
  <c r="Z54" i="2"/>
  <c r="CB54" i="2" s="1"/>
  <c r="X54" i="2"/>
  <c r="BX54" i="2" s="1"/>
  <c r="V54" i="2"/>
  <c r="O54" i="2"/>
  <c r="AC51" i="2"/>
  <c r="AA51" i="2"/>
  <c r="Y51" i="2"/>
  <c r="W51" i="2"/>
  <c r="U51" i="2"/>
  <c r="AC50" i="2"/>
  <c r="AA50" i="2"/>
  <c r="Y50" i="2"/>
  <c r="W50" i="2"/>
  <c r="U50" i="2"/>
  <c r="CI49" i="2"/>
  <c r="CG49" i="2"/>
  <c r="CE49" i="2"/>
  <c r="CC49" i="2"/>
  <c r="CA49" i="2"/>
  <c r="BY49" i="2"/>
  <c r="BW49" i="2"/>
  <c r="BU49" i="2"/>
  <c r="BS49" i="2"/>
  <c r="BQ49" i="2"/>
  <c r="AD49" i="2"/>
  <c r="AD51" i="2" s="1"/>
  <c r="AB49" i="2"/>
  <c r="CF49" i="2" s="1"/>
  <c r="Z49" i="2"/>
  <c r="Z50" i="2" s="1"/>
  <c r="X49" i="2"/>
  <c r="X50" i="2" s="1"/>
  <c r="V49" i="2"/>
  <c r="V51" i="2" s="1"/>
  <c r="O49" i="2"/>
  <c r="AC46" i="2"/>
  <c r="AA46" i="2"/>
  <c r="Y46" i="2"/>
  <c r="W46" i="2"/>
  <c r="U46" i="2"/>
  <c r="AC45" i="2"/>
  <c r="AA45" i="2"/>
  <c r="Y45" i="2"/>
  <c r="W45" i="2"/>
  <c r="U45" i="2"/>
  <c r="CI44" i="2"/>
  <c r="CG44" i="2"/>
  <c r="CE44" i="2"/>
  <c r="CC44" i="2"/>
  <c r="CA44" i="2"/>
  <c r="BY44" i="2"/>
  <c r="BW44" i="2"/>
  <c r="BU44" i="2"/>
  <c r="BS44" i="2"/>
  <c r="BQ44" i="2"/>
  <c r="AD44" i="2"/>
  <c r="CH44" i="2" s="1"/>
  <c r="AB44" i="2"/>
  <c r="CF44" i="2" s="1"/>
  <c r="Z44" i="2"/>
  <c r="BZ44" i="2" s="1"/>
  <c r="X44" i="2"/>
  <c r="BX44" i="2" s="1"/>
  <c r="V44" i="2"/>
  <c r="O44" i="2"/>
  <c r="CI43" i="2"/>
  <c r="CG43" i="2"/>
  <c r="CE43" i="2"/>
  <c r="CC43" i="2"/>
  <c r="CA43" i="2"/>
  <c r="BY43" i="2"/>
  <c r="BW43" i="2"/>
  <c r="BU43" i="2"/>
  <c r="BS43" i="2"/>
  <c r="BQ43" i="2"/>
  <c r="AD43" i="2"/>
  <c r="AB43" i="2"/>
  <c r="Z43" i="2"/>
  <c r="BZ43" i="2" s="1"/>
  <c r="X43" i="2"/>
  <c r="V43" i="2"/>
  <c r="BR43" i="2" s="1"/>
  <c r="O43" i="2"/>
  <c r="AC40" i="2"/>
  <c r="AA40" i="2"/>
  <c r="Y40" i="2"/>
  <c r="W40" i="2"/>
  <c r="U40" i="2"/>
  <c r="AC39" i="2"/>
  <c r="AA39" i="2"/>
  <c r="Y39" i="2"/>
  <c r="W39" i="2"/>
  <c r="U39" i="2"/>
  <c r="CI38" i="2"/>
  <c r="CG38" i="2"/>
  <c r="CE38" i="2"/>
  <c r="CC38" i="2"/>
  <c r="CA38" i="2"/>
  <c r="BY38" i="2"/>
  <c r="BW38" i="2"/>
  <c r="BU38" i="2"/>
  <c r="BS38" i="2"/>
  <c r="BQ38" i="2"/>
  <c r="AD38" i="2"/>
  <c r="AD39" i="2" s="1"/>
  <c r="AB38" i="2"/>
  <c r="AB40" i="2" s="1"/>
  <c r="Z38" i="2"/>
  <c r="Z40" i="2" s="1"/>
  <c r="X38" i="2"/>
  <c r="X40" i="2" s="1"/>
  <c r="V38" i="2"/>
  <c r="BT38" i="2" s="1"/>
  <c r="O38" i="2"/>
  <c r="AC35" i="2"/>
  <c r="AA35" i="2"/>
  <c r="Y35" i="2"/>
  <c r="W35" i="2"/>
  <c r="U35" i="2"/>
  <c r="AC34" i="2"/>
  <c r="AA34" i="2"/>
  <c r="Y34" i="2"/>
  <c r="W34" i="2"/>
  <c r="U34" i="2"/>
  <c r="CI33" i="2"/>
  <c r="CG33" i="2"/>
  <c r="CE33" i="2"/>
  <c r="CC33" i="2"/>
  <c r="CA33" i="2"/>
  <c r="BY33" i="2"/>
  <c r="BW33" i="2"/>
  <c r="BU33" i="2"/>
  <c r="BS33" i="2"/>
  <c r="BQ33" i="2"/>
  <c r="AD33" i="2"/>
  <c r="CJ33" i="2" s="1"/>
  <c r="AB33" i="2"/>
  <c r="CD33" i="2" s="1"/>
  <c r="Z33" i="2"/>
  <c r="Z35" i="2" s="1"/>
  <c r="X33" i="2"/>
  <c r="X34" i="2" s="1"/>
  <c r="V33" i="2"/>
  <c r="V35" i="2" s="1"/>
  <c r="O33" i="2"/>
  <c r="AC29" i="2"/>
  <c r="AA29" i="2"/>
  <c r="Y29" i="2"/>
  <c r="W29" i="2"/>
  <c r="U29" i="2"/>
  <c r="AC28" i="2"/>
  <c r="AA28" i="2"/>
  <c r="Y28" i="2"/>
  <c r="W28" i="2"/>
  <c r="U28" i="2"/>
  <c r="CI27" i="2"/>
  <c r="CG27" i="2"/>
  <c r="CE27" i="2"/>
  <c r="CC27" i="2"/>
  <c r="CA27" i="2"/>
  <c r="BY27" i="2"/>
  <c r="BW27" i="2"/>
  <c r="BU27" i="2"/>
  <c r="BS27" i="2"/>
  <c r="BQ27" i="2"/>
  <c r="AD27" i="2"/>
  <c r="AD29" i="2" s="1"/>
  <c r="AB27" i="2"/>
  <c r="CF27" i="2" s="1"/>
  <c r="Z27" i="2"/>
  <c r="Z29" i="2" s="1"/>
  <c r="X27" i="2"/>
  <c r="BV27" i="2" s="1"/>
  <c r="V27" i="2"/>
  <c r="V28" i="2" s="1"/>
  <c r="O27" i="2"/>
  <c r="AC23" i="2"/>
  <c r="AA23" i="2"/>
  <c r="Y23" i="2"/>
  <c r="W23" i="2"/>
  <c r="U23" i="2"/>
  <c r="AC22" i="2"/>
  <c r="AA22" i="2"/>
  <c r="Y22" i="2"/>
  <c r="W22" i="2"/>
  <c r="U22" i="2"/>
  <c r="CI21" i="2"/>
  <c r="CG21" i="2"/>
  <c r="CE21" i="2"/>
  <c r="CC21" i="2"/>
  <c r="CA21" i="2"/>
  <c r="BY21" i="2"/>
  <c r="BW21" i="2"/>
  <c r="BU21" i="2"/>
  <c r="BS21" i="2"/>
  <c r="BQ21" i="2"/>
  <c r="AD21" i="2"/>
  <c r="AD22" i="2" s="1"/>
  <c r="AB21" i="2"/>
  <c r="AB23" i="2" s="1"/>
  <c r="Z21" i="2"/>
  <c r="CB21" i="2" s="1"/>
  <c r="X21" i="2"/>
  <c r="X23" i="2" s="1"/>
  <c r="V21" i="2"/>
  <c r="O21" i="2"/>
  <c r="I10" i="2"/>
  <c r="B9" i="2"/>
  <c r="I9" i="2" s="1"/>
  <c r="E7" i="2"/>
  <c r="Q6" i="2"/>
  <c r="O2" i="2"/>
  <c r="CH54" i="2" l="1"/>
  <c r="AD76" i="2"/>
  <c r="CH75" i="2"/>
  <c r="CH89" i="2"/>
  <c r="AB76" i="2"/>
  <c r="CJ100" i="2"/>
  <c r="AB66" i="2"/>
  <c r="AD34" i="2"/>
  <c r="CH33" i="2"/>
  <c r="AB63" i="2"/>
  <c r="X51" i="2"/>
  <c r="V50" i="2"/>
  <c r="CJ70" i="2"/>
  <c r="AB77" i="2"/>
  <c r="CB95" i="2"/>
  <c r="CD49" i="2"/>
  <c r="AA115" i="2"/>
  <c r="CD38" i="2"/>
  <c r="BR49" i="2"/>
  <c r="BV54" i="2"/>
  <c r="AB62" i="2"/>
  <c r="CJ75" i="2"/>
  <c r="CH84" i="2"/>
  <c r="AD85" i="2"/>
  <c r="CJ55" i="2"/>
  <c r="AB80" i="2"/>
  <c r="CJ84" i="2"/>
  <c r="Z66" i="2"/>
  <c r="V102" i="2"/>
  <c r="CH21" i="2"/>
  <c r="AD35" i="2"/>
  <c r="CB49" i="2"/>
  <c r="BR70" i="2"/>
  <c r="BZ27" i="2"/>
  <c r="X46" i="2"/>
  <c r="CH65" i="2"/>
  <c r="AD71" i="2"/>
  <c r="M123" i="2"/>
  <c r="BV75" i="2"/>
  <c r="V97" i="2"/>
  <c r="V101" i="2"/>
  <c r="E123" i="2"/>
  <c r="CH38" i="2"/>
  <c r="V56" i="2"/>
  <c r="V72" i="2"/>
  <c r="CJ95" i="2"/>
  <c r="B123" i="2"/>
  <c r="CJ21" i="2"/>
  <c r="CJ61" i="2"/>
  <c r="BX61" i="2"/>
  <c r="AE70" i="2"/>
  <c r="AE71" i="2" s="1"/>
  <c r="BZ79" i="2"/>
  <c r="AC113" i="2"/>
  <c r="BR27" i="2"/>
  <c r="AD46" i="2"/>
  <c r="BR55" i="2"/>
  <c r="X63" i="2"/>
  <c r="V71" i="2"/>
  <c r="Z81" i="2"/>
  <c r="CJ104" i="2"/>
  <c r="Y117" i="2"/>
  <c r="BZ33" i="2"/>
  <c r="V39" i="2"/>
  <c r="X62" i="2"/>
  <c r="CB65" i="2"/>
  <c r="Z67" i="2"/>
  <c r="CB79" i="2"/>
  <c r="AD56" i="2"/>
  <c r="U115" i="2"/>
  <c r="AB34" i="2"/>
  <c r="AD67" i="2"/>
  <c r="N123" i="2"/>
  <c r="AE100" i="2"/>
  <c r="AE101" i="2" s="1"/>
  <c r="Q123" i="2"/>
  <c r="BV90" i="2"/>
  <c r="W114" i="2"/>
  <c r="U113" i="2"/>
  <c r="Y115" i="2"/>
  <c r="U117" i="2"/>
  <c r="W113" i="2"/>
  <c r="AB29" i="2"/>
  <c r="CB33" i="2"/>
  <c r="BV43" i="2"/>
  <c r="X45" i="2"/>
  <c r="CH49" i="2"/>
  <c r="AB51" i="2"/>
  <c r="BX79" i="2"/>
  <c r="CH79" i="2"/>
  <c r="V85" i="2"/>
  <c r="AB91" i="2"/>
  <c r="AE94" i="2"/>
  <c r="Z111" i="2"/>
  <c r="BT84" i="2"/>
  <c r="BT94" i="2"/>
  <c r="AC115" i="2"/>
  <c r="Y114" i="2"/>
  <c r="V23" i="2"/>
  <c r="U114" i="2"/>
  <c r="AA114" i="2"/>
  <c r="V22" i="2"/>
  <c r="Y113" i="2"/>
  <c r="BX27" i="2"/>
  <c r="CJ27" i="2"/>
  <c r="AB28" i="2"/>
  <c r="Z34" i="2"/>
  <c r="CJ38" i="2"/>
  <c r="V40" i="2"/>
  <c r="Z45" i="2"/>
  <c r="CH43" i="2"/>
  <c r="CB44" i="2"/>
  <c r="AE49" i="2"/>
  <c r="AE50" i="2" s="1"/>
  <c r="BZ49" i="2"/>
  <c r="AE55" i="2"/>
  <c r="I123" i="2"/>
  <c r="Z62" i="2"/>
  <c r="CJ65" i="2"/>
  <c r="X76" i="2"/>
  <c r="X77" i="2"/>
  <c r="AD81" i="2"/>
  <c r="BR84" i="2"/>
  <c r="CD84" i="2"/>
  <c r="AD92" i="2"/>
  <c r="X96" i="2"/>
  <c r="BX95" i="2"/>
  <c r="AB96" i="2"/>
  <c r="Z105" i="2"/>
  <c r="AB106" i="2"/>
  <c r="BR21" i="2"/>
  <c r="CD21" i="2"/>
  <c r="W117" i="2"/>
  <c r="AA113" i="2"/>
  <c r="AB45" i="2"/>
  <c r="BX43" i="2"/>
  <c r="Z57" i="2"/>
  <c r="CH61" i="2"/>
  <c r="CH70" i="2"/>
  <c r="CJ79" i="2"/>
  <c r="AE90" i="2"/>
  <c r="AD91" i="2"/>
  <c r="CD94" i="2"/>
  <c r="P123" i="2"/>
  <c r="BT100" i="2"/>
  <c r="CH100" i="2"/>
  <c r="BV104" i="2"/>
  <c r="AB105" i="2"/>
  <c r="AA117" i="2"/>
  <c r="BX33" i="2"/>
  <c r="BR38" i="2"/>
  <c r="AD45" i="2"/>
  <c r="G123" i="2"/>
  <c r="AE84" i="2"/>
  <c r="AE85" i="2" s="1"/>
  <c r="BX104" i="2"/>
  <c r="AC117" i="2"/>
  <c r="AE27" i="2"/>
  <c r="AE28" i="2" s="1"/>
  <c r="BT27" i="2"/>
  <c r="X28" i="2"/>
  <c r="X29" i="2"/>
  <c r="AE44" i="2"/>
  <c r="BV44" i="2"/>
  <c r="BT49" i="2"/>
  <c r="BZ61" i="2"/>
  <c r="AD62" i="2"/>
  <c r="O123" i="2"/>
  <c r="BV89" i="2"/>
  <c r="X92" i="2"/>
  <c r="BX110" i="2"/>
  <c r="CJ43" i="2"/>
  <c r="AC114" i="2"/>
  <c r="Z51" i="2"/>
  <c r="AB57" i="2"/>
  <c r="CD55" i="2"/>
  <c r="X91" i="2"/>
  <c r="Z97" i="2"/>
  <c r="BZ104" i="2"/>
  <c r="V57" i="2"/>
  <c r="BT21" i="2"/>
  <c r="W115" i="2"/>
  <c r="Z28" i="2"/>
  <c r="V46" i="2"/>
  <c r="AB50" i="2"/>
  <c r="AD57" i="2"/>
  <c r="BZ54" i="2"/>
  <c r="BX65" i="2"/>
  <c r="BZ75" i="2"/>
  <c r="V86" i="2"/>
  <c r="Z91" i="2"/>
  <c r="CB90" i="2"/>
  <c r="Z92" i="2"/>
  <c r="AD96" i="2"/>
  <c r="BZ94" i="2"/>
  <c r="Z96" i="2"/>
  <c r="X105" i="2"/>
  <c r="BZ110" i="2"/>
  <c r="AD23" i="2"/>
  <c r="X35" i="2"/>
  <c r="AD40" i="2"/>
  <c r="BR44" i="2"/>
  <c r="CJ44" i="2"/>
  <c r="BX49" i="2"/>
  <c r="CD54" i="2"/>
  <c r="X67" i="2"/>
  <c r="X81" i="2"/>
  <c r="BR90" i="2"/>
  <c r="CJ90" i="2"/>
  <c r="BX94" i="2"/>
  <c r="X97" i="2"/>
  <c r="AD102" i="2"/>
  <c r="X112" i="2"/>
  <c r="AE21" i="2"/>
  <c r="AE22" i="2" s="1"/>
  <c r="Z23" i="2"/>
  <c r="CF33" i="2"/>
  <c r="Z46" i="2"/>
  <c r="G9" i="2"/>
  <c r="BV21" i="2"/>
  <c r="X22" i="2"/>
  <c r="CB27" i="2"/>
  <c r="AD28" i="2"/>
  <c r="AE33" i="2"/>
  <c r="AE34" i="2" s="1"/>
  <c r="BV38" i="2"/>
  <c r="X39" i="2"/>
  <c r="CB43" i="2"/>
  <c r="AB46" i="2"/>
  <c r="BV55" i="2"/>
  <c r="X56" i="2"/>
  <c r="CB61" i="2"/>
  <c r="AE65" i="2"/>
  <c r="AE66" i="2" s="1"/>
  <c r="BV70" i="2"/>
  <c r="X71" i="2"/>
  <c r="CB75" i="2"/>
  <c r="AE79" i="2"/>
  <c r="AE80" i="2" s="1"/>
  <c r="BV84" i="2"/>
  <c r="X85" i="2"/>
  <c r="CB89" i="2"/>
  <c r="AB92" i="2"/>
  <c r="AE95" i="2"/>
  <c r="AE96" i="2" s="1"/>
  <c r="BV100" i="2"/>
  <c r="X101" i="2"/>
  <c r="CB104" i="2"/>
  <c r="AD105" i="2"/>
  <c r="AE110" i="2"/>
  <c r="AE111" i="2" s="1"/>
  <c r="CH110" i="2"/>
  <c r="Z112" i="2"/>
  <c r="BT44" i="2"/>
  <c r="V91" i="2"/>
  <c r="M9" i="2"/>
  <c r="BX21" i="2"/>
  <c r="Z22" i="2"/>
  <c r="CD27" i="2"/>
  <c r="BR33" i="2"/>
  <c r="BX38" i="2"/>
  <c r="Z39" i="2"/>
  <c r="CD43" i="2"/>
  <c r="BX55" i="2"/>
  <c r="Z56" i="2"/>
  <c r="CD61" i="2"/>
  <c r="BR65" i="2"/>
  <c r="BX70" i="2"/>
  <c r="Z71" i="2"/>
  <c r="CD75" i="2"/>
  <c r="BR79" i="2"/>
  <c r="BX84" i="2"/>
  <c r="Z85" i="2"/>
  <c r="CD89" i="2"/>
  <c r="BR95" i="2"/>
  <c r="BX100" i="2"/>
  <c r="Z101" i="2"/>
  <c r="CD104" i="2"/>
  <c r="BR110" i="2"/>
  <c r="CJ110" i="2"/>
  <c r="AE38" i="2"/>
  <c r="AE39" i="2" s="1"/>
  <c r="V29" i="2"/>
  <c r="V63" i="2"/>
  <c r="AB67" i="2"/>
  <c r="V77" i="2"/>
  <c r="AB81" i="2"/>
  <c r="AB97" i="2"/>
  <c r="V106" i="2"/>
  <c r="AB112" i="2"/>
  <c r="CF54" i="2"/>
  <c r="AB35" i="2"/>
  <c r="AD50" i="2"/>
  <c r="AE54" i="2"/>
  <c r="G10" i="2"/>
  <c r="BZ21" i="2"/>
  <c r="AB22" i="2"/>
  <c r="BT33" i="2"/>
  <c r="V34" i="2"/>
  <c r="BZ38" i="2"/>
  <c r="AB39" i="2"/>
  <c r="CF43" i="2"/>
  <c r="BZ55" i="2"/>
  <c r="AB56" i="2"/>
  <c r="BT65" i="2"/>
  <c r="V66" i="2"/>
  <c r="BZ70" i="2"/>
  <c r="AB71" i="2"/>
  <c r="BT79" i="2"/>
  <c r="V80" i="2"/>
  <c r="BZ84" i="2"/>
  <c r="AB85" i="2"/>
  <c r="CF89" i="2"/>
  <c r="V96" i="2"/>
  <c r="BZ100" i="2"/>
  <c r="AB101" i="2"/>
  <c r="BT110" i="2"/>
  <c r="V111" i="2"/>
  <c r="C123" i="2"/>
  <c r="V45" i="2"/>
  <c r="B10" i="2"/>
  <c r="BR54" i="2"/>
  <c r="AD97" i="2"/>
  <c r="AD112" i="2"/>
  <c r="D123" i="2"/>
  <c r="CH27" i="2"/>
  <c r="CB38" i="2"/>
  <c r="AE43" i="2"/>
  <c r="AE61" i="2"/>
  <c r="AE62" i="2" s="1"/>
  <c r="BV79" i="2"/>
  <c r="CB84" i="2"/>
  <c r="AE89" i="2"/>
  <c r="BV95" i="2"/>
  <c r="CB100" i="2"/>
  <c r="AE104" i="2"/>
  <c r="AE105" i="2" s="1"/>
  <c r="CH104" i="2"/>
  <c r="BV110" i="2"/>
  <c r="BV33" i="2"/>
  <c r="CB55" i="2"/>
  <c r="BV65" i="2"/>
  <c r="CB70" i="2"/>
  <c r="AE75" i="2"/>
  <c r="AE76" i="2" s="1"/>
  <c r="BT54" i="2"/>
  <c r="Z77" i="2"/>
  <c r="F123" i="2"/>
  <c r="BR61" i="2"/>
  <c r="CD70" i="2"/>
  <c r="BR75" i="2"/>
  <c r="BR89" i="2"/>
  <c r="CD100" i="2"/>
  <c r="BR104" i="2"/>
  <c r="H123" i="2"/>
  <c r="BT61" i="2"/>
  <c r="V62" i="2"/>
  <c r="CF70" i="2"/>
  <c r="BT75" i="2"/>
  <c r="V76" i="2"/>
  <c r="CF84" i="2"/>
  <c r="BT89" i="2"/>
  <c r="CF100" i="2"/>
  <c r="BT104" i="2"/>
  <c r="AB111" i="2"/>
  <c r="CF21" i="2"/>
  <c r="CF38" i="2"/>
  <c r="BT43" i="2"/>
  <c r="CD44" i="2"/>
  <c r="CJ49" i="2"/>
  <c r="X57" i="2"/>
  <c r="X72" i="2"/>
  <c r="X86" i="2"/>
  <c r="CD90" i="2"/>
  <c r="BR94" i="2"/>
  <c r="CJ94" i="2"/>
  <c r="X102" i="2"/>
  <c r="K123" i="2"/>
  <c r="V92" i="2"/>
  <c r="CD65" i="2"/>
  <c r="CD79" i="2"/>
  <c r="CD95" i="2"/>
  <c r="CD110" i="2"/>
  <c r="BV49" i="2"/>
  <c r="V112" i="2"/>
  <c r="AE45" i="2" l="1"/>
  <c r="U116" i="2"/>
  <c r="AE56" i="2"/>
  <c r="W116" i="2"/>
  <c r="AA116" i="2"/>
  <c r="V114" i="2"/>
  <c r="AD117" i="2"/>
  <c r="AD114" i="2"/>
  <c r="AE91" i="2"/>
  <c r="AB113" i="2"/>
  <c r="AB114" i="2"/>
  <c r="Z115" i="2"/>
  <c r="AC116" i="2"/>
  <c r="Y116" i="2"/>
  <c r="V117" i="2"/>
  <c r="V113" i="2"/>
  <c r="X117" i="2"/>
  <c r="V115" i="2"/>
  <c r="AD115" i="2"/>
  <c r="X113" i="2"/>
  <c r="X115" i="2"/>
  <c r="X114" i="2"/>
  <c r="X116" i="2" s="1"/>
  <c r="AB117" i="2"/>
  <c r="Z114" i="2"/>
  <c r="Z117" i="2"/>
  <c r="AB115" i="2"/>
  <c r="AB116" i="2" s="1"/>
  <c r="AD113" i="2"/>
  <c r="Z113" i="2"/>
  <c r="AE118" i="2" l="1"/>
  <c r="AD116" i="2"/>
  <c r="V116" i="2"/>
  <c r="Z116" i="2"/>
</calcChain>
</file>

<file path=xl/sharedStrings.xml><?xml version="1.0" encoding="utf-8"?>
<sst xmlns="http://schemas.openxmlformats.org/spreadsheetml/2006/main" count="567" uniqueCount="206">
  <si>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</si>
  <si>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</si>
  <si>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</si>
  <si>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</si>
  <si>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</si>
  <si>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</si>
  <si>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</si>
  <si>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обязательные к заполнению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</si>
  <si>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</si>
  <si>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</si>
  <si>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</si>
  <si>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</si>
  <si>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</si>
  <si>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</si>
  <si>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</si>
  <si>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</si>
  <si>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</si>
  <si>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Штрих-код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</si>
  <si>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</si>
  <si>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</si>
  <si>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</si>
  <si>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</si>
  <si>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</si>
  <si>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</si>
  <si>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</si>
  <si>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</si>
  <si>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</si>
  <si>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</si>
  <si>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</si>
  <si>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</si>
  <si>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</si>
  <si>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</si>
  <si>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</si>
  <si>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</si>
  <si>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</si>
  <si>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</si>
  <si>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</si>
  <si>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</si>
  <si>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</si>
  <si>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</si>
  <si>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r>
      <rPr>
        <sz val="10"/>
        <color indexed="8"/>
        <rFont val="Arial Cyr"/>
        <charset val="204"/>
      </rPr>
      <t>м</t>
    </r>
    <r>
      <rPr>
        <vertAlign val="superscript"/>
        <sz val="10"/>
        <color indexed="8"/>
        <rFont val="Arial Cyr"/>
        <charset val="204"/>
      </rPr>
      <t>3</t>
    </r>
  </si>
  <si>
    <t>Объем заказа</t>
  </si>
  <si>
    <t>кор</t>
  </si>
  <si>
    <t>Итого</t>
  </si>
  <si>
    <t>Заказ</t>
  </si>
  <si>
    <t>бланк создан</t>
  </si>
  <si>
    <t xml:space="preserve"> </t>
  </si>
  <si>
    <t>Реализация продукта с низким ОСГ</t>
  </si>
  <si>
    <t>Группа ИОСГ</t>
  </si>
  <si>
    <t>на отгрузку продукции с ООО Трейд-Сервис   с</t>
  </si>
  <si>
    <t>Код продукта</t>
  </si>
  <si>
    <t>Справочная информация:</t>
  </si>
  <si>
    <t>Основной заказ</t>
  </si>
  <si>
    <t>Номер варианта</t>
  </si>
  <si>
    <t>Заказ с округлением до короба</t>
  </si>
  <si>
    <t>Для формул</t>
  </si>
  <si>
    <t>Адрес сдачи груза:</t>
  </si>
  <si>
    <t/>
  </si>
  <si>
    <t>Код единицы продаж</t>
  </si>
  <si>
    <t>Примечание по продукту</t>
  </si>
  <si>
    <t>Кликните на продукт, чтобы просмотреть изображение</t>
  </si>
  <si>
    <t>Вид продукции</t>
  </si>
  <si>
    <t>Коробок в слое</t>
  </si>
  <si>
    <t>Внешний код номенклатуры</t>
  </si>
  <si>
    <t>Декларация/Сертификат</t>
  </si>
  <si>
    <t>КИ</t>
  </si>
  <si>
    <t>14.10.2026</t>
  </si>
  <si>
    <t>ОБЩЕСТВО С ОГРАНИЧЕННОЙ ОТВЕТСТВЕННОСТЬЮ "КСК ТРЕЙД"</t>
  </si>
  <si>
    <t>590943</t>
  </si>
  <si>
    <t>Телефоны для заказов: 8(919)002-63-01 E-mail: kolbasa@abi.ru   
Телефон сотрудников склада:
8 (910) 775-52-91</t>
  </si>
  <si>
    <t>Заказы ИОСГ принимаются: за ДВА дня до отгрузки Пн-Вс: с 9:00 до 14:00
 С углублёнными скидками принимаются до 15:00 Пн-Пт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</si>
  <si>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</si>
  <si>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</si>
  <si>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10% - 39,99%</t>
  </si>
  <si>
    <t>скидка 40%</t>
  </si>
  <si>
    <t>1% - 9,99%</t>
  </si>
  <si>
    <t>40% - 59,99%</t>
  </si>
  <si>
    <t>скидка 30%</t>
  </si>
  <si>
    <t>60% - 79,99%</t>
  </si>
  <si>
    <t>скидка 20%</t>
  </si>
  <si>
    <t>10% - 69,99%</t>
  </si>
  <si>
    <t>скидка 10%</t>
  </si>
  <si>
    <t>Ядрена копоть</t>
  </si>
  <si>
    <t>Сосиски</t>
  </si>
  <si>
    <t>SU004073</t>
  </si>
  <si>
    <t>P005210</t>
  </si>
  <si>
    <t>СК4</t>
  </si>
  <si>
    <t>14</t>
  </si>
  <si>
    <t>ЕАЭС N RU Д-RU.РА09.В.48525/25</t>
  </si>
  <si>
    <t>Горячая штучка</t>
  </si>
  <si>
    <t>Горячая штучка КИ</t>
  </si>
  <si>
    <t>SU004132</t>
  </si>
  <si>
    <t>P005393</t>
  </si>
  <si>
    <t>СК3</t>
  </si>
  <si>
    <t>ЕАЭС N RU Д-RU.РА02.В.11087/26</t>
  </si>
  <si>
    <t>Вязанка</t>
  </si>
  <si>
    <t>ГОСТ</t>
  </si>
  <si>
    <t>Вареные колбасы</t>
  </si>
  <si>
    <t>SU003747</t>
  </si>
  <si>
    <t>P004760</t>
  </si>
  <si>
    <t>СК2</t>
  </si>
  <si>
    <t>24</t>
  </si>
  <si>
    <t>ЕАЭС N RU Д-RU.РА08.В.54458/25</t>
  </si>
  <si>
    <t>Филейская</t>
  </si>
  <si>
    <t>SU002825</t>
  </si>
  <si>
    <t>P004554</t>
  </si>
  <si>
    <t>ЕАЭС N RU Д-RU.РА12.В.00849/25</t>
  </si>
  <si>
    <t>Сливушка</t>
  </si>
  <si>
    <t>SU003745</t>
  </si>
  <si>
    <t>P005627</t>
  </si>
  <si>
    <t>ЕАЭС N RU Д-RU.РА08.В.54016/25</t>
  </si>
  <si>
    <t>SU002733</t>
  </si>
  <si>
    <t>P003102</t>
  </si>
  <si>
    <t>12</t>
  </si>
  <si>
    <t>ЕАЭС N RU Д-RU.РА06.В.04803/22, ЕАЭС N RU Д-RU.РА08.В.82591/25, ЕАЭС N RU Д-RU.РА08.В.82932/25</t>
  </si>
  <si>
    <t>Хайперсы</t>
  </si>
  <si>
    <t>SU004114</t>
  </si>
  <si>
    <t>P005624</t>
  </si>
  <si>
    <t>ЕАЭС N RU Д-RU.РА01.В.67941/26</t>
  </si>
  <si>
    <t>SU004157</t>
  </si>
  <si>
    <t>P005426</t>
  </si>
  <si>
    <t>СК1</t>
  </si>
  <si>
    <t>8</t>
  </si>
  <si>
    <t>ЕАЭС N RU Д-RU.РА09.В.00669/25</t>
  </si>
  <si>
    <t>SU004155</t>
  </si>
  <si>
    <t>P005431</t>
  </si>
  <si>
    <t>ЕАЭС N RU Д-RU.РА04.В.18635/26</t>
  </si>
  <si>
    <t>Стародворье</t>
  </si>
  <si>
    <t>Мясорубская</t>
  </si>
  <si>
    <t>Копченые колбасы</t>
  </si>
  <si>
    <t>SU002659</t>
  </si>
  <si>
    <t>P005668</t>
  </si>
  <si>
    <t>ЕАЭС N RU Д-RU.РА03.В.05061/25</t>
  </si>
  <si>
    <t>SU004102</t>
  </si>
  <si>
    <t>P005727</t>
  </si>
  <si>
    <t>ЕАЭС N RU Д-RU.РА06.В.32392/26</t>
  </si>
  <si>
    <t>Сочинка</t>
  </si>
  <si>
    <t>SU004121</t>
  </si>
  <si>
    <t>P005381</t>
  </si>
  <si>
    <t>ЕАЭС N RU Д-RU.РА01.В.69206/26, ЕАЭС N RU Д-RU.РА01.В.69319/26</t>
  </si>
  <si>
    <t>Стародворская</t>
  </si>
  <si>
    <t>SU003273</t>
  </si>
  <si>
    <t>P004070</t>
  </si>
  <si>
    <t>ЕАЭС N RU Д-RU.РА09.В.47899/25</t>
  </si>
  <si>
    <t>Деликатесы с/к</t>
  </si>
  <si>
    <t>SU003922</t>
  </si>
  <si>
    <t>P005020</t>
  </si>
  <si>
    <t>МЗР</t>
  </si>
  <si>
    <t>27</t>
  </si>
  <si>
    <t>ЕАЭС N RU Д-RU.РА03.В.02637/25</t>
  </si>
  <si>
    <t>Филедворская по-стародворски</t>
  </si>
  <si>
    <t>SU003958</t>
  </si>
  <si>
    <t>P005075</t>
  </si>
  <si>
    <t>ЕАЭС N RU Д-RU.РА06.В.34651/25</t>
  </si>
  <si>
    <t>Стародворская EDLP/EDPP</t>
  </si>
  <si>
    <t>SU002698</t>
  </si>
  <si>
    <t>P004231</t>
  </si>
  <si>
    <t>18</t>
  </si>
  <si>
    <t>ЕАЭС N RU Д-RU.РА01.В.23455/26</t>
  </si>
  <si>
    <t>SU003942</t>
  </si>
  <si>
    <t>P005423</t>
  </si>
  <si>
    <t>ЕАЭС N RU Д-RU.РА04.В.38656/25</t>
  </si>
  <si>
    <t>SU004068</t>
  </si>
  <si>
    <t>P005193</t>
  </si>
  <si>
    <t>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</si>
  <si>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</si>
  <si>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</si>
  <si>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</si>
  <si>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</si>
  <si>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</si>
  <si>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</si>
  <si>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</si>
  <si>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Особый рецепт</t>
  </si>
  <si>
    <t>Особая</t>
  </si>
  <si>
    <t>SU004239</t>
  </si>
  <si>
    <t>P005503</t>
  </si>
  <si>
    <t>ЕАЭС N RU Д-RU.РА04.В.31445/26, ЕАЭС N RU Д-RU.РА04.В.31488/26</t>
  </si>
  <si>
    <t>MSDAX_КИ_ИОСГ_ЦСК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</si>
  <si>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</si>
  <si>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</si>
  <si>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</si>
  <si>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</si>
  <si>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</si>
  <si>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</si>
  <si>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</si>
  <si>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</si>
  <si>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КСК ТРЕЙД, ООО (КБ), Крым Респ, Симферополь г, Генерала Васильева ул, д. 44В, литера Ж, пом 5,</t>
  </si>
  <si>
    <t>590943_3</t>
  </si>
  <si>
    <t>3</t>
  </si>
  <si>
    <t>295051Российская Федерация, Крым Респ, Симферополь г, Генерала Васильева ул, д. 44В, литера Ж, пом 5,</t>
  </si>
  <si>
    <t>10-40%</t>
  </si>
  <si>
    <t>1-10%</t>
  </si>
  <si>
    <t>40-60%</t>
  </si>
  <si>
    <t>60-80%</t>
  </si>
  <si>
    <t>Аутсор.10%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</si>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</sst>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#,##0.0000_ ;[Red]\-#,##0.0000\ "/>
    <numFmt numFmtId="169" formatCode="0.0000"/>
    <numFmt numFmtId="170" formatCode="0.00_ ;\-0.00\ "/>
    <numFmt numFmtId="171" formatCode="0.000_ ;\-0.000\ "/>
  </numFmts>
  <fonts count="128" x14ac:knownFonts="1"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10"/>
      <name val="Arial Cyr"/>
      <charset val="204"/>
    </font>
    <font>
      <b/>
      <sz val="8"/>
      <color indexed="8"/>
      <name val="Arial Cyr"/>
      <charset val="204"/>
    </font>
    <font>
      <b/>
      <sz val="10"/>
      <color indexed="13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color indexed="8"/>
      <name val="Arial Cyr"/>
      <charset val="204"/>
    </font>
    <font>
      <b/>
      <sz val="10"/>
      <name val="Arial Cyr"/>
      <family val="2"/>
      <charset val="204"/>
    </font>
    <font>
      <b/>
      <sz val="8"/>
      <name val="Arial Cyr"/>
      <family val="2"/>
      <charset val="204"/>
    </font>
    <font>
      <sz val="11"/>
      <name val="Arial Narrow"/>
      <family val="2"/>
      <charset val="204"/>
    </font>
    <font>
      <sz val="9"/>
      <color indexed="43"/>
      <name val="Arial Cyr"/>
      <charset val="204"/>
    </font>
    <font>
      <b/>
      <sz val="9"/>
      <name val="Arial Narrow"/>
      <family val="2"/>
      <charset val="204"/>
    </font>
    <font>
      <b/>
      <sz val="10"/>
      <name val="Arial Narrow"/>
      <family val="2"/>
      <charset val="204"/>
    </font>
    <font>
      <b/>
      <sz val="11"/>
      <name val="Arial Narrow"/>
      <family val="2"/>
      <charset val="204"/>
    </font>
    <font>
      <b/>
      <sz val="11"/>
      <name val="Arial Cyr"/>
      <family val="2"/>
      <charset val="204"/>
    </font>
    <font>
      <sz val="10"/>
      <name val="Arial Cyr"/>
      <family val="2"/>
      <charset val="204"/>
    </font>
    <font>
      <vertAlign val="superscript"/>
      <sz val="10"/>
      <color indexed="8"/>
      <name val="Arial Cyr"/>
      <charset val="204"/>
    </font>
    <font>
      <sz val="8"/>
      <name val="Arial Narrow"/>
      <family val="2"/>
      <charset val="204"/>
    </font>
    <font>
      <b/>
      <sz val="16"/>
      <name val="Arial Cyr"/>
      <charset val="204"/>
    </font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0"/>
      <color theme="0"/>
      <name val="Arial Cyr"/>
      <charset val="204"/>
    </font>
    <font>
      <b/>
      <sz val="9"/>
      <color theme="1"/>
      <name val="Calibri"/>
      <family val="2"/>
      <charset val="204"/>
      <scheme val="minor"/>
    </font>
    <font>
      <b/>
      <sz val="16"/>
      <color theme="0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b/>
      <sz val="14"/>
      <color theme="0"/>
      <name val="Calibri"/>
      <family val="2"/>
      <charset val="204"/>
      <scheme val="minor"/>
    </font>
    <font>
      <b/>
      <sz val="8"/>
      <color theme="1"/>
      <name val="Arial Cyr"/>
      <charset val="204"/>
    </font>
    <font>
      <b/>
      <sz val="16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vertAlign val="superscript"/>
      <sz val="10"/>
      <color theme="1"/>
      <name val="Arial Cyr"/>
      <charset val="204"/>
    </font>
    <font>
      <b/>
      <sz val="8"/>
      <color rgb="FF651C32"/>
      <name val="Arial Cyr"/>
      <charset val="204"/>
    </font>
    <font>
      <b/>
      <sz val="8"/>
      <color theme="1"/>
      <name val="Arial Cyr"/>
      <family val="2"/>
      <charset val="204"/>
    </font>
    <font>
      <b/>
      <sz val="11"/>
      <color rgb="FF651C32"/>
      <name val="Arial Cyr"/>
      <family val="2"/>
      <charset val="204"/>
    </font>
    <font>
      <sz val="11"/>
      <color rgb="FF651C32"/>
      <name val="Arial Narrow"/>
      <family val="2"/>
      <charset val="204"/>
    </font>
    <font>
      <b/>
      <sz val="10"/>
      <color theme="1"/>
      <name val="Arial Narrow"/>
      <family val="2"/>
      <charset val="204"/>
    </font>
    <font>
      <b/>
      <sz val="8"/>
      <color theme="1"/>
      <name val="Arial Narrow"/>
      <family val="2"/>
      <charset val="204"/>
    </font>
    <font>
      <b/>
      <sz val="10"/>
      <color theme="1"/>
      <name val="Arial Cyr"/>
      <charset val="204"/>
    </font>
    <font>
      <b/>
      <u/>
      <sz val="14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</fonts>
  <fills count="32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E9D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A100"/>
        <bgColor indexed="64"/>
      </patternFill>
    </fill>
    <fill>
      <patternFill patternType="solid">
        <fgColor rgb="FFF6EFD1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9" tint="0.79998168889431442"/>
        <bgColor indexed="64"/>
      </patternFill>
    </fill>
  </fills>
  <borders count="1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651C32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62">
    <xf numFmtId="0" fontId="0" fillId="0" borderId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4" borderId="0" applyNumberFormat="0" applyBorder="0" applyAlignment="0" applyProtection="0"/>
    <xf numFmtId="0" fontId="10" fillId="2" borderId="0" applyNumberFormat="0" applyBorder="0" applyAlignment="0" applyProtection="0"/>
    <xf numFmtId="0" fontId="10" fillId="12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8" borderId="0" applyNumberFormat="0" applyBorder="0" applyAlignment="0" applyProtection="0"/>
    <xf numFmtId="0" fontId="10" fillId="12" borderId="0" applyNumberFormat="0" applyBorder="0" applyAlignment="0" applyProtection="0"/>
    <xf numFmtId="0" fontId="10" fillId="14" borderId="0" applyNumberFormat="0" applyBorder="0" applyAlignment="0" applyProtection="0"/>
    <xf numFmtId="0" fontId="11" fillId="16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1" fillId="17" borderId="0" applyNumberFormat="0" applyBorder="0" applyAlignment="0" applyProtection="0"/>
    <xf numFmtId="0" fontId="11" fillId="15" borderId="0" applyNumberFormat="0" applyBorder="0" applyAlignment="0" applyProtection="0"/>
    <xf numFmtId="0" fontId="11" fillId="18" borderId="0" applyNumberFormat="0" applyBorder="0" applyAlignment="0" applyProtection="0"/>
    <xf numFmtId="0" fontId="11" fillId="23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17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2" fillId="2" borderId="1" applyNumberFormat="0" applyAlignment="0" applyProtection="0"/>
    <xf numFmtId="0" fontId="13" fillId="9" borderId="6" applyNumberFormat="0" applyAlignment="0" applyProtection="0"/>
    <xf numFmtId="0" fontId="14" fillId="9" borderId="1" applyNumberFormat="0" applyAlignment="0" applyProtection="0"/>
    <xf numFmtId="0" fontId="15" fillId="0" borderId="7" applyNumberFormat="0" applyFill="0" applyAlignment="0" applyProtection="0"/>
    <xf numFmtId="0" fontId="16" fillId="0" borderId="3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22" borderId="2" applyNumberFormat="0" applyAlignment="0" applyProtection="0"/>
    <xf numFmtId="0" fontId="20" fillId="0" borderId="0" applyNumberFormat="0" applyFill="0" applyBorder="0" applyAlignment="0" applyProtection="0"/>
    <xf numFmtId="0" fontId="21" fillId="11" borderId="0" applyNumberFormat="0" applyBorder="0" applyAlignment="0" applyProtection="0"/>
    <xf numFmtId="0" fontId="2" fillId="0" borderId="0"/>
    <xf numFmtId="0" fontId="9" fillId="0" borderId="0"/>
    <xf numFmtId="0" fontId="2" fillId="0" borderId="0"/>
    <xf numFmtId="0" fontId="9" fillId="0" borderId="0"/>
    <xf numFmtId="0" fontId="40" fillId="0" borderId="0"/>
    <xf numFmtId="0" fontId="22" fillId="6" borderId="0" applyNumberFormat="0" applyBorder="0" applyAlignment="0" applyProtection="0"/>
    <xf numFmtId="0" fontId="23" fillId="0" borderId="0" applyNumberFormat="0" applyFill="0" applyBorder="0" applyAlignment="0" applyProtection="0"/>
    <xf numFmtId="0" fontId="9" fillId="3" borderId="5" applyNumberFormat="0" applyFont="0" applyAlignment="0" applyProtection="0"/>
    <xf numFmtId="0" fontId="24" fillId="0" borderId="4" applyNumberFormat="0" applyFill="0" applyAlignment="0" applyProtection="0"/>
    <xf numFmtId="0" fontId="25" fillId="0" borderId="0" applyNumberFormat="0" applyFill="0" applyBorder="0" applyAlignment="0" applyProtection="0"/>
    <xf numFmtId="0" fontId="26" fillId="7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12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8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2" fillId="0" borderId="0"/>
    <xf numFmtId="0" fontId="2" fillId="0" borderId="0"/>
    <xf numFmtId="0" fontId="2" fillId="3" borderId="5" applyNumberFormat="0" applyFont="0" applyAlignment="0" applyProtection="0"/>
  </cellStyleXfs>
  <cellXfs count="278">
    <xf numFmtId="0" fontId="0" fillId="0" borderId="0" xfId="0"/>
    <xf numFmtId="0" fontId="6" fillId="0" borderId="0" xfId="0" applyFont="1" applyFill="1" applyBorder="1" applyAlignment="1" applyProtection="1">
      <alignment horizontal="right"/>
      <protection hidden="1"/>
    </xf>
    <xf numFmtId="0" fontId="6" fillId="0" borderId="0" xfId="0" applyFont="1" applyFill="1" applyProtection="1">
      <protection hidden="1"/>
    </xf>
    <xf numFmtId="0" fontId="0" fillId="0" borderId="0" xfId="0" applyFont="1" applyFill="1" applyProtection="1">
      <protection hidden="1"/>
    </xf>
    <xf numFmtId="0" fontId="0" fillId="0" borderId="0" xfId="0" applyFill="1" applyProtection="1">
      <protection hidden="1"/>
    </xf>
    <xf numFmtId="0" fontId="0" fillId="0" borderId="0" xfId="0" applyFill="1" applyAlignment="1" applyProtection="1">
      <alignment horizontal="center"/>
      <protection hidden="1"/>
    </xf>
    <xf numFmtId="164" fontId="5" fillId="0" borderId="0" xfId="0" applyNumberFormat="1" applyFont="1" applyFill="1" applyAlignment="1" applyProtection="1">
      <alignment horizontal="center"/>
    </xf>
    <xf numFmtId="0" fontId="5" fillId="0" borderId="0" xfId="0" applyFont="1" applyFill="1" applyAlignment="1" applyProtection="1">
      <alignment horizontal="center"/>
    </xf>
    <xf numFmtId="0" fontId="7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/>
    <xf numFmtId="0" fontId="0" fillId="0" borderId="0" xfId="0" applyFill="1" applyProtection="1">
      <protection locked="0" hidden="1"/>
    </xf>
    <xf numFmtId="0" fontId="8" fillId="0" borderId="0" xfId="0" applyFont="1" applyFill="1" applyProtection="1"/>
    <xf numFmtId="0" fontId="5" fillId="0" borderId="0" xfId="0" applyFont="1" applyFill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right"/>
      <protection hidden="1"/>
    </xf>
    <xf numFmtId="0" fontId="31" fillId="0" borderId="0" xfId="0" applyFont="1" applyFill="1" applyProtection="1">
      <protection hidden="1"/>
    </xf>
    <xf numFmtId="0" fontId="4" fillId="0" borderId="0" xfId="0" applyFont="1" applyFill="1" applyBorder="1" applyAlignment="1" applyProtection="1">
      <alignment horizontal="right" vertical="center" wrapText="1"/>
      <protection hidden="1"/>
    </xf>
    <xf numFmtId="0" fontId="29" fillId="0" borderId="0" xfId="0" applyFont="1" applyFill="1" applyBorder="1" applyAlignment="1" applyProtection="1">
      <alignment horizontal="center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3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Protection="1">
      <protection hidden="1"/>
    </xf>
    <xf numFmtId="0" fontId="0" fillId="0" borderId="0" xfId="0" applyFill="1" applyBorder="1" applyProtection="1">
      <protection hidden="1"/>
    </xf>
    <xf numFmtId="2" fontId="0" fillId="0" borderId="0" xfId="0" applyNumberFormat="1" applyFill="1" applyProtection="1">
      <protection hidden="1"/>
    </xf>
    <xf numFmtId="1" fontId="0" fillId="0" borderId="0" xfId="0" applyNumberFormat="1" applyFill="1" applyProtection="1">
      <protection hidden="1"/>
    </xf>
    <xf numFmtId="2" fontId="32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" fillId="0" borderId="0" xfId="0" applyFont="1" applyFill="1" applyBorder="1" applyAlignment="1" applyProtection="1">
      <alignment horizontal="right" vertical="center"/>
      <protection hidden="1"/>
    </xf>
    <xf numFmtId="0" fontId="45" fillId="0" borderId="0" xfId="0" applyFont="1" applyFill="1" applyBorder="1" applyAlignment="1" applyProtection="1">
      <alignment horizontal="left" vertical="top" wrapText="1"/>
    </xf>
    <xf numFmtId="49" fontId="45" fillId="0" borderId="0" xfId="0" applyNumberFormat="1" applyFont="1" applyFill="1" applyBorder="1" applyAlignment="1" applyProtection="1">
      <alignment horizontal="left" vertical="center"/>
    </xf>
    <xf numFmtId="0" fontId="46" fillId="0" borderId="0" xfId="0" applyFont="1" applyFill="1" applyBorder="1" applyAlignment="1" applyProtection="1">
      <alignment horizontal="center" vertical="center" wrapText="1"/>
    </xf>
    <xf numFmtId="0" fontId="41" fillId="0" borderId="0" xfId="0" applyFont="1" applyFill="1" applyBorder="1" applyAlignment="1" applyProtection="1">
      <alignment vertical="center" wrapText="1"/>
    </xf>
    <xf numFmtId="49" fontId="30" fillId="24" borderId="22" xfId="0" applyNumberFormat="1" applyFont="1" applyFill="1" applyBorder="1" applyAlignment="1" applyProtection="1">
      <alignment horizontal="center" vertical="center"/>
    </xf>
    <xf numFmtId="49" fontId="47" fillId="0" borderId="0" xfId="0" applyNumberFormat="1" applyFont="1" applyFill="1" applyBorder="1" applyAlignment="1" applyProtection="1">
      <alignment horizontal="left" vertical="center"/>
    </xf>
    <xf numFmtId="49" fontId="30" fillId="25" borderId="22" xfId="0" applyNumberFormat="1" applyFont="1" applyFill="1" applyBorder="1" applyAlignment="1" applyProtection="1">
      <alignment horizontal="center" vertical="center"/>
    </xf>
    <xf numFmtId="0" fontId="42" fillId="0" borderId="0" xfId="0" applyFont="1" applyFill="1" applyBorder="1" applyAlignment="1" applyProtection="1">
      <alignment horizontal="center" vertical="center" wrapText="1"/>
    </xf>
    <xf numFmtId="0" fontId="48" fillId="0" borderId="0" xfId="0" applyFont="1" applyFill="1" applyBorder="1" applyAlignment="1" applyProtection="1">
      <alignment vertical="center" wrapText="1"/>
    </xf>
    <xf numFmtId="0" fontId="28" fillId="0" borderId="0" xfId="0" applyFont="1" applyFill="1" applyBorder="1" applyAlignment="1" applyProtection="1">
      <alignment horizontal="right"/>
    </xf>
    <xf numFmtId="0" fontId="28" fillId="0" borderId="0" xfId="0" applyFont="1" applyFill="1" applyBorder="1" applyAlignment="1" applyProtection="1">
      <alignment horizontal="center"/>
    </xf>
    <xf numFmtId="0" fontId="50" fillId="26" borderId="0" xfId="0" applyFont="1" applyFill="1" applyBorder="1" applyAlignment="1" applyProtection="1">
      <alignment horizontal="center" vertical="center"/>
    </xf>
    <xf numFmtId="14" fontId="50" fillId="26" borderId="0" xfId="0" applyNumberFormat="1" applyFont="1" applyFill="1" applyBorder="1" applyAlignment="1" applyProtection="1">
      <alignment vertical="center" wrapText="1"/>
    </xf>
    <xf numFmtId="0" fontId="50" fillId="26" borderId="0" xfId="0" applyFont="1" applyFill="1" applyBorder="1" applyAlignment="1" applyProtection="1">
      <alignment vertical="center" wrapText="1"/>
    </xf>
    <xf numFmtId="0" fontId="51" fillId="26" borderId="0" xfId="0" applyFont="1" applyFill="1" applyBorder="1" applyAlignment="1" applyProtection="1">
      <alignment vertical="center" wrapText="1"/>
    </xf>
    <xf numFmtId="0" fontId="43" fillId="26" borderId="10" xfId="0" applyFont="1" applyFill="1" applyBorder="1" applyAlignment="1" applyProtection="1">
      <alignment horizontal="center"/>
      <protection hidden="1"/>
    </xf>
    <xf numFmtId="0" fontId="52" fillId="26" borderId="10" xfId="0" applyFont="1" applyFill="1" applyBorder="1" applyAlignment="1" applyProtection="1">
      <alignment horizontal="center"/>
      <protection hidden="1"/>
    </xf>
    <xf numFmtId="0" fontId="53" fillId="0" borderId="0" xfId="0" applyFont="1" applyFill="1" applyBorder="1" applyAlignment="1" applyProtection="1">
      <alignment horizontal="right" vertical="center"/>
      <protection hidden="1"/>
    </xf>
    <xf numFmtId="0" fontId="53" fillId="0" borderId="0" xfId="0" applyFont="1" applyFill="1" applyBorder="1" applyAlignment="1" applyProtection="1">
      <alignment horizontal="right" vertical="center"/>
    </xf>
    <xf numFmtId="49" fontId="30" fillId="27" borderId="10" xfId="0" applyNumberFormat="1" applyFont="1" applyFill="1" applyBorder="1" applyAlignment="1" applyProtection="1">
      <alignment horizontal="left" vertical="center"/>
      <protection locked="0"/>
    </xf>
    <xf numFmtId="49" fontId="30" fillId="27" borderId="10" xfId="0" applyNumberFormat="1" applyFont="1" applyFill="1" applyBorder="1" applyAlignment="1" applyProtection="1">
      <alignment horizontal="left" vertical="center"/>
    </xf>
    <xf numFmtId="165" fontId="30" fillId="28" borderId="10" xfId="0" applyNumberFormat="1" applyFont="1" applyFill="1" applyBorder="1" applyAlignment="1" applyProtection="1">
      <alignment horizontal="center" vertical="center"/>
      <protection locked="0"/>
    </xf>
    <xf numFmtId="0" fontId="0" fillId="0" borderId="11" xfId="0" applyBorder="1"/>
    <xf numFmtId="0" fontId="0" fillId="0" borderId="0" xfId="0" applyFill="1"/>
    <xf numFmtId="0" fontId="54" fillId="26" borderId="12" xfId="0" applyFont="1" applyFill="1" applyBorder="1" applyAlignment="1" applyProtection="1">
      <alignment horizontal="center" vertical="center" wrapText="1"/>
      <protection hidden="1"/>
    </xf>
    <xf numFmtId="0" fontId="4" fillId="26" borderId="13" xfId="0" applyFont="1" applyFill="1" applyBorder="1" applyAlignment="1" applyProtection="1">
      <alignment horizontal="center" vertical="center" wrapText="1"/>
      <protection hidden="1"/>
    </xf>
    <xf numFmtId="167" fontId="4" fillId="26" borderId="23" xfId="0" applyNumberFormat="1" applyFont="1" applyFill="1" applyBorder="1" applyAlignment="1" applyProtection="1">
      <alignment horizontal="right"/>
    </xf>
    <xf numFmtId="164" fontId="4" fillId="26" borderId="23" xfId="0" applyNumberFormat="1" applyFont="1" applyFill="1" applyBorder="1" applyAlignment="1" applyProtection="1">
      <alignment horizontal="right"/>
    </xf>
    <xf numFmtId="166" fontId="30" fillId="27" borderId="10" xfId="0" applyNumberFormat="1" applyFont="1" applyFill="1" applyBorder="1" applyAlignment="1" applyProtection="1">
      <alignment horizontal="left" vertical="center"/>
      <protection locked="0"/>
    </xf>
    <xf numFmtId="49" fontId="30" fillId="25" borderId="10" xfId="0" applyNumberFormat="1" applyFont="1" applyFill="1" applyBorder="1" applyAlignment="1" applyProtection="1">
      <alignment vertical="center"/>
      <protection locked="0"/>
    </xf>
    <xf numFmtId="165" fontId="56" fillId="28" borderId="10" xfId="0" applyNumberFormat="1" applyFont="1" applyFill="1" applyBorder="1" applyAlignment="1" applyProtection="1">
      <alignment vertical="center"/>
      <protection locked="0"/>
    </xf>
    <xf numFmtId="0" fontId="57" fillId="26" borderId="17" xfId="0" applyFont="1" applyFill="1" applyBorder="1" applyAlignment="1" applyProtection="1">
      <alignment horizontal="center" vertical="center" wrapText="1"/>
      <protection hidden="1"/>
    </xf>
    <xf numFmtId="4" fontId="34" fillId="0" borderId="17" xfId="38" applyNumberFormat="1" applyFont="1" applyFill="1" applyBorder="1" applyAlignment="1" applyProtection="1">
      <alignment horizontal="center" vertical="center"/>
      <protection hidden="1"/>
    </xf>
    <xf numFmtId="0" fontId="51" fillId="26" borderId="0" xfId="0" applyFont="1" applyFill="1" applyBorder="1" applyAlignment="1" applyProtection="1">
      <alignment vertical="center" wrapText="1"/>
      <protection locked="0"/>
    </xf>
    <xf numFmtId="0" fontId="0" fillId="0" borderId="0" xfId="0" applyFill="1" applyProtection="1">
      <protection locked="0"/>
    </xf>
    <xf numFmtId="0" fontId="6" fillId="0" borderId="0" xfId="0" applyFont="1" applyFill="1" applyProtection="1">
      <protection locked="0"/>
    </xf>
    <xf numFmtId="0" fontId="0" fillId="0" borderId="0" xfId="0" applyFont="1" applyFill="1" applyProtection="1">
      <protection locked="0"/>
    </xf>
    <xf numFmtId="0" fontId="51" fillId="26" borderId="0" xfId="0" applyFont="1" applyFill="1" applyBorder="1" applyAlignment="1" applyProtection="1">
      <alignment horizontal="center" vertical="center" wrapText="1"/>
      <protection locked="0"/>
    </xf>
    <xf numFmtId="49" fontId="30" fillId="25" borderId="10" xfId="0" applyNumberFormat="1" applyFont="1" applyFill="1" applyBorder="1" applyAlignment="1" applyProtection="1">
      <alignment vertical="center"/>
      <protection hidden="1"/>
    </xf>
    <xf numFmtId="170" fontId="36" fillId="31" borderId="10" xfId="0" applyNumberFormat="1" applyFont="1" applyFill="1" applyBorder="1" applyAlignment="1" applyProtection="1">
      <alignment horizontal="right"/>
      <protection locked="0" hidden="1"/>
    </xf>
    <xf numFmtId="170" fontId="36" fillId="0" borderId="10" xfId="0" applyNumberFormat="1" applyFont="1" applyFill="1" applyBorder="1" applyAlignment="1" applyProtection="1">
      <alignment horizontal="right"/>
    </xf>
    <xf numFmtId="171" fontId="4" fillId="0" borderId="10" xfId="0" applyNumberFormat="1" applyFont="1" applyFill="1" applyBorder="1" applyAlignment="1" applyProtection="1">
      <alignment horizontal="center"/>
    </xf>
    <xf numFmtId="0" fontId="6" fillId="0" borderId="0" xfId="0" applyFont="1" applyFill="1" applyBorder="1" applyAlignment="1" applyProtection="1">
      <alignment vertical="center"/>
      <protection hidden="1"/>
    </xf>
    <xf numFmtId="0" fontId="0" fillId="0" borderId="10" xfId="0" applyFill="1" applyBorder="1" applyProtection="1">
      <protection hidden="1"/>
    </xf>
    <xf numFmtId="0" fontId="33" fillId="26" borderId="10" xfId="0" applyNumberFormat="1" applyFont="1" applyFill="1" applyBorder="1" applyAlignment="1" applyProtection="1">
      <alignment horizontal="left" vertical="center" wrapText="1"/>
      <protection hidden="1"/>
    </xf>
    <xf numFmtId="0" fontId="49" fillId="0" borderId="0" xfId="0" applyFont="1" applyFill="1" applyBorder="1" applyAlignment="1" applyProtection="1">
      <alignment horizontal="right" vertical="center"/>
      <protection hidden="1"/>
    </xf>
    <xf numFmtId="0" fontId="44" fillId="0" borderId="0" xfId="0" applyFont="1" applyFill="1" applyAlignment="1" applyProtection="1">
      <alignment vertical="center"/>
      <protection hidden="1"/>
    </xf>
    <xf numFmtId="0" fontId="61" fillId="0" borderId="0" xfId="0" applyFont="1" applyFill="1" applyBorder="1" applyAlignment="1" applyProtection="1">
      <alignment horizontal="center" vertical="center" wrapText="1"/>
      <protection locked="0" hidden="1"/>
    </xf>
    <xf numFmtId="0" fontId="54" fillId="26" borderId="13" xfId="0" applyFont="1" applyFill="1" applyBorder="1" applyAlignment="1" applyProtection="1">
      <alignment horizontal="center" vertical="center" wrapText="1"/>
      <protection hidden="1"/>
    </xf>
    <xf numFmtId="4" fontId="44" fillId="0" borderId="0" xfId="0" applyNumberFormat="1" applyFont="1" applyFill="1" applyProtection="1">
      <protection hidden="1"/>
    </xf>
    <xf numFmtId="0" fontId="4" fillId="26" borderId="10" xfId="0" applyFont="1" applyFill="1" applyBorder="1" applyAlignment="1" applyProtection="1">
      <alignment horizontal="center" vertical="center" wrapText="1"/>
      <protection hidden="1"/>
    </xf>
    <xf numFmtId="49" fontId="47" fillId="0" borderId="10" xfId="0" applyNumberFormat="1" applyFont="1" applyFill="1" applyBorder="1" applyAlignment="1">
      <alignment horizontal="center" vertical="center" wrapText="1"/>
    </xf>
    <xf numFmtId="1" fontId="47" fillId="0" borderId="10" xfId="0" applyNumberFormat="1" applyFont="1" applyFill="1" applyBorder="1" applyAlignment="1">
      <alignment horizontal="center" vertical="center"/>
    </xf>
    <xf numFmtId="2" fontId="3" fillId="0" borderId="10" xfId="0" applyNumberFormat="1" applyFont="1" applyFill="1" applyBorder="1" applyAlignment="1" applyProtection="1">
      <alignment horizontal="center" vertical="center"/>
      <protection hidden="1"/>
    </xf>
    <xf numFmtId="0" fontId="3" fillId="0" borderId="10" xfId="0" applyNumberFormat="1" applyFont="1" applyFill="1" applyBorder="1" applyAlignment="1" applyProtection="1">
      <alignment horizontal="center" vertical="center"/>
      <protection hidden="1"/>
    </xf>
    <xf numFmtId="1" fontId="3" fillId="0" borderId="10" xfId="0" applyNumberFormat="1" applyFont="1" applyFill="1" applyBorder="1" applyAlignment="1" applyProtection="1">
      <alignment horizontal="center" vertical="center"/>
      <protection hidden="1"/>
    </xf>
    <xf numFmtId="1" fontId="3" fillId="0" borderId="10" xfId="0" applyNumberFormat="1" applyFont="1" applyFill="1" applyBorder="1" applyAlignment="1" applyProtection="1">
      <alignment horizontal="center" vertical="center"/>
    </xf>
    <xf numFmtId="2" fontId="3" fillId="0" borderId="10" xfId="0" applyNumberFormat="1" applyFont="1" applyFill="1" applyBorder="1" applyAlignment="1" applyProtection="1">
      <alignment horizontal="center"/>
    </xf>
    <xf numFmtId="0" fontId="38" fillId="0" borderId="17" xfId="0" applyFont="1" applyFill="1" applyBorder="1" applyAlignment="1" applyProtection="1">
      <alignment horizontal="center" vertical="center" wrapText="1"/>
      <protection hidden="1"/>
    </xf>
    <xf numFmtId="0" fontId="4" fillId="26" borderId="31" xfId="0" applyFont="1" applyFill="1" applyBorder="1" applyAlignment="1" applyProtection="1">
      <alignment horizontal="center" vertical="center" wrapText="1"/>
      <protection hidden="1"/>
    </xf>
    <xf numFmtId="0" fontId="4" fillId="26" borderId="32" xfId="0" applyFont="1" applyFill="1" applyBorder="1" applyAlignment="1" applyProtection="1">
      <alignment horizontal="center" vertical="center" wrapText="1"/>
      <protection hidden="1"/>
    </xf>
    <xf numFmtId="0" fontId="4" fillId="26" borderId="34" xfId="0" applyFont="1" applyFill="1" applyBorder="1" applyAlignment="1" applyProtection="1">
      <alignment horizontal="center" vertical="center" wrapText="1"/>
      <protection hidden="1"/>
    </xf>
    <xf numFmtId="0" fontId="4" fillId="26" borderId="35" xfId="0" applyFont="1" applyFill="1" applyBorder="1" applyAlignment="1" applyProtection="1">
      <alignment horizontal="center" vertical="center" wrapText="1"/>
      <protection hidden="1"/>
    </xf>
    <xf numFmtId="0" fontId="4" fillId="26" borderId="36" xfId="0" applyFont="1" applyFill="1" applyBorder="1" applyAlignment="1" applyProtection="1">
      <alignment horizontal="center" vertical="center" wrapText="1"/>
      <protection hidden="1"/>
    </xf>
    <xf numFmtId="0" fontId="4" fillId="26" borderId="37" xfId="0" applyFont="1" applyFill="1" applyBorder="1" applyAlignment="1" applyProtection="1">
      <alignment horizontal="center" vertical="center" wrapText="1"/>
      <protection hidden="1"/>
    </xf>
    <xf numFmtId="0" fontId="4" fillId="26" borderId="38" xfId="0" applyFont="1" applyFill="1" applyBorder="1" applyAlignment="1" applyProtection="1">
      <alignment horizontal="center" vertical="center" wrapText="1"/>
      <protection hidden="1"/>
    </xf>
    <xf numFmtId="0" fontId="4" fillId="26" borderId="39" xfId="0" applyFont="1" applyFill="1" applyBorder="1" applyAlignment="1" applyProtection="1">
      <alignment horizontal="center" vertical="center" wrapText="1"/>
      <protection hidden="1"/>
    </xf>
    <xf numFmtId="0" fontId="4" fillId="26" borderId="40" xfId="0" applyFont="1" applyFill="1" applyBorder="1" applyAlignment="1" applyProtection="1">
      <alignment horizontal="center" vertical="center" wrapText="1"/>
      <protection hidden="1"/>
    </xf>
    <xf numFmtId="0" fontId="4" fillId="26" borderId="41" xfId="0" applyFont="1" applyFill="1" applyBorder="1" applyAlignment="1" applyProtection="1">
      <alignment horizontal="center" vertical="center" wrapText="1"/>
      <protection hidden="1"/>
    </xf>
    <xf numFmtId="0" fontId="4" fillId="26" borderId="42" xfId="0" applyFont="1" applyFill="1" applyBorder="1" applyAlignment="1" applyProtection="1">
      <alignment horizontal="center" vertical="center" wrapText="1"/>
      <protection hidden="1"/>
    </xf>
    <xf numFmtId="0" fontId="4" fillId="26" borderId="43" xfId="0" applyFont="1" applyFill="1" applyBorder="1" applyAlignment="1" applyProtection="1">
      <alignment horizontal="center" vertical="center" wrapText="1"/>
      <protection hidden="1"/>
    </xf>
    <xf numFmtId="171" fontId="4" fillId="0" borderId="47" xfId="0" applyNumberFormat="1" applyFont="1" applyFill="1" applyBorder="1" applyAlignment="1" applyProtection="1">
      <alignment horizontal="center"/>
    </xf>
    <xf numFmtId="0" fontId="63" fillId="0" borderId="0" xfId="0" applyFont="1"/>
    <xf numFmtId="171" fontId="64" fillId="0" borderId="48" xfId="0" applyNumberFormat="1" applyFont="1" applyFill="1" applyBorder="1" applyAlignment="1" applyProtection="1">
      <alignment horizontal="center" wrapText="1"/>
    </xf>
    <xf numFmtId="168" fontId="4" fillId="26" borderId="49" xfId="0" applyNumberFormat="1" applyFont="1" applyFill="1" applyBorder="1" applyAlignment="1" applyProtection="1">
      <alignment horizontal="right"/>
    </xf>
    <xf numFmtId="168" fontId="4" fillId="26" borderId="50" xfId="0" applyNumberFormat="1" applyFont="1" applyFill="1" applyBorder="1" applyAlignment="1" applyProtection="1">
      <alignment horizontal="right"/>
    </xf>
    <xf numFmtId="167" fontId="4" fillId="26" borderId="51" xfId="0" applyNumberFormat="1" applyFont="1" applyFill="1" applyBorder="1" applyAlignment="1" applyProtection="1">
      <alignment horizontal="right"/>
    </xf>
    <xf numFmtId="167" fontId="4" fillId="26" borderId="52" xfId="0" applyNumberFormat="1" applyFont="1" applyFill="1" applyBorder="1" applyAlignment="1" applyProtection="1">
      <alignment horizontal="right"/>
    </xf>
    <xf numFmtId="167" fontId="4" fillId="26" borderId="53" xfId="0" applyNumberFormat="1" applyFont="1" applyFill="1" applyBorder="1" applyAlignment="1" applyProtection="1">
      <alignment horizontal="right"/>
    </xf>
    <xf numFmtId="167" fontId="4" fillId="26" borderId="54" xfId="0" applyNumberFormat="1" applyFont="1" applyFill="1" applyBorder="1" applyAlignment="1" applyProtection="1">
      <alignment horizontal="right"/>
    </xf>
    <xf numFmtId="167" fontId="4" fillId="26" borderId="55" xfId="0" applyNumberFormat="1" applyFont="1" applyFill="1" applyBorder="1" applyAlignment="1" applyProtection="1">
      <alignment horizontal="right"/>
    </xf>
    <xf numFmtId="167" fontId="4" fillId="26" borderId="56" xfId="0" applyNumberFormat="1" applyFont="1" applyFill="1" applyBorder="1" applyAlignment="1" applyProtection="1">
      <alignment horizontal="right"/>
    </xf>
    <xf numFmtId="167" fontId="4" fillId="26" borderId="57" xfId="0" applyNumberFormat="1" applyFont="1" applyFill="1" applyBorder="1" applyAlignment="1" applyProtection="1">
      <alignment horizontal="right"/>
    </xf>
    <xf numFmtId="167" fontId="4" fillId="26" borderId="58" xfId="0" applyNumberFormat="1" applyFont="1" applyFill="1" applyBorder="1" applyAlignment="1" applyProtection="1">
      <alignment horizontal="right"/>
    </xf>
    <xf numFmtId="167" fontId="4" fillId="26" borderId="59" xfId="0" applyNumberFormat="1" applyFont="1" applyFill="1" applyBorder="1" applyAlignment="1" applyProtection="1">
      <alignment horizontal="right"/>
    </xf>
    <xf numFmtId="167" fontId="4" fillId="26" borderId="60" xfId="0" applyNumberFormat="1" applyFont="1" applyFill="1" applyBorder="1" applyAlignment="1" applyProtection="1">
      <alignment horizontal="right"/>
    </xf>
    <xf numFmtId="167" fontId="4" fillId="26" borderId="61" xfId="0" applyNumberFormat="1" applyFont="1" applyFill="1" applyBorder="1" applyAlignment="1" applyProtection="1">
      <alignment horizontal="right"/>
    </xf>
    <xf numFmtId="167" fontId="4" fillId="26" borderId="62" xfId="0" applyNumberFormat="1" applyFont="1" applyFill="1" applyBorder="1" applyAlignment="1" applyProtection="1">
      <alignment horizontal="right"/>
    </xf>
    <xf numFmtId="167" fontId="4" fillId="26" borderId="63" xfId="0" applyNumberFormat="1" applyFont="1" applyFill="1" applyBorder="1" applyAlignment="1" applyProtection="1">
      <alignment horizontal="right"/>
    </xf>
    <xf numFmtId="167" fontId="4" fillId="26" borderId="64" xfId="0" applyNumberFormat="1" applyFont="1" applyFill="1" applyBorder="1" applyAlignment="1" applyProtection="1">
      <alignment horizontal="right"/>
    </xf>
    <xf numFmtId="167" fontId="4" fillId="26" borderId="65" xfId="0" applyNumberFormat="1" applyFont="1" applyFill="1" applyBorder="1" applyAlignment="1" applyProtection="1">
      <alignment horizontal="right"/>
    </xf>
    <xf numFmtId="167" fontId="4" fillId="26" borderId="66" xfId="0" applyNumberFormat="1" applyFont="1" applyFill="1" applyBorder="1" applyAlignment="1" applyProtection="1">
      <alignment horizontal="right"/>
    </xf>
    <xf numFmtId="167" fontId="4" fillId="26" borderId="67" xfId="0" applyNumberFormat="1" applyFont="1" applyFill="1" applyBorder="1" applyAlignment="1" applyProtection="1">
      <alignment horizontal="right"/>
    </xf>
    <xf numFmtId="167" fontId="4" fillId="26" borderId="68" xfId="0" applyNumberFormat="1" applyFont="1" applyFill="1" applyBorder="1" applyAlignment="1" applyProtection="1">
      <alignment horizontal="right"/>
    </xf>
    <xf numFmtId="167" fontId="4" fillId="26" borderId="69" xfId="0" applyNumberFormat="1" applyFont="1" applyFill="1" applyBorder="1" applyAlignment="1" applyProtection="1">
      <alignment horizontal="right"/>
    </xf>
    <xf numFmtId="167" fontId="4" fillId="26" borderId="70" xfId="0" applyNumberFormat="1" applyFont="1" applyFill="1" applyBorder="1" applyAlignment="1" applyProtection="1">
      <alignment horizontal="right"/>
    </xf>
    <xf numFmtId="0" fontId="6" fillId="0" borderId="71" xfId="0" applyFont="1" applyFill="1" applyBorder="1" applyProtection="1">
      <protection hidden="1"/>
    </xf>
    <xf numFmtId="0" fontId="6" fillId="0" borderId="72" xfId="0" applyFont="1" applyFill="1" applyBorder="1" applyProtection="1">
      <protection hidden="1"/>
    </xf>
    <xf numFmtId="0" fontId="6" fillId="0" borderId="73" xfId="0" applyFont="1" applyFill="1" applyBorder="1" applyProtection="1">
      <protection hidden="1"/>
    </xf>
    <xf numFmtId="0" fontId="66" fillId="0" borderId="0" xfId="0" applyFont="1"/>
    <xf numFmtId="171" fontId="67" fillId="0" borderId="74" xfId="0" applyNumberFormat="1" applyFont="1" applyFill="1" applyBorder="1" applyAlignment="1" applyProtection="1">
      <alignment horizontal="center" wrapText="1"/>
    </xf>
    <xf numFmtId="167" fontId="4" fillId="26" borderId="75" xfId="0" applyNumberFormat="1" applyFont="1" applyFill="1" applyBorder="1" applyAlignment="1" applyProtection="1">
      <alignment horizontal="right"/>
    </xf>
    <xf numFmtId="169" fontId="0" fillId="26" borderId="76" xfId="0" applyNumberFormat="1" applyFont="1" applyFill="1" applyBorder="1" applyAlignment="1" applyProtection="1">
      <alignment horizontal="center"/>
      <protection hidden="1"/>
    </xf>
    <xf numFmtId="0" fontId="0" fillId="0" borderId="77" xfId="0" applyBorder="1"/>
    <xf numFmtId="0" fontId="0" fillId="0" borderId="78" xfId="0" applyBorder="1"/>
    <xf numFmtId="0" fontId="0" fillId="0" borderId="79" xfId="0" applyBorder="1"/>
    <xf numFmtId="0" fontId="69" fillId="0" borderId="0" xfId="0" applyFont="1"/>
    <xf numFmtId="171" fontId="70" fillId="0" borderId="80" xfId="0" applyNumberFormat="1" applyFont="1" applyFill="1" applyBorder="1" applyAlignment="1" applyProtection="1">
      <alignment horizontal="center" wrapText="1"/>
    </xf>
    <xf numFmtId="0" fontId="0" fillId="0" borderId="81" xfId="0" applyBorder="1"/>
    <xf numFmtId="0" fontId="0" fillId="0" borderId="82" xfId="0" applyBorder="1"/>
    <xf numFmtId="0" fontId="43" fillId="0" borderId="83" xfId="0" applyFont="1" applyFill="1" applyBorder="1" applyProtection="1">
      <protection hidden="1"/>
    </xf>
    <xf numFmtId="0" fontId="43" fillId="0" borderId="84" xfId="0" applyFont="1" applyFill="1" applyBorder="1" applyProtection="1">
      <protection hidden="1"/>
    </xf>
    <xf numFmtId="0" fontId="43" fillId="0" borderId="85" xfId="0" applyFont="1" applyFill="1" applyBorder="1" applyProtection="1">
      <protection hidden="1"/>
    </xf>
    <xf numFmtId="0" fontId="43" fillId="0" borderId="86" xfId="0" applyFont="1" applyFill="1" applyBorder="1" applyProtection="1">
      <protection hidden="1"/>
    </xf>
    <xf numFmtId="0" fontId="0" fillId="0" borderId="87" xfId="0" applyBorder="1"/>
    <xf numFmtId="0" fontId="0" fillId="0" borderId="88" xfId="0" applyBorder="1"/>
    <xf numFmtId="0" fontId="0" fillId="0" borderId="89" xfId="0" applyBorder="1"/>
    <xf numFmtId="0" fontId="72" fillId="0" borderId="0" xfId="0" applyFont="1"/>
    <xf numFmtId="171" fontId="73" fillId="0" borderId="90" xfId="0" applyNumberFormat="1" applyFont="1" applyFill="1" applyBorder="1" applyAlignment="1" applyProtection="1">
      <alignment horizontal="center" wrapText="1"/>
    </xf>
    <xf numFmtId="0" fontId="75" fillId="0" borderId="0" xfId="0" applyFont="1"/>
    <xf numFmtId="171" fontId="76" fillId="0" borderId="91" xfId="0" applyNumberFormat="1" applyFont="1" applyFill="1" applyBorder="1" applyAlignment="1" applyProtection="1">
      <alignment horizontal="center" wrapText="1"/>
    </xf>
    <xf numFmtId="0" fontId="78" fillId="0" borderId="0" xfId="0" applyFont="1"/>
    <xf numFmtId="171" fontId="79" fillId="0" borderId="92" xfId="0" applyNumberFormat="1" applyFont="1" applyFill="1" applyBorder="1" applyAlignment="1" applyProtection="1">
      <alignment horizontal="center" wrapText="1"/>
    </xf>
    <xf numFmtId="0" fontId="81" fillId="0" borderId="0" xfId="0" applyFont="1"/>
    <xf numFmtId="171" fontId="82" fillId="0" borderId="93" xfId="0" applyNumberFormat="1" applyFont="1" applyFill="1" applyBorder="1" applyAlignment="1" applyProtection="1">
      <alignment horizontal="center" wrapText="1"/>
    </xf>
    <xf numFmtId="0" fontId="84" fillId="0" borderId="0" xfId="0" applyFont="1"/>
    <xf numFmtId="171" fontId="85" fillId="0" borderId="94" xfId="0" applyNumberFormat="1" applyFont="1" applyFill="1" applyBorder="1" applyAlignment="1" applyProtection="1">
      <alignment horizontal="center" wrapText="1"/>
    </xf>
    <xf numFmtId="0" fontId="87" fillId="0" borderId="0" xfId="0" applyFont="1"/>
    <xf numFmtId="171" fontId="88" fillId="0" borderId="95" xfId="0" applyNumberFormat="1" applyFont="1" applyFill="1" applyBorder="1" applyAlignment="1" applyProtection="1">
      <alignment horizontal="center" wrapText="1"/>
    </xf>
    <xf numFmtId="0" fontId="90" fillId="0" borderId="0" xfId="0" applyFont="1"/>
    <xf numFmtId="171" fontId="91" fillId="0" borderId="96" xfId="0" applyNumberFormat="1" applyFont="1" applyFill="1" applyBorder="1" applyAlignment="1" applyProtection="1">
      <alignment horizontal="center" wrapText="1"/>
    </xf>
    <xf numFmtId="0" fontId="93" fillId="0" borderId="0" xfId="0" applyFont="1"/>
    <xf numFmtId="171" fontId="94" fillId="0" borderId="97" xfId="0" applyNumberFormat="1" applyFont="1" applyFill="1" applyBorder="1" applyAlignment="1" applyProtection="1">
      <alignment horizontal="center" wrapText="1"/>
    </xf>
    <xf numFmtId="0" fontId="96" fillId="0" borderId="0" xfId="0" applyFont="1"/>
    <xf numFmtId="171" fontId="97" fillId="0" borderId="98" xfId="0" applyNumberFormat="1" applyFont="1" applyFill="1" applyBorder="1" applyAlignment="1" applyProtection="1">
      <alignment horizontal="center" wrapText="1"/>
    </xf>
    <xf numFmtId="0" fontId="99" fillId="0" borderId="0" xfId="0" applyFont="1"/>
    <xf numFmtId="171" fontId="100" fillId="0" borderId="99" xfId="0" applyNumberFormat="1" applyFont="1" applyFill="1" applyBorder="1" applyAlignment="1" applyProtection="1">
      <alignment horizontal="center" wrapText="1"/>
    </xf>
    <xf numFmtId="0" fontId="102" fillId="0" borderId="0" xfId="0" applyFont="1"/>
    <xf numFmtId="171" fontId="103" fillId="0" borderId="100" xfId="0" applyNumberFormat="1" applyFont="1" applyFill="1" applyBorder="1" applyAlignment="1" applyProtection="1">
      <alignment horizontal="center" wrapText="1"/>
    </xf>
    <xf numFmtId="0" fontId="105" fillId="0" borderId="0" xfId="0" applyFont="1"/>
    <xf numFmtId="171" fontId="106" fillId="0" borderId="101" xfId="0" applyNumberFormat="1" applyFont="1" applyFill="1" applyBorder="1" applyAlignment="1" applyProtection="1">
      <alignment horizontal="center" wrapText="1"/>
    </xf>
    <xf numFmtId="0" fontId="108" fillId="0" borderId="0" xfId="0" applyFont="1"/>
    <xf numFmtId="171" fontId="109" fillId="0" borderId="102" xfId="0" applyNumberFormat="1" applyFont="1" applyFill="1" applyBorder="1" applyAlignment="1" applyProtection="1">
      <alignment horizontal="center" wrapText="1"/>
    </xf>
    <xf numFmtId="0" fontId="111" fillId="0" borderId="0" xfId="0" applyFont="1"/>
    <xf numFmtId="171" fontId="112" fillId="0" borderId="103" xfId="0" applyNumberFormat="1" applyFont="1" applyFill="1" applyBorder="1" applyAlignment="1" applyProtection="1">
      <alignment horizontal="center" wrapText="1"/>
    </xf>
    <xf numFmtId="0" fontId="114" fillId="0" borderId="0" xfId="0" applyFont="1"/>
    <xf numFmtId="171" fontId="115" fillId="0" borderId="104" xfId="0" applyNumberFormat="1" applyFont="1" applyFill="1" applyBorder="1" applyAlignment="1" applyProtection="1">
      <alignment horizontal="center" wrapText="1"/>
    </xf>
    <xf numFmtId="0" fontId="117" fillId="0" borderId="0" xfId="0" applyFont="1"/>
    <xf numFmtId="171" fontId="118" fillId="0" borderId="105" xfId="0" applyNumberFormat="1" applyFont="1" applyFill="1" applyBorder="1" applyAlignment="1" applyProtection="1">
      <alignment horizontal="center" wrapText="1"/>
    </xf>
    <xf numFmtId="0" fontId="120" fillId="0" borderId="0" xfId="0" applyFont="1"/>
    <xf numFmtId="171" fontId="121" fillId="0" borderId="106" xfId="0" applyNumberFormat="1" applyFont="1" applyFill="1" applyBorder="1" applyAlignment="1" applyProtection="1">
      <alignment horizontal="center" wrapText="1"/>
    </xf>
    <xf numFmtId="0" fontId="123" fillId="0" borderId="0" xfId="0" applyFont="1"/>
    <xf numFmtId="171" fontId="124" fillId="0" borderId="107" xfId="0" applyNumberFormat="1" applyFont="1" applyFill="1" applyBorder="1" applyAlignment="1" applyProtection="1">
      <alignment horizontal="center" wrapText="1"/>
    </xf>
    <xf numFmtId="0" fontId="126" fillId="0" borderId="0" xfId="0" applyFont="1"/>
    <xf numFmtId="171" fontId="127" fillId="0" borderId="108" xfId="0" applyNumberFormat="1" applyFont="1" applyFill="1" applyBorder="1" applyAlignment="1" applyProtection="1">
      <alignment horizontal="center" wrapText="1"/>
    </xf>
    <xf numFmtId="0" fontId="0" fillId="0" borderId="109" xfId="0" applyFill="1" applyBorder="1" applyProtection="1">
      <protection hidden="1"/>
    </xf>
    <xf numFmtId="0" fontId="0" fillId="0" borderId="109" xfId="0" applyBorder="1"/>
    <xf numFmtId="0" fontId="43" fillId="0" borderId="109" xfId="0" applyFont="1" applyFill="1" applyBorder="1" applyProtection="1">
      <protection hidden="1"/>
    </xf>
    <xf numFmtId="0" fontId="0" fillId="0" borderId="0" xfId="0" applyBorder="1"/>
    <xf numFmtId="0" fontId="0" fillId="0" borderId="110" xfId="0" applyBorder="1"/>
    <xf numFmtId="0" fontId="50" fillId="26" borderId="0" xfId="0" applyFont="1" applyFill="1" applyBorder="1" applyAlignment="1" applyProtection="1">
      <alignment horizontal="center" vertical="center" wrapText="1"/>
    </xf>
    <xf numFmtId="0" fontId="45" fillId="0" borderId="0" xfId="0" applyFont="1" applyFill="1" applyBorder="1" applyAlignment="1" applyProtection="1">
      <alignment horizontal="center" vertical="top" wrapText="1"/>
    </xf>
    <xf numFmtId="0" fontId="50" fillId="0" borderId="0" xfId="0" applyFont="1" applyFill="1" applyBorder="1" applyAlignment="1" applyProtection="1">
      <alignment horizontal="center" vertical="center" wrapText="1"/>
    </xf>
    <xf numFmtId="0" fontId="60" fillId="0" borderId="0" xfId="0" applyFont="1" applyFill="1" applyBorder="1" applyAlignment="1" applyProtection="1">
      <alignment horizontal="center" vertical="center" wrapText="1"/>
      <protection hidden="1"/>
    </xf>
    <xf numFmtId="0" fontId="33" fillId="26" borderId="10" xfId="0" applyNumberFormat="1" applyFont="1" applyFill="1" applyBorder="1" applyAlignment="1" applyProtection="1">
      <alignment horizontal="center" vertical="center" wrapText="1"/>
      <protection hidden="1"/>
    </xf>
    <xf numFmtId="0" fontId="32" fillId="27" borderId="18" xfId="0" applyFont="1" applyFill="1" applyBorder="1" applyAlignment="1" applyProtection="1">
      <alignment horizontal="center" vertical="center"/>
      <protection locked="0"/>
    </xf>
    <xf numFmtId="0" fontId="32" fillId="27" borderId="19" xfId="0" applyFont="1" applyFill="1" applyBorder="1" applyAlignment="1" applyProtection="1">
      <alignment horizontal="center" vertical="center"/>
      <protection locked="0"/>
    </xf>
    <xf numFmtId="2" fontId="33" fillId="26" borderId="18" xfId="0" applyNumberFormat="1" applyFont="1" applyFill="1" applyBorder="1" applyAlignment="1" applyProtection="1">
      <alignment horizontal="center" vertical="center" wrapText="1"/>
      <protection hidden="1"/>
    </xf>
    <xf numFmtId="2" fontId="33" fillId="26" borderId="19" xfId="0" applyNumberFormat="1" applyFont="1" applyFill="1" applyBorder="1" applyAlignment="1" applyProtection="1">
      <alignment horizontal="center" vertical="center" wrapText="1"/>
      <protection hidden="1"/>
    </xf>
    <xf numFmtId="0" fontId="32" fillId="27" borderId="10" xfId="0" applyFont="1" applyFill="1" applyBorder="1" applyAlignment="1" applyProtection="1">
      <alignment horizontal="center" vertical="center"/>
      <protection locked="0"/>
    </xf>
    <xf numFmtId="2" fontId="32" fillId="0" borderId="29" xfId="0" applyNumberFormat="1" applyFont="1" applyFill="1" applyBorder="1" applyAlignment="1" applyProtection="1">
      <alignment horizontal="center" vertical="center" wrapText="1"/>
      <protection hidden="1"/>
    </xf>
    <xf numFmtId="2" fontId="32" fillId="0" borderId="30" xfId="0" applyNumberFormat="1" applyFont="1" applyFill="1" applyBorder="1" applyAlignment="1" applyProtection="1">
      <alignment horizontal="center" vertical="center" wrapText="1"/>
      <protection hidden="1"/>
    </xf>
    <xf numFmtId="0" fontId="59" fillId="26" borderId="17" xfId="0" applyFont="1" applyFill="1" applyBorder="1" applyAlignment="1" applyProtection="1">
      <alignment horizontal="center" vertical="center" wrapText="1"/>
      <protection hidden="1"/>
    </xf>
    <xf numFmtId="0" fontId="58" fillId="26" borderId="17" xfId="0" applyFont="1" applyFill="1" applyBorder="1" applyAlignment="1" applyProtection="1">
      <alignment vertical="center" wrapText="1"/>
      <protection hidden="1"/>
    </xf>
    <xf numFmtId="0" fontId="32" fillId="27" borderId="18" xfId="0" applyFont="1" applyFill="1" applyBorder="1" applyAlignment="1" applyProtection="1">
      <alignment horizontal="left" vertical="center" wrapText="1"/>
      <protection locked="0"/>
    </xf>
    <xf numFmtId="0" fontId="32" fillId="27" borderId="20" xfId="0" applyFont="1" applyFill="1" applyBorder="1" applyAlignment="1" applyProtection="1">
      <alignment horizontal="left" vertical="center" wrapText="1"/>
      <protection locked="0"/>
    </xf>
    <xf numFmtId="0" fontId="32" fillId="27" borderId="19" xfId="0" applyFont="1" applyFill="1" applyBorder="1" applyAlignment="1" applyProtection="1">
      <alignment horizontal="left" vertical="center" wrapText="1"/>
      <protection locked="0"/>
    </xf>
    <xf numFmtId="0" fontId="4" fillId="0" borderId="0" xfId="0" applyFont="1" applyFill="1" applyBorder="1" applyAlignment="1" applyProtection="1">
      <alignment horizontal="center" vertical="center"/>
      <protection hidden="1"/>
    </xf>
    <xf numFmtId="49" fontId="38" fillId="27" borderId="10" xfId="0" applyNumberFormat="1" applyFont="1" applyFill="1" applyBorder="1" applyAlignment="1" applyProtection="1">
      <alignment horizontal="left" vertical="center" wrapText="1"/>
    </xf>
    <xf numFmtId="2" fontId="32" fillId="0" borderId="24" xfId="0" applyNumberFormat="1" applyFont="1" applyFill="1" applyBorder="1" applyAlignment="1" applyProtection="1">
      <alignment horizontal="center" vertical="center" wrapText="1"/>
      <protection hidden="1"/>
    </xf>
    <xf numFmtId="2" fontId="32" fillId="0" borderId="25" xfId="0" applyNumberFormat="1" applyFont="1" applyFill="1" applyBorder="1" applyAlignment="1" applyProtection="1">
      <alignment horizontal="center" vertical="center" wrapText="1"/>
      <protection hidden="1"/>
    </xf>
    <xf numFmtId="2" fontId="32" fillId="0" borderId="16" xfId="0" applyNumberFormat="1" applyFont="1" applyFill="1" applyBorder="1" applyAlignment="1" applyProtection="1">
      <alignment horizontal="center" vertical="center" wrapText="1"/>
      <protection hidden="1"/>
    </xf>
    <xf numFmtId="2" fontId="32" fillId="0" borderId="26" xfId="0" applyNumberFormat="1" applyFont="1" applyFill="1" applyBorder="1" applyAlignment="1" applyProtection="1">
      <alignment horizontal="center" vertical="center" wrapText="1"/>
      <protection hidden="1"/>
    </xf>
    <xf numFmtId="2" fontId="32" fillId="0" borderId="27" xfId="0" applyNumberFormat="1" applyFont="1" applyFill="1" applyBorder="1" applyAlignment="1" applyProtection="1">
      <alignment horizontal="center" vertical="center" wrapText="1"/>
      <protection hidden="1"/>
    </xf>
    <xf numFmtId="2" fontId="32" fillId="0" borderId="28" xfId="0" applyNumberFormat="1" applyFont="1" applyFill="1" applyBorder="1" applyAlignment="1" applyProtection="1">
      <alignment horizontal="center" vertical="center" wrapText="1"/>
      <protection hidden="1"/>
    </xf>
    <xf numFmtId="0" fontId="32" fillId="27" borderId="13" xfId="0" applyFont="1" applyFill="1" applyBorder="1" applyAlignment="1" applyProtection="1">
      <alignment horizontal="center" vertical="top" wrapText="1"/>
      <protection locked="0"/>
    </xf>
    <xf numFmtId="0" fontId="32" fillId="27" borderId="14" xfId="0" applyFont="1" applyFill="1" applyBorder="1" applyAlignment="1" applyProtection="1">
      <alignment horizontal="center" vertical="top" wrapText="1"/>
      <protection locked="0"/>
    </xf>
    <xf numFmtId="0" fontId="32" fillId="27" borderId="21" xfId="0" applyFont="1" applyFill="1" applyBorder="1" applyAlignment="1" applyProtection="1">
      <alignment horizontal="center" vertical="top" wrapText="1"/>
      <protection locked="0"/>
    </xf>
    <xf numFmtId="0" fontId="32" fillId="27" borderId="10" xfId="0" applyFont="1" applyFill="1" applyBorder="1" applyAlignment="1" applyProtection="1">
      <alignment horizontal="left" vertical="center" wrapText="1"/>
      <protection locked="0"/>
    </xf>
    <xf numFmtId="0" fontId="33" fillId="0" borderId="0" xfId="0" applyNumberFormat="1" applyFont="1" applyFill="1" applyBorder="1" applyAlignment="1" applyProtection="1">
      <alignment horizontal="left" vertical="center" wrapText="1"/>
      <protection hidden="1"/>
    </xf>
    <xf numFmtId="2" fontId="33" fillId="0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2" fontId="33" fillId="0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32" fillId="0" borderId="0" xfId="0" applyFont="1" applyFill="1" applyBorder="1" applyAlignment="1" applyProtection="1">
      <alignment horizontal="center" vertical="center" wrapText="1"/>
      <protection hidden="1"/>
    </xf>
    <xf numFmtId="0" fontId="0" fillId="26" borderId="10" xfId="0" applyFill="1" applyBorder="1" applyAlignment="1" applyProtection="1">
      <alignment horizontal="left"/>
      <protection hidden="1"/>
    </xf>
    <xf numFmtId="0" fontId="0" fillId="0" borderId="10" xfId="0" applyBorder="1" applyAlignment="1">
      <alignment horizontal="left"/>
    </xf>
    <xf numFmtId="0" fontId="28" fillId="0" borderId="0" xfId="0" applyFont="1" applyFill="1" applyBorder="1" applyAlignment="1" applyProtection="1">
      <alignment horizontal="center"/>
    </xf>
    <xf numFmtId="0" fontId="28" fillId="0" borderId="0" xfId="0" applyFont="1" applyFill="1" applyBorder="1" applyAlignment="1" applyProtection="1"/>
    <xf numFmtId="0" fontId="0" fillId="0" borderId="0" xfId="0" applyFill="1" applyProtection="1">
      <protection hidden="1"/>
    </xf>
    <xf numFmtId="0" fontId="0" fillId="0" borderId="0" xfId="0"/>
    <xf numFmtId="0" fontId="33" fillId="0" borderId="0" xfId="0" applyFont="1" applyAlignment="1">
      <alignment horizontal="center"/>
    </xf>
    <xf numFmtId="0" fontId="33" fillId="0" borderId="15" xfId="0" applyFont="1" applyBorder="1" applyAlignment="1">
      <alignment horizontal="center"/>
    </xf>
    <xf numFmtId="165" fontId="3" fillId="0" borderId="10" xfId="0" applyNumberFormat="1" applyFont="1" applyFill="1" applyBorder="1" applyAlignment="1" applyProtection="1">
      <alignment horizontal="center" vertical="center"/>
    </xf>
    <xf numFmtId="0" fontId="61" fillId="0" borderId="0" xfId="0" applyFont="1" applyFill="1" applyBorder="1" applyAlignment="1" applyProtection="1">
      <alignment horizontal="center" vertical="center" wrapText="1"/>
      <protection locked="0" hidden="1"/>
    </xf>
    <xf numFmtId="0" fontId="29" fillId="26" borderId="18" xfId="0" applyFont="1" applyFill="1" applyBorder="1" applyAlignment="1" applyProtection="1">
      <alignment horizontal="center" vertical="center" wrapText="1"/>
      <protection hidden="1"/>
    </xf>
    <xf numFmtId="0" fontId="29" fillId="26" borderId="19" xfId="0" applyFont="1" applyFill="1" applyBorder="1" applyAlignment="1" applyProtection="1">
      <alignment horizontal="center" vertical="center" wrapText="1"/>
      <protection hidden="1"/>
    </xf>
    <xf numFmtId="0" fontId="54" fillId="26" borderId="18" xfId="0" applyFont="1" applyFill="1" applyBorder="1" applyAlignment="1" applyProtection="1">
      <alignment horizontal="center" vertical="center" wrapText="1"/>
      <protection hidden="1"/>
    </xf>
    <xf numFmtId="0" fontId="54" fillId="26" borderId="20" xfId="0" applyFont="1" applyFill="1" applyBorder="1" applyAlignment="1" applyProtection="1">
      <alignment horizontal="center" vertical="center" wrapText="1"/>
      <protection hidden="1"/>
    </xf>
    <xf numFmtId="0" fontId="54" fillId="26" borderId="19" xfId="0" applyFont="1" applyFill="1" applyBorder="1" applyAlignment="1" applyProtection="1">
      <alignment horizontal="center" vertical="center" wrapText="1"/>
      <protection hidden="1"/>
    </xf>
    <xf numFmtId="0" fontId="51" fillId="26" borderId="33" xfId="0" applyFont="1" applyFill="1" applyBorder="1" applyAlignment="1" applyProtection="1">
      <alignment horizontal="center" vertical="center" wrapText="1"/>
      <protection hidden="1"/>
    </xf>
    <xf numFmtId="2" fontId="39" fillId="29" borderId="14" xfId="0" applyNumberFormat="1" applyFont="1" applyFill="1" applyBorder="1" applyAlignment="1" applyProtection="1">
      <alignment horizontal="center" vertical="center"/>
    </xf>
    <xf numFmtId="2" fontId="39" fillId="29" borderId="14" xfId="0" applyNumberFormat="1" applyFont="1" applyFill="1" applyBorder="1" applyAlignment="1" applyProtection="1">
      <alignment vertical="center"/>
    </xf>
    <xf numFmtId="0" fontId="0" fillId="0" borderId="0" xfId="0" applyFont="1" applyFill="1" applyProtection="1">
      <protection hidden="1"/>
    </xf>
    <xf numFmtId="0" fontId="6" fillId="0" borderId="0" xfId="0" applyFont="1" applyFill="1" applyProtection="1">
      <protection hidden="1"/>
    </xf>
    <xf numFmtId="0" fontId="6" fillId="0" borderId="0" xfId="0" applyFont="1" applyFill="1" applyAlignment="1" applyProtection="1">
      <alignment wrapText="1"/>
      <protection hidden="1"/>
    </xf>
    <xf numFmtId="0" fontId="6" fillId="0" borderId="44" xfId="0" applyFont="1" applyFill="1" applyBorder="1" applyProtection="1">
      <protection hidden="1"/>
    </xf>
    <xf numFmtId="0" fontId="55" fillId="30" borderId="0" xfId="0" applyFont="1" applyFill="1" applyBorder="1" applyAlignment="1" applyProtection="1">
      <alignment horizontal="center" vertical="center"/>
      <protection hidden="1"/>
    </xf>
    <xf numFmtId="0" fontId="35" fillId="30" borderId="0" xfId="0" applyFont="1" applyFill="1" applyBorder="1" applyAlignment="1" applyProtection="1">
      <protection hidden="1"/>
    </xf>
    <xf numFmtId="0" fontId="6" fillId="0" borderId="45" xfId="0" applyFont="1" applyFill="1" applyBorder="1" applyProtection="1">
      <protection hidden="1"/>
    </xf>
    <xf numFmtId="0" fontId="35" fillId="30" borderId="15" xfId="0" applyFont="1" applyFill="1" applyBorder="1" applyAlignment="1" applyProtection="1">
      <alignment horizontal="center" vertical="center"/>
      <protection hidden="1"/>
    </xf>
    <xf numFmtId="0" fontId="35" fillId="30" borderId="15" xfId="0" applyFont="1" applyFill="1" applyBorder="1" applyAlignment="1" applyProtection="1">
      <protection hidden="1"/>
    </xf>
    <xf numFmtId="0" fontId="6" fillId="0" borderId="46" xfId="0" applyFont="1" applyFill="1" applyBorder="1" applyProtection="1">
      <protection hidden="1"/>
    </xf>
    <xf numFmtId="1" fontId="3" fillId="0" borderId="10" xfId="0" applyNumberFormat="1" applyFont="1" applyFill="1" applyBorder="1" applyAlignment="1" applyProtection="1">
      <alignment horizontal="center" vertical="center"/>
      <protection hidden="1"/>
    </xf>
    <xf numFmtId="0" fontId="62" fillId="0" borderId="10" xfId="0" applyFont="1" applyFill="1" applyBorder="1" applyAlignment="1">
      <alignment horizontal="left" vertical="center"/>
    </xf>
    <xf numFmtId="0" fontId="3" fillId="0" borderId="10" xfId="0" applyFont="1" applyFill="1" applyBorder="1" applyAlignment="1">
      <alignment horizontal="left" vertical="center"/>
    </xf>
    <xf numFmtId="0" fontId="49" fillId="26" borderId="18" xfId="0" applyFont="1" applyFill="1" applyBorder="1" applyAlignment="1" applyProtection="1">
      <alignment horizontal="right"/>
      <protection hidden="1"/>
    </xf>
    <xf numFmtId="0" fontId="49" fillId="26" borderId="20" xfId="0" applyFont="1" applyFill="1" applyBorder="1" applyAlignment="1" applyProtection="1">
      <alignment horizontal="right"/>
      <protection hidden="1"/>
    </xf>
    <xf numFmtId="0" fontId="0" fillId="26" borderId="10" xfId="0" applyFill="1" applyBorder="1" applyAlignment="1" applyProtection="1">
      <alignment horizontal="center"/>
      <protection hidden="1"/>
    </xf>
    <xf numFmtId="0" fontId="65" fillId="0" borderId="10" xfId="0" applyFont="1" applyFill="1" applyBorder="1" applyAlignment="1">
      <alignment horizontal="left" vertical="center"/>
    </xf>
    <xf numFmtId="0" fontId="68" fillId="0" borderId="10" xfId="0" applyFont="1" applyFill="1" applyBorder="1" applyAlignment="1">
      <alignment horizontal="left" vertical="center"/>
    </xf>
    <xf numFmtId="0" fontId="71" fillId="0" borderId="10" xfId="0" applyFont="1" applyFill="1" applyBorder="1" applyAlignment="1">
      <alignment horizontal="left" vertical="center"/>
    </xf>
    <xf numFmtId="0" fontId="74" fillId="0" borderId="10" xfId="0" applyFont="1" applyFill="1" applyBorder="1" applyAlignment="1">
      <alignment horizontal="left" vertical="center"/>
    </xf>
    <xf numFmtId="0" fontId="77" fillId="0" borderId="10" xfId="0" applyFont="1" applyFill="1" applyBorder="1" applyAlignment="1">
      <alignment horizontal="left" vertical="center"/>
    </xf>
    <xf numFmtId="0" fontId="80" fillId="0" borderId="10" xfId="0" applyFont="1" applyFill="1" applyBorder="1" applyAlignment="1">
      <alignment horizontal="left" vertical="center"/>
    </xf>
    <xf numFmtId="0" fontId="83" fillId="0" borderId="10" xfId="0" applyFont="1" applyFill="1" applyBorder="1" applyAlignment="1">
      <alignment horizontal="left" vertical="center"/>
    </xf>
    <xf numFmtId="0" fontId="86" fillId="0" borderId="10" xfId="0" applyFont="1" applyFill="1" applyBorder="1" applyAlignment="1">
      <alignment horizontal="left" vertical="center"/>
    </xf>
    <xf numFmtId="0" fontId="89" fillId="0" borderId="10" xfId="0" applyFont="1" applyFill="1" applyBorder="1" applyAlignment="1">
      <alignment horizontal="left" vertical="center"/>
    </xf>
    <xf numFmtId="0" fontId="92" fillId="0" borderId="10" xfId="0" applyFont="1" applyFill="1" applyBorder="1" applyAlignment="1">
      <alignment horizontal="left" vertical="center"/>
    </xf>
    <xf numFmtId="0" fontId="95" fillId="0" borderId="10" xfId="0" applyFont="1" applyFill="1" applyBorder="1" applyAlignment="1">
      <alignment horizontal="left" vertical="center"/>
    </xf>
    <xf numFmtId="0" fontId="98" fillId="0" borderId="10" xfId="0" applyFont="1" applyFill="1" applyBorder="1" applyAlignment="1">
      <alignment horizontal="left" vertical="center"/>
    </xf>
    <xf numFmtId="0" fontId="101" fillId="0" borderId="10" xfId="0" applyFont="1" applyFill="1" applyBorder="1" applyAlignment="1">
      <alignment horizontal="left" vertical="center"/>
    </xf>
    <xf numFmtId="0" fontId="104" fillId="0" borderId="10" xfId="0" applyFont="1" applyFill="1" applyBorder="1" applyAlignment="1">
      <alignment horizontal="left" vertical="center"/>
    </xf>
    <xf numFmtId="0" fontId="107" fillId="0" borderId="10" xfId="0" applyFont="1" applyFill="1" applyBorder="1" applyAlignment="1">
      <alignment horizontal="left" vertical="center"/>
    </xf>
    <xf numFmtId="0" fontId="110" fillId="0" borderId="10" xfId="0" applyFont="1" applyFill="1" applyBorder="1" applyAlignment="1">
      <alignment horizontal="left" vertical="center"/>
    </xf>
    <xf numFmtId="0" fontId="113" fillId="0" borderId="10" xfId="0" applyFont="1" applyFill="1" applyBorder="1" applyAlignment="1">
      <alignment horizontal="left" vertical="center"/>
    </xf>
    <xf numFmtId="0" fontId="116" fillId="0" borderId="10" xfId="0" applyFont="1" applyFill="1" applyBorder="1" applyAlignment="1">
      <alignment horizontal="left" vertical="center"/>
    </xf>
    <xf numFmtId="0" fontId="119" fillId="0" borderId="10" xfId="0" applyFont="1" applyFill="1" applyBorder="1" applyAlignment="1">
      <alignment horizontal="left" vertical="center"/>
    </xf>
    <xf numFmtId="0" fontId="122" fillId="0" borderId="10" xfId="0" applyFont="1" applyFill="1" applyBorder="1" applyAlignment="1">
      <alignment horizontal="left" vertical="center"/>
    </xf>
    <xf numFmtId="0" fontId="125" fillId="0" borderId="10" xfId="0" applyFont="1" applyFill="1" applyBorder="1" applyAlignment="1">
      <alignment horizontal="left" vertical="center"/>
    </xf>
    <xf numFmtId="0" fontId="49" fillId="26" borderId="18" xfId="0" applyFont="1" applyFill="1" applyBorder="1" applyAlignment="1" applyProtection="1">
      <alignment horizontal="left"/>
      <protection hidden="1"/>
    </xf>
    <xf numFmtId="0" fontId="49" fillId="26" borderId="20" xfId="0" applyFont="1" applyFill="1" applyBorder="1" applyAlignment="1" applyProtection="1">
      <alignment horizontal="left"/>
      <protection hidden="1"/>
    </xf>
    <xf numFmtId="0" fontId="38" fillId="0" borderId="17" xfId="0" applyFont="1" applyFill="1" applyBorder="1" applyAlignment="1" applyProtection="1">
      <alignment horizontal="center" vertical="center" wrapText="1"/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57" fillId="26" borderId="17" xfId="0" applyFont="1" applyFill="1" applyBorder="1" applyAlignment="1" applyProtection="1">
      <alignment horizontal="center" vertical="center" wrapText="1"/>
      <protection hidden="1"/>
    </xf>
  </cellXfs>
  <cellStyles count="62">
    <cellStyle name="20% - Акцент1 2" xfId="1" xr:uid="{00000000-0005-0000-0000-000000000000}"/>
    <cellStyle name="20% - Акцент1 2 2" xfId="47" xr:uid="{00000000-0005-0000-0000-000001000000}"/>
    <cellStyle name="20% - Акцент2 2" xfId="2" xr:uid="{00000000-0005-0000-0000-000002000000}"/>
    <cellStyle name="20% - Акцент2 2 2" xfId="48" xr:uid="{00000000-0005-0000-0000-000003000000}"/>
    <cellStyle name="20% - Акцент3 2" xfId="3" xr:uid="{00000000-0005-0000-0000-000004000000}"/>
    <cellStyle name="20% - Акцент3 2 2" xfId="49" xr:uid="{00000000-0005-0000-0000-000005000000}"/>
    <cellStyle name="20% - Акцент4 2" xfId="4" xr:uid="{00000000-0005-0000-0000-000006000000}"/>
    <cellStyle name="20% - Акцент4 2 2" xfId="50" xr:uid="{00000000-0005-0000-0000-000007000000}"/>
    <cellStyle name="20% - Акцент5 2" xfId="5" xr:uid="{00000000-0005-0000-0000-000008000000}"/>
    <cellStyle name="20% - Акцент5 2 2" xfId="51" xr:uid="{00000000-0005-0000-0000-000009000000}"/>
    <cellStyle name="20% - Акцент6 2" xfId="6" xr:uid="{00000000-0005-0000-0000-00000A000000}"/>
    <cellStyle name="20% - Акцент6 2 2" xfId="52" xr:uid="{00000000-0005-0000-0000-00000B000000}"/>
    <cellStyle name="40% - Акцент1 2" xfId="7" xr:uid="{00000000-0005-0000-0000-00000C000000}"/>
    <cellStyle name="40% - Акцент1 2 2" xfId="53" xr:uid="{00000000-0005-0000-0000-00000D000000}"/>
    <cellStyle name="40% - Акцент2 2" xfId="8" xr:uid="{00000000-0005-0000-0000-00000E000000}"/>
    <cellStyle name="40% - Акцент2 2 2" xfId="54" xr:uid="{00000000-0005-0000-0000-00000F000000}"/>
    <cellStyle name="40% - Акцент3 2" xfId="9" xr:uid="{00000000-0005-0000-0000-000010000000}"/>
    <cellStyle name="40% - Акцент3 2 2" xfId="55" xr:uid="{00000000-0005-0000-0000-000011000000}"/>
    <cellStyle name="40% - Акцент4 2" xfId="10" xr:uid="{00000000-0005-0000-0000-000012000000}"/>
    <cellStyle name="40% - Акцент4 2 2" xfId="56" xr:uid="{00000000-0005-0000-0000-000013000000}"/>
    <cellStyle name="40% - Акцент5 2" xfId="11" xr:uid="{00000000-0005-0000-0000-000014000000}"/>
    <cellStyle name="40% - Акцент5 2 2" xfId="57" xr:uid="{00000000-0005-0000-0000-000015000000}"/>
    <cellStyle name="40% - Акцент6 2" xfId="12" xr:uid="{00000000-0005-0000-0000-000016000000}"/>
    <cellStyle name="40% - Акцент6 2 2" xfId="58" xr:uid="{00000000-0005-0000-0000-000017000000}"/>
    <cellStyle name="60% - Акцент1 2" xfId="13" xr:uid="{00000000-0005-0000-0000-000018000000}"/>
    <cellStyle name="60% - Акцент2 2" xfId="14" xr:uid="{00000000-0005-0000-0000-000019000000}"/>
    <cellStyle name="60% - Акцент3 2" xfId="15" xr:uid="{00000000-0005-0000-0000-00001A000000}"/>
    <cellStyle name="60% - Акцент4 2" xfId="16" xr:uid="{00000000-0005-0000-0000-00001B000000}"/>
    <cellStyle name="60% - Акцент5 2" xfId="17" xr:uid="{00000000-0005-0000-0000-00001C000000}"/>
    <cellStyle name="60% - Акцент6 2" xfId="18" xr:uid="{00000000-0005-0000-0000-00001D000000}"/>
    <cellStyle name="Акцент1 2" xfId="19" xr:uid="{00000000-0005-0000-0000-00001E000000}"/>
    <cellStyle name="Акцент2 2" xfId="20" xr:uid="{00000000-0005-0000-0000-00001F000000}"/>
    <cellStyle name="Акцент3 2" xfId="21" xr:uid="{00000000-0005-0000-0000-000020000000}"/>
    <cellStyle name="Акцент4 2" xfId="22" xr:uid="{00000000-0005-0000-0000-000021000000}"/>
    <cellStyle name="Акцент5 2" xfId="23" xr:uid="{00000000-0005-0000-0000-000022000000}"/>
    <cellStyle name="Акцент6 2" xfId="24" xr:uid="{00000000-0005-0000-0000-000023000000}"/>
    <cellStyle name="Ввод  2" xfId="25" xr:uid="{00000000-0005-0000-0000-000024000000}"/>
    <cellStyle name="Вывод 2" xfId="26" xr:uid="{00000000-0005-0000-0000-000025000000}"/>
    <cellStyle name="Вычисление 2" xfId="27" xr:uid="{00000000-0005-0000-0000-000026000000}"/>
    <cellStyle name="Заголовок 1 2" xfId="28" xr:uid="{00000000-0005-0000-0000-000027000000}"/>
    <cellStyle name="Заголовок 2 2" xfId="29" xr:uid="{00000000-0005-0000-0000-000028000000}"/>
    <cellStyle name="Заголовок 3 2" xfId="30" xr:uid="{00000000-0005-0000-0000-000029000000}"/>
    <cellStyle name="Заголовок 4 2" xfId="31" xr:uid="{00000000-0005-0000-0000-00002A000000}"/>
    <cellStyle name="Итог 2" xfId="32" xr:uid="{00000000-0005-0000-0000-00002B000000}"/>
    <cellStyle name="Контрольная ячейка 2" xfId="33" xr:uid="{00000000-0005-0000-0000-00002C000000}"/>
    <cellStyle name="Название 2" xfId="34" xr:uid="{00000000-0005-0000-0000-00002D000000}"/>
    <cellStyle name="Нейтральный 2" xfId="35" xr:uid="{00000000-0005-0000-0000-00002E000000}"/>
    <cellStyle name="Обычный" xfId="0" builtinId="0"/>
    <cellStyle name="Обычный 16" xfId="36" xr:uid="{00000000-0005-0000-0000-000030000000}"/>
    <cellStyle name="Обычный 16 2" xfId="37" xr:uid="{00000000-0005-0000-0000-000031000000}"/>
    <cellStyle name="Обычный 16 2 2" xfId="59" xr:uid="{00000000-0005-0000-0000-000032000000}"/>
    <cellStyle name="Обычный 2" xfId="38" xr:uid="{00000000-0005-0000-0000-000033000000}"/>
    <cellStyle name="Обычный 2 2" xfId="39" xr:uid="{00000000-0005-0000-0000-000034000000}"/>
    <cellStyle name="Обычный 2 2 2" xfId="60" xr:uid="{00000000-0005-0000-0000-000035000000}"/>
    <cellStyle name="Обычный 3" xfId="40" xr:uid="{00000000-0005-0000-0000-000036000000}"/>
    <cellStyle name="Плохой 2" xfId="41" xr:uid="{00000000-0005-0000-0000-000037000000}"/>
    <cellStyle name="Пояснение 2" xfId="42" xr:uid="{00000000-0005-0000-0000-000038000000}"/>
    <cellStyle name="Примечание 2" xfId="43" xr:uid="{00000000-0005-0000-0000-000039000000}"/>
    <cellStyle name="Примечание 2 2" xfId="61" xr:uid="{00000000-0005-0000-0000-00003A000000}"/>
    <cellStyle name="Связанная ячейка 2" xfId="44" xr:uid="{00000000-0005-0000-0000-00003B000000}"/>
    <cellStyle name="Текст предупреждения 2" xfId="45" xr:uid="{00000000-0005-0000-0000-00003C000000}"/>
    <cellStyle name="Хороший 2" xfId="46" xr:uid="{00000000-0005-0000-0000-00003D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CJ124"/>
  <sheetViews>
    <sheetView showGridLines="0" tabSelected="1" zoomScale="70" zoomScaleNormal="70" zoomScaleSheetLayoutView="100" workbookViewId="0">
      <selection activeCell="Q9" sqref="Q9"/>
    </sheetView>
  </sheetViews>
  <sheetFormatPr defaultColWidth="9.140625" defaultRowHeight="12.75" x14ac:dyDescent="0.2"/>
  <cols>
    <col min="1" max="1" width="9.140625" customWidth="1"/>
    <col min="2" max="2" width="10.85546875" customWidth="1"/>
    <col min="3" max="3" width="9.42578125" customWidth="1"/>
    <col min="4" max="4" width="13.85546875" customWidth="1"/>
    <col min="5" max="5" width="9.42578125" customWidth="1"/>
    <col min="6" max="6" width="11.140625" customWidth="1"/>
    <col min="7" max="7" width="9.42578125" style="12" customWidth="1"/>
    <col min="8" max="8" width="9.42578125" customWidth="1"/>
    <col min="9" max="9" width="11.42578125" customWidth="1"/>
    <col min="10" max="10" width="13.85546875" hidden="1" customWidth="1"/>
    <col min="11" max="11" width="9.42578125" customWidth="1"/>
    <col min="12" max="12" width="15.85546875" hidden="1" customWidth="1"/>
    <col min="13" max="13" width="5" customWidth="1"/>
    <col min="14" max="14" width="5.140625" customWidth="1"/>
    <col min="15" max="15" width="7.42578125" customWidth="1"/>
    <col min="16" max="16" width="16.42578125" customWidth="1"/>
    <col min="17" max="17" width="12.42578125" customWidth="1"/>
    <col min="18" max="18" width="19.42578125" style="10" customWidth="1"/>
    <col min="19" max="19" width="19.42578125" customWidth="1"/>
    <col min="20" max="20" width="4.42578125" customWidth="1"/>
    <col min="21" max="21" width="15.85546875" style="4" customWidth="1"/>
    <col min="22" max="22" width="15.85546875" customWidth="1"/>
    <col min="23" max="24" width="15.85546875" style="4" customWidth="1"/>
    <col min="25" max="30" width="15.85546875" customWidth="1"/>
    <col min="31" max="31" width="24.7109375" customWidth="1"/>
    <col min="32" max="32" width="14.140625" customWidth="1"/>
    <col min="33" max="33" width="16.140625" customWidth="1"/>
    <col min="34" max="34" width="30.7109375" style="4" customWidth="1"/>
    <col min="35" max="36" width="9.140625" style="4" customWidth="1"/>
    <col min="37" max="37" width="9.140625" customWidth="1"/>
    <col min="38" max="39" width="9.140625" style="59" customWidth="1"/>
    <col min="40" max="41" width="9.140625" customWidth="1"/>
    <col min="42" max="42" width="11" customWidth="1"/>
    <col min="43" max="200" width="9.140625" style="4" customWidth="1"/>
    <col min="201" max="16384" width="9.140625" style="4"/>
  </cols>
  <sheetData>
    <row r="1" spans="1:41" ht="32.25" customHeight="1" x14ac:dyDescent="0.2">
      <c r="A1" s="185" t="s">
        <v>28</v>
      </c>
      <c r="B1" s="185"/>
      <c r="C1" s="185"/>
      <c r="D1" s="185"/>
      <c r="E1" s="185"/>
      <c r="F1" s="36" t="s">
        <v>65</v>
      </c>
      <c r="G1" s="185" t="s">
        <v>49</v>
      </c>
      <c r="H1" s="185"/>
      <c r="I1" s="185"/>
      <c r="J1" s="185"/>
      <c r="K1" s="185"/>
      <c r="L1" s="185"/>
      <c r="M1" s="185"/>
      <c r="N1" s="185"/>
      <c r="O1" s="185"/>
      <c r="P1" s="185"/>
      <c r="Q1" s="185" t="s">
        <v>66</v>
      </c>
      <c r="R1" s="185"/>
      <c r="S1" s="37"/>
      <c r="T1" s="38"/>
      <c r="U1" s="38"/>
      <c r="V1" s="38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58"/>
      <c r="AM1" s="62" t="s">
        <v>55</v>
      </c>
      <c r="AN1" s="58"/>
      <c r="AO1" s="4">
        <v>1</v>
      </c>
    </row>
    <row r="2" spans="1:41" ht="16.5" customHeight="1" thickBot="1" x14ac:dyDescent="0.25">
      <c r="A2" s="25" t="s">
        <v>45</v>
      </c>
      <c r="B2" s="186" t="s">
        <v>66</v>
      </c>
      <c r="C2" s="186"/>
      <c r="D2" s="26"/>
      <c r="E2" s="27"/>
      <c r="F2" s="187"/>
      <c r="G2" s="187"/>
      <c r="H2" s="187"/>
      <c r="I2" s="27"/>
      <c r="J2" s="27"/>
      <c r="K2" s="27"/>
      <c r="L2" s="27"/>
      <c r="M2" s="27"/>
      <c r="N2" s="27"/>
      <c r="O2" s="18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P2" s="188"/>
      <c r="Q2" s="188"/>
      <c r="R2" s="188"/>
      <c r="S2" s="28"/>
      <c r="T2" s="28"/>
      <c r="U2" s="28"/>
      <c r="V2" s="28"/>
      <c r="AK2" s="59"/>
      <c r="AN2" s="4"/>
    </row>
    <row r="3" spans="1:41" ht="11.25" customHeight="1" thickTop="1" thickBot="1" x14ac:dyDescent="0.25">
      <c r="A3" s="29"/>
      <c r="B3" s="30" t="s">
        <v>7</v>
      </c>
      <c r="C3" s="30"/>
      <c r="D3" s="27"/>
      <c r="E3" s="27"/>
      <c r="F3" s="31"/>
      <c r="G3" s="30" t="s">
        <v>8</v>
      </c>
      <c r="H3" s="27"/>
      <c r="I3" s="27"/>
      <c r="J3" s="27"/>
      <c r="K3" s="27"/>
      <c r="L3" s="27"/>
      <c r="M3" s="27"/>
      <c r="N3" s="27"/>
      <c r="O3" s="188"/>
      <c r="P3" s="188"/>
      <c r="Q3" s="188"/>
      <c r="R3" s="188"/>
      <c r="S3" s="28"/>
      <c r="T3" s="28"/>
      <c r="U3" s="28"/>
      <c r="V3" s="28"/>
      <c r="AK3" s="59"/>
      <c r="AN3" s="4"/>
    </row>
    <row r="4" spans="1:41" ht="9" customHeight="1" thickTop="1" thickBot="1" x14ac:dyDescent="0.25">
      <c r="A4" s="32"/>
      <c r="B4" s="32"/>
      <c r="C4" s="32"/>
      <c r="D4" s="32"/>
      <c r="E4" s="32"/>
      <c r="F4" s="32"/>
      <c r="G4" s="32"/>
      <c r="H4" s="32"/>
      <c r="I4" s="5"/>
      <c r="J4" s="5"/>
      <c r="K4" s="5"/>
      <c r="L4" s="5"/>
      <c r="M4" s="5"/>
      <c r="N4" s="32"/>
      <c r="O4" s="33"/>
      <c r="P4" s="33"/>
      <c r="Q4" s="33"/>
      <c r="R4" s="33"/>
      <c r="S4" s="1"/>
      <c r="T4" s="34"/>
      <c r="U4" s="34"/>
      <c r="V4" s="14"/>
      <c r="AA4" s="20"/>
      <c r="AK4" s="59"/>
      <c r="AN4" s="4"/>
    </row>
    <row r="5" spans="1:41" ht="33.75" customHeight="1" thickBot="1" x14ac:dyDescent="0.25">
      <c r="A5" s="189" t="s">
        <v>9</v>
      </c>
      <c r="B5" s="189"/>
      <c r="C5" s="189"/>
      <c r="D5" s="189"/>
      <c r="E5" s="190"/>
      <c r="F5" s="191"/>
      <c r="G5" s="192" t="s">
        <v>15</v>
      </c>
      <c r="H5" s="193"/>
      <c r="I5" s="194"/>
      <c r="J5" s="194"/>
      <c r="K5" s="194"/>
      <c r="L5" s="194"/>
      <c r="M5" s="194"/>
      <c r="N5" s="194"/>
      <c r="O5" s="24"/>
      <c r="P5" s="24" t="s">
        <v>4</v>
      </c>
      <c r="Q5" s="53">
        <v>46311</v>
      </c>
      <c r="R5" s="15" t="s">
        <v>3</v>
      </c>
      <c r="S5" s="44" t="s">
        <v>179</v>
      </c>
      <c r="T5" s="23"/>
      <c r="U5" s="197" t="s">
        <v>47</v>
      </c>
      <c r="V5" s="198"/>
      <c r="W5" s="197"/>
      <c r="X5" s="198"/>
      <c r="Y5" s="197"/>
      <c r="Z5" s="198"/>
      <c r="AA5" s="197"/>
      <c r="AB5" s="198"/>
      <c r="AC5" s="197"/>
      <c r="AD5" s="198"/>
    </row>
    <row r="6" spans="1:41" ht="25.5" customHeight="1" x14ac:dyDescent="0.2">
      <c r="A6" s="189" t="s">
        <v>1</v>
      </c>
      <c r="B6" s="189"/>
      <c r="C6" s="189"/>
      <c r="D6" s="189"/>
      <c r="E6" s="199" t="s">
        <v>180</v>
      </c>
      <c r="F6" s="200"/>
      <c r="G6" s="200"/>
      <c r="H6" s="200"/>
      <c r="I6" s="200"/>
      <c r="J6" s="200"/>
      <c r="K6" s="200"/>
      <c r="L6" s="200"/>
      <c r="M6" s="200"/>
      <c r="N6" s="201"/>
      <c r="O6" s="24"/>
      <c r="P6" s="24" t="s">
        <v>29</v>
      </c>
      <c r="Q6" s="63" t="str">
        <f>IF(Q5=0," ",CHOOSE(WEEKDAY(Q5,2),"Понедельник","Вторник","Среда","Четверг","Пятница","Суббота","Воскресенье"))</f>
        <v>Пятница</v>
      </c>
      <c r="R6" s="202" t="s">
        <v>5</v>
      </c>
      <c r="S6" s="203" t="s">
        <v>67</v>
      </c>
      <c r="T6" s="5"/>
      <c r="U6" s="204" t="s">
        <v>73</v>
      </c>
      <c r="V6" s="205"/>
      <c r="W6" s="204" t="s">
        <v>75</v>
      </c>
      <c r="X6" s="205"/>
      <c r="Y6" s="204" t="s">
        <v>76</v>
      </c>
      <c r="Z6" s="205"/>
      <c r="AA6" s="204" t="s">
        <v>78</v>
      </c>
      <c r="AB6" s="205"/>
      <c r="AC6" s="204" t="s">
        <v>80</v>
      </c>
      <c r="AD6" s="205"/>
    </row>
    <row r="7" spans="1:41" ht="16.5" hidden="1" customHeight="1" x14ac:dyDescent="0.2">
      <c r="A7" s="68"/>
      <c r="B7" s="69"/>
      <c r="C7" s="69"/>
      <c r="D7" s="69"/>
      <c r="E7" s="210" t="str">
        <f>IFERROR(VLOOKUP(DeliveryAddress,Table,3,0),1)</f>
        <v>1</v>
      </c>
      <c r="F7" s="211"/>
      <c r="G7" s="211"/>
      <c r="H7" s="211"/>
      <c r="I7" s="211"/>
      <c r="J7" s="211"/>
      <c r="K7" s="211"/>
      <c r="L7" s="211"/>
      <c r="M7" s="211"/>
      <c r="N7" s="212"/>
      <c r="O7" s="24"/>
      <c r="P7" s="24"/>
      <c r="Q7" s="54"/>
      <c r="R7" s="202"/>
      <c r="S7" s="203"/>
      <c r="T7" s="5"/>
      <c r="U7" s="206"/>
      <c r="V7" s="207"/>
      <c r="W7" s="206"/>
      <c r="X7" s="207"/>
      <c r="Y7" s="206"/>
      <c r="Z7" s="207"/>
      <c r="AA7" s="206"/>
      <c r="AB7" s="207"/>
      <c r="AC7" s="206"/>
      <c r="AD7" s="207"/>
    </row>
    <row r="8" spans="1:41" ht="27" customHeight="1" thickBot="1" x14ac:dyDescent="0.25">
      <c r="A8" s="189" t="s">
        <v>56</v>
      </c>
      <c r="B8" s="189"/>
      <c r="C8" s="189"/>
      <c r="D8" s="189"/>
      <c r="E8" s="213"/>
      <c r="F8" s="213"/>
      <c r="G8" s="213"/>
      <c r="H8" s="213"/>
      <c r="I8" s="213"/>
      <c r="J8" s="213"/>
      <c r="K8" s="213"/>
      <c r="L8" s="213"/>
      <c r="M8" s="213"/>
      <c r="N8" s="213"/>
      <c r="O8" s="42"/>
      <c r="P8" s="24" t="s">
        <v>12</v>
      </c>
      <c r="Q8" s="55">
        <v>8.3333333333333329E-2</v>
      </c>
      <c r="R8" s="202"/>
      <c r="S8" s="203"/>
      <c r="T8" s="5"/>
      <c r="U8" s="208"/>
      <c r="V8" s="209"/>
      <c r="W8" s="208"/>
      <c r="X8" s="209"/>
      <c r="Y8" s="208"/>
      <c r="Z8" s="209"/>
      <c r="AA8" s="208"/>
      <c r="AB8" s="209"/>
      <c r="AC8" s="208"/>
      <c r="AD8" s="209"/>
    </row>
    <row r="9" spans="1:41" ht="31.5" customHeight="1" thickBot="1" x14ac:dyDescent="0.25">
      <c r="B9" s="21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C9" s="214"/>
      <c r="D9" s="214"/>
      <c r="E9" s="215" t="s">
        <v>57</v>
      </c>
      <c r="F9" s="216"/>
      <c r="G9" s="214" t="str">
        <f>IF(AND($B$9="Тип доверенности/получателя при получении в адресе перегруза:",$E$9="Разовая доверенность"),"Паспортные данные получателя заказа:","")</f>
        <v/>
      </c>
      <c r="H9" s="214"/>
      <c r="I9" s="227" t="str">
        <f>IF(AND($B$9="Тип доверенности/получателя при получении в адресе перегруза:",$E$9="Разовая доверенность"),"Введите ФИО","")</f>
        <v/>
      </c>
      <c r="J9" s="227"/>
      <c r="K9" s="227"/>
      <c r="L9" s="72"/>
      <c r="M9" s="227" t="str">
        <f>IF(AND($B$9="Тип доверенности/получателя при получении в адресе перегруза:",$E$9="Разовая доверенность"),"Введите паспортные данные","")</f>
        <v/>
      </c>
      <c r="N9" s="227"/>
      <c r="O9" s="43"/>
      <c r="P9" s="24" t="s">
        <v>16</v>
      </c>
      <c r="Q9" s="53"/>
      <c r="R9" s="24" t="s">
        <v>13</v>
      </c>
      <c r="S9" s="45" t="s">
        <v>68</v>
      </c>
      <c r="T9" s="5"/>
      <c r="U9" s="195" t="s">
        <v>74</v>
      </c>
      <c r="V9" s="196"/>
      <c r="W9" s="195" t="s">
        <v>74</v>
      </c>
      <c r="X9" s="196"/>
      <c r="Y9" s="195" t="s">
        <v>77</v>
      </c>
      <c r="Z9" s="196"/>
      <c r="AA9" s="195" t="s">
        <v>79</v>
      </c>
      <c r="AB9" s="196"/>
      <c r="AC9" s="195" t="s">
        <v>81</v>
      </c>
      <c r="AD9" s="196"/>
    </row>
    <row r="10" spans="1:41" ht="25.5" customHeight="1" x14ac:dyDescent="0.2">
      <c r="B10" s="214" t="str">
        <f>IF(AND($B$9="Тип доверенности/получателя при получении в адресе перегруза:",$E$9="Уполномоченное лицо"),"Постоянная доверенность (название, номер):","")</f>
        <v/>
      </c>
      <c r="C10" s="214"/>
      <c r="D10" s="214"/>
      <c r="E10" s="215"/>
      <c r="F10" s="216"/>
      <c r="G10" s="214" t="str">
        <f>IF(AND($B$9="Тип доверенности/получателя при получении в адресе перегруза:",$E$9="Уполномоченное лицо"),"Уполномоченное лицо при получении груза в адресе перегруза:","")</f>
        <v/>
      </c>
      <c r="H10" s="214"/>
      <c r="I10" s="217" t="str">
        <f>IFERROR(VLOOKUP($E$10,Proxy,2,FALSE),"")</f>
        <v/>
      </c>
      <c r="J10" s="217"/>
      <c r="K10" s="217"/>
      <c r="L10" s="217"/>
      <c r="M10" s="217"/>
      <c r="N10" s="217"/>
      <c r="O10" s="43"/>
      <c r="P10" s="24" t="s">
        <v>34</v>
      </c>
      <c r="Q10" s="55"/>
      <c r="R10" s="24" t="s">
        <v>30</v>
      </c>
      <c r="S10" s="46" t="s">
        <v>52</v>
      </c>
      <c r="T10" s="5"/>
      <c r="U10" s="23"/>
      <c r="V10" s="23"/>
      <c r="W10" s="14"/>
      <c r="X10" s="14"/>
      <c r="Y10" s="14"/>
      <c r="Z10" s="14"/>
    </row>
    <row r="11" spans="1:41" ht="16.5" x14ac:dyDescent="0.2">
      <c r="A11" s="67" t="s">
        <v>51</v>
      </c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17"/>
      <c r="O11" s="43"/>
      <c r="P11" s="24" t="s">
        <v>31</v>
      </c>
      <c r="Q11" s="55"/>
      <c r="R11" s="70" t="s">
        <v>57</v>
      </c>
      <c r="S11" s="5"/>
      <c r="T11" s="5"/>
      <c r="U11" s="23"/>
      <c r="V11" s="23"/>
      <c r="AB11" s="4" t="s">
        <v>46</v>
      </c>
    </row>
    <row r="12" spans="1:41" ht="24" customHeight="1" x14ac:dyDescent="0.2">
      <c r="A12" s="218" t="s">
        <v>69</v>
      </c>
      <c r="B12" s="219"/>
      <c r="C12" s="219"/>
      <c r="D12" s="219"/>
      <c r="E12" s="219"/>
      <c r="F12" s="219"/>
      <c r="G12" s="219"/>
      <c r="H12" s="219"/>
      <c r="I12" s="219"/>
      <c r="J12" s="219"/>
      <c r="K12" s="219"/>
      <c r="L12" s="219"/>
      <c r="M12" s="219"/>
      <c r="N12" s="219"/>
      <c r="O12" s="42"/>
      <c r="P12" s="24" t="s">
        <v>32</v>
      </c>
      <c r="Q12" s="55"/>
      <c r="R12"/>
      <c r="T12" s="16"/>
      <c r="U12" s="35"/>
      <c r="V12" s="35"/>
    </row>
    <row r="13" spans="1:41" ht="17.25" customHeight="1" x14ac:dyDescent="0.2">
      <c r="A13" s="218" t="s">
        <v>70</v>
      </c>
      <c r="B13" s="219"/>
      <c r="C13" s="219"/>
      <c r="D13" s="219"/>
      <c r="E13" s="219"/>
      <c r="F13" s="219"/>
      <c r="G13" s="219"/>
      <c r="H13" s="219"/>
      <c r="I13" s="219"/>
      <c r="J13" s="219"/>
      <c r="K13" s="219"/>
      <c r="L13" s="219"/>
      <c r="M13" s="219"/>
      <c r="N13" s="219"/>
      <c r="O13" s="43"/>
      <c r="P13" s="24" t="s">
        <v>33</v>
      </c>
      <c r="Q13" s="55"/>
      <c r="R13"/>
      <c r="T13" s="16"/>
      <c r="U13" s="35"/>
      <c r="V13" s="35"/>
    </row>
    <row r="14" spans="1:41" ht="17.25" customHeight="1" x14ac:dyDescent="0.2">
      <c r="A14" s="218" t="s">
        <v>71</v>
      </c>
      <c r="B14" s="219"/>
      <c r="C14" s="219"/>
      <c r="D14" s="219"/>
      <c r="E14" s="219"/>
      <c r="F14" s="219"/>
      <c r="G14" s="219"/>
      <c r="H14" s="219"/>
      <c r="I14" s="219"/>
      <c r="J14" s="219"/>
      <c r="K14" s="219"/>
      <c r="L14" s="219"/>
      <c r="M14" s="219"/>
      <c r="N14" s="219"/>
      <c r="R14"/>
      <c r="T14" s="16"/>
      <c r="U14" s="35"/>
      <c r="V14" s="35"/>
    </row>
    <row r="15" spans="1:41" ht="23.25" customHeight="1" x14ac:dyDescent="0.2">
      <c r="A15" s="218" t="s">
        <v>72</v>
      </c>
      <c r="B15" s="219"/>
      <c r="C15" s="219"/>
      <c r="D15" s="219"/>
      <c r="E15" s="219"/>
      <c r="F15" s="219"/>
      <c r="G15" s="219"/>
      <c r="H15" s="219"/>
      <c r="I15" s="219"/>
      <c r="J15" s="219"/>
      <c r="K15" s="219"/>
      <c r="L15" s="219"/>
      <c r="M15" s="219"/>
      <c r="N15" s="219"/>
      <c r="O15" s="224" t="s">
        <v>60</v>
      </c>
      <c r="P15" s="224"/>
      <c r="Q15" s="224"/>
      <c r="R15" s="224"/>
      <c r="S15" s="224"/>
      <c r="T15" s="34"/>
      <c r="U15" s="220" t="s">
        <v>48</v>
      </c>
      <c r="V15" s="221"/>
      <c r="W15" s="222"/>
      <c r="X15" s="222"/>
      <c r="Y15" s="223"/>
      <c r="Z15" s="223"/>
      <c r="AA15" s="223"/>
      <c r="AB15" s="223"/>
      <c r="AC15" s="223"/>
      <c r="AD15" s="223"/>
    </row>
    <row r="16" spans="1:41" ht="18.75" customHeight="1" x14ac:dyDescent="0.2">
      <c r="B16" s="17"/>
      <c r="C16" s="17"/>
      <c r="D16" s="13"/>
      <c r="E16" s="13"/>
      <c r="F16" s="18"/>
      <c r="G16" s="18"/>
      <c r="H16" s="18"/>
      <c r="I16" s="18"/>
      <c r="J16" s="18"/>
      <c r="K16" s="18"/>
      <c r="L16" s="18"/>
      <c r="M16" s="18"/>
      <c r="N16" s="18"/>
      <c r="O16" s="225"/>
      <c r="P16" s="225"/>
      <c r="Q16" s="225"/>
      <c r="R16" s="225"/>
      <c r="S16" s="225"/>
      <c r="T16" s="34"/>
      <c r="U16" s="226" t="s">
        <v>73</v>
      </c>
      <c r="V16" s="226"/>
      <c r="W16" s="226" t="s">
        <v>75</v>
      </c>
      <c r="X16" s="226"/>
      <c r="Y16" s="226" t="s">
        <v>76</v>
      </c>
      <c r="Z16" s="226"/>
      <c r="AA16" s="226" t="s">
        <v>78</v>
      </c>
      <c r="AB16" s="226"/>
      <c r="AC16" s="226" t="s">
        <v>80</v>
      </c>
      <c r="AD16" s="226"/>
    </row>
    <row r="17" spans="1:88" ht="40.5" customHeight="1" x14ac:dyDescent="0.2">
      <c r="A17" s="49" t="s">
        <v>58</v>
      </c>
      <c r="B17" s="49" t="s">
        <v>50</v>
      </c>
      <c r="C17" s="49" t="s">
        <v>53</v>
      </c>
      <c r="D17" s="49" t="s">
        <v>17</v>
      </c>
      <c r="E17" s="49" t="s">
        <v>23</v>
      </c>
      <c r="F17" s="49" t="s">
        <v>26</v>
      </c>
      <c r="G17" s="49" t="s">
        <v>24</v>
      </c>
      <c r="H17" s="49" t="s">
        <v>25</v>
      </c>
      <c r="I17" s="49" t="s">
        <v>18</v>
      </c>
      <c r="J17" s="49" t="s">
        <v>62</v>
      </c>
      <c r="K17" s="49" t="s">
        <v>2</v>
      </c>
      <c r="L17" s="73" t="s">
        <v>63</v>
      </c>
      <c r="M17" s="228" t="s">
        <v>27</v>
      </c>
      <c r="N17" s="229"/>
      <c r="O17" s="230" t="s">
        <v>19</v>
      </c>
      <c r="P17" s="231"/>
      <c r="Q17" s="231"/>
      <c r="R17" s="231"/>
      <c r="S17" s="232"/>
      <c r="T17" s="50" t="s">
        <v>6</v>
      </c>
      <c r="U17" s="94" t="s">
        <v>44</v>
      </c>
      <c r="V17" s="95" t="s">
        <v>54</v>
      </c>
      <c r="W17" s="86" t="s">
        <v>44</v>
      </c>
      <c r="X17" s="87" t="s">
        <v>54</v>
      </c>
      <c r="Y17" s="88" t="s">
        <v>44</v>
      </c>
      <c r="Z17" s="89" t="s">
        <v>54</v>
      </c>
      <c r="AA17" s="90" t="s">
        <v>44</v>
      </c>
      <c r="AB17" s="91" t="s">
        <v>54</v>
      </c>
      <c r="AC17" s="92" t="s">
        <v>44</v>
      </c>
      <c r="AD17" s="93" t="s">
        <v>54</v>
      </c>
      <c r="AE17" s="84" t="s">
        <v>20</v>
      </c>
      <c r="AF17" s="85" t="s">
        <v>59</v>
      </c>
      <c r="AG17" s="75" t="s">
        <v>21</v>
      </c>
      <c r="AH17" s="75" t="s">
        <v>64</v>
      </c>
      <c r="AI17" s="233" t="s">
        <v>55</v>
      </c>
      <c r="AJ17" s="222"/>
      <c r="AK17" s="223"/>
      <c r="BC17" s="71" t="s">
        <v>61</v>
      </c>
    </row>
    <row r="18" spans="1:88" ht="27.75" customHeight="1" x14ac:dyDescent="0.2">
      <c r="A18" s="234" t="s">
        <v>82</v>
      </c>
      <c r="B18" s="235"/>
      <c r="C18" s="235"/>
      <c r="D18" s="235"/>
      <c r="E18" s="235"/>
      <c r="F18" s="235"/>
      <c r="G18" s="235"/>
      <c r="H18" s="235"/>
      <c r="I18" s="235"/>
      <c r="J18" s="235"/>
      <c r="K18" s="235"/>
      <c r="L18" s="235"/>
      <c r="M18" s="235"/>
      <c r="N18" s="235"/>
      <c r="O18" s="235"/>
      <c r="P18" s="235"/>
      <c r="Q18" s="235"/>
      <c r="R18" s="235"/>
      <c r="S18" s="235"/>
      <c r="T18" s="235"/>
      <c r="U18" s="235"/>
      <c r="V18" s="235"/>
      <c r="W18" s="236"/>
      <c r="X18" s="236"/>
      <c r="Y18" s="236"/>
      <c r="Z18" s="236"/>
      <c r="AA18" s="237"/>
      <c r="AB18" s="237"/>
      <c r="AC18" s="237"/>
      <c r="AD18" s="237"/>
      <c r="AE18" s="238"/>
      <c r="AF18" s="237"/>
      <c r="AG18" s="237"/>
      <c r="AH18" s="239"/>
      <c r="AI18" s="2"/>
      <c r="AJ18" s="2"/>
      <c r="AK18" s="60"/>
      <c r="AL18" s="60"/>
      <c r="AM18" s="60"/>
      <c r="AN18" s="2"/>
      <c r="AO18" s="2"/>
      <c r="AP18" s="2"/>
      <c r="AQ18" s="2"/>
      <c r="AR18" s="2"/>
    </row>
    <row r="19" spans="1:88" ht="15" x14ac:dyDescent="0.25">
      <c r="A19" s="240" t="s">
        <v>82</v>
      </c>
      <c r="B19" s="241"/>
      <c r="C19" s="241"/>
      <c r="D19" s="241"/>
      <c r="E19" s="241"/>
      <c r="F19" s="241"/>
      <c r="G19" s="241"/>
      <c r="H19" s="241"/>
      <c r="I19" s="241"/>
      <c r="J19" s="241"/>
      <c r="K19" s="241"/>
      <c r="L19" s="241"/>
      <c r="M19" s="241"/>
      <c r="N19" s="241"/>
      <c r="O19" s="241"/>
      <c r="P19" s="241"/>
      <c r="Q19" s="241"/>
      <c r="R19" s="241"/>
      <c r="S19" s="241"/>
      <c r="T19" s="241"/>
      <c r="U19" s="241"/>
      <c r="V19" s="241"/>
      <c r="W19" s="241"/>
      <c r="X19" s="241"/>
      <c r="Y19" s="241"/>
      <c r="Z19" s="241"/>
      <c r="AA19" s="237"/>
      <c r="AB19" s="237"/>
      <c r="AC19" s="237"/>
      <c r="AD19" s="237"/>
      <c r="AE19" s="238"/>
      <c r="AF19" s="237"/>
      <c r="AG19" s="237"/>
      <c r="AH19" s="242"/>
      <c r="AI19" s="2"/>
      <c r="AJ19" s="2"/>
      <c r="AK19" s="60"/>
      <c r="AL19" s="60"/>
      <c r="AM19" s="60"/>
      <c r="AN19" s="2"/>
      <c r="AO19" s="2"/>
      <c r="AP19" s="2"/>
      <c r="AQ19" s="2"/>
      <c r="AR19" s="2"/>
    </row>
    <row r="20" spans="1:88" ht="15" x14ac:dyDescent="0.25">
      <c r="A20" s="243" t="s">
        <v>83</v>
      </c>
      <c r="B20" s="244"/>
      <c r="C20" s="244"/>
      <c r="D20" s="244"/>
      <c r="E20" s="244"/>
      <c r="F20" s="244"/>
      <c r="G20" s="244"/>
      <c r="H20" s="244"/>
      <c r="I20" s="244"/>
      <c r="J20" s="244"/>
      <c r="K20" s="244"/>
      <c r="L20" s="244"/>
      <c r="M20" s="244"/>
      <c r="N20" s="244"/>
      <c r="O20" s="244"/>
      <c r="P20" s="244"/>
      <c r="Q20" s="244"/>
      <c r="R20" s="244"/>
      <c r="S20" s="244"/>
      <c r="T20" s="244"/>
      <c r="U20" s="244"/>
      <c r="V20" s="244"/>
      <c r="W20" s="244"/>
      <c r="X20" s="241"/>
      <c r="Y20" s="241"/>
      <c r="Z20" s="241"/>
      <c r="AA20" s="237"/>
      <c r="AB20" s="237"/>
      <c r="AC20" s="237"/>
      <c r="AD20" s="237"/>
      <c r="AE20" s="238"/>
      <c r="AF20" s="237"/>
      <c r="AG20" s="237"/>
      <c r="AH20" s="245"/>
      <c r="AI20" s="2"/>
      <c r="AJ20" s="2"/>
      <c r="AK20" s="60"/>
      <c r="AL20" s="60"/>
      <c r="AM20" s="60"/>
      <c r="AN20" s="2"/>
      <c r="AO20" s="2"/>
      <c r="AP20" s="2"/>
      <c r="AQ20" s="2"/>
      <c r="AR20" s="2"/>
    </row>
    <row r="21" spans="1:88" x14ac:dyDescent="0.2">
      <c r="A21" s="76" t="s">
        <v>84</v>
      </c>
      <c r="B21" s="77" t="s">
        <v>85</v>
      </c>
      <c r="C21" s="77">
        <v>4301052072</v>
      </c>
      <c r="D21" s="77">
        <v>4680115887619</v>
      </c>
      <c r="E21" s="78">
        <v>0.33</v>
      </c>
      <c r="F21" s="79">
        <v>6</v>
      </c>
      <c r="G21" s="78">
        <v>1.98</v>
      </c>
      <c r="H21" s="78">
        <v>2.16</v>
      </c>
      <c r="I21" s="80">
        <v>182</v>
      </c>
      <c r="J21" s="80" t="s">
        <v>87</v>
      </c>
      <c r="K21" s="81" t="s">
        <v>86</v>
      </c>
      <c r="L21" s="81"/>
      <c r="M21" s="246">
        <v>40</v>
      </c>
      <c r="N21" s="246"/>
      <c r="O21" s="24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P21" s="248"/>
      <c r="Q21" s="248"/>
      <c r="R21" s="248"/>
      <c r="S21" s="248"/>
      <c r="T21" s="82" t="s">
        <v>0</v>
      </c>
      <c r="U21" s="64">
        <v>0</v>
      </c>
      <c r="V21" s="65">
        <f>IFERROR(IF(U21="",0,CEILING((U21/$G21),1)*$G21),"")</f>
        <v>0</v>
      </c>
      <c r="W21" s="64">
        <v>0</v>
      </c>
      <c r="X21" s="65">
        <f>IFERROR(IF(W21="",0,CEILING((W21/$G21),1)*$G21),"")</f>
        <v>0</v>
      </c>
      <c r="Y21" s="64">
        <v>0</v>
      </c>
      <c r="Z21" s="65">
        <f>IFERROR(IF(Y21="",0,CEILING((Y21/$G21),1)*$G21),"")</f>
        <v>0</v>
      </c>
      <c r="AA21" s="64">
        <v>0</v>
      </c>
      <c r="AB21" s="65">
        <f>IFERROR(IF(AA21="",0,CEILING((AA21/$G21),1)*$G21),"")</f>
        <v>0</v>
      </c>
      <c r="AC21" s="64">
        <v>0</v>
      </c>
      <c r="AD21" s="65">
        <f>IFERROR(IF(AC21="",0,CEILING((AC21/$G21),1)*$G21),"")</f>
        <v>0</v>
      </c>
      <c r="AE21" s="96" t="str">
        <f>IF(IFERROR(ROUNDUP(V21/G21,0)*0.00651,0)+IFERROR(ROUNDUP(X21/G21,0)*0.00651,0)+IFERROR(ROUNDUP(Z21/G21,0)*0.00651,0)+IFERROR(ROUNDUP(AB21/G21,0)*0.00651,0)+IFERROR(ROUNDUP(AD21/G21,0)*0.00651,0)=0,"",IFERROR(ROUNDUP(V21/G21,0)*0.00651,0)+IFERROR(ROUNDUP(X21/G21,0)*0.00651,0)+IFERROR(ROUNDUP(Z21/G21,0)*0.00651,0)+IFERROR(ROUNDUP(AB21/G21,0)*0.00651,0)+IFERROR(ROUNDUP(AD21/G21,0)*0.00651,0))</f>
        <v/>
      </c>
      <c r="AF21" s="76" t="s">
        <v>57</v>
      </c>
      <c r="AG21" s="76" t="s">
        <v>57</v>
      </c>
      <c r="AH21" s="98" t="s">
        <v>88</v>
      </c>
      <c r="AI21" s="2"/>
      <c r="AJ21" s="2"/>
      <c r="AK21" s="2"/>
      <c r="AL21" s="60"/>
      <c r="AM21" s="60"/>
      <c r="AN21" s="60"/>
      <c r="AO21" s="2"/>
      <c r="AP21" s="2"/>
      <c r="AQ21" s="2"/>
      <c r="AR21" s="2"/>
      <c r="AS21" s="2"/>
      <c r="AT21" s="2"/>
      <c r="AU21" s="21"/>
      <c r="AV21" s="21"/>
      <c r="AW21" s="22"/>
      <c r="BB21" s="97" t="s">
        <v>65</v>
      </c>
      <c r="BQ21" s="74">
        <f>IFERROR(U21*H21/G21,0)</f>
        <v>0</v>
      </c>
      <c r="BR21" s="74">
        <f>IFERROR(V21*H21/G21,0)</f>
        <v>0</v>
      </c>
      <c r="BS21" s="74">
        <f>IFERROR(1/I21*(U21/G21),0)</f>
        <v>0</v>
      </c>
      <c r="BT21" s="74">
        <f>IFERROR(1/I21*(V21/G21),0)</f>
        <v>0</v>
      </c>
      <c r="BU21" s="74">
        <f>IFERROR(W21*H21/G21,0)</f>
        <v>0</v>
      </c>
      <c r="BV21" s="74">
        <f>IFERROR(X21*H21/G21,0)</f>
        <v>0</v>
      </c>
      <c r="BW21" s="74">
        <f>IFERROR(1/I21*(W21/G21),0)</f>
        <v>0</v>
      </c>
      <c r="BX21" s="74">
        <f>IFERROR(1/I21*(X21/G21),0)</f>
        <v>0</v>
      </c>
      <c r="BY21" s="74">
        <f>IFERROR(Y21*H21/G21,0)</f>
        <v>0</v>
      </c>
      <c r="BZ21" s="74">
        <f>IFERROR(Z21*H21/G21,0)</f>
        <v>0</v>
      </c>
      <c r="CA21" s="74">
        <f>IFERROR(1/I21*(Y21/G21),0)</f>
        <v>0</v>
      </c>
      <c r="CB21" s="74">
        <f>IFERROR(1/I21*(Z21/G21),0)</f>
        <v>0</v>
      </c>
      <c r="CC21" s="74">
        <f>IFERROR(AA21*H21/G21,0)</f>
        <v>0</v>
      </c>
      <c r="CD21" s="74">
        <f>IFERROR(AB21*H21/G21,0)</f>
        <v>0</v>
      </c>
      <c r="CE21" s="74">
        <f>IFERROR(1/I21*(AA21/G21),0)</f>
        <v>0</v>
      </c>
      <c r="CF21" s="74">
        <f>IFERROR(1/I21*(AB21/G21),0)</f>
        <v>0</v>
      </c>
      <c r="CG21" s="74">
        <f>IFERROR(AC21*H21/G21,0)</f>
        <v>0</v>
      </c>
      <c r="CH21" s="74">
        <f>IFERROR(AD21*H21/G21,0)</f>
        <v>0</v>
      </c>
      <c r="CI21" s="74">
        <f>IFERROR(1/I21*(AC21/G21),0)</f>
        <v>0</v>
      </c>
      <c r="CJ21" s="74">
        <f>IFERROR(1/I21*(AD21/G21),0)</f>
        <v>0</v>
      </c>
    </row>
    <row r="22" spans="1:88" x14ac:dyDescent="0.2">
      <c r="A22" s="251"/>
      <c r="B22" s="251"/>
      <c r="C22" s="251"/>
      <c r="D22" s="251"/>
      <c r="E22" s="251"/>
      <c r="F22" s="251"/>
      <c r="G22" s="251"/>
      <c r="H22" s="251"/>
      <c r="I22" s="251"/>
      <c r="J22" s="251"/>
      <c r="K22" s="251"/>
      <c r="L22" s="251"/>
      <c r="M22" s="251"/>
      <c r="N22" s="251"/>
      <c r="O22" s="249" t="s">
        <v>43</v>
      </c>
      <c r="P22" s="250"/>
      <c r="Q22" s="250"/>
      <c r="R22" s="250"/>
      <c r="S22" s="250"/>
      <c r="T22" s="40" t="s">
        <v>42</v>
      </c>
      <c r="U22" s="101">
        <f>IFERROR(U21/G21,0)</f>
        <v>0</v>
      </c>
      <c r="V22" s="102">
        <f>IFERROR(V21/G21,0)</f>
        <v>0</v>
      </c>
      <c r="W22" s="105">
        <f>IFERROR(W21/G21,0)</f>
        <v>0</v>
      </c>
      <c r="X22" s="106">
        <f>IFERROR(X21/G21,0)</f>
        <v>0</v>
      </c>
      <c r="Y22" s="109">
        <f>IFERROR(Y21/G21,0)</f>
        <v>0</v>
      </c>
      <c r="Z22" s="110">
        <f>IFERROR(Z21/G21,0)</f>
        <v>0</v>
      </c>
      <c r="AA22" s="113">
        <f>IFERROR(AA21/G21,0)</f>
        <v>0</v>
      </c>
      <c r="AB22" s="114">
        <f>IFERROR(AB21/G21,0)</f>
        <v>0</v>
      </c>
      <c r="AC22" s="117">
        <f>IFERROR(AC21/G21,0)</f>
        <v>0</v>
      </c>
      <c r="AD22" s="118">
        <f>IFERROR(AD21/G21,0)</f>
        <v>0</v>
      </c>
      <c r="AE22" s="99">
        <f>IFERROR(IF(AE21="",0,AE21),0)</f>
        <v>0</v>
      </c>
      <c r="AF22" s="3"/>
      <c r="AG22" s="3"/>
      <c r="AH22" s="3"/>
      <c r="AI22" s="3"/>
      <c r="AJ22" s="3"/>
      <c r="AK22" s="3"/>
      <c r="AL22" s="61"/>
      <c r="AM22" s="61"/>
      <c r="AN22" s="61"/>
      <c r="AO22" s="3"/>
      <c r="AP22" s="3"/>
      <c r="AQ22" s="2"/>
      <c r="AR22" s="2"/>
      <c r="AS22" s="2"/>
      <c r="AT22" s="2"/>
      <c r="AU22" s="21"/>
      <c r="AV22" s="21"/>
      <c r="AW22" s="22"/>
    </row>
    <row r="23" spans="1:88" x14ac:dyDescent="0.2">
      <c r="A23" s="251"/>
      <c r="B23" s="251"/>
      <c r="C23" s="251"/>
      <c r="D23" s="251"/>
      <c r="E23" s="251"/>
      <c r="F23" s="251"/>
      <c r="G23" s="251"/>
      <c r="H23" s="251"/>
      <c r="I23" s="251"/>
      <c r="J23" s="251"/>
      <c r="K23" s="251"/>
      <c r="L23" s="251"/>
      <c r="M23" s="251"/>
      <c r="N23" s="251"/>
      <c r="O23" s="249" t="s">
        <v>43</v>
      </c>
      <c r="P23" s="250"/>
      <c r="Q23" s="250"/>
      <c r="R23" s="250"/>
      <c r="S23" s="250"/>
      <c r="T23" s="40" t="s">
        <v>0</v>
      </c>
      <c r="U23" s="103">
        <f t="shared" ref="U23:AD23" si="0">IFERROR(SUM(U21:U21),0)</f>
        <v>0</v>
      </c>
      <c r="V23" s="104">
        <f t="shared" si="0"/>
        <v>0</v>
      </c>
      <c r="W23" s="107">
        <f t="shared" si="0"/>
        <v>0</v>
      </c>
      <c r="X23" s="108">
        <f t="shared" si="0"/>
        <v>0</v>
      </c>
      <c r="Y23" s="111">
        <f t="shared" si="0"/>
        <v>0</v>
      </c>
      <c r="Z23" s="112">
        <f t="shared" si="0"/>
        <v>0</v>
      </c>
      <c r="AA23" s="115">
        <f t="shared" si="0"/>
        <v>0</v>
      </c>
      <c r="AB23" s="116">
        <f t="shared" si="0"/>
        <v>0</v>
      </c>
      <c r="AC23" s="119">
        <f t="shared" si="0"/>
        <v>0</v>
      </c>
      <c r="AD23" s="120">
        <f t="shared" si="0"/>
        <v>0</v>
      </c>
      <c r="AE23" s="100" t="s">
        <v>57</v>
      </c>
      <c r="AF23" s="3"/>
      <c r="AG23" s="3"/>
      <c r="AH23" s="3"/>
      <c r="AI23" s="3"/>
      <c r="AJ23" s="3"/>
      <c r="AK23" s="3"/>
      <c r="AL23" s="61"/>
      <c r="AM23" s="61"/>
      <c r="AN23" s="61"/>
      <c r="AO23" s="3"/>
      <c r="AP23" s="3"/>
      <c r="AQ23" s="2"/>
      <c r="AR23" s="2"/>
      <c r="AS23" s="2"/>
      <c r="AT23" s="2"/>
      <c r="AU23" s="21"/>
      <c r="AV23" s="21"/>
      <c r="AW23" s="22"/>
    </row>
    <row r="24" spans="1:88" ht="27.75" customHeight="1" x14ac:dyDescent="0.2">
      <c r="A24" s="234" t="s">
        <v>89</v>
      </c>
      <c r="B24" s="235"/>
      <c r="C24" s="235"/>
      <c r="D24" s="235"/>
      <c r="E24" s="235"/>
      <c r="F24" s="235"/>
      <c r="G24" s="235"/>
      <c r="H24" s="235"/>
      <c r="I24" s="235"/>
      <c r="J24" s="235"/>
      <c r="K24" s="235"/>
      <c r="L24" s="235"/>
      <c r="M24" s="235"/>
      <c r="N24" s="235"/>
      <c r="O24" s="235"/>
      <c r="P24" s="235"/>
      <c r="Q24" s="235"/>
      <c r="R24" s="235"/>
      <c r="S24" s="235"/>
      <c r="T24" s="235"/>
      <c r="U24" s="235"/>
      <c r="V24" s="235"/>
      <c r="W24" s="236"/>
      <c r="X24" s="236"/>
      <c r="Y24" s="236"/>
      <c r="Z24" s="236"/>
      <c r="AA24" s="237"/>
      <c r="AB24" s="237"/>
      <c r="AC24" s="237"/>
      <c r="AD24" s="237"/>
      <c r="AE24" s="238"/>
      <c r="AF24" s="237"/>
      <c r="AG24" s="237"/>
      <c r="AH24" s="239"/>
      <c r="AI24" s="2"/>
      <c r="AJ24" s="2"/>
      <c r="AK24" s="60"/>
      <c r="AL24" s="60"/>
      <c r="AM24" s="60"/>
      <c r="AN24" s="2"/>
      <c r="AO24" s="2"/>
      <c r="AP24" s="2"/>
      <c r="AQ24" s="2"/>
      <c r="AR24" s="2"/>
    </row>
    <row r="25" spans="1:88" ht="15" x14ac:dyDescent="0.25">
      <c r="A25" s="240" t="s">
        <v>90</v>
      </c>
      <c r="B25" s="241"/>
      <c r="C25" s="241"/>
      <c r="D25" s="241"/>
      <c r="E25" s="241"/>
      <c r="F25" s="241"/>
      <c r="G25" s="241"/>
      <c r="H25" s="241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Y25" s="241"/>
      <c r="Z25" s="241"/>
      <c r="AA25" s="237"/>
      <c r="AB25" s="237"/>
      <c r="AC25" s="237"/>
      <c r="AD25" s="237"/>
      <c r="AE25" s="238"/>
      <c r="AF25" s="237"/>
      <c r="AG25" s="237"/>
      <c r="AH25" s="242"/>
      <c r="AI25" s="2"/>
      <c r="AJ25" s="2"/>
      <c r="AK25" s="60"/>
      <c r="AL25" s="60"/>
      <c r="AM25" s="60"/>
      <c r="AN25" s="2"/>
      <c r="AO25" s="2"/>
      <c r="AP25" s="2"/>
      <c r="AQ25" s="2"/>
      <c r="AR25" s="2"/>
    </row>
    <row r="26" spans="1:88" ht="15" x14ac:dyDescent="0.25">
      <c r="A26" s="243" t="s">
        <v>83</v>
      </c>
      <c r="B26" s="244"/>
      <c r="C26" s="244"/>
      <c r="D26" s="244"/>
      <c r="E26" s="244"/>
      <c r="F26" s="244"/>
      <c r="G26" s="244"/>
      <c r="H26" s="244"/>
      <c r="I26" s="244"/>
      <c r="J26" s="244"/>
      <c r="K26" s="244"/>
      <c r="L26" s="244"/>
      <c r="M26" s="244"/>
      <c r="N26" s="244"/>
      <c r="O26" s="244"/>
      <c r="P26" s="244"/>
      <c r="Q26" s="244"/>
      <c r="R26" s="244"/>
      <c r="S26" s="244"/>
      <c r="T26" s="244"/>
      <c r="U26" s="244"/>
      <c r="V26" s="244"/>
      <c r="W26" s="244"/>
      <c r="X26" s="241"/>
      <c r="Y26" s="241"/>
      <c r="Z26" s="241"/>
      <c r="AA26" s="237"/>
      <c r="AB26" s="237"/>
      <c r="AC26" s="237"/>
      <c r="AD26" s="237"/>
      <c r="AE26" s="238"/>
      <c r="AF26" s="237"/>
      <c r="AG26" s="237"/>
      <c r="AH26" s="245"/>
      <c r="AI26" s="2"/>
      <c r="AJ26" s="2"/>
      <c r="AK26" s="60"/>
      <c r="AL26" s="60"/>
      <c r="AM26" s="60"/>
      <c r="AN26" s="2"/>
      <c r="AO26" s="2"/>
      <c r="AP26" s="2"/>
      <c r="AQ26" s="2"/>
      <c r="AR26" s="2"/>
    </row>
    <row r="27" spans="1:88" x14ac:dyDescent="0.2">
      <c r="A27" s="76" t="s">
        <v>91</v>
      </c>
      <c r="B27" s="77" t="s">
        <v>92</v>
      </c>
      <c r="C27" s="77">
        <v>4301052198</v>
      </c>
      <c r="D27" s="77">
        <v>4680115888463</v>
      </c>
      <c r="E27" s="78">
        <v>0.32</v>
      </c>
      <c r="F27" s="79">
        <v>6</v>
      </c>
      <c r="G27" s="78">
        <v>1.92</v>
      </c>
      <c r="H27" s="78">
        <v>2.1</v>
      </c>
      <c r="I27" s="80">
        <v>182</v>
      </c>
      <c r="J27" s="80" t="s">
        <v>87</v>
      </c>
      <c r="K27" s="81" t="s">
        <v>93</v>
      </c>
      <c r="L27" s="81"/>
      <c r="M27" s="246">
        <v>40</v>
      </c>
      <c r="N27" s="246"/>
      <c r="O27" s="25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P27" s="248"/>
      <c r="Q27" s="248"/>
      <c r="R27" s="248"/>
      <c r="S27" s="248"/>
      <c r="T27" s="82" t="s">
        <v>0</v>
      </c>
      <c r="U27" s="64">
        <v>0</v>
      </c>
      <c r="V27" s="65">
        <f>IFERROR(IF(U27="",0,CEILING((U27/$G27),1)*$G27),"")</f>
        <v>0</v>
      </c>
      <c r="W27" s="64">
        <v>0</v>
      </c>
      <c r="X27" s="65">
        <f>IFERROR(IF(W27="",0,CEILING((W27/$G27),1)*$G27),"")</f>
        <v>0</v>
      </c>
      <c r="Y27" s="64">
        <v>0</v>
      </c>
      <c r="Z27" s="65">
        <f>IFERROR(IF(Y27="",0,CEILING((Y27/$G27),1)*$G27),"")</f>
        <v>0</v>
      </c>
      <c r="AA27" s="64">
        <v>0</v>
      </c>
      <c r="AB27" s="65">
        <f>IFERROR(IF(AA27="",0,CEILING((AA27/$G27),1)*$G27),"")</f>
        <v>0</v>
      </c>
      <c r="AC27" s="64">
        <v>0</v>
      </c>
      <c r="AD27" s="65">
        <f>IFERROR(IF(AC27="",0,CEILING((AC27/$G27),1)*$G27),"")</f>
        <v>0</v>
      </c>
      <c r="AE27" s="66" t="str">
        <f>IF(IFERROR(ROUNDUP(V27/G27,0)*0.00651,0)+IFERROR(ROUNDUP(X27/G27,0)*0.00651,0)+IFERROR(ROUNDUP(Z27/G27,0)*0.00651,0)+IFERROR(ROUNDUP(AB27/G27,0)*0.00651,0)+IFERROR(ROUNDUP(AD27/G27,0)*0.00651,0)=0,"",IFERROR(ROUNDUP(V27/G27,0)*0.00651,0)+IFERROR(ROUNDUP(X27/G27,0)*0.00651,0)+IFERROR(ROUNDUP(Z27/G27,0)*0.00651,0)+IFERROR(ROUNDUP(AB27/G27,0)*0.00651,0)+IFERROR(ROUNDUP(AD27/G27,0)*0.00651,0))</f>
        <v/>
      </c>
      <c r="AF27" s="76" t="s">
        <v>57</v>
      </c>
      <c r="AG27" s="76" t="s">
        <v>57</v>
      </c>
      <c r="AH27" s="125" t="s">
        <v>94</v>
      </c>
      <c r="AI27" s="2"/>
      <c r="AJ27" s="2"/>
      <c r="AK27" s="2"/>
      <c r="AL27" s="60"/>
      <c r="AM27" s="60"/>
      <c r="AN27" s="60"/>
      <c r="AO27" s="2"/>
      <c r="AP27" s="2"/>
      <c r="AQ27" s="2"/>
      <c r="AR27" s="2"/>
      <c r="AS27" s="2"/>
      <c r="AT27" s="2"/>
      <c r="AU27" s="21"/>
      <c r="AV27" s="21"/>
      <c r="AW27" s="22"/>
      <c r="BB27" s="124" t="s">
        <v>65</v>
      </c>
      <c r="BQ27" s="74">
        <f>IFERROR(U27*H27/G27,0)</f>
        <v>0</v>
      </c>
      <c r="BR27" s="74">
        <f>IFERROR(V27*H27/G27,0)</f>
        <v>0</v>
      </c>
      <c r="BS27" s="74">
        <f>IFERROR(1/I27*(U27/G27),0)</f>
        <v>0</v>
      </c>
      <c r="BT27" s="74">
        <f>IFERROR(1/I27*(V27/G27),0)</f>
        <v>0</v>
      </c>
      <c r="BU27" s="74">
        <f>IFERROR(W27*H27/G27,0)</f>
        <v>0</v>
      </c>
      <c r="BV27" s="74">
        <f>IFERROR(X27*H27/G27,0)</f>
        <v>0</v>
      </c>
      <c r="BW27" s="74">
        <f>IFERROR(1/I27*(W27/G27),0)</f>
        <v>0</v>
      </c>
      <c r="BX27" s="74">
        <f>IFERROR(1/I27*(X27/G27),0)</f>
        <v>0</v>
      </c>
      <c r="BY27" s="74">
        <f>IFERROR(Y27*H27/G27,0)</f>
        <v>0</v>
      </c>
      <c r="BZ27" s="74">
        <f>IFERROR(Z27*H27/G27,0)</f>
        <v>0</v>
      </c>
      <c r="CA27" s="74">
        <f>IFERROR(1/I27*(Y27/G27),0)</f>
        <v>0</v>
      </c>
      <c r="CB27" s="74">
        <f>IFERROR(1/I27*(Z27/G27),0)</f>
        <v>0</v>
      </c>
      <c r="CC27" s="74">
        <f>IFERROR(AA27*H27/G27,0)</f>
        <v>0</v>
      </c>
      <c r="CD27" s="74">
        <f>IFERROR(AB27*H27/G27,0)</f>
        <v>0</v>
      </c>
      <c r="CE27" s="74">
        <f>IFERROR(1/I27*(AA27/G27),0)</f>
        <v>0</v>
      </c>
      <c r="CF27" s="74">
        <f>IFERROR(1/I27*(AB27/G27),0)</f>
        <v>0</v>
      </c>
      <c r="CG27" s="74">
        <f>IFERROR(AC27*H27/G27,0)</f>
        <v>0</v>
      </c>
      <c r="CH27" s="74">
        <f>IFERROR(AD27*H27/G27,0)</f>
        <v>0</v>
      </c>
      <c r="CI27" s="74">
        <f>IFERROR(1/I27*(AC27/G27),0)</f>
        <v>0</v>
      </c>
      <c r="CJ27" s="74">
        <f>IFERROR(1/I27*(AD27/G27),0)</f>
        <v>0</v>
      </c>
    </row>
    <row r="28" spans="1:88" x14ac:dyDescent="0.2">
      <c r="A28" s="251"/>
      <c r="B28" s="251"/>
      <c r="C28" s="251"/>
      <c r="D28" s="251"/>
      <c r="E28" s="251"/>
      <c r="F28" s="251"/>
      <c r="G28" s="251"/>
      <c r="H28" s="251"/>
      <c r="I28" s="251"/>
      <c r="J28" s="251"/>
      <c r="K28" s="251"/>
      <c r="L28" s="251"/>
      <c r="M28" s="251"/>
      <c r="N28" s="251"/>
      <c r="O28" s="249" t="s">
        <v>43</v>
      </c>
      <c r="P28" s="250"/>
      <c r="Q28" s="250"/>
      <c r="R28" s="250"/>
      <c r="S28" s="250"/>
      <c r="T28" s="40" t="s">
        <v>42</v>
      </c>
      <c r="U28" s="101">
        <f>IFERROR(U27/G27,0)</f>
        <v>0</v>
      </c>
      <c r="V28" s="101">
        <f>IFERROR(V27/G27,0)</f>
        <v>0</v>
      </c>
      <c r="W28" s="101">
        <f>IFERROR(W27/G27,0)</f>
        <v>0</v>
      </c>
      <c r="X28" s="101">
        <f>IFERROR(X27/G27,0)</f>
        <v>0</v>
      </c>
      <c r="Y28" s="101">
        <f>IFERROR(Y27/G27,0)</f>
        <v>0</v>
      </c>
      <c r="Z28" s="101">
        <f>IFERROR(Z27/G27,0)</f>
        <v>0</v>
      </c>
      <c r="AA28" s="101">
        <f>IFERROR(AA27/G27,0)</f>
        <v>0</v>
      </c>
      <c r="AB28" s="101">
        <f>IFERROR(AB27/G27,0)</f>
        <v>0</v>
      </c>
      <c r="AC28" s="101">
        <f>IFERROR(AC27/G27,0)</f>
        <v>0</v>
      </c>
      <c r="AD28" s="101">
        <f>IFERROR(AD27/G27,0)</f>
        <v>0</v>
      </c>
      <c r="AE28" s="105">
        <f>IFERROR(IF(AE27="",0,AE27),0)</f>
        <v>0</v>
      </c>
      <c r="AF28" s="3"/>
      <c r="AG28" s="3"/>
      <c r="AH28" s="3"/>
      <c r="AI28" s="3"/>
      <c r="AJ28" s="3"/>
      <c r="AK28" s="3"/>
      <c r="AL28" s="61"/>
      <c r="AM28" s="61"/>
      <c r="AN28" s="61"/>
      <c r="AO28" s="3"/>
      <c r="AP28" s="3"/>
      <c r="AQ28" s="2"/>
      <c r="AR28" s="2"/>
      <c r="AS28" s="2"/>
      <c r="AT28" s="2"/>
      <c r="AU28" s="21"/>
      <c r="AV28" s="21"/>
      <c r="AW28" s="22"/>
    </row>
    <row r="29" spans="1:88" x14ac:dyDescent="0.2">
      <c r="A29" s="251"/>
      <c r="B29" s="251"/>
      <c r="C29" s="251"/>
      <c r="D29" s="251"/>
      <c r="E29" s="251"/>
      <c r="F29" s="251"/>
      <c r="G29" s="251"/>
      <c r="H29" s="251"/>
      <c r="I29" s="251"/>
      <c r="J29" s="251"/>
      <c r="K29" s="251"/>
      <c r="L29" s="251"/>
      <c r="M29" s="251"/>
      <c r="N29" s="251"/>
      <c r="O29" s="249" t="s">
        <v>43</v>
      </c>
      <c r="P29" s="250"/>
      <c r="Q29" s="250"/>
      <c r="R29" s="250"/>
      <c r="S29" s="250"/>
      <c r="T29" s="40" t="s">
        <v>0</v>
      </c>
      <c r="U29" s="103">
        <f t="shared" ref="U29:AD29" si="1">IFERROR(SUM(U27:U27),0)</f>
        <v>0</v>
      </c>
      <c r="V29" s="103">
        <f t="shared" si="1"/>
        <v>0</v>
      </c>
      <c r="W29" s="103">
        <f t="shared" si="1"/>
        <v>0</v>
      </c>
      <c r="X29" s="103">
        <f t="shared" si="1"/>
        <v>0</v>
      </c>
      <c r="Y29" s="103">
        <f t="shared" si="1"/>
        <v>0</v>
      </c>
      <c r="Z29" s="103">
        <f t="shared" si="1"/>
        <v>0</v>
      </c>
      <c r="AA29" s="103">
        <f t="shared" si="1"/>
        <v>0</v>
      </c>
      <c r="AB29" s="103">
        <f t="shared" si="1"/>
        <v>0</v>
      </c>
      <c r="AC29" s="103">
        <f t="shared" si="1"/>
        <v>0</v>
      </c>
      <c r="AD29" s="103">
        <f t="shared" si="1"/>
        <v>0</v>
      </c>
      <c r="AE29" s="105" t="s">
        <v>57</v>
      </c>
      <c r="AF29" s="3"/>
      <c r="AG29" s="3"/>
      <c r="AH29" s="3"/>
      <c r="AI29" s="3"/>
      <c r="AJ29" s="3"/>
      <c r="AK29" s="3"/>
      <c r="AL29" s="61"/>
      <c r="AM29" s="61"/>
      <c r="AN29" s="61"/>
      <c r="AO29" s="3"/>
      <c r="AP29" s="3"/>
      <c r="AQ29" s="2"/>
      <c r="AR29" s="2"/>
      <c r="AS29" s="2"/>
      <c r="AT29" s="2"/>
      <c r="AU29" s="21"/>
      <c r="AV29" s="21"/>
      <c r="AW29" s="22"/>
    </row>
    <row r="30" spans="1:88" ht="27.75" customHeight="1" x14ac:dyDescent="0.2">
      <c r="A30" s="234" t="s">
        <v>95</v>
      </c>
      <c r="B30" s="235"/>
      <c r="C30" s="235"/>
      <c r="D30" s="235"/>
      <c r="E30" s="235"/>
      <c r="F30" s="235"/>
      <c r="G30" s="235"/>
      <c r="H30" s="235"/>
      <c r="I30" s="235"/>
      <c r="J30" s="235"/>
      <c r="K30" s="235"/>
      <c r="L30" s="235"/>
      <c r="M30" s="235"/>
      <c r="N30" s="235"/>
      <c r="O30" s="235"/>
      <c r="P30" s="235"/>
      <c r="Q30" s="235"/>
      <c r="R30" s="235"/>
      <c r="S30" s="235"/>
      <c r="T30" s="235"/>
      <c r="U30" s="235"/>
      <c r="V30" s="235"/>
      <c r="W30" s="236"/>
      <c r="X30" s="236"/>
      <c r="Y30" s="236"/>
      <c r="Z30" s="236"/>
      <c r="AA30" s="237"/>
      <c r="AB30" s="237"/>
      <c r="AC30" s="237"/>
      <c r="AD30" s="237"/>
      <c r="AE30" s="238"/>
      <c r="AF30" s="237"/>
      <c r="AG30" s="237"/>
      <c r="AH30" s="239"/>
      <c r="AI30" s="2"/>
      <c r="AJ30" s="2"/>
      <c r="AK30" s="60"/>
      <c r="AL30" s="60"/>
      <c r="AM30" s="60"/>
      <c r="AN30" s="2"/>
      <c r="AO30" s="2"/>
      <c r="AP30" s="2"/>
      <c r="AQ30" s="2"/>
      <c r="AR30" s="2"/>
    </row>
    <row r="31" spans="1:88" ht="15" x14ac:dyDescent="0.25">
      <c r="A31" s="240" t="s">
        <v>96</v>
      </c>
      <c r="B31" s="241"/>
      <c r="C31" s="241"/>
      <c r="D31" s="241"/>
      <c r="E31" s="241"/>
      <c r="F31" s="241"/>
      <c r="G31" s="241"/>
      <c r="H31" s="241"/>
      <c r="I31" s="241"/>
      <c r="J31" s="241"/>
      <c r="K31" s="241"/>
      <c r="L31" s="241"/>
      <c r="M31" s="241"/>
      <c r="N31" s="241"/>
      <c r="O31" s="241"/>
      <c r="P31" s="241"/>
      <c r="Q31" s="241"/>
      <c r="R31" s="241"/>
      <c r="S31" s="241"/>
      <c r="T31" s="241"/>
      <c r="U31" s="241"/>
      <c r="V31" s="241"/>
      <c r="W31" s="241"/>
      <c r="X31" s="241"/>
      <c r="Y31" s="241"/>
      <c r="Z31" s="241"/>
      <c r="AA31" s="237"/>
      <c r="AB31" s="237"/>
      <c r="AC31" s="237"/>
      <c r="AD31" s="237"/>
      <c r="AE31" s="238"/>
      <c r="AF31" s="237"/>
      <c r="AG31" s="237"/>
      <c r="AH31" s="242"/>
      <c r="AI31" s="2"/>
      <c r="AJ31" s="2"/>
      <c r="AK31" s="60"/>
      <c r="AL31" s="60"/>
      <c r="AM31" s="60"/>
      <c r="AN31" s="2"/>
      <c r="AO31" s="2"/>
      <c r="AP31" s="2"/>
      <c r="AQ31" s="2"/>
      <c r="AR31" s="2"/>
    </row>
    <row r="32" spans="1:88" ht="15" x14ac:dyDescent="0.25">
      <c r="A32" s="243" t="s">
        <v>97</v>
      </c>
      <c r="B32" s="244"/>
      <c r="C32" s="244"/>
      <c r="D32" s="244"/>
      <c r="E32" s="244"/>
      <c r="F32" s="244"/>
      <c r="G32" s="244"/>
      <c r="H32" s="244"/>
      <c r="I32" s="244"/>
      <c r="J32" s="244"/>
      <c r="K32" s="244"/>
      <c r="L32" s="244"/>
      <c r="M32" s="244"/>
      <c r="N32" s="244"/>
      <c r="O32" s="244"/>
      <c r="P32" s="244"/>
      <c r="Q32" s="244"/>
      <c r="R32" s="244"/>
      <c r="S32" s="244"/>
      <c r="T32" s="244"/>
      <c r="U32" s="244"/>
      <c r="V32" s="244"/>
      <c r="W32" s="244"/>
      <c r="X32" s="241"/>
      <c r="Y32" s="241"/>
      <c r="Z32" s="241"/>
      <c r="AA32" s="237"/>
      <c r="AB32" s="237"/>
      <c r="AC32" s="237"/>
      <c r="AD32" s="237"/>
      <c r="AE32" s="238"/>
      <c r="AF32" s="237"/>
      <c r="AG32" s="237"/>
      <c r="AH32" s="245"/>
      <c r="AI32" s="2"/>
      <c r="AJ32" s="2"/>
      <c r="AK32" s="60"/>
      <c r="AL32" s="60"/>
      <c r="AM32" s="60"/>
      <c r="AN32" s="2"/>
      <c r="AO32" s="2"/>
      <c r="AP32" s="2"/>
      <c r="AQ32" s="2"/>
      <c r="AR32" s="2"/>
    </row>
    <row r="33" spans="1:88" x14ac:dyDescent="0.2">
      <c r="A33" s="76" t="s">
        <v>98</v>
      </c>
      <c r="B33" s="77" t="s">
        <v>99</v>
      </c>
      <c r="C33" s="77">
        <v>4301012053</v>
      </c>
      <c r="D33" s="77">
        <v>4680115887725</v>
      </c>
      <c r="E33" s="78">
        <v>0.11</v>
      </c>
      <c r="F33" s="79">
        <v>10</v>
      </c>
      <c r="G33" s="78">
        <v>1.1000000000000001</v>
      </c>
      <c r="H33" s="78">
        <v>1.31</v>
      </c>
      <c r="I33" s="80">
        <v>192</v>
      </c>
      <c r="J33" s="80" t="s">
        <v>101</v>
      </c>
      <c r="K33" s="81" t="s">
        <v>100</v>
      </c>
      <c r="L33" s="81"/>
      <c r="M33" s="246">
        <v>30</v>
      </c>
      <c r="N33" s="246"/>
      <c r="O33" s="253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P33" s="248"/>
      <c r="Q33" s="248"/>
      <c r="R33" s="248"/>
      <c r="S33" s="248"/>
      <c r="T33" s="82" t="s">
        <v>0</v>
      </c>
      <c r="U33" s="64">
        <v>0</v>
      </c>
      <c r="V33" s="65">
        <f>IFERROR(IF(U33="",0,CEILING((U33/$G33),1)*$G33),"")</f>
        <v>0</v>
      </c>
      <c r="W33" s="64">
        <v>0</v>
      </c>
      <c r="X33" s="65">
        <f>IFERROR(IF(W33="",0,CEILING((W33/$G33),1)*$G33),"")</f>
        <v>0</v>
      </c>
      <c r="Y33" s="64">
        <v>0</v>
      </c>
      <c r="Z33" s="65">
        <f>IFERROR(IF(Y33="",0,CEILING((Y33/$G33),1)*$G33),"")</f>
        <v>0</v>
      </c>
      <c r="AA33" s="64">
        <v>0</v>
      </c>
      <c r="AB33" s="65">
        <f>IFERROR(IF(AA33="",0,CEILING((AA33/$G33),1)*$G33),"")</f>
        <v>0</v>
      </c>
      <c r="AC33" s="64">
        <v>0</v>
      </c>
      <c r="AD33" s="65">
        <f>IFERROR(IF(AC33="",0,CEILING((AC33/$G33),1)*$G33),"")</f>
        <v>0</v>
      </c>
      <c r="AE33" s="66" t="str">
        <f>IF(IFERROR(ROUNDUP(V33/G33,0)*0.00726,0)+IFERROR(ROUNDUP(X33/G33,0)*0.00726,0)+IFERROR(ROUNDUP(Z33/G33,0)*0.00726,0)+IFERROR(ROUNDUP(AB33/G33,0)*0.00726,0)+IFERROR(ROUNDUP(AD33/G33,0)*0.00726,0)=0,"",IFERROR(ROUNDUP(V33/G33,0)*0.00726,0)+IFERROR(ROUNDUP(X33/G33,0)*0.00726,0)+IFERROR(ROUNDUP(Z33/G33,0)*0.00726,0)+IFERROR(ROUNDUP(AB33/G33,0)*0.00726,0)+IFERROR(ROUNDUP(AD33/G33,0)*0.00726,0))</f>
        <v/>
      </c>
      <c r="AF33" s="76" t="s">
        <v>57</v>
      </c>
      <c r="AG33" s="76" t="s">
        <v>57</v>
      </c>
      <c r="AH33" s="132" t="s">
        <v>102</v>
      </c>
      <c r="AI33" s="2"/>
      <c r="AJ33" s="2"/>
      <c r="AK33" s="2"/>
      <c r="AL33" s="60"/>
      <c r="AM33" s="60"/>
      <c r="AN33" s="60"/>
      <c r="AO33" s="2"/>
      <c r="AP33" s="2"/>
      <c r="AQ33" s="2"/>
      <c r="AR33" s="2"/>
      <c r="AS33" s="2"/>
      <c r="AT33" s="2"/>
      <c r="AU33" s="21"/>
      <c r="AV33" s="21"/>
      <c r="AW33" s="22"/>
      <c r="BB33" s="131" t="s">
        <v>65</v>
      </c>
      <c r="BQ33" s="74">
        <f>IFERROR(U33*H33/G33,0)</f>
        <v>0</v>
      </c>
      <c r="BR33" s="74">
        <f>IFERROR(V33*H33/G33,0)</f>
        <v>0</v>
      </c>
      <c r="BS33" s="74">
        <f>IFERROR(1/I33*(U33/G33),0)</f>
        <v>0</v>
      </c>
      <c r="BT33" s="74">
        <f>IFERROR(1/I33*(V33/G33),0)</f>
        <v>0</v>
      </c>
      <c r="BU33" s="74">
        <f>IFERROR(W33*H33/G33,0)</f>
        <v>0</v>
      </c>
      <c r="BV33" s="74">
        <f>IFERROR(X33*H33/G33,0)</f>
        <v>0</v>
      </c>
      <c r="BW33" s="74">
        <f>IFERROR(1/I33*(W33/G33),0)</f>
        <v>0</v>
      </c>
      <c r="BX33" s="74">
        <f>IFERROR(1/I33*(X33/G33),0)</f>
        <v>0</v>
      </c>
      <c r="BY33" s="74">
        <f>IFERROR(Y33*H33/G33,0)</f>
        <v>0</v>
      </c>
      <c r="BZ33" s="74">
        <f>IFERROR(Z33*H33/G33,0)</f>
        <v>0</v>
      </c>
      <c r="CA33" s="74">
        <f>IFERROR(1/I33*(Y33/G33),0)</f>
        <v>0</v>
      </c>
      <c r="CB33" s="74">
        <f>IFERROR(1/I33*(Z33/G33),0)</f>
        <v>0</v>
      </c>
      <c r="CC33" s="74">
        <f>IFERROR(AA33*H33/G33,0)</f>
        <v>0</v>
      </c>
      <c r="CD33" s="74">
        <f>IFERROR(AB33*H33/G33,0)</f>
        <v>0</v>
      </c>
      <c r="CE33" s="74">
        <f>IFERROR(1/I33*(AA33/G33),0)</f>
        <v>0</v>
      </c>
      <c r="CF33" s="74">
        <f>IFERROR(1/I33*(AB33/G33),0)</f>
        <v>0</v>
      </c>
      <c r="CG33" s="74">
        <f>IFERROR(AC33*H33/G33,0)</f>
        <v>0</v>
      </c>
      <c r="CH33" s="74">
        <f>IFERROR(AD33*H33/G33,0)</f>
        <v>0</v>
      </c>
      <c r="CI33" s="74">
        <f>IFERROR(1/I33*(AC33/G33),0)</f>
        <v>0</v>
      </c>
      <c r="CJ33" s="74">
        <f>IFERROR(1/I33*(AD33/G33),0)</f>
        <v>0</v>
      </c>
    </row>
    <row r="34" spans="1:88" x14ac:dyDescent="0.2">
      <c r="A34" s="251"/>
      <c r="B34" s="251"/>
      <c r="C34" s="251"/>
      <c r="D34" s="251"/>
      <c r="E34" s="251"/>
      <c r="F34" s="251"/>
      <c r="G34" s="251"/>
      <c r="H34" s="251"/>
      <c r="I34" s="251"/>
      <c r="J34" s="251"/>
      <c r="K34" s="251"/>
      <c r="L34" s="251"/>
      <c r="M34" s="251"/>
      <c r="N34" s="251"/>
      <c r="O34" s="249" t="s">
        <v>43</v>
      </c>
      <c r="P34" s="250"/>
      <c r="Q34" s="250"/>
      <c r="R34" s="250"/>
      <c r="S34" s="250"/>
      <c r="T34" s="40" t="s">
        <v>42</v>
      </c>
      <c r="U34" s="101">
        <f>IFERROR(U33/G33,0)</f>
        <v>0</v>
      </c>
      <c r="V34" s="101">
        <f>IFERROR(V33/G33,0)</f>
        <v>0</v>
      </c>
      <c r="W34" s="101">
        <f>IFERROR(W33/G33,0)</f>
        <v>0</v>
      </c>
      <c r="X34" s="101">
        <f>IFERROR(X33/G33,0)</f>
        <v>0</v>
      </c>
      <c r="Y34" s="101">
        <f>IFERROR(Y33/G33,0)</f>
        <v>0</v>
      </c>
      <c r="Z34" s="101">
        <f>IFERROR(Z33/G33,0)</f>
        <v>0</v>
      </c>
      <c r="AA34" s="101">
        <f>IFERROR(AA33/G33,0)</f>
        <v>0</v>
      </c>
      <c r="AB34" s="101">
        <f>IFERROR(AB33/G33,0)</f>
        <v>0</v>
      </c>
      <c r="AC34" s="101">
        <f>IFERROR(AC33/G33,0)</f>
        <v>0</v>
      </c>
      <c r="AD34" s="101">
        <f>IFERROR(AD33/G33,0)</f>
        <v>0</v>
      </c>
      <c r="AE34" s="101">
        <f>IFERROR(IF(AE33="",0,AE33),0)</f>
        <v>0</v>
      </c>
      <c r="AF34" s="3"/>
      <c r="AG34" s="3"/>
      <c r="AH34" s="3"/>
      <c r="AI34" s="3"/>
      <c r="AJ34" s="3"/>
      <c r="AK34" s="3"/>
      <c r="AL34" s="61"/>
      <c r="AM34" s="61"/>
      <c r="AN34" s="61"/>
      <c r="AO34" s="3"/>
      <c r="AP34" s="3"/>
      <c r="AQ34" s="2"/>
      <c r="AR34" s="2"/>
      <c r="AS34" s="2"/>
      <c r="AT34" s="2"/>
      <c r="AU34" s="21"/>
      <c r="AV34" s="21"/>
      <c r="AW34" s="22"/>
    </row>
    <row r="35" spans="1:88" x14ac:dyDescent="0.2">
      <c r="A35" s="251"/>
      <c r="B35" s="251"/>
      <c r="C35" s="251"/>
      <c r="D35" s="251"/>
      <c r="E35" s="251"/>
      <c r="F35" s="251"/>
      <c r="G35" s="251"/>
      <c r="H35" s="251"/>
      <c r="I35" s="251"/>
      <c r="J35" s="251"/>
      <c r="K35" s="251"/>
      <c r="L35" s="251"/>
      <c r="M35" s="251"/>
      <c r="N35" s="251"/>
      <c r="O35" s="249" t="s">
        <v>43</v>
      </c>
      <c r="P35" s="250"/>
      <c r="Q35" s="250"/>
      <c r="R35" s="250"/>
      <c r="S35" s="250"/>
      <c r="T35" s="40" t="s">
        <v>0</v>
      </c>
      <c r="U35" s="103">
        <f t="shared" ref="U35:AD35" si="2">IFERROR(SUM(U33:U33),0)</f>
        <v>0</v>
      </c>
      <c r="V35" s="103">
        <f t="shared" si="2"/>
        <v>0</v>
      </c>
      <c r="W35" s="103">
        <f t="shared" si="2"/>
        <v>0</v>
      </c>
      <c r="X35" s="103">
        <f t="shared" si="2"/>
        <v>0</v>
      </c>
      <c r="Y35" s="103">
        <f t="shared" si="2"/>
        <v>0</v>
      </c>
      <c r="Z35" s="103">
        <f t="shared" si="2"/>
        <v>0</v>
      </c>
      <c r="AA35" s="103">
        <f t="shared" si="2"/>
        <v>0</v>
      </c>
      <c r="AB35" s="103">
        <f t="shared" si="2"/>
        <v>0</v>
      </c>
      <c r="AC35" s="103">
        <f t="shared" si="2"/>
        <v>0</v>
      </c>
      <c r="AD35" s="103">
        <f t="shared" si="2"/>
        <v>0</v>
      </c>
      <c r="AE35" s="101" t="s">
        <v>57</v>
      </c>
      <c r="AF35" s="3"/>
      <c r="AG35" s="3"/>
      <c r="AH35" s="3"/>
      <c r="AI35" s="3"/>
      <c r="AJ35" s="3"/>
      <c r="AK35" s="3"/>
      <c r="AL35" s="61"/>
      <c r="AM35" s="61"/>
      <c r="AN35" s="61"/>
      <c r="AO35" s="3"/>
      <c r="AP35" s="3"/>
      <c r="AQ35" s="2"/>
      <c r="AR35" s="2"/>
      <c r="AS35" s="2"/>
      <c r="AT35" s="2"/>
      <c r="AU35" s="21"/>
      <c r="AV35" s="21"/>
      <c r="AW35" s="22"/>
    </row>
    <row r="36" spans="1:88" ht="15" x14ac:dyDescent="0.25">
      <c r="A36" s="240" t="s">
        <v>103</v>
      </c>
      <c r="B36" s="241"/>
      <c r="C36" s="241"/>
      <c r="D36" s="241"/>
      <c r="E36" s="241"/>
      <c r="F36" s="241"/>
      <c r="G36" s="241"/>
      <c r="H36" s="241"/>
      <c r="I36" s="241"/>
      <c r="J36" s="241"/>
      <c r="K36" s="241"/>
      <c r="L36" s="241"/>
      <c r="M36" s="241"/>
      <c r="N36" s="241"/>
      <c r="O36" s="241"/>
      <c r="P36" s="241"/>
      <c r="Q36" s="241"/>
      <c r="R36" s="241"/>
      <c r="S36" s="241"/>
      <c r="T36" s="241"/>
      <c r="U36" s="241"/>
      <c r="V36" s="241"/>
      <c r="W36" s="241"/>
      <c r="X36" s="241"/>
      <c r="Y36" s="241"/>
      <c r="Z36" s="241"/>
      <c r="AA36" s="237"/>
      <c r="AB36" s="237"/>
      <c r="AC36" s="237"/>
      <c r="AD36" s="237"/>
      <c r="AE36" s="238"/>
      <c r="AF36" s="237"/>
      <c r="AG36" s="237"/>
      <c r="AH36" s="242"/>
      <c r="AI36" s="2"/>
      <c r="AJ36" s="2"/>
      <c r="AK36" s="60"/>
      <c r="AL36" s="60"/>
      <c r="AM36" s="60"/>
      <c r="AN36" s="2"/>
      <c r="AO36" s="2"/>
      <c r="AP36" s="2"/>
      <c r="AQ36" s="2"/>
      <c r="AR36" s="2"/>
    </row>
    <row r="37" spans="1:88" ht="15" x14ac:dyDescent="0.25">
      <c r="A37" s="243" t="s">
        <v>83</v>
      </c>
      <c r="B37" s="244"/>
      <c r="C37" s="244"/>
      <c r="D37" s="244"/>
      <c r="E37" s="244"/>
      <c r="F37" s="244"/>
      <c r="G37" s="244"/>
      <c r="H37" s="244"/>
      <c r="I37" s="244"/>
      <c r="J37" s="244"/>
      <c r="K37" s="244"/>
      <c r="L37" s="244"/>
      <c r="M37" s="244"/>
      <c r="N37" s="244"/>
      <c r="O37" s="244"/>
      <c r="P37" s="244"/>
      <c r="Q37" s="244"/>
      <c r="R37" s="244"/>
      <c r="S37" s="244"/>
      <c r="T37" s="244"/>
      <c r="U37" s="244"/>
      <c r="V37" s="244"/>
      <c r="W37" s="244"/>
      <c r="X37" s="241"/>
      <c r="Y37" s="241"/>
      <c r="Z37" s="241"/>
      <c r="AA37" s="237"/>
      <c r="AB37" s="237"/>
      <c r="AC37" s="237"/>
      <c r="AD37" s="237"/>
      <c r="AE37" s="238"/>
      <c r="AF37" s="237"/>
      <c r="AG37" s="237"/>
      <c r="AH37" s="245"/>
      <c r="AI37" s="2"/>
      <c r="AJ37" s="2"/>
      <c r="AK37" s="60"/>
      <c r="AL37" s="60"/>
      <c r="AM37" s="60"/>
      <c r="AN37" s="2"/>
      <c r="AO37" s="2"/>
      <c r="AP37" s="2"/>
      <c r="AQ37" s="2"/>
      <c r="AR37" s="2"/>
    </row>
    <row r="38" spans="1:88" x14ac:dyDescent="0.2">
      <c r="A38" s="76" t="s">
        <v>104</v>
      </c>
      <c r="B38" s="77" t="s">
        <v>105</v>
      </c>
      <c r="C38" s="77">
        <v>4301051837</v>
      </c>
      <c r="D38" s="77">
        <v>4680115884311</v>
      </c>
      <c r="E38" s="78">
        <v>0.3</v>
      </c>
      <c r="F38" s="79">
        <v>6</v>
      </c>
      <c r="G38" s="78">
        <v>1.8</v>
      </c>
      <c r="H38" s="78">
        <v>2.0459999999999998</v>
      </c>
      <c r="I38" s="80">
        <v>182</v>
      </c>
      <c r="J38" s="80" t="s">
        <v>87</v>
      </c>
      <c r="K38" s="81" t="s">
        <v>93</v>
      </c>
      <c r="L38" s="81"/>
      <c r="M38" s="246">
        <v>40</v>
      </c>
      <c r="N38" s="246"/>
      <c r="O38" s="25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P38" s="248"/>
      <c r="Q38" s="248"/>
      <c r="R38" s="248"/>
      <c r="S38" s="248"/>
      <c r="T38" s="82" t="s">
        <v>0</v>
      </c>
      <c r="U38" s="64">
        <v>0</v>
      </c>
      <c r="V38" s="65">
        <f>IFERROR(IF(U38="",0,CEILING((U38/$G38),1)*$G38),"")</f>
        <v>0</v>
      </c>
      <c r="W38" s="64">
        <v>0</v>
      </c>
      <c r="X38" s="65">
        <f>IFERROR(IF(W38="",0,CEILING((W38/$G38),1)*$G38),"")</f>
        <v>0</v>
      </c>
      <c r="Y38" s="64">
        <v>0</v>
      </c>
      <c r="Z38" s="65">
        <f>IFERROR(IF(Y38="",0,CEILING((Y38/$G38),1)*$G38),"")</f>
        <v>0</v>
      </c>
      <c r="AA38" s="64">
        <v>0</v>
      </c>
      <c r="AB38" s="65">
        <f>IFERROR(IF(AA38="",0,CEILING((AA38/$G38),1)*$G38),"")</f>
        <v>0</v>
      </c>
      <c r="AC38" s="64">
        <v>0</v>
      </c>
      <c r="AD38" s="65">
        <f>IFERROR(IF(AC38="",0,CEILING((AC38/$G38),1)*$G38),"")</f>
        <v>0</v>
      </c>
      <c r="AE38" s="66" t="str">
        <f>IF(IFERROR(ROUNDUP(V38/G38,0)*0.00651,0)+IFERROR(ROUNDUP(X38/G38,0)*0.00651,0)+IFERROR(ROUNDUP(Z38/G38,0)*0.00651,0)+IFERROR(ROUNDUP(AB38/G38,0)*0.00651,0)+IFERROR(ROUNDUP(AD38/G38,0)*0.00651,0)=0,"",IFERROR(ROUNDUP(V38/G38,0)*0.00651,0)+IFERROR(ROUNDUP(X38/G38,0)*0.00651,0)+IFERROR(ROUNDUP(Z38/G38,0)*0.00651,0)+IFERROR(ROUNDUP(AB38/G38,0)*0.00651,0)+IFERROR(ROUNDUP(AD38/G38,0)*0.00651,0))</f>
        <v/>
      </c>
      <c r="AF38" s="76" t="s">
        <v>57</v>
      </c>
      <c r="AG38" s="76" t="s">
        <v>57</v>
      </c>
      <c r="AH38" s="143" t="s">
        <v>106</v>
      </c>
      <c r="AI38" s="2"/>
      <c r="AJ38" s="2"/>
      <c r="AK38" s="2"/>
      <c r="AL38" s="60"/>
      <c r="AM38" s="60"/>
      <c r="AN38" s="60"/>
      <c r="AO38" s="2"/>
      <c r="AP38" s="2"/>
      <c r="AQ38" s="2"/>
      <c r="AR38" s="2"/>
      <c r="AS38" s="2"/>
      <c r="AT38" s="2"/>
      <c r="AU38" s="21"/>
      <c r="AV38" s="21"/>
      <c r="AW38" s="22"/>
      <c r="BB38" s="142" t="s">
        <v>65</v>
      </c>
      <c r="BQ38" s="74">
        <f>IFERROR(U38*H38/G38,0)</f>
        <v>0</v>
      </c>
      <c r="BR38" s="74">
        <f>IFERROR(V38*H38/G38,0)</f>
        <v>0</v>
      </c>
      <c r="BS38" s="74">
        <f>IFERROR(1/I38*(U38/G38),0)</f>
        <v>0</v>
      </c>
      <c r="BT38" s="74">
        <f>IFERROR(1/I38*(V38/G38),0)</f>
        <v>0</v>
      </c>
      <c r="BU38" s="74">
        <f>IFERROR(W38*H38/G38,0)</f>
        <v>0</v>
      </c>
      <c r="BV38" s="74">
        <f>IFERROR(X38*H38/G38,0)</f>
        <v>0</v>
      </c>
      <c r="BW38" s="74">
        <f>IFERROR(1/I38*(W38/G38),0)</f>
        <v>0</v>
      </c>
      <c r="BX38" s="74">
        <f>IFERROR(1/I38*(X38/G38),0)</f>
        <v>0</v>
      </c>
      <c r="BY38" s="74">
        <f>IFERROR(Y38*H38/G38,0)</f>
        <v>0</v>
      </c>
      <c r="BZ38" s="74">
        <f>IFERROR(Z38*H38/G38,0)</f>
        <v>0</v>
      </c>
      <c r="CA38" s="74">
        <f>IFERROR(1/I38*(Y38/G38),0)</f>
        <v>0</v>
      </c>
      <c r="CB38" s="74">
        <f>IFERROR(1/I38*(Z38/G38),0)</f>
        <v>0</v>
      </c>
      <c r="CC38" s="74">
        <f>IFERROR(AA38*H38/G38,0)</f>
        <v>0</v>
      </c>
      <c r="CD38" s="74">
        <f>IFERROR(AB38*H38/G38,0)</f>
        <v>0</v>
      </c>
      <c r="CE38" s="74">
        <f>IFERROR(1/I38*(AA38/G38),0)</f>
        <v>0</v>
      </c>
      <c r="CF38" s="74">
        <f>IFERROR(1/I38*(AB38/G38),0)</f>
        <v>0</v>
      </c>
      <c r="CG38" s="74">
        <f>IFERROR(AC38*H38/G38,0)</f>
        <v>0</v>
      </c>
      <c r="CH38" s="74">
        <f>IFERROR(AD38*H38/G38,0)</f>
        <v>0</v>
      </c>
      <c r="CI38" s="74">
        <f>IFERROR(1/I38*(AC38/G38),0)</f>
        <v>0</v>
      </c>
      <c r="CJ38" s="74">
        <f>IFERROR(1/I38*(AD38/G38),0)</f>
        <v>0</v>
      </c>
    </row>
    <row r="39" spans="1:88" x14ac:dyDescent="0.2">
      <c r="A39" s="251"/>
      <c r="B39" s="251"/>
      <c r="C39" s="251"/>
      <c r="D39" s="251"/>
      <c r="E39" s="251"/>
      <c r="F39" s="251"/>
      <c r="G39" s="251"/>
      <c r="H39" s="251"/>
      <c r="I39" s="251"/>
      <c r="J39" s="251"/>
      <c r="K39" s="251"/>
      <c r="L39" s="251"/>
      <c r="M39" s="251"/>
      <c r="N39" s="251"/>
      <c r="O39" s="249" t="s">
        <v>43</v>
      </c>
      <c r="P39" s="250"/>
      <c r="Q39" s="250"/>
      <c r="R39" s="250"/>
      <c r="S39" s="250"/>
      <c r="T39" s="40" t="s">
        <v>42</v>
      </c>
      <c r="U39" s="101">
        <f>IFERROR(U38/G38,0)</f>
        <v>0</v>
      </c>
      <c r="V39" s="101">
        <f>IFERROR(V38/G38,0)</f>
        <v>0</v>
      </c>
      <c r="W39" s="101">
        <f>IFERROR(W38/G38,0)</f>
        <v>0</v>
      </c>
      <c r="X39" s="101">
        <f>IFERROR(X38/G38,0)</f>
        <v>0</v>
      </c>
      <c r="Y39" s="101">
        <f>IFERROR(Y38/G38,0)</f>
        <v>0</v>
      </c>
      <c r="Z39" s="101">
        <f>IFERROR(Z38/G38,0)</f>
        <v>0</v>
      </c>
      <c r="AA39" s="101">
        <f>IFERROR(AA38/G38,0)</f>
        <v>0</v>
      </c>
      <c r="AB39" s="101">
        <f>IFERROR(AB38/G38,0)</f>
        <v>0</v>
      </c>
      <c r="AC39" s="101">
        <f>IFERROR(AC38/G38,0)</f>
        <v>0</v>
      </c>
      <c r="AD39" s="101">
        <f>IFERROR(AD38/G38,0)</f>
        <v>0</v>
      </c>
      <c r="AE39" s="101">
        <f>IFERROR(IF(AE38="",0,AE38),0)</f>
        <v>0</v>
      </c>
      <c r="AF39" s="3"/>
      <c r="AG39" s="3"/>
      <c r="AH39" s="3"/>
      <c r="AI39" s="3"/>
      <c r="AJ39" s="3"/>
      <c r="AK39" s="3"/>
      <c r="AL39" s="61"/>
      <c r="AM39" s="61"/>
      <c r="AN39" s="61"/>
      <c r="AO39" s="3"/>
      <c r="AP39" s="3"/>
      <c r="AQ39" s="2"/>
      <c r="AR39" s="2"/>
      <c r="AS39" s="2"/>
      <c r="AT39" s="2"/>
      <c r="AU39" s="21"/>
      <c r="AV39" s="21"/>
      <c r="AW39" s="22"/>
    </row>
    <row r="40" spans="1:88" x14ac:dyDescent="0.2">
      <c r="A40" s="251"/>
      <c r="B40" s="251"/>
      <c r="C40" s="251"/>
      <c r="D40" s="251"/>
      <c r="E40" s="251"/>
      <c r="F40" s="251"/>
      <c r="G40" s="251"/>
      <c r="H40" s="251"/>
      <c r="I40" s="251"/>
      <c r="J40" s="251"/>
      <c r="K40" s="251"/>
      <c r="L40" s="251"/>
      <c r="M40" s="251"/>
      <c r="N40" s="251"/>
      <c r="O40" s="249" t="s">
        <v>43</v>
      </c>
      <c r="P40" s="250"/>
      <c r="Q40" s="250"/>
      <c r="R40" s="250"/>
      <c r="S40" s="250"/>
      <c r="T40" s="40" t="s">
        <v>0</v>
      </c>
      <c r="U40" s="103">
        <f t="shared" ref="U40:AD40" si="3">IFERROR(SUM(U38:U38),0)</f>
        <v>0</v>
      </c>
      <c r="V40" s="103">
        <f t="shared" si="3"/>
        <v>0</v>
      </c>
      <c r="W40" s="103">
        <f t="shared" si="3"/>
        <v>0</v>
      </c>
      <c r="X40" s="103">
        <f t="shared" si="3"/>
        <v>0</v>
      </c>
      <c r="Y40" s="103">
        <f t="shared" si="3"/>
        <v>0</v>
      </c>
      <c r="Z40" s="103">
        <f t="shared" si="3"/>
        <v>0</v>
      </c>
      <c r="AA40" s="103">
        <f t="shared" si="3"/>
        <v>0</v>
      </c>
      <c r="AB40" s="103">
        <f t="shared" si="3"/>
        <v>0</v>
      </c>
      <c r="AC40" s="103">
        <f t="shared" si="3"/>
        <v>0</v>
      </c>
      <c r="AD40" s="103">
        <f t="shared" si="3"/>
        <v>0</v>
      </c>
      <c r="AE40" s="101" t="s">
        <v>57</v>
      </c>
      <c r="AF40" s="3"/>
      <c r="AG40" s="3"/>
      <c r="AH40" s="3"/>
      <c r="AI40" s="3"/>
      <c r="AJ40" s="3"/>
      <c r="AK40" s="3"/>
      <c r="AL40" s="61"/>
      <c r="AM40" s="61"/>
      <c r="AN40" s="61"/>
      <c r="AO40" s="3"/>
      <c r="AP40" s="3"/>
      <c r="AQ40" s="2"/>
      <c r="AR40" s="2"/>
      <c r="AS40" s="2"/>
      <c r="AT40" s="2"/>
      <c r="AU40" s="21"/>
      <c r="AV40" s="21"/>
      <c r="AW40" s="22"/>
    </row>
    <row r="41" spans="1:88" ht="15" x14ac:dyDescent="0.25">
      <c r="A41" s="240" t="s">
        <v>107</v>
      </c>
      <c r="B41" s="241"/>
      <c r="C41" s="241"/>
      <c r="D41" s="241"/>
      <c r="E41" s="241"/>
      <c r="F41" s="241"/>
      <c r="G41" s="241"/>
      <c r="H41" s="241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Y41" s="241"/>
      <c r="Z41" s="241"/>
      <c r="AA41" s="237"/>
      <c r="AB41" s="237"/>
      <c r="AC41" s="237"/>
      <c r="AD41" s="237"/>
      <c r="AE41" s="238"/>
      <c r="AF41" s="237"/>
      <c r="AG41" s="237"/>
      <c r="AH41" s="242"/>
      <c r="AI41" s="2"/>
      <c r="AJ41" s="2"/>
      <c r="AK41" s="60"/>
      <c r="AL41" s="60"/>
      <c r="AM41" s="60"/>
      <c r="AN41" s="2"/>
      <c r="AO41" s="2"/>
      <c r="AP41" s="2"/>
      <c r="AQ41" s="2"/>
      <c r="AR41" s="2"/>
    </row>
    <row r="42" spans="1:88" ht="15" x14ac:dyDescent="0.25">
      <c r="A42" s="243" t="s">
        <v>97</v>
      </c>
      <c r="B42" s="244"/>
      <c r="C42" s="244"/>
      <c r="D42" s="244"/>
      <c r="E42" s="244"/>
      <c r="F42" s="244"/>
      <c r="G42" s="244"/>
      <c r="H42" s="244"/>
      <c r="I42" s="244"/>
      <c r="J42" s="244"/>
      <c r="K42" s="244"/>
      <c r="L42" s="244"/>
      <c r="M42" s="244"/>
      <c r="N42" s="244"/>
      <c r="O42" s="244"/>
      <c r="P42" s="244"/>
      <c r="Q42" s="244"/>
      <c r="R42" s="244"/>
      <c r="S42" s="244"/>
      <c r="T42" s="244"/>
      <c r="U42" s="244"/>
      <c r="V42" s="244"/>
      <c r="W42" s="244"/>
      <c r="X42" s="241"/>
      <c r="Y42" s="241"/>
      <c r="Z42" s="241"/>
      <c r="AA42" s="237"/>
      <c r="AB42" s="237"/>
      <c r="AC42" s="237"/>
      <c r="AD42" s="237"/>
      <c r="AE42" s="238"/>
      <c r="AF42" s="237"/>
      <c r="AG42" s="237"/>
      <c r="AH42" s="245"/>
      <c r="AI42" s="2"/>
      <c r="AJ42" s="2"/>
      <c r="AK42" s="60"/>
      <c r="AL42" s="60"/>
      <c r="AM42" s="60"/>
      <c r="AN42" s="2"/>
      <c r="AO42" s="2"/>
      <c r="AP42" s="2"/>
      <c r="AQ42" s="2"/>
      <c r="AR42" s="2"/>
    </row>
    <row r="43" spans="1:88" x14ac:dyDescent="0.2">
      <c r="A43" s="76" t="s">
        <v>108</v>
      </c>
      <c r="B43" s="77" t="s">
        <v>109</v>
      </c>
      <c r="C43" s="77">
        <v>4301012379</v>
      </c>
      <c r="D43" s="77">
        <v>4680115887718</v>
      </c>
      <c r="E43" s="78">
        <v>0.11</v>
      </c>
      <c r="F43" s="79">
        <v>6</v>
      </c>
      <c r="G43" s="78">
        <v>0.66</v>
      </c>
      <c r="H43" s="78">
        <v>0.82599999999999996</v>
      </c>
      <c r="I43" s="80">
        <v>192</v>
      </c>
      <c r="J43" s="80" t="s">
        <v>101</v>
      </c>
      <c r="K43" s="81" t="s">
        <v>100</v>
      </c>
      <c r="L43" s="81"/>
      <c r="M43" s="246">
        <v>30</v>
      </c>
      <c r="N43" s="246"/>
      <c r="O43" s="255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P43" s="248"/>
      <c r="Q43" s="248"/>
      <c r="R43" s="248"/>
      <c r="S43" s="248"/>
      <c r="T43" s="82" t="s">
        <v>0</v>
      </c>
      <c r="U43" s="64">
        <v>0</v>
      </c>
      <c r="V43" s="65">
        <f>IFERROR(IF(U43="",0,CEILING((U43/$G43),1)*$G43),"")</f>
        <v>0</v>
      </c>
      <c r="W43" s="64">
        <v>0</v>
      </c>
      <c r="X43" s="65">
        <f>IFERROR(IF(W43="",0,CEILING((W43/$G43),1)*$G43),"")</f>
        <v>0</v>
      </c>
      <c r="Y43" s="64">
        <v>0</v>
      </c>
      <c r="Z43" s="65">
        <f>IFERROR(IF(Y43="",0,CEILING((Y43/$G43),1)*$G43),"")</f>
        <v>0</v>
      </c>
      <c r="AA43" s="64">
        <v>0</v>
      </c>
      <c r="AB43" s="65">
        <f>IFERROR(IF(AA43="",0,CEILING((AA43/$G43),1)*$G43),"")</f>
        <v>0</v>
      </c>
      <c r="AC43" s="64">
        <v>0</v>
      </c>
      <c r="AD43" s="65">
        <f>IFERROR(IF(AC43="",0,CEILING((AC43/$G43),1)*$G43),"")</f>
        <v>0</v>
      </c>
      <c r="AE43" s="66" t="str">
        <f>IF(IFERROR(ROUNDUP(V43/G43,0)*0.00726,0)+IFERROR(ROUNDUP(X43/G43,0)*0.00726,0)+IFERROR(ROUNDUP(Z43/G43,0)*0.00726,0)+IFERROR(ROUNDUP(AB43/G43,0)*0.00726,0)+IFERROR(ROUNDUP(AD43/G43,0)*0.00726,0)=0,"",IFERROR(ROUNDUP(V43/G43,0)*0.00726,0)+IFERROR(ROUNDUP(X43/G43,0)*0.00726,0)+IFERROR(ROUNDUP(Z43/G43,0)*0.00726,0)+IFERROR(ROUNDUP(AB43/G43,0)*0.00726,0)+IFERROR(ROUNDUP(AD43/G43,0)*0.00726,0))</f>
        <v/>
      </c>
      <c r="AF43" s="76" t="s">
        <v>57</v>
      </c>
      <c r="AG43" s="76" t="s">
        <v>57</v>
      </c>
      <c r="AH43" s="145" t="s">
        <v>110</v>
      </c>
      <c r="AI43" s="2"/>
      <c r="AJ43" s="2"/>
      <c r="AK43" s="2"/>
      <c r="AL43" s="60"/>
      <c r="AM43" s="60"/>
      <c r="AN43" s="60"/>
      <c r="AO43" s="2"/>
      <c r="AP43" s="2"/>
      <c r="AQ43" s="2"/>
      <c r="AR43" s="2"/>
      <c r="AS43" s="2"/>
      <c r="AT43" s="2"/>
      <c r="AU43" s="21"/>
      <c r="AV43" s="21"/>
      <c r="AW43" s="22"/>
      <c r="BB43" s="144" t="s">
        <v>65</v>
      </c>
      <c r="BQ43" s="74">
        <f>IFERROR(U43*H43/G43,0)</f>
        <v>0</v>
      </c>
      <c r="BR43" s="74">
        <f>IFERROR(V43*H43/G43,0)</f>
        <v>0</v>
      </c>
      <c r="BS43" s="74">
        <f>IFERROR(1/I43*(U43/G43),0)</f>
        <v>0</v>
      </c>
      <c r="BT43" s="74">
        <f>IFERROR(1/I43*(V43/G43),0)</f>
        <v>0</v>
      </c>
      <c r="BU43" s="74">
        <f>IFERROR(W43*H43/G43,0)</f>
        <v>0</v>
      </c>
      <c r="BV43" s="74">
        <f>IFERROR(X43*H43/G43,0)</f>
        <v>0</v>
      </c>
      <c r="BW43" s="74">
        <f>IFERROR(1/I43*(W43/G43),0)</f>
        <v>0</v>
      </c>
      <c r="BX43" s="74">
        <f>IFERROR(1/I43*(X43/G43),0)</f>
        <v>0</v>
      </c>
      <c r="BY43" s="74">
        <f>IFERROR(Y43*H43/G43,0)</f>
        <v>0</v>
      </c>
      <c r="BZ43" s="74">
        <f>IFERROR(Z43*H43/G43,0)</f>
        <v>0</v>
      </c>
      <c r="CA43" s="74">
        <f>IFERROR(1/I43*(Y43/G43),0)</f>
        <v>0</v>
      </c>
      <c r="CB43" s="74">
        <f>IFERROR(1/I43*(Z43/G43),0)</f>
        <v>0</v>
      </c>
      <c r="CC43" s="74">
        <f>IFERROR(AA43*H43/G43,0)</f>
        <v>0</v>
      </c>
      <c r="CD43" s="74">
        <f>IFERROR(AB43*H43/G43,0)</f>
        <v>0</v>
      </c>
      <c r="CE43" s="74">
        <f>IFERROR(1/I43*(AA43/G43),0)</f>
        <v>0</v>
      </c>
      <c r="CF43" s="74">
        <f>IFERROR(1/I43*(AB43/G43),0)</f>
        <v>0</v>
      </c>
      <c r="CG43" s="74">
        <f>IFERROR(AC43*H43/G43,0)</f>
        <v>0</v>
      </c>
      <c r="CH43" s="74">
        <f>IFERROR(AD43*H43/G43,0)</f>
        <v>0</v>
      </c>
      <c r="CI43" s="74">
        <f>IFERROR(1/I43*(AC43/G43),0)</f>
        <v>0</v>
      </c>
      <c r="CJ43" s="74">
        <f>IFERROR(1/I43*(AD43/G43),0)</f>
        <v>0</v>
      </c>
    </row>
    <row r="44" spans="1:88" ht="33.75" x14ac:dyDescent="0.2">
      <c r="A44" s="76" t="s">
        <v>111</v>
      </c>
      <c r="B44" s="77" t="s">
        <v>112</v>
      </c>
      <c r="C44" s="77">
        <v>4301011485</v>
      </c>
      <c r="D44" s="77">
        <v>4680115880269</v>
      </c>
      <c r="E44" s="78">
        <v>0.375</v>
      </c>
      <c r="F44" s="79">
        <v>10</v>
      </c>
      <c r="G44" s="78">
        <v>3.75</v>
      </c>
      <c r="H44" s="78">
        <v>3.94</v>
      </c>
      <c r="I44" s="80">
        <v>132</v>
      </c>
      <c r="J44" s="80" t="s">
        <v>113</v>
      </c>
      <c r="K44" s="81" t="s">
        <v>86</v>
      </c>
      <c r="L44" s="81"/>
      <c r="M44" s="246">
        <v>50</v>
      </c>
      <c r="N44" s="246"/>
      <c r="O44" s="25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P44" s="248"/>
      <c r="Q44" s="248"/>
      <c r="R44" s="248"/>
      <c r="S44" s="248"/>
      <c r="T44" s="82" t="s">
        <v>0</v>
      </c>
      <c r="U44" s="64">
        <v>0</v>
      </c>
      <c r="V44" s="65">
        <f>IFERROR(IF(U44="",0,CEILING((U44/$G44),1)*$G44),"")</f>
        <v>0</v>
      </c>
      <c r="W44" s="64">
        <v>0</v>
      </c>
      <c r="X44" s="65">
        <f>IFERROR(IF(W44="",0,CEILING((W44/$G44),1)*$G44),"")</f>
        <v>0</v>
      </c>
      <c r="Y44" s="64">
        <v>0</v>
      </c>
      <c r="Z44" s="65">
        <f>IFERROR(IF(Y44="",0,CEILING((Y44/$G44),1)*$G44),"")</f>
        <v>0</v>
      </c>
      <c r="AA44" s="64">
        <v>0</v>
      </c>
      <c r="AB44" s="65">
        <f>IFERROR(IF(AA44="",0,CEILING((AA44/$G44),1)*$G44),"")</f>
        <v>0</v>
      </c>
      <c r="AC44" s="64">
        <v>0</v>
      </c>
      <c r="AD44" s="65">
        <f>IFERROR(IF(AC44="",0,CEILING((AC44/$G44),1)*$G44),"")</f>
        <v>0</v>
      </c>
      <c r="AE44" s="66" t="str">
        <f>IF(IFERROR(ROUNDUP(V44/G44,0)*0.00902,0)+IFERROR(ROUNDUP(X44/G44,0)*0.00902,0)+IFERROR(ROUNDUP(Z44/G44,0)*0.00902,0)+IFERROR(ROUNDUP(AB44/G44,0)*0.00902,0)+IFERROR(ROUNDUP(AD44/G44,0)*0.00902,0)=0,"",IFERROR(ROUNDUP(V44/G44,0)*0.00902,0)+IFERROR(ROUNDUP(X44/G44,0)*0.00902,0)+IFERROR(ROUNDUP(Z44/G44,0)*0.00902,0)+IFERROR(ROUNDUP(AB44/G44,0)*0.00902,0)+IFERROR(ROUNDUP(AD44/G44,0)*0.00902,0))</f>
        <v/>
      </c>
      <c r="AF44" s="76" t="s">
        <v>57</v>
      </c>
      <c r="AG44" s="76" t="s">
        <v>57</v>
      </c>
      <c r="AH44" s="147" t="s">
        <v>114</v>
      </c>
      <c r="AI44" s="2"/>
      <c r="AJ44" s="2"/>
      <c r="AK44" s="2"/>
      <c r="AL44" s="60"/>
      <c r="AM44" s="60"/>
      <c r="AN44" s="60"/>
      <c r="AO44" s="2"/>
      <c r="AP44" s="2"/>
      <c r="AQ44" s="2"/>
      <c r="AR44" s="2"/>
      <c r="AS44" s="2"/>
      <c r="AT44" s="2"/>
      <c r="AU44" s="21"/>
      <c r="AV44" s="21"/>
      <c r="AW44" s="22"/>
      <c r="BB44" s="146" t="s">
        <v>65</v>
      </c>
      <c r="BQ44" s="74">
        <f>IFERROR(U44*H44/G44,0)</f>
        <v>0</v>
      </c>
      <c r="BR44" s="74">
        <f>IFERROR(V44*H44/G44,0)</f>
        <v>0</v>
      </c>
      <c r="BS44" s="74">
        <f>IFERROR(1/I44*(U44/G44),0)</f>
        <v>0</v>
      </c>
      <c r="BT44" s="74">
        <f>IFERROR(1/I44*(V44/G44),0)</f>
        <v>0</v>
      </c>
      <c r="BU44" s="74">
        <f>IFERROR(W44*H44/G44,0)</f>
        <v>0</v>
      </c>
      <c r="BV44" s="74">
        <f>IFERROR(X44*H44/G44,0)</f>
        <v>0</v>
      </c>
      <c r="BW44" s="74">
        <f>IFERROR(1/I44*(W44/G44),0)</f>
        <v>0</v>
      </c>
      <c r="BX44" s="74">
        <f>IFERROR(1/I44*(X44/G44),0)</f>
        <v>0</v>
      </c>
      <c r="BY44" s="74">
        <f>IFERROR(Y44*H44/G44,0)</f>
        <v>0</v>
      </c>
      <c r="BZ44" s="74">
        <f>IFERROR(Z44*H44/G44,0)</f>
        <v>0</v>
      </c>
      <c r="CA44" s="74">
        <f>IFERROR(1/I44*(Y44/G44),0)</f>
        <v>0</v>
      </c>
      <c r="CB44" s="74">
        <f>IFERROR(1/I44*(Z44/G44),0)</f>
        <v>0</v>
      </c>
      <c r="CC44" s="74">
        <f>IFERROR(AA44*H44/G44,0)</f>
        <v>0</v>
      </c>
      <c r="CD44" s="74">
        <f>IFERROR(AB44*H44/G44,0)</f>
        <v>0</v>
      </c>
      <c r="CE44" s="74">
        <f>IFERROR(1/I44*(AA44/G44),0)</f>
        <v>0</v>
      </c>
      <c r="CF44" s="74">
        <f>IFERROR(1/I44*(AB44/G44),0)</f>
        <v>0</v>
      </c>
      <c r="CG44" s="74">
        <f>IFERROR(AC44*H44/G44,0)</f>
        <v>0</v>
      </c>
      <c r="CH44" s="74">
        <f>IFERROR(AD44*H44/G44,0)</f>
        <v>0</v>
      </c>
      <c r="CI44" s="74">
        <f>IFERROR(1/I44*(AC44/G44),0)</f>
        <v>0</v>
      </c>
      <c r="CJ44" s="74">
        <f>IFERROR(1/I44*(AD44/G44),0)</f>
        <v>0</v>
      </c>
    </row>
    <row r="45" spans="1:88" x14ac:dyDescent="0.2">
      <c r="A45" s="251"/>
      <c r="B45" s="251"/>
      <c r="C45" s="251"/>
      <c r="D45" s="251"/>
      <c r="E45" s="251"/>
      <c r="F45" s="251"/>
      <c r="G45" s="251"/>
      <c r="H45" s="251"/>
      <c r="I45" s="251"/>
      <c r="J45" s="251"/>
      <c r="K45" s="251"/>
      <c r="L45" s="251"/>
      <c r="M45" s="251"/>
      <c r="N45" s="251"/>
      <c r="O45" s="249" t="s">
        <v>43</v>
      </c>
      <c r="P45" s="250"/>
      <c r="Q45" s="250"/>
      <c r="R45" s="250"/>
      <c r="S45" s="250"/>
      <c r="T45" s="40" t="s">
        <v>42</v>
      </c>
      <c r="U45" s="101">
        <f>IFERROR(U43/G43,0)+IFERROR(U44/G44,0)</f>
        <v>0</v>
      </c>
      <c r="V45" s="101">
        <f>IFERROR(V43/G43,0)+IFERROR(V44/G44,0)</f>
        <v>0</v>
      </c>
      <c r="W45" s="101">
        <f>IFERROR(W43/G43,0)+IFERROR(W44/G44,0)</f>
        <v>0</v>
      </c>
      <c r="X45" s="101">
        <f>IFERROR(X43/G43,0)+IFERROR(X44/G44,0)</f>
        <v>0</v>
      </c>
      <c r="Y45" s="101">
        <f>IFERROR(Y43/G43,0)+IFERROR(Y44/G44,0)</f>
        <v>0</v>
      </c>
      <c r="Z45" s="101">
        <f>IFERROR(Z43/G43,0)+IFERROR(Z44/G44,0)</f>
        <v>0</v>
      </c>
      <c r="AA45" s="101">
        <f>IFERROR(AA43/G43,0)+IFERROR(AA44/G44,0)</f>
        <v>0</v>
      </c>
      <c r="AB45" s="101">
        <f>IFERROR(AB43/G43,0)+IFERROR(AB44/G44,0)</f>
        <v>0</v>
      </c>
      <c r="AC45" s="101">
        <f>IFERROR(AC43/G43,0)+IFERROR(AC44/G44,0)</f>
        <v>0</v>
      </c>
      <c r="AD45" s="101">
        <f>IFERROR(AD43/G43,0)+IFERROR(AD44/G44,0)</f>
        <v>0</v>
      </c>
      <c r="AE45" s="101">
        <f>IFERROR(IF(AE43="",0,AE43),0)+IFERROR(IF(AE44="",0,AE44),0)</f>
        <v>0</v>
      </c>
      <c r="AF45" s="3"/>
      <c r="AG45" s="3"/>
      <c r="AH45" s="3"/>
      <c r="AI45" s="3"/>
      <c r="AJ45" s="3"/>
      <c r="AK45" s="3"/>
      <c r="AL45" s="61"/>
      <c r="AM45" s="61"/>
      <c r="AN45" s="61"/>
      <c r="AO45" s="3"/>
      <c r="AP45" s="3"/>
      <c r="AQ45" s="2"/>
      <c r="AR45" s="2"/>
      <c r="AS45" s="2"/>
      <c r="AT45" s="2"/>
      <c r="AU45" s="21"/>
      <c r="AV45" s="21"/>
      <c r="AW45" s="22"/>
    </row>
    <row r="46" spans="1:88" x14ac:dyDescent="0.2">
      <c r="A46" s="251"/>
      <c r="B46" s="251"/>
      <c r="C46" s="251"/>
      <c r="D46" s="251"/>
      <c r="E46" s="251"/>
      <c r="F46" s="251"/>
      <c r="G46" s="251"/>
      <c r="H46" s="251"/>
      <c r="I46" s="251"/>
      <c r="J46" s="251"/>
      <c r="K46" s="251"/>
      <c r="L46" s="251"/>
      <c r="M46" s="251"/>
      <c r="N46" s="251"/>
      <c r="O46" s="249" t="s">
        <v>43</v>
      </c>
      <c r="P46" s="250"/>
      <c r="Q46" s="250"/>
      <c r="R46" s="250"/>
      <c r="S46" s="250"/>
      <c r="T46" s="40" t="s">
        <v>0</v>
      </c>
      <c r="U46" s="103">
        <f t="shared" ref="U46:AD46" si="4">IFERROR(SUM(U43:U44),0)</f>
        <v>0</v>
      </c>
      <c r="V46" s="103">
        <f t="shared" si="4"/>
        <v>0</v>
      </c>
      <c r="W46" s="103">
        <f t="shared" si="4"/>
        <v>0</v>
      </c>
      <c r="X46" s="103">
        <f t="shared" si="4"/>
        <v>0</v>
      </c>
      <c r="Y46" s="103">
        <f t="shared" si="4"/>
        <v>0</v>
      </c>
      <c r="Z46" s="103">
        <f t="shared" si="4"/>
        <v>0</v>
      </c>
      <c r="AA46" s="103">
        <f t="shared" si="4"/>
        <v>0</v>
      </c>
      <c r="AB46" s="103">
        <f t="shared" si="4"/>
        <v>0</v>
      </c>
      <c r="AC46" s="103">
        <f t="shared" si="4"/>
        <v>0</v>
      </c>
      <c r="AD46" s="103">
        <f t="shared" si="4"/>
        <v>0</v>
      </c>
      <c r="AE46" s="101" t="s">
        <v>57</v>
      </c>
      <c r="AF46" s="3"/>
      <c r="AG46" s="3"/>
      <c r="AH46" s="3"/>
      <c r="AI46" s="3"/>
      <c r="AJ46" s="3"/>
      <c r="AK46" s="3"/>
      <c r="AL46" s="61"/>
      <c r="AM46" s="61"/>
      <c r="AN46" s="61"/>
      <c r="AO46" s="3"/>
      <c r="AP46" s="3"/>
      <c r="AQ46" s="2"/>
      <c r="AR46" s="2"/>
      <c r="AS46" s="2"/>
      <c r="AT46" s="2"/>
      <c r="AU46" s="21"/>
      <c r="AV46" s="21"/>
      <c r="AW46" s="22"/>
    </row>
    <row r="47" spans="1:88" ht="15" x14ac:dyDescent="0.25">
      <c r="A47" s="240" t="s">
        <v>115</v>
      </c>
      <c r="B47" s="241"/>
      <c r="C47" s="241"/>
      <c r="D47" s="241"/>
      <c r="E47" s="241"/>
      <c r="F47" s="241"/>
      <c r="G47" s="241"/>
      <c r="H47" s="241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Y47" s="241"/>
      <c r="Z47" s="241"/>
      <c r="AA47" s="237"/>
      <c r="AB47" s="237"/>
      <c r="AC47" s="237"/>
      <c r="AD47" s="237"/>
      <c r="AE47" s="238"/>
      <c r="AF47" s="237"/>
      <c r="AG47" s="237"/>
      <c r="AH47" s="242"/>
      <c r="AI47" s="2"/>
      <c r="AJ47" s="2"/>
      <c r="AK47" s="60"/>
      <c r="AL47" s="60"/>
      <c r="AM47" s="60"/>
      <c r="AN47" s="2"/>
      <c r="AO47" s="2"/>
      <c r="AP47" s="2"/>
      <c r="AQ47" s="2"/>
      <c r="AR47" s="2"/>
    </row>
    <row r="48" spans="1:88" ht="15" x14ac:dyDescent="0.25">
      <c r="A48" s="243" t="s">
        <v>83</v>
      </c>
      <c r="B48" s="244"/>
      <c r="C48" s="244"/>
      <c r="D48" s="244"/>
      <c r="E48" s="244"/>
      <c r="F48" s="244"/>
      <c r="G48" s="244"/>
      <c r="H48" s="244"/>
      <c r="I48" s="244"/>
      <c r="J48" s="244"/>
      <c r="K48" s="244"/>
      <c r="L48" s="244"/>
      <c r="M48" s="244"/>
      <c r="N48" s="244"/>
      <c r="O48" s="244"/>
      <c r="P48" s="244"/>
      <c r="Q48" s="244"/>
      <c r="R48" s="244"/>
      <c r="S48" s="244"/>
      <c r="T48" s="244"/>
      <c r="U48" s="244"/>
      <c r="V48" s="244"/>
      <c r="W48" s="244"/>
      <c r="X48" s="241"/>
      <c r="Y48" s="241"/>
      <c r="Z48" s="241"/>
      <c r="AA48" s="237"/>
      <c r="AB48" s="237"/>
      <c r="AC48" s="237"/>
      <c r="AD48" s="237"/>
      <c r="AE48" s="238"/>
      <c r="AF48" s="237"/>
      <c r="AG48" s="237"/>
      <c r="AH48" s="245"/>
      <c r="AI48" s="2"/>
      <c r="AJ48" s="2"/>
      <c r="AK48" s="60"/>
      <c r="AL48" s="60"/>
      <c r="AM48" s="60"/>
      <c r="AN48" s="2"/>
      <c r="AO48" s="2"/>
      <c r="AP48" s="2"/>
      <c r="AQ48" s="2"/>
      <c r="AR48" s="2"/>
    </row>
    <row r="49" spans="1:88" x14ac:dyDescent="0.2">
      <c r="A49" s="76" t="s">
        <v>116</v>
      </c>
      <c r="B49" s="77" t="s">
        <v>117</v>
      </c>
      <c r="C49" s="77">
        <v>4301052253</v>
      </c>
      <c r="D49" s="77">
        <v>4680115888197</v>
      </c>
      <c r="E49" s="78">
        <v>0.22</v>
      </c>
      <c r="F49" s="79">
        <v>6</v>
      </c>
      <c r="G49" s="78">
        <v>1.32</v>
      </c>
      <c r="H49" s="78">
        <v>1.5660000000000001</v>
      </c>
      <c r="I49" s="80">
        <v>182</v>
      </c>
      <c r="J49" s="80" t="s">
        <v>87</v>
      </c>
      <c r="K49" s="81" t="s">
        <v>86</v>
      </c>
      <c r="L49" s="81"/>
      <c r="M49" s="246">
        <v>40</v>
      </c>
      <c r="N49" s="246"/>
      <c r="O49" s="257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P49" s="248"/>
      <c r="Q49" s="248"/>
      <c r="R49" s="248"/>
      <c r="S49" s="248"/>
      <c r="T49" s="82" t="s">
        <v>0</v>
      </c>
      <c r="U49" s="64">
        <v>0</v>
      </c>
      <c r="V49" s="65">
        <f>IFERROR(IF(U49="",0,CEILING((U49/$G49),1)*$G49),"")</f>
        <v>0</v>
      </c>
      <c r="W49" s="64">
        <v>0</v>
      </c>
      <c r="X49" s="65">
        <f>IFERROR(IF(W49="",0,CEILING((W49/$G49),1)*$G49),"")</f>
        <v>0</v>
      </c>
      <c r="Y49" s="64">
        <v>0</v>
      </c>
      <c r="Z49" s="65">
        <f>IFERROR(IF(Y49="",0,CEILING((Y49/$G49),1)*$G49),"")</f>
        <v>0</v>
      </c>
      <c r="AA49" s="64">
        <v>0</v>
      </c>
      <c r="AB49" s="65">
        <f>IFERROR(IF(AA49="",0,CEILING((AA49/$G49),1)*$G49),"")</f>
        <v>0</v>
      </c>
      <c r="AC49" s="64">
        <v>0</v>
      </c>
      <c r="AD49" s="65">
        <f>IFERROR(IF(AC49="",0,CEILING((AC49/$G49),1)*$G49),"")</f>
        <v>0</v>
      </c>
      <c r="AE49" s="66" t="str">
        <f>IF(IFERROR(ROUNDUP(V49/G49,0)*0.00651,0)+IFERROR(ROUNDUP(X49/G49,0)*0.00651,0)+IFERROR(ROUNDUP(Z49/G49,0)*0.00651,0)+IFERROR(ROUNDUP(AB49/G49,0)*0.00651,0)+IFERROR(ROUNDUP(AD49/G49,0)*0.00651,0)=0,"",IFERROR(ROUNDUP(V49/G49,0)*0.00651,0)+IFERROR(ROUNDUP(X49/G49,0)*0.00651,0)+IFERROR(ROUNDUP(Z49/G49,0)*0.00651,0)+IFERROR(ROUNDUP(AB49/G49,0)*0.00651,0)+IFERROR(ROUNDUP(AD49/G49,0)*0.00651,0))</f>
        <v/>
      </c>
      <c r="AF49" s="76" t="s">
        <v>57</v>
      </c>
      <c r="AG49" s="76" t="s">
        <v>57</v>
      </c>
      <c r="AH49" s="149" t="s">
        <v>118</v>
      </c>
      <c r="AI49" s="2"/>
      <c r="AJ49" s="2"/>
      <c r="AK49" s="2"/>
      <c r="AL49" s="60"/>
      <c r="AM49" s="60"/>
      <c r="AN49" s="60"/>
      <c r="AO49" s="2"/>
      <c r="AP49" s="2"/>
      <c r="AQ49" s="2"/>
      <c r="AR49" s="2"/>
      <c r="AS49" s="2"/>
      <c r="AT49" s="2"/>
      <c r="AU49" s="21"/>
      <c r="AV49" s="21"/>
      <c r="AW49" s="22"/>
      <c r="BB49" s="148" t="s">
        <v>65</v>
      </c>
      <c r="BQ49" s="74">
        <f>IFERROR(U49*H49/G49,0)</f>
        <v>0</v>
      </c>
      <c r="BR49" s="74">
        <f>IFERROR(V49*H49/G49,0)</f>
        <v>0</v>
      </c>
      <c r="BS49" s="74">
        <f>IFERROR(1/I49*(U49/G49),0)</f>
        <v>0</v>
      </c>
      <c r="BT49" s="74">
        <f>IFERROR(1/I49*(V49/G49),0)</f>
        <v>0</v>
      </c>
      <c r="BU49" s="74">
        <f>IFERROR(W49*H49/G49,0)</f>
        <v>0</v>
      </c>
      <c r="BV49" s="74">
        <f>IFERROR(X49*H49/G49,0)</f>
        <v>0</v>
      </c>
      <c r="BW49" s="74">
        <f>IFERROR(1/I49*(W49/G49),0)</f>
        <v>0</v>
      </c>
      <c r="BX49" s="74">
        <f>IFERROR(1/I49*(X49/G49),0)</f>
        <v>0</v>
      </c>
      <c r="BY49" s="74">
        <f>IFERROR(Y49*H49/G49,0)</f>
        <v>0</v>
      </c>
      <c r="BZ49" s="74">
        <f>IFERROR(Z49*H49/G49,0)</f>
        <v>0</v>
      </c>
      <c r="CA49" s="74">
        <f>IFERROR(1/I49*(Y49/G49),0)</f>
        <v>0</v>
      </c>
      <c r="CB49" s="74">
        <f>IFERROR(1/I49*(Z49/G49),0)</f>
        <v>0</v>
      </c>
      <c r="CC49" s="74">
        <f>IFERROR(AA49*H49/G49,0)</f>
        <v>0</v>
      </c>
      <c r="CD49" s="74">
        <f>IFERROR(AB49*H49/G49,0)</f>
        <v>0</v>
      </c>
      <c r="CE49" s="74">
        <f>IFERROR(1/I49*(AA49/G49),0)</f>
        <v>0</v>
      </c>
      <c r="CF49" s="74">
        <f>IFERROR(1/I49*(AB49/G49),0)</f>
        <v>0</v>
      </c>
      <c r="CG49" s="74">
        <f>IFERROR(AC49*H49/G49,0)</f>
        <v>0</v>
      </c>
      <c r="CH49" s="74">
        <f>IFERROR(AD49*H49/G49,0)</f>
        <v>0</v>
      </c>
      <c r="CI49" s="74">
        <f>IFERROR(1/I49*(AC49/G49),0)</f>
        <v>0</v>
      </c>
      <c r="CJ49" s="74">
        <f>IFERROR(1/I49*(AD49/G49),0)</f>
        <v>0</v>
      </c>
    </row>
    <row r="50" spans="1:88" x14ac:dyDescent="0.2">
      <c r="A50" s="251"/>
      <c r="B50" s="251"/>
      <c r="C50" s="251"/>
      <c r="D50" s="251"/>
      <c r="E50" s="251"/>
      <c r="F50" s="251"/>
      <c r="G50" s="251"/>
      <c r="H50" s="251"/>
      <c r="I50" s="251"/>
      <c r="J50" s="251"/>
      <c r="K50" s="251"/>
      <c r="L50" s="251"/>
      <c r="M50" s="251"/>
      <c r="N50" s="251"/>
      <c r="O50" s="249" t="s">
        <v>43</v>
      </c>
      <c r="P50" s="250"/>
      <c r="Q50" s="250"/>
      <c r="R50" s="250"/>
      <c r="S50" s="250"/>
      <c r="T50" s="40" t="s">
        <v>42</v>
      </c>
      <c r="U50" s="101">
        <f>IFERROR(U49/G49,0)</f>
        <v>0</v>
      </c>
      <c r="V50" s="101">
        <f>IFERROR(V49/G49,0)</f>
        <v>0</v>
      </c>
      <c r="W50" s="101">
        <f>IFERROR(W49/G49,0)</f>
        <v>0</v>
      </c>
      <c r="X50" s="101">
        <f>IFERROR(X49/G49,0)</f>
        <v>0</v>
      </c>
      <c r="Y50" s="101">
        <f>IFERROR(Y49/G49,0)</f>
        <v>0</v>
      </c>
      <c r="Z50" s="101">
        <f>IFERROR(Z49/G49,0)</f>
        <v>0</v>
      </c>
      <c r="AA50" s="101">
        <f>IFERROR(AA49/G49,0)</f>
        <v>0</v>
      </c>
      <c r="AB50" s="101">
        <f>IFERROR(AB49/G49,0)</f>
        <v>0</v>
      </c>
      <c r="AC50" s="101">
        <f>IFERROR(AC49/G49,0)</f>
        <v>0</v>
      </c>
      <c r="AD50" s="101">
        <f>IFERROR(AD49/G49,0)</f>
        <v>0</v>
      </c>
      <c r="AE50" s="101">
        <f>IFERROR(IF(AE49="",0,AE49),0)</f>
        <v>0</v>
      </c>
      <c r="AF50" s="3"/>
      <c r="AG50" s="3"/>
      <c r="AH50" s="3"/>
      <c r="AI50" s="3"/>
      <c r="AJ50" s="3"/>
      <c r="AK50" s="3"/>
      <c r="AL50" s="61"/>
      <c r="AM50" s="61"/>
      <c r="AN50" s="61"/>
      <c r="AO50" s="3"/>
      <c r="AP50" s="3"/>
      <c r="AQ50" s="2"/>
      <c r="AR50" s="2"/>
      <c r="AS50" s="2"/>
      <c r="AT50" s="2"/>
      <c r="AU50" s="21"/>
      <c r="AV50" s="21"/>
      <c r="AW50" s="22"/>
    </row>
    <row r="51" spans="1:88" x14ac:dyDescent="0.2">
      <c r="A51" s="251"/>
      <c r="B51" s="251"/>
      <c r="C51" s="251"/>
      <c r="D51" s="251"/>
      <c r="E51" s="251"/>
      <c r="F51" s="251"/>
      <c r="G51" s="251"/>
      <c r="H51" s="251"/>
      <c r="I51" s="251"/>
      <c r="J51" s="251"/>
      <c r="K51" s="251"/>
      <c r="L51" s="251"/>
      <c r="M51" s="251"/>
      <c r="N51" s="251"/>
      <c r="O51" s="249" t="s">
        <v>43</v>
      </c>
      <c r="P51" s="250"/>
      <c r="Q51" s="250"/>
      <c r="R51" s="250"/>
      <c r="S51" s="250"/>
      <c r="T51" s="40" t="s">
        <v>0</v>
      </c>
      <c r="U51" s="103">
        <f t="shared" ref="U51:AD51" si="5">IFERROR(SUM(U49:U49),0)</f>
        <v>0</v>
      </c>
      <c r="V51" s="103">
        <f t="shared" si="5"/>
        <v>0</v>
      </c>
      <c r="W51" s="103">
        <f t="shared" si="5"/>
        <v>0</v>
      </c>
      <c r="X51" s="103">
        <f t="shared" si="5"/>
        <v>0</v>
      </c>
      <c r="Y51" s="103">
        <f t="shared" si="5"/>
        <v>0</v>
      </c>
      <c r="Z51" s="103">
        <f t="shared" si="5"/>
        <v>0</v>
      </c>
      <c r="AA51" s="103">
        <f t="shared" si="5"/>
        <v>0</v>
      </c>
      <c r="AB51" s="103">
        <f t="shared" si="5"/>
        <v>0</v>
      </c>
      <c r="AC51" s="103">
        <f t="shared" si="5"/>
        <v>0</v>
      </c>
      <c r="AD51" s="103">
        <f t="shared" si="5"/>
        <v>0</v>
      </c>
      <c r="AE51" s="101" t="s">
        <v>57</v>
      </c>
      <c r="AF51" s="3"/>
      <c r="AG51" s="3"/>
      <c r="AH51" s="3"/>
      <c r="AI51" s="3"/>
      <c r="AJ51" s="3"/>
      <c r="AK51" s="3"/>
      <c r="AL51" s="61"/>
      <c r="AM51" s="61"/>
      <c r="AN51" s="61"/>
      <c r="AO51" s="3"/>
      <c r="AP51" s="3"/>
      <c r="AQ51" s="2"/>
      <c r="AR51" s="2"/>
      <c r="AS51" s="2"/>
      <c r="AT51" s="2"/>
      <c r="AU51" s="21"/>
      <c r="AV51" s="21"/>
      <c r="AW51" s="22"/>
    </row>
    <row r="52" spans="1:88" ht="15" x14ac:dyDescent="0.25">
      <c r="A52" s="240" t="s">
        <v>95</v>
      </c>
      <c r="B52" s="241"/>
      <c r="C52" s="241"/>
      <c r="D52" s="241"/>
      <c r="E52" s="241"/>
      <c r="F52" s="241"/>
      <c r="G52" s="241"/>
      <c r="H52" s="241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Y52" s="241"/>
      <c r="Z52" s="241"/>
      <c r="AA52" s="237"/>
      <c r="AB52" s="237"/>
      <c r="AC52" s="237"/>
      <c r="AD52" s="237"/>
      <c r="AE52" s="238"/>
      <c r="AF52" s="237"/>
      <c r="AG52" s="237"/>
      <c r="AH52" s="242"/>
      <c r="AI52" s="2"/>
      <c r="AJ52" s="2"/>
      <c r="AK52" s="60"/>
      <c r="AL52" s="60"/>
      <c r="AM52" s="60"/>
      <c r="AN52" s="2"/>
      <c r="AO52" s="2"/>
      <c r="AP52" s="2"/>
      <c r="AQ52" s="2"/>
      <c r="AR52" s="2"/>
    </row>
    <row r="53" spans="1:88" ht="15" x14ac:dyDescent="0.25">
      <c r="A53" s="243" t="s">
        <v>97</v>
      </c>
      <c r="B53" s="244"/>
      <c r="C53" s="244"/>
      <c r="D53" s="244"/>
      <c r="E53" s="244"/>
      <c r="F53" s="244"/>
      <c r="G53" s="244"/>
      <c r="H53" s="244"/>
      <c r="I53" s="244"/>
      <c r="J53" s="244"/>
      <c r="K53" s="244"/>
      <c r="L53" s="244"/>
      <c r="M53" s="244"/>
      <c r="N53" s="244"/>
      <c r="O53" s="244"/>
      <c r="P53" s="244"/>
      <c r="Q53" s="244"/>
      <c r="R53" s="244"/>
      <c r="S53" s="244"/>
      <c r="T53" s="244"/>
      <c r="U53" s="244"/>
      <c r="V53" s="244"/>
      <c r="W53" s="244"/>
      <c r="X53" s="241"/>
      <c r="Y53" s="241"/>
      <c r="Z53" s="241"/>
      <c r="AA53" s="237"/>
      <c r="AB53" s="237"/>
      <c r="AC53" s="237"/>
      <c r="AD53" s="237"/>
      <c r="AE53" s="238"/>
      <c r="AF53" s="237"/>
      <c r="AG53" s="237"/>
      <c r="AH53" s="245"/>
      <c r="AI53" s="2"/>
      <c r="AJ53" s="2"/>
      <c r="AK53" s="60"/>
      <c r="AL53" s="60"/>
      <c r="AM53" s="60"/>
      <c r="AN53" s="2"/>
      <c r="AO53" s="2"/>
      <c r="AP53" s="2"/>
      <c r="AQ53" s="2"/>
      <c r="AR53" s="2"/>
    </row>
    <row r="54" spans="1:88" x14ac:dyDescent="0.2">
      <c r="A54" s="76" t="s">
        <v>119</v>
      </c>
      <c r="B54" s="77" t="s">
        <v>120</v>
      </c>
      <c r="C54" s="77">
        <v>4301012338</v>
      </c>
      <c r="D54" s="77">
        <v>4680115887374</v>
      </c>
      <c r="E54" s="78">
        <v>1</v>
      </c>
      <c r="F54" s="79">
        <v>6</v>
      </c>
      <c r="G54" s="78">
        <v>6</v>
      </c>
      <c r="H54" s="78">
        <v>6.35</v>
      </c>
      <c r="I54" s="80">
        <v>104</v>
      </c>
      <c r="J54" s="80" t="s">
        <v>122</v>
      </c>
      <c r="K54" s="81" t="s">
        <v>121</v>
      </c>
      <c r="L54" s="81"/>
      <c r="M54" s="246">
        <v>55</v>
      </c>
      <c r="N54" s="246"/>
      <c r="O54" s="258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P54" s="248"/>
      <c r="Q54" s="248"/>
      <c r="R54" s="248"/>
      <c r="S54" s="248"/>
      <c r="T54" s="82" t="s">
        <v>0</v>
      </c>
      <c r="U54" s="64">
        <v>0</v>
      </c>
      <c r="V54" s="65">
        <f>IFERROR(IF(U54="",0,CEILING((U54/$G54),1)*$G54),"")</f>
        <v>0</v>
      </c>
      <c r="W54" s="64">
        <v>0</v>
      </c>
      <c r="X54" s="65">
        <f>IFERROR(IF(W54="",0,CEILING((W54/$G54),1)*$G54),"")</f>
        <v>0</v>
      </c>
      <c r="Y54" s="64">
        <v>0</v>
      </c>
      <c r="Z54" s="65">
        <f>IFERROR(IF(Y54="",0,CEILING((Y54/$G54),1)*$G54),"")</f>
        <v>0</v>
      </c>
      <c r="AA54" s="64">
        <v>0</v>
      </c>
      <c r="AB54" s="65">
        <f>IFERROR(IF(AA54="",0,CEILING((AA54/$G54),1)*$G54),"")</f>
        <v>0</v>
      </c>
      <c r="AC54" s="64">
        <v>0</v>
      </c>
      <c r="AD54" s="65">
        <f>IFERROR(IF(AC54="",0,CEILING((AC54/$G54),1)*$G54),"")</f>
        <v>0</v>
      </c>
      <c r="AE54" s="66" t="str">
        <f>IF(IFERROR(ROUNDUP(V54/G54,0)*0.01196,0)+IFERROR(ROUNDUP(X54/G54,0)*0.01196,0)+IFERROR(ROUNDUP(Z54/G54,0)*0.01196,0)+IFERROR(ROUNDUP(AB54/G54,0)*0.01196,0)+IFERROR(ROUNDUP(AD54/G54,0)*0.01196,0)=0,"",IFERROR(ROUNDUP(V54/G54,0)*0.01196,0)+IFERROR(ROUNDUP(X54/G54,0)*0.01196,0)+IFERROR(ROUNDUP(Z54/G54,0)*0.01196,0)+IFERROR(ROUNDUP(AB54/G54,0)*0.01196,0)+IFERROR(ROUNDUP(AD54/G54,0)*0.01196,0))</f>
        <v/>
      </c>
      <c r="AF54" s="76" t="s">
        <v>57</v>
      </c>
      <c r="AG54" s="76" t="s">
        <v>57</v>
      </c>
      <c r="AH54" s="151" t="s">
        <v>123</v>
      </c>
      <c r="AI54" s="2"/>
      <c r="AJ54" s="2"/>
      <c r="AK54" s="2"/>
      <c r="AL54" s="60"/>
      <c r="AM54" s="60"/>
      <c r="AN54" s="60"/>
      <c r="AO54" s="2"/>
      <c r="AP54" s="2"/>
      <c r="AQ54" s="2"/>
      <c r="AR54" s="2"/>
      <c r="AS54" s="2"/>
      <c r="AT54" s="2"/>
      <c r="AU54" s="21"/>
      <c r="AV54" s="21"/>
      <c r="AW54" s="22"/>
      <c r="BB54" s="150" t="s">
        <v>65</v>
      </c>
      <c r="BQ54" s="74">
        <f>IFERROR(U54*H54/G54,0)</f>
        <v>0</v>
      </c>
      <c r="BR54" s="74">
        <f>IFERROR(V54*H54/G54,0)</f>
        <v>0</v>
      </c>
      <c r="BS54" s="74">
        <f>IFERROR(1/I54*(U54/G54),0)</f>
        <v>0</v>
      </c>
      <c r="BT54" s="74">
        <f>IFERROR(1/I54*(V54/G54),0)</f>
        <v>0</v>
      </c>
      <c r="BU54" s="74">
        <f>IFERROR(W54*H54/G54,0)</f>
        <v>0</v>
      </c>
      <c r="BV54" s="74">
        <f>IFERROR(X54*H54/G54,0)</f>
        <v>0</v>
      </c>
      <c r="BW54" s="74">
        <f>IFERROR(1/I54*(W54/G54),0)</f>
        <v>0</v>
      </c>
      <c r="BX54" s="74">
        <f>IFERROR(1/I54*(X54/G54),0)</f>
        <v>0</v>
      </c>
      <c r="BY54" s="74">
        <f>IFERROR(Y54*H54/G54,0)</f>
        <v>0</v>
      </c>
      <c r="BZ54" s="74">
        <f>IFERROR(Z54*H54/G54,0)</f>
        <v>0</v>
      </c>
      <c r="CA54" s="74">
        <f>IFERROR(1/I54*(Y54/G54),0)</f>
        <v>0</v>
      </c>
      <c r="CB54" s="74">
        <f>IFERROR(1/I54*(Z54/G54),0)</f>
        <v>0</v>
      </c>
      <c r="CC54" s="74">
        <f>IFERROR(AA54*H54/G54,0)</f>
        <v>0</v>
      </c>
      <c r="CD54" s="74">
        <f>IFERROR(AB54*H54/G54,0)</f>
        <v>0</v>
      </c>
      <c r="CE54" s="74">
        <f>IFERROR(1/I54*(AA54/G54),0)</f>
        <v>0</v>
      </c>
      <c r="CF54" s="74">
        <f>IFERROR(1/I54*(AB54/G54),0)</f>
        <v>0</v>
      </c>
      <c r="CG54" s="74">
        <f>IFERROR(AC54*H54/G54,0)</f>
        <v>0</v>
      </c>
      <c r="CH54" s="74">
        <f>IFERROR(AD54*H54/G54,0)</f>
        <v>0</v>
      </c>
      <c r="CI54" s="74">
        <f>IFERROR(1/I54*(AC54/G54),0)</f>
        <v>0</v>
      </c>
      <c r="CJ54" s="74">
        <f>IFERROR(1/I54*(AD54/G54),0)</f>
        <v>0</v>
      </c>
    </row>
    <row r="55" spans="1:88" x14ac:dyDescent="0.2">
      <c r="A55" s="76" t="s">
        <v>124</v>
      </c>
      <c r="B55" s="77" t="s">
        <v>125</v>
      </c>
      <c r="C55" s="77">
        <v>4301012344</v>
      </c>
      <c r="D55" s="77">
        <v>4680115888876</v>
      </c>
      <c r="E55" s="78">
        <v>0.43</v>
      </c>
      <c r="F55" s="79">
        <v>6</v>
      </c>
      <c r="G55" s="78">
        <v>2.58</v>
      </c>
      <c r="H55" s="78">
        <v>2.76</v>
      </c>
      <c r="I55" s="80">
        <v>182</v>
      </c>
      <c r="J55" s="80" t="s">
        <v>87</v>
      </c>
      <c r="K55" s="81" t="s">
        <v>93</v>
      </c>
      <c r="L55" s="81"/>
      <c r="M55" s="246">
        <v>55</v>
      </c>
      <c r="N55" s="246"/>
      <c r="O55" s="25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P55" s="248"/>
      <c r="Q55" s="248"/>
      <c r="R55" s="248"/>
      <c r="S55" s="248"/>
      <c r="T55" s="82" t="s">
        <v>0</v>
      </c>
      <c r="U55" s="64">
        <v>0</v>
      </c>
      <c r="V55" s="65">
        <f>IFERROR(IF(U55="",0,CEILING((U55/$G55),1)*$G55),"")</f>
        <v>0</v>
      </c>
      <c r="W55" s="64">
        <v>0</v>
      </c>
      <c r="X55" s="65">
        <f>IFERROR(IF(W55="",0,CEILING((W55/$G55),1)*$G55),"")</f>
        <v>0</v>
      </c>
      <c r="Y55" s="64">
        <v>0</v>
      </c>
      <c r="Z55" s="65">
        <f>IFERROR(IF(Y55="",0,CEILING((Y55/$G55),1)*$G55),"")</f>
        <v>0</v>
      </c>
      <c r="AA55" s="64">
        <v>0</v>
      </c>
      <c r="AB55" s="65">
        <f>IFERROR(IF(AA55="",0,CEILING((AA55/$G55),1)*$G55),"")</f>
        <v>0</v>
      </c>
      <c r="AC55" s="64">
        <v>0</v>
      </c>
      <c r="AD55" s="65">
        <f>IFERROR(IF(AC55="",0,CEILING((AC55/$G55),1)*$G55),"")</f>
        <v>0</v>
      </c>
      <c r="AE55" s="66" t="str">
        <f>IF(IFERROR(ROUNDUP(V55/G55,0)*0.00651,0)+IFERROR(ROUNDUP(X55/G55,0)*0.00651,0)+IFERROR(ROUNDUP(Z55/G55,0)*0.00651,0)+IFERROR(ROUNDUP(AB55/G55,0)*0.00651,0)+IFERROR(ROUNDUP(AD55/G55,0)*0.00651,0)=0,"",IFERROR(ROUNDUP(V55/G55,0)*0.00651,0)+IFERROR(ROUNDUP(X55/G55,0)*0.00651,0)+IFERROR(ROUNDUP(Z55/G55,0)*0.00651,0)+IFERROR(ROUNDUP(AB55/G55,0)*0.00651,0)+IFERROR(ROUNDUP(AD55/G55,0)*0.00651,0))</f>
        <v/>
      </c>
      <c r="AF55" s="76" t="s">
        <v>57</v>
      </c>
      <c r="AG55" s="76" t="s">
        <v>57</v>
      </c>
      <c r="AH55" s="153" t="s">
        <v>126</v>
      </c>
      <c r="AI55" s="2"/>
      <c r="AJ55" s="2"/>
      <c r="AK55" s="2"/>
      <c r="AL55" s="60"/>
      <c r="AM55" s="60"/>
      <c r="AN55" s="60"/>
      <c r="AO55" s="2"/>
      <c r="AP55" s="2"/>
      <c r="AQ55" s="2"/>
      <c r="AR55" s="2"/>
      <c r="AS55" s="2"/>
      <c r="AT55" s="2"/>
      <c r="AU55" s="21"/>
      <c r="AV55" s="21"/>
      <c r="AW55" s="22"/>
      <c r="BB55" s="152" t="s">
        <v>65</v>
      </c>
      <c r="BQ55" s="74">
        <f>IFERROR(U55*H55/G55,0)</f>
        <v>0</v>
      </c>
      <c r="BR55" s="74">
        <f>IFERROR(V55*H55/G55,0)</f>
        <v>0</v>
      </c>
      <c r="BS55" s="74">
        <f>IFERROR(1/I55*(U55/G55),0)</f>
        <v>0</v>
      </c>
      <c r="BT55" s="74">
        <f>IFERROR(1/I55*(V55/G55),0)</f>
        <v>0</v>
      </c>
      <c r="BU55" s="74">
        <f>IFERROR(W55*H55/G55,0)</f>
        <v>0</v>
      </c>
      <c r="BV55" s="74">
        <f>IFERROR(X55*H55/G55,0)</f>
        <v>0</v>
      </c>
      <c r="BW55" s="74">
        <f>IFERROR(1/I55*(W55/G55),0)</f>
        <v>0</v>
      </c>
      <c r="BX55" s="74">
        <f>IFERROR(1/I55*(X55/G55),0)</f>
        <v>0</v>
      </c>
      <c r="BY55" s="74">
        <f>IFERROR(Y55*H55/G55,0)</f>
        <v>0</v>
      </c>
      <c r="BZ55" s="74">
        <f>IFERROR(Z55*H55/G55,0)</f>
        <v>0</v>
      </c>
      <c r="CA55" s="74">
        <f>IFERROR(1/I55*(Y55/G55),0)</f>
        <v>0</v>
      </c>
      <c r="CB55" s="74">
        <f>IFERROR(1/I55*(Z55/G55),0)</f>
        <v>0</v>
      </c>
      <c r="CC55" s="74">
        <f>IFERROR(AA55*H55/G55,0)</f>
        <v>0</v>
      </c>
      <c r="CD55" s="74">
        <f>IFERROR(AB55*H55/G55,0)</f>
        <v>0</v>
      </c>
      <c r="CE55" s="74">
        <f>IFERROR(1/I55*(AA55/G55),0)</f>
        <v>0</v>
      </c>
      <c r="CF55" s="74">
        <f>IFERROR(1/I55*(AB55/G55),0)</f>
        <v>0</v>
      </c>
      <c r="CG55" s="74">
        <f>IFERROR(AC55*H55/G55,0)</f>
        <v>0</v>
      </c>
      <c r="CH55" s="74">
        <f>IFERROR(AD55*H55/G55,0)</f>
        <v>0</v>
      </c>
      <c r="CI55" s="74">
        <f>IFERROR(1/I55*(AC55/G55),0)</f>
        <v>0</v>
      </c>
      <c r="CJ55" s="74">
        <f>IFERROR(1/I55*(AD55/G55),0)</f>
        <v>0</v>
      </c>
    </row>
    <row r="56" spans="1:88" x14ac:dyDescent="0.2">
      <c r="A56" s="251"/>
      <c r="B56" s="251"/>
      <c r="C56" s="251"/>
      <c r="D56" s="251"/>
      <c r="E56" s="251"/>
      <c r="F56" s="251"/>
      <c r="G56" s="251"/>
      <c r="H56" s="251"/>
      <c r="I56" s="251"/>
      <c r="J56" s="251"/>
      <c r="K56" s="251"/>
      <c r="L56" s="251"/>
      <c r="M56" s="251"/>
      <c r="N56" s="251"/>
      <c r="O56" s="249" t="s">
        <v>43</v>
      </c>
      <c r="P56" s="250"/>
      <c r="Q56" s="250"/>
      <c r="R56" s="250"/>
      <c r="S56" s="250"/>
      <c r="T56" s="40" t="s">
        <v>42</v>
      </c>
      <c r="U56" s="101">
        <f>IFERROR(U54/G54,0)+IFERROR(U55/G55,0)</f>
        <v>0</v>
      </c>
      <c r="V56" s="101">
        <f>IFERROR(V54/G54,0)+IFERROR(V55/G55,0)</f>
        <v>0</v>
      </c>
      <c r="W56" s="101">
        <f>IFERROR(W54/G54,0)+IFERROR(W55/G55,0)</f>
        <v>0</v>
      </c>
      <c r="X56" s="101">
        <f>IFERROR(X54/G54,0)+IFERROR(X55/G55,0)</f>
        <v>0</v>
      </c>
      <c r="Y56" s="101">
        <f>IFERROR(Y54/G54,0)+IFERROR(Y55/G55,0)</f>
        <v>0</v>
      </c>
      <c r="Z56" s="101">
        <f>IFERROR(Z54/G54,0)+IFERROR(Z55/G55,0)</f>
        <v>0</v>
      </c>
      <c r="AA56" s="101">
        <f>IFERROR(AA54/G54,0)+IFERROR(AA55/G55,0)</f>
        <v>0</v>
      </c>
      <c r="AB56" s="101">
        <f>IFERROR(AB54/G54,0)+IFERROR(AB55/G55,0)</f>
        <v>0</v>
      </c>
      <c r="AC56" s="101">
        <f>IFERROR(AC54/G54,0)+IFERROR(AC55/G55,0)</f>
        <v>0</v>
      </c>
      <c r="AD56" s="101">
        <f>IFERROR(AD54/G54,0)+IFERROR(AD55/G55,0)</f>
        <v>0</v>
      </c>
      <c r="AE56" s="101">
        <f>IFERROR(IF(AE54="",0,AE54),0)+IFERROR(IF(AE55="",0,AE55),0)</f>
        <v>0</v>
      </c>
      <c r="AF56" s="3"/>
      <c r="AG56" s="3"/>
      <c r="AH56" s="3"/>
      <c r="AI56" s="3"/>
      <c r="AJ56" s="3"/>
      <c r="AK56" s="3"/>
      <c r="AL56" s="61"/>
      <c r="AM56" s="61"/>
      <c r="AN56" s="61"/>
      <c r="AO56" s="3"/>
      <c r="AP56" s="3"/>
      <c r="AQ56" s="2"/>
      <c r="AR56" s="2"/>
      <c r="AS56" s="2"/>
      <c r="AT56" s="2"/>
      <c r="AU56" s="21"/>
      <c r="AV56" s="21"/>
      <c r="AW56" s="22"/>
    </row>
    <row r="57" spans="1:88" x14ac:dyDescent="0.2">
      <c r="A57" s="251"/>
      <c r="B57" s="251"/>
      <c r="C57" s="251"/>
      <c r="D57" s="251"/>
      <c r="E57" s="251"/>
      <c r="F57" s="251"/>
      <c r="G57" s="251"/>
      <c r="H57" s="251"/>
      <c r="I57" s="251"/>
      <c r="J57" s="251"/>
      <c r="K57" s="251"/>
      <c r="L57" s="251"/>
      <c r="M57" s="251"/>
      <c r="N57" s="251"/>
      <c r="O57" s="249" t="s">
        <v>43</v>
      </c>
      <c r="P57" s="250"/>
      <c r="Q57" s="250"/>
      <c r="R57" s="250"/>
      <c r="S57" s="250"/>
      <c r="T57" s="40" t="s">
        <v>0</v>
      </c>
      <c r="U57" s="103">
        <f t="shared" ref="U57:AD57" si="6">IFERROR(SUM(U54:U55),0)</f>
        <v>0</v>
      </c>
      <c r="V57" s="103">
        <f t="shared" si="6"/>
        <v>0</v>
      </c>
      <c r="W57" s="103">
        <f t="shared" si="6"/>
        <v>0</v>
      </c>
      <c r="X57" s="103">
        <f t="shared" si="6"/>
        <v>0</v>
      </c>
      <c r="Y57" s="103">
        <f t="shared" si="6"/>
        <v>0</v>
      </c>
      <c r="Z57" s="103">
        <f t="shared" si="6"/>
        <v>0</v>
      </c>
      <c r="AA57" s="103">
        <f t="shared" si="6"/>
        <v>0</v>
      </c>
      <c r="AB57" s="103">
        <f t="shared" si="6"/>
        <v>0</v>
      </c>
      <c r="AC57" s="103">
        <f t="shared" si="6"/>
        <v>0</v>
      </c>
      <c r="AD57" s="103">
        <f t="shared" si="6"/>
        <v>0</v>
      </c>
      <c r="AE57" s="101" t="s">
        <v>57</v>
      </c>
      <c r="AF57" s="3"/>
      <c r="AG57" s="3"/>
      <c r="AH57" s="3"/>
      <c r="AI57" s="3"/>
      <c r="AJ57" s="3"/>
      <c r="AK57" s="3"/>
      <c r="AL57" s="61"/>
      <c r="AM57" s="61"/>
      <c r="AN57" s="61"/>
      <c r="AO57" s="3"/>
      <c r="AP57" s="3"/>
      <c r="AQ57" s="2"/>
      <c r="AR57" s="2"/>
      <c r="AS57" s="2"/>
      <c r="AT57" s="2"/>
      <c r="AU57" s="21"/>
      <c r="AV57" s="21"/>
      <c r="AW57" s="22"/>
    </row>
    <row r="58" spans="1:88" ht="27.75" customHeight="1" x14ac:dyDescent="0.2">
      <c r="A58" s="234" t="s">
        <v>127</v>
      </c>
      <c r="B58" s="235"/>
      <c r="C58" s="235"/>
      <c r="D58" s="235"/>
      <c r="E58" s="235"/>
      <c r="F58" s="235"/>
      <c r="G58" s="235"/>
      <c r="H58" s="235"/>
      <c r="I58" s="235"/>
      <c r="J58" s="235"/>
      <c r="K58" s="235"/>
      <c r="L58" s="235"/>
      <c r="M58" s="235"/>
      <c r="N58" s="235"/>
      <c r="O58" s="235"/>
      <c r="P58" s="235"/>
      <c r="Q58" s="235"/>
      <c r="R58" s="235"/>
      <c r="S58" s="235"/>
      <c r="T58" s="235"/>
      <c r="U58" s="235"/>
      <c r="V58" s="235"/>
      <c r="W58" s="236"/>
      <c r="X58" s="236"/>
      <c r="Y58" s="236"/>
      <c r="Z58" s="236"/>
      <c r="AA58" s="237"/>
      <c r="AB58" s="237"/>
      <c r="AC58" s="237"/>
      <c r="AD58" s="237"/>
      <c r="AE58" s="238"/>
      <c r="AF58" s="237"/>
      <c r="AG58" s="237"/>
      <c r="AH58" s="239"/>
      <c r="AI58" s="2"/>
      <c r="AJ58" s="2"/>
      <c r="AK58" s="60"/>
      <c r="AL58" s="60"/>
      <c r="AM58" s="60"/>
      <c r="AN58" s="2"/>
      <c r="AO58" s="2"/>
      <c r="AP58" s="2"/>
      <c r="AQ58" s="2"/>
      <c r="AR58" s="2"/>
    </row>
    <row r="59" spans="1:88" ht="15" x14ac:dyDescent="0.25">
      <c r="A59" s="240" t="s">
        <v>128</v>
      </c>
      <c r="B59" s="241"/>
      <c r="C59" s="241"/>
      <c r="D59" s="241"/>
      <c r="E59" s="241"/>
      <c r="F59" s="241"/>
      <c r="G59" s="241"/>
      <c r="H59" s="24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Y59" s="241"/>
      <c r="Z59" s="241"/>
      <c r="AA59" s="237"/>
      <c r="AB59" s="237"/>
      <c r="AC59" s="237"/>
      <c r="AD59" s="237"/>
      <c r="AE59" s="238"/>
      <c r="AF59" s="237"/>
      <c r="AG59" s="237"/>
      <c r="AH59" s="242"/>
      <c r="AI59" s="2"/>
      <c r="AJ59" s="2"/>
      <c r="AK59" s="60"/>
      <c r="AL59" s="60"/>
      <c r="AM59" s="60"/>
      <c r="AN59" s="2"/>
      <c r="AO59" s="2"/>
      <c r="AP59" s="2"/>
      <c r="AQ59" s="2"/>
      <c r="AR59" s="2"/>
    </row>
    <row r="60" spans="1:88" ht="15" x14ac:dyDescent="0.25">
      <c r="A60" s="243" t="s">
        <v>129</v>
      </c>
      <c r="B60" s="244"/>
      <c r="C60" s="244"/>
      <c r="D60" s="244"/>
      <c r="E60" s="244"/>
      <c r="F60" s="244"/>
      <c r="G60" s="244"/>
      <c r="H60" s="244"/>
      <c r="I60" s="244"/>
      <c r="J60" s="244"/>
      <c r="K60" s="244"/>
      <c r="L60" s="244"/>
      <c r="M60" s="244"/>
      <c r="N60" s="244"/>
      <c r="O60" s="244"/>
      <c r="P60" s="244"/>
      <c r="Q60" s="244"/>
      <c r="R60" s="244"/>
      <c r="S60" s="244"/>
      <c r="T60" s="244"/>
      <c r="U60" s="244"/>
      <c r="V60" s="244"/>
      <c r="W60" s="244"/>
      <c r="X60" s="241"/>
      <c r="Y60" s="241"/>
      <c r="Z60" s="241"/>
      <c r="AA60" s="237"/>
      <c r="AB60" s="237"/>
      <c r="AC60" s="237"/>
      <c r="AD60" s="237"/>
      <c r="AE60" s="238"/>
      <c r="AF60" s="237"/>
      <c r="AG60" s="237"/>
      <c r="AH60" s="245"/>
      <c r="AI60" s="2"/>
      <c r="AJ60" s="2"/>
      <c r="AK60" s="60"/>
      <c r="AL60" s="60"/>
      <c r="AM60" s="60"/>
      <c r="AN60" s="2"/>
      <c r="AO60" s="2"/>
      <c r="AP60" s="2"/>
      <c r="AQ60" s="2"/>
      <c r="AR60" s="2"/>
    </row>
    <row r="61" spans="1:88" x14ac:dyDescent="0.2">
      <c r="A61" s="76" t="s">
        <v>130</v>
      </c>
      <c r="B61" s="77" t="s">
        <v>131</v>
      </c>
      <c r="C61" s="77">
        <v>4301031531</v>
      </c>
      <c r="D61" s="77">
        <v>4680115880191</v>
      </c>
      <c r="E61" s="78">
        <v>0.4</v>
      </c>
      <c r="F61" s="79">
        <v>6</v>
      </c>
      <c r="G61" s="78">
        <v>2.4</v>
      </c>
      <c r="H61" s="78">
        <v>2.58</v>
      </c>
      <c r="I61" s="80">
        <v>182</v>
      </c>
      <c r="J61" s="80" t="s">
        <v>87</v>
      </c>
      <c r="K61" s="81" t="s">
        <v>100</v>
      </c>
      <c r="L61" s="81"/>
      <c r="M61" s="246">
        <v>45</v>
      </c>
      <c r="N61" s="246"/>
      <c r="O61" s="260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P61" s="248"/>
      <c r="Q61" s="248"/>
      <c r="R61" s="248"/>
      <c r="S61" s="248"/>
      <c r="T61" s="82" t="s">
        <v>0</v>
      </c>
      <c r="U61" s="64">
        <v>0</v>
      </c>
      <c r="V61" s="65">
        <f>IFERROR(IF(U61="",0,CEILING((U61/$G61),1)*$G61),"")</f>
        <v>0</v>
      </c>
      <c r="W61" s="64">
        <v>0</v>
      </c>
      <c r="X61" s="65">
        <f>IFERROR(IF(W61="",0,CEILING((W61/$G61),1)*$G61),"")</f>
        <v>0</v>
      </c>
      <c r="Y61" s="64">
        <v>0</v>
      </c>
      <c r="Z61" s="65">
        <f>IFERROR(IF(Y61="",0,CEILING((Y61/$G61),1)*$G61),"")</f>
        <v>0</v>
      </c>
      <c r="AA61" s="64">
        <v>0</v>
      </c>
      <c r="AB61" s="65">
        <f>IFERROR(IF(AA61="",0,CEILING((AA61/$G61),1)*$G61),"")</f>
        <v>0</v>
      </c>
      <c r="AC61" s="64">
        <v>0</v>
      </c>
      <c r="AD61" s="65">
        <f>IFERROR(IF(AC61="",0,CEILING((AC61/$G61),1)*$G61),"")</f>
        <v>0</v>
      </c>
      <c r="AE61" s="66" t="str">
        <f>IF(IFERROR(ROUNDUP(V61/G61,0)*0.00651,0)+IFERROR(ROUNDUP(X61/G61,0)*0.00651,0)+IFERROR(ROUNDUP(Z61/G61,0)*0.00651,0)+IFERROR(ROUNDUP(AB61/G61,0)*0.00651,0)+IFERROR(ROUNDUP(AD61/G61,0)*0.00651,0)=0,"",IFERROR(ROUNDUP(V61/G61,0)*0.00651,0)+IFERROR(ROUNDUP(X61/G61,0)*0.00651,0)+IFERROR(ROUNDUP(Z61/G61,0)*0.00651,0)+IFERROR(ROUNDUP(AB61/G61,0)*0.00651,0)+IFERROR(ROUNDUP(AD61/G61,0)*0.00651,0))</f>
        <v/>
      </c>
      <c r="AF61" s="76" t="s">
        <v>57</v>
      </c>
      <c r="AG61" s="76" t="s">
        <v>57</v>
      </c>
      <c r="AH61" s="155" t="s">
        <v>132</v>
      </c>
      <c r="AI61" s="2"/>
      <c r="AJ61" s="2"/>
      <c r="AK61" s="2"/>
      <c r="AL61" s="60"/>
      <c r="AM61" s="60"/>
      <c r="AN61" s="60"/>
      <c r="AO61" s="2"/>
      <c r="AP61" s="2"/>
      <c r="AQ61" s="2"/>
      <c r="AR61" s="2"/>
      <c r="AS61" s="2"/>
      <c r="AT61" s="2"/>
      <c r="AU61" s="21"/>
      <c r="AV61" s="21"/>
      <c r="AW61" s="22"/>
      <c r="BB61" s="154" t="s">
        <v>65</v>
      </c>
      <c r="BQ61" s="74">
        <f>IFERROR(U61*H61/G61,0)</f>
        <v>0</v>
      </c>
      <c r="BR61" s="74">
        <f>IFERROR(V61*H61/G61,0)</f>
        <v>0</v>
      </c>
      <c r="BS61" s="74">
        <f>IFERROR(1/I61*(U61/G61),0)</f>
        <v>0</v>
      </c>
      <c r="BT61" s="74">
        <f>IFERROR(1/I61*(V61/G61),0)</f>
        <v>0</v>
      </c>
      <c r="BU61" s="74">
        <f>IFERROR(W61*H61/G61,0)</f>
        <v>0</v>
      </c>
      <c r="BV61" s="74">
        <f>IFERROR(X61*H61/G61,0)</f>
        <v>0</v>
      </c>
      <c r="BW61" s="74">
        <f>IFERROR(1/I61*(W61/G61),0)</f>
        <v>0</v>
      </c>
      <c r="BX61" s="74">
        <f>IFERROR(1/I61*(X61/G61),0)</f>
        <v>0</v>
      </c>
      <c r="BY61" s="74">
        <f>IFERROR(Y61*H61/G61,0)</f>
        <v>0</v>
      </c>
      <c r="BZ61" s="74">
        <f>IFERROR(Z61*H61/G61,0)</f>
        <v>0</v>
      </c>
      <c r="CA61" s="74">
        <f>IFERROR(1/I61*(Y61/G61),0)</f>
        <v>0</v>
      </c>
      <c r="CB61" s="74">
        <f>IFERROR(1/I61*(Z61/G61),0)</f>
        <v>0</v>
      </c>
      <c r="CC61" s="74">
        <f>IFERROR(AA61*H61/G61,0)</f>
        <v>0</v>
      </c>
      <c r="CD61" s="74">
        <f>IFERROR(AB61*H61/G61,0)</f>
        <v>0</v>
      </c>
      <c r="CE61" s="74">
        <f>IFERROR(1/I61*(AA61/G61),0)</f>
        <v>0</v>
      </c>
      <c r="CF61" s="74">
        <f>IFERROR(1/I61*(AB61/G61),0)</f>
        <v>0</v>
      </c>
      <c r="CG61" s="74">
        <f>IFERROR(AC61*H61/G61,0)</f>
        <v>0</v>
      </c>
      <c r="CH61" s="74">
        <f>IFERROR(AD61*H61/G61,0)</f>
        <v>0</v>
      </c>
      <c r="CI61" s="74">
        <f>IFERROR(1/I61*(AC61/G61),0)</f>
        <v>0</v>
      </c>
      <c r="CJ61" s="74">
        <f>IFERROR(1/I61*(AD61/G61),0)</f>
        <v>0</v>
      </c>
    </row>
    <row r="62" spans="1:88" x14ac:dyDescent="0.2">
      <c r="A62" s="251"/>
      <c r="B62" s="251"/>
      <c r="C62" s="251"/>
      <c r="D62" s="251"/>
      <c r="E62" s="251"/>
      <c r="F62" s="251"/>
      <c r="G62" s="251"/>
      <c r="H62" s="251"/>
      <c r="I62" s="251"/>
      <c r="J62" s="251"/>
      <c r="K62" s="251"/>
      <c r="L62" s="251"/>
      <c r="M62" s="251"/>
      <c r="N62" s="251"/>
      <c r="O62" s="249" t="s">
        <v>43</v>
      </c>
      <c r="P62" s="250"/>
      <c r="Q62" s="250"/>
      <c r="R62" s="250"/>
      <c r="S62" s="250"/>
      <c r="T62" s="40" t="s">
        <v>42</v>
      </c>
      <c r="U62" s="101">
        <f>IFERROR(U61/G61,0)</f>
        <v>0</v>
      </c>
      <c r="V62" s="101">
        <f>IFERROR(V61/G61,0)</f>
        <v>0</v>
      </c>
      <c r="W62" s="101">
        <f>IFERROR(W61/G61,0)</f>
        <v>0</v>
      </c>
      <c r="X62" s="101">
        <f>IFERROR(X61/G61,0)</f>
        <v>0</v>
      </c>
      <c r="Y62" s="101">
        <f>IFERROR(Y61/G61,0)</f>
        <v>0</v>
      </c>
      <c r="Z62" s="101">
        <f>IFERROR(Z61/G61,0)</f>
        <v>0</v>
      </c>
      <c r="AA62" s="101">
        <f>IFERROR(AA61/G61,0)</f>
        <v>0</v>
      </c>
      <c r="AB62" s="101">
        <f>IFERROR(AB61/G61,0)</f>
        <v>0</v>
      </c>
      <c r="AC62" s="101">
        <f>IFERROR(AC61/G61,0)</f>
        <v>0</v>
      </c>
      <c r="AD62" s="101">
        <f>IFERROR(AD61/G61,0)</f>
        <v>0</v>
      </c>
      <c r="AE62" s="101">
        <f>IFERROR(IF(AE61="",0,AE61),0)</f>
        <v>0</v>
      </c>
      <c r="AF62" s="3"/>
      <c r="AG62" s="3"/>
      <c r="AH62" s="3"/>
      <c r="AI62" s="3"/>
      <c r="AJ62" s="3"/>
      <c r="AK62" s="3"/>
      <c r="AL62" s="61"/>
      <c r="AM62" s="61"/>
      <c r="AN62" s="61"/>
      <c r="AO62" s="3"/>
      <c r="AP62" s="3"/>
      <c r="AQ62" s="2"/>
      <c r="AR62" s="2"/>
      <c r="AS62" s="2"/>
      <c r="AT62" s="2"/>
      <c r="AU62" s="21"/>
      <c r="AV62" s="21"/>
      <c r="AW62" s="22"/>
    </row>
    <row r="63" spans="1:88" x14ac:dyDescent="0.2">
      <c r="A63" s="251"/>
      <c r="B63" s="251"/>
      <c r="C63" s="251"/>
      <c r="D63" s="251"/>
      <c r="E63" s="251"/>
      <c r="F63" s="251"/>
      <c r="G63" s="251"/>
      <c r="H63" s="251"/>
      <c r="I63" s="251"/>
      <c r="J63" s="251"/>
      <c r="K63" s="251"/>
      <c r="L63" s="251"/>
      <c r="M63" s="251"/>
      <c r="N63" s="251"/>
      <c r="O63" s="249" t="s">
        <v>43</v>
      </c>
      <c r="P63" s="250"/>
      <c r="Q63" s="250"/>
      <c r="R63" s="250"/>
      <c r="S63" s="250"/>
      <c r="T63" s="40" t="s">
        <v>0</v>
      </c>
      <c r="U63" s="103">
        <f t="shared" ref="U63:AD63" si="7">IFERROR(SUM(U61:U61),0)</f>
        <v>0</v>
      </c>
      <c r="V63" s="103">
        <f t="shared" si="7"/>
        <v>0</v>
      </c>
      <c r="W63" s="103">
        <f t="shared" si="7"/>
        <v>0</v>
      </c>
      <c r="X63" s="103">
        <f t="shared" si="7"/>
        <v>0</v>
      </c>
      <c r="Y63" s="103">
        <f t="shared" si="7"/>
        <v>0</v>
      </c>
      <c r="Z63" s="103">
        <f t="shared" si="7"/>
        <v>0</v>
      </c>
      <c r="AA63" s="103">
        <f t="shared" si="7"/>
        <v>0</v>
      </c>
      <c r="AB63" s="103">
        <f t="shared" si="7"/>
        <v>0</v>
      </c>
      <c r="AC63" s="103">
        <f t="shared" si="7"/>
        <v>0</v>
      </c>
      <c r="AD63" s="103">
        <f t="shared" si="7"/>
        <v>0</v>
      </c>
      <c r="AE63" s="101" t="s">
        <v>57</v>
      </c>
      <c r="AF63" s="3"/>
      <c r="AG63" s="3"/>
      <c r="AH63" s="3"/>
      <c r="AI63" s="3"/>
      <c r="AJ63" s="3"/>
      <c r="AK63" s="3"/>
      <c r="AL63" s="61"/>
      <c r="AM63" s="61"/>
      <c r="AN63" s="61"/>
      <c r="AO63" s="3"/>
      <c r="AP63" s="3"/>
      <c r="AQ63" s="2"/>
      <c r="AR63" s="2"/>
      <c r="AS63" s="2"/>
      <c r="AT63" s="2"/>
      <c r="AU63" s="21"/>
      <c r="AV63" s="21"/>
      <c r="AW63" s="22"/>
    </row>
    <row r="64" spans="1:88" ht="15" x14ac:dyDescent="0.25">
      <c r="A64" s="243" t="s">
        <v>83</v>
      </c>
      <c r="B64" s="244"/>
      <c r="C64" s="244"/>
      <c r="D64" s="244"/>
      <c r="E64" s="244"/>
      <c r="F64" s="244"/>
      <c r="G64" s="244"/>
      <c r="H64" s="244"/>
      <c r="I64" s="244"/>
      <c r="J64" s="244"/>
      <c r="K64" s="244"/>
      <c r="L64" s="244"/>
      <c r="M64" s="244"/>
      <c r="N64" s="244"/>
      <c r="O64" s="244"/>
      <c r="P64" s="244"/>
      <c r="Q64" s="244"/>
      <c r="R64" s="244"/>
      <c r="S64" s="244"/>
      <c r="T64" s="244"/>
      <c r="U64" s="244"/>
      <c r="V64" s="244"/>
      <c r="W64" s="244"/>
      <c r="X64" s="241"/>
      <c r="Y64" s="241"/>
      <c r="Z64" s="241"/>
      <c r="AA64" s="237"/>
      <c r="AB64" s="237"/>
      <c r="AC64" s="237"/>
      <c r="AD64" s="237"/>
      <c r="AE64" s="238"/>
      <c r="AF64" s="237"/>
      <c r="AG64" s="237"/>
      <c r="AH64" s="245"/>
      <c r="AI64" s="2"/>
      <c r="AJ64" s="2"/>
      <c r="AK64" s="60"/>
      <c r="AL64" s="60"/>
      <c r="AM64" s="60"/>
      <c r="AN64" s="2"/>
      <c r="AO64" s="2"/>
      <c r="AP64" s="2"/>
      <c r="AQ64" s="2"/>
      <c r="AR64" s="2"/>
    </row>
    <row r="65" spans="1:88" x14ac:dyDescent="0.2">
      <c r="A65" s="76" t="s">
        <v>133</v>
      </c>
      <c r="B65" s="77" t="s">
        <v>134</v>
      </c>
      <c r="C65" s="77">
        <v>4301052277</v>
      </c>
      <c r="D65" s="77">
        <v>4680115888982</v>
      </c>
      <c r="E65" s="78">
        <v>0.36</v>
      </c>
      <c r="F65" s="79">
        <v>6</v>
      </c>
      <c r="G65" s="78">
        <v>2.16</v>
      </c>
      <c r="H65" s="78">
        <v>2.4220000000000002</v>
      </c>
      <c r="I65" s="80">
        <v>132</v>
      </c>
      <c r="J65" s="80" t="s">
        <v>113</v>
      </c>
      <c r="K65" s="81" t="s">
        <v>86</v>
      </c>
      <c r="L65" s="81"/>
      <c r="M65" s="246">
        <v>40</v>
      </c>
      <c r="N65" s="246"/>
      <c r="O65" s="261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P65" s="248"/>
      <c r="Q65" s="248"/>
      <c r="R65" s="248"/>
      <c r="S65" s="248"/>
      <c r="T65" s="82" t="s">
        <v>0</v>
      </c>
      <c r="U65" s="64">
        <v>0</v>
      </c>
      <c r="V65" s="65">
        <f>IFERROR(IF(U65="",0,CEILING((U65/$G65),1)*$G65),"")</f>
        <v>0</v>
      </c>
      <c r="W65" s="64">
        <v>0</v>
      </c>
      <c r="X65" s="65">
        <f>IFERROR(IF(W65="",0,CEILING((W65/$G65),1)*$G65),"")</f>
        <v>0</v>
      </c>
      <c r="Y65" s="64">
        <v>0</v>
      </c>
      <c r="Z65" s="65">
        <f>IFERROR(IF(Y65="",0,CEILING((Y65/$G65),1)*$G65),"")</f>
        <v>0</v>
      </c>
      <c r="AA65" s="64">
        <v>0</v>
      </c>
      <c r="AB65" s="65">
        <f>IFERROR(IF(AA65="",0,CEILING((AA65/$G65),1)*$G65),"")</f>
        <v>0</v>
      </c>
      <c r="AC65" s="64">
        <v>0</v>
      </c>
      <c r="AD65" s="65">
        <f>IFERROR(IF(AC65="",0,CEILING((AC65/$G65),1)*$G65),"")</f>
        <v>0</v>
      </c>
      <c r="AE65" s="66" t="str">
        <f>IF(IFERROR(ROUNDUP(V65/G65,0)*0.00902,0)+IFERROR(ROUNDUP(X65/G65,0)*0.00902,0)+IFERROR(ROUNDUP(Z65/G65,0)*0.00902,0)+IFERROR(ROUNDUP(AB65/G65,0)*0.00902,0)+IFERROR(ROUNDUP(AD65/G65,0)*0.00902,0)=0,"",IFERROR(ROUNDUP(V65/G65,0)*0.00902,0)+IFERROR(ROUNDUP(X65/G65,0)*0.00902,0)+IFERROR(ROUNDUP(Z65/G65,0)*0.00902,0)+IFERROR(ROUNDUP(AB65/G65,0)*0.00902,0)+IFERROR(ROUNDUP(AD65/G65,0)*0.00902,0))</f>
        <v/>
      </c>
      <c r="AF65" s="76" t="s">
        <v>57</v>
      </c>
      <c r="AG65" s="76" t="s">
        <v>57</v>
      </c>
      <c r="AH65" s="157" t="s">
        <v>135</v>
      </c>
      <c r="AI65" s="2"/>
      <c r="AJ65" s="2"/>
      <c r="AK65" s="2"/>
      <c r="AL65" s="60"/>
      <c r="AM65" s="60"/>
      <c r="AN65" s="60"/>
      <c r="AO65" s="2"/>
      <c r="AP65" s="2"/>
      <c r="AQ65" s="2"/>
      <c r="AR65" s="2"/>
      <c r="AS65" s="2"/>
      <c r="AT65" s="2"/>
      <c r="AU65" s="21"/>
      <c r="AV65" s="21"/>
      <c r="AW65" s="22"/>
      <c r="BB65" s="156" t="s">
        <v>65</v>
      </c>
      <c r="BQ65" s="74">
        <f>IFERROR(U65*H65/G65,0)</f>
        <v>0</v>
      </c>
      <c r="BR65" s="74">
        <f>IFERROR(V65*H65/G65,0)</f>
        <v>0</v>
      </c>
      <c r="BS65" s="74">
        <f>IFERROR(1/I65*(U65/G65),0)</f>
        <v>0</v>
      </c>
      <c r="BT65" s="74">
        <f>IFERROR(1/I65*(V65/G65),0)</f>
        <v>0</v>
      </c>
      <c r="BU65" s="74">
        <f>IFERROR(W65*H65/G65,0)</f>
        <v>0</v>
      </c>
      <c r="BV65" s="74">
        <f>IFERROR(X65*H65/G65,0)</f>
        <v>0</v>
      </c>
      <c r="BW65" s="74">
        <f>IFERROR(1/I65*(W65/G65),0)</f>
        <v>0</v>
      </c>
      <c r="BX65" s="74">
        <f>IFERROR(1/I65*(X65/G65),0)</f>
        <v>0</v>
      </c>
      <c r="BY65" s="74">
        <f>IFERROR(Y65*H65/G65,0)</f>
        <v>0</v>
      </c>
      <c r="BZ65" s="74">
        <f>IFERROR(Z65*H65/G65,0)</f>
        <v>0</v>
      </c>
      <c r="CA65" s="74">
        <f>IFERROR(1/I65*(Y65/G65),0)</f>
        <v>0</v>
      </c>
      <c r="CB65" s="74">
        <f>IFERROR(1/I65*(Z65/G65),0)</f>
        <v>0</v>
      </c>
      <c r="CC65" s="74">
        <f>IFERROR(AA65*H65/G65,0)</f>
        <v>0</v>
      </c>
      <c r="CD65" s="74">
        <f>IFERROR(AB65*H65/G65,0)</f>
        <v>0</v>
      </c>
      <c r="CE65" s="74">
        <f>IFERROR(1/I65*(AA65/G65),0)</f>
        <v>0</v>
      </c>
      <c r="CF65" s="74">
        <f>IFERROR(1/I65*(AB65/G65),0)</f>
        <v>0</v>
      </c>
      <c r="CG65" s="74">
        <f>IFERROR(AC65*H65/G65,0)</f>
        <v>0</v>
      </c>
      <c r="CH65" s="74">
        <f>IFERROR(AD65*H65/G65,0)</f>
        <v>0</v>
      </c>
      <c r="CI65" s="74">
        <f>IFERROR(1/I65*(AC65/G65),0)</f>
        <v>0</v>
      </c>
      <c r="CJ65" s="74">
        <f>IFERROR(1/I65*(AD65/G65),0)</f>
        <v>0</v>
      </c>
    </row>
    <row r="66" spans="1:88" x14ac:dyDescent="0.2">
      <c r="A66" s="251"/>
      <c r="B66" s="251"/>
      <c r="C66" s="251"/>
      <c r="D66" s="251"/>
      <c r="E66" s="251"/>
      <c r="F66" s="251"/>
      <c r="G66" s="251"/>
      <c r="H66" s="251"/>
      <c r="I66" s="251"/>
      <c r="J66" s="251"/>
      <c r="K66" s="251"/>
      <c r="L66" s="251"/>
      <c r="M66" s="251"/>
      <c r="N66" s="251"/>
      <c r="O66" s="249" t="s">
        <v>43</v>
      </c>
      <c r="P66" s="250"/>
      <c r="Q66" s="250"/>
      <c r="R66" s="250"/>
      <c r="S66" s="250"/>
      <c r="T66" s="40" t="s">
        <v>42</v>
      </c>
      <c r="U66" s="101">
        <f>IFERROR(U65/G65,0)</f>
        <v>0</v>
      </c>
      <c r="V66" s="101">
        <f>IFERROR(V65/G65,0)</f>
        <v>0</v>
      </c>
      <c r="W66" s="101">
        <f>IFERROR(W65/G65,0)</f>
        <v>0</v>
      </c>
      <c r="X66" s="101">
        <f>IFERROR(X65/G65,0)</f>
        <v>0</v>
      </c>
      <c r="Y66" s="101">
        <f>IFERROR(Y65/G65,0)</f>
        <v>0</v>
      </c>
      <c r="Z66" s="101">
        <f>IFERROR(Z65/G65,0)</f>
        <v>0</v>
      </c>
      <c r="AA66" s="101">
        <f>IFERROR(AA65/G65,0)</f>
        <v>0</v>
      </c>
      <c r="AB66" s="101">
        <f>IFERROR(AB65/G65,0)</f>
        <v>0</v>
      </c>
      <c r="AC66" s="101">
        <f>IFERROR(AC65/G65,0)</f>
        <v>0</v>
      </c>
      <c r="AD66" s="101">
        <f>IFERROR(AD65/G65,0)</f>
        <v>0</v>
      </c>
      <c r="AE66" s="101">
        <f>IFERROR(IF(AE65="",0,AE65),0)</f>
        <v>0</v>
      </c>
      <c r="AF66" s="3"/>
      <c r="AG66" s="3"/>
      <c r="AH66" s="3"/>
      <c r="AI66" s="3"/>
      <c r="AJ66" s="3"/>
      <c r="AK66" s="3"/>
      <c r="AL66" s="61"/>
      <c r="AM66" s="61"/>
      <c r="AN66" s="61"/>
      <c r="AO66" s="3"/>
      <c r="AP66" s="3"/>
      <c r="AQ66" s="2"/>
      <c r="AR66" s="2"/>
      <c r="AS66" s="2"/>
      <c r="AT66" s="2"/>
      <c r="AU66" s="21"/>
      <c r="AV66" s="21"/>
      <c r="AW66" s="22"/>
    </row>
    <row r="67" spans="1:88" x14ac:dyDescent="0.2">
      <c r="A67" s="251"/>
      <c r="B67" s="251"/>
      <c r="C67" s="251"/>
      <c r="D67" s="251"/>
      <c r="E67" s="251"/>
      <c r="F67" s="251"/>
      <c r="G67" s="251"/>
      <c r="H67" s="251"/>
      <c r="I67" s="251"/>
      <c r="J67" s="251"/>
      <c r="K67" s="251"/>
      <c r="L67" s="251"/>
      <c r="M67" s="251"/>
      <c r="N67" s="251"/>
      <c r="O67" s="249" t="s">
        <v>43</v>
      </c>
      <c r="P67" s="250"/>
      <c r="Q67" s="250"/>
      <c r="R67" s="250"/>
      <c r="S67" s="250"/>
      <c r="T67" s="40" t="s">
        <v>0</v>
      </c>
      <c r="U67" s="103">
        <f t="shared" ref="U67:AD67" si="8">IFERROR(SUM(U65:U65),0)</f>
        <v>0</v>
      </c>
      <c r="V67" s="103">
        <f t="shared" si="8"/>
        <v>0</v>
      </c>
      <c r="W67" s="103">
        <f t="shared" si="8"/>
        <v>0</v>
      </c>
      <c r="X67" s="103">
        <f t="shared" si="8"/>
        <v>0</v>
      </c>
      <c r="Y67" s="103">
        <f t="shared" si="8"/>
        <v>0</v>
      </c>
      <c r="Z67" s="103">
        <f t="shared" si="8"/>
        <v>0</v>
      </c>
      <c r="AA67" s="103">
        <f t="shared" si="8"/>
        <v>0</v>
      </c>
      <c r="AB67" s="103">
        <f t="shared" si="8"/>
        <v>0</v>
      </c>
      <c r="AC67" s="103">
        <f t="shared" si="8"/>
        <v>0</v>
      </c>
      <c r="AD67" s="103">
        <f t="shared" si="8"/>
        <v>0</v>
      </c>
      <c r="AE67" s="101" t="s">
        <v>57</v>
      </c>
      <c r="AF67" s="3"/>
      <c r="AG67" s="3"/>
      <c r="AH67" s="3"/>
      <c r="AI67" s="3"/>
      <c r="AJ67" s="3"/>
      <c r="AK67" s="3"/>
      <c r="AL67" s="61"/>
      <c r="AM67" s="61"/>
      <c r="AN67" s="61"/>
      <c r="AO67" s="3"/>
      <c r="AP67" s="3"/>
      <c r="AQ67" s="2"/>
      <c r="AR67" s="2"/>
      <c r="AS67" s="2"/>
      <c r="AT67" s="2"/>
      <c r="AU67" s="21"/>
      <c r="AV67" s="21"/>
      <c r="AW67" s="22"/>
    </row>
    <row r="68" spans="1:88" ht="15" x14ac:dyDescent="0.25">
      <c r="A68" s="240" t="s">
        <v>136</v>
      </c>
      <c r="B68" s="241"/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1"/>
      <c r="Q68" s="241"/>
      <c r="R68" s="241"/>
      <c r="S68" s="241"/>
      <c r="T68" s="241"/>
      <c r="U68" s="241"/>
      <c r="V68" s="241"/>
      <c r="W68" s="241"/>
      <c r="X68" s="241"/>
      <c r="Y68" s="241"/>
      <c r="Z68" s="241"/>
      <c r="AA68" s="237"/>
      <c r="AB68" s="237"/>
      <c r="AC68" s="237"/>
      <c r="AD68" s="237"/>
      <c r="AE68" s="238"/>
      <c r="AF68" s="237"/>
      <c r="AG68" s="237"/>
      <c r="AH68" s="242"/>
      <c r="AI68" s="2"/>
      <c r="AJ68" s="2"/>
      <c r="AK68" s="60"/>
      <c r="AL68" s="60"/>
      <c r="AM68" s="60"/>
      <c r="AN68" s="2"/>
      <c r="AO68" s="2"/>
      <c r="AP68" s="2"/>
      <c r="AQ68" s="2"/>
      <c r="AR68" s="2"/>
    </row>
    <row r="69" spans="1:88" ht="15" x14ac:dyDescent="0.25">
      <c r="A69" s="243" t="s">
        <v>83</v>
      </c>
      <c r="B69" s="244"/>
      <c r="C69" s="244"/>
      <c r="D69" s="244"/>
      <c r="E69" s="244"/>
      <c r="F69" s="244"/>
      <c r="G69" s="244"/>
      <c r="H69" s="244"/>
      <c r="I69" s="244"/>
      <c r="J69" s="244"/>
      <c r="K69" s="244"/>
      <c r="L69" s="244"/>
      <c r="M69" s="244"/>
      <c r="N69" s="244"/>
      <c r="O69" s="244"/>
      <c r="P69" s="244"/>
      <c r="Q69" s="244"/>
      <c r="R69" s="244"/>
      <c r="S69" s="244"/>
      <c r="T69" s="244"/>
      <c r="U69" s="244"/>
      <c r="V69" s="244"/>
      <c r="W69" s="244"/>
      <c r="X69" s="241"/>
      <c r="Y69" s="241"/>
      <c r="Z69" s="241"/>
      <c r="AA69" s="237"/>
      <c r="AB69" s="237"/>
      <c r="AC69" s="237"/>
      <c r="AD69" s="237"/>
      <c r="AE69" s="238"/>
      <c r="AF69" s="237"/>
      <c r="AG69" s="237"/>
      <c r="AH69" s="245"/>
      <c r="AI69" s="2"/>
      <c r="AJ69" s="2"/>
      <c r="AK69" s="60"/>
      <c r="AL69" s="60"/>
      <c r="AM69" s="60"/>
      <c r="AN69" s="2"/>
      <c r="AO69" s="2"/>
      <c r="AP69" s="2"/>
      <c r="AQ69" s="2"/>
      <c r="AR69" s="2"/>
    </row>
    <row r="70" spans="1:88" ht="22.5" x14ac:dyDescent="0.2">
      <c r="A70" s="76" t="s">
        <v>137</v>
      </c>
      <c r="B70" s="77" t="s">
        <v>138</v>
      </c>
      <c r="C70" s="77">
        <v>4301052180</v>
      </c>
      <c r="D70" s="77">
        <v>4680115888340</v>
      </c>
      <c r="E70" s="78">
        <v>0.4</v>
      </c>
      <c r="F70" s="79">
        <v>6</v>
      </c>
      <c r="G70" s="78">
        <v>2.4</v>
      </c>
      <c r="H70" s="78">
        <v>2.6520000000000001</v>
      </c>
      <c r="I70" s="80">
        <v>182</v>
      </c>
      <c r="J70" s="80" t="s">
        <v>87</v>
      </c>
      <c r="K70" s="81" t="s">
        <v>93</v>
      </c>
      <c r="L70" s="81"/>
      <c r="M70" s="246">
        <v>45</v>
      </c>
      <c r="N70" s="246"/>
      <c r="O70" s="26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P70" s="248"/>
      <c r="Q70" s="248"/>
      <c r="R70" s="248"/>
      <c r="S70" s="248"/>
      <c r="T70" s="82" t="s">
        <v>0</v>
      </c>
      <c r="U70" s="64">
        <v>0</v>
      </c>
      <c r="V70" s="65">
        <f>IFERROR(IF(U70="",0,CEILING((U70/$G70),1)*$G70),"")</f>
        <v>0</v>
      </c>
      <c r="W70" s="64">
        <v>0</v>
      </c>
      <c r="X70" s="65">
        <f>IFERROR(IF(W70="",0,CEILING((W70/$G70),1)*$G70),"")</f>
        <v>0</v>
      </c>
      <c r="Y70" s="64">
        <v>0</v>
      </c>
      <c r="Z70" s="65">
        <f>IFERROR(IF(Y70="",0,CEILING((Y70/$G70),1)*$G70),"")</f>
        <v>0</v>
      </c>
      <c r="AA70" s="64">
        <v>0</v>
      </c>
      <c r="AB70" s="65">
        <f>IFERROR(IF(AA70="",0,CEILING((AA70/$G70),1)*$G70),"")</f>
        <v>0</v>
      </c>
      <c r="AC70" s="64">
        <v>0</v>
      </c>
      <c r="AD70" s="65">
        <f>IFERROR(IF(AC70="",0,CEILING((AC70/$G70),1)*$G70),"")</f>
        <v>0</v>
      </c>
      <c r="AE70" s="66" t="str">
        <f>IF(IFERROR(ROUNDUP(V70/G70,0)*0.00651,0)+IFERROR(ROUNDUP(X70/G70,0)*0.00651,0)+IFERROR(ROUNDUP(Z70/G70,0)*0.00651,0)+IFERROR(ROUNDUP(AB70/G70,0)*0.00651,0)+IFERROR(ROUNDUP(AD70/G70,0)*0.00651,0)=0,"",IFERROR(ROUNDUP(V70/G70,0)*0.00651,0)+IFERROR(ROUNDUP(X70/G70,0)*0.00651,0)+IFERROR(ROUNDUP(Z70/G70,0)*0.00651,0)+IFERROR(ROUNDUP(AB70/G70,0)*0.00651,0)+IFERROR(ROUNDUP(AD70/G70,0)*0.00651,0))</f>
        <v/>
      </c>
      <c r="AF70" s="76" t="s">
        <v>57</v>
      </c>
      <c r="AG70" s="76" t="s">
        <v>57</v>
      </c>
      <c r="AH70" s="159" t="s">
        <v>139</v>
      </c>
      <c r="AI70" s="2"/>
      <c r="AJ70" s="2"/>
      <c r="AK70" s="2"/>
      <c r="AL70" s="60"/>
      <c r="AM70" s="60"/>
      <c r="AN70" s="60"/>
      <c r="AO70" s="2"/>
      <c r="AP70" s="2"/>
      <c r="AQ70" s="2"/>
      <c r="AR70" s="2"/>
      <c r="AS70" s="2"/>
      <c r="AT70" s="2"/>
      <c r="AU70" s="21"/>
      <c r="AV70" s="21"/>
      <c r="AW70" s="22"/>
      <c r="BB70" s="158" t="s">
        <v>65</v>
      </c>
      <c r="BQ70" s="74">
        <f>IFERROR(U70*H70/G70,0)</f>
        <v>0</v>
      </c>
      <c r="BR70" s="74">
        <f>IFERROR(V70*H70/G70,0)</f>
        <v>0</v>
      </c>
      <c r="BS70" s="74">
        <f>IFERROR(1/I70*(U70/G70),0)</f>
        <v>0</v>
      </c>
      <c r="BT70" s="74">
        <f>IFERROR(1/I70*(V70/G70),0)</f>
        <v>0</v>
      </c>
      <c r="BU70" s="74">
        <f>IFERROR(W70*H70/G70,0)</f>
        <v>0</v>
      </c>
      <c r="BV70" s="74">
        <f>IFERROR(X70*H70/G70,0)</f>
        <v>0</v>
      </c>
      <c r="BW70" s="74">
        <f>IFERROR(1/I70*(W70/G70),0)</f>
        <v>0</v>
      </c>
      <c r="BX70" s="74">
        <f>IFERROR(1/I70*(X70/G70),0)</f>
        <v>0</v>
      </c>
      <c r="BY70" s="74">
        <f>IFERROR(Y70*H70/G70,0)</f>
        <v>0</v>
      </c>
      <c r="BZ70" s="74">
        <f>IFERROR(Z70*H70/G70,0)</f>
        <v>0</v>
      </c>
      <c r="CA70" s="74">
        <f>IFERROR(1/I70*(Y70/G70),0)</f>
        <v>0</v>
      </c>
      <c r="CB70" s="74">
        <f>IFERROR(1/I70*(Z70/G70),0)</f>
        <v>0</v>
      </c>
      <c r="CC70" s="74">
        <f>IFERROR(AA70*H70/G70,0)</f>
        <v>0</v>
      </c>
      <c r="CD70" s="74">
        <f>IFERROR(AB70*H70/G70,0)</f>
        <v>0</v>
      </c>
      <c r="CE70" s="74">
        <f>IFERROR(1/I70*(AA70/G70),0)</f>
        <v>0</v>
      </c>
      <c r="CF70" s="74">
        <f>IFERROR(1/I70*(AB70/G70),0)</f>
        <v>0</v>
      </c>
      <c r="CG70" s="74">
        <f>IFERROR(AC70*H70/G70,0)</f>
        <v>0</v>
      </c>
      <c r="CH70" s="74">
        <f>IFERROR(AD70*H70/G70,0)</f>
        <v>0</v>
      </c>
      <c r="CI70" s="74">
        <f>IFERROR(1/I70*(AC70/G70),0)</f>
        <v>0</v>
      </c>
      <c r="CJ70" s="74">
        <f>IFERROR(1/I70*(AD70/G70),0)</f>
        <v>0</v>
      </c>
    </row>
    <row r="71" spans="1:88" x14ac:dyDescent="0.2">
      <c r="A71" s="251"/>
      <c r="B71" s="251"/>
      <c r="C71" s="251"/>
      <c r="D71" s="251"/>
      <c r="E71" s="251"/>
      <c r="F71" s="251"/>
      <c r="G71" s="251"/>
      <c r="H71" s="251"/>
      <c r="I71" s="251"/>
      <c r="J71" s="251"/>
      <c r="K71" s="251"/>
      <c r="L71" s="251"/>
      <c r="M71" s="251"/>
      <c r="N71" s="251"/>
      <c r="O71" s="249" t="s">
        <v>43</v>
      </c>
      <c r="P71" s="250"/>
      <c r="Q71" s="250"/>
      <c r="R71" s="250"/>
      <c r="S71" s="250"/>
      <c r="T71" s="40" t="s">
        <v>42</v>
      </c>
      <c r="U71" s="101">
        <f>IFERROR(U70/G70,0)</f>
        <v>0</v>
      </c>
      <c r="V71" s="101">
        <f>IFERROR(V70/G70,0)</f>
        <v>0</v>
      </c>
      <c r="W71" s="101">
        <f>IFERROR(W70/G70,0)</f>
        <v>0</v>
      </c>
      <c r="X71" s="101">
        <f>IFERROR(X70/G70,0)</f>
        <v>0</v>
      </c>
      <c r="Y71" s="101">
        <f>IFERROR(Y70/G70,0)</f>
        <v>0</v>
      </c>
      <c r="Z71" s="101">
        <f>IFERROR(Z70/G70,0)</f>
        <v>0</v>
      </c>
      <c r="AA71" s="101">
        <f>IFERROR(AA70/G70,0)</f>
        <v>0</v>
      </c>
      <c r="AB71" s="101">
        <f>IFERROR(AB70/G70,0)</f>
        <v>0</v>
      </c>
      <c r="AC71" s="101">
        <f>IFERROR(AC70/G70,0)</f>
        <v>0</v>
      </c>
      <c r="AD71" s="101">
        <f>IFERROR(AD70/G70,0)</f>
        <v>0</v>
      </c>
      <c r="AE71" s="101">
        <f>IFERROR(IF(AE70="",0,AE70),0)</f>
        <v>0</v>
      </c>
      <c r="AF71" s="3"/>
      <c r="AG71" s="3"/>
      <c r="AH71" s="3"/>
      <c r="AI71" s="3"/>
      <c r="AJ71" s="3"/>
      <c r="AK71" s="3"/>
      <c r="AL71" s="61"/>
      <c r="AM71" s="61"/>
      <c r="AN71" s="61"/>
      <c r="AO71" s="3"/>
      <c r="AP71" s="3"/>
      <c r="AQ71" s="2"/>
      <c r="AR71" s="2"/>
      <c r="AS71" s="2"/>
      <c r="AT71" s="2"/>
      <c r="AU71" s="21"/>
      <c r="AV71" s="21"/>
      <c r="AW71" s="22"/>
    </row>
    <row r="72" spans="1:88" x14ac:dyDescent="0.2">
      <c r="A72" s="251"/>
      <c r="B72" s="251"/>
      <c r="C72" s="251"/>
      <c r="D72" s="251"/>
      <c r="E72" s="251"/>
      <c r="F72" s="251"/>
      <c r="G72" s="251"/>
      <c r="H72" s="251"/>
      <c r="I72" s="251"/>
      <c r="J72" s="251"/>
      <c r="K72" s="251"/>
      <c r="L72" s="251"/>
      <c r="M72" s="251"/>
      <c r="N72" s="251"/>
      <c r="O72" s="249" t="s">
        <v>43</v>
      </c>
      <c r="P72" s="250"/>
      <c r="Q72" s="250"/>
      <c r="R72" s="250"/>
      <c r="S72" s="250"/>
      <c r="T72" s="40" t="s">
        <v>0</v>
      </c>
      <c r="U72" s="103">
        <f t="shared" ref="U72:AD72" si="9">IFERROR(SUM(U70:U70),0)</f>
        <v>0</v>
      </c>
      <c r="V72" s="103">
        <f t="shared" si="9"/>
        <v>0</v>
      </c>
      <c r="W72" s="103">
        <f t="shared" si="9"/>
        <v>0</v>
      </c>
      <c r="X72" s="103">
        <f t="shared" si="9"/>
        <v>0</v>
      </c>
      <c r="Y72" s="103">
        <f t="shared" si="9"/>
        <v>0</v>
      </c>
      <c r="Z72" s="103">
        <f t="shared" si="9"/>
        <v>0</v>
      </c>
      <c r="AA72" s="103">
        <f t="shared" si="9"/>
        <v>0</v>
      </c>
      <c r="AB72" s="103">
        <f t="shared" si="9"/>
        <v>0</v>
      </c>
      <c r="AC72" s="103">
        <f t="shared" si="9"/>
        <v>0</v>
      </c>
      <c r="AD72" s="103">
        <f t="shared" si="9"/>
        <v>0</v>
      </c>
      <c r="AE72" s="101" t="s">
        <v>57</v>
      </c>
      <c r="AF72" s="3"/>
      <c r="AG72" s="3"/>
      <c r="AH72" s="3"/>
      <c r="AI72" s="3"/>
      <c r="AJ72" s="3"/>
      <c r="AK72" s="3"/>
      <c r="AL72" s="61"/>
      <c r="AM72" s="61"/>
      <c r="AN72" s="61"/>
      <c r="AO72" s="3"/>
      <c r="AP72" s="3"/>
      <c r="AQ72" s="2"/>
      <c r="AR72" s="2"/>
      <c r="AS72" s="2"/>
      <c r="AT72" s="2"/>
      <c r="AU72" s="21"/>
      <c r="AV72" s="21"/>
      <c r="AW72" s="22"/>
    </row>
    <row r="73" spans="1:88" ht="15" x14ac:dyDescent="0.25">
      <c r="A73" s="240" t="s">
        <v>140</v>
      </c>
      <c r="B73" s="241"/>
      <c r="C73" s="241"/>
      <c r="D73" s="241"/>
      <c r="E73" s="241"/>
      <c r="F73" s="241"/>
      <c r="G73" s="241"/>
      <c r="H73" s="241"/>
      <c r="I73" s="241"/>
      <c r="J73" s="241"/>
      <c r="K73" s="241"/>
      <c r="L73" s="241"/>
      <c r="M73" s="241"/>
      <c r="N73" s="241"/>
      <c r="O73" s="241"/>
      <c r="P73" s="241"/>
      <c r="Q73" s="241"/>
      <c r="R73" s="241"/>
      <c r="S73" s="241"/>
      <c r="T73" s="241"/>
      <c r="U73" s="241"/>
      <c r="V73" s="241"/>
      <c r="W73" s="241"/>
      <c r="X73" s="241"/>
      <c r="Y73" s="241"/>
      <c r="Z73" s="241"/>
      <c r="AA73" s="237"/>
      <c r="AB73" s="237"/>
      <c r="AC73" s="237"/>
      <c r="AD73" s="237"/>
      <c r="AE73" s="238"/>
      <c r="AF73" s="237"/>
      <c r="AG73" s="237"/>
      <c r="AH73" s="242"/>
      <c r="AI73" s="2"/>
      <c r="AJ73" s="2"/>
      <c r="AK73" s="60"/>
      <c r="AL73" s="60"/>
      <c r="AM73" s="60"/>
      <c r="AN73" s="2"/>
      <c r="AO73" s="2"/>
      <c r="AP73" s="2"/>
      <c r="AQ73" s="2"/>
      <c r="AR73" s="2"/>
    </row>
    <row r="74" spans="1:88" ht="15" x14ac:dyDescent="0.25">
      <c r="A74" s="243" t="s">
        <v>97</v>
      </c>
      <c r="B74" s="244"/>
      <c r="C74" s="244"/>
      <c r="D74" s="244"/>
      <c r="E74" s="244"/>
      <c r="F74" s="244"/>
      <c r="G74" s="244"/>
      <c r="H74" s="244"/>
      <c r="I74" s="244"/>
      <c r="J74" s="244"/>
      <c r="K74" s="244"/>
      <c r="L74" s="244"/>
      <c r="M74" s="244"/>
      <c r="N74" s="244"/>
      <c r="O74" s="244"/>
      <c r="P74" s="244"/>
      <c r="Q74" s="244"/>
      <c r="R74" s="244"/>
      <c r="S74" s="244"/>
      <c r="T74" s="244"/>
      <c r="U74" s="244"/>
      <c r="V74" s="244"/>
      <c r="W74" s="244"/>
      <c r="X74" s="241"/>
      <c r="Y74" s="241"/>
      <c r="Z74" s="241"/>
      <c r="AA74" s="237"/>
      <c r="AB74" s="237"/>
      <c r="AC74" s="237"/>
      <c r="AD74" s="237"/>
      <c r="AE74" s="238"/>
      <c r="AF74" s="237"/>
      <c r="AG74" s="237"/>
      <c r="AH74" s="245"/>
      <c r="AI74" s="2"/>
      <c r="AJ74" s="2"/>
      <c r="AK74" s="60"/>
      <c r="AL74" s="60"/>
      <c r="AM74" s="60"/>
      <c r="AN74" s="2"/>
      <c r="AO74" s="2"/>
      <c r="AP74" s="2"/>
      <c r="AQ74" s="2"/>
      <c r="AR74" s="2"/>
    </row>
    <row r="75" spans="1:88" x14ac:dyDescent="0.2">
      <c r="A75" s="76" t="s">
        <v>141</v>
      </c>
      <c r="B75" s="77" t="s">
        <v>142</v>
      </c>
      <c r="C75" s="77">
        <v>4301011826</v>
      </c>
      <c r="D75" s="77">
        <v>4680115884137</v>
      </c>
      <c r="E75" s="78">
        <v>1.45</v>
      </c>
      <c r="F75" s="79">
        <v>8</v>
      </c>
      <c r="G75" s="78">
        <v>11.6</v>
      </c>
      <c r="H75" s="78">
        <v>12.01</v>
      </c>
      <c r="I75" s="80">
        <v>64</v>
      </c>
      <c r="J75" s="80" t="s">
        <v>122</v>
      </c>
      <c r="K75" s="81" t="s">
        <v>121</v>
      </c>
      <c r="L75" s="81"/>
      <c r="M75" s="246">
        <v>55</v>
      </c>
      <c r="N75" s="246"/>
      <c r="O75" s="26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P75" s="248"/>
      <c r="Q75" s="248"/>
      <c r="R75" s="248"/>
      <c r="S75" s="248"/>
      <c r="T75" s="82" t="s">
        <v>0</v>
      </c>
      <c r="U75" s="64">
        <v>0</v>
      </c>
      <c r="V75" s="65">
        <f>IFERROR(IF(U75="",0,CEILING((U75/$G75),1)*$G75),"")</f>
        <v>0</v>
      </c>
      <c r="W75" s="64">
        <v>0</v>
      </c>
      <c r="X75" s="65">
        <f>IFERROR(IF(W75="",0,CEILING((W75/$G75),1)*$G75),"")</f>
        <v>0</v>
      </c>
      <c r="Y75" s="64">
        <v>0</v>
      </c>
      <c r="Z75" s="65">
        <f>IFERROR(IF(Y75="",0,CEILING((Y75/$G75),1)*$G75),"")</f>
        <v>0</v>
      </c>
      <c r="AA75" s="64">
        <v>0</v>
      </c>
      <c r="AB75" s="65">
        <f>IFERROR(IF(AA75="",0,CEILING((AA75/$G75),1)*$G75),"")</f>
        <v>0</v>
      </c>
      <c r="AC75" s="64">
        <v>0</v>
      </c>
      <c r="AD75" s="65">
        <f>IFERROR(IF(AC75="",0,CEILING((AC75/$G75),1)*$G75),"")</f>
        <v>0</v>
      </c>
      <c r="AE75" s="66" t="str">
        <f>IF(IFERROR(ROUNDUP(V75/G75,0)*0.01898,0)+IFERROR(ROUNDUP(X75/G75,0)*0.01898,0)+IFERROR(ROUNDUP(Z75/G75,0)*0.01898,0)+IFERROR(ROUNDUP(AB75/G75,0)*0.01898,0)+IFERROR(ROUNDUP(AD75/G75,0)*0.01898,0)=0,"",IFERROR(ROUNDUP(V75/G75,0)*0.01898,0)+IFERROR(ROUNDUP(X75/G75,0)*0.01898,0)+IFERROR(ROUNDUP(Z75/G75,0)*0.01898,0)+IFERROR(ROUNDUP(AB75/G75,0)*0.01898,0)+IFERROR(ROUNDUP(AD75/G75,0)*0.01898,0))</f>
        <v/>
      </c>
      <c r="AF75" s="76" t="s">
        <v>57</v>
      </c>
      <c r="AG75" s="76" t="s">
        <v>57</v>
      </c>
      <c r="AH75" s="161" t="s">
        <v>143</v>
      </c>
      <c r="AI75" s="2"/>
      <c r="AJ75" s="2"/>
      <c r="AK75" s="2"/>
      <c r="AL75" s="60"/>
      <c r="AM75" s="60"/>
      <c r="AN75" s="60"/>
      <c r="AO75" s="2"/>
      <c r="AP75" s="2"/>
      <c r="AQ75" s="2"/>
      <c r="AR75" s="2"/>
      <c r="AS75" s="2"/>
      <c r="AT75" s="2"/>
      <c r="AU75" s="21"/>
      <c r="AV75" s="21"/>
      <c r="AW75" s="22"/>
      <c r="BB75" s="160" t="s">
        <v>65</v>
      </c>
      <c r="BQ75" s="74">
        <f>IFERROR(U75*H75/G75,0)</f>
        <v>0</v>
      </c>
      <c r="BR75" s="74">
        <f>IFERROR(V75*H75/G75,0)</f>
        <v>0</v>
      </c>
      <c r="BS75" s="74">
        <f>IFERROR(1/I75*(U75/G75),0)</f>
        <v>0</v>
      </c>
      <c r="BT75" s="74">
        <f>IFERROR(1/I75*(V75/G75),0)</f>
        <v>0</v>
      </c>
      <c r="BU75" s="74">
        <f>IFERROR(W75*H75/G75,0)</f>
        <v>0</v>
      </c>
      <c r="BV75" s="74">
        <f>IFERROR(X75*H75/G75,0)</f>
        <v>0</v>
      </c>
      <c r="BW75" s="74">
        <f>IFERROR(1/I75*(W75/G75),0)</f>
        <v>0</v>
      </c>
      <c r="BX75" s="74">
        <f>IFERROR(1/I75*(X75/G75),0)</f>
        <v>0</v>
      </c>
      <c r="BY75" s="74">
        <f>IFERROR(Y75*H75/G75,0)</f>
        <v>0</v>
      </c>
      <c r="BZ75" s="74">
        <f>IFERROR(Z75*H75/G75,0)</f>
        <v>0</v>
      </c>
      <c r="CA75" s="74">
        <f>IFERROR(1/I75*(Y75/G75),0)</f>
        <v>0</v>
      </c>
      <c r="CB75" s="74">
        <f>IFERROR(1/I75*(Z75/G75),0)</f>
        <v>0</v>
      </c>
      <c r="CC75" s="74">
        <f>IFERROR(AA75*H75/G75,0)</f>
        <v>0</v>
      </c>
      <c r="CD75" s="74">
        <f>IFERROR(AB75*H75/G75,0)</f>
        <v>0</v>
      </c>
      <c r="CE75" s="74">
        <f>IFERROR(1/I75*(AA75/G75),0)</f>
        <v>0</v>
      </c>
      <c r="CF75" s="74">
        <f>IFERROR(1/I75*(AB75/G75),0)</f>
        <v>0</v>
      </c>
      <c r="CG75" s="74">
        <f>IFERROR(AC75*H75/G75,0)</f>
        <v>0</v>
      </c>
      <c r="CH75" s="74">
        <f>IFERROR(AD75*H75/G75,0)</f>
        <v>0</v>
      </c>
      <c r="CI75" s="74">
        <f>IFERROR(1/I75*(AC75/G75),0)</f>
        <v>0</v>
      </c>
      <c r="CJ75" s="74">
        <f>IFERROR(1/I75*(AD75/G75),0)</f>
        <v>0</v>
      </c>
    </row>
    <row r="76" spans="1:88" x14ac:dyDescent="0.2">
      <c r="A76" s="251"/>
      <c r="B76" s="251"/>
      <c r="C76" s="251"/>
      <c r="D76" s="251"/>
      <c r="E76" s="251"/>
      <c r="F76" s="251"/>
      <c r="G76" s="251"/>
      <c r="H76" s="251"/>
      <c r="I76" s="251"/>
      <c r="J76" s="251"/>
      <c r="K76" s="251"/>
      <c r="L76" s="251"/>
      <c r="M76" s="251"/>
      <c r="N76" s="251"/>
      <c r="O76" s="249" t="s">
        <v>43</v>
      </c>
      <c r="P76" s="250"/>
      <c r="Q76" s="250"/>
      <c r="R76" s="250"/>
      <c r="S76" s="250"/>
      <c r="T76" s="40" t="s">
        <v>42</v>
      </c>
      <c r="U76" s="101">
        <f>IFERROR(U75/G75,0)</f>
        <v>0</v>
      </c>
      <c r="V76" s="101">
        <f>IFERROR(V75/G75,0)</f>
        <v>0</v>
      </c>
      <c r="W76" s="101">
        <f>IFERROR(W75/G75,0)</f>
        <v>0</v>
      </c>
      <c r="X76" s="101">
        <f>IFERROR(X75/G75,0)</f>
        <v>0</v>
      </c>
      <c r="Y76" s="101">
        <f>IFERROR(Y75/G75,0)</f>
        <v>0</v>
      </c>
      <c r="Z76" s="101">
        <f>IFERROR(Z75/G75,0)</f>
        <v>0</v>
      </c>
      <c r="AA76" s="101">
        <f>IFERROR(AA75/G75,0)</f>
        <v>0</v>
      </c>
      <c r="AB76" s="101">
        <f>IFERROR(AB75/G75,0)</f>
        <v>0</v>
      </c>
      <c r="AC76" s="101">
        <f>IFERROR(AC75/G75,0)</f>
        <v>0</v>
      </c>
      <c r="AD76" s="101">
        <f>IFERROR(AD75/G75,0)</f>
        <v>0</v>
      </c>
      <c r="AE76" s="101">
        <f>IFERROR(IF(AE75="",0,AE75),0)</f>
        <v>0</v>
      </c>
      <c r="AF76" s="3"/>
      <c r="AG76" s="3"/>
      <c r="AH76" s="3"/>
      <c r="AI76" s="3"/>
      <c r="AJ76" s="3"/>
      <c r="AK76" s="3"/>
      <c r="AL76" s="61"/>
      <c r="AM76" s="61"/>
      <c r="AN76" s="61"/>
      <c r="AO76" s="3"/>
      <c r="AP76" s="3"/>
      <c r="AQ76" s="2"/>
      <c r="AR76" s="2"/>
      <c r="AS76" s="2"/>
      <c r="AT76" s="2"/>
      <c r="AU76" s="21"/>
      <c r="AV76" s="21"/>
      <c r="AW76" s="22"/>
    </row>
    <row r="77" spans="1:88" x14ac:dyDescent="0.2">
      <c r="A77" s="251"/>
      <c r="B77" s="251"/>
      <c r="C77" s="251"/>
      <c r="D77" s="251"/>
      <c r="E77" s="251"/>
      <c r="F77" s="251"/>
      <c r="G77" s="251"/>
      <c r="H77" s="251"/>
      <c r="I77" s="251"/>
      <c r="J77" s="251"/>
      <c r="K77" s="251"/>
      <c r="L77" s="251"/>
      <c r="M77" s="251"/>
      <c r="N77" s="251"/>
      <c r="O77" s="249" t="s">
        <v>43</v>
      </c>
      <c r="P77" s="250"/>
      <c r="Q77" s="250"/>
      <c r="R77" s="250"/>
      <c r="S77" s="250"/>
      <c r="T77" s="40" t="s">
        <v>0</v>
      </c>
      <c r="U77" s="103">
        <f t="shared" ref="U77:AD77" si="10">IFERROR(SUM(U75:U75),0)</f>
        <v>0</v>
      </c>
      <c r="V77" s="103">
        <f t="shared" si="10"/>
        <v>0</v>
      </c>
      <c r="W77" s="103">
        <f t="shared" si="10"/>
        <v>0</v>
      </c>
      <c r="X77" s="103">
        <f t="shared" si="10"/>
        <v>0</v>
      </c>
      <c r="Y77" s="103">
        <f t="shared" si="10"/>
        <v>0</v>
      </c>
      <c r="Z77" s="103">
        <f t="shared" si="10"/>
        <v>0</v>
      </c>
      <c r="AA77" s="103">
        <f t="shared" si="10"/>
        <v>0</v>
      </c>
      <c r="AB77" s="103">
        <f t="shared" si="10"/>
        <v>0</v>
      </c>
      <c r="AC77" s="103">
        <f t="shared" si="10"/>
        <v>0</v>
      </c>
      <c r="AD77" s="103">
        <f t="shared" si="10"/>
        <v>0</v>
      </c>
      <c r="AE77" s="101" t="s">
        <v>57</v>
      </c>
      <c r="AF77" s="3"/>
      <c r="AG77" s="3"/>
      <c r="AH77" s="3"/>
      <c r="AI77" s="3"/>
      <c r="AJ77" s="3"/>
      <c r="AK77" s="3"/>
      <c r="AL77" s="61"/>
      <c r="AM77" s="61"/>
      <c r="AN77" s="61"/>
      <c r="AO77" s="3"/>
      <c r="AP77" s="3"/>
      <c r="AQ77" s="2"/>
      <c r="AR77" s="2"/>
      <c r="AS77" s="2"/>
      <c r="AT77" s="2"/>
      <c r="AU77" s="21"/>
      <c r="AV77" s="21"/>
      <c r="AW77" s="22"/>
    </row>
    <row r="78" spans="1:88" ht="15" x14ac:dyDescent="0.25">
      <c r="A78" s="243" t="s">
        <v>144</v>
      </c>
      <c r="B78" s="244"/>
      <c r="C78" s="244"/>
      <c r="D78" s="244"/>
      <c r="E78" s="244"/>
      <c r="F78" s="244"/>
      <c r="G78" s="244"/>
      <c r="H78" s="244"/>
      <c r="I78" s="244"/>
      <c r="J78" s="244"/>
      <c r="K78" s="244"/>
      <c r="L78" s="244"/>
      <c r="M78" s="244"/>
      <c r="N78" s="244"/>
      <c r="O78" s="244"/>
      <c r="P78" s="244"/>
      <c r="Q78" s="244"/>
      <c r="R78" s="244"/>
      <c r="S78" s="244"/>
      <c r="T78" s="244"/>
      <c r="U78" s="244"/>
      <c r="V78" s="244"/>
      <c r="W78" s="244"/>
      <c r="X78" s="241"/>
      <c r="Y78" s="241"/>
      <c r="Z78" s="241"/>
      <c r="AA78" s="237"/>
      <c r="AB78" s="237"/>
      <c r="AC78" s="237"/>
      <c r="AD78" s="237"/>
      <c r="AE78" s="238"/>
      <c r="AF78" s="237"/>
      <c r="AG78" s="237"/>
      <c r="AH78" s="245"/>
      <c r="AI78" s="2"/>
      <c r="AJ78" s="2"/>
      <c r="AK78" s="60"/>
      <c r="AL78" s="60"/>
      <c r="AM78" s="60"/>
      <c r="AN78" s="2"/>
      <c r="AO78" s="2"/>
      <c r="AP78" s="2"/>
      <c r="AQ78" s="2"/>
      <c r="AR78" s="2"/>
    </row>
    <row r="79" spans="1:88" x14ac:dyDescent="0.2">
      <c r="A79" s="76" t="s">
        <v>145</v>
      </c>
      <c r="B79" s="77" t="s">
        <v>146</v>
      </c>
      <c r="C79" s="77">
        <v>4301041004</v>
      </c>
      <c r="D79" s="77">
        <v>4680115886704</v>
      </c>
      <c r="E79" s="78">
        <v>5.5E-2</v>
      </c>
      <c r="F79" s="79">
        <v>18</v>
      </c>
      <c r="G79" s="78">
        <v>0.99</v>
      </c>
      <c r="H79" s="78">
        <v>1.18</v>
      </c>
      <c r="I79" s="80">
        <v>216</v>
      </c>
      <c r="J79" s="80" t="s">
        <v>148</v>
      </c>
      <c r="K79" s="81" t="s">
        <v>147</v>
      </c>
      <c r="L79" s="81"/>
      <c r="M79" s="246">
        <v>90</v>
      </c>
      <c r="N79" s="246"/>
      <c r="O79" s="26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P79" s="248"/>
      <c r="Q79" s="248"/>
      <c r="R79" s="248"/>
      <c r="S79" s="248"/>
      <c r="T79" s="82" t="s">
        <v>0</v>
      </c>
      <c r="U79" s="64">
        <v>0</v>
      </c>
      <c r="V79" s="65">
        <f>IFERROR(IF(U79="",0,CEILING((U79/$G79),1)*$G79),"")</f>
        <v>0</v>
      </c>
      <c r="W79" s="64">
        <v>0</v>
      </c>
      <c r="X79" s="65">
        <f>IFERROR(IF(W79="",0,CEILING((W79/$G79),1)*$G79),"")</f>
        <v>0</v>
      </c>
      <c r="Y79" s="64">
        <v>0</v>
      </c>
      <c r="Z79" s="65">
        <f>IFERROR(IF(Y79="",0,CEILING((Y79/$G79),1)*$G79),"")</f>
        <v>0</v>
      </c>
      <c r="AA79" s="64">
        <v>0</v>
      </c>
      <c r="AB79" s="65">
        <f>IFERROR(IF(AA79="",0,CEILING((AA79/$G79),1)*$G79),"")</f>
        <v>0</v>
      </c>
      <c r="AC79" s="64">
        <v>0</v>
      </c>
      <c r="AD79" s="65">
        <f>IFERROR(IF(AC79="",0,CEILING((AC79/$G79),1)*$G79),"")</f>
        <v>0</v>
      </c>
      <c r="AE79" s="66" t="str">
        <f>IF(IFERROR(ROUNDUP(V79/G79,0)*0.0059,0)+IFERROR(ROUNDUP(X79/G79,0)*0.0059,0)+IFERROR(ROUNDUP(Z79/G79,0)*0.0059,0)+IFERROR(ROUNDUP(AB79/G79,0)*0.0059,0)+IFERROR(ROUNDUP(AD79/G79,0)*0.0059,0)=0,"",IFERROR(ROUNDUP(V79/G79,0)*0.0059,0)+IFERROR(ROUNDUP(X79/G79,0)*0.0059,0)+IFERROR(ROUNDUP(Z79/G79,0)*0.0059,0)+IFERROR(ROUNDUP(AB79/G79,0)*0.0059,0)+IFERROR(ROUNDUP(AD79/G79,0)*0.0059,0))</f>
        <v/>
      </c>
      <c r="AF79" s="76" t="s">
        <v>57</v>
      </c>
      <c r="AG79" s="76" t="s">
        <v>57</v>
      </c>
      <c r="AH79" s="163" t="s">
        <v>149</v>
      </c>
      <c r="AI79" s="2"/>
      <c r="AJ79" s="2"/>
      <c r="AK79" s="2"/>
      <c r="AL79" s="60"/>
      <c r="AM79" s="60"/>
      <c r="AN79" s="60"/>
      <c r="AO79" s="2"/>
      <c r="AP79" s="2"/>
      <c r="AQ79" s="2"/>
      <c r="AR79" s="2"/>
      <c r="AS79" s="2"/>
      <c r="AT79" s="2"/>
      <c r="AU79" s="21"/>
      <c r="AV79" s="21"/>
      <c r="AW79" s="22"/>
      <c r="BB79" s="162" t="s">
        <v>65</v>
      </c>
      <c r="BQ79" s="74">
        <f>IFERROR(U79*H79/G79,0)</f>
        <v>0</v>
      </c>
      <c r="BR79" s="74">
        <f>IFERROR(V79*H79/G79,0)</f>
        <v>0</v>
      </c>
      <c r="BS79" s="74">
        <f>IFERROR(1/I79*(U79/G79),0)</f>
        <v>0</v>
      </c>
      <c r="BT79" s="74">
        <f>IFERROR(1/I79*(V79/G79),0)</f>
        <v>0</v>
      </c>
      <c r="BU79" s="74">
        <f>IFERROR(W79*H79/G79,0)</f>
        <v>0</v>
      </c>
      <c r="BV79" s="74">
        <f>IFERROR(X79*H79/G79,0)</f>
        <v>0</v>
      </c>
      <c r="BW79" s="74">
        <f>IFERROR(1/I79*(W79/G79),0)</f>
        <v>0</v>
      </c>
      <c r="BX79" s="74">
        <f>IFERROR(1/I79*(X79/G79),0)</f>
        <v>0</v>
      </c>
      <c r="BY79" s="74">
        <f>IFERROR(Y79*H79/G79,0)</f>
        <v>0</v>
      </c>
      <c r="BZ79" s="74">
        <f>IFERROR(Z79*H79/G79,0)</f>
        <v>0</v>
      </c>
      <c r="CA79" s="74">
        <f>IFERROR(1/I79*(Y79/G79),0)</f>
        <v>0</v>
      </c>
      <c r="CB79" s="74">
        <f>IFERROR(1/I79*(Z79/G79),0)</f>
        <v>0</v>
      </c>
      <c r="CC79" s="74">
        <f>IFERROR(AA79*H79/G79,0)</f>
        <v>0</v>
      </c>
      <c r="CD79" s="74">
        <f>IFERROR(AB79*H79/G79,0)</f>
        <v>0</v>
      </c>
      <c r="CE79" s="74">
        <f>IFERROR(1/I79*(AA79/G79),0)</f>
        <v>0</v>
      </c>
      <c r="CF79" s="74">
        <f>IFERROR(1/I79*(AB79/G79),0)</f>
        <v>0</v>
      </c>
      <c r="CG79" s="74">
        <f>IFERROR(AC79*H79/G79,0)</f>
        <v>0</v>
      </c>
      <c r="CH79" s="74">
        <f>IFERROR(AD79*H79/G79,0)</f>
        <v>0</v>
      </c>
      <c r="CI79" s="74">
        <f>IFERROR(1/I79*(AC79/G79),0)</f>
        <v>0</v>
      </c>
      <c r="CJ79" s="74">
        <f>IFERROR(1/I79*(AD79/G79),0)</f>
        <v>0</v>
      </c>
    </row>
    <row r="80" spans="1:88" x14ac:dyDescent="0.2">
      <c r="A80" s="251"/>
      <c r="B80" s="251"/>
      <c r="C80" s="251"/>
      <c r="D80" s="251"/>
      <c r="E80" s="251"/>
      <c r="F80" s="251"/>
      <c r="G80" s="251"/>
      <c r="H80" s="251"/>
      <c r="I80" s="251"/>
      <c r="J80" s="251"/>
      <c r="K80" s="251"/>
      <c r="L80" s="251"/>
      <c r="M80" s="251"/>
      <c r="N80" s="251"/>
      <c r="O80" s="249" t="s">
        <v>43</v>
      </c>
      <c r="P80" s="250"/>
      <c r="Q80" s="250"/>
      <c r="R80" s="250"/>
      <c r="S80" s="250"/>
      <c r="T80" s="40" t="s">
        <v>42</v>
      </c>
      <c r="U80" s="101">
        <f>IFERROR(U79/G79,0)</f>
        <v>0</v>
      </c>
      <c r="V80" s="101">
        <f>IFERROR(V79/G79,0)</f>
        <v>0</v>
      </c>
      <c r="W80" s="101">
        <f>IFERROR(W79/G79,0)</f>
        <v>0</v>
      </c>
      <c r="X80" s="101">
        <f>IFERROR(X79/G79,0)</f>
        <v>0</v>
      </c>
      <c r="Y80" s="101">
        <f>IFERROR(Y79/G79,0)</f>
        <v>0</v>
      </c>
      <c r="Z80" s="101">
        <f>IFERROR(Z79/G79,0)</f>
        <v>0</v>
      </c>
      <c r="AA80" s="101">
        <f>IFERROR(AA79/G79,0)</f>
        <v>0</v>
      </c>
      <c r="AB80" s="101">
        <f>IFERROR(AB79/G79,0)</f>
        <v>0</v>
      </c>
      <c r="AC80" s="101">
        <f>IFERROR(AC79/G79,0)</f>
        <v>0</v>
      </c>
      <c r="AD80" s="101">
        <f>IFERROR(AD79/G79,0)</f>
        <v>0</v>
      </c>
      <c r="AE80" s="101">
        <f>IFERROR(IF(AE79="",0,AE79),0)</f>
        <v>0</v>
      </c>
      <c r="AF80" s="3"/>
      <c r="AG80" s="3"/>
      <c r="AH80" s="3"/>
      <c r="AI80" s="3"/>
      <c r="AJ80" s="3"/>
      <c r="AK80" s="3"/>
      <c r="AL80" s="61"/>
      <c r="AM80" s="61"/>
      <c r="AN80" s="61"/>
      <c r="AO80" s="3"/>
      <c r="AP80" s="3"/>
      <c r="AQ80" s="2"/>
      <c r="AR80" s="2"/>
      <c r="AS80" s="2"/>
      <c r="AT80" s="2"/>
      <c r="AU80" s="21"/>
      <c r="AV80" s="21"/>
      <c r="AW80" s="22"/>
    </row>
    <row r="81" spans="1:88" x14ac:dyDescent="0.2">
      <c r="A81" s="251"/>
      <c r="B81" s="251"/>
      <c r="C81" s="251"/>
      <c r="D81" s="251"/>
      <c r="E81" s="251"/>
      <c r="F81" s="251"/>
      <c r="G81" s="251"/>
      <c r="H81" s="251"/>
      <c r="I81" s="251"/>
      <c r="J81" s="251"/>
      <c r="K81" s="251"/>
      <c r="L81" s="251"/>
      <c r="M81" s="251"/>
      <c r="N81" s="251"/>
      <c r="O81" s="249" t="s">
        <v>43</v>
      </c>
      <c r="P81" s="250"/>
      <c r="Q81" s="250"/>
      <c r="R81" s="250"/>
      <c r="S81" s="250"/>
      <c r="T81" s="40" t="s">
        <v>0</v>
      </c>
      <c r="U81" s="103">
        <f t="shared" ref="U81:AD81" si="11">IFERROR(SUM(U79:U79),0)</f>
        <v>0</v>
      </c>
      <c r="V81" s="103">
        <f t="shared" si="11"/>
        <v>0</v>
      </c>
      <c r="W81" s="103">
        <f t="shared" si="11"/>
        <v>0</v>
      </c>
      <c r="X81" s="103">
        <f t="shared" si="11"/>
        <v>0</v>
      </c>
      <c r="Y81" s="103">
        <f t="shared" si="11"/>
        <v>0</v>
      </c>
      <c r="Z81" s="103">
        <f t="shared" si="11"/>
        <v>0</v>
      </c>
      <c r="AA81" s="103">
        <f t="shared" si="11"/>
        <v>0</v>
      </c>
      <c r="AB81" s="103">
        <f t="shared" si="11"/>
        <v>0</v>
      </c>
      <c r="AC81" s="103">
        <f t="shared" si="11"/>
        <v>0</v>
      </c>
      <c r="AD81" s="103">
        <f t="shared" si="11"/>
        <v>0</v>
      </c>
      <c r="AE81" s="101" t="s">
        <v>57</v>
      </c>
      <c r="AF81" s="3"/>
      <c r="AG81" s="3"/>
      <c r="AH81" s="3"/>
      <c r="AI81" s="3"/>
      <c r="AJ81" s="3"/>
      <c r="AK81" s="3"/>
      <c r="AL81" s="61"/>
      <c r="AM81" s="61"/>
      <c r="AN81" s="61"/>
      <c r="AO81" s="3"/>
      <c r="AP81" s="3"/>
      <c r="AQ81" s="2"/>
      <c r="AR81" s="2"/>
      <c r="AS81" s="2"/>
      <c r="AT81" s="2"/>
      <c r="AU81" s="21"/>
      <c r="AV81" s="21"/>
      <c r="AW81" s="22"/>
    </row>
    <row r="82" spans="1:88" ht="15" x14ac:dyDescent="0.25">
      <c r="A82" s="240" t="s">
        <v>150</v>
      </c>
      <c r="B82" s="241"/>
      <c r="C82" s="241"/>
      <c r="D82" s="241"/>
      <c r="E82" s="241"/>
      <c r="F82" s="241"/>
      <c r="G82" s="241"/>
      <c r="H82" s="241"/>
      <c r="I82" s="241"/>
      <c r="J82" s="241"/>
      <c r="K82" s="241"/>
      <c r="L82" s="241"/>
      <c r="M82" s="241"/>
      <c r="N82" s="241"/>
      <c r="O82" s="241"/>
      <c r="P82" s="241"/>
      <c r="Q82" s="241"/>
      <c r="R82" s="241"/>
      <c r="S82" s="241"/>
      <c r="T82" s="241"/>
      <c r="U82" s="241"/>
      <c r="V82" s="241"/>
      <c r="W82" s="241"/>
      <c r="X82" s="241"/>
      <c r="Y82" s="241"/>
      <c r="Z82" s="241"/>
      <c r="AA82" s="237"/>
      <c r="AB82" s="237"/>
      <c r="AC82" s="237"/>
      <c r="AD82" s="237"/>
      <c r="AE82" s="238"/>
      <c r="AF82" s="237"/>
      <c r="AG82" s="237"/>
      <c r="AH82" s="242"/>
      <c r="AI82" s="2"/>
      <c r="AJ82" s="2"/>
      <c r="AK82" s="60"/>
      <c r="AL82" s="60"/>
      <c r="AM82" s="60"/>
      <c r="AN82" s="2"/>
      <c r="AO82" s="2"/>
      <c r="AP82" s="2"/>
      <c r="AQ82" s="2"/>
      <c r="AR82" s="2"/>
    </row>
    <row r="83" spans="1:88" ht="15" x14ac:dyDescent="0.25">
      <c r="A83" s="243" t="s">
        <v>97</v>
      </c>
      <c r="B83" s="244"/>
      <c r="C83" s="244"/>
      <c r="D83" s="244"/>
      <c r="E83" s="244"/>
      <c r="F83" s="244"/>
      <c r="G83" s="244"/>
      <c r="H83" s="244"/>
      <c r="I83" s="244"/>
      <c r="J83" s="244"/>
      <c r="K83" s="244"/>
      <c r="L83" s="244"/>
      <c r="M83" s="244"/>
      <c r="N83" s="244"/>
      <c r="O83" s="244"/>
      <c r="P83" s="244"/>
      <c r="Q83" s="244"/>
      <c r="R83" s="244"/>
      <c r="S83" s="244"/>
      <c r="T83" s="244"/>
      <c r="U83" s="244"/>
      <c r="V83" s="244"/>
      <c r="W83" s="244"/>
      <c r="X83" s="241"/>
      <c r="Y83" s="241"/>
      <c r="Z83" s="241"/>
      <c r="AA83" s="237"/>
      <c r="AB83" s="237"/>
      <c r="AC83" s="237"/>
      <c r="AD83" s="237"/>
      <c r="AE83" s="238"/>
      <c r="AF83" s="237"/>
      <c r="AG83" s="237"/>
      <c r="AH83" s="245"/>
      <c r="AI83" s="2"/>
      <c r="AJ83" s="2"/>
      <c r="AK83" s="60"/>
      <c r="AL83" s="60"/>
      <c r="AM83" s="60"/>
      <c r="AN83" s="2"/>
      <c r="AO83" s="2"/>
      <c r="AP83" s="2"/>
      <c r="AQ83" s="2"/>
      <c r="AR83" s="2"/>
    </row>
    <row r="84" spans="1:88" x14ac:dyDescent="0.2">
      <c r="A84" s="76" t="s">
        <v>151</v>
      </c>
      <c r="B84" s="77" t="s">
        <v>152</v>
      </c>
      <c r="C84" s="77">
        <v>4301012212</v>
      </c>
      <c r="D84" s="77">
        <v>4680115887077</v>
      </c>
      <c r="E84" s="78">
        <v>1.35</v>
      </c>
      <c r="F84" s="79">
        <v>8</v>
      </c>
      <c r="G84" s="78">
        <v>10.8</v>
      </c>
      <c r="H84" s="78">
        <v>11.21</v>
      </c>
      <c r="I84" s="80">
        <v>64</v>
      </c>
      <c r="J84" s="80" t="s">
        <v>122</v>
      </c>
      <c r="K84" s="81" t="s">
        <v>121</v>
      </c>
      <c r="L84" s="81"/>
      <c r="M84" s="246">
        <v>55</v>
      </c>
      <c r="N84" s="246"/>
      <c r="O84" s="265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P84" s="248"/>
      <c r="Q84" s="248"/>
      <c r="R84" s="248"/>
      <c r="S84" s="248"/>
      <c r="T84" s="82" t="s">
        <v>0</v>
      </c>
      <c r="U84" s="64">
        <v>0</v>
      </c>
      <c r="V84" s="65">
        <f>IFERROR(IF(U84="",0,CEILING((U84/$G84),1)*$G84),"")</f>
        <v>0</v>
      </c>
      <c r="W84" s="64">
        <v>0</v>
      </c>
      <c r="X84" s="65">
        <f>IFERROR(IF(W84="",0,CEILING((W84/$G84),1)*$G84),"")</f>
        <v>0</v>
      </c>
      <c r="Y84" s="64">
        <v>0</v>
      </c>
      <c r="Z84" s="65">
        <f>IFERROR(IF(Y84="",0,CEILING((Y84/$G84),1)*$G84),"")</f>
        <v>0</v>
      </c>
      <c r="AA84" s="64">
        <v>0</v>
      </c>
      <c r="AB84" s="65">
        <f>IFERROR(IF(AA84="",0,CEILING((AA84/$G84),1)*$G84),"")</f>
        <v>0</v>
      </c>
      <c r="AC84" s="64">
        <v>0</v>
      </c>
      <c r="AD84" s="65">
        <f>IFERROR(IF(AC84="",0,CEILING((AC84/$G84),1)*$G84),"")</f>
        <v>0</v>
      </c>
      <c r="AE84" s="66" t="str">
        <f>IF(IFERROR(ROUNDUP(V84/G84,0)*0.01898,0)+IFERROR(ROUNDUP(X84/G84,0)*0.01898,0)+IFERROR(ROUNDUP(Z84/G84,0)*0.01898,0)+IFERROR(ROUNDUP(AB84/G84,0)*0.01898,0)+IFERROR(ROUNDUP(AD84/G84,0)*0.01898,0)=0,"",IFERROR(ROUNDUP(V84/G84,0)*0.01898,0)+IFERROR(ROUNDUP(X84/G84,0)*0.01898,0)+IFERROR(ROUNDUP(Z84/G84,0)*0.01898,0)+IFERROR(ROUNDUP(AB84/G84,0)*0.01898,0)+IFERROR(ROUNDUP(AD84/G84,0)*0.01898,0))</f>
        <v/>
      </c>
      <c r="AF84" s="76" t="s">
        <v>57</v>
      </c>
      <c r="AG84" s="76" t="s">
        <v>57</v>
      </c>
      <c r="AH84" s="165" t="s">
        <v>153</v>
      </c>
      <c r="AI84" s="2"/>
      <c r="AJ84" s="2"/>
      <c r="AK84" s="2"/>
      <c r="AL84" s="60"/>
      <c r="AM84" s="60"/>
      <c r="AN84" s="60"/>
      <c r="AO84" s="2"/>
      <c r="AP84" s="2"/>
      <c r="AQ84" s="2"/>
      <c r="AR84" s="2"/>
      <c r="AS84" s="2"/>
      <c r="AT84" s="2"/>
      <c r="AU84" s="21"/>
      <c r="AV84" s="21"/>
      <c r="AW84" s="22"/>
      <c r="BB84" s="164" t="s">
        <v>65</v>
      </c>
      <c r="BQ84" s="74">
        <f>IFERROR(U84*H84/G84,0)</f>
        <v>0</v>
      </c>
      <c r="BR84" s="74">
        <f>IFERROR(V84*H84/G84,0)</f>
        <v>0</v>
      </c>
      <c r="BS84" s="74">
        <f>IFERROR(1/I84*(U84/G84),0)</f>
        <v>0</v>
      </c>
      <c r="BT84" s="74">
        <f>IFERROR(1/I84*(V84/G84),0)</f>
        <v>0</v>
      </c>
      <c r="BU84" s="74">
        <f>IFERROR(W84*H84/G84,0)</f>
        <v>0</v>
      </c>
      <c r="BV84" s="74">
        <f>IFERROR(X84*H84/G84,0)</f>
        <v>0</v>
      </c>
      <c r="BW84" s="74">
        <f>IFERROR(1/I84*(W84/G84),0)</f>
        <v>0</v>
      </c>
      <c r="BX84" s="74">
        <f>IFERROR(1/I84*(X84/G84),0)</f>
        <v>0</v>
      </c>
      <c r="BY84" s="74">
        <f>IFERROR(Y84*H84/G84,0)</f>
        <v>0</v>
      </c>
      <c r="BZ84" s="74">
        <f>IFERROR(Z84*H84/G84,0)</f>
        <v>0</v>
      </c>
      <c r="CA84" s="74">
        <f>IFERROR(1/I84*(Y84/G84),0)</f>
        <v>0</v>
      </c>
      <c r="CB84" s="74">
        <f>IFERROR(1/I84*(Z84/G84),0)</f>
        <v>0</v>
      </c>
      <c r="CC84" s="74">
        <f>IFERROR(AA84*H84/G84,0)</f>
        <v>0</v>
      </c>
      <c r="CD84" s="74">
        <f>IFERROR(AB84*H84/G84,0)</f>
        <v>0</v>
      </c>
      <c r="CE84" s="74">
        <f>IFERROR(1/I84*(AA84/G84),0)</f>
        <v>0</v>
      </c>
      <c r="CF84" s="74">
        <f>IFERROR(1/I84*(AB84/G84),0)</f>
        <v>0</v>
      </c>
      <c r="CG84" s="74">
        <f>IFERROR(AC84*H84/G84,0)</f>
        <v>0</v>
      </c>
      <c r="CH84" s="74">
        <f>IFERROR(AD84*H84/G84,0)</f>
        <v>0</v>
      </c>
      <c r="CI84" s="74">
        <f>IFERROR(1/I84*(AC84/G84),0)</f>
        <v>0</v>
      </c>
      <c r="CJ84" s="74">
        <f>IFERROR(1/I84*(AD84/G84),0)</f>
        <v>0</v>
      </c>
    </row>
    <row r="85" spans="1:88" x14ac:dyDescent="0.2">
      <c r="A85" s="251"/>
      <c r="B85" s="251"/>
      <c r="C85" s="251"/>
      <c r="D85" s="251"/>
      <c r="E85" s="251"/>
      <c r="F85" s="251"/>
      <c r="G85" s="251"/>
      <c r="H85" s="251"/>
      <c r="I85" s="251"/>
      <c r="J85" s="251"/>
      <c r="K85" s="251"/>
      <c r="L85" s="251"/>
      <c r="M85" s="251"/>
      <c r="N85" s="251"/>
      <c r="O85" s="249" t="s">
        <v>43</v>
      </c>
      <c r="P85" s="250"/>
      <c r="Q85" s="250"/>
      <c r="R85" s="250"/>
      <c r="S85" s="250"/>
      <c r="T85" s="40" t="s">
        <v>42</v>
      </c>
      <c r="U85" s="101">
        <f>IFERROR(U84/G84,0)</f>
        <v>0</v>
      </c>
      <c r="V85" s="101">
        <f>IFERROR(V84/G84,0)</f>
        <v>0</v>
      </c>
      <c r="W85" s="101">
        <f>IFERROR(W84/G84,0)</f>
        <v>0</v>
      </c>
      <c r="X85" s="101">
        <f>IFERROR(X84/G84,0)</f>
        <v>0</v>
      </c>
      <c r="Y85" s="101">
        <f>IFERROR(Y84/G84,0)</f>
        <v>0</v>
      </c>
      <c r="Z85" s="101">
        <f>IFERROR(Z84/G84,0)</f>
        <v>0</v>
      </c>
      <c r="AA85" s="101">
        <f>IFERROR(AA84/G84,0)</f>
        <v>0</v>
      </c>
      <c r="AB85" s="101">
        <f>IFERROR(AB84/G84,0)</f>
        <v>0</v>
      </c>
      <c r="AC85" s="101">
        <f>IFERROR(AC84/G84,0)</f>
        <v>0</v>
      </c>
      <c r="AD85" s="101">
        <f>IFERROR(AD84/G84,0)</f>
        <v>0</v>
      </c>
      <c r="AE85" s="101">
        <f>IFERROR(IF(AE84="",0,AE84),0)</f>
        <v>0</v>
      </c>
      <c r="AF85" s="3"/>
      <c r="AG85" s="3"/>
      <c r="AH85" s="3"/>
      <c r="AI85" s="3"/>
      <c r="AJ85" s="3"/>
      <c r="AK85" s="3"/>
      <c r="AL85" s="61"/>
      <c r="AM85" s="61"/>
      <c r="AN85" s="61"/>
      <c r="AO85" s="3"/>
      <c r="AP85" s="3"/>
      <c r="AQ85" s="2"/>
      <c r="AR85" s="2"/>
      <c r="AS85" s="2"/>
      <c r="AT85" s="2"/>
      <c r="AU85" s="21"/>
      <c r="AV85" s="21"/>
      <c r="AW85" s="22"/>
    </row>
    <row r="86" spans="1:88" x14ac:dyDescent="0.2">
      <c r="A86" s="251"/>
      <c r="B86" s="251"/>
      <c r="C86" s="251"/>
      <c r="D86" s="251"/>
      <c r="E86" s="251"/>
      <c r="F86" s="251"/>
      <c r="G86" s="251"/>
      <c r="H86" s="251"/>
      <c r="I86" s="251"/>
      <c r="J86" s="251"/>
      <c r="K86" s="251"/>
      <c r="L86" s="251"/>
      <c r="M86" s="251"/>
      <c r="N86" s="251"/>
      <c r="O86" s="249" t="s">
        <v>43</v>
      </c>
      <c r="P86" s="250"/>
      <c r="Q86" s="250"/>
      <c r="R86" s="250"/>
      <c r="S86" s="250"/>
      <c r="T86" s="40" t="s">
        <v>0</v>
      </c>
      <c r="U86" s="103">
        <f t="shared" ref="U86:AD86" si="12">IFERROR(SUM(U84:U84),0)</f>
        <v>0</v>
      </c>
      <c r="V86" s="103">
        <f t="shared" si="12"/>
        <v>0</v>
      </c>
      <c r="W86" s="103">
        <f t="shared" si="12"/>
        <v>0</v>
      </c>
      <c r="X86" s="103">
        <f t="shared" si="12"/>
        <v>0</v>
      </c>
      <c r="Y86" s="103">
        <f t="shared" si="12"/>
        <v>0</v>
      </c>
      <c r="Z86" s="103">
        <f t="shared" si="12"/>
        <v>0</v>
      </c>
      <c r="AA86" s="103">
        <f t="shared" si="12"/>
        <v>0</v>
      </c>
      <c r="AB86" s="103">
        <f t="shared" si="12"/>
        <v>0</v>
      </c>
      <c r="AC86" s="103">
        <f t="shared" si="12"/>
        <v>0</v>
      </c>
      <c r="AD86" s="103">
        <f t="shared" si="12"/>
        <v>0</v>
      </c>
      <c r="AE86" s="101" t="s">
        <v>57</v>
      </c>
      <c r="AF86" s="3"/>
      <c r="AG86" s="3"/>
      <c r="AH86" s="3"/>
      <c r="AI86" s="3"/>
      <c r="AJ86" s="3"/>
      <c r="AK86" s="3"/>
      <c r="AL86" s="61"/>
      <c r="AM86" s="61"/>
      <c r="AN86" s="61"/>
      <c r="AO86" s="3"/>
      <c r="AP86" s="3"/>
      <c r="AQ86" s="2"/>
      <c r="AR86" s="2"/>
      <c r="AS86" s="2"/>
      <c r="AT86" s="2"/>
      <c r="AU86" s="21"/>
      <c r="AV86" s="21"/>
      <c r="AW86" s="22"/>
    </row>
    <row r="87" spans="1:88" ht="15" x14ac:dyDescent="0.25">
      <c r="A87" s="240" t="s">
        <v>154</v>
      </c>
      <c r="B87" s="241"/>
      <c r="C87" s="241"/>
      <c r="D87" s="241"/>
      <c r="E87" s="241"/>
      <c r="F87" s="241"/>
      <c r="G87" s="241"/>
      <c r="H87" s="241"/>
      <c r="I87" s="241"/>
      <c r="J87" s="241"/>
      <c r="K87" s="241"/>
      <c r="L87" s="241"/>
      <c r="M87" s="241"/>
      <c r="N87" s="241"/>
      <c r="O87" s="241"/>
      <c r="P87" s="241"/>
      <c r="Q87" s="241"/>
      <c r="R87" s="241"/>
      <c r="S87" s="241"/>
      <c r="T87" s="241"/>
      <c r="U87" s="241"/>
      <c r="V87" s="241"/>
      <c r="W87" s="241"/>
      <c r="X87" s="241"/>
      <c r="Y87" s="241"/>
      <c r="Z87" s="241"/>
      <c r="AA87" s="237"/>
      <c r="AB87" s="237"/>
      <c r="AC87" s="237"/>
      <c r="AD87" s="237"/>
      <c r="AE87" s="238"/>
      <c r="AF87" s="237"/>
      <c r="AG87" s="237"/>
      <c r="AH87" s="242"/>
      <c r="AI87" s="2"/>
      <c r="AJ87" s="2"/>
      <c r="AK87" s="60"/>
      <c r="AL87" s="60"/>
      <c r="AM87" s="60"/>
      <c r="AN87" s="2"/>
      <c r="AO87" s="2"/>
      <c r="AP87" s="2"/>
      <c r="AQ87" s="2"/>
      <c r="AR87" s="2"/>
    </row>
    <row r="88" spans="1:88" ht="15" x14ac:dyDescent="0.25">
      <c r="A88" s="243" t="s">
        <v>129</v>
      </c>
      <c r="B88" s="244"/>
      <c r="C88" s="244"/>
      <c r="D88" s="244"/>
      <c r="E88" s="244"/>
      <c r="F88" s="244"/>
      <c r="G88" s="244"/>
      <c r="H88" s="244"/>
      <c r="I88" s="244"/>
      <c r="J88" s="244"/>
      <c r="K88" s="244"/>
      <c r="L88" s="244"/>
      <c r="M88" s="244"/>
      <c r="N88" s="244"/>
      <c r="O88" s="244"/>
      <c r="P88" s="244"/>
      <c r="Q88" s="244"/>
      <c r="R88" s="244"/>
      <c r="S88" s="244"/>
      <c r="T88" s="244"/>
      <c r="U88" s="244"/>
      <c r="V88" s="244"/>
      <c r="W88" s="244"/>
      <c r="X88" s="241"/>
      <c r="Y88" s="241"/>
      <c r="Z88" s="241"/>
      <c r="AA88" s="237"/>
      <c r="AB88" s="237"/>
      <c r="AC88" s="237"/>
      <c r="AD88" s="237"/>
      <c r="AE88" s="238"/>
      <c r="AF88" s="237"/>
      <c r="AG88" s="237"/>
      <c r="AH88" s="245"/>
      <c r="AI88" s="2"/>
      <c r="AJ88" s="2"/>
      <c r="AK88" s="60"/>
      <c r="AL88" s="60"/>
      <c r="AM88" s="60"/>
      <c r="AN88" s="2"/>
      <c r="AO88" s="2"/>
      <c r="AP88" s="2"/>
      <c r="AQ88" s="2"/>
      <c r="AR88" s="2"/>
    </row>
    <row r="89" spans="1:88" x14ac:dyDescent="0.2">
      <c r="A89" s="76" t="s">
        <v>155</v>
      </c>
      <c r="B89" s="77" t="s">
        <v>156</v>
      </c>
      <c r="C89" s="77">
        <v>4301031307</v>
      </c>
      <c r="D89" s="77">
        <v>4680115880344</v>
      </c>
      <c r="E89" s="78">
        <v>0.28000000000000003</v>
      </c>
      <c r="F89" s="79">
        <v>6</v>
      </c>
      <c r="G89" s="78">
        <v>1.68</v>
      </c>
      <c r="H89" s="78">
        <v>1.78</v>
      </c>
      <c r="I89" s="80">
        <v>234</v>
      </c>
      <c r="J89" s="80" t="s">
        <v>157</v>
      </c>
      <c r="K89" s="81" t="s">
        <v>100</v>
      </c>
      <c r="L89" s="81"/>
      <c r="M89" s="246">
        <v>40</v>
      </c>
      <c r="N89" s="246"/>
      <c r="O89" s="26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P89" s="248"/>
      <c r="Q89" s="248"/>
      <c r="R89" s="248"/>
      <c r="S89" s="248"/>
      <c r="T89" s="82" t="s">
        <v>0</v>
      </c>
      <c r="U89" s="64">
        <v>0</v>
      </c>
      <c r="V89" s="65">
        <f>IFERROR(IF(U89="",0,CEILING((U89/$G89),1)*$G89),"")</f>
        <v>0</v>
      </c>
      <c r="W89" s="64">
        <v>0</v>
      </c>
      <c r="X89" s="65">
        <f>IFERROR(IF(W89="",0,CEILING((W89/$G89),1)*$G89),"")</f>
        <v>0</v>
      </c>
      <c r="Y89" s="64">
        <v>0</v>
      </c>
      <c r="Z89" s="65">
        <f>IFERROR(IF(Y89="",0,CEILING((Y89/$G89),1)*$G89),"")</f>
        <v>0</v>
      </c>
      <c r="AA89" s="64">
        <v>0</v>
      </c>
      <c r="AB89" s="65">
        <f>IFERROR(IF(AA89="",0,CEILING((AA89/$G89),1)*$G89),"")</f>
        <v>0</v>
      </c>
      <c r="AC89" s="64">
        <v>0</v>
      </c>
      <c r="AD89" s="65">
        <f>IFERROR(IF(AC89="",0,CEILING((AC89/$G89),1)*$G89),"")</f>
        <v>0</v>
      </c>
      <c r="AE89" s="66" t="str">
        <f>IF(IFERROR(ROUNDUP(V89/G89,0)*0.00502,0)+IFERROR(ROUNDUP(X89/G89,0)*0.00502,0)+IFERROR(ROUNDUP(Z89/G89,0)*0.00502,0)+IFERROR(ROUNDUP(AB89/G89,0)*0.00502,0)+IFERROR(ROUNDUP(AD89/G89,0)*0.00502,0)=0,"",IFERROR(ROUNDUP(V89/G89,0)*0.00502,0)+IFERROR(ROUNDUP(X89/G89,0)*0.00502,0)+IFERROR(ROUNDUP(Z89/G89,0)*0.00502,0)+IFERROR(ROUNDUP(AB89/G89,0)*0.00502,0)+IFERROR(ROUNDUP(AD89/G89,0)*0.00502,0))</f>
        <v/>
      </c>
      <c r="AF89" s="76" t="s">
        <v>57</v>
      </c>
      <c r="AG89" s="76" t="s">
        <v>57</v>
      </c>
      <c r="AH89" s="167" t="s">
        <v>158</v>
      </c>
      <c r="AI89" s="2"/>
      <c r="AJ89" s="2"/>
      <c r="AK89" s="2"/>
      <c r="AL89" s="60"/>
      <c r="AM89" s="60"/>
      <c r="AN89" s="60"/>
      <c r="AO89" s="2"/>
      <c r="AP89" s="2"/>
      <c r="AQ89" s="2"/>
      <c r="AR89" s="2"/>
      <c r="AS89" s="2"/>
      <c r="AT89" s="2"/>
      <c r="AU89" s="21"/>
      <c r="AV89" s="21"/>
      <c r="AW89" s="22"/>
      <c r="BB89" s="166" t="s">
        <v>65</v>
      </c>
      <c r="BQ89" s="74">
        <f>IFERROR(U89*H89/G89,0)</f>
        <v>0</v>
      </c>
      <c r="BR89" s="74">
        <f>IFERROR(V89*H89/G89,0)</f>
        <v>0</v>
      </c>
      <c r="BS89" s="74">
        <f>IFERROR(1/I89*(U89/G89),0)</f>
        <v>0</v>
      </c>
      <c r="BT89" s="74">
        <f>IFERROR(1/I89*(V89/G89),0)</f>
        <v>0</v>
      </c>
      <c r="BU89" s="74">
        <f>IFERROR(W89*H89/G89,0)</f>
        <v>0</v>
      </c>
      <c r="BV89" s="74">
        <f>IFERROR(X89*H89/G89,0)</f>
        <v>0</v>
      </c>
      <c r="BW89" s="74">
        <f>IFERROR(1/I89*(W89/G89),0)</f>
        <v>0</v>
      </c>
      <c r="BX89" s="74">
        <f>IFERROR(1/I89*(X89/G89),0)</f>
        <v>0</v>
      </c>
      <c r="BY89" s="74">
        <f>IFERROR(Y89*H89/G89,0)</f>
        <v>0</v>
      </c>
      <c r="BZ89" s="74">
        <f>IFERROR(Z89*H89/G89,0)</f>
        <v>0</v>
      </c>
      <c r="CA89" s="74">
        <f>IFERROR(1/I89*(Y89/G89),0)</f>
        <v>0</v>
      </c>
      <c r="CB89" s="74">
        <f>IFERROR(1/I89*(Z89/G89),0)</f>
        <v>0</v>
      </c>
      <c r="CC89" s="74">
        <f>IFERROR(AA89*H89/G89,0)</f>
        <v>0</v>
      </c>
      <c r="CD89" s="74">
        <f>IFERROR(AB89*H89/G89,0)</f>
        <v>0</v>
      </c>
      <c r="CE89" s="74">
        <f>IFERROR(1/I89*(AA89/G89),0)</f>
        <v>0</v>
      </c>
      <c r="CF89" s="74">
        <f>IFERROR(1/I89*(AB89/G89),0)</f>
        <v>0</v>
      </c>
      <c r="CG89" s="74">
        <f>IFERROR(AC89*H89/G89,0)</f>
        <v>0</v>
      </c>
      <c r="CH89" s="74">
        <f>IFERROR(AD89*H89/G89,0)</f>
        <v>0</v>
      </c>
      <c r="CI89" s="74">
        <f>IFERROR(1/I89*(AC89/G89),0)</f>
        <v>0</v>
      </c>
      <c r="CJ89" s="74">
        <f>IFERROR(1/I89*(AD89/G89),0)</f>
        <v>0</v>
      </c>
    </row>
    <row r="90" spans="1:88" x14ac:dyDescent="0.2">
      <c r="A90" s="76" t="s">
        <v>159</v>
      </c>
      <c r="B90" s="77" t="s">
        <v>160</v>
      </c>
      <c r="C90" s="77">
        <v>4301031501</v>
      </c>
      <c r="D90" s="77">
        <v>4680115886919</v>
      </c>
      <c r="E90" s="78">
        <v>0.4</v>
      </c>
      <c r="F90" s="79">
        <v>6</v>
      </c>
      <c r="G90" s="78">
        <v>2.4</v>
      </c>
      <c r="H90" s="78">
        <v>2.58</v>
      </c>
      <c r="I90" s="80">
        <v>182</v>
      </c>
      <c r="J90" s="80" t="s">
        <v>87</v>
      </c>
      <c r="K90" s="81" t="s">
        <v>100</v>
      </c>
      <c r="L90" s="81"/>
      <c r="M90" s="246">
        <v>40</v>
      </c>
      <c r="N90" s="246"/>
      <c r="O90" s="26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P90" s="248"/>
      <c r="Q90" s="248"/>
      <c r="R90" s="248"/>
      <c r="S90" s="248"/>
      <c r="T90" s="82" t="s">
        <v>0</v>
      </c>
      <c r="U90" s="64">
        <v>0</v>
      </c>
      <c r="V90" s="65">
        <f>IFERROR(IF(U90="",0,CEILING((U90/$G90),1)*$G90),"")</f>
        <v>0</v>
      </c>
      <c r="W90" s="64">
        <v>0</v>
      </c>
      <c r="X90" s="65">
        <f>IFERROR(IF(W90="",0,CEILING((W90/$G90),1)*$G90),"")</f>
        <v>0</v>
      </c>
      <c r="Y90" s="64">
        <v>200</v>
      </c>
      <c r="Z90" s="65">
        <f>IFERROR(IF(Y90="",0,CEILING((Y90/$G90),1)*$G90),"")</f>
        <v>201.6</v>
      </c>
      <c r="AA90" s="64">
        <v>0</v>
      </c>
      <c r="AB90" s="65">
        <f>IFERROR(IF(AA90="",0,CEILING((AA90/$G90),1)*$G90),"")</f>
        <v>0</v>
      </c>
      <c r="AC90" s="64">
        <v>0</v>
      </c>
      <c r="AD90" s="65">
        <f>IFERROR(IF(AC90="",0,CEILING((AC90/$G90),1)*$G90),"")</f>
        <v>0</v>
      </c>
      <c r="AE90" s="66">
        <f>IF(IFERROR(ROUNDUP(V90/G90,0)*0.00651,0)+IFERROR(ROUNDUP(X90/G90,0)*0.00651,0)+IFERROR(ROUNDUP(Z90/G90,0)*0.00651,0)+IFERROR(ROUNDUP(AB90/G90,0)*0.00651,0)+IFERROR(ROUNDUP(AD90/G90,0)*0.00651,0)=0,"",IFERROR(ROUNDUP(V90/G90,0)*0.00651,0)+IFERROR(ROUNDUP(X90/G90,0)*0.00651,0)+IFERROR(ROUNDUP(Z90/G90,0)*0.00651,0)+IFERROR(ROUNDUP(AB90/G90,0)*0.00651,0)+IFERROR(ROUNDUP(AD90/G90,0)*0.00651,0))</f>
        <v>0.54683999999999999</v>
      </c>
      <c r="AF90" s="76" t="s">
        <v>57</v>
      </c>
      <c r="AG90" s="76" t="s">
        <v>57</v>
      </c>
      <c r="AH90" s="169" t="s">
        <v>161</v>
      </c>
      <c r="AI90" s="2"/>
      <c r="AJ90" s="2"/>
      <c r="AK90" s="2"/>
      <c r="AL90" s="60"/>
      <c r="AM90" s="60"/>
      <c r="AN90" s="60"/>
      <c r="AO90" s="2"/>
      <c r="AP90" s="2"/>
      <c r="AQ90" s="2"/>
      <c r="AR90" s="2"/>
      <c r="AS90" s="2"/>
      <c r="AT90" s="2"/>
      <c r="AU90" s="21"/>
      <c r="AV90" s="21"/>
      <c r="AW90" s="22"/>
      <c r="BB90" s="168" t="s">
        <v>65</v>
      </c>
      <c r="BQ90" s="74">
        <f>IFERROR(U90*H90/G90,0)</f>
        <v>0</v>
      </c>
      <c r="BR90" s="74">
        <f>IFERROR(V90*H90/G90,0)</f>
        <v>0</v>
      </c>
      <c r="BS90" s="74">
        <f>IFERROR(1/I90*(U90/G90),0)</f>
        <v>0</v>
      </c>
      <c r="BT90" s="74">
        <f>IFERROR(1/I90*(V90/G90),0)</f>
        <v>0</v>
      </c>
      <c r="BU90" s="74">
        <f>IFERROR(W90*H90/G90,0)</f>
        <v>0</v>
      </c>
      <c r="BV90" s="74">
        <f>IFERROR(X90*H90/G90,0)</f>
        <v>0</v>
      </c>
      <c r="BW90" s="74">
        <f>IFERROR(1/I90*(W90/G90),0)</f>
        <v>0</v>
      </c>
      <c r="BX90" s="74">
        <f>IFERROR(1/I90*(X90/G90),0)</f>
        <v>0</v>
      </c>
      <c r="BY90" s="74">
        <f>IFERROR(Y90*H90/G90,0)</f>
        <v>215</v>
      </c>
      <c r="BZ90" s="74">
        <f>IFERROR(Z90*H90/G90,0)</f>
        <v>216.72000000000003</v>
      </c>
      <c r="CA90" s="74">
        <f>IFERROR(1/I90*(Y90/G90),0)</f>
        <v>0.45787545787545797</v>
      </c>
      <c r="CB90" s="74">
        <f>IFERROR(1/I90*(Z90/G90),0)</f>
        <v>0.46153846153846156</v>
      </c>
      <c r="CC90" s="74">
        <f>IFERROR(AA90*H90/G90,0)</f>
        <v>0</v>
      </c>
      <c r="CD90" s="74">
        <f>IFERROR(AB90*H90/G90,0)</f>
        <v>0</v>
      </c>
      <c r="CE90" s="74">
        <f>IFERROR(1/I90*(AA90/G90),0)</f>
        <v>0</v>
      </c>
      <c r="CF90" s="74">
        <f>IFERROR(1/I90*(AB90/G90),0)</f>
        <v>0</v>
      </c>
      <c r="CG90" s="74">
        <f>IFERROR(AC90*H90/G90,0)</f>
        <v>0</v>
      </c>
      <c r="CH90" s="74">
        <f>IFERROR(AD90*H90/G90,0)</f>
        <v>0</v>
      </c>
      <c r="CI90" s="74">
        <f>IFERROR(1/I90*(AC90/G90),0)</f>
        <v>0</v>
      </c>
      <c r="CJ90" s="74">
        <f>IFERROR(1/I90*(AD90/G90),0)</f>
        <v>0</v>
      </c>
    </row>
    <row r="91" spans="1:88" x14ac:dyDescent="0.2">
      <c r="A91" s="251"/>
      <c r="B91" s="251"/>
      <c r="C91" s="251"/>
      <c r="D91" s="251"/>
      <c r="E91" s="251"/>
      <c r="F91" s="251"/>
      <c r="G91" s="251"/>
      <c r="H91" s="251"/>
      <c r="I91" s="251"/>
      <c r="J91" s="251"/>
      <c r="K91" s="251"/>
      <c r="L91" s="251"/>
      <c r="M91" s="251"/>
      <c r="N91" s="251"/>
      <c r="O91" s="249" t="s">
        <v>43</v>
      </c>
      <c r="P91" s="250"/>
      <c r="Q91" s="250"/>
      <c r="R91" s="250"/>
      <c r="S91" s="250"/>
      <c r="T91" s="40" t="s">
        <v>42</v>
      </c>
      <c r="U91" s="101">
        <f>IFERROR(U89/G89,0)+IFERROR(U90/G90,0)</f>
        <v>0</v>
      </c>
      <c r="V91" s="101">
        <f>IFERROR(V89/G89,0)+IFERROR(V90/G90,0)</f>
        <v>0</v>
      </c>
      <c r="W91" s="101">
        <f>IFERROR(W89/G89,0)+IFERROR(W90/G90,0)</f>
        <v>0</v>
      </c>
      <c r="X91" s="101">
        <f>IFERROR(X89/G89,0)+IFERROR(X90/G90,0)</f>
        <v>0</v>
      </c>
      <c r="Y91" s="101">
        <f>IFERROR(Y89/G89,0)+IFERROR(Y90/G90,0)</f>
        <v>83.333333333333343</v>
      </c>
      <c r="Z91" s="101">
        <f>IFERROR(Z89/G89,0)+IFERROR(Z90/G90,0)</f>
        <v>84</v>
      </c>
      <c r="AA91" s="101">
        <f>IFERROR(AA89/G89,0)+IFERROR(AA90/G90,0)</f>
        <v>0</v>
      </c>
      <c r="AB91" s="101">
        <f>IFERROR(AB89/G89,0)+IFERROR(AB90/G90,0)</f>
        <v>0</v>
      </c>
      <c r="AC91" s="101">
        <f>IFERROR(AC89/G89,0)+IFERROR(AC90/G90,0)</f>
        <v>0</v>
      </c>
      <c r="AD91" s="101">
        <f>IFERROR(AD89/G89,0)+IFERROR(AD90/G90,0)</f>
        <v>0</v>
      </c>
      <c r="AE91" s="101">
        <f>IFERROR(IF(AE89="",0,AE89),0)+IFERROR(IF(AE90="",0,AE90),0)</f>
        <v>0.54683999999999999</v>
      </c>
      <c r="AF91" s="3"/>
      <c r="AG91" s="3"/>
      <c r="AH91" s="3"/>
      <c r="AI91" s="3"/>
      <c r="AJ91" s="3"/>
      <c r="AK91" s="3"/>
      <c r="AL91" s="61"/>
      <c r="AM91" s="61"/>
      <c r="AN91" s="61"/>
      <c r="AO91" s="3"/>
      <c r="AP91" s="3"/>
      <c r="AQ91" s="2"/>
      <c r="AR91" s="2"/>
      <c r="AS91" s="2"/>
      <c r="AT91" s="2"/>
      <c r="AU91" s="21"/>
      <c r="AV91" s="21"/>
      <c r="AW91" s="22"/>
    </row>
    <row r="92" spans="1:88" x14ac:dyDescent="0.2">
      <c r="A92" s="251"/>
      <c r="B92" s="251"/>
      <c r="C92" s="251"/>
      <c r="D92" s="251"/>
      <c r="E92" s="251"/>
      <c r="F92" s="251"/>
      <c r="G92" s="251"/>
      <c r="H92" s="251"/>
      <c r="I92" s="251"/>
      <c r="J92" s="251"/>
      <c r="K92" s="251"/>
      <c r="L92" s="251"/>
      <c r="M92" s="251"/>
      <c r="N92" s="251"/>
      <c r="O92" s="249" t="s">
        <v>43</v>
      </c>
      <c r="P92" s="250"/>
      <c r="Q92" s="250"/>
      <c r="R92" s="250"/>
      <c r="S92" s="250"/>
      <c r="T92" s="40" t="s">
        <v>0</v>
      </c>
      <c r="U92" s="103">
        <f t="shared" ref="U92:AD92" si="13">IFERROR(SUM(U89:U90),0)</f>
        <v>0</v>
      </c>
      <c r="V92" s="103">
        <f t="shared" si="13"/>
        <v>0</v>
      </c>
      <c r="W92" s="103">
        <f t="shared" si="13"/>
        <v>0</v>
      </c>
      <c r="X92" s="103">
        <f t="shared" si="13"/>
        <v>0</v>
      </c>
      <c r="Y92" s="103">
        <f t="shared" si="13"/>
        <v>200</v>
      </c>
      <c r="Z92" s="103">
        <f t="shared" si="13"/>
        <v>201.6</v>
      </c>
      <c r="AA92" s="103">
        <f t="shared" si="13"/>
        <v>0</v>
      </c>
      <c r="AB92" s="103">
        <f t="shared" si="13"/>
        <v>0</v>
      </c>
      <c r="AC92" s="103">
        <f t="shared" si="13"/>
        <v>0</v>
      </c>
      <c r="AD92" s="103">
        <f t="shared" si="13"/>
        <v>0</v>
      </c>
      <c r="AE92" s="101" t="s">
        <v>57</v>
      </c>
      <c r="AF92" s="3"/>
      <c r="AG92" s="3"/>
      <c r="AH92" s="3"/>
      <c r="AI92" s="3"/>
      <c r="AJ92" s="3"/>
      <c r="AK92" s="3"/>
      <c r="AL92" s="61"/>
      <c r="AM92" s="61"/>
      <c r="AN92" s="61"/>
      <c r="AO92" s="3"/>
      <c r="AP92" s="3"/>
      <c r="AQ92" s="2"/>
      <c r="AR92" s="2"/>
      <c r="AS92" s="2"/>
      <c r="AT92" s="2"/>
      <c r="AU92" s="21"/>
      <c r="AV92" s="21"/>
      <c r="AW92" s="22"/>
    </row>
    <row r="93" spans="1:88" ht="15" x14ac:dyDescent="0.25">
      <c r="A93" s="243" t="s">
        <v>83</v>
      </c>
      <c r="B93" s="244"/>
      <c r="C93" s="244"/>
      <c r="D93" s="244"/>
      <c r="E93" s="244"/>
      <c r="F93" s="244"/>
      <c r="G93" s="244"/>
      <c r="H93" s="244"/>
      <c r="I93" s="244"/>
      <c r="J93" s="244"/>
      <c r="K93" s="244"/>
      <c r="L93" s="244"/>
      <c r="M93" s="244"/>
      <c r="N93" s="244"/>
      <c r="O93" s="244"/>
      <c r="P93" s="244"/>
      <c r="Q93" s="244"/>
      <c r="R93" s="244"/>
      <c r="S93" s="244"/>
      <c r="T93" s="244"/>
      <c r="U93" s="244"/>
      <c r="V93" s="244"/>
      <c r="W93" s="244"/>
      <c r="X93" s="241"/>
      <c r="Y93" s="241"/>
      <c r="Z93" s="241"/>
      <c r="AA93" s="237"/>
      <c r="AB93" s="237"/>
      <c r="AC93" s="237"/>
      <c r="AD93" s="237"/>
      <c r="AE93" s="238"/>
      <c r="AF93" s="237"/>
      <c r="AG93" s="237"/>
      <c r="AH93" s="245"/>
      <c r="AI93" s="2"/>
      <c r="AJ93" s="2"/>
      <c r="AK93" s="60"/>
      <c r="AL93" s="60"/>
      <c r="AM93" s="60"/>
      <c r="AN93" s="2"/>
      <c r="AO93" s="2"/>
      <c r="AP93" s="2"/>
      <c r="AQ93" s="2"/>
      <c r="AR93" s="2"/>
    </row>
    <row r="94" spans="1:88" ht="22.5" x14ac:dyDescent="0.2">
      <c r="A94" s="76" t="s">
        <v>162</v>
      </c>
      <c r="B94" s="77" t="s">
        <v>163</v>
      </c>
      <c r="C94" s="77">
        <v>4301052066</v>
      </c>
      <c r="D94" s="77">
        <v>4680115887466</v>
      </c>
      <c r="E94" s="78">
        <v>0.7</v>
      </c>
      <c r="F94" s="79">
        <v>6</v>
      </c>
      <c r="G94" s="78">
        <v>4.2</v>
      </c>
      <c r="H94" s="78">
        <v>4.6159999999999997</v>
      </c>
      <c r="I94" s="80">
        <v>104</v>
      </c>
      <c r="J94" s="80" t="s">
        <v>122</v>
      </c>
      <c r="K94" s="81" t="s">
        <v>93</v>
      </c>
      <c r="L94" s="81"/>
      <c r="M94" s="246">
        <v>45</v>
      </c>
      <c r="N94" s="246"/>
      <c r="O94" s="268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P94" s="248"/>
      <c r="Q94" s="248"/>
      <c r="R94" s="248"/>
      <c r="S94" s="248"/>
      <c r="T94" s="82" t="s">
        <v>0</v>
      </c>
      <c r="U94" s="64">
        <v>200</v>
      </c>
      <c r="V94" s="65">
        <f>IFERROR(IF(U94="",0,CEILING((U94/$G94),1)*$G94),"")</f>
        <v>201.60000000000002</v>
      </c>
      <c r="W94" s="64">
        <v>0</v>
      </c>
      <c r="X94" s="65">
        <f>IFERROR(IF(W94="",0,CEILING((W94/$G94),1)*$G94),"")</f>
        <v>0</v>
      </c>
      <c r="Y94" s="64">
        <v>0</v>
      </c>
      <c r="Z94" s="65">
        <f>IFERROR(IF(Y94="",0,CEILING((Y94/$G94),1)*$G94),"")</f>
        <v>0</v>
      </c>
      <c r="AA94" s="64">
        <v>0</v>
      </c>
      <c r="AB94" s="65">
        <f>IFERROR(IF(AA94="",0,CEILING((AA94/$G94),1)*$G94),"")</f>
        <v>0</v>
      </c>
      <c r="AC94" s="64">
        <v>0</v>
      </c>
      <c r="AD94" s="65">
        <f>IFERROR(IF(AC94="",0,CEILING((AC94/$G94),1)*$G94),"")</f>
        <v>0</v>
      </c>
      <c r="AE94" s="66">
        <f>IF(IFERROR(ROUNDUP(V94/G94,0)*0.01196,0)+IFERROR(ROUNDUP(X94/G94,0)*0.01196,0)+IFERROR(ROUNDUP(Z94/G94,0)*0.01196,0)+IFERROR(ROUNDUP(AB94/G94,0)*0.01196,0)+IFERROR(ROUNDUP(AD94/G94,0)*0.01196,0)=0,"",IFERROR(ROUNDUP(V94/G94,0)*0.01196,0)+IFERROR(ROUNDUP(X94/G94,0)*0.01196,0)+IFERROR(ROUNDUP(Z94/G94,0)*0.01196,0)+IFERROR(ROUNDUP(AB94/G94,0)*0.01196,0)+IFERROR(ROUNDUP(AD94/G94,0)*0.01196,0))</f>
        <v>0.57408000000000003</v>
      </c>
      <c r="AF94" s="76" t="s">
        <v>57</v>
      </c>
      <c r="AG94" s="76" t="s">
        <v>57</v>
      </c>
      <c r="AH94" s="171" t="s">
        <v>164</v>
      </c>
      <c r="AI94" s="2"/>
      <c r="AJ94" s="2"/>
      <c r="AK94" s="2"/>
      <c r="AL94" s="60"/>
      <c r="AM94" s="60"/>
      <c r="AN94" s="60"/>
      <c r="AO94" s="2"/>
      <c r="AP94" s="2"/>
      <c r="AQ94" s="2"/>
      <c r="AR94" s="2"/>
      <c r="AS94" s="2"/>
      <c r="AT94" s="2"/>
      <c r="AU94" s="21"/>
      <c r="AV94" s="21"/>
      <c r="AW94" s="22"/>
      <c r="BB94" s="170" t="s">
        <v>65</v>
      </c>
      <c r="BQ94" s="74">
        <f>IFERROR(U94*H94/G94,0)</f>
        <v>219.8095238095238</v>
      </c>
      <c r="BR94" s="74">
        <f>IFERROR(V94*H94/G94,0)</f>
        <v>221.56799999999998</v>
      </c>
      <c r="BS94" s="74">
        <f>IFERROR(1/I94*(U94/G94),0)</f>
        <v>0.45787545787545791</v>
      </c>
      <c r="BT94" s="74">
        <f>IFERROR(1/I94*(V94/G94),0)</f>
        <v>0.46153846153846156</v>
      </c>
      <c r="BU94" s="74">
        <f>IFERROR(W94*H94/G94,0)</f>
        <v>0</v>
      </c>
      <c r="BV94" s="74">
        <f>IFERROR(X94*H94/G94,0)</f>
        <v>0</v>
      </c>
      <c r="BW94" s="74">
        <f>IFERROR(1/I94*(W94/G94),0)</f>
        <v>0</v>
      </c>
      <c r="BX94" s="74">
        <f>IFERROR(1/I94*(X94/G94),0)</f>
        <v>0</v>
      </c>
      <c r="BY94" s="74">
        <f>IFERROR(Y94*H94/G94,0)</f>
        <v>0</v>
      </c>
      <c r="BZ94" s="74">
        <f>IFERROR(Z94*H94/G94,0)</f>
        <v>0</v>
      </c>
      <c r="CA94" s="74">
        <f>IFERROR(1/I94*(Y94/G94),0)</f>
        <v>0</v>
      </c>
      <c r="CB94" s="74">
        <f>IFERROR(1/I94*(Z94/G94),0)</f>
        <v>0</v>
      </c>
      <c r="CC94" s="74">
        <f>IFERROR(AA94*H94/G94,0)</f>
        <v>0</v>
      </c>
      <c r="CD94" s="74">
        <f>IFERROR(AB94*H94/G94,0)</f>
        <v>0</v>
      </c>
      <c r="CE94" s="74">
        <f>IFERROR(1/I94*(AA94/G94),0)</f>
        <v>0</v>
      </c>
      <c r="CF94" s="74">
        <f>IFERROR(1/I94*(AB94/G94),0)</f>
        <v>0</v>
      </c>
      <c r="CG94" s="74">
        <f>IFERROR(AC94*H94/G94,0)</f>
        <v>0</v>
      </c>
      <c r="CH94" s="74">
        <f>IFERROR(AD94*H94/G94,0)</f>
        <v>0</v>
      </c>
      <c r="CI94" s="74">
        <f>IFERROR(1/I94*(AC94/G94),0)</f>
        <v>0</v>
      </c>
      <c r="CJ94" s="74">
        <f>IFERROR(1/I94*(AD94/G94),0)</f>
        <v>0</v>
      </c>
    </row>
    <row r="95" spans="1:88" ht="22.5" x14ac:dyDescent="0.2">
      <c r="A95" s="76" t="s">
        <v>162</v>
      </c>
      <c r="B95" s="77" t="s">
        <v>163</v>
      </c>
      <c r="C95" s="77">
        <v>4301052067</v>
      </c>
      <c r="D95" s="77">
        <v>4680115887466</v>
      </c>
      <c r="E95" s="78">
        <v>0.7</v>
      </c>
      <c r="F95" s="79">
        <v>6</v>
      </c>
      <c r="G95" s="78">
        <v>4.2</v>
      </c>
      <c r="H95" s="78">
        <v>4.6159999999999997</v>
      </c>
      <c r="I95" s="80">
        <v>104</v>
      </c>
      <c r="J95" s="80" t="s">
        <v>122</v>
      </c>
      <c r="K95" s="81" t="s">
        <v>86</v>
      </c>
      <c r="L95" s="81"/>
      <c r="M95" s="246">
        <v>45</v>
      </c>
      <c r="N95" s="246"/>
      <c r="O95" s="269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P95" s="248"/>
      <c r="Q95" s="248"/>
      <c r="R95" s="248"/>
      <c r="S95" s="248"/>
      <c r="T95" s="82" t="s">
        <v>0</v>
      </c>
      <c r="U95" s="64">
        <v>0</v>
      </c>
      <c r="V95" s="65">
        <f>IFERROR(IF(U95="",0,CEILING((U95/$G95),1)*$G95),"")</f>
        <v>0</v>
      </c>
      <c r="W95" s="64">
        <v>0</v>
      </c>
      <c r="X95" s="65">
        <f>IFERROR(IF(W95="",0,CEILING((W95/$G95),1)*$G95),"")</f>
        <v>0</v>
      </c>
      <c r="Y95" s="64">
        <v>0</v>
      </c>
      <c r="Z95" s="65">
        <f>IFERROR(IF(Y95="",0,CEILING((Y95/$G95),1)*$G95),"")</f>
        <v>0</v>
      </c>
      <c r="AA95" s="64">
        <v>0</v>
      </c>
      <c r="AB95" s="65">
        <f>IFERROR(IF(AA95="",0,CEILING((AA95/$G95),1)*$G95),"")</f>
        <v>0</v>
      </c>
      <c r="AC95" s="64">
        <v>0</v>
      </c>
      <c r="AD95" s="65">
        <f>IFERROR(IF(AC95="",0,CEILING((AC95/$G95),1)*$G95),"")</f>
        <v>0</v>
      </c>
      <c r="AE95" s="66" t="str">
        <f>IF(IFERROR(ROUNDUP(V95/G95,0)*0.01196,0)+IFERROR(ROUNDUP(X95/G95,0)*0.01196,0)+IFERROR(ROUNDUP(Z95/G95,0)*0.01196,0)+IFERROR(ROUNDUP(AB95/G95,0)*0.01196,0)+IFERROR(ROUNDUP(AD95/G95,0)*0.01196,0)=0,"",IFERROR(ROUNDUP(V95/G95,0)*0.01196,0)+IFERROR(ROUNDUP(X95/G95,0)*0.01196,0)+IFERROR(ROUNDUP(Z95/G95,0)*0.01196,0)+IFERROR(ROUNDUP(AB95/G95,0)*0.01196,0)+IFERROR(ROUNDUP(AD95/G95,0)*0.01196,0))</f>
        <v/>
      </c>
      <c r="AF95" s="76" t="s">
        <v>57</v>
      </c>
      <c r="AG95" s="76" t="s">
        <v>57</v>
      </c>
      <c r="AH95" s="173" t="s">
        <v>164</v>
      </c>
      <c r="AI95" s="2"/>
      <c r="AJ95" s="2"/>
      <c r="AK95" s="2"/>
      <c r="AL95" s="60"/>
      <c r="AM95" s="60"/>
      <c r="AN95" s="60"/>
      <c r="AO95" s="2"/>
      <c r="AP95" s="2"/>
      <c r="AQ95" s="2"/>
      <c r="AR95" s="2"/>
      <c r="AS95" s="2"/>
      <c r="AT95" s="2"/>
      <c r="AU95" s="21"/>
      <c r="AV95" s="21"/>
      <c r="AW95" s="22"/>
      <c r="BB95" s="172" t="s">
        <v>65</v>
      </c>
      <c r="BQ95" s="74">
        <f>IFERROR(U95*H95/G95,0)</f>
        <v>0</v>
      </c>
      <c r="BR95" s="74">
        <f>IFERROR(V95*H95/G95,0)</f>
        <v>0</v>
      </c>
      <c r="BS95" s="74">
        <f>IFERROR(1/I95*(U95/G95),0)</f>
        <v>0</v>
      </c>
      <c r="BT95" s="74">
        <f>IFERROR(1/I95*(V95/G95),0)</f>
        <v>0</v>
      </c>
      <c r="BU95" s="74">
        <f>IFERROR(W95*H95/G95,0)</f>
        <v>0</v>
      </c>
      <c r="BV95" s="74">
        <f>IFERROR(X95*H95/G95,0)</f>
        <v>0</v>
      </c>
      <c r="BW95" s="74">
        <f>IFERROR(1/I95*(W95/G95),0)</f>
        <v>0</v>
      </c>
      <c r="BX95" s="74">
        <f>IFERROR(1/I95*(X95/G95),0)</f>
        <v>0</v>
      </c>
      <c r="BY95" s="74">
        <f>IFERROR(Y95*H95/G95,0)</f>
        <v>0</v>
      </c>
      <c r="BZ95" s="74">
        <f>IFERROR(Z95*H95/G95,0)</f>
        <v>0</v>
      </c>
      <c r="CA95" s="74">
        <f>IFERROR(1/I95*(Y95/G95),0)</f>
        <v>0</v>
      </c>
      <c r="CB95" s="74">
        <f>IFERROR(1/I95*(Z95/G95),0)</f>
        <v>0</v>
      </c>
      <c r="CC95" s="74">
        <f>IFERROR(AA95*H95/G95,0)</f>
        <v>0</v>
      </c>
      <c r="CD95" s="74">
        <f>IFERROR(AB95*H95/G95,0)</f>
        <v>0</v>
      </c>
      <c r="CE95" s="74">
        <f>IFERROR(1/I95*(AA95/G95),0)</f>
        <v>0</v>
      </c>
      <c r="CF95" s="74">
        <f>IFERROR(1/I95*(AB95/G95),0)</f>
        <v>0</v>
      </c>
      <c r="CG95" s="74">
        <f>IFERROR(AC95*H95/G95,0)</f>
        <v>0</v>
      </c>
      <c r="CH95" s="74">
        <f>IFERROR(AD95*H95/G95,0)</f>
        <v>0</v>
      </c>
      <c r="CI95" s="74">
        <f>IFERROR(1/I95*(AC95/G95),0)</f>
        <v>0</v>
      </c>
      <c r="CJ95" s="74">
        <f>IFERROR(1/I95*(AD95/G95),0)</f>
        <v>0</v>
      </c>
    </row>
    <row r="96" spans="1:88" x14ac:dyDescent="0.2">
      <c r="A96" s="251"/>
      <c r="B96" s="251"/>
      <c r="C96" s="251"/>
      <c r="D96" s="251"/>
      <c r="E96" s="251"/>
      <c r="F96" s="251"/>
      <c r="G96" s="251"/>
      <c r="H96" s="251"/>
      <c r="I96" s="251"/>
      <c r="J96" s="251"/>
      <c r="K96" s="251"/>
      <c r="L96" s="251"/>
      <c r="M96" s="251"/>
      <c r="N96" s="251"/>
      <c r="O96" s="249" t="s">
        <v>43</v>
      </c>
      <c r="P96" s="250"/>
      <c r="Q96" s="250"/>
      <c r="R96" s="250"/>
      <c r="S96" s="250"/>
      <c r="T96" s="40" t="s">
        <v>42</v>
      </c>
      <c r="U96" s="101">
        <f>IFERROR(U94/G94,0)+IFERROR(U95/G95,0)</f>
        <v>47.61904761904762</v>
      </c>
      <c r="V96" s="101">
        <f>IFERROR(V94/G94,0)+IFERROR(V95/G95,0)</f>
        <v>48</v>
      </c>
      <c r="W96" s="101">
        <f>IFERROR(W94/G94,0)+IFERROR(W95/G95,0)</f>
        <v>0</v>
      </c>
      <c r="X96" s="101">
        <f>IFERROR(X94/G94,0)+IFERROR(X95/G95,0)</f>
        <v>0</v>
      </c>
      <c r="Y96" s="101">
        <f>IFERROR(Y94/G94,0)+IFERROR(Y95/G95,0)</f>
        <v>0</v>
      </c>
      <c r="Z96" s="101">
        <f>IFERROR(Z94/G94,0)+IFERROR(Z95/G95,0)</f>
        <v>0</v>
      </c>
      <c r="AA96" s="101">
        <f>IFERROR(AA94/G94,0)+IFERROR(AA95/G95,0)</f>
        <v>0</v>
      </c>
      <c r="AB96" s="101">
        <f>IFERROR(AB94/G94,0)+IFERROR(AB95/G95,0)</f>
        <v>0</v>
      </c>
      <c r="AC96" s="101">
        <f>IFERROR(AC94/G94,0)+IFERROR(AC95/G95,0)</f>
        <v>0</v>
      </c>
      <c r="AD96" s="101">
        <f>IFERROR(AD94/G94,0)+IFERROR(AD95/G95,0)</f>
        <v>0</v>
      </c>
      <c r="AE96" s="101">
        <f>IFERROR(IF(AE94="",0,AE94),0)+IFERROR(IF(AE95="",0,AE95),0)</f>
        <v>0.57408000000000003</v>
      </c>
      <c r="AF96" s="3"/>
      <c r="AG96" s="3"/>
      <c r="AH96" s="3"/>
      <c r="AI96" s="3"/>
      <c r="AJ96" s="3"/>
      <c r="AK96" s="3"/>
      <c r="AL96" s="61"/>
      <c r="AM96" s="61"/>
      <c r="AN96" s="61"/>
      <c r="AO96" s="3"/>
      <c r="AP96" s="3"/>
      <c r="AQ96" s="2"/>
      <c r="AR96" s="2"/>
      <c r="AS96" s="2"/>
      <c r="AT96" s="2"/>
      <c r="AU96" s="21"/>
      <c r="AV96" s="21"/>
      <c r="AW96" s="22"/>
    </row>
    <row r="97" spans="1:88" x14ac:dyDescent="0.2">
      <c r="A97" s="251"/>
      <c r="B97" s="251"/>
      <c r="C97" s="251"/>
      <c r="D97" s="251"/>
      <c r="E97" s="251"/>
      <c r="F97" s="251"/>
      <c r="G97" s="251"/>
      <c r="H97" s="251"/>
      <c r="I97" s="251"/>
      <c r="J97" s="251"/>
      <c r="K97" s="251"/>
      <c r="L97" s="251"/>
      <c r="M97" s="251"/>
      <c r="N97" s="251"/>
      <c r="O97" s="249" t="s">
        <v>43</v>
      </c>
      <c r="P97" s="250"/>
      <c r="Q97" s="250"/>
      <c r="R97" s="250"/>
      <c r="S97" s="250"/>
      <c r="T97" s="40" t="s">
        <v>0</v>
      </c>
      <c r="U97" s="103">
        <f t="shared" ref="U97:AD97" si="14">IFERROR(SUM(U94:U95),0)</f>
        <v>200</v>
      </c>
      <c r="V97" s="103">
        <f t="shared" si="14"/>
        <v>201.60000000000002</v>
      </c>
      <c r="W97" s="103">
        <f t="shared" si="14"/>
        <v>0</v>
      </c>
      <c r="X97" s="103">
        <f t="shared" si="14"/>
        <v>0</v>
      </c>
      <c r="Y97" s="103">
        <f t="shared" si="14"/>
        <v>0</v>
      </c>
      <c r="Z97" s="103">
        <f t="shared" si="14"/>
        <v>0</v>
      </c>
      <c r="AA97" s="103">
        <f t="shared" si="14"/>
        <v>0</v>
      </c>
      <c r="AB97" s="103">
        <f t="shared" si="14"/>
        <v>0</v>
      </c>
      <c r="AC97" s="103">
        <f t="shared" si="14"/>
        <v>0</v>
      </c>
      <c r="AD97" s="103">
        <f t="shared" si="14"/>
        <v>0</v>
      </c>
      <c r="AE97" s="101" t="s">
        <v>57</v>
      </c>
      <c r="AF97" s="3"/>
      <c r="AG97" s="3"/>
      <c r="AH97" s="3"/>
      <c r="AI97" s="3"/>
      <c r="AJ97" s="3"/>
      <c r="AK97" s="3"/>
      <c r="AL97" s="61"/>
      <c r="AM97" s="61"/>
      <c r="AN97" s="61"/>
      <c r="AO97" s="3"/>
      <c r="AP97" s="3"/>
      <c r="AQ97" s="2"/>
      <c r="AR97" s="2"/>
      <c r="AS97" s="2"/>
      <c r="AT97" s="2"/>
      <c r="AU97" s="21"/>
      <c r="AV97" s="21"/>
      <c r="AW97" s="22"/>
    </row>
    <row r="98" spans="1:88" ht="15" x14ac:dyDescent="0.25">
      <c r="A98" s="240" t="s">
        <v>165</v>
      </c>
      <c r="B98" s="241"/>
      <c r="C98" s="241"/>
      <c r="D98" s="241"/>
      <c r="E98" s="241"/>
      <c r="F98" s="241"/>
      <c r="G98" s="241"/>
      <c r="H98" s="241"/>
      <c r="I98" s="241"/>
      <c r="J98" s="241"/>
      <c r="K98" s="241"/>
      <c r="L98" s="241"/>
      <c r="M98" s="241"/>
      <c r="N98" s="241"/>
      <c r="O98" s="241"/>
      <c r="P98" s="241"/>
      <c r="Q98" s="241"/>
      <c r="R98" s="241"/>
      <c r="S98" s="241"/>
      <c r="T98" s="241"/>
      <c r="U98" s="241"/>
      <c r="V98" s="241"/>
      <c r="W98" s="241"/>
      <c r="X98" s="241"/>
      <c r="Y98" s="241"/>
      <c r="Z98" s="241"/>
      <c r="AA98" s="237"/>
      <c r="AB98" s="237"/>
      <c r="AC98" s="237"/>
      <c r="AD98" s="237"/>
      <c r="AE98" s="238"/>
      <c r="AF98" s="237"/>
      <c r="AG98" s="237"/>
      <c r="AH98" s="242"/>
      <c r="AI98" s="2"/>
      <c r="AJ98" s="2"/>
      <c r="AK98" s="60"/>
      <c r="AL98" s="60"/>
      <c r="AM98" s="60"/>
      <c r="AN98" s="2"/>
      <c r="AO98" s="2"/>
      <c r="AP98" s="2"/>
      <c r="AQ98" s="2"/>
      <c r="AR98" s="2"/>
    </row>
    <row r="99" spans="1:88" ht="15" x14ac:dyDescent="0.25">
      <c r="A99" s="243" t="s">
        <v>129</v>
      </c>
      <c r="B99" s="244"/>
      <c r="C99" s="244"/>
      <c r="D99" s="244"/>
      <c r="E99" s="244"/>
      <c r="F99" s="244"/>
      <c r="G99" s="244"/>
      <c r="H99" s="244"/>
      <c r="I99" s="244"/>
      <c r="J99" s="244"/>
      <c r="K99" s="244"/>
      <c r="L99" s="244"/>
      <c r="M99" s="244"/>
      <c r="N99" s="244"/>
      <c r="O99" s="244"/>
      <c r="P99" s="244"/>
      <c r="Q99" s="244"/>
      <c r="R99" s="244"/>
      <c r="S99" s="244"/>
      <c r="T99" s="244"/>
      <c r="U99" s="244"/>
      <c r="V99" s="244"/>
      <c r="W99" s="244"/>
      <c r="X99" s="241"/>
      <c r="Y99" s="241"/>
      <c r="Z99" s="241"/>
      <c r="AA99" s="237"/>
      <c r="AB99" s="237"/>
      <c r="AC99" s="237"/>
      <c r="AD99" s="237"/>
      <c r="AE99" s="238"/>
      <c r="AF99" s="237"/>
      <c r="AG99" s="237"/>
      <c r="AH99" s="245"/>
      <c r="AI99" s="2"/>
      <c r="AJ99" s="2"/>
      <c r="AK99" s="60"/>
      <c r="AL99" s="60"/>
      <c r="AM99" s="60"/>
      <c r="AN99" s="2"/>
      <c r="AO99" s="2"/>
      <c r="AP99" s="2"/>
      <c r="AQ99" s="2"/>
      <c r="AR99" s="2"/>
    </row>
    <row r="100" spans="1:88" x14ac:dyDescent="0.2">
      <c r="A100" s="76" t="s">
        <v>166</v>
      </c>
      <c r="B100" s="77" t="s">
        <v>167</v>
      </c>
      <c r="C100" s="77">
        <v>4301031283</v>
      </c>
      <c r="D100" s="77">
        <v>4680115886001</v>
      </c>
      <c r="E100" s="78">
        <v>0.73</v>
      </c>
      <c r="F100" s="79">
        <v>6</v>
      </c>
      <c r="G100" s="78">
        <v>4.38</v>
      </c>
      <c r="H100" s="78">
        <v>4.57</v>
      </c>
      <c r="I100" s="80">
        <v>132</v>
      </c>
      <c r="J100" s="80" t="s">
        <v>113</v>
      </c>
      <c r="K100" s="81" t="s">
        <v>100</v>
      </c>
      <c r="L100" s="81"/>
      <c r="M100" s="246">
        <v>45</v>
      </c>
      <c r="N100" s="246"/>
      <c r="O100" s="270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P100" s="248"/>
      <c r="Q100" s="248"/>
      <c r="R100" s="248"/>
      <c r="S100" s="248"/>
      <c r="T100" s="82" t="s">
        <v>0</v>
      </c>
      <c r="U100" s="64">
        <v>0</v>
      </c>
      <c r="V100" s="65">
        <f>IFERROR(IF(U100="",0,CEILING((U100/$G100),1)*$G100),"")</f>
        <v>0</v>
      </c>
      <c r="W100" s="64">
        <v>0</v>
      </c>
      <c r="X100" s="65">
        <f>IFERROR(IF(W100="",0,CEILING((W100/$G100),1)*$G100),"")</f>
        <v>0</v>
      </c>
      <c r="Y100" s="64">
        <v>0</v>
      </c>
      <c r="Z100" s="65">
        <f>IFERROR(IF(Y100="",0,CEILING((Y100/$G100),1)*$G100),"")</f>
        <v>0</v>
      </c>
      <c r="AA100" s="64">
        <v>0</v>
      </c>
      <c r="AB100" s="65">
        <f>IFERROR(IF(AA100="",0,CEILING((AA100/$G100),1)*$G100),"")</f>
        <v>0</v>
      </c>
      <c r="AC100" s="64">
        <v>0</v>
      </c>
      <c r="AD100" s="65">
        <f>IFERROR(IF(AC100="",0,CEILING((AC100/$G100),1)*$G100),"")</f>
        <v>0</v>
      </c>
      <c r="AE100" s="66" t="str">
        <f>IF(IFERROR(ROUNDUP(V100/G100,0)*0.00902,0)+IFERROR(ROUNDUP(X100/G100,0)*0.00902,0)+IFERROR(ROUNDUP(Z100/G100,0)*0.00902,0)+IFERROR(ROUNDUP(AB100/G100,0)*0.00902,0)+IFERROR(ROUNDUP(AD100/G100,0)*0.00902,0)=0,"",IFERROR(ROUNDUP(V100/G100,0)*0.00902,0)+IFERROR(ROUNDUP(X100/G100,0)*0.00902,0)+IFERROR(ROUNDUP(Z100/G100,0)*0.00902,0)+IFERROR(ROUNDUP(AB100/G100,0)*0.00902,0)+IFERROR(ROUNDUP(AD100/G100,0)*0.00902,0))</f>
        <v/>
      </c>
      <c r="AF100" s="76" t="s">
        <v>57</v>
      </c>
      <c r="AG100" s="76" t="s">
        <v>57</v>
      </c>
      <c r="AH100" s="175" t="s">
        <v>168</v>
      </c>
      <c r="AI100" s="2"/>
      <c r="AJ100" s="2"/>
      <c r="AK100" s="2"/>
      <c r="AL100" s="60"/>
      <c r="AM100" s="60"/>
      <c r="AN100" s="60"/>
      <c r="AO100" s="2"/>
      <c r="AP100" s="2"/>
      <c r="AQ100" s="2"/>
      <c r="AR100" s="2"/>
      <c r="AS100" s="2"/>
      <c r="AT100" s="2"/>
      <c r="AU100" s="21"/>
      <c r="AV100" s="21"/>
      <c r="AW100" s="22"/>
      <c r="BB100" s="174" t="s">
        <v>65</v>
      </c>
      <c r="BQ100" s="74">
        <f>IFERROR(U100*H100/G100,0)</f>
        <v>0</v>
      </c>
      <c r="BR100" s="74">
        <f>IFERROR(V100*H100/G100,0)</f>
        <v>0</v>
      </c>
      <c r="BS100" s="74">
        <f>IFERROR(1/I100*(U100/G100),0)</f>
        <v>0</v>
      </c>
      <c r="BT100" s="74">
        <f>IFERROR(1/I100*(V100/G100),0)</f>
        <v>0</v>
      </c>
      <c r="BU100" s="74">
        <f>IFERROR(W100*H100/G100,0)</f>
        <v>0</v>
      </c>
      <c r="BV100" s="74">
        <f>IFERROR(X100*H100/G100,0)</f>
        <v>0</v>
      </c>
      <c r="BW100" s="74">
        <f>IFERROR(1/I100*(W100/G100),0)</f>
        <v>0</v>
      </c>
      <c r="BX100" s="74">
        <f>IFERROR(1/I100*(X100/G100),0)</f>
        <v>0</v>
      </c>
      <c r="BY100" s="74">
        <f>IFERROR(Y100*H100/G100,0)</f>
        <v>0</v>
      </c>
      <c r="BZ100" s="74">
        <f>IFERROR(Z100*H100/G100,0)</f>
        <v>0</v>
      </c>
      <c r="CA100" s="74">
        <f>IFERROR(1/I100*(Y100/G100),0)</f>
        <v>0</v>
      </c>
      <c r="CB100" s="74">
        <f>IFERROR(1/I100*(Z100/G100),0)</f>
        <v>0</v>
      </c>
      <c r="CC100" s="74">
        <f>IFERROR(AA100*H100/G100,0)</f>
        <v>0</v>
      </c>
      <c r="CD100" s="74">
        <f>IFERROR(AB100*H100/G100,0)</f>
        <v>0</v>
      </c>
      <c r="CE100" s="74">
        <f>IFERROR(1/I100*(AA100/G100),0)</f>
        <v>0</v>
      </c>
      <c r="CF100" s="74">
        <f>IFERROR(1/I100*(AB100/G100),0)</f>
        <v>0</v>
      </c>
      <c r="CG100" s="74">
        <f>IFERROR(AC100*H100/G100,0)</f>
        <v>0</v>
      </c>
      <c r="CH100" s="74">
        <f>IFERROR(AD100*H100/G100,0)</f>
        <v>0</v>
      </c>
      <c r="CI100" s="74">
        <f>IFERROR(1/I100*(AC100/G100),0)</f>
        <v>0</v>
      </c>
      <c r="CJ100" s="74">
        <f>IFERROR(1/I100*(AD100/G100),0)</f>
        <v>0</v>
      </c>
    </row>
    <row r="101" spans="1:88" x14ac:dyDescent="0.2">
      <c r="A101" s="251"/>
      <c r="B101" s="251"/>
      <c r="C101" s="251"/>
      <c r="D101" s="251"/>
      <c r="E101" s="251"/>
      <c r="F101" s="251"/>
      <c r="G101" s="251"/>
      <c r="H101" s="251"/>
      <c r="I101" s="251"/>
      <c r="J101" s="251"/>
      <c r="K101" s="251"/>
      <c r="L101" s="251"/>
      <c r="M101" s="251"/>
      <c r="N101" s="251"/>
      <c r="O101" s="249" t="s">
        <v>43</v>
      </c>
      <c r="P101" s="250"/>
      <c r="Q101" s="250"/>
      <c r="R101" s="250"/>
      <c r="S101" s="250"/>
      <c r="T101" s="40" t="s">
        <v>42</v>
      </c>
      <c r="U101" s="101">
        <f>IFERROR(U100/G100,0)</f>
        <v>0</v>
      </c>
      <c r="V101" s="101">
        <f>IFERROR(V100/G100,0)</f>
        <v>0</v>
      </c>
      <c r="W101" s="101">
        <f>IFERROR(W100/G100,0)</f>
        <v>0</v>
      </c>
      <c r="X101" s="101">
        <f>IFERROR(X100/G100,0)</f>
        <v>0</v>
      </c>
      <c r="Y101" s="101">
        <f>IFERROR(Y100/G100,0)</f>
        <v>0</v>
      </c>
      <c r="Z101" s="101">
        <f>IFERROR(Z100/G100,0)</f>
        <v>0</v>
      </c>
      <c r="AA101" s="101">
        <f>IFERROR(AA100/G100,0)</f>
        <v>0</v>
      </c>
      <c r="AB101" s="101">
        <f>IFERROR(AB100/G100,0)</f>
        <v>0</v>
      </c>
      <c r="AC101" s="101">
        <f>IFERROR(AC100/G100,0)</f>
        <v>0</v>
      </c>
      <c r="AD101" s="101">
        <f>IFERROR(AD100/G100,0)</f>
        <v>0</v>
      </c>
      <c r="AE101" s="101">
        <f>IFERROR(IF(AE100="",0,AE100),0)</f>
        <v>0</v>
      </c>
      <c r="AF101" s="3"/>
      <c r="AG101" s="3"/>
      <c r="AH101" s="3"/>
      <c r="AI101" s="3"/>
      <c r="AJ101" s="3"/>
      <c r="AK101" s="3"/>
      <c r="AL101" s="61"/>
      <c r="AM101" s="61"/>
      <c r="AN101" s="61"/>
      <c r="AO101" s="3"/>
      <c r="AP101" s="3"/>
      <c r="AQ101" s="2"/>
      <c r="AR101" s="2"/>
      <c r="AS101" s="2"/>
      <c r="AT101" s="2"/>
      <c r="AU101" s="21"/>
      <c r="AV101" s="21"/>
      <c r="AW101" s="22"/>
    </row>
    <row r="102" spans="1:88" x14ac:dyDescent="0.2">
      <c r="A102" s="251"/>
      <c r="B102" s="251"/>
      <c r="C102" s="251"/>
      <c r="D102" s="251"/>
      <c r="E102" s="251"/>
      <c r="F102" s="251"/>
      <c r="G102" s="251"/>
      <c r="H102" s="251"/>
      <c r="I102" s="251"/>
      <c r="J102" s="251"/>
      <c r="K102" s="251"/>
      <c r="L102" s="251"/>
      <c r="M102" s="251"/>
      <c r="N102" s="251"/>
      <c r="O102" s="249" t="s">
        <v>43</v>
      </c>
      <c r="P102" s="250"/>
      <c r="Q102" s="250"/>
      <c r="R102" s="250"/>
      <c r="S102" s="250"/>
      <c r="T102" s="40" t="s">
        <v>0</v>
      </c>
      <c r="U102" s="103">
        <f t="shared" ref="U102:AD102" si="15">IFERROR(SUM(U100:U100),0)</f>
        <v>0</v>
      </c>
      <c r="V102" s="103">
        <f t="shared" si="15"/>
        <v>0</v>
      </c>
      <c r="W102" s="103">
        <f t="shared" si="15"/>
        <v>0</v>
      </c>
      <c r="X102" s="103">
        <f t="shared" si="15"/>
        <v>0</v>
      </c>
      <c r="Y102" s="103">
        <f t="shared" si="15"/>
        <v>0</v>
      </c>
      <c r="Z102" s="103">
        <f t="shared" si="15"/>
        <v>0</v>
      </c>
      <c r="AA102" s="103">
        <f t="shared" si="15"/>
        <v>0</v>
      </c>
      <c r="AB102" s="103">
        <f t="shared" si="15"/>
        <v>0</v>
      </c>
      <c r="AC102" s="103">
        <f t="shared" si="15"/>
        <v>0</v>
      </c>
      <c r="AD102" s="103">
        <f t="shared" si="15"/>
        <v>0</v>
      </c>
      <c r="AE102" s="101" t="s">
        <v>57</v>
      </c>
      <c r="AF102" s="3"/>
      <c r="AG102" s="3"/>
      <c r="AH102" s="3"/>
      <c r="AI102" s="3"/>
      <c r="AJ102" s="3"/>
      <c r="AK102" s="3"/>
      <c r="AL102" s="61"/>
      <c r="AM102" s="61"/>
      <c r="AN102" s="61"/>
      <c r="AO102" s="3"/>
      <c r="AP102" s="3"/>
      <c r="AQ102" s="2"/>
      <c r="AR102" s="2"/>
      <c r="AS102" s="2"/>
      <c r="AT102" s="2"/>
      <c r="AU102" s="21"/>
      <c r="AV102" s="21"/>
      <c r="AW102" s="22"/>
    </row>
    <row r="103" spans="1:88" ht="15" x14ac:dyDescent="0.25">
      <c r="A103" s="243" t="s">
        <v>83</v>
      </c>
      <c r="B103" s="244"/>
      <c r="C103" s="244"/>
      <c r="D103" s="244"/>
      <c r="E103" s="244"/>
      <c r="F103" s="244"/>
      <c r="G103" s="244"/>
      <c r="H103" s="244"/>
      <c r="I103" s="244"/>
      <c r="J103" s="244"/>
      <c r="K103" s="244"/>
      <c r="L103" s="244"/>
      <c r="M103" s="244"/>
      <c r="N103" s="244"/>
      <c r="O103" s="244"/>
      <c r="P103" s="244"/>
      <c r="Q103" s="244"/>
      <c r="R103" s="244"/>
      <c r="S103" s="244"/>
      <c r="T103" s="244"/>
      <c r="U103" s="244"/>
      <c r="V103" s="244"/>
      <c r="W103" s="244"/>
      <c r="X103" s="241"/>
      <c r="Y103" s="241"/>
      <c r="Z103" s="241"/>
      <c r="AA103" s="237"/>
      <c r="AB103" s="237"/>
      <c r="AC103" s="237"/>
      <c r="AD103" s="237"/>
      <c r="AE103" s="238"/>
      <c r="AF103" s="237"/>
      <c r="AG103" s="237"/>
      <c r="AH103" s="245"/>
      <c r="AI103" s="2"/>
      <c r="AJ103" s="2"/>
      <c r="AK103" s="60"/>
      <c r="AL103" s="60"/>
      <c r="AM103" s="60"/>
      <c r="AN103" s="2"/>
      <c r="AO103" s="2"/>
      <c r="AP103" s="2"/>
      <c r="AQ103" s="2"/>
      <c r="AR103" s="2"/>
    </row>
    <row r="104" spans="1:88" ht="22.5" x14ac:dyDescent="0.2">
      <c r="A104" s="76" t="s">
        <v>169</v>
      </c>
      <c r="B104" s="77" t="s">
        <v>170</v>
      </c>
      <c r="C104" s="77">
        <v>4301051597</v>
      </c>
      <c r="D104" s="77">
        <v>4680115886087</v>
      </c>
      <c r="E104" s="78">
        <v>1</v>
      </c>
      <c r="F104" s="79">
        <v>8</v>
      </c>
      <c r="G104" s="78">
        <v>8</v>
      </c>
      <c r="H104" s="78">
        <v>8.41</v>
      </c>
      <c r="I104" s="80">
        <v>64</v>
      </c>
      <c r="J104" s="80" t="s">
        <v>122</v>
      </c>
      <c r="K104" s="81" t="s">
        <v>93</v>
      </c>
      <c r="L104" s="81"/>
      <c r="M104" s="246">
        <v>45</v>
      </c>
      <c r="N104" s="246"/>
      <c r="O104" s="271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P104" s="248"/>
      <c r="Q104" s="248"/>
      <c r="R104" s="248"/>
      <c r="S104" s="248"/>
      <c r="T104" s="82" t="s">
        <v>0</v>
      </c>
      <c r="U104" s="64">
        <v>0</v>
      </c>
      <c r="V104" s="65">
        <f>IFERROR(IF(U104="",0,CEILING((U104/$G104),1)*$G104),"")</f>
        <v>0</v>
      </c>
      <c r="W104" s="64">
        <v>0</v>
      </c>
      <c r="X104" s="65">
        <f>IFERROR(IF(W104="",0,CEILING((W104/$G104),1)*$G104),"")</f>
        <v>0</v>
      </c>
      <c r="Y104" s="64">
        <v>0</v>
      </c>
      <c r="Z104" s="65">
        <f>IFERROR(IF(Y104="",0,CEILING((Y104/$G104),1)*$G104),"")</f>
        <v>0</v>
      </c>
      <c r="AA104" s="64">
        <v>0</v>
      </c>
      <c r="AB104" s="65">
        <f>IFERROR(IF(AA104="",0,CEILING((AA104/$G104),1)*$G104),"")</f>
        <v>0</v>
      </c>
      <c r="AC104" s="64">
        <v>0</v>
      </c>
      <c r="AD104" s="65">
        <f>IFERROR(IF(AC104="",0,CEILING((AC104/$G104),1)*$G104),"")</f>
        <v>0</v>
      </c>
      <c r="AE104" s="66" t="str">
        <f>IF(IFERROR(ROUNDUP(V104/G104,0)*0.01898,0)+IFERROR(ROUNDUP(X104/G104,0)*0.01898,0)+IFERROR(ROUNDUP(Z104/G104,0)*0.01898,0)+IFERROR(ROUNDUP(AB104/G104,0)*0.01898,0)+IFERROR(ROUNDUP(AD104/G104,0)*0.01898,0)=0,"",IFERROR(ROUNDUP(V104/G104,0)*0.01898,0)+IFERROR(ROUNDUP(X104/G104,0)*0.01898,0)+IFERROR(ROUNDUP(Z104/G104,0)*0.01898,0)+IFERROR(ROUNDUP(AB104/G104,0)*0.01898,0)+IFERROR(ROUNDUP(AD104/G104,0)*0.01898,0))</f>
        <v/>
      </c>
      <c r="AF104" s="76" t="s">
        <v>57</v>
      </c>
      <c r="AG104" s="76" t="s">
        <v>57</v>
      </c>
      <c r="AH104" s="177" t="s">
        <v>171</v>
      </c>
      <c r="AI104" s="2"/>
      <c r="AJ104" s="2"/>
      <c r="AK104" s="2"/>
      <c r="AL104" s="60"/>
      <c r="AM104" s="60"/>
      <c r="AN104" s="60"/>
      <c r="AO104" s="2"/>
      <c r="AP104" s="2"/>
      <c r="AQ104" s="2"/>
      <c r="AR104" s="2"/>
      <c r="AS104" s="2"/>
      <c r="AT104" s="2"/>
      <c r="AU104" s="21"/>
      <c r="AV104" s="21"/>
      <c r="AW104" s="22"/>
      <c r="BB104" s="176" t="s">
        <v>65</v>
      </c>
      <c r="BQ104" s="74">
        <f>IFERROR(U104*H104/G104,0)</f>
        <v>0</v>
      </c>
      <c r="BR104" s="74">
        <f>IFERROR(V104*H104/G104,0)</f>
        <v>0</v>
      </c>
      <c r="BS104" s="74">
        <f>IFERROR(1/I104*(U104/G104),0)</f>
        <v>0</v>
      </c>
      <c r="BT104" s="74">
        <f>IFERROR(1/I104*(V104/G104),0)</f>
        <v>0</v>
      </c>
      <c r="BU104" s="74">
        <f>IFERROR(W104*H104/G104,0)</f>
        <v>0</v>
      </c>
      <c r="BV104" s="74">
        <f>IFERROR(X104*H104/G104,0)</f>
        <v>0</v>
      </c>
      <c r="BW104" s="74">
        <f>IFERROR(1/I104*(W104/G104),0)</f>
        <v>0</v>
      </c>
      <c r="BX104" s="74">
        <f>IFERROR(1/I104*(X104/G104),0)</f>
        <v>0</v>
      </c>
      <c r="BY104" s="74">
        <f>IFERROR(Y104*H104/G104,0)</f>
        <v>0</v>
      </c>
      <c r="BZ104" s="74">
        <f>IFERROR(Z104*H104/G104,0)</f>
        <v>0</v>
      </c>
      <c r="CA104" s="74">
        <f>IFERROR(1/I104*(Y104/G104),0)</f>
        <v>0</v>
      </c>
      <c r="CB104" s="74">
        <f>IFERROR(1/I104*(Z104/G104),0)</f>
        <v>0</v>
      </c>
      <c r="CC104" s="74">
        <f>IFERROR(AA104*H104/G104,0)</f>
        <v>0</v>
      </c>
      <c r="CD104" s="74">
        <f>IFERROR(AB104*H104/G104,0)</f>
        <v>0</v>
      </c>
      <c r="CE104" s="74">
        <f>IFERROR(1/I104*(AA104/G104),0)</f>
        <v>0</v>
      </c>
      <c r="CF104" s="74">
        <f>IFERROR(1/I104*(AB104/G104),0)</f>
        <v>0</v>
      </c>
      <c r="CG104" s="74">
        <f>IFERROR(AC104*H104/G104,0)</f>
        <v>0</v>
      </c>
      <c r="CH104" s="74">
        <f>IFERROR(AD104*H104/G104,0)</f>
        <v>0</v>
      </c>
      <c r="CI104" s="74">
        <f>IFERROR(1/I104*(AC104/G104),0)</f>
        <v>0</v>
      </c>
      <c r="CJ104" s="74">
        <f>IFERROR(1/I104*(AD104/G104),0)</f>
        <v>0</v>
      </c>
    </row>
    <row r="105" spans="1:88" x14ac:dyDescent="0.2">
      <c r="A105" s="251"/>
      <c r="B105" s="251"/>
      <c r="C105" s="251"/>
      <c r="D105" s="251"/>
      <c r="E105" s="251"/>
      <c r="F105" s="251"/>
      <c r="G105" s="251"/>
      <c r="H105" s="251"/>
      <c r="I105" s="251"/>
      <c r="J105" s="251"/>
      <c r="K105" s="251"/>
      <c r="L105" s="251"/>
      <c r="M105" s="251"/>
      <c r="N105" s="251"/>
      <c r="O105" s="249" t="s">
        <v>43</v>
      </c>
      <c r="P105" s="250"/>
      <c r="Q105" s="250"/>
      <c r="R105" s="250"/>
      <c r="S105" s="250"/>
      <c r="T105" s="40" t="s">
        <v>42</v>
      </c>
      <c r="U105" s="101">
        <f>IFERROR(U104/G104,0)</f>
        <v>0</v>
      </c>
      <c r="V105" s="101">
        <f>IFERROR(V104/G104,0)</f>
        <v>0</v>
      </c>
      <c r="W105" s="101">
        <f>IFERROR(W104/G104,0)</f>
        <v>0</v>
      </c>
      <c r="X105" s="101">
        <f>IFERROR(X104/G104,0)</f>
        <v>0</v>
      </c>
      <c r="Y105" s="101">
        <f>IFERROR(Y104/G104,0)</f>
        <v>0</v>
      </c>
      <c r="Z105" s="101">
        <f>IFERROR(Z104/G104,0)</f>
        <v>0</v>
      </c>
      <c r="AA105" s="101">
        <f>IFERROR(AA104/G104,0)</f>
        <v>0</v>
      </c>
      <c r="AB105" s="101">
        <f>IFERROR(AB104/G104,0)</f>
        <v>0</v>
      </c>
      <c r="AC105" s="101">
        <f>IFERROR(AC104/G104,0)</f>
        <v>0</v>
      </c>
      <c r="AD105" s="101">
        <f>IFERROR(AD104/G104,0)</f>
        <v>0</v>
      </c>
      <c r="AE105" s="101">
        <f>IFERROR(IF(AE104="",0,AE104),0)</f>
        <v>0</v>
      </c>
      <c r="AF105" s="3"/>
      <c r="AG105" s="3"/>
      <c r="AH105" s="3"/>
      <c r="AI105" s="3"/>
      <c r="AJ105" s="3"/>
      <c r="AK105" s="3"/>
      <c r="AL105" s="61"/>
      <c r="AM105" s="61"/>
      <c r="AN105" s="61"/>
      <c r="AO105" s="3"/>
      <c r="AP105" s="3"/>
      <c r="AQ105" s="2"/>
      <c r="AR105" s="2"/>
      <c r="AS105" s="2"/>
      <c r="AT105" s="2"/>
      <c r="AU105" s="21"/>
      <c r="AV105" s="21"/>
      <c r="AW105" s="22"/>
    </row>
    <row r="106" spans="1:88" x14ac:dyDescent="0.2">
      <c r="A106" s="251"/>
      <c r="B106" s="251"/>
      <c r="C106" s="251"/>
      <c r="D106" s="251"/>
      <c r="E106" s="251"/>
      <c r="F106" s="251"/>
      <c r="G106" s="251"/>
      <c r="H106" s="251"/>
      <c r="I106" s="251"/>
      <c r="J106" s="251"/>
      <c r="K106" s="251"/>
      <c r="L106" s="251"/>
      <c r="M106" s="251"/>
      <c r="N106" s="251"/>
      <c r="O106" s="249" t="s">
        <v>43</v>
      </c>
      <c r="P106" s="250"/>
      <c r="Q106" s="250"/>
      <c r="R106" s="250"/>
      <c r="S106" s="250"/>
      <c r="T106" s="40" t="s">
        <v>0</v>
      </c>
      <c r="U106" s="103">
        <f t="shared" ref="U106:AD106" si="16">IFERROR(SUM(U104:U104),0)</f>
        <v>0</v>
      </c>
      <c r="V106" s="103">
        <f t="shared" si="16"/>
        <v>0</v>
      </c>
      <c r="W106" s="103">
        <f t="shared" si="16"/>
        <v>0</v>
      </c>
      <c r="X106" s="103">
        <f t="shared" si="16"/>
        <v>0</v>
      </c>
      <c r="Y106" s="103">
        <f t="shared" si="16"/>
        <v>0</v>
      </c>
      <c r="Z106" s="103">
        <f t="shared" si="16"/>
        <v>0</v>
      </c>
      <c r="AA106" s="103">
        <f t="shared" si="16"/>
        <v>0</v>
      </c>
      <c r="AB106" s="103">
        <f t="shared" si="16"/>
        <v>0</v>
      </c>
      <c r="AC106" s="103">
        <f t="shared" si="16"/>
        <v>0</v>
      </c>
      <c r="AD106" s="103">
        <f t="shared" si="16"/>
        <v>0</v>
      </c>
      <c r="AE106" s="101" t="s">
        <v>57</v>
      </c>
      <c r="AF106" s="3"/>
      <c r="AG106" s="3"/>
      <c r="AH106" s="3"/>
      <c r="AI106" s="3"/>
      <c r="AJ106" s="3"/>
      <c r="AK106" s="3"/>
      <c r="AL106" s="61"/>
      <c r="AM106" s="61"/>
      <c r="AN106" s="61"/>
      <c r="AO106" s="3"/>
      <c r="AP106" s="3"/>
      <c r="AQ106" s="2"/>
      <c r="AR106" s="2"/>
      <c r="AS106" s="2"/>
      <c r="AT106" s="2"/>
      <c r="AU106" s="21"/>
      <c r="AV106" s="21"/>
      <c r="AW106" s="22"/>
    </row>
    <row r="107" spans="1:88" ht="27.75" customHeight="1" x14ac:dyDescent="0.2">
      <c r="A107" s="234" t="s">
        <v>172</v>
      </c>
      <c r="B107" s="235"/>
      <c r="C107" s="235"/>
      <c r="D107" s="235"/>
      <c r="E107" s="235"/>
      <c r="F107" s="235"/>
      <c r="G107" s="235"/>
      <c r="H107" s="235"/>
      <c r="I107" s="235"/>
      <c r="J107" s="235"/>
      <c r="K107" s="235"/>
      <c r="L107" s="235"/>
      <c r="M107" s="235"/>
      <c r="N107" s="235"/>
      <c r="O107" s="235"/>
      <c r="P107" s="235"/>
      <c r="Q107" s="235"/>
      <c r="R107" s="235"/>
      <c r="S107" s="235"/>
      <c r="T107" s="235"/>
      <c r="U107" s="235"/>
      <c r="V107" s="235"/>
      <c r="W107" s="236"/>
      <c r="X107" s="236"/>
      <c r="Y107" s="236"/>
      <c r="Z107" s="236"/>
      <c r="AA107" s="237"/>
      <c r="AB107" s="237"/>
      <c r="AC107" s="237"/>
      <c r="AD107" s="237"/>
      <c r="AE107" s="238"/>
      <c r="AF107" s="237"/>
      <c r="AG107" s="237"/>
      <c r="AH107" s="239"/>
      <c r="AI107" s="2"/>
      <c r="AJ107" s="2"/>
      <c r="AK107" s="60"/>
      <c r="AL107" s="60"/>
      <c r="AM107" s="60"/>
      <c r="AN107" s="2"/>
      <c r="AO107" s="2"/>
      <c r="AP107" s="2"/>
      <c r="AQ107" s="2"/>
      <c r="AR107" s="2"/>
    </row>
    <row r="108" spans="1:88" ht="15" x14ac:dyDescent="0.25">
      <c r="A108" s="240" t="s">
        <v>173</v>
      </c>
      <c r="B108" s="241"/>
      <c r="C108" s="241"/>
      <c r="D108" s="241"/>
      <c r="E108" s="241"/>
      <c r="F108" s="241"/>
      <c r="G108" s="241"/>
      <c r="H108" s="241"/>
      <c r="I108" s="241"/>
      <c r="J108" s="241"/>
      <c r="K108" s="241"/>
      <c r="L108" s="241"/>
      <c r="M108" s="241"/>
      <c r="N108" s="241"/>
      <c r="O108" s="241"/>
      <c r="P108" s="241"/>
      <c r="Q108" s="241"/>
      <c r="R108" s="241"/>
      <c r="S108" s="241"/>
      <c r="T108" s="241"/>
      <c r="U108" s="241"/>
      <c r="V108" s="241"/>
      <c r="W108" s="241"/>
      <c r="X108" s="241"/>
      <c r="Y108" s="241"/>
      <c r="Z108" s="241"/>
      <c r="AA108" s="237"/>
      <c r="AB108" s="237"/>
      <c r="AC108" s="237"/>
      <c r="AD108" s="237"/>
      <c r="AE108" s="238"/>
      <c r="AF108" s="237"/>
      <c r="AG108" s="237"/>
      <c r="AH108" s="242"/>
      <c r="AI108" s="2"/>
      <c r="AJ108" s="2"/>
      <c r="AK108" s="60"/>
      <c r="AL108" s="60"/>
      <c r="AM108" s="60"/>
      <c r="AN108" s="2"/>
      <c r="AO108" s="2"/>
      <c r="AP108" s="2"/>
      <c r="AQ108" s="2"/>
      <c r="AR108" s="2"/>
    </row>
    <row r="109" spans="1:88" ht="15" x14ac:dyDescent="0.25">
      <c r="A109" s="243" t="s">
        <v>83</v>
      </c>
      <c r="B109" s="244"/>
      <c r="C109" s="244"/>
      <c r="D109" s="244"/>
      <c r="E109" s="244"/>
      <c r="F109" s="244"/>
      <c r="G109" s="244"/>
      <c r="H109" s="244"/>
      <c r="I109" s="244"/>
      <c r="J109" s="244"/>
      <c r="K109" s="244"/>
      <c r="L109" s="244"/>
      <c r="M109" s="244"/>
      <c r="N109" s="244"/>
      <c r="O109" s="244"/>
      <c r="P109" s="244"/>
      <c r="Q109" s="244"/>
      <c r="R109" s="244"/>
      <c r="S109" s="244"/>
      <c r="T109" s="244"/>
      <c r="U109" s="244"/>
      <c r="V109" s="244"/>
      <c r="W109" s="244"/>
      <c r="X109" s="241"/>
      <c r="Y109" s="241"/>
      <c r="Z109" s="241"/>
      <c r="AA109" s="237"/>
      <c r="AB109" s="237"/>
      <c r="AC109" s="237"/>
      <c r="AD109" s="237"/>
      <c r="AE109" s="238"/>
      <c r="AF109" s="237"/>
      <c r="AG109" s="237"/>
      <c r="AH109" s="245"/>
      <c r="AI109" s="2"/>
      <c r="AJ109" s="2"/>
      <c r="AK109" s="60"/>
      <c r="AL109" s="60"/>
      <c r="AM109" s="60"/>
      <c r="AN109" s="2"/>
      <c r="AO109" s="2"/>
      <c r="AP109" s="2"/>
      <c r="AQ109" s="2"/>
      <c r="AR109" s="2"/>
    </row>
    <row r="110" spans="1:88" ht="22.5" x14ac:dyDescent="0.2">
      <c r="A110" s="76" t="s">
        <v>174</v>
      </c>
      <c r="B110" s="77" t="s">
        <v>175</v>
      </c>
      <c r="C110" s="77">
        <v>4301052220</v>
      </c>
      <c r="D110" s="77">
        <v>4680115889538</v>
      </c>
      <c r="E110" s="78">
        <v>0.8</v>
      </c>
      <c r="F110" s="79">
        <v>6</v>
      </c>
      <c r="G110" s="78">
        <v>4.8</v>
      </c>
      <c r="H110" s="78">
        <v>5.2160000000000002</v>
      </c>
      <c r="I110" s="80">
        <v>104</v>
      </c>
      <c r="J110" s="80" t="s">
        <v>122</v>
      </c>
      <c r="K110" s="81" t="s">
        <v>93</v>
      </c>
      <c r="L110" s="81"/>
      <c r="M110" s="246">
        <v>45</v>
      </c>
      <c r="N110" s="246"/>
      <c r="O110" s="27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P110" s="248"/>
      <c r="Q110" s="248"/>
      <c r="R110" s="248"/>
      <c r="S110" s="248"/>
      <c r="T110" s="82" t="s">
        <v>0</v>
      </c>
      <c r="U110" s="64">
        <v>0</v>
      </c>
      <c r="V110" s="65">
        <f>IFERROR(IF(U110="",0,CEILING((U110/$G110),1)*$G110),"")</f>
        <v>0</v>
      </c>
      <c r="W110" s="64">
        <v>0</v>
      </c>
      <c r="X110" s="65">
        <f>IFERROR(IF(W110="",0,CEILING((W110/$G110),1)*$G110),"")</f>
        <v>0</v>
      </c>
      <c r="Y110" s="64">
        <v>0</v>
      </c>
      <c r="Z110" s="65">
        <f>IFERROR(IF(Y110="",0,CEILING((Y110/$G110),1)*$G110),"")</f>
        <v>0</v>
      </c>
      <c r="AA110" s="64">
        <v>0</v>
      </c>
      <c r="AB110" s="65">
        <f>IFERROR(IF(AA110="",0,CEILING((AA110/$G110),1)*$G110),"")</f>
        <v>0</v>
      </c>
      <c r="AC110" s="64">
        <v>0</v>
      </c>
      <c r="AD110" s="65">
        <f>IFERROR(IF(AC110="",0,CEILING((AC110/$G110),1)*$G110),"")</f>
        <v>0</v>
      </c>
      <c r="AE110" s="66" t="str">
        <f>IF(IFERROR(ROUNDUP(V110/G110,0)*0.01196,0)+IFERROR(ROUNDUP(X110/G110,0)*0.01196,0)+IFERROR(ROUNDUP(Z110/G110,0)*0.01196,0)+IFERROR(ROUNDUP(AB110/G110,0)*0.01196,0)+IFERROR(ROUNDUP(AD110/G110,0)*0.01196,0)=0,"",IFERROR(ROUNDUP(V110/G110,0)*0.01196,0)+IFERROR(ROUNDUP(X110/G110,0)*0.01196,0)+IFERROR(ROUNDUP(Z110/G110,0)*0.01196,0)+IFERROR(ROUNDUP(AB110/G110,0)*0.01196,0)+IFERROR(ROUNDUP(AD110/G110,0)*0.01196,0))</f>
        <v/>
      </c>
      <c r="AF110" s="76" t="s">
        <v>57</v>
      </c>
      <c r="AG110" s="76" t="s">
        <v>57</v>
      </c>
      <c r="AH110" s="179" t="s">
        <v>176</v>
      </c>
      <c r="AI110" s="2"/>
      <c r="AJ110" s="2"/>
      <c r="AK110" s="2"/>
      <c r="AL110" s="60"/>
      <c r="AM110" s="60"/>
      <c r="AN110" s="60"/>
      <c r="AO110" s="2"/>
      <c r="AP110" s="2"/>
      <c r="AQ110" s="2"/>
      <c r="AR110" s="2"/>
      <c r="AS110" s="2"/>
      <c r="AT110" s="2"/>
      <c r="AU110" s="21"/>
      <c r="AV110" s="21"/>
      <c r="AW110" s="22"/>
      <c r="BB110" s="178" t="s">
        <v>65</v>
      </c>
      <c r="BQ110" s="74">
        <f>IFERROR(U110*H110/G110,0)</f>
        <v>0</v>
      </c>
      <c r="BR110" s="74">
        <f>IFERROR(V110*H110/G110,0)</f>
        <v>0</v>
      </c>
      <c r="BS110" s="74">
        <f>IFERROR(1/I110*(U110/G110),0)</f>
        <v>0</v>
      </c>
      <c r="BT110" s="74">
        <f>IFERROR(1/I110*(V110/G110),0)</f>
        <v>0</v>
      </c>
      <c r="BU110" s="74">
        <f>IFERROR(W110*H110/G110,0)</f>
        <v>0</v>
      </c>
      <c r="BV110" s="74">
        <f>IFERROR(X110*H110/G110,0)</f>
        <v>0</v>
      </c>
      <c r="BW110" s="74">
        <f>IFERROR(1/I110*(W110/G110),0)</f>
        <v>0</v>
      </c>
      <c r="BX110" s="74">
        <f>IFERROR(1/I110*(X110/G110),0)</f>
        <v>0</v>
      </c>
      <c r="BY110" s="74">
        <f>IFERROR(Y110*H110/G110,0)</f>
        <v>0</v>
      </c>
      <c r="BZ110" s="74">
        <f>IFERROR(Z110*H110/G110,0)</f>
        <v>0</v>
      </c>
      <c r="CA110" s="74">
        <f>IFERROR(1/I110*(Y110/G110),0)</f>
        <v>0</v>
      </c>
      <c r="CB110" s="74">
        <f>IFERROR(1/I110*(Z110/G110),0)</f>
        <v>0</v>
      </c>
      <c r="CC110" s="74">
        <f>IFERROR(AA110*H110/G110,0)</f>
        <v>0</v>
      </c>
      <c r="CD110" s="74">
        <f>IFERROR(AB110*H110/G110,0)</f>
        <v>0</v>
      </c>
      <c r="CE110" s="74">
        <f>IFERROR(1/I110*(AA110/G110),0)</f>
        <v>0</v>
      </c>
      <c r="CF110" s="74">
        <f>IFERROR(1/I110*(AB110/G110),0)</f>
        <v>0</v>
      </c>
      <c r="CG110" s="74">
        <f>IFERROR(AC110*H110/G110,0)</f>
        <v>0</v>
      </c>
      <c r="CH110" s="74">
        <f>IFERROR(AD110*H110/G110,0)</f>
        <v>0</v>
      </c>
      <c r="CI110" s="74">
        <f>IFERROR(1/I110*(AC110/G110),0)</f>
        <v>0</v>
      </c>
      <c r="CJ110" s="74">
        <f>IFERROR(1/I110*(AD110/G110),0)</f>
        <v>0</v>
      </c>
    </row>
    <row r="111" spans="1:88" x14ac:dyDescent="0.2">
      <c r="A111" s="251"/>
      <c r="B111" s="251"/>
      <c r="C111" s="251"/>
      <c r="D111" s="251"/>
      <c r="E111" s="251"/>
      <c r="F111" s="251"/>
      <c r="G111" s="251"/>
      <c r="H111" s="251"/>
      <c r="I111" s="251"/>
      <c r="J111" s="251"/>
      <c r="K111" s="251"/>
      <c r="L111" s="251"/>
      <c r="M111" s="251"/>
      <c r="N111" s="251"/>
      <c r="O111" s="249" t="s">
        <v>43</v>
      </c>
      <c r="P111" s="250"/>
      <c r="Q111" s="250"/>
      <c r="R111" s="250"/>
      <c r="S111" s="250"/>
      <c r="T111" s="40" t="s">
        <v>42</v>
      </c>
      <c r="U111" s="101">
        <f>IFERROR(U110/G110,0)</f>
        <v>0</v>
      </c>
      <c r="V111" s="101">
        <f>IFERROR(V110/G110,0)</f>
        <v>0</v>
      </c>
      <c r="W111" s="101">
        <f>IFERROR(W110/G110,0)</f>
        <v>0</v>
      </c>
      <c r="X111" s="101">
        <f>IFERROR(X110/G110,0)</f>
        <v>0</v>
      </c>
      <c r="Y111" s="101">
        <f>IFERROR(Y110/G110,0)</f>
        <v>0</v>
      </c>
      <c r="Z111" s="101">
        <f>IFERROR(Z110/G110,0)</f>
        <v>0</v>
      </c>
      <c r="AA111" s="101">
        <f>IFERROR(AA110/G110,0)</f>
        <v>0</v>
      </c>
      <c r="AB111" s="101">
        <f>IFERROR(AB110/G110,0)</f>
        <v>0</v>
      </c>
      <c r="AC111" s="101">
        <f>IFERROR(AC110/G110,0)</f>
        <v>0</v>
      </c>
      <c r="AD111" s="101">
        <f>IFERROR(AD110/G110,0)</f>
        <v>0</v>
      </c>
      <c r="AE111" s="101">
        <f>IFERROR(IF(AE110="",0,AE110),0)</f>
        <v>0</v>
      </c>
      <c r="AF111" s="3"/>
      <c r="AG111" s="3"/>
      <c r="AH111" s="3"/>
      <c r="AI111" s="3"/>
      <c r="AJ111" s="3"/>
      <c r="AK111" s="3"/>
      <c r="AL111" s="61"/>
      <c r="AM111" s="61"/>
      <c r="AN111" s="61"/>
      <c r="AO111" s="3"/>
      <c r="AP111" s="3"/>
      <c r="AQ111" s="2"/>
      <c r="AR111" s="2"/>
      <c r="AS111" s="2"/>
      <c r="AT111" s="2"/>
      <c r="AU111" s="21"/>
      <c r="AV111" s="21"/>
      <c r="AW111" s="22"/>
    </row>
    <row r="112" spans="1:88" x14ac:dyDescent="0.2">
      <c r="A112" s="251"/>
      <c r="B112" s="251"/>
      <c r="C112" s="251"/>
      <c r="D112" s="251"/>
      <c r="E112" s="251"/>
      <c r="F112" s="251"/>
      <c r="G112" s="251"/>
      <c r="H112" s="251"/>
      <c r="I112" s="251"/>
      <c r="J112" s="251"/>
      <c r="K112" s="251"/>
      <c r="L112" s="251"/>
      <c r="M112" s="251"/>
      <c r="N112" s="251"/>
      <c r="O112" s="249" t="s">
        <v>43</v>
      </c>
      <c r="P112" s="250"/>
      <c r="Q112" s="250"/>
      <c r="R112" s="250"/>
      <c r="S112" s="250"/>
      <c r="T112" s="40" t="s">
        <v>0</v>
      </c>
      <c r="U112" s="103">
        <f t="shared" ref="U112:AD112" si="17">IFERROR(SUM(U110:U110),0)</f>
        <v>0</v>
      </c>
      <c r="V112" s="103">
        <f t="shared" si="17"/>
        <v>0</v>
      </c>
      <c r="W112" s="103">
        <f t="shared" si="17"/>
        <v>0</v>
      </c>
      <c r="X112" s="103">
        <f t="shared" si="17"/>
        <v>0</v>
      </c>
      <c r="Y112" s="103">
        <f t="shared" si="17"/>
        <v>0</v>
      </c>
      <c r="Z112" s="103">
        <f t="shared" si="17"/>
        <v>0</v>
      </c>
      <c r="AA112" s="103">
        <f t="shared" si="17"/>
        <v>0</v>
      </c>
      <c r="AB112" s="103">
        <f t="shared" si="17"/>
        <v>0</v>
      </c>
      <c r="AC112" s="103">
        <f t="shared" si="17"/>
        <v>0</v>
      </c>
      <c r="AD112" s="103">
        <f t="shared" si="17"/>
        <v>0</v>
      </c>
      <c r="AE112" s="101" t="s">
        <v>57</v>
      </c>
      <c r="AF112" s="3"/>
      <c r="AG112" s="3"/>
      <c r="AH112" s="3"/>
      <c r="AI112" s="3"/>
      <c r="AJ112" s="3"/>
      <c r="AK112" s="3"/>
      <c r="AL112" s="61"/>
      <c r="AM112" s="61"/>
      <c r="AN112" s="61"/>
      <c r="AO112" s="3"/>
      <c r="AP112" s="3"/>
      <c r="AQ112" s="2"/>
      <c r="AR112" s="2"/>
      <c r="AS112" s="2"/>
      <c r="AT112" s="2"/>
      <c r="AU112" s="21"/>
      <c r="AV112" s="21"/>
      <c r="AW112" s="22"/>
    </row>
    <row r="113" spans="1:51" ht="15" customHeight="1" x14ac:dyDescent="0.2">
      <c r="A113" s="251"/>
      <c r="B113" s="251"/>
      <c r="C113" s="251"/>
      <c r="D113" s="251"/>
      <c r="E113" s="251"/>
      <c r="F113" s="251"/>
      <c r="G113" s="251"/>
      <c r="H113" s="251"/>
      <c r="I113" s="251"/>
      <c r="J113" s="251"/>
      <c r="K113" s="251"/>
      <c r="L113" s="251"/>
      <c r="M113" s="251"/>
      <c r="N113" s="251"/>
      <c r="O113" s="273" t="s">
        <v>35</v>
      </c>
      <c r="P113" s="274"/>
      <c r="Q113" s="274"/>
      <c r="R113" s="274"/>
      <c r="S113" s="274"/>
      <c r="T113" s="40" t="s">
        <v>0</v>
      </c>
      <c r="U113" s="51">
        <f t="shared" ref="U113:AD113" si="18">U23+U29+U35+U40+U46+U51+U57+U63+U67+U72+U77+U81+U86+U92+U97+U102+U106+U112</f>
        <v>200</v>
      </c>
      <c r="V113" s="51">
        <f t="shared" si="18"/>
        <v>201.60000000000002</v>
      </c>
      <c r="W113" s="51">
        <f t="shared" si="18"/>
        <v>0</v>
      </c>
      <c r="X113" s="51">
        <f t="shared" si="18"/>
        <v>0</v>
      </c>
      <c r="Y113" s="51">
        <f t="shared" si="18"/>
        <v>200</v>
      </c>
      <c r="Z113" s="51">
        <f t="shared" si="18"/>
        <v>201.6</v>
      </c>
      <c r="AA113" s="51">
        <f t="shared" si="18"/>
        <v>0</v>
      </c>
      <c r="AB113" s="51">
        <f t="shared" si="18"/>
        <v>0</v>
      </c>
      <c r="AC113" s="51">
        <f t="shared" si="18"/>
        <v>0</v>
      </c>
      <c r="AD113" s="51">
        <f t="shared" si="18"/>
        <v>0</v>
      </c>
      <c r="AE113" s="127" t="s">
        <v>57</v>
      </c>
      <c r="AF113" s="2"/>
      <c r="AG113" s="2"/>
      <c r="AH113" s="121"/>
      <c r="AI113" s="2"/>
      <c r="AJ113" s="2"/>
      <c r="AK113" s="2"/>
      <c r="AL113" s="60"/>
      <c r="AM113" s="60"/>
      <c r="AN113" s="60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</row>
    <row r="114" spans="1:51" x14ac:dyDescent="0.2">
      <c r="A114" s="251"/>
      <c r="B114" s="251"/>
      <c r="C114" s="251"/>
      <c r="D114" s="251"/>
      <c r="E114" s="251"/>
      <c r="F114" s="251"/>
      <c r="G114" s="251"/>
      <c r="H114" s="251"/>
      <c r="I114" s="251"/>
      <c r="J114" s="251"/>
      <c r="K114" s="251"/>
      <c r="L114" s="251"/>
      <c r="M114" s="251"/>
      <c r="N114" s="251"/>
      <c r="O114" s="273" t="s">
        <v>36</v>
      </c>
      <c r="P114" s="274"/>
      <c r="Q114" s="274"/>
      <c r="R114" s="274"/>
      <c r="S114" s="274"/>
      <c r="T114" s="40" t="s">
        <v>0</v>
      </c>
      <c r="U114" s="52">
        <f>IFERROR(SUM(BQ21:BQ110),0)</f>
        <v>219.8095238095238</v>
      </c>
      <c r="V114" s="52">
        <f>IFERROR(SUM(BR21:BR110),0)</f>
        <v>221.56799999999998</v>
      </c>
      <c r="W114" s="52">
        <f>IFERROR(SUM(BU21:BU110),0)</f>
        <v>0</v>
      </c>
      <c r="X114" s="52">
        <f>IFERROR(SUM(BV21:BV110),0)</f>
        <v>0</v>
      </c>
      <c r="Y114" s="52">
        <f>IFERROR(SUM(BY21:BY110),0)</f>
        <v>215</v>
      </c>
      <c r="Z114" s="52">
        <f>IFERROR(SUM(BZ21:BZ110),0)</f>
        <v>216.72000000000003</v>
      </c>
      <c r="AA114" s="52">
        <f>IFERROR(SUM(CC21:CC110),0)</f>
        <v>0</v>
      </c>
      <c r="AB114" s="52">
        <f>IFERROR(SUM(CD21:CD110),0)</f>
        <v>0</v>
      </c>
      <c r="AC114" s="52">
        <f>IFERROR(SUM(CG21:CG110),0)</f>
        <v>0</v>
      </c>
      <c r="AD114" s="52">
        <f>IFERROR(SUM(CH21:CH110),0)</f>
        <v>0</v>
      </c>
      <c r="AE114" s="127" t="s">
        <v>57</v>
      </c>
      <c r="AF114" s="2"/>
      <c r="AG114" s="2"/>
      <c r="AH114" s="122"/>
      <c r="AI114" s="2"/>
      <c r="AJ114" s="2"/>
      <c r="AK114" s="2"/>
      <c r="AL114" s="60"/>
      <c r="AM114" s="60"/>
      <c r="AN114" s="60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</row>
    <row r="115" spans="1:51" x14ac:dyDescent="0.2">
      <c r="A115" s="251"/>
      <c r="B115" s="251"/>
      <c r="C115" s="251"/>
      <c r="D115" s="251"/>
      <c r="E115" s="251"/>
      <c r="F115" s="251"/>
      <c r="G115" s="251"/>
      <c r="H115" s="251"/>
      <c r="I115" s="251"/>
      <c r="J115" s="251"/>
      <c r="K115" s="251"/>
      <c r="L115" s="251"/>
      <c r="M115" s="251"/>
      <c r="N115" s="251"/>
      <c r="O115" s="273" t="s">
        <v>37</v>
      </c>
      <c r="P115" s="274"/>
      <c r="Q115" s="274"/>
      <c r="R115" s="274"/>
      <c r="S115" s="274"/>
      <c r="T115" s="40" t="s">
        <v>22</v>
      </c>
      <c r="U115" s="52">
        <f>ROUNDUP(SUM(BS21:BS110),0)</f>
        <v>1</v>
      </c>
      <c r="V115" s="52">
        <f>ROUNDUP(SUM(BT21:BT110),0)</f>
        <v>1</v>
      </c>
      <c r="W115" s="52">
        <f>ROUNDUP(SUM(BW21:BW110),0)</f>
        <v>0</v>
      </c>
      <c r="X115" s="52">
        <f>ROUNDUP(SUM(BX21:BX110),0)</f>
        <v>0</v>
      </c>
      <c r="Y115" s="52">
        <f>ROUNDUP(SUM(CA21:CA110),0)</f>
        <v>1</v>
      </c>
      <c r="Z115" s="52">
        <f>ROUNDUP(SUM(CB21:CB110),0)</f>
        <v>1</v>
      </c>
      <c r="AA115" s="52">
        <f>ROUNDUP(SUM(CE21:CE110),0)</f>
        <v>0</v>
      </c>
      <c r="AB115" s="52">
        <f>ROUNDUP(SUM(CF21:CF110),0)</f>
        <v>0</v>
      </c>
      <c r="AC115" s="52">
        <f>ROUNDUP(SUM(CI21:CI110),0)</f>
        <v>0</v>
      </c>
      <c r="AD115" s="52">
        <f>ROUNDUP(SUM(CJ21:CJ110),0)</f>
        <v>0</v>
      </c>
      <c r="AE115" s="127" t="s">
        <v>57</v>
      </c>
      <c r="AF115" s="2"/>
      <c r="AG115" s="2"/>
      <c r="AH115" s="123"/>
      <c r="AI115" s="2"/>
      <c r="AJ115" s="2"/>
      <c r="AK115" s="2"/>
      <c r="AL115" s="60"/>
      <c r="AM115" s="60"/>
      <c r="AN115" s="60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</row>
    <row r="116" spans="1:51" x14ac:dyDescent="0.2">
      <c r="A116" s="251"/>
      <c r="B116" s="251"/>
      <c r="C116" s="251"/>
      <c r="D116" s="251"/>
      <c r="E116" s="251"/>
      <c r="F116" s="251"/>
      <c r="G116" s="251"/>
      <c r="H116" s="251"/>
      <c r="I116" s="251"/>
      <c r="J116" s="251"/>
      <c r="K116" s="251"/>
      <c r="L116" s="251"/>
      <c r="M116" s="251"/>
      <c r="N116" s="251"/>
      <c r="O116" s="273" t="s">
        <v>38</v>
      </c>
      <c r="P116" s="274"/>
      <c r="Q116" s="274"/>
      <c r="R116" s="274"/>
      <c r="S116" s="274"/>
      <c r="T116" s="40" t="s">
        <v>0</v>
      </c>
      <c r="U116" s="51">
        <f t="shared" ref="U116:AD116" si="19">U114+U115*25</f>
        <v>244.8095238095238</v>
      </c>
      <c r="V116" s="51">
        <f t="shared" si="19"/>
        <v>246.56799999999998</v>
      </c>
      <c r="W116" s="51">
        <f t="shared" si="19"/>
        <v>0</v>
      </c>
      <c r="X116" s="51">
        <f t="shared" si="19"/>
        <v>0</v>
      </c>
      <c r="Y116" s="51">
        <f t="shared" si="19"/>
        <v>240</v>
      </c>
      <c r="Z116" s="51">
        <f t="shared" si="19"/>
        <v>241.72000000000003</v>
      </c>
      <c r="AA116" s="51">
        <f t="shared" si="19"/>
        <v>0</v>
      </c>
      <c r="AB116" s="51">
        <f t="shared" si="19"/>
        <v>0</v>
      </c>
      <c r="AC116" s="51">
        <f t="shared" si="19"/>
        <v>0</v>
      </c>
      <c r="AD116" s="51">
        <f t="shared" si="19"/>
        <v>0</v>
      </c>
      <c r="AE116" s="127" t="s">
        <v>57</v>
      </c>
      <c r="AL116" s="60"/>
      <c r="AM116" s="60"/>
      <c r="AN116" s="60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</row>
    <row r="117" spans="1:51" x14ac:dyDescent="0.2">
      <c r="A117" s="251"/>
      <c r="B117" s="251"/>
      <c r="C117" s="251"/>
      <c r="D117" s="251"/>
      <c r="E117" s="251"/>
      <c r="F117" s="251"/>
      <c r="G117" s="251"/>
      <c r="H117" s="251"/>
      <c r="I117" s="251"/>
      <c r="J117" s="251"/>
      <c r="K117" s="251"/>
      <c r="L117" s="251"/>
      <c r="M117" s="251"/>
      <c r="N117" s="251"/>
      <c r="O117" s="273" t="s">
        <v>39</v>
      </c>
      <c r="P117" s="274"/>
      <c r="Q117" s="274"/>
      <c r="R117" s="274"/>
      <c r="S117" s="274"/>
      <c r="T117" s="40" t="s">
        <v>22</v>
      </c>
      <c r="U117" s="126">
        <f t="shared" ref="U117:AD117" si="20">U22+U28+U34+U39+U45+U50+U56+U62+U66+U71+U76+U80+U85+U91+U96+U101+U105+U111</f>
        <v>47.61904761904762</v>
      </c>
      <c r="V117" s="126">
        <f t="shared" si="20"/>
        <v>48</v>
      </c>
      <c r="W117" s="126">
        <f t="shared" si="20"/>
        <v>0</v>
      </c>
      <c r="X117" s="126">
        <f t="shared" si="20"/>
        <v>0</v>
      </c>
      <c r="Y117" s="126">
        <f t="shared" si="20"/>
        <v>83.333333333333343</v>
      </c>
      <c r="Z117" s="126">
        <f t="shared" si="20"/>
        <v>84</v>
      </c>
      <c r="AA117" s="126">
        <f t="shared" si="20"/>
        <v>0</v>
      </c>
      <c r="AB117" s="126">
        <f t="shared" si="20"/>
        <v>0</v>
      </c>
      <c r="AC117" s="126">
        <f t="shared" si="20"/>
        <v>0</v>
      </c>
      <c r="AD117" s="126">
        <f t="shared" si="20"/>
        <v>0</v>
      </c>
      <c r="AE117" s="127" t="s">
        <v>57</v>
      </c>
      <c r="AL117" s="60"/>
      <c r="AM117" s="60"/>
      <c r="AN117" s="60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</row>
    <row r="118" spans="1:51" ht="14.25" x14ac:dyDescent="0.2">
      <c r="A118" s="251"/>
      <c r="B118" s="251"/>
      <c r="C118" s="251"/>
      <c r="D118" s="251"/>
      <c r="E118" s="251"/>
      <c r="F118" s="251"/>
      <c r="G118" s="251"/>
      <c r="H118" s="251"/>
      <c r="I118" s="251"/>
      <c r="J118" s="251"/>
      <c r="K118" s="251"/>
      <c r="L118" s="251"/>
      <c r="M118" s="251"/>
      <c r="N118" s="251"/>
      <c r="O118" s="273" t="s">
        <v>41</v>
      </c>
      <c r="P118" s="274"/>
      <c r="Q118" s="274"/>
      <c r="R118" s="274"/>
      <c r="S118" s="274"/>
      <c r="T118" s="41" t="s">
        <v>40</v>
      </c>
      <c r="U118" s="127" t="s">
        <v>57</v>
      </c>
      <c r="V118" s="127" t="s">
        <v>57</v>
      </c>
      <c r="W118" s="127" t="s">
        <v>57</v>
      </c>
      <c r="X118" s="127" t="s">
        <v>57</v>
      </c>
      <c r="Y118" s="127" t="s">
        <v>57</v>
      </c>
      <c r="Z118" s="127" t="s">
        <v>57</v>
      </c>
      <c r="AA118" s="127" t="s">
        <v>57</v>
      </c>
      <c r="AB118" s="127" t="s">
        <v>57</v>
      </c>
      <c r="AC118" s="127" t="s">
        <v>57</v>
      </c>
      <c r="AD118" s="127" t="s">
        <v>57</v>
      </c>
      <c r="AE118" s="127">
        <f>AE22+AE28+AE34+AE39+AE45+AE50+AE56+AE62+AE66+AE71+AE76+AE80+AE85+AE91+AE96+AE101+AE105+AE111</f>
        <v>1.1209199999999999</v>
      </c>
      <c r="AL118" s="60"/>
      <c r="AM118" s="60"/>
      <c r="AN118" s="60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</row>
    <row r="119" spans="1:51" ht="12.75" customHeight="1" thickBot="1" x14ac:dyDescent="0.25">
      <c r="A119" s="6"/>
      <c r="B119" s="6"/>
      <c r="C119" s="6"/>
      <c r="D119" s="6"/>
      <c r="E119" s="6"/>
      <c r="F119" s="7"/>
      <c r="G119" s="7"/>
      <c r="H119" s="6"/>
      <c r="I119" s="6"/>
      <c r="J119" s="6"/>
      <c r="K119" s="11"/>
      <c r="L119" s="11"/>
      <c r="M119" s="11"/>
      <c r="N119" s="8"/>
      <c r="O119" s="9"/>
      <c r="P119" s="9"/>
      <c r="Q119" s="10"/>
      <c r="T119" s="4"/>
      <c r="U119" s="180"/>
      <c r="V119" s="181"/>
      <c r="W119" s="182"/>
      <c r="X119" s="182"/>
      <c r="Y119" s="182"/>
      <c r="Z119" s="182"/>
      <c r="AA119" s="181"/>
      <c r="AB119" s="181"/>
      <c r="AC119" s="181"/>
      <c r="AD119" s="181"/>
      <c r="AE119" s="181"/>
      <c r="AH119" s="128"/>
      <c r="AK119" s="60"/>
      <c r="AL119" s="60"/>
      <c r="AM119" s="60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</row>
    <row r="120" spans="1:51" ht="26.25" thickBot="1" x14ac:dyDescent="0.25">
      <c r="A120" s="56" t="s">
        <v>10</v>
      </c>
      <c r="B120" s="83" t="s">
        <v>82</v>
      </c>
      <c r="C120" s="83" t="s">
        <v>89</v>
      </c>
      <c r="D120" s="275" t="s">
        <v>95</v>
      </c>
      <c r="E120" s="275" t="s">
        <v>95</v>
      </c>
      <c r="F120" s="275" t="s">
        <v>95</v>
      </c>
      <c r="G120" s="275" t="s">
        <v>95</v>
      </c>
      <c r="H120" s="275" t="s">
        <v>95</v>
      </c>
      <c r="I120" s="275" t="s">
        <v>127</v>
      </c>
      <c r="J120" s="223"/>
      <c r="K120" s="275" t="s">
        <v>127</v>
      </c>
      <c r="L120" s="276"/>
      <c r="M120" s="275" t="s">
        <v>127</v>
      </c>
      <c r="N120" s="275" t="s">
        <v>127</v>
      </c>
      <c r="O120" s="275" t="s">
        <v>127</v>
      </c>
      <c r="P120" s="275" t="s">
        <v>127</v>
      </c>
      <c r="Q120" s="83" t="s">
        <v>172</v>
      </c>
      <c r="T120" s="4"/>
      <c r="W120" s="19"/>
      <c r="X120" s="19"/>
      <c r="Y120" s="19"/>
      <c r="Z120" s="19"/>
      <c r="AE120" s="183"/>
      <c r="AH120" s="129"/>
      <c r="AK120" s="60"/>
      <c r="AL120" s="60"/>
      <c r="AM120" s="60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</row>
    <row r="121" spans="1:51" ht="13.5" thickBot="1" x14ac:dyDescent="0.25">
      <c r="A121" s="277" t="s">
        <v>11</v>
      </c>
      <c r="B121" s="275" t="s">
        <v>82</v>
      </c>
      <c r="C121" s="275" t="s">
        <v>90</v>
      </c>
      <c r="D121" s="275" t="s">
        <v>96</v>
      </c>
      <c r="E121" s="275" t="s">
        <v>103</v>
      </c>
      <c r="F121" s="275" t="s">
        <v>107</v>
      </c>
      <c r="G121" s="275" t="s">
        <v>115</v>
      </c>
      <c r="H121" s="275" t="s">
        <v>95</v>
      </c>
      <c r="I121" s="275" t="s">
        <v>128</v>
      </c>
      <c r="K121" s="275" t="s">
        <v>140</v>
      </c>
      <c r="L121" s="12"/>
      <c r="M121" s="275" t="s">
        <v>140</v>
      </c>
      <c r="N121" s="275" t="s">
        <v>150</v>
      </c>
      <c r="O121" s="275" t="s">
        <v>154</v>
      </c>
      <c r="P121" s="275" t="s">
        <v>165</v>
      </c>
      <c r="Q121" s="275" t="s">
        <v>173</v>
      </c>
      <c r="T121" s="4"/>
      <c r="W121" s="19"/>
      <c r="X121" s="19"/>
      <c r="Y121" s="19"/>
      <c r="Z121" s="19"/>
      <c r="AE121" s="183"/>
      <c r="AH121" s="130"/>
      <c r="AK121" s="60"/>
      <c r="AL121" s="60"/>
      <c r="AM121" s="60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</row>
    <row r="122" spans="1:51" ht="13.5" thickBot="1" x14ac:dyDescent="0.25">
      <c r="A122" s="277"/>
      <c r="B122" s="275"/>
      <c r="C122" s="275"/>
      <c r="D122" s="275"/>
      <c r="E122" s="275"/>
      <c r="F122" s="275"/>
      <c r="G122" s="275"/>
      <c r="H122" s="275"/>
      <c r="I122" s="275"/>
      <c r="K122" s="275"/>
      <c r="L122" s="12"/>
      <c r="M122" s="275"/>
      <c r="N122" s="275"/>
      <c r="O122" s="275"/>
      <c r="P122" s="275"/>
      <c r="Q122" s="275"/>
      <c r="T122" s="4"/>
      <c r="W122" s="19"/>
      <c r="X122" s="19"/>
      <c r="Y122" s="19"/>
      <c r="Z122" s="19"/>
      <c r="AE122" s="183"/>
      <c r="AK122" s="60"/>
      <c r="AL122" s="60"/>
      <c r="AM122" s="60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</row>
    <row r="123" spans="1:51" ht="17.25" thickBot="1" x14ac:dyDescent="0.25">
      <c r="A123" s="56" t="s">
        <v>14</v>
      </c>
      <c r="B123" s="57">
        <f>IFERROR(IF(V21="",0,V21)+IF(X21="",0,X21)+IF(Z21="",0,Z21)+IF(AB21="",0,AB21)+IF(AD21="",0,AD21),0)</f>
        <v>0</v>
      </c>
      <c r="C123" s="57">
        <f>IFERROR(IF(V27="",0,V27)+IF(X27="",0,X27)+IF(Z27="",0,Z27)+IF(AB27="",0,AB27)+IF(AD27="",0,AD27),0)</f>
        <v>0</v>
      </c>
      <c r="D123" s="57">
        <f>IFERROR(IF(V33="",0,V33)+IF(X33="",0,X33)+IF(Z33="",0,Z33)+IF(AB33="",0,AB33)+IF(AD33="",0,AD33),0)</f>
        <v>0</v>
      </c>
      <c r="E123" s="57">
        <f>IFERROR(IF(V38="",0,V38)+IF(X38="",0,X38)+IF(Z38="",0,Z38)+IF(AB38="",0,AB38)+IF(AD38="",0,AD38),0)</f>
        <v>0</v>
      </c>
      <c r="F123" s="57">
        <f>IFERROR(IF(V43="",0,V43)+IF(X43="",0,X43)+IF(Z43="",0,Z43)+IF(AB43="",0,AB43)+IF(AD43="",0,AD43)+IF(V44="",0,V44)+IF(X44="",0,X44)+IF(Z44="",0,Z44)+IF(AB44="",0,AB44)+IF(AD44="",0,AD44),0)</f>
        <v>0</v>
      </c>
      <c r="G123" s="57">
        <f>IFERROR(IF(V49="",0,V49)+IF(X49="",0,X49)+IF(Z49="",0,Z49)+IF(AB49="",0,AB49)+IF(AD49="",0,AD49),0)</f>
        <v>0</v>
      </c>
      <c r="H123" s="57">
        <f>IFERROR(IF(V54="",0,V54)+IF(X54="",0,X54)+IF(Z54="",0,Z54)+IF(AB54="",0,AB54)+IF(AD54="",0,AD54)+IF(V55="",0,V55)+IF(X55="",0,X55)+IF(Z55="",0,Z55)+IF(AB55="",0,AB55)+IF(AD55="",0,AD55),0)</f>
        <v>0</v>
      </c>
      <c r="I123" s="57">
        <f>IFERROR(IF(V61="",0,V61)+IF(X61="",0,X61)+IF(Z61="",0,Z61)+IF(AB61="",0,AB61)+IF(AD61="",0,AD61)+IF(V65="",0,V65)+IF(X65="",0,X65)+IF(Z65="",0,Z65)+IF(AB65="",0,AB65)+IF(AD65="",0,AD65),0)</f>
        <v>0</v>
      </c>
      <c r="K123" s="57">
        <f>IFERROR(IF(V75="",0,V75)+IF(X75="",0,X75)+IF(Z75="",0,Z75)+IF(AB75="",0,AB75)+IF(AD75="",0,AD75)+IF(V79="",0,V79)+IF(X79="",0,X79)+IF(Z79="",0,Z79)+IF(AB79="",0,AB79)+IF(AD79="",0,AD79),0)</f>
        <v>0</v>
      </c>
      <c r="L123" s="12"/>
      <c r="M123" s="57">
        <f>IFERROR(IF(V75="",0,V75)+IF(X75="",0,X75)+IF(Z75="",0,Z75)+IF(AB75="",0,AB75)+IF(AD75="",0,AD75)+IF(V79="",0,V79)+IF(X79="",0,X79)+IF(Z79="",0,Z79)+IF(AB79="",0,AB79)+IF(AD79="",0,AD79),0)</f>
        <v>0</v>
      </c>
      <c r="N123" s="57">
        <f>IFERROR(IF(V84="",0,V84)+IF(X84="",0,X84)+IF(Z84="",0,Z84)+IF(AB84="",0,AB84)+IF(AD84="",0,AD84),0)</f>
        <v>0</v>
      </c>
      <c r="O123" s="57">
        <f>IFERROR(IF(V89="",0,V89)+IF(X89="",0,X89)+IF(Z89="",0,Z89)+IF(AB89="",0,AB89)+IF(AD89="",0,AD89)+IF(V90="",0,V90)+IF(X90="",0,X90)+IF(Z90="",0,Z90)+IF(AB90="",0,AB90)+IF(AD90="",0,AD90)+IF(V94="",0,V94)+IF(X94="",0,X94)+IF(Z94="",0,Z94)+IF(AB94="",0,AB94)+IF(AD94="",0,AD94)+IF(V95="",0,V95)+IF(X95="",0,X95)+IF(Z95="",0,Z95)+IF(AB95="",0,AB95)+IF(AD95="",0,AD95),0)</f>
        <v>403.20000000000005</v>
      </c>
      <c r="P123" s="57">
        <f>IFERROR(IF(V100="",0,V100)+IF(X100="",0,X100)+IF(Z100="",0,Z100)+IF(AB100="",0,AB100)+IF(AD100="",0,AD100)+IF(V104="",0,V104)+IF(X104="",0,X104)+IF(Z104="",0,Z104)+IF(AB104="",0,AB104)+IF(AD104="",0,AD104),0)</f>
        <v>0</v>
      </c>
      <c r="Q123" s="57">
        <f>IFERROR(IF(V110="",0,V110)+IF(X110="",0,X110)+IF(Z110="",0,Z110)+IF(AB110="",0,AB110)+IF(AD110="",0,AD110),0)</f>
        <v>0</v>
      </c>
      <c r="T123" s="4"/>
      <c r="U123" s="133"/>
      <c r="V123" s="134"/>
      <c r="W123" s="135"/>
      <c r="X123" s="136"/>
      <c r="Y123" s="137"/>
      <c r="Z123" s="138"/>
      <c r="AA123" s="139"/>
      <c r="AB123" s="140"/>
      <c r="AC123" s="141"/>
      <c r="AD123" s="184"/>
      <c r="AE123" s="183"/>
      <c r="AK123" s="60"/>
      <c r="AL123" s="60"/>
      <c r="AM123" s="60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</row>
    <row r="124" spans="1:51" x14ac:dyDescent="0.2">
      <c r="AE124" s="183"/>
    </row>
  </sheetData>
  <sheetProtection algorithmName="SHA-512" hashValue="UfTAKdNBjfhJGJzbH7MIuhg0gsR6fmESMjHscREtecWxY4BnfPt68MnBxpmAH570UUORiRblQabqMldp0B/bjQ==" saltValue="8tCovhgrFdYoWPnf61JcgA==" spinCount="100000" sheet="1" objects="1" scenarios="1" sort="0" autoFilter="0" pivotTables="0"/>
  <autoFilter ref="A17:BC118" xr:uid="{00000000-0009-0000-0000-000000000000}">
    <filterColumn colId="12" showButton="0"/>
    <filterColumn colId="14" showButton="0"/>
    <filterColumn colId="15" showButton="0"/>
    <filterColumn colId="16" showButton="0"/>
    <filterColumn colId="17" showButton="0"/>
  </autoFilter>
  <dataConsolidate/>
  <mergeCells count="210">
    <mergeCell ref="K121:K122"/>
    <mergeCell ref="M121:M122"/>
    <mergeCell ref="N121:N122"/>
    <mergeCell ref="O121:O122"/>
    <mergeCell ref="P121:P122"/>
    <mergeCell ref="Q121:Q122"/>
    <mergeCell ref="A121:A122"/>
    <mergeCell ref="B121:B122"/>
    <mergeCell ref="C121:C122"/>
    <mergeCell ref="D121:D122"/>
    <mergeCell ref="E121:E122"/>
    <mergeCell ref="F121:F122"/>
    <mergeCell ref="G121:G122"/>
    <mergeCell ref="H121:H122"/>
    <mergeCell ref="I121:I122"/>
    <mergeCell ref="O113:S113"/>
    <mergeCell ref="A113:N118"/>
    <mergeCell ref="O114:S114"/>
    <mergeCell ref="O115:S115"/>
    <mergeCell ref="O116:S116"/>
    <mergeCell ref="O117:S117"/>
    <mergeCell ref="O118:S118"/>
    <mergeCell ref="D120:H120"/>
    <mergeCell ref="I120:P120"/>
    <mergeCell ref="O105:S105"/>
    <mergeCell ref="A105:N106"/>
    <mergeCell ref="O106:S106"/>
    <mergeCell ref="A107:AH107"/>
    <mergeCell ref="A108:AH108"/>
    <mergeCell ref="A109:AH109"/>
    <mergeCell ref="M110:N110"/>
    <mergeCell ref="O110:S110"/>
    <mergeCell ref="O111:S111"/>
    <mergeCell ref="A111:N112"/>
    <mergeCell ref="O112:S112"/>
    <mergeCell ref="A98:AH98"/>
    <mergeCell ref="A99:AH99"/>
    <mergeCell ref="M100:N100"/>
    <mergeCell ref="O100:S100"/>
    <mergeCell ref="O101:S101"/>
    <mergeCell ref="A101:N102"/>
    <mergeCell ref="O102:S102"/>
    <mergeCell ref="A103:AH103"/>
    <mergeCell ref="M104:N104"/>
    <mergeCell ref="O104:S104"/>
    <mergeCell ref="O91:S91"/>
    <mergeCell ref="A91:N92"/>
    <mergeCell ref="O92:S92"/>
    <mergeCell ref="A93:AH93"/>
    <mergeCell ref="M94:N94"/>
    <mergeCell ref="O94:S94"/>
    <mergeCell ref="M95:N95"/>
    <mergeCell ref="O95:S95"/>
    <mergeCell ref="O96:S96"/>
    <mergeCell ref="A96:N97"/>
    <mergeCell ref="O97:S97"/>
    <mergeCell ref="O85:S85"/>
    <mergeCell ref="A85:N86"/>
    <mergeCell ref="O86:S86"/>
    <mergeCell ref="A87:AH87"/>
    <mergeCell ref="A88:AH88"/>
    <mergeCell ref="M89:N89"/>
    <mergeCell ref="O89:S89"/>
    <mergeCell ref="M90:N90"/>
    <mergeCell ref="O90:S90"/>
    <mergeCell ref="A78:AH78"/>
    <mergeCell ref="M79:N79"/>
    <mergeCell ref="O79:S79"/>
    <mergeCell ref="O80:S80"/>
    <mergeCell ref="A80:N81"/>
    <mergeCell ref="O81:S81"/>
    <mergeCell ref="A82:AH82"/>
    <mergeCell ref="A83:AH83"/>
    <mergeCell ref="M84:N84"/>
    <mergeCell ref="O84:S84"/>
    <mergeCell ref="O71:S71"/>
    <mergeCell ref="A71:N72"/>
    <mergeCell ref="O72:S72"/>
    <mergeCell ref="A73:AH73"/>
    <mergeCell ref="A74:AH74"/>
    <mergeCell ref="M75:N75"/>
    <mergeCell ref="O75:S75"/>
    <mergeCell ref="O76:S76"/>
    <mergeCell ref="A76:N77"/>
    <mergeCell ref="O77:S77"/>
    <mergeCell ref="A64:AH64"/>
    <mergeCell ref="M65:N65"/>
    <mergeCell ref="O65:S65"/>
    <mergeCell ref="O66:S66"/>
    <mergeCell ref="A66:N67"/>
    <mergeCell ref="O67:S67"/>
    <mergeCell ref="A68:AH68"/>
    <mergeCell ref="A69:AH69"/>
    <mergeCell ref="M70:N70"/>
    <mergeCell ref="O70:S70"/>
    <mergeCell ref="O56:S56"/>
    <mergeCell ref="A56:N57"/>
    <mergeCell ref="O57:S57"/>
    <mergeCell ref="A58:AH58"/>
    <mergeCell ref="A59:AH59"/>
    <mergeCell ref="A60:AH60"/>
    <mergeCell ref="M61:N61"/>
    <mergeCell ref="O61:S61"/>
    <mergeCell ref="O62:S62"/>
    <mergeCell ref="A62:N63"/>
    <mergeCell ref="O63:S63"/>
    <mergeCell ref="O50:S50"/>
    <mergeCell ref="A50:N51"/>
    <mergeCell ref="O51:S51"/>
    <mergeCell ref="A52:AH52"/>
    <mergeCell ref="A53:AH53"/>
    <mergeCell ref="M54:N54"/>
    <mergeCell ref="O54:S54"/>
    <mergeCell ref="M55:N55"/>
    <mergeCell ref="O55:S55"/>
    <mergeCell ref="M44:N44"/>
    <mergeCell ref="O44:S44"/>
    <mergeCell ref="O45:S45"/>
    <mergeCell ref="A45:N46"/>
    <mergeCell ref="O46:S46"/>
    <mergeCell ref="A47:AH47"/>
    <mergeCell ref="A48:AH48"/>
    <mergeCell ref="M49:N49"/>
    <mergeCell ref="O49:S49"/>
    <mergeCell ref="M38:N38"/>
    <mergeCell ref="O38:S38"/>
    <mergeCell ref="O39:S39"/>
    <mergeCell ref="A39:N40"/>
    <mergeCell ref="O40:S40"/>
    <mergeCell ref="A41:AH41"/>
    <mergeCell ref="A42:AH42"/>
    <mergeCell ref="M43:N43"/>
    <mergeCell ref="O43:S43"/>
    <mergeCell ref="A31:AH31"/>
    <mergeCell ref="A32:AH32"/>
    <mergeCell ref="M33:N33"/>
    <mergeCell ref="O33:S33"/>
    <mergeCell ref="O34:S34"/>
    <mergeCell ref="A34:N35"/>
    <mergeCell ref="O35:S35"/>
    <mergeCell ref="A36:AH36"/>
    <mergeCell ref="A37:AH37"/>
    <mergeCell ref="A24:AH24"/>
    <mergeCell ref="A25:AH25"/>
    <mergeCell ref="A26:AH26"/>
    <mergeCell ref="M27:N27"/>
    <mergeCell ref="O27:S27"/>
    <mergeCell ref="O28:S28"/>
    <mergeCell ref="A28:N29"/>
    <mergeCell ref="O29:S29"/>
    <mergeCell ref="A30:AH30"/>
    <mergeCell ref="M17:N17"/>
    <mergeCell ref="O17:S17"/>
    <mergeCell ref="AI17:AK17"/>
    <mergeCell ref="A18:AH18"/>
    <mergeCell ref="A19:AH19"/>
    <mergeCell ref="A20:AH20"/>
    <mergeCell ref="M21:N21"/>
    <mergeCell ref="O21:S21"/>
    <mergeCell ref="O22:S22"/>
    <mergeCell ref="A22:N23"/>
    <mergeCell ref="O23:S23"/>
    <mergeCell ref="B10:D10"/>
    <mergeCell ref="E10:F10"/>
    <mergeCell ref="G10:H10"/>
    <mergeCell ref="I10:N10"/>
    <mergeCell ref="A12:N12"/>
    <mergeCell ref="A13:N13"/>
    <mergeCell ref="A14:N14"/>
    <mergeCell ref="A15:N15"/>
    <mergeCell ref="U15:AD15"/>
    <mergeCell ref="O15:S16"/>
    <mergeCell ref="U16:V16"/>
    <mergeCell ref="W16:X16"/>
    <mergeCell ref="Y16:Z16"/>
    <mergeCell ref="AA16:AB16"/>
    <mergeCell ref="AC16:AD16"/>
    <mergeCell ref="AA9:AB9"/>
    <mergeCell ref="U5:AD5"/>
    <mergeCell ref="A6:D6"/>
    <mergeCell ref="E6:N6"/>
    <mergeCell ref="R6:R8"/>
    <mergeCell ref="S6:S8"/>
    <mergeCell ref="U6:V8"/>
    <mergeCell ref="W6:X8"/>
    <mergeCell ref="Y6:Z8"/>
    <mergeCell ref="AA6:AB8"/>
    <mergeCell ref="AC6:AD8"/>
    <mergeCell ref="E7:N7"/>
    <mergeCell ref="A8:D8"/>
    <mergeCell ref="E8:N8"/>
    <mergeCell ref="AC9:AD9"/>
    <mergeCell ref="B9:D9"/>
    <mergeCell ref="E9:F9"/>
    <mergeCell ref="G9:H9"/>
    <mergeCell ref="I9:K9"/>
    <mergeCell ref="M9:N9"/>
    <mergeCell ref="U9:V9"/>
    <mergeCell ref="W9:X9"/>
    <mergeCell ref="Y9:Z9"/>
    <mergeCell ref="A1:E1"/>
    <mergeCell ref="G1:P1"/>
    <mergeCell ref="Q1:R1"/>
    <mergeCell ref="B2:C2"/>
    <mergeCell ref="F2:H2"/>
    <mergeCell ref="O2:R3"/>
    <mergeCell ref="A5:D5"/>
    <mergeCell ref="E5:F5"/>
    <mergeCell ref="G5:H5"/>
    <mergeCell ref="I5:N5"/>
  </mergeCells>
  <phoneticPr fontId="3" type="noConversion"/>
  <conditionalFormatting sqref="O9:Q13 I9:J10 M9 B9:F9 B10:D10 E8:N8 A8">
    <cfRule type="expression" dxfId="3" priority="25" stopIfTrue="1">
      <formula>IF($S$5="самовывоз",1,0)</formula>
    </cfRule>
  </conditionalFormatting>
  <conditionalFormatting sqref="G9:H9">
    <cfRule type="expression" dxfId="2" priority="4" stopIfTrue="1">
      <formula>IF($S$5="самовывоз",1,0)</formula>
    </cfRule>
  </conditionalFormatting>
  <conditionalFormatting sqref="G10:H10">
    <cfRule type="expression" dxfId="1" priority="3" stopIfTrue="1">
      <formula>IF($S$5="самовывоз",1,0)</formula>
    </cfRule>
  </conditionalFormatting>
  <conditionalFormatting sqref="E10:F10">
    <cfRule type="expression" dxfId="0" priority="1" stopIfTrue="1">
      <formula>IF($S$5="самовывоз",1,0)</formula>
    </cfRule>
  </conditionalFormatting>
  <dataValidations xWindow="1604" yWindow="464" count="16">
    <dataValidation operator="equal" allowBlank="1" showInputMessage="1" showErrorMessage="1" error="укажите вес, кратный весу коробки" sqref="Y21:Z23 W21:X21" xr:uid="{00000000-0002-0000-0000-000000000000}"/>
    <dataValidation allowBlank="1" showInputMessage="1" showErrorMessage="1" prompt="День недели загрузки. Считается сам." sqref="O6:Q7" xr:uid="{00000000-0002-0000-0000-000001000000}"/>
    <dataValidation allowBlank="1" showInputMessage="1" showErrorMessage="1" prompt="Введите код клиента в системе Axapta" sqref="S9" xr:uid="{00000000-0002-0000-0000-000002000000}"/>
    <dataValidation allowBlank="1" showInputMessage="1" showErrorMessage="1" prompt="Введите название вашей фирмы." sqref="S6:S7" xr:uid="{00000000-0002-0000-0000-000003000000}"/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" xr:uid="{00000000-0002-0000-0000-000004000000}">
      <formula1>43831</formula1>
      <formula2>47484</formula2>
    </dataValidation>
    <dataValidation type="time" showInputMessage="1" showErrorMessage="1" errorTitle="Внимание!" error="Укаите время загрузки. Пример: 9:00" prompt="Укаите время загрузки. Пример: 9:00" sqref="Q8" xr:uid="{00000000-0002-0000-0000-000005000000}">
      <formula1>0.000694444444444444</formula1>
      <formula2>0.999305555555556</formula2>
    </dataValidation>
    <dataValidation type="list" allowBlank="1" showInputMessage="1" showErrorMessage="1" sqref="E9:F9" xr:uid="{00000000-0002-0000-0000-000006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prompt="Определите тип Вашего заказа" sqref="S10:T10" xr:uid="{00000000-0002-0000-0000-000007000000}">
      <formula1>"Дозаказ, Замена, Основной заказ"</formula1>
    </dataValidation>
    <dataValidation type="list" allowBlank="1" showInputMessage="1" showErrorMessage="1" sqref="S5" xr:uid="{00000000-0002-0000-0000-000008000000}">
      <formula1>DeliveryMethodList</formula1>
    </dataValidation>
    <dataValidation type="list" allowBlank="1" showInputMessage="1" showErrorMessage="1" sqref="E6:N6" xr:uid="{00000000-0002-0000-0000-000009000000}">
      <formula1>DeliveryAdressList</formula1>
    </dataValidation>
    <dataValidation type="list" allowBlank="1" showInputMessage="1" showErrorMessage="1" sqref="M8:N8" xr:uid="{00000000-0002-0000-0000-00000A000000}">
      <formula1>CHOOSE($E$7,UnloadAdressList)</formula1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Q13" xr:uid="{00000000-0002-0000-0000-00000B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" xr:uid="{00000000-0002-0000-0000-00000C000000}">
      <formula1>43831</formula1>
      <formula2>47484</formula2>
    </dataValidation>
    <dataValidation type="list" allowBlank="1" showInputMessage="1" showErrorMessage="1" sqref="E10:F10" xr:uid="{00000000-0002-0000-0000-00000D000000}">
      <formula1>IF($E$9="Уполномоченное лицо",NumProxySet,null)</formula1>
    </dataValidation>
    <dataValidation type="list" allowBlank="1" showInputMessage="1" showErrorMessage="1" sqref="S11" xr:uid="{00000000-0002-0000-0000-00000E000000}">
      <formula1>DeliveryConditionsList</formula1>
    </dataValidation>
    <dataValidation type="list" allowBlank="1" showInputMessage="1" showErrorMessage="1" sqref="E8:L8" xr:uid="{00000000-0002-0000-0000-00000F000000}">
      <formula1>CHOOSE($E$7,UnloadAdressList0001,UnloadAdressList0002,UnloadAdressList0003)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I9 M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/>
  <dimension ref="B1:H32"/>
  <sheetViews>
    <sheetView workbookViewId="0">
      <selection activeCell="B9" sqref="B9"/>
    </sheetView>
  </sheetViews>
  <sheetFormatPr defaultColWidth="8.85546875" defaultRowHeight="12.75" x14ac:dyDescent="0.2"/>
  <cols>
    <col min="1" max="1" width="8.85546875" customWidth="1"/>
    <col min="2" max="2" width="19.42578125" customWidth="1"/>
    <col min="3" max="3" width="19.5703125" customWidth="1"/>
    <col min="4" max="4" width="21.42578125" customWidth="1"/>
  </cols>
  <sheetData>
    <row r="1" spans="2:8" x14ac:dyDescent="0.2">
      <c r="C1" s="48"/>
      <c r="D1" s="48"/>
      <c r="G1" t="s">
        <v>177</v>
      </c>
      <c r="H1" s="48"/>
    </row>
    <row r="2" spans="2:8" x14ac:dyDescent="0.2">
      <c r="B2" s="47"/>
      <c r="C2" s="47"/>
      <c r="D2" s="47"/>
    </row>
    <row r="3" spans="2:8" x14ac:dyDescent="0.2">
      <c r="B3" t="s">
        <v>178</v>
      </c>
      <c r="C3" t="s">
        <v>57</v>
      </c>
      <c r="D3" t="s">
        <v>57</v>
      </c>
      <c r="E3" t="s">
        <v>57</v>
      </c>
    </row>
    <row r="4" spans="2:8" x14ac:dyDescent="0.2">
      <c r="B4" t="s">
        <v>179</v>
      </c>
      <c r="C4" t="s">
        <v>57</v>
      </c>
      <c r="D4" t="s">
        <v>57</v>
      </c>
      <c r="E4" t="s">
        <v>57</v>
      </c>
    </row>
    <row r="5" spans="2:8" x14ac:dyDescent="0.2">
      <c r="B5" s="47"/>
      <c r="C5" s="47"/>
      <c r="D5" s="47"/>
    </row>
    <row r="6" spans="2:8" x14ac:dyDescent="0.2">
      <c r="B6" t="s">
        <v>180</v>
      </c>
      <c r="C6" t="s">
        <v>181</v>
      </c>
      <c r="D6" t="s">
        <v>182</v>
      </c>
      <c r="E6" t="s">
        <v>57</v>
      </c>
    </row>
    <row r="7" spans="2:8" x14ac:dyDescent="0.2">
      <c r="B7" t="s">
        <v>183</v>
      </c>
      <c r="C7" t="s">
        <v>184</v>
      </c>
      <c r="D7" t="s">
        <v>185</v>
      </c>
      <c r="E7" t="s">
        <v>57</v>
      </c>
    </row>
    <row r="8" spans="2:8" x14ac:dyDescent="0.2">
      <c r="B8" t="s">
        <v>186</v>
      </c>
      <c r="C8" t="s">
        <v>187</v>
      </c>
      <c r="D8" t="s">
        <v>188</v>
      </c>
      <c r="E8" t="s">
        <v>57</v>
      </c>
    </row>
    <row r="9" spans="2:8" x14ac:dyDescent="0.2">
      <c r="B9" s="47"/>
      <c r="C9" s="47"/>
      <c r="D9" s="47"/>
    </row>
    <row r="10" spans="2:8" x14ac:dyDescent="0.2">
      <c r="B10" t="s">
        <v>189</v>
      </c>
      <c r="C10" t="s">
        <v>181</v>
      </c>
      <c r="D10" t="s">
        <v>57</v>
      </c>
      <c r="E10" t="s">
        <v>57</v>
      </c>
    </row>
    <row r="11" spans="2:8" x14ac:dyDescent="0.2">
      <c r="B11" s="47"/>
      <c r="C11" s="47"/>
      <c r="D11" s="47"/>
    </row>
    <row r="12" spans="2:8" x14ac:dyDescent="0.2">
      <c r="B12" t="s">
        <v>189</v>
      </c>
      <c r="C12" t="s">
        <v>184</v>
      </c>
      <c r="D12" t="s">
        <v>57</v>
      </c>
      <c r="E12" t="s">
        <v>57</v>
      </c>
    </row>
    <row r="13" spans="2:8" x14ac:dyDescent="0.2">
      <c r="B13" s="47"/>
      <c r="C13" s="47"/>
      <c r="D13" s="47"/>
    </row>
    <row r="14" spans="2:8" x14ac:dyDescent="0.2">
      <c r="B14" t="s">
        <v>189</v>
      </c>
      <c r="C14" t="s">
        <v>187</v>
      </c>
      <c r="D14" t="s">
        <v>57</v>
      </c>
      <c r="E14" t="s">
        <v>57</v>
      </c>
    </row>
    <row r="15" spans="2:8" x14ac:dyDescent="0.2">
      <c r="B15" s="47"/>
      <c r="C15" s="47"/>
      <c r="D15" s="47"/>
    </row>
    <row r="16" spans="2:8" x14ac:dyDescent="0.2">
      <c r="B16" t="s">
        <v>190</v>
      </c>
      <c r="C16" t="s">
        <v>57</v>
      </c>
      <c r="D16" t="s">
        <v>57</v>
      </c>
      <c r="E16" t="s">
        <v>57</v>
      </c>
    </row>
    <row r="17" spans="2:5" x14ac:dyDescent="0.2">
      <c r="B17" t="s">
        <v>191</v>
      </c>
      <c r="C17" t="s">
        <v>57</v>
      </c>
      <c r="D17" t="s">
        <v>57</v>
      </c>
      <c r="E17" t="s">
        <v>57</v>
      </c>
    </row>
    <row r="18" spans="2:5" x14ac:dyDescent="0.2">
      <c r="B18" t="s">
        <v>192</v>
      </c>
      <c r="C18" t="s">
        <v>57</v>
      </c>
      <c r="D18" t="s">
        <v>57</v>
      </c>
      <c r="E18" t="s">
        <v>57</v>
      </c>
    </row>
    <row r="19" spans="2:5" x14ac:dyDescent="0.2">
      <c r="B19" t="s">
        <v>193</v>
      </c>
      <c r="C19" t="s">
        <v>57</v>
      </c>
      <c r="D19" t="s">
        <v>57</v>
      </c>
      <c r="E19" t="s">
        <v>57</v>
      </c>
    </row>
    <row r="20" spans="2:5" x14ac:dyDescent="0.2">
      <c r="B20" t="s">
        <v>194</v>
      </c>
      <c r="C20" t="s">
        <v>57</v>
      </c>
      <c r="D20" t="s">
        <v>57</v>
      </c>
      <c r="E20" t="s">
        <v>57</v>
      </c>
    </row>
    <row r="21" spans="2:5" x14ac:dyDescent="0.2">
      <c r="B21" s="47"/>
      <c r="C21" s="47"/>
      <c r="D21" s="47"/>
    </row>
    <row r="22" spans="2:5" x14ac:dyDescent="0.2">
      <c r="B22" t="s">
        <v>195</v>
      </c>
      <c r="C22" t="s">
        <v>57</v>
      </c>
      <c r="D22" t="s">
        <v>57</v>
      </c>
      <c r="E22" t="s">
        <v>57</v>
      </c>
    </row>
    <row r="23" spans="2:5" x14ac:dyDescent="0.2">
      <c r="B23" t="s">
        <v>196</v>
      </c>
      <c r="C23" t="s">
        <v>57</v>
      </c>
      <c r="D23" t="s">
        <v>57</v>
      </c>
      <c r="E23" t="s">
        <v>57</v>
      </c>
    </row>
    <row r="24" spans="2:5" x14ac:dyDescent="0.2">
      <c r="B24" t="s">
        <v>197</v>
      </c>
      <c r="C24" t="s">
        <v>57</v>
      </c>
      <c r="D24" t="s">
        <v>57</v>
      </c>
      <c r="E24" t="s">
        <v>57</v>
      </c>
    </row>
    <row r="25" spans="2:5" x14ac:dyDescent="0.2">
      <c r="B25" t="s">
        <v>198</v>
      </c>
      <c r="C25" t="s">
        <v>57</v>
      </c>
      <c r="D25" t="s">
        <v>57</v>
      </c>
      <c r="E25" t="s">
        <v>57</v>
      </c>
    </row>
    <row r="26" spans="2:5" x14ac:dyDescent="0.2">
      <c r="B26" t="s">
        <v>199</v>
      </c>
      <c r="C26" t="s">
        <v>57</v>
      </c>
      <c r="D26" t="s">
        <v>57</v>
      </c>
      <c r="E26" t="s">
        <v>57</v>
      </c>
    </row>
    <row r="27" spans="2:5" x14ac:dyDescent="0.2">
      <c r="B27" t="s">
        <v>200</v>
      </c>
      <c r="C27" t="s">
        <v>57</v>
      </c>
      <c r="D27" t="s">
        <v>57</v>
      </c>
      <c r="E27" t="s">
        <v>57</v>
      </c>
    </row>
    <row r="28" spans="2:5" x14ac:dyDescent="0.2">
      <c r="B28" t="s">
        <v>201</v>
      </c>
      <c r="C28" t="s">
        <v>57</v>
      </c>
      <c r="D28" t="s">
        <v>57</v>
      </c>
      <c r="E28" t="s">
        <v>57</v>
      </c>
    </row>
    <row r="29" spans="2:5" x14ac:dyDescent="0.2">
      <c r="B29" t="s">
        <v>202</v>
      </c>
      <c r="C29" t="s">
        <v>57</v>
      </c>
      <c r="D29" t="s">
        <v>57</v>
      </c>
      <c r="E29" t="s">
        <v>57</v>
      </c>
    </row>
    <row r="30" spans="2:5" x14ac:dyDescent="0.2">
      <c r="B30" t="s">
        <v>203</v>
      </c>
      <c r="C30" t="s">
        <v>57</v>
      </c>
      <c r="D30" t="s">
        <v>57</v>
      </c>
      <c r="E30" t="s">
        <v>57</v>
      </c>
    </row>
    <row r="31" spans="2:5" x14ac:dyDescent="0.2">
      <c r="B31" t="s">
        <v>204</v>
      </c>
      <c r="C31" t="s">
        <v>57</v>
      </c>
      <c r="D31" t="s">
        <v>57</v>
      </c>
      <c r="E31" t="s">
        <v>57</v>
      </c>
    </row>
    <row r="32" spans="2:5" x14ac:dyDescent="0.2">
      <c r="B32" t="s">
        <v>205</v>
      </c>
      <c r="C32" t="s">
        <v>57</v>
      </c>
      <c r="D32" t="s">
        <v>57</v>
      </c>
      <c r="E32" t="s">
        <v>57</v>
      </c>
    </row>
  </sheetData>
  <sheetProtection algorithmName="SHA-512" hashValue="dWU1MG4YEwRhGfAEMbpoCF1SsJ4zPadOiXzMpCTJ8A/AFz1xM24fBsMGiiGnLA3VaZhFGcP0eXrhdCPcG7GGFw==" saltValue="jpZbpXGtoAz6d//DaymOQA==" spinCount="100000" sheet="1" objects="1" scenarios="1" sort="0" autoFilter="0" pivotTables="0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570CF9-5129-41F0-BDC4-2C84A010CF0D}">
  <ds:schemaRefs>
    <ds:schemaRef ds:uri="bb0b2827-4eb3-461f-8866-28597c48f473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CD3F0035-6E4E-43BA-BE44-382C230EB13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A0CF199-44DB-46CB-BF2B-9C7A1722C8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310</vt:i4>
      </vt:variant>
    </vt:vector>
  </HeadingPairs>
  <TitlesOfParts>
    <vt:vector size="312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IOSG1</vt:lpstr>
      <vt:lpstr>IOSG2</vt:lpstr>
      <vt:lpstr>IOSG3</vt:lpstr>
      <vt:lpstr>IOSG4</vt:lpstr>
      <vt:lpstr>IOSG5</vt:lpstr>
      <vt:lpstr>LoadDate</vt:lpstr>
      <vt:lpstr>LoadTime</vt:lpstr>
      <vt:lpstr>NumProxy</vt:lpstr>
      <vt:lpstr>NumProxySet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ProductId3</vt:lpstr>
      <vt:lpstr>ProductId4</vt:lpstr>
      <vt:lpstr>ProductId5</vt:lpstr>
      <vt:lpstr>ProductId6</vt:lpstr>
      <vt:lpstr>ProductId7</vt:lpstr>
      <vt:lpstr>ProductId8</vt:lpstr>
      <vt:lpstr>ProductId9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SalesQty1_1</vt:lpstr>
      <vt:lpstr>SalesQty1_2</vt:lpstr>
      <vt:lpstr>SalesQty1_3</vt:lpstr>
      <vt:lpstr>SalesQty1_4</vt:lpstr>
      <vt:lpstr>SalesQty1_5</vt:lpstr>
      <vt:lpstr>SalesQty10_1</vt:lpstr>
      <vt:lpstr>SalesQty10_2</vt:lpstr>
      <vt:lpstr>SalesQty10_3</vt:lpstr>
      <vt:lpstr>SalesQty10_4</vt:lpstr>
      <vt:lpstr>SalesQty10_5</vt:lpstr>
      <vt:lpstr>SalesQty11_1</vt:lpstr>
      <vt:lpstr>SalesQty11_2</vt:lpstr>
      <vt:lpstr>SalesQty11_3</vt:lpstr>
      <vt:lpstr>SalesQty11_4</vt:lpstr>
      <vt:lpstr>SalesQty11_5</vt:lpstr>
      <vt:lpstr>SalesQty12_1</vt:lpstr>
      <vt:lpstr>SalesQty12_2</vt:lpstr>
      <vt:lpstr>SalesQty12_3</vt:lpstr>
      <vt:lpstr>SalesQty12_4</vt:lpstr>
      <vt:lpstr>SalesQty12_5</vt:lpstr>
      <vt:lpstr>SalesQty13_1</vt:lpstr>
      <vt:lpstr>SalesQty13_2</vt:lpstr>
      <vt:lpstr>SalesQty13_3</vt:lpstr>
      <vt:lpstr>SalesQty13_4</vt:lpstr>
      <vt:lpstr>SalesQty13_5</vt:lpstr>
      <vt:lpstr>SalesQty14_1</vt:lpstr>
      <vt:lpstr>SalesQty14_2</vt:lpstr>
      <vt:lpstr>SalesQty14_3</vt:lpstr>
      <vt:lpstr>SalesQty14_4</vt:lpstr>
      <vt:lpstr>SalesQty14_5</vt:lpstr>
      <vt:lpstr>SalesQty15_1</vt:lpstr>
      <vt:lpstr>SalesQty15_2</vt:lpstr>
      <vt:lpstr>SalesQty15_3</vt:lpstr>
      <vt:lpstr>SalesQty15_4</vt:lpstr>
      <vt:lpstr>SalesQty15_5</vt:lpstr>
      <vt:lpstr>SalesQty16_1</vt:lpstr>
      <vt:lpstr>SalesQty16_2</vt:lpstr>
      <vt:lpstr>SalesQty16_3</vt:lpstr>
      <vt:lpstr>SalesQty16_4</vt:lpstr>
      <vt:lpstr>SalesQty16_5</vt:lpstr>
      <vt:lpstr>SalesQty17_1</vt:lpstr>
      <vt:lpstr>SalesQty17_2</vt:lpstr>
      <vt:lpstr>SalesQty17_3</vt:lpstr>
      <vt:lpstr>SalesQty17_4</vt:lpstr>
      <vt:lpstr>SalesQty17_5</vt:lpstr>
      <vt:lpstr>SalesQty18_1</vt:lpstr>
      <vt:lpstr>SalesQty18_2</vt:lpstr>
      <vt:lpstr>SalesQty18_3</vt:lpstr>
      <vt:lpstr>SalesQty18_4</vt:lpstr>
      <vt:lpstr>SalesQty18_5</vt:lpstr>
      <vt:lpstr>SalesQty19_1</vt:lpstr>
      <vt:lpstr>SalesQty19_2</vt:lpstr>
      <vt:lpstr>SalesQty19_3</vt:lpstr>
      <vt:lpstr>SalesQty19_4</vt:lpstr>
      <vt:lpstr>SalesQty19_5</vt:lpstr>
      <vt:lpstr>SalesQty2_1</vt:lpstr>
      <vt:lpstr>SalesQty2_2</vt:lpstr>
      <vt:lpstr>SalesQty2_3</vt:lpstr>
      <vt:lpstr>SalesQty2_4</vt:lpstr>
      <vt:lpstr>SalesQty2_5</vt:lpstr>
      <vt:lpstr>SalesQty20_1</vt:lpstr>
      <vt:lpstr>SalesQty20_2</vt:lpstr>
      <vt:lpstr>SalesQty20_3</vt:lpstr>
      <vt:lpstr>SalesQty20_4</vt:lpstr>
      <vt:lpstr>SalesQty20_5</vt:lpstr>
      <vt:lpstr>SalesQty21_1</vt:lpstr>
      <vt:lpstr>SalesQty21_2</vt:lpstr>
      <vt:lpstr>SalesQty21_3</vt:lpstr>
      <vt:lpstr>SalesQty21_4</vt:lpstr>
      <vt:lpstr>SalesQty21_5</vt:lpstr>
      <vt:lpstr>SalesQty22_1</vt:lpstr>
      <vt:lpstr>SalesQty22_2</vt:lpstr>
      <vt:lpstr>SalesQty22_3</vt:lpstr>
      <vt:lpstr>SalesQty22_4</vt:lpstr>
      <vt:lpstr>SalesQty22_5</vt:lpstr>
      <vt:lpstr>SalesQty3_1</vt:lpstr>
      <vt:lpstr>SalesQty3_2</vt:lpstr>
      <vt:lpstr>SalesQty3_3</vt:lpstr>
      <vt:lpstr>SalesQty3_4</vt:lpstr>
      <vt:lpstr>SalesQty3_5</vt:lpstr>
      <vt:lpstr>SalesQty4_1</vt:lpstr>
      <vt:lpstr>SalesQty4_2</vt:lpstr>
      <vt:lpstr>SalesQty4_3</vt:lpstr>
      <vt:lpstr>SalesQty4_4</vt:lpstr>
      <vt:lpstr>SalesQty4_5</vt:lpstr>
      <vt:lpstr>SalesQty5_1</vt:lpstr>
      <vt:lpstr>SalesQty5_2</vt:lpstr>
      <vt:lpstr>SalesQty5_3</vt:lpstr>
      <vt:lpstr>SalesQty5_4</vt:lpstr>
      <vt:lpstr>SalesQty5_5</vt:lpstr>
      <vt:lpstr>SalesQty6_1</vt:lpstr>
      <vt:lpstr>SalesQty6_2</vt:lpstr>
      <vt:lpstr>SalesQty6_3</vt:lpstr>
      <vt:lpstr>SalesQty6_4</vt:lpstr>
      <vt:lpstr>SalesQty6_5</vt:lpstr>
      <vt:lpstr>SalesQty7_1</vt:lpstr>
      <vt:lpstr>SalesQty7_2</vt:lpstr>
      <vt:lpstr>SalesQty7_3</vt:lpstr>
      <vt:lpstr>SalesQty7_4</vt:lpstr>
      <vt:lpstr>SalesQty7_5</vt:lpstr>
      <vt:lpstr>SalesQty8_1</vt:lpstr>
      <vt:lpstr>SalesQty8_2</vt:lpstr>
      <vt:lpstr>SalesQty8_3</vt:lpstr>
      <vt:lpstr>SalesQty8_4</vt:lpstr>
      <vt:lpstr>SalesQty8_5</vt:lpstr>
      <vt:lpstr>SalesQty9_1</vt:lpstr>
      <vt:lpstr>SalesQty9_2</vt:lpstr>
      <vt:lpstr>SalesQty9_3</vt:lpstr>
      <vt:lpstr>SalesQty9_4</vt:lpstr>
      <vt:lpstr>SalesQty9_5</vt:lpstr>
      <vt:lpstr>SalesRequestType</vt:lpstr>
      <vt:lpstr>SalesRoundBox1_1</vt:lpstr>
      <vt:lpstr>SalesRoundBox1_2</vt:lpstr>
      <vt:lpstr>SalesRoundBox1_3</vt:lpstr>
      <vt:lpstr>SalesRoundBox1_4</vt:lpstr>
      <vt:lpstr>SalesRoundBox1_5</vt:lpstr>
      <vt:lpstr>SalesRoundBox10_1</vt:lpstr>
      <vt:lpstr>SalesRoundBox10_2</vt:lpstr>
      <vt:lpstr>SalesRoundBox10_3</vt:lpstr>
      <vt:lpstr>SalesRoundBox10_4</vt:lpstr>
      <vt:lpstr>SalesRoundBox10_5</vt:lpstr>
      <vt:lpstr>SalesRoundBox11_1</vt:lpstr>
      <vt:lpstr>SalesRoundBox11_2</vt:lpstr>
      <vt:lpstr>SalesRoundBox11_3</vt:lpstr>
      <vt:lpstr>SalesRoundBox11_4</vt:lpstr>
      <vt:lpstr>SalesRoundBox11_5</vt:lpstr>
      <vt:lpstr>SalesRoundBox12_1</vt:lpstr>
      <vt:lpstr>SalesRoundBox12_2</vt:lpstr>
      <vt:lpstr>SalesRoundBox12_3</vt:lpstr>
      <vt:lpstr>SalesRoundBox12_4</vt:lpstr>
      <vt:lpstr>SalesRoundBox12_5</vt:lpstr>
      <vt:lpstr>SalesRoundBox13_1</vt:lpstr>
      <vt:lpstr>SalesRoundBox13_2</vt:lpstr>
      <vt:lpstr>SalesRoundBox13_3</vt:lpstr>
      <vt:lpstr>SalesRoundBox13_4</vt:lpstr>
      <vt:lpstr>SalesRoundBox13_5</vt:lpstr>
      <vt:lpstr>SalesRoundBox14_1</vt:lpstr>
      <vt:lpstr>SalesRoundBox14_2</vt:lpstr>
      <vt:lpstr>SalesRoundBox14_3</vt:lpstr>
      <vt:lpstr>SalesRoundBox14_4</vt:lpstr>
      <vt:lpstr>SalesRoundBox14_5</vt:lpstr>
      <vt:lpstr>SalesRoundBox15_1</vt:lpstr>
      <vt:lpstr>SalesRoundBox15_2</vt:lpstr>
      <vt:lpstr>SalesRoundBox15_3</vt:lpstr>
      <vt:lpstr>SalesRoundBox15_4</vt:lpstr>
      <vt:lpstr>SalesRoundBox15_5</vt:lpstr>
      <vt:lpstr>SalesRoundBox16_1</vt:lpstr>
      <vt:lpstr>SalesRoundBox16_2</vt:lpstr>
      <vt:lpstr>SalesRoundBox16_3</vt:lpstr>
      <vt:lpstr>SalesRoundBox16_4</vt:lpstr>
      <vt:lpstr>SalesRoundBox16_5</vt:lpstr>
      <vt:lpstr>SalesRoundBox17_1</vt:lpstr>
      <vt:lpstr>SalesRoundBox17_2</vt:lpstr>
      <vt:lpstr>SalesRoundBox17_3</vt:lpstr>
      <vt:lpstr>SalesRoundBox17_4</vt:lpstr>
      <vt:lpstr>SalesRoundBox17_5</vt:lpstr>
      <vt:lpstr>SalesRoundBox18_1</vt:lpstr>
      <vt:lpstr>SalesRoundBox18_2</vt:lpstr>
      <vt:lpstr>SalesRoundBox18_3</vt:lpstr>
      <vt:lpstr>SalesRoundBox18_4</vt:lpstr>
      <vt:lpstr>SalesRoundBox18_5</vt:lpstr>
      <vt:lpstr>SalesRoundBox19_1</vt:lpstr>
      <vt:lpstr>SalesRoundBox19_2</vt:lpstr>
      <vt:lpstr>SalesRoundBox19_3</vt:lpstr>
      <vt:lpstr>SalesRoundBox19_4</vt:lpstr>
      <vt:lpstr>SalesRoundBox19_5</vt:lpstr>
      <vt:lpstr>SalesRoundBox2_1</vt:lpstr>
      <vt:lpstr>SalesRoundBox2_2</vt:lpstr>
      <vt:lpstr>SalesRoundBox2_3</vt:lpstr>
      <vt:lpstr>SalesRoundBox2_4</vt:lpstr>
      <vt:lpstr>SalesRoundBox2_5</vt:lpstr>
      <vt:lpstr>SalesRoundBox20_1</vt:lpstr>
      <vt:lpstr>SalesRoundBox20_2</vt:lpstr>
      <vt:lpstr>SalesRoundBox20_3</vt:lpstr>
      <vt:lpstr>SalesRoundBox20_4</vt:lpstr>
      <vt:lpstr>SalesRoundBox20_5</vt:lpstr>
      <vt:lpstr>SalesRoundBox21_1</vt:lpstr>
      <vt:lpstr>SalesRoundBox21_2</vt:lpstr>
      <vt:lpstr>SalesRoundBox21_3</vt:lpstr>
      <vt:lpstr>SalesRoundBox21_4</vt:lpstr>
      <vt:lpstr>SalesRoundBox21_5</vt:lpstr>
      <vt:lpstr>SalesRoundBox22_1</vt:lpstr>
      <vt:lpstr>SalesRoundBox22_2</vt:lpstr>
      <vt:lpstr>SalesRoundBox22_3</vt:lpstr>
      <vt:lpstr>SalesRoundBox22_4</vt:lpstr>
      <vt:lpstr>SalesRoundBox22_5</vt:lpstr>
      <vt:lpstr>SalesRoundBox3_1</vt:lpstr>
      <vt:lpstr>SalesRoundBox3_2</vt:lpstr>
      <vt:lpstr>SalesRoundBox3_3</vt:lpstr>
      <vt:lpstr>SalesRoundBox3_4</vt:lpstr>
      <vt:lpstr>SalesRoundBox3_5</vt:lpstr>
      <vt:lpstr>SalesRoundBox4_1</vt:lpstr>
      <vt:lpstr>SalesRoundBox4_2</vt:lpstr>
      <vt:lpstr>SalesRoundBox4_3</vt:lpstr>
      <vt:lpstr>SalesRoundBox4_4</vt:lpstr>
      <vt:lpstr>SalesRoundBox4_5</vt:lpstr>
      <vt:lpstr>SalesRoundBox5_1</vt:lpstr>
      <vt:lpstr>SalesRoundBox5_2</vt:lpstr>
      <vt:lpstr>SalesRoundBox5_3</vt:lpstr>
      <vt:lpstr>SalesRoundBox5_4</vt:lpstr>
      <vt:lpstr>SalesRoundBox5_5</vt:lpstr>
      <vt:lpstr>SalesRoundBox6_1</vt:lpstr>
      <vt:lpstr>SalesRoundBox6_2</vt:lpstr>
      <vt:lpstr>SalesRoundBox6_3</vt:lpstr>
      <vt:lpstr>SalesRoundBox6_4</vt:lpstr>
      <vt:lpstr>SalesRoundBox6_5</vt:lpstr>
      <vt:lpstr>SalesRoundBox7_1</vt:lpstr>
      <vt:lpstr>SalesRoundBox7_2</vt:lpstr>
      <vt:lpstr>SalesRoundBox7_3</vt:lpstr>
      <vt:lpstr>SalesRoundBox7_4</vt:lpstr>
      <vt:lpstr>SalesRoundBox7_5</vt:lpstr>
      <vt:lpstr>SalesRoundBox8_1</vt:lpstr>
      <vt:lpstr>SalesRoundBox8_2</vt:lpstr>
      <vt:lpstr>SalesRoundBox8_3</vt:lpstr>
      <vt:lpstr>SalesRoundBox8_4</vt:lpstr>
      <vt:lpstr>SalesRoundBox8_5</vt:lpstr>
      <vt:lpstr>SalesRoundBox9_1</vt:lpstr>
      <vt:lpstr>SalesRoundBox9_2</vt:lpstr>
      <vt:lpstr>SalesRoundBox9_3</vt:lpstr>
      <vt:lpstr>SalesRoundBox9_4</vt:lpstr>
      <vt:lpstr>SalesRoundBox9_5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UnitOfMeasure3</vt:lpstr>
      <vt:lpstr>UnitOfMeasure4</vt:lpstr>
      <vt:lpstr>UnitOfMeasure5</vt:lpstr>
      <vt:lpstr>UnitOfMeasure6</vt:lpstr>
      <vt:lpstr>UnitOfMeasure7</vt:lpstr>
      <vt:lpstr>UnitOfMeasure8</vt:lpstr>
      <vt:lpstr>UnitOfMeasure9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2021-11-12T12:13:47Z</dcterms:created>
  <dcterms:modified xsi:type="dcterms:W3CDTF">2026-10-14T13:08:34Z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