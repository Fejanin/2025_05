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9EA541-5CD0-4987-B9FD-48D078B78D0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Y546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BO479" i="2"/>
  <c r="BM479" i="2"/>
  <c r="Y479" i="2"/>
  <c r="BN479" i="2" s="1"/>
  <c r="P479" i="2"/>
  <c r="X475" i="2"/>
  <c r="X474" i="2"/>
  <c r="BO473" i="2"/>
  <c r="BM473" i="2"/>
  <c r="Y473" i="2"/>
  <c r="Z473" i="2" s="1"/>
  <c r="P473" i="2"/>
  <c r="BP472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BN433" i="2" s="1"/>
  <c r="P433" i="2"/>
  <c r="X429" i="2"/>
  <c r="X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Z425" i="2"/>
  <c r="Y425" i="2"/>
  <c r="BN425" i="2" s="1"/>
  <c r="P425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Z369" i="2" s="1"/>
  <c r="P369" i="2"/>
  <c r="BO368" i="2"/>
  <c r="BM368" i="2"/>
  <c r="Y368" i="2"/>
  <c r="Z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Y356" i="2" s="1"/>
  <c r="P353" i="2"/>
  <c r="X351" i="2"/>
  <c r="X350" i="2"/>
  <c r="BO349" i="2"/>
  <c r="BM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Z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Z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N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Y320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Z304" i="2" s="1"/>
  <c r="P304" i="2"/>
  <c r="X301" i="2"/>
  <c r="Y300" i="2"/>
  <c r="X300" i="2"/>
  <c r="BO299" i="2"/>
  <c r="BM299" i="2"/>
  <c r="Y299" i="2"/>
  <c r="BP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Y270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Z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Z240" i="2"/>
  <c r="Y240" i="2"/>
  <c r="BN240" i="2" s="1"/>
  <c r="P240" i="2"/>
  <c r="BO239" i="2"/>
  <c r="BM239" i="2"/>
  <c r="Y239" i="2"/>
  <c r="BN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Z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Z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N140" i="2" s="1"/>
  <c r="P140" i="2"/>
  <c r="BO139" i="2"/>
  <c r="BM139" i="2"/>
  <c r="Y139" i="2"/>
  <c r="Y142" i="2" s="1"/>
  <c r="P139" i="2"/>
  <c r="X137" i="2"/>
  <c r="X136" i="2"/>
  <c r="BO135" i="2"/>
  <c r="BM135" i="2"/>
  <c r="Y135" i="2"/>
  <c r="Z135" i="2" s="1"/>
  <c r="P135" i="2"/>
  <c r="BO134" i="2"/>
  <c r="BM134" i="2"/>
  <c r="Y134" i="2"/>
  <c r="Z134" i="2" s="1"/>
  <c r="Z136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N99" i="2" s="1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BN76" i="2" s="1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P99" i="2" l="1"/>
  <c r="BN152" i="2"/>
  <c r="BN177" i="2"/>
  <c r="BN208" i="2"/>
  <c r="BN234" i="2"/>
  <c r="BN244" i="2"/>
  <c r="BN291" i="2"/>
  <c r="BP438" i="2"/>
  <c r="BN451" i="2"/>
  <c r="BN488" i="2"/>
  <c r="Y490" i="2"/>
  <c r="BN529" i="2"/>
  <c r="BN558" i="2"/>
  <c r="Y25" i="2"/>
  <c r="Z29" i="2"/>
  <c r="BP39" i="2"/>
  <c r="BN63" i="2"/>
  <c r="Z99" i="2"/>
  <c r="Z111" i="2"/>
  <c r="BN117" i="2"/>
  <c r="BN145" i="2"/>
  <c r="BN164" i="2"/>
  <c r="Y202" i="2"/>
  <c r="BN246" i="2"/>
  <c r="BN299" i="2"/>
  <c r="Z353" i="2"/>
  <c r="BN368" i="2"/>
  <c r="Z376" i="2"/>
  <c r="Y391" i="2"/>
  <c r="BP425" i="2"/>
  <c r="BN426" i="2"/>
  <c r="Z438" i="2"/>
  <c r="BN481" i="2"/>
  <c r="BN489" i="2"/>
  <c r="Z179" i="2"/>
  <c r="BP179" i="2"/>
  <c r="Y255" i="2"/>
  <c r="BN252" i="2"/>
  <c r="Y325" i="2"/>
  <c r="BN322" i="2"/>
  <c r="Z322" i="2"/>
  <c r="BN306" i="2"/>
  <c r="BN135" i="2"/>
  <c r="BN513" i="2"/>
  <c r="Z513" i="2"/>
  <c r="BN272" i="2"/>
  <c r="BN536" i="2"/>
  <c r="BN524" i="2"/>
  <c r="BN122" i="2"/>
  <c r="BN96" i="2"/>
  <c r="BN553" i="2"/>
  <c r="BN548" i="2"/>
  <c r="Y542" i="2"/>
  <c r="Z536" i="2"/>
  <c r="Z537" i="2" s="1"/>
  <c r="BP536" i="2"/>
  <c r="BN526" i="2"/>
  <c r="BN511" i="2"/>
  <c r="BN484" i="2"/>
  <c r="BN456" i="2"/>
  <c r="Y459" i="2"/>
  <c r="Z436" i="2"/>
  <c r="Y416" i="2"/>
  <c r="BN402" i="2"/>
  <c r="Z402" i="2"/>
  <c r="Z400" i="2"/>
  <c r="BN388" i="2"/>
  <c r="BN379" i="2"/>
  <c r="BN377" i="2"/>
  <c r="BN371" i="2"/>
  <c r="BP353" i="2"/>
  <c r="Z349" i="2"/>
  <c r="Y351" i="2"/>
  <c r="BP348" i="2"/>
  <c r="Z348" i="2"/>
  <c r="Z345" i="2"/>
  <c r="Z340" i="2"/>
  <c r="BP340" i="2"/>
  <c r="BN332" i="2"/>
  <c r="Z329" i="2"/>
  <c r="BP329" i="2"/>
  <c r="BP318" i="2"/>
  <c r="Z318" i="2"/>
  <c r="Z319" i="2" s="1"/>
  <c r="BN309" i="2"/>
  <c r="BN288" i="2"/>
  <c r="BN286" i="2"/>
  <c r="BP285" i="2"/>
  <c r="Z285" i="2"/>
  <c r="BN278" i="2"/>
  <c r="BN276" i="2"/>
  <c r="Z275" i="2"/>
  <c r="BP275" i="2"/>
  <c r="Z257" i="2"/>
  <c r="Z258" i="2" s="1"/>
  <c r="Y259" i="2"/>
  <c r="Z246" i="2"/>
  <c r="Z243" i="2"/>
  <c r="BP243" i="2"/>
  <c r="BP239" i="2"/>
  <c r="Z239" i="2"/>
  <c r="Y249" i="2"/>
  <c r="Z233" i="2"/>
  <c r="BP233" i="2"/>
  <c r="BP229" i="2"/>
  <c r="Z229" i="2"/>
  <c r="Z227" i="2"/>
  <c r="BN224" i="2"/>
  <c r="Z224" i="2"/>
  <c r="BN212" i="2"/>
  <c r="Z212" i="2"/>
  <c r="BP211" i="2"/>
  <c r="Z211" i="2"/>
  <c r="Z208" i="2"/>
  <c r="BP207" i="2"/>
  <c r="Z206" i="2"/>
  <c r="BP200" i="2"/>
  <c r="Z200" i="2"/>
  <c r="Z201" i="2" s="1"/>
  <c r="Z191" i="2"/>
  <c r="Z185" i="2"/>
  <c r="BP184" i="2"/>
  <c r="Z182" i="2"/>
  <c r="Z167" i="2"/>
  <c r="BP167" i="2"/>
  <c r="Z164" i="2"/>
  <c r="BN159" i="2"/>
  <c r="Y161" i="2"/>
  <c r="Z150" i="2"/>
  <c r="Y146" i="2"/>
  <c r="BP140" i="2"/>
  <c r="Z140" i="2"/>
  <c r="Y137" i="2"/>
  <c r="Y136" i="2"/>
  <c r="BP134" i="2"/>
  <c r="Y127" i="2"/>
  <c r="Z116" i="2"/>
  <c r="BP116" i="2"/>
  <c r="BN112" i="2"/>
  <c r="BP111" i="2"/>
  <c r="Z108" i="2"/>
  <c r="BP107" i="2"/>
  <c r="Z107" i="2"/>
  <c r="Y100" i="2"/>
  <c r="BN89" i="2"/>
  <c r="BN82" i="2"/>
  <c r="BN80" i="2"/>
  <c r="BP70" i="2"/>
  <c r="BP68" i="2"/>
  <c r="Z68" i="2"/>
  <c r="Z63" i="2"/>
  <c r="Z62" i="2"/>
  <c r="BP62" i="2"/>
  <c r="BP60" i="2"/>
  <c r="BP58" i="2"/>
  <c r="Z58" i="2"/>
  <c r="BN56" i="2"/>
  <c r="D571" i="2"/>
  <c r="BN40" i="2"/>
  <c r="Y33" i="2"/>
  <c r="BP28" i="2"/>
  <c r="Z28" i="2"/>
  <c r="Y24" i="2"/>
  <c r="Z24" i="2"/>
  <c r="BN23" i="2"/>
  <c r="BP22" i="2"/>
  <c r="BP118" i="2"/>
  <c r="Y264" i="2"/>
  <c r="BN314" i="2"/>
  <c r="Y315" i="2"/>
  <c r="Z314" i="2"/>
  <c r="Z315" i="2" s="1"/>
  <c r="BP92" i="2"/>
  <c r="BP106" i="2"/>
  <c r="BP139" i="2"/>
  <c r="Y168" i="2"/>
  <c r="BP165" i="2"/>
  <c r="Z171" i="2"/>
  <c r="Y188" i="2"/>
  <c r="BP181" i="2"/>
  <c r="Z183" i="2"/>
  <c r="BP183" i="2"/>
  <c r="Z192" i="2"/>
  <c r="Y198" i="2"/>
  <c r="BP209" i="2"/>
  <c r="Z217" i="2"/>
  <c r="Z218" i="2" s="1"/>
  <c r="BP226" i="2"/>
  <c r="Z228" i="2"/>
  <c r="BP228" i="2"/>
  <c r="Z232" i="2"/>
  <c r="BP232" i="2"/>
  <c r="Z242" i="2"/>
  <c r="BN273" i="2"/>
  <c r="Z273" i="2"/>
  <c r="BP310" i="2"/>
  <c r="BN310" i="2"/>
  <c r="Z331" i="2"/>
  <c r="BN331" i="2"/>
  <c r="BP366" i="2"/>
  <c r="Z366" i="2"/>
  <c r="Y384" i="2"/>
  <c r="BP389" i="2"/>
  <c r="BN389" i="2"/>
  <c r="Z389" i="2"/>
  <c r="BP446" i="2"/>
  <c r="Z446" i="2"/>
  <c r="Y515" i="2"/>
  <c r="Z509" i="2"/>
  <c r="BN509" i="2"/>
  <c r="BP41" i="2"/>
  <c r="BP263" i="2"/>
  <c r="BN263" i="2"/>
  <c r="Z287" i="2"/>
  <c r="BN287" i="2"/>
  <c r="BP293" i="2"/>
  <c r="BN293" i="2"/>
  <c r="BP330" i="2"/>
  <c r="Z330" i="2"/>
  <c r="BP369" i="2"/>
  <c r="BN369" i="2"/>
  <c r="Z378" i="2"/>
  <c r="BN378" i="2"/>
  <c r="BN395" i="2"/>
  <c r="BP395" i="2"/>
  <c r="Z395" i="2"/>
  <c r="BN407" i="2"/>
  <c r="BP407" i="2"/>
  <c r="Z407" i="2"/>
  <c r="BN437" i="2"/>
  <c r="BP437" i="2"/>
  <c r="Z437" i="2"/>
  <c r="BP482" i="2"/>
  <c r="BN482" i="2"/>
  <c r="Z482" i="2"/>
  <c r="Z571" i="2"/>
  <c r="Y496" i="2"/>
  <c r="Z494" i="2"/>
  <c r="Z495" i="2" s="1"/>
  <c r="AA571" i="2"/>
  <c r="BN506" i="2"/>
  <c r="BP518" i="2"/>
  <c r="Y522" i="2"/>
  <c r="Z519" i="2"/>
  <c r="BN519" i="2"/>
  <c r="Z525" i="2"/>
  <c r="BN525" i="2"/>
  <c r="X562" i="2"/>
  <c r="X561" i="2"/>
  <c r="Z27" i="2"/>
  <c r="BP27" i="2"/>
  <c r="Z31" i="2"/>
  <c r="BP31" i="2"/>
  <c r="C571" i="2"/>
  <c r="Z41" i="2"/>
  <c r="Z47" i="2"/>
  <c r="BP47" i="2"/>
  <c r="Y78" i="2"/>
  <c r="BP80" i="2"/>
  <c r="BN81" i="2"/>
  <c r="Y84" i="2"/>
  <c r="Z90" i="2"/>
  <c r="BP90" i="2"/>
  <c r="BN91" i="2"/>
  <c r="Z97" i="2"/>
  <c r="Z106" i="2"/>
  <c r="Z110" i="2"/>
  <c r="BP110" i="2"/>
  <c r="Z118" i="2"/>
  <c r="Y131" i="2"/>
  <c r="Z139" i="2"/>
  <c r="Z141" i="2" s="1"/>
  <c r="BP152" i="2"/>
  <c r="BN154" i="2"/>
  <c r="BN22" i="2"/>
  <c r="BP23" i="2"/>
  <c r="BP29" i="2"/>
  <c r="Z40" i="2"/>
  <c r="BP49" i="2"/>
  <c r="E571" i="2"/>
  <c r="Y77" i="2"/>
  <c r="Z82" i="2"/>
  <c r="Z83" i="2" s="1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BN200" i="2"/>
  <c r="Z209" i="2"/>
  <c r="Y214" i="2"/>
  <c r="Z226" i="2"/>
  <c r="BP230" i="2"/>
  <c r="BP234" i="2"/>
  <c r="BN235" i="2"/>
  <c r="BP240" i="2"/>
  <c r="BP245" i="2"/>
  <c r="BN245" i="2"/>
  <c r="BP267" i="2"/>
  <c r="Z277" i="2"/>
  <c r="BN277" i="2"/>
  <c r="BP289" i="2"/>
  <c r="Z289" i="2"/>
  <c r="Z298" i="2"/>
  <c r="Y301" i="2"/>
  <c r="BN298" i="2"/>
  <c r="BP307" i="2"/>
  <c r="Z307" i="2"/>
  <c r="Z310" i="2"/>
  <c r="Y316" i="2"/>
  <c r="BN330" i="2"/>
  <c r="Y341" i="2"/>
  <c r="Z338" i="2"/>
  <c r="BP347" i="2"/>
  <c r="S571" i="2"/>
  <c r="Y363" i="2"/>
  <c r="Z360" i="2"/>
  <c r="BN360" i="2"/>
  <c r="Z367" i="2"/>
  <c r="BN367" i="2"/>
  <c r="Y390" i="2"/>
  <c r="BP387" i="2"/>
  <c r="BP471" i="2"/>
  <c r="Y475" i="2"/>
  <c r="Z472" i="2"/>
  <c r="BN472" i="2"/>
  <c r="Z480" i="2"/>
  <c r="BN480" i="2"/>
  <c r="BP527" i="2"/>
  <c r="BN527" i="2"/>
  <c r="Z527" i="2"/>
  <c r="BP97" i="2"/>
  <c r="BP171" i="2"/>
  <c r="BP279" i="2"/>
  <c r="BN279" i="2"/>
  <c r="B571" i="2"/>
  <c r="X563" i="2"/>
  <c r="X565" i="2"/>
  <c r="BN27" i="2"/>
  <c r="BN47" i="2"/>
  <c r="Y52" i="2"/>
  <c r="BP81" i="2"/>
  <c r="Y83" i="2"/>
  <c r="F571" i="2"/>
  <c r="BP87" i="2"/>
  <c r="BP91" i="2"/>
  <c r="BN92" i="2"/>
  <c r="G571" i="2"/>
  <c r="Z119" i="2"/>
  <c r="BP124" i="2"/>
  <c r="Y130" i="2"/>
  <c r="H571" i="2"/>
  <c r="BN139" i="2"/>
  <c r="I571" i="2"/>
  <c r="Y174" i="2"/>
  <c r="Y197" i="2"/>
  <c r="Y219" i="2"/>
  <c r="BN222" i="2"/>
  <c r="BN242" i="2"/>
  <c r="BP253" i="2"/>
  <c r="Z253" i="2"/>
  <c r="Z267" i="2"/>
  <c r="BN267" i="2"/>
  <c r="BN283" i="2"/>
  <c r="Z283" i="2"/>
  <c r="BP287" i="2"/>
  <c r="BN304" i="2"/>
  <c r="Y311" i="2"/>
  <c r="BP304" i="2"/>
  <c r="Z308" i="2"/>
  <c r="BN308" i="2"/>
  <c r="BP314" i="2"/>
  <c r="BP333" i="2"/>
  <c r="BN333" i="2"/>
  <c r="BP345" i="2"/>
  <c r="Z347" i="2"/>
  <c r="Y350" i="2"/>
  <c r="BN366" i="2"/>
  <c r="Y374" i="2"/>
  <c r="BP378" i="2"/>
  <c r="Z381" i="2"/>
  <c r="BN381" i="2"/>
  <c r="Z387" i="2"/>
  <c r="BN387" i="2"/>
  <c r="BN401" i="2"/>
  <c r="BP401" i="2"/>
  <c r="Z401" i="2"/>
  <c r="BP457" i="2"/>
  <c r="BN457" i="2"/>
  <c r="Z457" i="2"/>
  <c r="Z458" i="2" s="1"/>
  <c r="BP506" i="2"/>
  <c r="BP519" i="2"/>
  <c r="BP525" i="2"/>
  <c r="Y404" i="2"/>
  <c r="BP399" i="2"/>
  <c r="BP413" i="2"/>
  <c r="BP420" i="2"/>
  <c r="Y422" i="2"/>
  <c r="BP427" i="2"/>
  <c r="BP435" i="2"/>
  <c r="Y571" i="2"/>
  <c r="BN507" i="2"/>
  <c r="Y532" i="2"/>
  <c r="Y254" i="2"/>
  <c r="Y269" i="2"/>
  <c r="Y280" i="2"/>
  <c r="BP309" i="2"/>
  <c r="BN318" i="2"/>
  <c r="BP332" i="2"/>
  <c r="Y334" i="2"/>
  <c r="BP346" i="2"/>
  <c r="BP349" i="2"/>
  <c r="BN353" i="2"/>
  <c r="Y355" i="2"/>
  <c r="BP368" i="2"/>
  <c r="T571" i="2"/>
  <c r="BP371" i="2"/>
  <c r="BN376" i="2"/>
  <c r="BP377" i="2"/>
  <c r="Z386" i="2"/>
  <c r="BP386" i="2"/>
  <c r="BP388" i="2"/>
  <c r="Y397" i="2"/>
  <c r="BP393" i="2"/>
  <c r="Z399" i="2"/>
  <c r="U571" i="2"/>
  <c r="Z427" i="2"/>
  <c r="W571" i="2"/>
  <c r="Z435" i="2"/>
  <c r="BP439" i="2"/>
  <c r="Y448" i="2"/>
  <c r="BP445" i="2"/>
  <c r="BP456" i="2"/>
  <c r="Y458" i="2"/>
  <c r="X571" i="2"/>
  <c r="BP462" i="2"/>
  <c r="Z479" i="2"/>
  <c r="BP479" i="2"/>
  <c r="BP481" i="2"/>
  <c r="Y485" i="2"/>
  <c r="BP484" i="2"/>
  <c r="Z489" i="2"/>
  <c r="Y491" i="2"/>
  <c r="Z524" i="2"/>
  <c r="BP526" i="2"/>
  <c r="BP529" i="2"/>
  <c r="Z540" i="2"/>
  <c r="Z541" i="2" s="1"/>
  <c r="Y545" i="2"/>
  <c r="BP244" i="2"/>
  <c r="Z252" i="2"/>
  <c r="Z272" i="2"/>
  <c r="Z276" i="2"/>
  <c r="Z286" i="2"/>
  <c r="BP288" i="2"/>
  <c r="BP291" i="2"/>
  <c r="Z299" i="2"/>
  <c r="Z306" i="2"/>
  <c r="Z393" i="2"/>
  <c r="BN413" i="2"/>
  <c r="Z419" i="2"/>
  <c r="Z421" i="2" s="1"/>
  <c r="BP419" i="2"/>
  <c r="BN420" i="2"/>
  <c r="Y421" i="2"/>
  <c r="Y429" i="2"/>
  <c r="Z426" i="2"/>
  <c r="Z428" i="2" s="1"/>
  <c r="Y428" i="2"/>
  <c r="Z433" i="2"/>
  <c r="BP433" i="2"/>
  <c r="Z439" i="2"/>
  <c r="Z445" i="2"/>
  <c r="Z462" i="2"/>
  <c r="Z488" i="2"/>
  <c r="BN499" i="2"/>
  <c r="Z507" i="2"/>
  <c r="Y538" i="2"/>
  <c r="Z548" i="2"/>
  <c r="Z549" i="2" s="1"/>
  <c r="Z552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59" i="2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Z485" i="2" s="1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67" i="2"/>
  <c r="Z468" i="2" s="1"/>
  <c r="BP494" i="2"/>
  <c r="Z514" i="2"/>
  <c r="BP540" i="2"/>
  <c r="Z48" i="2"/>
  <c r="Z51" i="2" s="1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9" i="2"/>
  <c r="BN144" i="2"/>
  <c r="BN155" i="2"/>
  <c r="Z166" i="2"/>
  <c r="Z210" i="2"/>
  <c r="Z213" i="2" s="1"/>
  <c r="Z231" i="2"/>
  <c r="Z241" i="2"/>
  <c r="Z251" i="2"/>
  <c r="Y265" i="2"/>
  <c r="Z274" i="2"/>
  <c r="BN294" i="2"/>
  <c r="Z305" i="2"/>
  <c r="Z328" i="2"/>
  <c r="Z334" i="2" s="1"/>
  <c r="Z339" i="2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168" i="2" l="1"/>
  <c r="Z554" i="2"/>
  <c r="Z350" i="2"/>
  <c r="Z441" i="2"/>
  <c r="Z324" i="2"/>
  <c r="Z490" i="2"/>
  <c r="Z464" i="2"/>
  <c r="Z383" i="2"/>
  <c r="Z373" i="2"/>
  <c r="Z311" i="2"/>
  <c r="Z280" i="2"/>
  <c r="Z146" i="2"/>
  <c r="Z72" i="2"/>
  <c r="X564" i="2"/>
  <c r="Z254" i="2"/>
  <c r="Z100" i="2"/>
  <c r="Z453" i="2"/>
  <c r="Z236" i="2"/>
  <c r="Z42" i="2"/>
  <c r="Z390" i="2"/>
  <c r="Z300" i="2"/>
  <c r="Z32" i="2"/>
  <c r="Z396" i="2"/>
  <c r="Z248" i="2"/>
  <c r="Z193" i="2"/>
  <c r="Y565" i="2"/>
  <c r="Z126" i="2"/>
  <c r="Z295" i="2"/>
  <c r="Y562" i="2"/>
  <c r="Y561" i="2"/>
  <c r="Z403" i="2"/>
  <c r="Z341" i="2"/>
  <c r="Z447" i="2"/>
  <c r="Z501" i="2"/>
  <c r="Z362" i="2"/>
  <c r="Y563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<sst xmlns="http://schemas.openxmlformats.org/spreadsheetml/2006/main" count="4313" uniqueCount="897">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</sst>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46301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878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4.1666666666666664E-2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32</v>
      </c>
      <c r="Y40" s="55">
        <f>IFERROR(IF(X40="",0,CEILING((X40/$H40),1)*$H40),"")</f>
        <v>32.64</v>
      </c>
      <c r="Z40" s="41">
        <f>IFERROR(IF(Y40=0,"",ROUNDUP(Y40/H40,0)*0.00651),"")</f>
        <v>0.11067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35</v>
      </c>
      <c r="BN40" s="78">
        <f>IFERROR(Y40*I40/H40,"0")</f>
        <v>35.70000000000001</v>
      </c>
      <c r="BO40" s="78">
        <f>IFERROR(1/J40*(X40/H40),"0")</f>
        <v>9.1575091575091583E-2</v>
      </c>
      <c r="BP40" s="78">
        <f>IFERROR(1/J40*(Y40/H40),"0")</f>
        <v>9.3406593406593408E-2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33.333333333333336</v>
      </c>
      <c r="Y42" s="43">
        <f>IFERROR(Y37/H37,"0")+IFERROR(Y38/H38,"0")+IFERROR(Y39/H39,"0")+IFERROR(Y40/H40,"0")+IFERROR(Y41/H41,"0")</f>
        <v>34</v>
      </c>
      <c r="Z42" s="43">
        <f>IFERROR(IF(Z37="",0,Z37),"0")+IFERROR(IF(Z38="",0,Z38),"0")+IFERROR(IF(Z39="",0,Z39),"0")+IFERROR(IF(Z40="",0,Z40),"0")+IFERROR(IF(Z41="",0,Z41),"0")</f>
        <v>0.22134000000000001</v>
      </c>
      <c r="AA42" s="67"/>
      <c r="AB42" s="67"/>
      <c r="AC42" s="67"/>
    </row>
    <row r="43" spans="1:68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64</v>
      </c>
      <c r="Y43" s="43">
        <f>IFERROR(SUM(Y37:Y41),"0")</f>
        <v>65.28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280</v>
      </c>
      <c r="Y49" s="55">
        <f>IFERROR(IF(X49="",0,CEILING((X49/$H49),1)*$H49),"")</f>
        <v>280</v>
      </c>
      <c r="Z49" s="41">
        <f>IFERROR(IF(Y49=0,"",ROUNDUP(Y49/H49,0)*0.00902),"")</f>
        <v>0.63139999999999996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293.3</v>
      </c>
      <c r="BN49" s="78">
        <f>IFERROR(Y49*I49/H49,"0")</f>
        <v>293.3</v>
      </c>
      <c r="BO49" s="78">
        <f>IFERROR(1/J49*(X49/H49),"0")</f>
        <v>0.53030303030303028</v>
      </c>
      <c r="BP49" s="78">
        <f>IFERROR(1/J49*(Y49/H49),"0")</f>
        <v>0.53030303030303028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79.259259259259267</v>
      </c>
      <c r="Y51" s="43">
        <f>IFERROR(Y47/H47,"0")+IFERROR(Y48/H48,"0")+IFERROR(Y49/H49,"0")+IFERROR(Y50/H50,"0")</f>
        <v>80</v>
      </c>
      <c r="Z51" s="43">
        <f>IFERROR(IF(Z47="",0,Z47),"0")+IFERROR(IF(Z48="",0,Z48),"0")+IFERROR(IF(Z49="",0,Z49),"0")+IFERROR(IF(Z50="",0,Z50),"0")</f>
        <v>0.82119999999999993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380</v>
      </c>
      <c r="Y52" s="43">
        <f>IFERROR(SUM(Y47:Y50),"0")</f>
        <v>388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405</v>
      </c>
      <c r="Y62" s="55">
        <f t="shared" si="0"/>
        <v>405</v>
      </c>
      <c r="Z62" s="41">
        <f>IFERROR(IF(Y62=0,"",ROUNDUP(Y62/H62,0)*0.00902),"")</f>
        <v>0.81180000000000008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422.1</v>
      </c>
      <c r="BN62" s="78">
        <f t="shared" si="2"/>
        <v>422.1</v>
      </c>
      <c r="BO62" s="78">
        <f t="shared" si="3"/>
        <v>0.68181818181818188</v>
      </c>
      <c r="BP62" s="78">
        <f t="shared" si="4"/>
        <v>0.68181818181818188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99.259259259259267</v>
      </c>
      <c r="Y64" s="43">
        <f>IFERROR(Y55/H55,"0")+IFERROR(Y56/H56,"0")+IFERROR(Y57/H57,"0")+IFERROR(Y58/H58,"0")+IFERROR(Y59/H59,"0")+IFERROR(Y60/H60,"0")+IFERROR(Y61/H61,"0")+IFERROR(Y62/H62,"0")+IFERROR(Y63/H63,"0")</f>
        <v>100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1.0016</v>
      </c>
      <c r="AA64" s="67"/>
      <c r="AB64" s="67"/>
      <c r="AC64" s="67"/>
    </row>
    <row r="65" spans="1:68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505</v>
      </c>
      <c r="Y65" s="43">
        <f>IFERROR(SUM(Y55:Y63),"0")</f>
        <v>513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70</v>
      </c>
      <c r="Y67" s="55">
        <f>IFERROR(IF(X67="",0,CEILING((X67/$H67),1)*$H67),"")</f>
        <v>75.600000000000009</v>
      </c>
      <c r="Z67" s="41">
        <f>IFERROR(IF(Y67=0,"",ROUNDUP(Y67/H67,0)*0.01898),"")</f>
        <v>0.13286000000000001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72.657407407407405</v>
      </c>
      <c r="BN67" s="78">
        <f>IFERROR(Y67*I67/H67,"0")</f>
        <v>78.47</v>
      </c>
      <c r="BO67" s="78">
        <f>IFERROR(1/J67*(X67/H67),"0")</f>
        <v>0.10127314814814814</v>
      </c>
      <c r="BP67" s="78">
        <f>IFERROR(1/J67*(Y67/H67),"0")</f>
        <v>0.109375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135</v>
      </c>
      <c r="Y71" s="55">
        <f>IFERROR(IF(X71="",0,CEILING((X71/$H71),1)*$H71),"")</f>
        <v>135</v>
      </c>
      <c r="Z71" s="41">
        <f>IFERROR(IF(Y71=0,"",ROUNDUP(Y71/H71,0)*0.00651),"")</f>
        <v>0.32550000000000001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144</v>
      </c>
      <c r="BN71" s="78">
        <f>IFERROR(Y71*I71/H71,"0")</f>
        <v>144</v>
      </c>
      <c r="BO71" s="78">
        <f>IFERROR(1/J71*(X71/H71),"0")</f>
        <v>0.27472527472527475</v>
      </c>
      <c r="BP71" s="78">
        <f>IFERROR(1/J71*(Y71/H71),"0")</f>
        <v>0.27472527472527475</v>
      </c>
    </row>
    <row r="72" spans="1:68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56.481481481481481</v>
      </c>
      <c r="Y72" s="43">
        <f>IFERROR(Y67/H67,"0")+IFERROR(Y68/H68,"0")+IFERROR(Y69/H69,"0")+IFERROR(Y70/H70,"0")+IFERROR(Y71/H71,"0")</f>
        <v>57</v>
      </c>
      <c r="Z72" s="43">
        <f>IFERROR(IF(Z67="",0,Z67),"0")+IFERROR(IF(Z68="",0,Z68),"0")+IFERROR(IF(Z69="",0,Z69),"0")+IFERROR(IF(Z70="",0,Z70),"0")+IFERROR(IF(Z71="",0,Z71),"0")</f>
        <v>0.45835999999999999</v>
      </c>
      <c r="AA72" s="67"/>
      <c r="AB72" s="67"/>
      <c r="AC72" s="67"/>
    </row>
    <row r="73" spans="1:68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205</v>
      </c>
      <c r="Y73" s="43">
        <f>IFERROR(SUM(Y67:Y71),"0")</f>
        <v>210.60000000000002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20</v>
      </c>
      <c r="Y80" s="55">
        <f>IFERROR(IF(X80="",0,CEILING((X80/$H80),1)*$H80),"")</f>
        <v>23.4</v>
      </c>
      <c r="Z80" s="41">
        <f>IFERROR(IF(Y80=0,"",ROUNDUP(Y80/H80,0)*0.01898),"")</f>
        <v>5.6940000000000004E-2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21.051282051282055</v>
      </c>
      <c r="BN80" s="78">
        <f>IFERROR(Y80*I80/H80,"0")</f>
        <v>24.630000000000003</v>
      </c>
      <c r="BO80" s="78">
        <f>IFERROR(1/J80*(X80/H80),"0")</f>
        <v>4.0064102564102567E-2</v>
      </c>
      <c r="BP80" s="78">
        <f>IFERROR(1/J80*(Y80/H80),"0")</f>
        <v>4.6875E-2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2.5641025641025643</v>
      </c>
      <c r="Y83" s="43">
        <f>IFERROR(Y80/H80,"0")+IFERROR(Y81/H81,"0")+IFERROR(Y82/H82,"0")</f>
        <v>3</v>
      </c>
      <c r="Z83" s="43">
        <f>IFERROR(IF(Z80="",0,Z80),"0")+IFERROR(IF(Z81="",0,Z81),"0")+IFERROR(IF(Z82="",0,Z82),"0")</f>
        <v>5.6940000000000004E-2</v>
      </c>
      <c r="AA83" s="67"/>
      <c r="AB83" s="67"/>
      <c r="AC83" s="67"/>
    </row>
    <row r="84" spans="1:68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20</v>
      </c>
      <c r="Y84" s="43">
        <f>IFERROR(SUM(Y80:Y82),"0")</f>
        <v>23.4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180</v>
      </c>
      <c r="Y87" s="55">
        <f t="shared" ref="Y87:Y92" si="5">IFERROR(IF(X87="",0,CEILING((X87/$H87),1)*$H87),"")</f>
        <v>183.60000000000002</v>
      </c>
      <c r="Z87" s="41">
        <f>IFERROR(IF(Y87=0,"",ROUNDUP(Y87/H87,0)*0.01898),"")</f>
        <v>0.32266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186.83333333333334</v>
      </c>
      <c r="BN87" s="78">
        <f t="shared" ref="BN87:BN92" si="7">IFERROR(Y87*I87/H87,"0")</f>
        <v>190.57000000000002</v>
      </c>
      <c r="BO87" s="78">
        <f t="shared" ref="BO87:BO92" si="8">IFERROR(1/J87*(X87/H87),"0")</f>
        <v>0.26041666666666663</v>
      </c>
      <c r="BP87" s="78">
        <f t="shared" ref="BP87:BP92" si="9">IFERROR(1/J87*(Y87/H87),"0")</f>
        <v>0.265625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450</v>
      </c>
      <c r="Y92" s="55">
        <f t="shared" si="5"/>
        <v>450</v>
      </c>
      <c r="Z92" s="41">
        <f>IFERROR(IF(Y92=0,"",ROUNDUP(Y92/H92,0)*0.00902),"")</f>
        <v>0.90200000000000002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469</v>
      </c>
      <c r="BN92" s="78">
        <f t="shared" si="7"/>
        <v>469</v>
      </c>
      <c r="BO92" s="78">
        <f t="shared" si="8"/>
        <v>0.75757575757575757</v>
      </c>
      <c r="BP92" s="78">
        <f t="shared" si="9"/>
        <v>0.75757575757575757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116.66666666666666</v>
      </c>
      <c r="Y93" s="43">
        <f>IFERROR(Y87/H87,"0")+IFERROR(Y88/H88,"0")+IFERROR(Y89/H89,"0")+IFERROR(Y90/H90,"0")+IFERROR(Y91/H91,"0")+IFERROR(Y92/H92,"0")</f>
        <v>117</v>
      </c>
      <c r="Z93" s="43">
        <f>IFERROR(IF(Z87="",0,Z87),"0")+IFERROR(IF(Z88="",0,Z88),"0")+IFERROR(IF(Z89="",0,Z89),"0")+IFERROR(IF(Z90="",0,Z90),"0")+IFERROR(IF(Z91="",0,Z91),"0")+IFERROR(IF(Z92="",0,Z92),"0")</f>
        <v>1.2246600000000001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630</v>
      </c>
      <c r="Y94" s="43">
        <f>IFERROR(SUM(Y87:Y92),"0")</f>
        <v>633.6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100</v>
      </c>
      <c r="Y96" s="55">
        <f>IFERROR(IF(X96="",0,CEILING((X96/$H96),1)*$H96),"")</f>
        <v>105.3</v>
      </c>
      <c r="Z96" s="41">
        <f>IFERROR(IF(Y96=0,"",ROUNDUP(Y96/H96,0)*0.01898),"")</f>
        <v>0.24674000000000001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106.09876543209877</v>
      </c>
      <c r="BN96" s="78">
        <f>IFERROR(Y96*I96/H96,"0")</f>
        <v>111.72199999999999</v>
      </c>
      <c r="BO96" s="78">
        <f>IFERROR(1/J96*(X96/H96),"0")</f>
        <v>0.19290123456790123</v>
      </c>
      <c r="BP96" s="78">
        <f>IFERROR(1/J96*(Y96/H96),"0")</f>
        <v>0.203125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450</v>
      </c>
      <c r="Y98" s="55">
        <f>IFERROR(IF(X98="",0,CEILING((X98/$H98),1)*$H98),"")</f>
        <v>450.90000000000003</v>
      </c>
      <c r="Z98" s="41">
        <f>IFERROR(IF(Y98=0,"",ROUNDUP(Y98/H98,0)*0.00651),"")</f>
        <v>1.08717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492</v>
      </c>
      <c r="BN98" s="78">
        <f>IFERROR(Y98*I98/H98,"0")</f>
        <v>492.98399999999998</v>
      </c>
      <c r="BO98" s="78">
        <f>IFERROR(1/J98*(X98/H98),"0")</f>
        <v>0.91575091575091572</v>
      </c>
      <c r="BP98" s="78">
        <f>IFERROR(1/J98*(Y98/H98),"0")</f>
        <v>0.91758241758241765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179.01234567901233</v>
      </c>
      <c r="Y100" s="43">
        <f>IFERROR(Y96/H96,"0")+IFERROR(Y97/H97,"0")+IFERROR(Y98/H98,"0")+IFERROR(Y99/H99,"0")</f>
        <v>180</v>
      </c>
      <c r="Z100" s="43">
        <f>IFERROR(IF(Z96="",0,Z96),"0")+IFERROR(IF(Z97="",0,Z97),"0")+IFERROR(IF(Z98="",0,Z98),"0")+IFERROR(IF(Z99="",0,Z99),"0")</f>
        <v>1.3339099999999999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550</v>
      </c>
      <c r="Y101" s="43">
        <f>IFERROR(SUM(Y96:Y99),"0")</f>
        <v>556.20000000000005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40</v>
      </c>
      <c r="Y104" s="55">
        <f t="shared" ref="Y104:Y112" si="10">IFERROR(IF(X104="",0,CEILING((X104/$H104),1)*$H104),"")</f>
        <v>43.2</v>
      </c>
      <c r="Z104" s="41">
        <f>IFERROR(IF(Y104=0,"",ROUNDUP(Y104/H104,0)*0.01898),"")</f>
        <v>7.5920000000000001E-2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41.518518518518519</v>
      </c>
      <c r="BN104" s="78">
        <f t="shared" ref="BN104:BN112" si="12">IFERROR(Y104*I104/H104,"0")</f>
        <v>44.84</v>
      </c>
      <c r="BO104" s="78">
        <f t="shared" ref="BO104:BO112" si="13">IFERROR(1/J104*(X104/H104),"0")</f>
        <v>5.7870370370370364E-2</v>
      </c>
      <c r="BP104" s="78">
        <f t="shared" ref="BP104:BP112" si="14">IFERROR(1/J104*(Y104/H104),"0")</f>
        <v>6.25E-2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315</v>
      </c>
      <c r="Y109" s="55">
        <f t="shared" si="10"/>
        <v>315</v>
      </c>
      <c r="Z109" s="41">
        <f>IFERROR(IF(Y109=0,"",ROUNDUP(Y109/H109,0)*0.00902),"")</f>
        <v>0.63139999999999996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328.3</v>
      </c>
      <c r="BN109" s="78">
        <f t="shared" si="12"/>
        <v>328.3</v>
      </c>
      <c r="BO109" s="78">
        <f t="shared" si="13"/>
        <v>0.53030303030303028</v>
      </c>
      <c r="BP109" s="78">
        <f t="shared" si="14"/>
        <v>0.53030303030303028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73.703703703703709</v>
      </c>
      <c r="Y113" s="43">
        <f>IFERROR(Y104/H104,"0")+IFERROR(Y105/H105,"0")+IFERROR(Y106/H106,"0")+IFERROR(Y107/H107,"0")+IFERROR(Y108/H108,"0")+IFERROR(Y109/H109,"0")+IFERROR(Y110/H110,"0")+IFERROR(Y111/H111,"0")+IFERROR(Y112/H112,"0")</f>
        <v>74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0.70731999999999995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355</v>
      </c>
      <c r="Y114" s="43">
        <f>IFERROR(SUM(Y104:Y112),"0")</f>
        <v>358.2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450</v>
      </c>
      <c r="Y124" s="55">
        <f>IFERROR(IF(X124="",0,CEILING((X124/$H124),1)*$H124),"")</f>
        <v>450.90000000000003</v>
      </c>
      <c r="Z124" s="41">
        <f>IFERROR(IF(Y124=0,"",ROUNDUP(Y124/H124,0)*0.00651),"")</f>
        <v>1.08717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492</v>
      </c>
      <c r="BN124" s="78">
        <f>IFERROR(Y124*I124/H124,"0")</f>
        <v>492.98399999999998</v>
      </c>
      <c r="BO124" s="78">
        <f>IFERROR(1/J124*(X124/H124),"0")</f>
        <v>0.91575091575091572</v>
      </c>
      <c r="BP124" s="78">
        <f>IFERROR(1/J124*(Y124/H124),"0")</f>
        <v>0.91758241758241765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60</v>
      </c>
      <c r="Y125" s="55">
        <f>IFERROR(IF(X125="",0,CEILING((X125/$H125),1)*$H125),"")</f>
        <v>61.2</v>
      </c>
      <c r="Z125" s="41">
        <f>IFERROR(IF(Y125=0,"",ROUNDUP(Y125/H125,0)*0.00651),"")</f>
        <v>0.22134000000000001</v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66</v>
      </c>
      <c r="BN125" s="78">
        <f>IFERROR(Y125*I125/H125,"0")</f>
        <v>67.319999999999993</v>
      </c>
      <c r="BO125" s="78">
        <f>IFERROR(1/J125*(X125/H125),"0")</f>
        <v>0.18315018315018317</v>
      </c>
      <c r="BP125" s="78">
        <f>IFERROR(1/J125*(Y125/H125),"0")</f>
        <v>0.18681318681318682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249.38271604938271</v>
      </c>
      <c r="Y126" s="43">
        <f>IFERROR(Y122/H122,"0")+IFERROR(Y123/H123,"0")+IFERROR(Y124/H124,"0")+IFERROR(Y125/H125,"0")</f>
        <v>251</v>
      </c>
      <c r="Z126" s="43">
        <f>IFERROR(IF(Z122="",0,Z122),"0")+IFERROR(IF(Z123="",0,Z123),"0")+IFERROR(IF(Z124="",0,Z124),"0")+IFERROR(IF(Z125="",0,Z125),"0")</f>
        <v>2.2575100000000003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910</v>
      </c>
      <c r="Y127" s="43">
        <f>IFERROR(SUM(Y122:Y125),"0")</f>
        <v>917.10000000000014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40</v>
      </c>
      <c r="Y129" s="55">
        <f>IFERROR(IF(X129="",0,CEILING((X129/$H129),1)*$H129),"")</f>
        <v>41.58</v>
      </c>
      <c r="Z129" s="41">
        <f>IFERROR(IF(Y129=0,"",ROUNDUP(Y129/H129,0)*0.00651),"")</f>
        <v>0.13671</v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45.212121212121211</v>
      </c>
      <c r="BN129" s="78">
        <f>IFERROR(Y129*I129/H129,"0")</f>
        <v>46.997999999999998</v>
      </c>
      <c r="BO129" s="78">
        <f>IFERROR(1/J129*(X129/H129),"0")</f>
        <v>0.11100011100011101</v>
      </c>
      <c r="BP129" s="78">
        <f>IFERROR(1/J129*(Y129/H129),"0")</f>
        <v>0.11538461538461539</v>
      </c>
    </row>
    <row r="130" spans="1:68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20.202020202020201</v>
      </c>
      <c r="Y130" s="43">
        <f>IFERROR(Y129/H129,"0")</f>
        <v>21</v>
      </c>
      <c r="Z130" s="43">
        <f>IFERROR(IF(Z129="",0,Z129),"0")</f>
        <v>0.13671</v>
      </c>
      <c r="AA130" s="67"/>
      <c r="AB130" s="67"/>
      <c r="AC130" s="67"/>
    </row>
    <row r="131" spans="1:68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40</v>
      </c>
      <c r="Y131" s="43">
        <f>IFERROR(SUM(Y129:Y129),"0")</f>
        <v>41.58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60</v>
      </c>
      <c r="Y135" s="55">
        <f>IFERROR(IF(X135="",0,CEILING((X135/$H135),1)*$H135),"")</f>
        <v>60.800000000000004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63.374999999999993</v>
      </c>
      <c r="BN135" s="78">
        <f>IFERROR(Y135*I135/H135,"0")</f>
        <v>64.22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18.75</v>
      </c>
      <c r="Y136" s="43">
        <f>IFERROR(Y134/H134,"0")+IFERROR(Y135/H135,"0")</f>
        <v>19</v>
      </c>
      <c r="Z136" s="43">
        <f>IFERROR(IF(Z134="",0,Z134),"0")+IFERROR(IF(Z135="",0,Z135),"0")</f>
        <v>0.12369000000000001</v>
      </c>
      <c r="AA136" s="67"/>
      <c r="AB136" s="67"/>
      <c r="AC136" s="67"/>
    </row>
    <row r="137" spans="1:68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60</v>
      </c>
      <c r="Y137" s="43">
        <f>IFERROR(SUM(Y134:Y135),"0")</f>
        <v>60.800000000000004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82</v>
      </c>
      <c r="Y144" s="55">
        <f>IFERROR(IF(X144="",0,CEILING((X144/$H144),1)*$H144),"")</f>
        <v>84.48</v>
      </c>
      <c r="Z144" s="41">
        <f>IFERROR(IF(Y144=0,"",ROUNDUP(Y144/H144,0)*0.00651),"")</f>
        <v>0.20832000000000001</v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90.324242424242414</v>
      </c>
      <c r="BN144" s="78">
        <f>IFERROR(Y144*I144/H144,"0")</f>
        <v>93.055999999999997</v>
      </c>
      <c r="BO144" s="78">
        <f>IFERROR(1/J144*(X144/H144),"0")</f>
        <v>0.17066267066267066</v>
      </c>
      <c r="BP144" s="78">
        <f>IFERROR(1/J144*(Y144/H144),"0")</f>
        <v>0.17582417582417584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31.060606060606059</v>
      </c>
      <c r="Y146" s="43">
        <f>IFERROR(Y144/H144,"0")+IFERROR(Y145/H145,"0")</f>
        <v>32</v>
      </c>
      <c r="Z146" s="43">
        <f>IFERROR(IF(Z144="",0,Z144),"0")+IFERROR(IF(Z145="",0,Z145),"0")</f>
        <v>0.20832000000000001</v>
      </c>
      <c r="AA146" s="67"/>
      <c r="AB146" s="67"/>
      <c r="AC146" s="67"/>
    </row>
    <row r="147" spans="1:68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82</v>
      </c>
      <c r="Y147" s="43">
        <f>IFERROR(SUM(Y144:Y145),"0")</f>
        <v>84.48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200</v>
      </c>
      <c r="Y176" s="55">
        <f t="shared" ref="Y176:Y186" si="21">IFERROR(IF(X176="",0,CEILING((X176/$H176),1)*$H176),"")</f>
        <v>203</v>
      </c>
      <c r="Z176" s="41">
        <f>IFERROR(IF(Y176=0,"",ROUNDUP(Y176/H176,0)*0.00902),"")</f>
        <v>0.52316000000000007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210.85714285714286</v>
      </c>
      <c r="BN176" s="78">
        <f t="shared" ref="BN176:BN186" si="23">IFERROR(Y176*I176/H176,"0")</f>
        <v>214.01999999999998</v>
      </c>
      <c r="BO176" s="78">
        <f t="shared" ref="BO176:BO186" si="24">IFERROR(1/J176*(X176/H176),"0")</f>
        <v>0.43290043290043295</v>
      </c>
      <c r="BP176" s="78">
        <f t="shared" ref="BP176:BP186" si="25">IFERROR(1/J176*(Y176/H176),"0")</f>
        <v>0.43939393939393939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200</v>
      </c>
      <c r="Y179" s="55">
        <f t="shared" si="21"/>
        <v>203</v>
      </c>
      <c r="Z179" s="41">
        <f>IFERROR(IF(Y179=0,"",ROUNDUP(Y179/H179,0)*0.00902),"")</f>
        <v>0.52316000000000007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210.85714285714286</v>
      </c>
      <c r="BN179" s="78">
        <f t="shared" si="23"/>
        <v>214.01999999999998</v>
      </c>
      <c r="BO179" s="78">
        <f t="shared" si="24"/>
        <v>0.43290043290043295</v>
      </c>
      <c r="BP179" s="78">
        <f t="shared" si="25"/>
        <v>0.43939393939393939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140</v>
      </c>
      <c r="Y182" s="55">
        <f t="shared" si="21"/>
        <v>141.12</v>
      </c>
      <c r="Z182" s="41">
        <f>IFERROR(IF(Y182=0,"",ROUNDUP(Y182/H182,0)*0.00502),"")</f>
        <v>0.42168</v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148.33333333333334</v>
      </c>
      <c r="BN182" s="78">
        <f t="shared" si="23"/>
        <v>149.52000000000001</v>
      </c>
      <c r="BO182" s="78">
        <f t="shared" si="24"/>
        <v>0.35612535612535623</v>
      </c>
      <c r="BP182" s="78">
        <f t="shared" si="25"/>
        <v>0.35897435897435903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21"/>
        <v>141.12</v>
      </c>
      <c r="Z184" s="41">
        <f>IFERROR(IF(Y184=0,"",ROUNDUP(Y184/H184,0)*0.00502),"")</f>
        <v>0.42168</v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148.33333333333334</v>
      </c>
      <c r="BN184" s="78">
        <f t="shared" si="23"/>
        <v>149.52000000000001</v>
      </c>
      <c r="BO184" s="78">
        <f t="shared" si="24"/>
        <v>0.35612535612535623</v>
      </c>
      <c r="BP184" s="78">
        <f t="shared" si="25"/>
        <v>0.35897435897435903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84</v>
      </c>
      <c r="Y186" s="55">
        <f t="shared" si="21"/>
        <v>84</v>
      </c>
      <c r="Z186" s="41">
        <f>IFERROR(IF(Y186=0,"",ROUNDUP(Y186/H186,0)*0.00502),"")</f>
        <v>0.251</v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89.000000000000014</v>
      </c>
      <c r="BN186" s="78">
        <f t="shared" si="23"/>
        <v>89.000000000000014</v>
      </c>
      <c r="BO186" s="78">
        <f t="shared" si="24"/>
        <v>0.21367521367521369</v>
      </c>
      <c r="BP186" s="78">
        <f t="shared" si="25"/>
        <v>0.21367521367521369</v>
      </c>
    </row>
    <row r="187" spans="1:68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330.95238095238096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334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2.1406800000000001</v>
      </c>
      <c r="AA187" s="67"/>
      <c r="AB187" s="67"/>
      <c r="AC187" s="67"/>
    </row>
    <row r="188" spans="1:68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764</v>
      </c>
      <c r="Y188" s="43">
        <f>IFERROR(SUM(Y176:Y186),"0")</f>
        <v>772.24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70</v>
      </c>
      <c r="Y221" s="55">
        <f t="shared" ref="Y221:Y235" si="32">IFERROR(IF(X221="",0,CEILING((X221/$H221),1)*$H221),"")</f>
        <v>71.400000000000006</v>
      </c>
      <c r="Z221" s="41">
        <f>IFERROR(IF(Y221=0,"",ROUNDUP(Y221/H221,0)*0.00902),"")</f>
        <v>0.15334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74.166666666666657</v>
      </c>
      <c r="BN221" s="78">
        <f t="shared" ref="BN221:BN235" si="34">IFERROR(Y221*I221/H221,"0")</f>
        <v>75.650000000000006</v>
      </c>
      <c r="BO221" s="78">
        <f t="shared" ref="BO221:BO235" si="35">IFERROR(1/J221*(X221/H221),"0")</f>
        <v>0.12626262626262624</v>
      </c>
      <c r="BP221" s="78">
        <f t="shared" ref="BP221:BP235" si="36">IFERROR(1/J221*(Y221/H221),"0")</f>
        <v>0.12878787878787878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40</v>
      </c>
      <c r="Y222" s="55">
        <f t="shared" si="32"/>
        <v>42</v>
      </c>
      <c r="Z222" s="41">
        <f>IFERROR(IF(Y222=0,"",ROUNDUP(Y222/H222,0)*0.00902),"")</f>
        <v>9.0200000000000002E-2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42.38095238095238</v>
      </c>
      <c r="BN222" s="78">
        <f t="shared" si="34"/>
        <v>44.5</v>
      </c>
      <c r="BO222" s="78">
        <f t="shared" si="35"/>
        <v>7.2150072150072145E-2</v>
      </c>
      <c r="BP222" s="78">
        <f t="shared" si="36"/>
        <v>7.575757575757576E-2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80</v>
      </c>
      <c r="Y223" s="55">
        <f t="shared" si="32"/>
        <v>84</v>
      </c>
      <c r="Z223" s="41">
        <f>IFERROR(IF(Y223=0,"",ROUNDUP(Y223/H223,0)*0.00902),"")</f>
        <v>0.1804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83.619047619047606</v>
      </c>
      <c r="BN223" s="78">
        <f t="shared" si="34"/>
        <v>87.8</v>
      </c>
      <c r="BO223" s="78">
        <f t="shared" si="35"/>
        <v>0.14430014430014429</v>
      </c>
      <c r="BP223" s="78">
        <f t="shared" si="36"/>
        <v>0.15151515151515152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32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9.3000000000000007</v>
      </c>
      <c r="BN224" s="78">
        <f t="shared" si="34"/>
        <v>9.3000000000000007</v>
      </c>
      <c r="BO224" s="78">
        <f t="shared" si="35"/>
        <v>3.968253968253968E-2</v>
      </c>
      <c r="BP224" s="78">
        <f t="shared" si="36"/>
        <v>3.968253968253968E-2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32"/>
        <v>140.70000000000002</v>
      </c>
      <c r="Z227" s="41">
        <f t="shared" si="37"/>
        <v>0.33634000000000003</v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148.66666666666666</v>
      </c>
      <c r="BN227" s="78">
        <f t="shared" si="34"/>
        <v>149.41</v>
      </c>
      <c r="BO227" s="78">
        <f t="shared" si="35"/>
        <v>0.28490028490028491</v>
      </c>
      <c r="BP227" s="78">
        <f t="shared" si="36"/>
        <v>0.28632478632478636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12</v>
      </c>
      <c r="Y231" s="55">
        <f t="shared" si="32"/>
        <v>12</v>
      </c>
      <c r="Z231" s="41">
        <f>IFERROR(IF(Y231=0,"",ROUNDUP(Y231/H231,0)*0.00417),"")</f>
        <v>6.2549999999999994E-2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15.15</v>
      </c>
      <c r="BN231" s="78">
        <f t="shared" si="34"/>
        <v>15.15</v>
      </c>
      <c r="BO231" s="78">
        <f t="shared" si="35"/>
        <v>4.4642857142857137E-2</v>
      </c>
      <c r="BP231" s="78">
        <f t="shared" si="36"/>
        <v>4.4642857142857137E-2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245</v>
      </c>
      <c r="Y232" s="55">
        <f t="shared" si="32"/>
        <v>245.70000000000002</v>
      </c>
      <c r="Z232" s="41">
        <f>IFERROR(IF(Y232=0,"",ROUNDUP(Y232/H232,0)*0.00502),"")</f>
        <v>0.58733999999999997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256.66666666666663</v>
      </c>
      <c r="BN232" s="78">
        <f t="shared" si="34"/>
        <v>257.40000000000003</v>
      </c>
      <c r="BO232" s="78">
        <f t="shared" si="35"/>
        <v>0.4985754985754986</v>
      </c>
      <c r="BP232" s="78">
        <f t="shared" si="36"/>
        <v>0.5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253.57142857142856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256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1.46577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595</v>
      </c>
      <c r="Y237" s="43">
        <f>IFERROR(SUM(Y221:Y235),"0")</f>
        <v>603.80000000000007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7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2.5720164609053495E-2</v>
      </c>
      <c r="BP251" s="78">
        <f>IFERROR(1/J251*(Y251/H251),"0")</f>
        <v>2.7777777777777776E-2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7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2.5720164609053495E-2</v>
      </c>
      <c r="BP252" s="78">
        <f>IFERROR(1/J252*(Y252/H252),"0")</f>
        <v>2.7777777777777776E-2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11.111111111111111</v>
      </c>
      <c r="Y254" s="43">
        <f>IFERROR(Y251/H251,"0")+IFERROR(Y252/H252,"0")+IFERROR(Y253/H253,"0")</f>
        <v>12</v>
      </c>
      <c r="Z254" s="43">
        <f>IFERROR(IF(Z251="",0,Z251),"0")+IFERROR(IF(Z252="",0,Z252),"0")+IFERROR(IF(Z253="",0,Z253),"0")</f>
        <v>7.0800000000000002E-2</v>
      </c>
      <c r="AA254" s="67"/>
      <c r="AB254" s="67"/>
      <c r="AC254" s="67"/>
    </row>
    <row r="255" spans="1:68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14</v>
      </c>
      <c r="Y255" s="43">
        <f>IFERROR(SUM(Y251:Y253),"0")</f>
        <v>15.120000000000001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260</v>
      </c>
      <c r="Y272" s="55">
        <f t="shared" ref="Y272:Y279" si="43">IFERROR(IF(X272="",0,CEILING((X272/$H272),1)*$H272),"")</f>
        <v>264.60000000000002</v>
      </c>
      <c r="Z272" s="41">
        <f>IFERROR(IF(Y272=0,"",ROUNDUP(Y272/H272,0)*0.00902),"")</f>
        <v>0.44198000000000004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269.1481481481481</v>
      </c>
      <c r="BN272" s="78">
        <f t="shared" ref="BN272:BN279" si="45">IFERROR(Y272*I272/H272,"0")</f>
        <v>273.90999999999997</v>
      </c>
      <c r="BO272" s="78">
        <f t="shared" ref="BO272:BO279" si="46">IFERROR(1/J272*(X272/H272),"0")</f>
        <v>0.36475869809203143</v>
      </c>
      <c r="BP272" s="78">
        <f t="shared" ref="BP272:BP279" si="47">IFERROR(1/J272*(Y272/H272),"0")</f>
        <v>0.37121212121212122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100</v>
      </c>
      <c r="Y274" s="55">
        <f t="shared" si="43"/>
        <v>102.60000000000001</v>
      </c>
      <c r="Z274" s="41">
        <f>IFERROR(IF(Y274=0,"",ROUNDUP(Y274/H274,0)*0.00902),"")</f>
        <v>0.17138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103.5185185185185</v>
      </c>
      <c r="BN274" s="78">
        <f t="shared" si="45"/>
        <v>106.21</v>
      </c>
      <c r="BO274" s="78">
        <f t="shared" si="46"/>
        <v>0.14029180695847362</v>
      </c>
      <c r="BP274" s="78">
        <f t="shared" si="47"/>
        <v>0.14393939393939395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43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192.99999999999997</v>
      </c>
      <c r="BN276" s="78">
        <f t="shared" si="45"/>
        <v>192.99999999999997</v>
      </c>
      <c r="BO276" s="78">
        <f t="shared" si="46"/>
        <v>0.42735042735042739</v>
      </c>
      <c r="BP276" s="78">
        <f t="shared" si="47"/>
        <v>0.42735042735042739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150</v>
      </c>
      <c r="Y277" s="55">
        <f t="shared" si="43"/>
        <v>151.20000000000002</v>
      </c>
      <c r="Z277" s="41">
        <f>IFERROR(IF(Y277=0,"",ROUNDUP(Y277/H277,0)*0.00502),"")</f>
        <v>0.42168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158.33333333333334</v>
      </c>
      <c r="BN277" s="78">
        <f t="shared" si="45"/>
        <v>159.60000000000002</v>
      </c>
      <c r="BO277" s="78">
        <f t="shared" si="46"/>
        <v>0.35612535612535612</v>
      </c>
      <c r="BP277" s="78">
        <f t="shared" si="47"/>
        <v>0.35897435897435909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180</v>
      </c>
      <c r="Y278" s="55">
        <f t="shared" si="43"/>
        <v>180</v>
      </c>
      <c r="Z278" s="41">
        <f>IFERROR(IF(Y278=0,"",ROUNDUP(Y278/H278,0)*0.00502),"")</f>
        <v>0.502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190</v>
      </c>
      <c r="BN278" s="78">
        <f t="shared" si="45"/>
        <v>190</v>
      </c>
      <c r="BO278" s="78">
        <f t="shared" si="46"/>
        <v>0.42735042735042739</v>
      </c>
      <c r="BP278" s="78">
        <f t="shared" si="47"/>
        <v>0.42735042735042739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150</v>
      </c>
      <c r="Y279" s="55">
        <f t="shared" si="43"/>
        <v>151.20000000000002</v>
      </c>
      <c r="Z279" s="41">
        <f>IFERROR(IF(Y279=0,"",ROUNDUP(Y279/H279,0)*0.00502),"")</f>
        <v>0.42168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158.33333333333334</v>
      </c>
      <c r="BN279" s="78">
        <f t="shared" si="45"/>
        <v>159.60000000000002</v>
      </c>
      <c r="BO279" s="78">
        <f t="shared" si="46"/>
        <v>0.35612535612535612</v>
      </c>
      <c r="BP279" s="78">
        <f t="shared" si="47"/>
        <v>0.35897435897435909</v>
      </c>
    </row>
    <row r="280" spans="1:68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433.33333333333331</v>
      </c>
      <c r="Y280" s="43">
        <f>IFERROR(Y272/H272,"0")+IFERROR(Y273/H273,"0")+IFERROR(Y274/H274,"0")+IFERROR(Y275/H275,"0")+IFERROR(Y276/H276,"0")+IFERROR(Y277/H277,"0")+IFERROR(Y278/H278,"0")+IFERROR(Y279/H279,"0")</f>
        <v>436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2.4607199999999998</v>
      </c>
      <c r="AA280" s="67"/>
      <c r="AB280" s="67"/>
      <c r="AC280" s="67"/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1020</v>
      </c>
      <c r="Y281" s="43">
        <f>IFERROR(SUM(Y272:Y279),"0")</f>
        <v>1029.6000000000001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200</v>
      </c>
      <c r="Y283" s="55">
        <f t="shared" ref="Y283:Y294" si="48">IFERROR(IF(X283="",0,CEILING((X283/$H283),1)*$H283),"")</f>
        <v>202.5</v>
      </c>
      <c r="Z283" s="41">
        <f>IFERROR(IF(Y283=0,"",ROUNDUP(Y283/H283,0)*0.01898),"")</f>
        <v>0.47450000000000003</v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212.19753086419755</v>
      </c>
      <c r="BN283" s="78">
        <f t="shared" ref="BN283:BN294" si="50">IFERROR(Y283*I283/H283,"0")</f>
        <v>214.85</v>
      </c>
      <c r="BO283" s="78">
        <f t="shared" ref="BO283:BO294" si="51">IFERROR(1/J283*(X283/H283),"0")</f>
        <v>0.38580246913580246</v>
      </c>
      <c r="BP283" s="78">
        <f t="shared" ref="BP283:BP294" si="52">IFERROR(1/J283*(Y283/H283),"0")</f>
        <v>0.390625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360</v>
      </c>
      <c r="Y286" s="55">
        <f t="shared" si="48"/>
        <v>360</v>
      </c>
      <c r="Z286" s="41">
        <f>IFERROR(IF(Y286=0,"",ROUNDUP(Y286/H286,0)*0.00651),"")</f>
        <v>0.97650000000000003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400.5</v>
      </c>
      <c r="BN286" s="78">
        <f t="shared" si="50"/>
        <v>400.5</v>
      </c>
      <c r="BO286" s="78">
        <f t="shared" si="51"/>
        <v>0.82417582417582425</v>
      </c>
      <c r="BP286" s="78">
        <f t="shared" si="52"/>
        <v>0.82417582417582425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360</v>
      </c>
      <c r="Y289" s="55">
        <f t="shared" si="48"/>
        <v>360</v>
      </c>
      <c r="Z289" s="41">
        <f>IFERROR(IF(Y289=0,"",ROUNDUP(Y289/H289,0)*0.00651),"")</f>
        <v>0.97650000000000003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397.8</v>
      </c>
      <c r="BN289" s="78">
        <f t="shared" si="50"/>
        <v>397.8</v>
      </c>
      <c r="BO289" s="78">
        <f t="shared" si="51"/>
        <v>0.82417582417582425</v>
      </c>
      <c r="BP289" s="78">
        <f t="shared" si="52"/>
        <v>0.82417582417582425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80</v>
      </c>
      <c r="Y292" s="55">
        <f t="shared" si="48"/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88.40000000000002</v>
      </c>
      <c r="BN292" s="78">
        <f t="shared" si="50"/>
        <v>90.168000000000006</v>
      </c>
      <c r="BO292" s="78">
        <f t="shared" si="51"/>
        <v>0.18315018315018317</v>
      </c>
      <c r="BP292" s="78">
        <f t="shared" si="52"/>
        <v>0.18681318681318682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280</v>
      </c>
      <c r="Y293" s="55">
        <f t="shared" si="48"/>
        <v>280.8</v>
      </c>
      <c r="Z293" s="41">
        <f>IFERROR(IF(Y293=0,"",ROUNDUP(Y293/H293,0)*0.00651),"")</f>
        <v>0.76167000000000007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310.10000000000002</v>
      </c>
      <c r="BN293" s="78">
        <f t="shared" si="50"/>
        <v>310.98599999999999</v>
      </c>
      <c r="BO293" s="78">
        <f t="shared" si="51"/>
        <v>0.64102564102564108</v>
      </c>
      <c r="BP293" s="78">
        <f t="shared" si="52"/>
        <v>0.64285714285714302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474.69135802469134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476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3.4105100000000004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1280</v>
      </c>
      <c r="Y296" s="43">
        <f>IFERROR(SUM(Y283:Y294),"0")</f>
        <v>1284.9000000000001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32</v>
      </c>
      <c r="Y298" s="55">
        <f>IFERROR(IF(X298="",0,CEILING((X298/$H298),1)*$H298),"")</f>
        <v>33.6</v>
      </c>
      <c r="Z298" s="41">
        <f>IFERROR(IF(Y298=0,"",ROUNDUP(Y298/H298,0)*0.00651),"")</f>
        <v>9.1139999999999999E-2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35.360000000000007</v>
      </c>
      <c r="BN298" s="78">
        <f>IFERROR(Y298*I298/H298,"0")</f>
        <v>37.128000000000007</v>
      </c>
      <c r="BO298" s="78">
        <f>IFERROR(1/J298*(X298/H298),"0")</f>
        <v>7.3260073260073263E-2</v>
      </c>
      <c r="BP298" s="78">
        <f>IFERROR(1/J298*(Y298/H298),"0")</f>
        <v>7.6923076923076941E-2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76</v>
      </c>
      <c r="Y299" s="55">
        <f>IFERROR(IF(X299="",0,CEILING((X299/$H299),1)*$H299),"")</f>
        <v>76.8</v>
      </c>
      <c r="Z299" s="41">
        <f>IFERROR(IF(Y299=0,"",ROUNDUP(Y299/H299,0)*0.00651),"")</f>
        <v>0.20832000000000001</v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83.980000000000018</v>
      </c>
      <c r="BN299" s="78">
        <f>IFERROR(Y299*I299/H299,"0")</f>
        <v>84.864000000000004</v>
      </c>
      <c r="BO299" s="78">
        <f>IFERROR(1/J299*(X299/H299),"0")</f>
        <v>0.17399267399267401</v>
      </c>
      <c r="BP299" s="78">
        <f>IFERROR(1/J299*(Y299/H299),"0")</f>
        <v>0.17582417582417584</v>
      </c>
    </row>
    <row r="300" spans="1:68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45</v>
      </c>
      <c r="Y300" s="43">
        <f>IFERROR(Y298/H298,"0")+IFERROR(Y299/H299,"0")</f>
        <v>46</v>
      </c>
      <c r="Z300" s="43">
        <f>IFERROR(IF(Z298="",0,Z298),"0")+IFERROR(IF(Z299="",0,Z299),"0")</f>
        <v>0.29946</v>
      </c>
      <c r="AA300" s="67"/>
      <c r="AB300" s="67"/>
      <c r="AC300" s="67"/>
    </row>
    <row r="301" spans="1:68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108</v>
      </c>
      <c r="Y301" s="43">
        <f>IFERROR(SUM(Y298:Y299),"0")</f>
        <v>110.4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20</v>
      </c>
      <c r="Y306" s="55">
        <f t="shared" si="53"/>
        <v>23.2</v>
      </c>
      <c r="Z306" s="41">
        <f>IFERROR(IF(Y306=0,"",ROUNDUP(Y306/H306,0)*0.01898),"")</f>
        <v>3.7960000000000001E-2</v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20.706896551724139</v>
      </c>
      <c r="BN306" s="78">
        <f t="shared" si="55"/>
        <v>24.02</v>
      </c>
      <c r="BO306" s="78">
        <f t="shared" si="56"/>
        <v>2.6939655172413795E-2</v>
      </c>
      <c r="BP306" s="78">
        <f t="shared" si="57"/>
        <v>3.125E-2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8</v>
      </c>
      <c r="Y307" s="55">
        <f t="shared" si="53"/>
        <v>8</v>
      </c>
      <c r="Z307" s="41">
        <f>IFERROR(IF(Y307=0,"",ROUNDUP(Y307/H307,0)*0.00902),"")</f>
        <v>1.804E-2</v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8.3800000000000008</v>
      </c>
      <c r="BN307" s="78">
        <f t="shared" si="55"/>
        <v>8.3800000000000008</v>
      </c>
      <c r="BO307" s="78">
        <f t="shared" si="56"/>
        <v>1.5151515151515152E-2</v>
      </c>
      <c r="BP307" s="78">
        <f t="shared" si="57"/>
        <v>1.5151515151515152E-2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68</v>
      </c>
      <c r="Y310" s="55">
        <f t="shared" si="53"/>
        <v>68</v>
      </c>
      <c r="Z310" s="41">
        <f>IFERROR(IF(Y310=0,"",ROUNDUP(Y310/H310,0)*0.00902),"")</f>
        <v>0.15334</v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71.23</v>
      </c>
      <c r="BN310" s="78">
        <f t="shared" si="55"/>
        <v>71.23</v>
      </c>
      <c r="BO310" s="78">
        <f t="shared" si="56"/>
        <v>0.12878787878787878</v>
      </c>
      <c r="BP310" s="78">
        <f t="shared" si="57"/>
        <v>0.12878787878787878</v>
      </c>
    </row>
    <row r="311" spans="1:68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20.724137931034484</v>
      </c>
      <c r="Y311" s="43">
        <f>IFERROR(Y304/H304,"0")+IFERROR(Y305/H305,"0")+IFERROR(Y306/H306,"0")+IFERROR(Y307/H307,"0")+IFERROR(Y308/H308,"0")+IFERROR(Y309/H309,"0")+IFERROR(Y310/H310,"0")</f>
        <v>21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0.20934</v>
      </c>
      <c r="AA311" s="67"/>
      <c r="AB311" s="67"/>
      <c r="AC311" s="67"/>
    </row>
    <row r="312" spans="1:68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96</v>
      </c>
      <c r="Y312" s="43">
        <f>IFERROR(SUM(Y304:Y310),"0")</f>
        <v>99.2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18</v>
      </c>
      <c r="Y322" s="55">
        <f>IFERROR(IF(X322="",0,CEILING((X322/$H322),1)*$H322),"")</f>
        <v>18</v>
      </c>
      <c r="Z322" s="41">
        <f>IFERROR(IF(Y322=0,"",ROUNDUP(Y322/H322,0)*0.0059),"")</f>
        <v>5.8999999999999997E-2</v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19.750000000000004</v>
      </c>
      <c r="BN322" s="78">
        <f>IFERROR(Y322*I322/H322,"0")</f>
        <v>19.750000000000004</v>
      </c>
      <c r="BO322" s="78">
        <f>IFERROR(1/J322*(X322/H322),"0")</f>
        <v>4.6296296296296294E-2</v>
      </c>
      <c r="BP322" s="78">
        <f>IFERROR(1/J322*(Y322/H322),"0")</f>
        <v>4.6296296296296294E-2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10</v>
      </c>
      <c r="Y324" s="43">
        <f>IFERROR(Y322/H322,"0")+IFERROR(Y323/H323,"0")</f>
        <v>10</v>
      </c>
      <c r="Z324" s="43">
        <f>IFERROR(IF(Z322="",0,Z322),"0")+IFERROR(IF(Z323="",0,Z323),"0")</f>
        <v>5.8999999999999997E-2</v>
      </c>
      <c r="AA324" s="67"/>
      <c r="AB324" s="67"/>
      <c r="AC324" s="67"/>
    </row>
    <row r="325" spans="1:68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18</v>
      </c>
      <c r="Y325" s="43">
        <f>IFERROR(SUM(Y322:Y323),"0")</f>
        <v>18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81.599999999999994</v>
      </c>
      <c r="Z339" s="41">
        <f>IFERROR(IF(Y339=0,"",ROUNDUP(Y339/H339,0)*0.00651),"")</f>
        <v>0.22134000000000001</v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88.40000000000002</v>
      </c>
      <c r="BN339" s="78">
        <f>IFERROR(Y339*I339/H339,"0")</f>
        <v>90.168000000000006</v>
      </c>
      <c r="BO339" s="78">
        <f>IFERROR(1/J339*(X339/H339),"0")</f>
        <v>0.18315018315018317</v>
      </c>
      <c r="BP339" s="78">
        <f>IFERROR(1/J339*(Y339/H339),"0")</f>
        <v>0.18681318681318682</v>
      </c>
    </row>
    <row r="340" spans="1:68" ht="27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440</v>
      </c>
      <c r="Y340" s="55">
        <f>IFERROR(IF(X340="",0,CEILING((X340/$H340),1)*$H340),"")</f>
        <v>441.59999999999997</v>
      </c>
      <c r="Z340" s="41">
        <f>IFERROR(IF(Y340=0,"",ROUNDUP(Y340/H340,0)*0.00651),"")</f>
        <v>1.19784</v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473.00000000000006</v>
      </c>
      <c r="BN340" s="78">
        <f>IFERROR(Y340*I340/H340,"0")</f>
        <v>474.72</v>
      </c>
      <c r="BO340" s="78">
        <f>IFERROR(1/J340*(X340/H340),"0")</f>
        <v>1.0073260073260075</v>
      </c>
      <c r="BP340" s="78">
        <f>IFERROR(1/J340*(Y340/H340),"0")</f>
        <v>1.0109890109890112</v>
      </c>
    </row>
    <row r="341" spans="1:68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216.66666666666669</v>
      </c>
      <c r="Y341" s="43">
        <f>IFERROR(Y338/H338,"0")+IFERROR(Y339/H339,"0")+IFERROR(Y340/H340,"0")</f>
        <v>218</v>
      </c>
      <c r="Z341" s="43">
        <f>IFERROR(IF(Z338="",0,Z338),"0")+IFERROR(IF(Z339="",0,Z339),"0")+IFERROR(IF(Z340="",0,Z340),"0")</f>
        <v>1.4191800000000001</v>
      </c>
      <c r="AA341" s="67"/>
      <c r="AB341" s="67"/>
      <c r="AC341" s="67"/>
    </row>
    <row r="342" spans="1:68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520</v>
      </c>
      <c r="Y342" s="43">
        <f>IFERROR(SUM(Y338:Y340),"0")</f>
        <v>523.19999999999993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200</v>
      </c>
      <c r="Y360" s="55">
        <f>IFERROR(IF(X360="",0,CEILING((X360/$H360),1)*$H360),"")</f>
        <v>202.79999999999998</v>
      </c>
      <c r="Z360" s="41">
        <f>IFERROR(IF(Y360=0,"",ROUNDUP(Y360/H360,0)*0.01898),"")</f>
        <v>0.49348000000000003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210.51282051282055</v>
      </c>
      <c r="BN360" s="78">
        <f>IFERROR(Y360*I360/H360,"0")</f>
        <v>213.46</v>
      </c>
      <c r="BO360" s="78">
        <f>IFERROR(1/J360*(X360/H360),"0")</f>
        <v>0.40064102564102566</v>
      </c>
      <c r="BP360" s="78">
        <f>IFERROR(1/J360*(Y360/H360),"0")</f>
        <v>0.40625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70</v>
      </c>
      <c r="Y361" s="55">
        <f>IFERROR(IF(X361="",0,CEILING((X361/$H361),1)*$H361),"")</f>
        <v>70.2</v>
      </c>
      <c r="Z361" s="41">
        <f>IFERROR(IF(Y361=0,"",ROUNDUP(Y361/H361,0)*0.01898),"")</f>
        <v>0.17082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73.679487179487182</v>
      </c>
      <c r="BN361" s="78">
        <f>IFERROR(Y361*I361/H361,"0")</f>
        <v>73.890000000000015</v>
      </c>
      <c r="BO361" s="78">
        <f>IFERROR(1/J361*(X361/H361),"0")</f>
        <v>0.14022435897435898</v>
      </c>
      <c r="BP361" s="78">
        <f>IFERROR(1/J361*(Y361/H361),"0")</f>
        <v>0.140625</v>
      </c>
    </row>
    <row r="362" spans="1:68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60.256410256410263</v>
      </c>
      <c r="Y362" s="43">
        <f>IFERROR(Y359/H359,"0")+IFERROR(Y360/H360,"0")+IFERROR(Y361/H361,"0")</f>
        <v>61</v>
      </c>
      <c r="Z362" s="43">
        <f>IFERROR(IF(Z359="",0,Z359),"0")+IFERROR(IF(Z360="",0,Z360),"0")+IFERROR(IF(Z361="",0,Z361),"0")</f>
        <v>1.15778</v>
      </c>
      <c r="AA362" s="67"/>
      <c r="AB362" s="67"/>
      <c r="AC362" s="67"/>
    </row>
    <row r="363" spans="1:68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470</v>
      </c>
      <c r="Y363" s="43">
        <f>IFERROR(SUM(Y359:Y361),"0")</f>
        <v>475.79999999999995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175</v>
      </c>
      <c r="Y380" s="55">
        <f t="shared" si="68"/>
        <v>176.4</v>
      </c>
      <c r="Z380" s="41">
        <f>IFERROR(IF(Y380=0,"",ROUNDUP(Y380/H380,0)*0.00502),"")</f>
        <v>0.42168</v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183.33333333333334</v>
      </c>
      <c r="BN380" s="78">
        <f t="shared" si="70"/>
        <v>184.8</v>
      </c>
      <c r="BO380" s="78">
        <f t="shared" si="71"/>
        <v>0.35612535612535612</v>
      </c>
      <c r="BP380" s="78">
        <f t="shared" si="72"/>
        <v>0.35897435897435903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36</v>
      </c>
      <c r="Y382" s="55">
        <f t="shared" si="68"/>
        <v>36</v>
      </c>
      <c r="Z382" s="41">
        <f>IFERROR(IF(Y382=0,"",ROUNDUP(Y382/H382,0)*0.00651),"")</f>
        <v>0.13020000000000001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40.559999999999995</v>
      </c>
      <c r="BN382" s="78">
        <f t="shared" si="70"/>
        <v>40.559999999999995</v>
      </c>
      <c r="BO382" s="78">
        <f t="shared" si="71"/>
        <v>0.1098901098901099</v>
      </c>
      <c r="BP382" s="78">
        <f t="shared" si="72"/>
        <v>0.1098901098901099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103.33333333333333</v>
      </c>
      <c r="Y383" s="43">
        <f>IFERROR(Y376/H376,"0")+IFERROR(Y377/H377,"0")+IFERROR(Y378/H378,"0")+IFERROR(Y379/H379,"0")+IFERROR(Y380/H380,"0")+IFERROR(Y381/H381,"0")+IFERROR(Y382/H382,"0")</f>
        <v>104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0.55188000000000004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211</v>
      </c>
      <c r="Y384" s="43">
        <f>IFERROR(SUM(Y376:Y382),"0")</f>
        <v>212.4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350</v>
      </c>
      <c r="Y393" s="55">
        <f>IFERROR(IF(X393="",0,CEILING((X393/$H393),1)*$H393),"")</f>
        <v>352.8</v>
      </c>
      <c r="Z393" s="41">
        <f>IFERROR(IF(Y393=0,"",ROUNDUP(Y393/H393,0)*0.01898),"")</f>
        <v>0.79715999999999998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370.58333333333331</v>
      </c>
      <c r="BN393" s="78">
        <f>IFERROR(Y393*I393/H393,"0")</f>
        <v>373.548</v>
      </c>
      <c r="BO393" s="78">
        <f>IFERROR(1/J393*(X393/H393),"0")</f>
        <v>0.65104166666666663</v>
      </c>
      <c r="BP393" s="78">
        <f>IFERROR(1/J393*(Y393/H393),"0")</f>
        <v>0.65625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400</v>
      </c>
      <c r="Y394" s="55">
        <f>IFERROR(IF(X394="",0,CEILING((X394/$H394),1)*$H394),"")</f>
        <v>405.59999999999997</v>
      </c>
      <c r="Z394" s="41">
        <f>IFERROR(IF(Y394=0,"",ROUNDUP(Y394/H394,0)*0.01898),"")</f>
        <v>0.98696000000000006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425.33333333333337</v>
      </c>
      <c r="BN394" s="78">
        <f>IFERROR(Y394*I394/H394,"0")</f>
        <v>431.28799999999995</v>
      </c>
      <c r="BO394" s="78">
        <f>IFERROR(1/J394*(X394/H394),"0")</f>
        <v>0.80128205128205132</v>
      </c>
      <c r="BP394" s="78">
        <f>IFERROR(1/J394*(Y394/H394),"0")</f>
        <v>0.8125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70</v>
      </c>
      <c r="Y395" s="55">
        <f>IFERROR(IF(X395="",0,CEILING((X395/$H395),1)*$H395),"")</f>
        <v>75.600000000000009</v>
      </c>
      <c r="Z395" s="41">
        <f>IFERROR(IF(Y395=0,"",ROUNDUP(Y395/H395,0)*0.01898),"")</f>
        <v>0.17082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74.116666666666674</v>
      </c>
      <c r="BN395" s="78">
        <f>IFERROR(Y395*I395/H395,"0")</f>
        <v>80.046000000000006</v>
      </c>
      <c r="BO395" s="78">
        <f>IFERROR(1/J395*(X395/H395),"0")</f>
        <v>0.13020833333333331</v>
      </c>
      <c r="BP395" s="78">
        <f>IFERROR(1/J395*(Y395/H395),"0")</f>
        <v>0.140625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101.28205128205128</v>
      </c>
      <c r="Y396" s="43">
        <f>IFERROR(Y393/H393,"0")+IFERROR(Y394/H394,"0")+IFERROR(Y395/H395,"0")</f>
        <v>103</v>
      </c>
      <c r="Z396" s="43">
        <f>IFERROR(IF(Z393="",0,Z393),"0")+IFERROR(IF(Z394="",0,Z394),"0")+IFERROR(IF(Z395="",0,Z395),"0")</f>
        <v>1.9549400000000001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820</v>
      </c>
      <c r="Y397" s="43">
        <f>IFERROR(SUM(Y393:Y395),"0")</f>
        <v>834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20</v>
      </c>
      <c r="Y419" s="55">
        <f>IFERROR(IF(X419="",0,CEILING((X419/$H419),1)*$H419),"")</f>
        <v>23.4</v>
      </c>
      <c r="Z419" s="41">
        <f>IFERROR(IF(Y419=0,"",ROUNDUP(Y419/H419,0)*0.01898),"")</f>
        <v>5.6940000000000004E-2</v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21.051282051282055</v>
      </c>
      <c r="BN419" s="78">
        <f>IFERROR(Y419*I419/H419,"0")</f>
        <v>24.630000000000003</v>
      </c>
      <c r="BO419" s="78">
        <f>IFERROR(1/J419*(X419/H419),"0")</f>
        <v>4.0064102564102567E-2</v>
      </c>
      <c r="BP419" s="78">
        <f>IFERROR(1/J419*(Y419/H419),"0")</f>
        <v>4.6875E-2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2.5641025641025643</v>
      </c>
      <c r="Y421" s="43">
        <f>IFERROR(Y419/H419,"0")+IFERROR(Y420/H420,"0")</f>
        <v>3</v>
      </c>
      <c r="Z421" s="43">
        <f>IFERROR(IF(Z419="",0,Z419),"0")+IFERROR(IF(Z420="",0,Z420),"0")</f>
        <v>5.6940000000000004E-2</v>
      </c>
      <c r="AA421" s="67"/>
      <c r="AB421" s="67"/>
      <c r="AC421" s="67"/>
    </row>
    <row r="422" spans="1:68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20</v>
      </c>
      <c r="Y422" s="43">
        <f>IFERROR(SUM(Y419:Y420),"0")</f>
        <v>23.4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120</v>
      </c>
      <c r="Y433" s="55">
        <f t="shared" ref="Y433:Y440" si="73">IFERROR(IF(X433="",0,CEILING((X433/$H433),1)*$H433),"")</f>
        <v>120</v>
      </c>
      <c r="Z433" s="41">
        <f>IFERROR(IF(Y433=0,"",ROUNDUP(Y433/H433,0)*0.02175),"")</f>
        <v>0.17399999999999999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123.76</v>
      </c>
      <c r="BN433" s="78">
        <f t="shared" ref="BN433:BN440" si="75">IFERROR(Y433*I433/H433,"0")</f>
        <v>123.76</v>
      </c>
      <c r="BO433" s="78">
        <f t="shared" ref="BO433:BO440" si="76">IFERROR(1/J433*(X433/H433),"0")</f>
        <v>0.16666666666666666</v>
      </c>
      <c r="BP433" s="78">
        <f t="shared" ref="BP433:BP440" si="77">IFERROR(1/J433*(Y433/H433),"0")</f>
        <v>0.16666666666666666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1600</v>
      </c>
      <c r="Y434" s="55">
        <f t="shared" si="73"/>
        <v>1605</v>
      </c>
      <c r="Z434" s="41">
        <f>IFERROR(IF(Y434=0,"",ROUNDUP(Y434/H434,0)*0.02175),"")</f>
        <v>2.3272499999999998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1650.1333333333334</v>
      </c>
      <c r="BN434" s="78">
        <f t="shared" si="75"/>
        <v>1655.2900000000002</v>
      </c>
      <c r="BO434" s="78">
        <f t="shared" si="76"/>
        <v>2.2222222222222223</v>
      </c>
      <c r="BP434" s="78">
        <f t="shared" si="77"/>
        <v>2.2291666666666665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1200</v>
      </c>
      <c r="Y435" s="55">
        <f t="shared" si="73"/>
        <v>1200</v>
      </c>
      <c r="Z435" s="41">
        <f>IFERROR(IF(Y435=0,"",ROUNDUP(Y435/H435,0)*0.02175),"")</f>
        <v>1.7399999999999998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1237.5999999999999</v>
      </c>
      <c r="BN435" s="78">
        <f t="shared" si="75"/>
        <v>1237.5999999999999</v>
      </c>
      <c r="BO435" s="78">
        <f t="shared" si="76"/>
        <v>1.6666666666666665</v>
      </c>
      <c r="BP435" s="78">
        <f t="shared" si="77"/>
        <v>1.6666666666666665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1300</v>
      </c>
      <c r="Y436" s="55">
        <f t="shared" si="73"/>
        <v>1305</v>
      </c>
      <c r="Z436" s="41">
        <f>IFERROR(IF(Y436=0,"",ROUNDUP(Y436/H436,0)*0.02175),"")</f>
        <v>1.8922499999999998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1340.7333333333333</v>
      </c>
      <c r="BN436" s="78">
        <f t="shared" si="75"/>
        <v>1345.89</v>
      </c>
      <c r="BO436" s="78">
        <f t="shared" si="76"/>
        <v>1.8055555555555556</v>
      </c>
      <c r="BP436" s="78">
        <f t="shared" si="77"/>
        <v>1.8125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281.33333333333337</v>
      </c>
      <c r="Y441" s="43">
        <f>IFERROR(Y433/H433,"0")+IFERROR(Y434/H434,"0")+IFERROR(Y435/H435,"0")+IFERROR(Y436/H436,"0")+IFERROR(Y437/H437,"0")+IFERROR(Y438/H438,"0")+IFERROR(Y439/H439,"0")+IFERROR(Y440/H440,"0")</f>
        <v>282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6.1334999999999988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4220</v>
      </c>
      <c r="Y442" s="43">
        <f>IFERROR(SUM(Y433:Y440),"0")</f>
        <v>4230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1100</v>
      </c>
      <c r="Y444" s="55">
        <f>IFERROR(IF(X444="",0,CEILING((X444/$H444),1)*$H444),"")</f>
        <v>1110</v>
      </c>
      <c r="Z444" s="41">
        <f>IFERROR(IF(Y444=0,"",ROUNDUP(Y444/H444,0)*0.02175),"")</f>
        <v>1.6094999999999999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1134.4666666666667</v>
      </c>
      <c r="BN444" s="78">
        <f>IFERROR(Y444*I444/H444,"0")</f>
        <v>1144.78</v>
      </c>
      <c r="BO444" s="78">
        <f>IFERROR(1/J444*(X444/H444),"0")</f>
        <v>1.5277777777777777</v>
      </c>
      <c r="BP444" s="78">
        <f>IFERROR(1/J444*(Y444/H444),"0")</f>
        <v>1.5416666666666665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50</v>
      </c>
      <c r="Y445" s="55">
        <f>IFERROR(IF(X445="",0,CEILING((X445/$H445),1)*$H445),"")</f>
        <v>60</v>
      </c>
      <c r="Z445" s="41">
        <f>IFERROR(IF(Y445=0,"",ROUNDUP(Y445/H445,0)*0.02175),"")</f>
        <v>8.6999999999999994E-2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51.56666666666667</v>
      </c>
      <c r="BN445" s="78">
        <f>IFERROR(Y445*I445/H445,"0")</f>
        <v>61.88</v>
      </c>
      <c r="BO445" s="78">
        <f>IFERROR(1/J445*(X445/H445),"0")</f>
        <v>6.9444444444444448E-2</v>
      </c>
      <c r="BP445" s="78">
        <f>IFERROR(1/J445*(Y445/H445),"0")</f>
        <v>8.3333333333333329E-2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76.666666666666657</v>
      </c>
      <c r="Y447" s="43">
        <f>IFERROR(Y444/H444,"0")+IFERROR(Y445/H445,"0")+IFERROR(Y446/H446,"0")</f>
        <v>78</v>
      </c>
      <c r="Z447" s="43">
        <f>IFERROR(IF(Z444="",0,Z444),"0")+IFERROR(IF(Z445="",0,Z445),"0")+IFERROR(IF(Z446="",0,Z446),"0")</f>
        <v>1.6964999999999999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1150</v>
      </c>
      <c r="Y448" s="43">
        <f>IFERROR(SUM(Y444:Y446),"0")</f>
        <v>1170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30</v>
      </c>
      <c r="Y457" s="55">
        <f>IFERROR(IF(X457="",0,CEILING((X457/$H457),1)*$H457),"")</f>
        <v>36</v>
      </c>
      <c r="Z457" s="41">
        <f>IFERROR(IF(Y457=0,"",ROUNDUP(Y457/H457,0)*0.01898),"")</f>
        <v>7.5920000000000001E-2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31.646666666666665</v>
      </c>
      <c r="BN457" s="78">
        <f>IFERROR(Y457*I457/H457,"0")</f>
        <v>37.975999999999999</v>
      </c>
      <c r="BO457" s="78">
        <f>IFERROR(1/J457*(X457/H457),"0")</f>
        <v>5.2083333333333336E-2</v>
      </c>
      <c r="BP457" s="78">
        <f>IFERROR(1/J457*(Y457/H457),"0")</f>
        <v>6.25E-2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3.3333333333333335</v>
      </c>
      <c r="Y458" s="43">
        <f>IFERROR(Y456/H456,"0")+IFERROR(Y457/H457,"0")</f>
        <v>4</v>
      </c>
      <c r="Z458" s="43">
        <f>IFERROR(IF(Z456="",0,Z456),"0")+IFERROR(IF(Z457="",0,Z457),"0")</f>
        <v>7.5920000000000001E-2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30</v>
      </c>
      <c r="Y462" s="55">
        <f>IFERROR(IF(X462="",0,CEILING((X462/$H462),1)*$H462),"")</f>
        <v>36</v>
      </c>
      <c r="Z462" s="41">
        <f>IFERROR(IF(Y462=0,"",ROUNDUP(Y462/H462,0)*0.01898),"")</f>
        <v>5.6940000000000004E-2</v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31.025000000000002</v>
      </c>
      <c r="BN462" s="78">
        <f>IFERROR(Y462*I462/H462,"0")</f>
        <v>37.229999999999997</v>
      </c>
      <c r="BO462" s="78">
        <f>IFERROR(1/J462*(X462/H462),"0")</f>
        <v>3.90625E-2</v>
      </c>
      <c r="BP462" s="78">
        <f>IFERROR(1/J462*(Y462/H462),"0")</f>
        <v>4.6875E-2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2.5</v>
      </c>
      <c r="Y464" s="43">
        <f>IFERROR(Y462/H462,"0")+IFERROR(Y463/H463,"0")</f>
        <v>3</v>
      </c>
      <c r="Z464" s="43">
        <f>IFERROR(IF(Z462="",0,Z462),"0")+IFERROR(IF(Z463="",0,Z463),"0")</f>
        <v>5.6940000000000004E-2</v>
      </c>
      <c r="AA464" s="67"/>
      <c r="AB464" s="67"/>
      <c r="AC464" s="67"/>
    </row>
    <row r="465" spans="1:68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30</v>
      </c>
      <c r="Y465" s="43">
        <f>IFERROR(SUM(Y462:Y463),"0")</f>
        <v>36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20</v>
      </c>
      <c r="Y471" s="55">
        <f>IFERROR(IF(X471="",0,CEILING((X471/$H471),1)*$H471),"")</f>
        <v>27</v>
      </c>
      <c r="Z471" s="41">
        <f>IFERROR(IF(Y471=0,"",ROUNDUP(Y471/H471,0)*0.01898),"")</f>
        <v>5.6940000000000004E-2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21.097777777777779</v>
      </c>
      <c r="BN471" s="78">
        <f>IFERROR(Y471*I471/H471,"0")</f>
        <v>28.481999999999996</v>
      </c>
      <c r="BO471" s="78">
        <f>IFERROR(1/J471*(X471/H471),"0")</f>
        <v>3.4722222222222224E-2</v>
      </c>
      <c r="BP471" s="78">
        <f>IFERROR(1/J471*(Y471/H471),"0")</f>
        <v>4.6875E-2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2.2222222222222223</v>
      </c>
      <c r="Y474" s="43">
        <f>IFERROR(Y471/H471,"0")+IFERROR(Y472/H472,"0")+IFERROR(Y473/H473,"0")</f>
        <v>3</v>
      </c>
      <c r="Z474" s="43">
        <f>IFERROR(IF(Z471="",0,Z471),"0")+IFERROR(IF(Z472="",0,Z472),"0")+IFERROR(IF(Z473="",0,Z473),"0")</f>
        <v>5.6940000000000004E-2</v>
      </c>
      <c r="AA474" s="67"/>
      <c r="AB474" s="67"/>
      <c r="AC474" s="67"/>
    </row>
    <row r="475" spans="1:68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20</v>
      </c>
      <c r="Y475" s="43">
        <f>IFERROR(SUM(Y471:Y473),"0")</f>
        <v>27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30</v>
      </c>
      <c r="Y506" s="55">
        <f t="shared" ref="Y506:Y514" si="83">IFERROR(IF(X506="",0,CEILING((X506/$H506),1)*$H506),"")</f>
        <v>31.68</v>
      </c>
      <c r="Z506" s="41">
        <f t="shared" ref="Z506:Z511" si="84">IFERROR(IF(Y506=0,"",ROUNDUP(Y506/H506,0)*0.01196),"")</f>
        <v>7.1760000000000004E-2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31.988636363636363</v>
      </c>
      <c r="BN506" s="78">
        <f t="shared" ref="BN506:BN514" si="86">IFERROR(Y506*I506/H506,"0")</f>
        <v>33.779999999999994</v>
      </c>
      <c r="BO506" s="78">
        <f t="shared" ref="BO506:BO514" si="87">IFERROR(1/J506*(X506/H506),"0")</f>
        <v>5.4632867132867136E-2</v>
      </c>
      <c r="BP506" s="78">
        <f t="shared" ref="BP506:BP514" si="88">IFERROR(1/J506*(Y506/H506),"0")</f>
        <v>5.7692307692307696E-2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83"/>
        <v>253.44</v>
      </c>
      <c r="Z511" s="41">
        <f t="shared" si="84"/>
        <v>0.57408000000000003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266.57196969696969</v>
      </c>
      <c r="BN511" s="78">
        <f t="shared" si="86"/>
        <v>270.23999999999995</v>
      </c>
      <c r="BO511" s="78">
        <f t="shared" si="87"/>
        <v>0.45527389277389274</v>
      </c>
      <c r="BP511" s="78">
        <f t="shared" si="88"/>
        <v>0.46153846153846156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90</v>
      </c>
      <c r="Y513" s="55">
        <f t="shared" si="83"/>
        <v>91.2</v>
      </c>
      <c r="Z513" s="41">
        <f>IFERROR(IF(Y513=0,"",ROUNDUP(Y513/H513,0)*0.00902),"")</f>
        <v>0.17138</v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129.5625</v>
      </c>
      <c r="BN513" s="78">
        <f t="shared" si="86"/>
        <v>131.29000000000002</v>
      </c>
      <c r="BO513" s="78">
        <f t="shared" si="87"/>
        <v>0.14204545454545456</v>
      </c>
      <c r="BP513" s="78">
        <f t="shared" si="88"/>
        <v>0.14393939393939395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270</v>
      </c>
      <c r="Y514" s="55">
        <f t="shared" si="83"/>
        <v>273.59999999999997</v>
      </c>
      <c r="Z514" s="41">
        <f>IFERROR(IF(Y514=0,"",ROUNDUP(Y514/H514,0)*0.00902),"")</f>
        <v>0.51414000000000004</v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388.6875</v>
      </c>
      <c r="BN514" s="78">
        <f t="shared" si="86"/>
        <v>393.86999999999995</v>
      </c>
      <c r="BO514" s="78">
        <f t="shared" si="87"/>
        <v>0.42613636363636365</v>
      </c>
      <c r="BP514" s="78">
        <f t="shared" si="88"/>
        <v>0.43181818181818177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128.03030303030303</v>
      </c>
      <c r="Y515" s="43">
        <f>IFERROR(Y506/H506,"0")+IFERROR(Y507/H507,"0")+IFERROR(Y508/H508,"0")+IFERROR(Y509/H509,"0")+IFERROR(Y510/H510,"0")+IFERROR(Y511/H511,"0")+IFERROR(Y512/H512,"0")+IFERROR(Y513/H513,"0")+IFERROR(Y514/H514,"0")</f>
        <v>130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1.3313600000000001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640</v>
      </c>
      <c r="Y516" s="43">
        <f>IFERROR(SUM(Y506:Y514),"0")</f>
        <v>649.91999999999996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250</v>
      </c>
      <c r="Y518" s="55">
        <f>IFERROR(IF(X518="",0,CEILING((X518/$H518),1)*$H518),"")</f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266.57196969696969</v>
      </c>
      <c r="BN518" s="78">
        <f>IFERROR(Y518*I518/H518,"0")</f>
        <v>270.23999999999995</v>
      </c>
      <c r="BO518" s="78">
        <f>IFERROR(1/J518*(X518/H518),"0")</f>
        <v>0.45527389277389274</v>
      </c>
      <c r="BP518" s="78">
        <f>IFERROR(1/J518*(Y518/H518),"0")</f>
        <v>0.46153846153846156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72</v>
      </c>
      <c r="Y520" s="55">
        <f>IFERROR(IF(X520="",0,CEILING((X520/$H520),1)*$H520),"")</f>
        <v>72</v>
      </c>
      <c r="Z520" s="41">
        <f>IFERROR(IF(Y520=0,"",ROUNDUP(Y520/H520,0)*0.00902),"")</f>
        <v>0.1353</v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103.65</v>
      </c>
      <c r="BN520" s="78">
        <f>IFERROR(Y520*I520/H520,"0")</f>
        <v>103.65</v>
      </c>
      <c r="BO520" s="78">
        <f>IFERROR(1/J520*(X520/H520),"0")</f>
        <v>0.11363636363636365</v>
      </c>
      <c r="BP520" s="78">
        <f>IFERROR(1/J520*(Y520/H520),"0")</f>
        <v>0.11363636363636365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62.348484848484844</v>
      </c>
      <c r="Y521" s="43">
        <f>IFERROR(Y518/H518,"0")+IFERROR(Y519/H519,"0")+IFERROR(Y520/H520,"0")</f>
        <v>63</v>
      </c>
      <c r="Z521" s="43">
        <f>IFERROR(IF(Z518="",0,Z518),"0")+IFERROR(IF(Z519="",0,Z519),"0")+IFERROR(IF(Z520="",0,Z520),"0")</f>
        <v>0.70938000000000001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322</v>
      </c>
      <c r="Y522" s="43">
        <f>IFERROR(SUM(Y518:Y520),"0")</f>
        <v>325.44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30</v>
      </c>
      <c r="Y524" s="55">
        <f t="shared" ref="Y524:Y530" si="89">IFERROR(IF(X524="",0,CEILING((X524/$H524),1)*$H524),"")</f>
        <v>31.68</v>
      </c>
      <c r="Z524" s="41">
        <f>IFERROR(IF(Y524=0,"",ROUNDUP(Y524/H524,0)*0.01196),"")</f>
        <v>7.1760000000000004E-2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31.988636363636363</v>
      </c>
      <c r="BN524" s="78">
        <f t="shared" ref="BN524:BN530" si="91">IFERROR(Y524*I524/H524,"0")</f>
        <v>33.779999999999994</v>
      </c>
      <c r="BO524" s="78">
        <f t="shared" ref="BO524:BO530" si="92">IFERROR(1/J524*(X524/H524),"0")</f>
        <v>5.4632867132867136E-2</v>
      </c>
      <c r="BP524" s="78">
        <f t="shared" ref="BP524:BP530" si="93">IFERROR(1/J524*(Y524/H524),"0")</f>
        <v>5.7692307692307696E-2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20</v>
      </c>
      <c r="Y525" s="55">
        <f t="shared" si="89"/>
        <v>21.12</v>
      </c>
      <c r="Z525" s="41">
        <f>IFERROR(IF(Y525=0,"",ROUNDUP(Y525/H525,0)*0.01196),"")</f>
        <v>4.7840000000000001E-2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21.325757575757574</v>
      </c>
      <c r="BN525" s="78">
        <f t="shared" si="91"/>
        <v>22.52</v>
      </c>
      <c r="BO525" s="78">
        <f t="shared" si="92"/>
        <v>3.6421911421911424E-2</v>
      </c>
      <c r="BP525" s="78">
        <f t="shared" si="93"/>
        <v>3.8461538461538464E-2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120</v>
      </c>
      <c r="Y526" s="55">
        <f t="shared" si="89"/>
        <v>121.44000000000001</v>
      </c>
      <c r="Z526" s="41">
        <f>IFERROR(IF(Y526=0,"",ROUNDUP(Y526/H526,0)*0.01196),"")</f>
        <v>0.27507999999999999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127.95454545454545</v>
      </c>
      <c r="BN526" s="78">
        <f t="shared" si="91"/>
        <v>129.49</v>
      </c>
      <c r="BO526" s="78">
        <f t="shared" si="92"/>
        <v>0.21853146853146854</v>
      </c>
      <c r="BP526" s="78">
        <f t="shared" si="93"/>
        <v>0.22115384615384617</v>
      </c>
    </row>
    <row r="527" spans="1:68" ht="27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60</v>
      </c>
      <c r="Y527" s="55">
        <f t="shared" si="89"/>
        <v>62.4</v>
      </c>
      <c r="Z527" s="41">
        <f>IFERROR(IF(Y527=0,"",ROUNDUP(Y527/H527,0)*0.00902),"")</f>
        <v>0.11726</v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86.375000000000014</v>
      </c>
      <c r="BN527" s="78">
        <f t="shared" si="91"/>
        <v>89.830000000000013</v>
      </c>
      <c r="BO527" s="78">
        <f t="shared" si="92"/>
        <v>9.4696969696969696E-2</v>
      </c>
      <c r="BP527" s="78">
        <f t="shared" si="93"/>
        <v>9.8484848484848481E-2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132</v>
      </c>
      <c r="Y530" s="55">
        <f t="shared" si="89"/>
        <v>134.4</v>
      </c>
      <c r="Z530" s="41">
        <f>IFERROR(IF(Y530=0,"",ROUNDUP(Y530/H530,0)*0.00902),"")</f>
        <v>0.25256000000000001</v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183.42499999999998</v>
      </c>
      <c r="BN530" s="78">
        <f t="shared" si="91"/>
        <v>186.76</v>
      </c>
      <c r="BO530" s="78">
        <f t="shared" si="92"/>
        <v>0.20833333333333334</v>
      </c>
      <c r="BP530" s="78">
        <f t="shared" si="93"/>
        <v>0.21212121212121215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72.196969696969688</v>
      </c>
      <c r="Y531" s="43">
        <f>IFERROR(Y524/H524,"0")+IFERROR(Y525/H525,"0")+IFERROR(Y526/H526,"0")+IFERROR(Y527/H527,"0")+IFERROR(Y528/H528,"0")+IFERROR(Y529/H529,"0")+IFERROR(Y530/H530,"0")</f>
        <v>74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0.76450000000000007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362</v>
      </c>
      <c r="Y532" s="43">
        <f>IFERROR(SUM(Y524:Y530),"0")</f>
        <v>371.04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220</v>
      </c>
      <c r="Y536" s="55">
        <f>IFERROR(IF(X536="",0,CEILING((X536/$H536),1)*$H536),"")</f>
        <v>228</v>
      </c>
      <c r="Z536" s="41">
        <f>IFERROR(IF(Y536=0,"",ROUNDUP(Y536/H536,0)*0.01898),"")</f>
        <v>0.36062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227.51666666666665</v>
      </c>
      <c r="BN536" s="78">
        <f>IFERROR(Y536*I536/H536,"0")</f>
        <v>235.79</v>
      </c>
      <c r="BO536" s="78">
        <f>IFERROR(1/J536*(X536/H536),"0")</f>
        <v>0.28645833333333331</v>
      </c>
      <c r="BP536" s="78">
        <f>IFERROR(1/J536*(Y536/H536),"0")</f>
        <v>0.296875</v>
      </c>
    </row>
    <row r="537" spans="1:68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18.333333333333332</v>
      </c>
      <c r="Y537" s="43">
        <f>IFERROR(Y536/H536,"0")</f>
        <v>19</v>
      </c>
      <c r="Z537" s="43">
        <f>IFERROR(IF(Z536="",0,Z536),"0")</f>
        <v>0.36062</v>
      </c>
      <c r="AA537" s="67"/>
      <c r="AB537" s="67"/>
      <c r="AC537" s="67"/>
    </row>
    <row r="538" spans="1:68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220</v>
      </c>
      <c r="Y538" s="43">
        <f>IFERROR(SUM(Y536:Y536),"0")</f>
        <v>228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800</v>
      </c>
      <c r="Y548" s="55">
        <f>IFERROR(IF(X548="",0,CEILING((X548/$H548),1)*$H548),"")</f>
        <v>801</v>
      </c>
      <c r="Z548" s="41">
        <f>IFERROR(IF(Y548=0,"",ROUNDUP(Y548/H548,0)*0.01898),"")</f>
        <v>1.6892199999999999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843.91111111111104</v>
      </c>
      <c r="BN548" s="78">
        <f>IFERROR(Y548*I548/H548,"0")</f>
        <v>844.96599999999989</v>
      </c>
      <c r="BO548" s="78">
        <f>IFERROR(1/J548*(X548/H548),"0")</f>
        <v>1.3888888888888888</v>
      </c>
      <c r="BP548" s="78">
        <f>IFERROR(1/J548*(Y548/H548),"0")</f>
        <v>1.390625</v>
      </c>
    </row>
    <row r="549" spans="1:68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88.888888888888886</v>
      </c>
      <c r="Y549" s="43">
        <f>IFERROR(Y548/H548,"0")</f>
        <v>89</v>
      </c>
      <c r="Z549" s="43">
        <f>IFERROR(IF(Z548="",0,Z548),"0")</f>
        <v>1.6892199999999999</v>
      </c>
      <c r="AA549" s="67"/>
      <c r="AB549" s="67"/>
      <c r="AC549" s="67"/>
    </row>
    <row r="550" spans="1:68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800</v>
      </c>
      <c r="Y550" s="43">
        <f>IFERROR(SUM(Y548:Y548),"0")</f>
        <v>801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17601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17798.7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18788.983666941826</v>
      </c>
      <c r="Y562" s="43">
        <f>IFERROR(SUM(BN22:BN558),"0")</f>
        <v>19000.544000000002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32</v>
      </c>
      <c r="Y563" s="44">
        <f>ROUNDUP(SUM(BP22:BP558),0)</f>
        <v>32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19588.983666941826</v>
      </c>
      <c r="Y564" s="43">
        <f>GrossWeightTotalR+PalletQtyTotalR*25</f>
        <v>19800.544000000002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3784.0153436389064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3818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36.846190000000007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65.28</v>
      </c>
      <c r="D571" s="52">
        <f>IFERROR(Y47*1,"0")+IFERROR(Y48*1,"0")+IFERROR(Y49*1,"0")+IFERROR(Y50*1,"0")</f>
        <v>388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747</v>
      </c>
      <c r="F571" s="52">
        <f>IFERROR(Y87*1,"0")+IFERROR(Y88*1,"0")+IFERROR(Y89*1,"0")+IFERROR(Y90*1,"0")+IFERROR(Y91*1,"0")+IFERROR(Y92*1,"0")+IFERROR(Y96*1,"0")+IFERROR(Y97*1,"0")+IFERROR(Y98*1,"0")+IFERROR(Y99*1,"0")</f>
        <v>1189.8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1316.88</v>
      </c>
      <c r="H571" s="52">
        <f>IFERROR(Y134*1,"0")+IFERROR(Y135*1,"0")+IFERROR(Y139*1,"0")+IFERROR(Y140*1,"0")+IFERROR(Y144*1,"0")+IFERROR(Y145*1,"0")</f>
        <v>215.28000000000003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772.24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618.91999999999996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2424.9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117.2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523.19999999999993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475.79999999999995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1046.3999999999999</v>
      </c>
      <c r="U571" s="52">
        <f>IFERROR(Y419*1,"0")+IFERROR(Y420*1,"0")</f>
        <v>23.4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5436</v>
      </c>
      <c r="X571" s="52">
        <f>IFERROR(Y462*1,"0")+IFERROR(Y463*1,"0")+IFERROR(Y467*1,"0")+IFERROR(Y471*1,"0")+IFERROR(Y472*1,"0")+IFERROR(Y473*1,"0")</f>
        <v>63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1346.4</v>
      </c>
      <c r="AB571" s="52">
        <f>IFERROR(Y536*1,"0")+IFERROR(Y540*1,"0")+IFERROR(Y544*1,"0")+IFERROR(Y548*1,"0")+IFERROR(Y552*1,"0")+IFERROR(Y553*1,"0")</f>
        <v>1029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100,00"/>
        <filter val="1 150,00"/>
        <filter val="1 200,00"/>
        <filter val="1 280,00"/>
        <filter val="1 300,00"/>
        <filter val="1 600,00"/>
        <filter val="10,00"/>
        <filter val="100,00"/>
        <filter val="101,28"/>
        <filter val="103,33"/>
        <filter val="108,00"/>
        <filter val="11,11"/>
        <filter val="116,67"/>
        <filter val="12,00"/>
        <filter val="120,00"/>
        <filter val="128,03"/>
        <filter val="132,00"/>
        <filter val="135,00"/>
        <filter val="14,00"/>
        <filter val="140,00"/>
        <filter val="150,00"/>
        <filter val="17 601,00"/>
        <filter val="175,00"/>
        <filter val="179,01"/>
        <filter val="18 788,98"/>
        <filter val="18,00"/>
        <filter val="18,33"/>
        <filter val="18,75"/>
        <filter val="180,00"/>
        <filter val="19 588,98"/>
        <filter val="2,22"/>
        <filter val="2,50"/>
        <filter val="2,56"/>
        <filter val="20,00"/>
        <filter val="20,20"/>
        <filter val="20,72"/>
        <filter val="200,00"/>
        <filter val="205,00"/>
        <filter val="211,00"/>
        <filter val="216,67"/>
        <filter val="220,00"/>
        <filter val="245,00"/>
        <filter val="249,38"/>
        <filter val="25,00"/>
        <filter val="250,00"/>
        <filter val="253,57"/>
        <filter val="260,00"/>
        <filter val="270,00"/>
        <filter val="280,00"/>
        <filter val="281,33"/>
        <filter val="3 784,02"/>
        <filter val="3,33"/>
        <filter val="30,00"/>
        <filter val="31,06"/>
        <filter val="315,00"/>
        <filter val="32"/>
        <filter val="32,00"/>
        <filter val="322,00"/>
        <filter val="33,33"/>
        <filter val="330,95"/>
        <filter val="350,00"/>
        <filter val="355,00"/>
        <filter val="36,00"/>
        <filter val="360,00"/>
        <filter val="362,00"/>
        <filter val="380,00"/>
        <filter val="4 220,00"/>
        <filter val="40,00"/>
        <filter val="400,00"/>
        <filter val="405,00"/>
        <filter val="433,33"/>
        <filter val="440,00"/>
        <filter val="45,00"/>
        <filter val="450,00"/>
        <filter val="470,00"/>
        <filter val="474,69"/>
        <filter val="50,00"/>
        <filter val="505,00"/>
        <filter val="520,00"/>
        <filter val="550,00"/>
        <filter val="56,48"/>
        <filter val="595,00"/>
        <filter val="60,00"/>
        <filter val="60,26"/>
        <filter val="62,35"/>
        <filter val="630,00"/>
        <filter val="64,00"/>
        <filter val="640,00"/>
        <filter val="68,00"/>
        <filter val="7,00"/>
        <filter val="70,00"/>
        <filter val="72,00"/>
        <filter val="72,20"/>
        <filter val="73,70"/>
        <filter val="76,00"/>
        <filter val="76,67"/>
        <filter val="764,00"/>
        <filter val="79,26"/>
        <filter val="8,00"/>
        <filter val="80,00"/>
        <filter val="800,00"/>
        <filter val="82,00"/>
        <filter val="820,00"/>
        <filter val="84,00"/>
        <filter val="88,89"/>
        <filter val="90,00"/>
        <filter val="910,00"/>
        <filter val="96,00"/>
        <filter val="99,26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