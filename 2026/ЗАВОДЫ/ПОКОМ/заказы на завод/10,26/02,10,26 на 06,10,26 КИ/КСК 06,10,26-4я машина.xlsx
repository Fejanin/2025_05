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2E880E3-D2DA-4B3C-BC7E-BA481FDEE69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Z526" i="2" s="1"/>
  <c r="P526" i="2"/>
  <c r="BP525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BP507" i="2" s="1"/>
  <c r="P507" i="2"/>
  <c r="BP506" i="2"/>
  <c r="BO506" i="2"/>
  <c r="BM506" i="2"/>
  <c r="Y506" i="2"/>
  <c r="P506" i="2"/>
  <c r="X502" i="2"/>
  <c r="X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Z498" i="2" s="1"/>
  <c r="P498" i="2"/>
  <c r="X496" i="2"/>
  <c r="X495" i="2"/>
  <c r="BO494" i="2"/>
  <c r="BM494" i="2"/>
  <c r="Y494" i="2"/>
  <c r="Z494" i="2" s="1"/>
  <c r="Z495" i="2" s="1"/>
  <c r="P494" i="2"/>
  <c r="X491" i="2"/>
  <c r="X490" i="2"/>
  <c r="BO489" i="2"/>
  <c r="BM489" i="2"/>
  <c r="Y489" i="2"/>
  <c r="BN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Z484" i="2" s="1"/>
  <c r="P484" i="2"/>
  <c r="BO483" i="2"/>
  <c r="BM483" i="2"/>
  <c r="Y483" i="2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P480" i="2"/>
  <c r="BO479" i="2"/>
  <c r="BM479" i="2"/>
  <c r="Y479" i="2"/>
  <c r="BN479" i="2" s="1"/>
  <c r="P479" i="2"/>
  <c r="X475" i="2"/>
  <c r="X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P471" i="2"/>
  <c r="X469" i="2"/>
  <c r="X468" i="2"/>
  <c r="BO467" i="2"/>
  <c r="BM467" i="2"/>
  <c r="Y467" i="2"/>
  <c r="Y468" i="2" s="1"/>
  <c r="P467" i="2"/>
  <c r="X465" i="2"/>
  <c r="X464" i="2"/>
  <c r="BO463" i="2"/>
  <c r="BM463" i="2"/>
  <c r="Y463" i="2"/>
  <c r="BN463" i="2" s="1"/>
  <c r="P463" i="2"/>
  <c r="BO462" i="2"/>
  <c r="BM462" i="2"/>
  <c r="Y462" i="2"/>
  <c r="P462" i="2"/>
  <c r="X459" i="2"/>
  <c r="X458" i="2"/>
  <c r="BO457" i="2"/>
  <c r="BM457" i="2"/>
  <c r="Y457" i="2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Z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BN445" i="2" s="1"/>
  <c r="P445" i="2"/>
  <c r="BO444" i="2"/>
  <c r="BM444" i="2"/>
  <c r="Y444" i="2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Z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BN433" i="2" s="1"/>
  <c r="P433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BN425" i="2" s="1"/>
  <c r="P425" i="2"/>
  <c r="X422" i="2"/>
  <c r="X421" i="2"/>
  <c r="BP420" i="2"/>
  <c r="BO420" i="2"/>
  <c r="BM420" i="2"/>
  <c r="Y420" i="2"/>
  <c r="P420" i="2"/>
  <c r="BO419" i="2"/>
  <c r="BM419" i="2"/>
  <c r="Y419" i="2"/>
  <c r="BN419" i="2" s="1"/>
  <c r="P419" i="2"/>
  <c r="X416" i="2"/>
  <c r="X415" i="2"/>
  <c r="BO414" i="2"/>
  <c r="BM414" i="2"/>
  <c r="Y414" i="2"/>
  <c r="Z414" i="2" s="1"/>
  <c r="P414" i="2"/>
  <c r="BO413" i="2"/>
  <c r="BM413" i="2"/>
  <c r="Y413" i="2"/>
  <c r="P413" i="2"/>
  <c r="BO412" i="2"/>
  <c r="BM412" i="2"/>
  <c r="Y412" i="2"/>
  <c r="BP412" i="2" s="1"/>
  <c r="P412" i="2"/>
  <c r="X410" i="2"/>
  <c r="X409" i="2"/>
  <c r="BO408" i="2"/>
  <c r="BM408" i="2"/>
  <c r="Y408" i="2"/>
  <c r="BP408" i="2" s="1"/>
  <c r="P408" i="2"/>
  <c r="BO407" i="2"/>
  <c r="BM407" i="2"/>
  <c r="Y407" i="2"/>
  <c r="BN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N402" i="2" s="1"/>
  <c r="P402" i="2"/>
  <c r="BO401" i="2"/>
  <c r="BM401" i="2"/>
  <c r="Y401" i="2"/>
  <c r="BN401" i="2" s="1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BN395" i="2" s="1"/>
  <c r="P395" i="2"/>
  <c r="BO394" i="2"/>
  <c r="BM394" i="2"/>
  <c r="Y394" i="2"/>
  <c r="BN394" i="2" s="1"/>
  <c r="P394" i="2"/>
  <c r="BO393" i="2"/>
  <c r="BM393" i="2"/>
  <c r="Y393" i="2"/>
  <c r="Z393" i="2" s="1"/>
  <c r="P393" i="2"/>
  <c r="X391" i="2"/>
  <c r="X390" i="2"/>
  <c r="BO389" i="2"/>
  <c r="BM389" i="2"/>
  <c r="Y389" i="2"/>
  <c r="Z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Z377" i="2" s="1"/>
  <c r="P377" i="2"/>
  <c r="BO376" i="2"/>
  <c r="BM376" i="2"/>
  <c r="Y376" i="2"/>
  <c r="Z376" i="2" s="1"/>
  <c r="P376" i="2"/>
  <c r="X374" i="2"/>
  <c r="X373" i="2"/>
  <c r="BO372" i="2"/>
  <c r="BM372" i="2"/>
  <c r="Y372" i="2"/>
  <c r="Z372" i="2" s="1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Z369" i="2" s="1"/>
  <c r="P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BN366" i="2" s="1"/>
  <c r="P366" i="2"/>
  <c r="X363" i="2"/>
  <c r="X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X356" i="2"/>
  <c r="X355" i="2"/>
  <c r="BO354" i="2"/>
  <c r="BM354" i="2"/>
  <c r="Y354" i="2"/>
  <c r="P354" i="2"/>
  <c r="BO353" i="2"/>
  <c r="BM353" i="2"/>
  <c r="Y353" i="2"/>
  <c r="P353" i="2"/>
  <c r="X351" i="2"/>
  <c r="X350" i="2"/>
  <c r="BO349" i="2"/>
  <c r="BM349" i="2"/>
  <c r="Y349" i="2"/>
  <c r="BN349" i="2" s="1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Y346" i="2"/>
  <c r="BN346" i="2" s="1"/>
  <c r="P346" i="2"/>
  <c r="BO345" i="2"/>
  <c r="BM345" i="2"/>
  <c r="Y345" i="2"/>
  <c r="P345" i="2"/>
  <c r="X342" i="2"/>
  <c r="X341" i="2"/>
  <c r="BO340" i="2"/>
  <c r="BM340" i="2"/>
  <c r="Y340" i="2"/>
  <c r="BN340" i="2" s="1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Y319" i="2" s="1"/>
  <c r="P318" i="2"/>
  <c r="Y316" i="2"/>
  <c r="X316" i="2"/>
  <c r="X315" i="2"/>
  <c r="BO314" i="2"/>
  <c r="BM314" i="2"/>
  <c r="Y314" i="2"/>
  <c r="BP314" i="2" s="1"/>
  <c r="P314" i="2"/>
  <c r="X312" i="2"/>
  <c r="X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P308" i="2" s="1"/>
  <c r="P308" i="2"/>
  <c r="BO307" i="2"/>
  <c r="BM307" i="2"/>
  <c r="Y307" i="2"/>
  <c r="P307" i="2"/>
  <c r="BP306" i="2"/>
  <c r="BO306" i="2"/>
  <c r="BN306" i="2"/>
  <c r="BM306" i="2"/>
  <c r="Z306" i="2"/>
  <c r="Y306" i="2"/>
  <c r="P306" i="2"/>
  <c r="BO305" i="2"/>
  <c r="BM305" i="2"/>
  <c r="Y305" i="2"/>
  <c r="BN305" i="2" s="1"/>
  <c r="P305" i="2"/>
  <c r="BO304" i="2"/>
  <c r="BM304" i="2"/>
  <c r="Y304" i="2"/>
  <c r="Z304" i="2" s="1"/>
  <c r="P304" i="2"/>
  <c r="X301" i="2"/>
  <c r="X300" i="2"/>
  <c r="BO299" i="2"/>
  <c r="BM299" i="2"/>
  <c r="Y299" i="2"/>
  <c r="BP299" i="2" s="1"/>
  <c r="P299" i="2"/>
  <c r="BO298" i="2"/>
  <c r="BM298" i="2"/>
  <c r="Y298" i="2"/>
  <c r="Y300" i="2" s="1"/>
  <c r="P298" i="2"/>
  <c r="X296" i="2"/>
  <c r="X295" i="2"/>
  <c r="BO294" i="2"/>
  <c r="BM294" i="2"/>
  <c r="Y294" i="2"/>
  <c r="BP294" i="2" s="1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P279" i="2"/>
  <c r="BO278" i="2"/>
  <c r="BM278" i="2"/>
  <c r="Y278" i="2"/>
  <c r="BP278" i="2" s="1"/>
  <c r="P278" i="2"/>
  <c r="BP277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N274" i="2" s="1"/>
  <c r="P274" i="2"/>
  <c r="BP273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Y270" i="2" s="1"/>
  <c r="P267" i="2"/>
  <c r="X265" i="2"/>
  <c r="X264" i="2"/>
  <c r="BO263" i="2"/>
  <c r="BM263" i="2"/>
  <c r="Y263" i="2"/>
  <c r="P263" i="2"/>
  <c r="BO262" i="2"/>
  <c r="BM262" i="2"/>
  <c r="Y262" i="2"/>
  <c r="Z262" i="2" s="1"/>
  <c r="P262" i="2"/>
  <c r="X259" i="2"/>
  <c r="X258" i="2"/>
  <c r="BO257" i="2"/>
  <c r="BM257" i="2"/>
  <c r="Y257" i="2"/>
  <c r="P257" i="2"/>
  <c r="X255" i="2"/>
  <c r="X254" i="2"/>
  <c r="BO253" i="2"/>
  <c r="BM253" i="2"/>
  <c r="Z253" i="2"/>
  <c r="Y253" i="2"/>
  <c r="BN253" i="2" s="1"/>
  <c r="P253" i="2"/>
  <c r="BO252" i="2"/>
  <c r="BM252" i="2"/>
  <c r="Y252" i="2"/>
  <c r="BN252" i="2" s="1"/>
  <c r="P252" i="2"/>
  <c r="BO251" i="2"/>
  <c r="BM251" i="2"/>
  <c r="Y251" i="2"/>
  <c r="Y254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N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Z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Y219" i="2"/>
  <c r="X219" i="2"/>
  <c r="X218" i="2"/>
  <c r="BO217" i="2"/>
  <c r="BM217" i="2"/>
  <c r="Y217" i="2"/>
  <c r="Y218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Z209" i="2"/>
  <c r="Y209" i="2"/>
  <c r="BN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X202" i="2"/>
  <c r="X201" i="2"/>
  <c r="BO200" i="2"/>
  <c r="BM200" i="2"/>
  <c r="Y200" i="2"/>
  <c r="Y202" i="2" s="1"/>
  <c r="P200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BP192" i="2" s="1"/>
  <c r="P192" i="2"/>
  <c r="BO191" i="2"/>
  <c r="BM191" i="2"/>
  <c r="Y191" i="2"/>
  <c r="BN191" i="2" s="1"/>
  <c r="P191" i="2"/>
  <c r="BO190" i="2"/>
  <c r="BM190" i="2"/>
  <c r="Y190" i="2"/>
  <c r="P190" i="2"/>
  <c r="X188" i="2"/>
  <c r="X187" i="2"/>
  <c r="BO186" i="2"/>
  <c r="BM186" i="2"/>
  <c r="Y186" i="2"/>
  <c r="Z186" i="2" s="1"/>
  <c r="P186" i="2"/>
  <c r="BO185" i="2"/>
  <c r="BM185" i="2"/>
  <c r="Y185" i="2"/>
  <c r="BN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X174" i="2"/>
  <c r="X173" i="2"/>
  <c r="BO172" i="2"/>
  <c r="BM172" i="2"/>
  <c r="Y172" i="2"/>
  <c r="BP172" i="2" s="1"/>
  <c r="P172" i="2"/>
  <c r="BO171" i="2"/>
  <c r="BM171" i="2"/>
  <c r="Y171" i="2"/>
  <c r="Z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Z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X147" i="2"/>
  <c r="X146" i="2"/>
  <c r="BO145" i="2"/>
  <c r="BM145" i="2"/>
  <c r="Y145" i="2"/>
  <c r="BN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BP140" i="2" s="1"/>
  <c r="P140" i="2"/>
  <c r="BO139" i="2"/>
  <c r="BM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P124" i="2"/>
  <c r="BO124" i="2"/>
  <c r="BM124" i="2"/>
  <c r="Y124" i="2"/>
  <c r="Z124" i="2" s="1"/>
  <c r="P124" i="2"/>
  <c r="BO123" i="2"/>
  <c r="BM123" i="2"/>
  <c r="Y123" i="2"/>
  <c r="P123" i="2"/>
  <c r="BO122" i="2"/>
  <c r="BM122" i="2"/>
  <c r="Y122" i="2"/>
  <c r="BN122" i="2" s="1"/>
  <c r="P122" i="2"/>
  <c r="X120" i="2"/>
  <c r="X119" i="2"/>
  <c r="BO118" i="2"/>
  <c r="BM118" i="2"/>
  <c r="Y118" i="2"/>
  <c r="BN118" i="2" s="1"/>
  <c r="P118" i="2"/>
  <c r="BO117" i="2"/>
  <c r="BM117" i="2"/>
  <c r="Y117" i="2"/>
  <c r="BN117" i="2" s="1"/>
  <c r="P117" i="2"/>
  <c r="BO116" i="2"/>
  <c r="BM116" i="2"/>
  <c r="Y116" i="2"/>
  <c r="Y120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BN99" i="2" s="1"/>
  <c r="P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N96" i="2" s="1"/>
  <c r="P96" i="2"/>
  <c r="X94" i="2"/>
  <c r="X93" i="2"/>
  <c r="BO92" i="2"/>
  <c r="BM92" i="2"/>
  <c r="Y92" i="2"/>
  <c r="Z92" i="2" s="1"/>
  <c r="P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P87" i="2"/>
  <c r="X84" i="2"/>
  <c r="X83" i="2"/>
  <c r="BO82" i="2"/>
  <c r="BM82" i="2"/>
  <c r="Z82" i="2"/>
  <c r="Y82" i="2"/>
  <c r="BP82" i="2" s="1"/>
  <c r="P82" i="2"/>
  <c r="BO81" i="2"/>
  <c r="BM81" i="2"/>
  <c r="Y81" i="2"/>
  <c r="Z81" i="2" s="1"/>
  <c r="P81" i="2"/>
  <c r="BO80" i="2"/>
  <c r="BM80" i="2"/>
  <c r="Y80" i="2"/>
  <c r="Z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Z67" i="2" s="1"/>
  <c r="P67" i="2"/>
  <c r="X65" i="2"/>
  <c r="X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BP27" i="2" l="1"/>
  <c r="BP31" i="2"/>
  <c r="BN58" i="2"/>
  <c r="BN80" i="2"/>
  <c r="BN183" i="2"/>
  <c r="BN211" i="2"/>
  <c r="BN222" i="2"/>
  <c r="BN228" i="2"/>
  <c r="BN243" i="2"/>
  <c r="BN275" i="2"/>
  <c r="BN278" i="2"/>
  <c r="BN377" i="2"/>
  <c r="BN426" i="2"/>
  <c r="BN456" i="2"/>
  <c r="BN488" i="2"/>
  <c r="BN513" i="2"/>
  <c r="BN526" i="2"/>
  <c r="BN536" i="2"/>
  <c r="BN558" i="2"/>
  <c r="Z27" i="2"/>
  <c r="Z31" i="2"/>
  <c r="Y77" i="2"/>
  <c r="BN76" i="2"/>
  <c r="Z89" i="2"/>
  <c r="BN106" i="2"/>
  <c r="Z117" i="2"/>
  <c r="BN139" i="2"/>
  <c r="BN167" i="2"/>
  <c r="BN239" i="2"/>
  <c r="BP253" i="2"/>
  <c r="BN299" i="2"/>
  <c r="Z318" i="2"/>
  <c r="Z319" i="2" s="1"/>
  <c r="BN329" i="2"/>
  <c r="Z349" i="2"/>
  <c r="BN371" i="2"/>
  <c r="BN379" i="2"/>
  <c r="Z400" i="2"/>
  <c r="Z403" i="2" s="1"/>
  <c r="BN529" i="2"/>
  <c r="BN553" i="2"/>
  <c r="Z433" i="2"/>
  <c r="BP433" i="2"/>
  <c r="Z122" i="2"/>
  <c r="BN47" i="2"/>
  <c r="BN548" i="2"/>
  <c r="Y546" i="2"/>
  <c r="Z536" i="2"/>
  <c r="Z537" i="2" s="1"/>
  <c r="BP536" i="2"/>
  <c r="Z513" i="2"/>
  <c r="BN511" i="2"/>
  <c r="BN507" i="2"/>
  <c r="Y490" i="2"/>
  <c r="BN484" i="2"/>
  <c r="BN481" i="2"/>
  <c r="BN451" i="2"/>
  <c r="Z445" i="2"/>
  <c r="Z439" i="2"/>
  <c r="BP438" i="2"/>
  <c r="Z436" i="2"/>
  <c r="Z425" i="2"/>
  <c r="BP425" i="2"/>
  <c r="BP402" i="2"/>
  <c r="Z402" i="2"/>
  <c r="Z401" i="2"/>
  <c r="BN388" i="2"/>
  <c r="Z379" i="2"/>
  <c r="BP376" i="2"/>
  <c r="BN368" i="2"/>
  <c r="Y356" i="2"/>
  <c r="BP353" i="2"/>
  <c r="Z353" i="2"/>
  <c r="BP348" i="2"/>
  <c r="Z348" i="2"/>
  <c r="Z346" i="2"/>
  <c r="BP340" i="2"/>
  <c r="Z340" i="2"/>
  <c r="BN332" i="2"/>
  <c r="Z329" i="2"/>
  <c r="Z322" i="2"/>
  <c r="Y325" i="2"/>
  <c r="BN322" i="2"/>
  <c r="Y320" i="2"/>
  <c r="BP318" i="2"/>
  <c r="BN309" i="2"/>
  <c r="Z299" i="2"/>
  <c r="BP298" i="2"/>
  <c r="BN291" i="2"/>
  <c r="BN288" i="2"/>
  <c r="BN286" i="2"/>
  <c r="BP285" i="2"/>
  <c r="Z285" i="2"/>
  <c r="BN276" i="2"/>
  <c r="Z275" i="2"/>
  <c r="BN272" i="2"/>
  <c r="Y264" i="2"/>
  <c r="Z252" i="2"/>
  <c r="BP252" i="2"/>
  <c r="Z246" i="2"/>
  <c r="BN245" i="2"/>
  <c r="Z242" i="2"/>
  <c r="BP242" i="2"/>
  <c r="BN235" i="2"/>
  <c r="BN233" i="2"/>
  <c r="Z232" i="2"/>
  <c r="BP232" i="2"/>
  <c r="BN229" i="2"/>
  <c r="Z228" i="2"/>
  <c r="Z217" i="2"/>
  <c r="Z218" i="2" s="1"/>
  <c r="BN207" i="2"/>
  <c r="Y201" i="2"/>
  <c r="BN200" i="2"/>
  <c r="Z192" i="2"/>
  <c r="Y194" i="2"/>
  <c r="BN184" i="2"/>
  <c r="Z183" i="2"/>
  <c r="Z181" i="2"/>
  <c r="BN177" i="2"/>
  <c r="J571" i="2"/>
  <c r="BN152" i="2"/>
  <c r="BP145" i="2"/>
  <c r="Z145" i="2"/>
  <c r="BN140" i="2"/>
  <c r="Z139" i="2"/>
  <c r="BP122" i="2"/>
  <c r="Z118" i="2"/>
  <c r="BP117" i="2"/>
  <c r="BN111" i="2"/>
  <c r="Z110" i="2"/>
  <c r="BP110" i="2"/>
  <c r="BN107" i="2"/>
  <c r="Z106" i="2"/>
  <c r="BP96" i="2"/>
  <c r="Z96" i="2"/>
  <c r="BN92" i="2"/>
  <c r="BP90" i="2"/>
  <c r="Z90" i="2"/>
  <c r="BP89" i="2"/>
  <c r="BN68" i="2"/>
  <c r="BN62" i="2"/>
  <c r="E571" i="2"/>
  <c r="Y52" i="2"/>
  <c r="BP49" i="2"/>
  <c r="Z47" i="2"/>
  <c r="Z41" i="2"/>
  <c r="BP40" i="2"/>
  <c r="Z40" i="2"/>
  <c r="BN28" i="2"/>
  <c r="BP112" i="2"/>
  <c r="Y137" i="2"/>
  <c r="BP191" i="2"/>
  <c r="BP230" i="2"/>
  <c r="BP234" i="2"/>
  <c r="Y258" i="2"/>
  <c r="Y259" i="2"/>
  <c r="BP347" i="2"/>
  <c r="Z360" i="2"/>
  <c r="BN360" i="2"/>
  <c r="Z367" i="2"/>
  <c r="BN367" i="2"/>
  <c r="Y390" i="2"/>
  <c r="BP386" i="2"/>
  <c r="Z386" i="2"/>
  <c r="BP23" i="2"/>
  <c r="Y119" i="2"/>
  <c r="BP135" i="2"/>
  <c r="Y214" i="2"/>
  <c r="BP240" i="2"/>
  <c r="BP244" i="2"/>
  <c r="BP279" i="2"/>
  <c r="BN279" i="2"/>
  <c r="BP307" i="2"/>
  <c r="Z307" i="2"/>
  <c r="Y341" i="2"/>
  <c r="Z338" i="2"/>
  <c r="S571" i="2"/>
  <c r="Y363" i="2"/>
  <c r="BP395" i="2"/>
  <c r="Y404" i="2"/>
  <c r="Z399" i="2"/>
  <c r="BP407" i="2"/>
  <c r="Z413" i="2"/>
  <c r="BN413" i="2"/>
  <c r="BP457" i="2"/>
  <c r="BN457" i="2"/>
  <c r="BP471" i="2"/>
  <c r="Y475" i="2"/>
  <c r="Z472" i="2"/>
  <c r="BN472" i="2"/>
  <c r="Z480" i="2"/>
  <c r="BN480" i="2"/>
  <c r="BP527" i="2"/>
  <c r="BN527" i="2"/>
  <c r="B571" i="2"/>
  <c r="X563" i="2"/>
  <c r="X565" i="2"/>
  <c r="Z29" i="2"/>
  <c r="Z39" i="2"/>
  <c r="BP39" i="2"/>
  <c r="Z63" i="2"/>
  <c r="BP63" i="2"/>
  <c r="BP81" i="2"/>
  <c r="Y83" i="2"/>
  <c r="F571" i="2"/>
  <c r="BP87" i="2"/>
  <c r="BP91" i="2"/>
  <c r="Z99" i="2"/>
  <c r="BP99" i="2"/>
  <c r="G571" i="2"/>
  <c r="Z108" i="2"/>
  <c r="Z116" i="2"/>
  <c r="Z119" i="2" s="1"/>
  <c r="BP116" i="2"/>
  <c r="Y130" i="2"/>
  <c r="H571" i="2"/>
  <c r="I571" i="2"/>
  <c r="Z164" i="2"/>
  <c r="BP164" i="2"/>
  <c r="Y174" i="2"/>
  <c r="Z179" i="2"/>
  <c r="BP179" i="2"/>
  <c r="Z185" i="2"/>
  <c r="Z191" i="2"/>
  <c r="Y197" i="2"/>
  <c r="Z206" i="2"/>
  <c r="Z208" i="2"/>
  <c r="BP208" i="2"/>
  <c r="Z212" i="2"/>
  <c r="BP212" i="2"/>
  <c r="Z224" i="2"/>
  <c r="BP224" i="2"/>
  <c r="Z230" i="2"/>
  <c r="Z240" i="2"/>
  <c r="Y249" i="2"/>
  <c r="Z257" i="2"/>
  <c r="Z258" i="2" s="1"/>
  <c r="BN273" i="2"/>
  <c r="Z273" i="2"/>
  <c r="Z279" i="2"/>
  <c r="BP289" i="2"/>
  <c r="Z289" i="2"/>
  <c r="Z298" i="2"/>
  <c r="Z300" i="2" s="1"/>
  <c r="Y301" i="2"/>
  <c r="BN298" i="2"/>
  <c r="Z308" i="2"/>
  <c r="BN308" i="2"/>
  <c r="BP333" i="2"/>
  <c r="BN333" i="2"/>
  <c r="Y351" i="2"/>
  <c r="BP345" i="2"/>
  <c r="Z347" i="2"/>
  <c r="Y350" i="2"/>
  <c r="Y374" i="2"/>
  <c r="Z381" i="2"/>
  <c r="BN381" i="2"/>
  <c r="Z387" i="2"/>
  <c r="BN387" i="2"/>
  <c r="Y391" i="2"/>
  <c r="Z395" i="2"/>
  <c r="Z407" i="2"/>
  <c r="Z420" i="2"/>
  <c r="BN420" i="2"/>
  <c r="BN427" i="2"/>
  <c r="Z427" i="2"/>
  <c r="BP437" i="2"/>
  <c r="Z457" i="2"/>
  <c r="AA571" i="2"/>
  <c r="BN506" i="2"/>
  <c r="BP524" i="2"/>
  <c r="Z524" i="2"/>
  <c r="Z527" i="2"/>
  <c r="BP29" i="2"/>
  <c r="BP263" i="2"/>
  <c r="BN263" i="2"/>
  <c r="Z22" i="2"/>
  <c r="Z24" i="2" s="1"/>
  <c r="BP22" i="2"/>
  <c r="BN23" i="2"/>
  <c r="Y24" i="2"/>
  <c r="Y33" i="2"/>
  <c r="Z28" i="2"/>
  <c r="BP41" i="2"/>
  <c r="D571" i="2"/>
  <c r="BN56" i="2"/>
  <c r="Z58" i="2"/>
  <c r="Z62" i="2"/>
  <c r="Z68" i="2"/>
  <c r="BN82" i="2"/>
  <c r="Z87" i="2"/>
  <c r="Y100" i="2"/>
  <c r="BP97" i="2"/>
  <c r="Z107" i="2"/>
  <c r="Z111" i="2"/>
  <c r="BN112" i="2"/>
  <c r="BP118" i="2"/>
  <c r="Y127" i="2"/>
  <c r="Z134" i="2"/>
  <c r="Z136" i="2" s="1"/>
  <c r="BP134" i="2"/>
  <c r="BN135" i="2"/>
  <c r="Y136" i="2"/>
  <c r="Y142" i="2"/>
  <c r="Z140" i="2"/>
  <c r="Z141" i="2" s="1"/>
  <c r="Y146" i="2"/>
  <c r="Z150" i="2"/>
  <c r="BN159" i="2"/>
  <c r="Y161" i="2"/>
  <c r="Z167" i="2"/>
  <c r="Y173" i="2"/>
  <c r="BP171" i="2"/>
  <c r="Z182" i="2"/>
  <c r="Z184" i="2"/>
  <c r="Z200" i="2"/>
  <c r="Z201" i="2" s="1"/>
  <c r="BP200" i="2"/>
  <c r="Z207" i="2"/>
  <c r="Z211" i="2"/>
  <c r="Z227" i="2"/>
  <c r="Z229" i="2"/>
  <c r="Z233" i="2"/>
  <c r="BN234" i="2"/>
  <c r="Z239" i="2"/>
  <c r="Z243" i="2"/>
  <c r="BN244" i="2"/>
  <c r="BN246" i="2"/>
  <c r="Y255" i="2"/>
  <c r="BP267" i="2"/>
  <c r="Z277" i="2"/>
  <c r="BN277" i="2"/>
  <c r="BN307" i="2"/>
  <c r="BN314" i="2"/>
  <c r="Y315" i="2"/>
  <c r="Z314" i="2"/>
  <c r="Z315" i="2" s="1"/>
  <c r="BP330" i="2"/>
  <c r="Z330" i="2"/>
  <c r="Z333" i="2"/>
  <c r="Z345" i="2"/>
  <c r="BP369" i="2"/>
  <c r="BN369" i="2"/>
  <c r="Z378" i="2"/>
  <c r="BN378" i="2"/>
  <c r="BN386" i="2"/>
  <c r="BP401" i="2"/>
  <c r="Y416" i="2"/>
  <c r="Z437" i="2"/>
  <c r="Z446" i="2"/>
  <c r="Y459" i="2"/>
  <c r="BP482" i="2"/>
  <c r="BN482" i="2"/>
  <c r="BP518" i="2"/>
  <c r="Y522" i="2"/>
  <c r="Z519" i="2"/>
  <c r="BN519" i="2"/>
  <c r="Z525" i="2"/>
  <c r="BN525" i="2"/>
  <c r="Y541" i="2"/>
  <c r="Z540" i="2"/>
  <c r="Z541" i="2" s="1"/>
  <c r="Y25" i="2"/>
  <c r="BP108" i="2"/>
  <c r="BP185" i="2"/>
  <c r="X562" i="2"/>
  <c r="X561" i="2"/>
  <c r="C571" i="2"/>
  <c r="BP60" i="2"/>
  <c r="BP70" i="2"/>
  <c r="Y78" i="2"/>
  <c r="BP80" i="2"/>
  <c r="BN81" i="2"/>
  <c r="Y84" i="2"/>
  <c r="BN91" i="2"/>
  <c r="BP92" i="2"/>
  <c r="BN116" i="2"/>
  <c r="Y131" i="2"/>
  <c r="BP152" i="2"/>
  <c r="BN154" i="2"/>
  <c r="BN164" i="2"/>
  <c r="Y168" i="2"/>
  <c r="BP165" i="2"/>
  <c r="Y188" i="2"/>
  <c r="BP181" i="2"/>
  <c r="Y198" i="2"/>
  <c r="BP209" i="2"/>
  <c r="BP226" i="2"/>
  <c r="Z267" i="2"/>
  <c r="BN267" i="2"/>
  <c r="BN283" i="2"/>
  <c r="Z283" i="2"/>
  <c r="Z287" i="2"/>
  <c r="BN287" i="2"/>
  <c r="BN289" i="2"/>
  <c r="BP293" i="2"/>
  <c r="BN293" i="2"/>
  <c r="BN304" i="2"/>
  <c r="Y311" i="2"/>
  <c r="BP304" i="2"/>
  <c r="BP310" i="2"/>
  <c r="BN310" i="2"/>
  <c r="Z331" i="2"/>
  <c r="BN331" i="2"/>
  <c r="BP338" i="2"/>
  <c r="BP360" i="2"/>
  <c r="BP366" i="2"/>
  <c r="Z366" i="2"/>
  <c r="BP367" i="2"/>
  <c r="Y384" i="2"/>
  <c r="BP389" i="2"/>
  <c r="BN389" i="2"/>
  <c r="BP399" i="2"/>
  <c r="BP413" i="2"/>
  <c r="Y422" i="2"/>
  <c r="BN435" i="2"/>
  <c r="Z435" i="2"/>
  <c r="BP472" i="2"/>
  <c r="Y571" i="2"/>
  <c r="BP479" i="2"/>
  <c r="Z479" i="2"/>
  <c r="BP480" i="2"/>
  <c r="Z482" i="2"/>
  <c r="BP489" i="2"/>
  <c r="Z489" i="2"/>
  <c r="Z571" i="2"/>
  <c r="Y496" i="2"/>
  <c r="BP499" i="2"/>
  <c r="BN499" i="2"/>
  <c r="Y515" i="2"/>
  <c r="Z509" i="2"/>
  <c r="BN509" i="2"/>
  <c r="BN524" i="2"/>
  <c r="Y532" i="2"/>
  <c r="Y542" i="2"/>
  <c r="Y269" i="2"/>
  <c r="Y280" i="2"/>
  <c r="BP309" i="2"/>
  <c r="BN318" i="2"/>
  <c r="BP332" i="2"/>
  <c r="Y334" i="2"/>
  <c r="BP346" i="2"/>
  <c r="BP349" i="2"/>
  <c r="BN353" i="2"/>
  <c r="Y355" i="2"/>
  <c r="BP368" i="2"/>
  <c r="T571" i="2"/>
  <c r="BP371" i="2"/>
  <c r="BN376" i="2"/>
  <c r="BP377" i="2"/>
  <c r="BP388" i="2"/>
  <c r="Y397" i="2"/>
  <c r="BP393" i="2"/>
  <c r="U571" i="2"/>
  <c r="W571" i="2"/>
  <c r="BP439" i="2"/>
  <c r="Y448" i="2"/>
  <c r="BP445" i="2"/>
  <c r="Z458" i="2"/>
  <c r="BP456" i="2"/>
  <c r="Y458" i="2"/>
  <c r="X571" i="2"/>
  <c r="BP462" i="2"/>
  <c r="BP481" i="2"/>
  <c r="Y485" i="2"/>
  <c r="BP484" i="2"/>
  <c r="Y491" i="2"/>
  <c r="BP526" i="2"/>
  <c r="BP529" i="2"/>
  <c r="Y545" i="2"/>
  <c r="Z272" i="2"/>
  <c r="Z276" i="2"/>
  <c r="Z286" i="2"/>
  <c r="BP288" i="2"/>
  <c r="BP291" i="2"/>
  <c r="Z419" i="2"/>
  <c r="Z421" i="2" s="1"/>
  <c r="BP419" i="2"/>
  <c r="Y421" i="2"/>
  <c r="Y429" i="2"/>
  <c r="Z426" i="2"/>
  <c r="Z428" i="2" s="1"/>
  <c r="Y428" i="2"/>
  <c r="Z462" i="2"/>
  <c r="Z488" i="2"/>
  <c r="Z507" i="2"/>
  <c r="Y538" i="2"/>
  <c r="Z548" i="2"/>
  <c r="Z549" i="2" s="1"/>
  <c r="Z552" i="2"/>
  <c r="Z83" i="2"/>
  <c r="Y73" i="2"/>
  <c r="BN30" i="2"/>
  <c r="Y43" i="2"/>
  <c r="Z55" i="2"/>
  <c r="BP67" i="2"/>
  <c r="Z129" i="2"/>
  <c r="Z130" i="2" s="1"/>
  <c r="Z176" i="2"/>
  <c r="BP178" i="2"/>
  <c r="BN186" i="2"/>
  <c r="Y213" i="2"/>
  <c r="BP223" i="2"/>
  <c r="BN284" i="2"/>
  <c r="BN37" i="2"/>
  <c r="BN49" i="2"/>
  <c r="BN60" i="2"/>
  <c r="BN70" i="2"/>
  <c r="BN104" i="2"/>
  <c r="BN124" i="2"/>
  <c r="BP150" i="2"/>
  <c r="BN171" i="2"/>
  <c r="BN345" i="2"/>
  <c r="BN399" i="2"/>
  <c r="Y410" i="2"/>
  <c r="Y469" i="2"/>
  <c r="Y516" i="2"/>
  <c r="Y554" i="2"/>
  <c r="K571" i="2"/>
  <c r="Y42" i="2"/>
  <c r="BN67" i="2"/>
  <c r="Z37" i="2"/>
  <c r="Z104" i="2"/>
  <c r="BP30" i="2"/>
  <c r="BN55" i="2"/>
  <c r="BN75" i="2"/>
  <c r="BP88" i="2"/>
  <c r="BP98" i="2"/>
  <c r="BP109" i="2"/>
  <c r="BN129" i="2"/>
  <c r="BN153" i="2"/>
  <c r="Y156" i="2"/>
  <c r="BP166" i="2"/>
  <c r="BN176" i="2"/>
  <c r="BP186" i="2"/>
  <c r="BN196" i="2"/>
  <c r="BP210" i="2"/>
  <c r="BN221" i="2"/>
  <c r="BP231" i="2"/>
  <c r="BP241" i="2"/>
  <c r="BP251" i="2"/>
  <c r="BN262" i="2"/>
  <c r="BP274" i="2"/>
  <c r="BP284" i="2"/>
  <c r="BN292" i="2"/>
  <c r="Y295" i="2"/>
  <c r="BP305" i="2"/>
  <c r="BP328" i="2"/>
  <c r="BP339" i="2"/>
  <c r="BN361" i="2"/>
  <c r="BN372" i="2"/>
  <c r="BN382" i="2"/>
  <c r="BP394" i="2"/>
  <c r="BN414" i="2"/>
  <c r="BP440" i="2"/>
  <c r="BN450" i="2"/>
  <c r="Y453" i="2"/>
  <c r="BP463" i="2"/>
  <c r="BN473" i="2"/>
  <c r="Y486" i="2"/>
  <c r="BN498" i="2"/>
  <c r="Y501" i="2"/>
  <c r="BN510" i="2"/>
  <c r="BN520" i="2"/>
  <c r="BN530" i="2"/>
  <c r="BN544" i="2"/>
  <c r="L571" i="2"/>
  <c r="Y550" i="2"/>
  <c r="M571" i="2"/>
  <c r="F9" i="2"/>
  <c r="BP55" i="2"/>
  <c r="BP75" i="2"/>
  <c r="Z151" i="2"/>
  <c r="BP153" i="2"/>
  <c r="BP176" i="2"/>
  <c r="Y187" i="2"/>
  <c r="BP196" i="2"/>
  <c r="BP221" i="2"/>
  <c r="Z247" i="2"/>
  <c r="BP262" i="2"/>
  <c r="Z290" i="2"/>
  <c r="BP292" i="2"/>
  <c r="Z323" i="2"/>
  <c r="Z324" i="2" s="1"/>
  <c r="Z359" i="2"/>
  <c r="Z362" i="2" s="1"/>
  <c r="BP361" i="2"/>
  <c r="Z370" i="2"/>
  <c r="Z373" i="2" s="1"/>
  <c r="BP372" i="2"/>
  <c r="Z380" i="2"/>
  <c r="Z383" i="2" s="1"/>
  <c r="BP382" i="2"/>
  <c r="Z412" i="2"/>
  <c r="BP414" i="2"/>
  <c r="Y441" i="2"/>
  <c r="BP450" i="2"/>
  <c r="Y464" i="2"/>
  <c r="Z471" i="2"/>
  <c r="BP473" i="2"/>
  <c r="Z483" i="2"/>
  <c r="BP498" i="2"/>
  <c r="Z508" i="2"/>
  <c r="BP510" i="2"/>
  <c r="Z518" i="2"/>
  <c r="BP520" i="2"/>
  <c r="Z528" i="2"/>
  <c r="BP530" i="2"/>
  <c r="BP544" i="2"/>
  <c r="Y555" i="2"/>
  <c r="O571" i="2"/>
  <c r="Y157" i="2"/>
  <c r="Y296" i="2"/>
  <c r="Y454" i="2"/>
  <c r="Y502" i="2"/>
  <c r="P571" i="2"/>
  <c r="H9" i="2"/>
  <c r="Z50" i="2"/>
  <c r="Z61" i="2"/>
  <c r="Z105" i="2"/>
  <c r="Z125" i="2"/>
  <c r="BN151" i="2"/>
  <c r="BN247" i="2"/>
  <c r="Y281" i="2"/>
  <c r="BN290" i="2"/>
  <c r="Y312" i="2"/>
  <c r="BN323" i="2"/>
  <c r="Y335" i="2"/>
  <c r="BN359" i="2"/>
  <c r="Y362" i="2"/>
  <c r="BN370" i="2"/>
  <c r="Y373" i="2"/>
  <c r="BN380" i="2"/>
  <c r="Y383" i="2"/>
  <c r="BN412" i="2"/>
  <c r="Y415" i="2"/>
  <c r="BN471" i="2"/>
  <c r="Y474" i="2"/>
  <c r="BN483" i="2"/>
  <c r="BN508" i="2"/>
  <c r="BN518" i="2"/>
  <c r="Y521" i="2"/>
  <c r="BN528" i="2"/>
  <c r="Y531" i="2"/>
  <c r="Q571" i="2"/>
  <c r="Z38" i="2"/>
  <c r="A10" i="2"/>
  <c r="Y113" i="2"/>
  <c r="Z154" i="2"/>
  <c r="Z222" i="2"/>
  <c r="Z263" i="2"/>
  <c r="Z264" i="2" s="1"/>
  <c r="Z293" i="2"/>
  <c r="Y442" i="2"/>
  <c r="Z451" i="2"/>
  <c r="Y465" i="2"/>
  <c r="Z499" i="2"/>
  <c r="Z511" i="2"/>
  <c r="Z558" i="2"/>
  <c r="Z559" i="2" s="1"/>
  <c r="R571" i="2"/>
  <c r="J9" i="2"/>
  <c r="Z71" i="2"/>
  <c r="Z172" i="2"/>
  <c r="Z173" i="2" s="1"/>
  <c r="Z56" i="2"/>
  <c r="Z76" i="2"/>
  <c r="Z77" i="2" s="1"/>
  <c r="Z177" i="2"/>
  <c r="BN38" i="2"/>
  <c r="BN50" i="2"/>
  <c r="BN61" i="2"/>
  <c r="Y64" i="2"/>
  <c r="BN71" i="2"/>
  <c r="BN105" i="2"/>
  <c r="BN125" i="2"/>
  <c r="Y141" i="2"/>
  <c r="Z159" i="2"/>
  <c r="Z160" i="2" s="1"/>
  <c r="BN172" i="2"/>
  <c r="BN182" i="2"/>
  <c r="BN192" i="2"/>
  <c r="BN206" i="2"/>
  <c r="BN217" i="2"/>
  <c r="BN227" i="2"/>
  <c r="Z235" i="2"/>
  <c r="Z245" i="2"/>
  <c r="BP247" i="2"/>
  <c r="BN257" i="2"/>
  <c r="Z268" i="2"/>
  <c r="Z278" i="2"/>
  <c r="BP323" i="2"/>
  <c r="BP359" i="2"/>
  <c r="BP370" i="2"/>
  <c r="BN400" i="2"/>
  <c r="Y403" i="2"/>
  <c r="BN436" i="2"/>
  <c r="BN446" i="2"/>
  <c r="BP483" i="2"/>
  <c r="BN494" i="2"/>
  <c r="Z506" i="2"/>
  <c r="BP508" i="2"/>
  <c r="BN540" i="2"/>
  <c r="BN552" i="2"/>
  <c r="Z69" i="2"/>
  <c r="Z123" i="2"/>
  <c r="BP217" i="2"/>
  <c r="BP257" i="2"/>
  <c r="Y324" i="2"/>
  <c r="Z354" i="2"/>
  <c r="Z355" i="2" s="1"/>
  <c r="Z408" i="2"/>
  <c r="Z434" i="2"/>
  <c r="Z444" i="2"/>
  <c r="Z447" i="2" s="1"/>
  <c r="Z467" i="2"/>
  <c r="Z468" i="2" s="1"/>
  <c r="BP494" i="2"/>
  <c r="Z514" i="2"/>
  <c r="BP540" i="2"/>
  <c r="Z48" i="2"/>
  <c r="Z59" i="2"/>
  <c r="Y114" i="2"/>
  <c r="Z180" i="2"/>
  <c r="Z190" i="2"/>
  <c r="Z225" i="2"/>
  <c r="Y248" i="2"/>
  <c r="Y32" i="2"/>
  <c r="Y65" i="2"/>
  <c r="BP76" i="2"/>
  <c r="BN87" i="2"/>
  <c r="BN97" i="2"/>
  <c r="BN165" i="2"/>
  <c r="BN338" i="2"/>
  <c r="BN393" i="2"/>
  <c r="Y396" i="2"/>
  <c r="BN462" i="2"/>
  <c r="BP558" i="2"/>
  <c r="V571" i="2"/>
  <c r="BN48" i="2"/>
  <c r="Y51" i="2"/>
  <c r="BN59" i="2"/>
  <c r="BN69" i="2"/>
  <c r="Y72" i="2"/>
  <c r="BN123" i="2"/>
  <c r="Y126" i="2"/>
  <c r="Y147" i="2"/>
  <c r="BP159" i="2"/>
  <c r="BN180" i="2"/>
  <c r="BN190" i="2"/>
  <c r="Y193" i="2"/>
  <c r="BN225" i="2"/>
  <c r="BP268" i="2"/>
  <c r="BN354" i="2"/>
  <c r="BN408" i="2"/>
  <c r="BN434" i="2"/>
  <c r="BN444" i="2"/>
  <c r="Y447" i="2"/>
  <c r="BN467" i="2"/>
  <c r="Y495" i="2"/>
  <c r="BN514" i="2"/>
  <c r="Z553" i="2"/>
  <c r="Z554" i="2" s="1"/>
  <c r="Y559" i="2"/>
  <c r="BP48" i="2"/>
  <c r="Z57" i="2"/>
  <c r="Y93" i="2"/>
  <c r="Y101" i="2"/>
  <c r="BP123" i="2"/>
  <c r="Z144" i="2"/>
  <c r="Z146" i="2" s="1"/>
  <c r="Z155" i="2"/>
  <c r="Y169" i="2"/>
  <c r="Z178" i="2"/>
  <c r="BP190" i="2"/>
  <c r="Z223" i="2"/>
  <c r="Y236" i="2"/>
  <c r="Z294" i="2"/>
  <c r="Y342" i="2"/>
  <c r="BP354" i="2"/>
  <c r="Z406" i="2"/>
  <c r="BP444" i="2"/>
  <c r="Z452" i="2"/>
  <c r="BP467" i="2"/>
  <c r="Z500" i="2"/>
  <c r="Z512" i="2"/>
  <c r="Z88" i="2"/>
  <c r="Z98" i="2"/>
  <c r="Z100" i="2" s="1"/>
  <c r="Z109" i="2"/>
  <c r="BN144" i="2"/>
  <c r="BN155" i="2"/>
  <c r="Z166" i="2"/>
  <c r="Z168" i="2" s="1"/>
  <c r="Z210" i="2"/>
  <c r="Z231" i="2"/>
  <c r="Z241" i="2"/>
  <c r="Z251" i="2"/>
  <c r="Z254" i="2" s="1"/>
  <c r="Y265" i="2"/>
  <c r="Z274" i="2"/>
  <c r="BN294" i="2"/>
  <c r="Z305" i="2"/>
  <c r="Z311" i="2" s="1"/>
  <c r="Z328" i="2"/>
  <c r="Z339" i="2"/>
  <c r="Z341" i="2" s="1"/>
  <c r="Z394" i="2"/>
  <c r="BN406" i="2"/>
  <c r="Y409" i="2"/>
  <c r="Z440" i="2"/>
  <c r="BN452" i="2"/>
  <c r="Z463" i="2"/>
  <c r="Z464" i="2" s="1"/>
  <c r="BN500" i="2"/>
  <c r="BN512" i="2"/>
  <c r="BP548" i="2"/>
  <c r="Y560" i="2"/>
  <c r="AB571" i="2"/>
  <c r="BN57" i="2"/>
  <c r="Y94" i="2"/>
  <c r="Y237" i="2"/>
  <c r="BN251" i="2"/>
  <c r="Z93" i="2" l="1"/>
  <c r="Z193" i="2"/>
  <c r="Z269" i="2"/>
  <c r="Z521" i="2"/>
  <c r="Z350" i="2"/>
  <c r="Z32" i="2"/>
  <c r="Z531" i="2"/>
  <c r="Z474" i="2"/>
  <c r="Z453" i="2"/>
  <c r="Z415" i="2"/>
  <c r="Z396" i="2"/>
  <c r="Z334" i="2"/>
  <c r="Z280" i="2"/>
  <c r="Z213" i="2"/>
  <c r="Z72" i="2"/>
  <c r="X564" i="2"/>
  <c r="Z51" i="2"/>
  <c r="Y565" i="2"/>
  <c r="Z501" i="2"/>
  <c r="Y563" i="2"/>
  <c r="Z490" i="2"/>
  <c r="Z236" i="2"/>
  <c r="Z248" i="2"/>
  <c r="Z441" i="2"/>
  <c r="Z390" i="2"/>
  <c r="Z42" i="2"/>
  <c r="Z126" i="2"/>
  <c r="Z485" i="2"/>
  <c r="Z295" i="2"/>
  <c r="Y562" i="2"/>
  <c r="Y561" i="2"/>
  <c r="Z113" i="2"/>
  <c r="Z156" i="2"/>
  <c r="Z187" i="2"/>
  <c r="Z409" i="2"/>
  <c r="Z64" i="2"/>
  <c r="Z515" i="2"/>
  <c r="Y564" i="2" l="1"/>
  <c r="Z566" i="2"/>
</calcChain>
</file>

<file path=xl/sharedStrings.xml><?xml version="1.0" encoding="utf-8"?>
<sst xmlns="http://schemas.openxmlformats.org/spreadsheetml/2006/main" count="4313" uniqueCount="897">
  <si>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</si>
  <si>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</si>
  <si>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</si>
  <si>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</si>
  <si>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</si>
  <si>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</si>
  <si>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</si>
  <si>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</si>
  <si>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</si>
  <si>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</si>
  <si>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</si>
  <si>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</si>
  <si>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</si>
  <si>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</si>
  <si>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</si>
  <si>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</si>
  <si>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</si>
  <si>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</si>
  <si>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</si>
  <si>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</si>
  <si>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</si>
  <si>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</si>
  <si>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</si>
  <si>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</si>
  <si>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</si>
  <si>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</si>
  <si>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</si>
  <si>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</si>
  <si>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</si>
  <si>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</si>
  <si>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</si>
  <si>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</si>
  <si>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</si>
  <si>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</si>
  <si>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</si>
  <si>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</si>
  <si>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</si>
  <si>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</si>
  <si>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</si>
  <si>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</si>
  <si>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</si>
  <si>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</si>
  <si>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</si>
  <si>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</si>
  <si>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</si>
  <si>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</si>
  <si>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</si>
  <si>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</si>
  <si>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</si>
  <si>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</si>
  <si>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</si>
  <si>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</si>
  <si>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</si>
  <si>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</si>
  <si>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</si>
  <si>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</si>
  <si>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</si>
  <si>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</si>
  <si>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</si>
  <si>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</si>
  <si>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</si>
  <si>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</si>
  <si>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</si>
  <si>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</si>
  <si>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</si>
  <si>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</si>
  <si>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</si>
  <si>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</si>
  <si>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</si>
  <si>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</si>
  <si>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</si>
  <si>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</si>
  <si>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</si>
  <si>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</si>
  <si>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</si>
  <si>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</si>
  <si>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</si>
  <si>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</si>
  <si>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</si>
  <si>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</si>
  <si>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</si>
  <si>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</si>
  <si>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</si>
  <si>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</si>
  <si>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</si>
  <si>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</si>
  <si>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</si>
  <si>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</si>
  <si>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</si>
  <si>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</si>
  <si>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</si>
  <si>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</si>
  <si>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</si>
  <si>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</si>
  <si>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</si>
  <si>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</si>
  <si>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</si>
  <si>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</si>
  <si>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</si>
  <si>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</si>
  <si>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</si>
  <si>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</si>
  <si>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</si>
  <si>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</si>
  <si>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</si>
  <si>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</si>
  <si>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</si>
  <si>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</si>
  <si>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</si>
  <si>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</si>
  <si>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</si>
  <si>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</si>
  <si>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</si>
  <si>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</si>
  <si>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</si>
  <si>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</si>
  <si>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</si>
  <si>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</si>
  <si>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</si>
  <si>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</si>
  <si>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</si>
  <si>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</si>
  <si>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</si>
  <si>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</si>
  <si>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</si>
  <si>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</si>
  <si>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</si>
  <si>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</si>
  <si>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</si>
  <si>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</si>
  <si>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</si>
  <si>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</si>
  <si>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</si>
  <si>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</si>
  <si>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</si>
  <si>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</si>
  <si>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</si>
  <si>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</si>
  <si>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</si>
  <si>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</si>
  <si>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</si>
  <si>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</si>
  <si>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</si>
  <si>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</si>
  <si>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</si>
  <si>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</si>
  <si>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</si>
  <si>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</si>
  <si>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</si>
  <si>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</si>
  <si>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</si>
  <si>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</si>
  <si>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</si>
  <si>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</si>
  <si>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</si>
  <si>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</si>
  <si>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</si>
  <si>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</si>
  <si>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</si>
  <si>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</si>
  <si>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</si>
  <si>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</si>
  <si>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</si>
  <si>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</si>
  <si>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</si>
  <si>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</si>
  <si>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</si>
  <si>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</si>
  <si>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</si>
  <si>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</si>
  <si>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</si>
  <si>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</si>
  <si>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</si>
  <si>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</si>
  <si>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</si>
  <si>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</si>
  <si>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</si>
  <si>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</si>
  <si>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</si>
  <si>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</si>
  <si>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</si>
  <si>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</si>
  <si>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</si>
  <si>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</si>
  <si>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</si>
  <si>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</si>
  <si>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</si>
  <si>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</si>
  <si>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</si>
  <si>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</si>
  <si>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</si>
  <si>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</si>
  <si>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</si>
  <si>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</si>
  <si>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</si>
  <si>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</si>
  <si>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</si>
  <si>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</si>
  <si>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</si>
  <si>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</si>
  <si>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</si>
  <si>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</si>
  <si>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</si>
  <si>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</si>
  <si>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</si>
  <si>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</si>
  <si>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</si>
  <si>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</si>
  <si>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</si>
  <si>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</si>
  <si>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</si>
  <si>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</si>
  <si>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</si>
  <si>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</si>
  <si>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</si>
  <si>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</si>
  <si>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</si>
  <si>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</si>
  <si>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</si>
  <si>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</si>
  <si>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</si>
  <si>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</si>
  <si>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</si>
  <si>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</si>
  <si>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</si>
  <si>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</si>
  <si>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</si>
  <si>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</si>
  <si>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</si>
  <si>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</si>
  <si>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</si>
  <si>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</si>
  <si>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</si>
  <si>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</si>
  <si>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</si>
  <si>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</si>
  <si>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</si>
  <si>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</si>
  <si>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</si>
  <si>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</si>
  <si>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</si>
  <si>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</si>
  <si>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</si>
  <si>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</si>
  <si>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</si>
  <si>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</si>
  <si>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</si>
  <si>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</si>
  <si>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</si>
  <si>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</si>
  <si>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</si>
  <si>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</si>
  <si>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</si>
  <si>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</si>
  <si>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</si>
  <si>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</si>
  <si>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</si>
  <si>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</si>
  <si>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</si>
  <si>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</si>
  <si>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</si>
  <si>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</si>
  <si>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</si>
  <si>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</si>
  <si>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</si>
  <si>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</si>
  <si>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</si>
  <si>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</si>
  <si>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</si>
  <si>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</si>
  <si>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</si>
  <si>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</si>
  <si>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</si>
  <si>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</si>
  <si>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</si>
  <si>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</si>
  <si>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</si>
  <si>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</si>
  <si>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</si>
  <si>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</si>
  <si>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</si>
  <si>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</si>
  <si>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</si>
  <si>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</si>
  <si>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</si>
  <si>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</si>
  <si>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</si>
  <si>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</si>
  <si>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</si>
  <si>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</si>
  <si>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</si>
  <si>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</si>
  <si>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</si>
  <si>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</si>
  <si>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</si>
  <si>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</si>
  <si>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</si>
  <si>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</si>
  <si>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</si>
  <si>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</si>
  <si>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</si>
  <si>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</si>
  <si>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</si>
  <si>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</si>
  <si>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</si>
  <si>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</si>
  <si>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</si>
  <si>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</si>
  <si>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</si>
  <si>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</si>
  <si>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</si>
  <si>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</si>
  <si>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</si>
  <si>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</si>
  <si>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</si>
  <si>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</si>
  <si>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</si>
  <si>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</si>
  <si>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</si>
  <si>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</si>
  <si>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</si>
  <si>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</si>
  <si>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</si>
  <si>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</si>
  <si>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</si>
  <si>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</si>
  <si>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</si>
  <si>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</si>
  <si>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</si>
  <si>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</si>
  <si>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</si>
  <si>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</si>
  <si>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</si>
  <si>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</si>
  <si>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</si>
  <si>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</si>
  <si>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</si>
  <si>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</si>
  <si>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</si>
  <si>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</si>
  <si>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</si>
  <si>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</si>
  <si>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</si>
  <si>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</si>
  <si>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</si>
  <si>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</si>
  <si>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</si>
  <si>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</si>
  <si>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</si>
  <si>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</si>
  <si>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</si>
  <si>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</si>
  <si>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</si>
  <si>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</si>
  <si>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</si>
  <si>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</si>
  <si>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</si>
  <si>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</si>
  <si>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</si>
  <si>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</si>
  <si>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</si>
  <si>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</si>
  <si>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</si>
  <si>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</si>
  <si>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</si>
  <si>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</si>
  <si>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</si>
  <si>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</si>
  <si>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</si>
  <si>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</si>
  <si>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</si>
  <si>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</si>
  <si>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</si>
  <si>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</si>
  <si>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</si>
  <si>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</si>
  <si>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</si>
  <si>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</si>
  <si>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</si>
  <si>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</si>
  <si>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</si>
  <si>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</si>
  <si>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</si>
  <si>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</si>
  <si>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</si>
  <si>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</si>
  <si>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</si>
  <si>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</si>
  <si>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</si>
  <si>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</si>
  <si>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</si>
  <si>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</si>
  <si>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</si>
  <si>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</si>
  <si>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</si>
  <si>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</si>
  <si>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</si>
  <si>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</si>
  <si>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</si>
  <si>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</si>
  <si>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</si>
  <si>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</si>
  <si>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</si>
  <si>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</si>
  <si>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</si>
  <si>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</si>
  <si>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</si>
  <si>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</si>
  <si>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</si>
  <si>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</si>
  <si>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</si>
  <si>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</si>
  <si>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</si>
  <si>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</si>
  <si>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</si>
  <si>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</si>
  <si>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</si>
  <si>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</si>
  <si>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</si>
  <si>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</si>
  <si>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</si>
  <si>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</si>
  <si>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</si>
  <si>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</si>
  <si>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</si>
  <si>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</si>
  <si>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</si>
  <si>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</si>
  <si>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</si>
  <si>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</si>
  <si>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</si>
  <si>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</si>
  <si>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</si>
  <si>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</si>
  <si>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</si>
  <si>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</si>
  <si>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</si>
  <si>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</si>
  <si>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</si>
  <si>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</si>
  <si>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</si>
  <si>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</si>
  <si>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</si>
  <si>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</si>
  <si>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</si>
  <si>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</si>
  <si>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</si>
  <si>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</si>
  <si>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</si>
  <si>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</si>
  <si>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</si>
  <si>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</si>
  <si>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</si>
  <si>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</si>
  <si>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</si>
  <si>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</si>
  <si>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</si>
  <si>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</si>
  <si>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</si>
  <si>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</si>
  <si>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</si>
  <si>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</si>
  <si>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</si>
  <si>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</si>
  <si>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</si>
  <si>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</si>
  <si>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</si>
  <si>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</si>
  <si>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</si>
  <si>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</si>
  <si>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</si>
  <si>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</si>
  <si>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</si>
  <si>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</si>
  <si>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</si>
  <si>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</si>
  <si>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</si>
  <si>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</si>
  <si>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</si>
  <si>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</si>
  <si>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</si>
  <si>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</si>
  <si>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</si>
  <si>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</si>
  <si>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</si>
  <si>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</si>
  <si>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</si>
  <si>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</si>
  <si>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</si>
  <si>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</si>
  <si>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</si>
  <si>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</si>
  <si>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</si>
  <si>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</si>
  <si>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</si>
  <si>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</si>
  <si>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</si>
  <si>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</si>
  <si>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</si>
  <si>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</si>
  <si>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</si>
  <si>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</si>
  <si>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</si>
  <si>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</si>
  <si>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</si>
  <si>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</si>
  <si>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</si>
  <si>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</si>
  <si>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</si>
  <si>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</si>
  <si>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</si>
  <si>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</si>
  <si>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</si>
  <si>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</si>
  <si>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</si>
  <si>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</si>
  <si>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</si>
  <si>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</si>
  <si>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</si>
  <si>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</si>
  <si>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</si>
  <si>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</si>
  <si>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</si>
  <si>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</si>
  <si>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</si>
  <si>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</si>
  <si>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</si>
  <si>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</si>
  <si>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</si>
  <si>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</si>
  <si>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</si>
  <si>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</si>
  <si>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</si>
  <si>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</si>
  <si>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</si>
  <si>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</si>
  <si>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</si>
  <si>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</si>
  <si>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</si>
  <si>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</si>
  <si>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</si>
  <si>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</si>
  <si>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</si>
  <si>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</si>
  <si>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</si>
  <si>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</si>
  <si>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</si>
  <si>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</si>
  <si>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</si>
  <si>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</si>
  <si>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</si>
  <si>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</si>
  <si>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</si>
  <si>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</si>
  <si>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</si>
  <si>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</si>
  <si>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</si>
  <si>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</si>
  <si>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</si>
  <si>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</si>
  <si>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</si>
  <si>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</si>
  <si>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</si>
  <si>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</si>
  <si>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</si>
  <si>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</si>
  <si>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</si>
  <si>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</si>
  <si>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</si>
  <si>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</si>
  <si>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</si>
  <si>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</si>
  <si>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</si>
  <si>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</si>
  <si>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</si>
  <si>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</si>
  <si>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</si>
  <si>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</si>
  <si>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</si>
  <si>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</si>
  <si>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</si>
  <si>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</si>
  <si>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</si>
  <si>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</si>
  <si>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</si>
  <si>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</si>
  <si>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</si>
  <si>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</si>
  <si>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</si>
  <si>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</si>
  <si>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</si>
  <si>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</si>
  <si>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</si>
  <si>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</si>
  <si>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</si>
  <si>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</si>
  <si>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</si>
  <si>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</si>
  <si>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</si>
  <si>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</si>
  <si>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</si>
  <si>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</si>
  <si>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</si>
  <si>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</si>
  <si>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</si>
  <si>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</si>
  <si>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</si>
  <si>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</si>
  <si>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</si>
  <si>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</si>
  <si>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</si>
  <si>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</si>
  <si>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</si>
  <si>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</si>
  <si>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</si>
  <si>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</si>
  <si>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</si>
  <si>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</si>
  <si>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</si>
  <si>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</si>
  <si>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</si>
  <si>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</si>
  <si>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</si>
  <si>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</si>
  <si>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</si>
  <si>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</si>
  <si>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</si>
  <si>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</si>
  <si>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</si>
  <si>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</si>
  <si>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</si>
  <si>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</si>
  <si>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</si>
  <si>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</si>
  <si>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</si>
  <si>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</si>
  <si>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</si>
  <si>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</si>
  <si>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</si>
  <si>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</si>
  <si>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</si>
  <si>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</si>
  <si>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</si>
  <si>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</si>
  <si>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</si>
  <si>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</si>
  <si>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</si>
  <si>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</si>
  <si>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</si>
  <si>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</si>
  <si>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</si>
  <si>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</si>
  <si>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</si>
  <si>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</si>
  <si>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</si>
  <si>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</si>
  <si>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</si>
  <si>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</si>
  <si>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</si>
  <si>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</si>
  <si>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</si>
  <si>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</si>
  <si>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</si>
  <si>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</si>
  <si>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</si>
  <si>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</si>
  <si>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</si>
  <si>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</si>
  <si>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</si>
  <si>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</si>
  <si>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</si>
  <si>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</si>
  <si>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</si>
  <si>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</si>
  <si>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</si>
  <si>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</si>
  <si>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</si>
  <si>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</si>
  <si>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</si>
  <si>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</si>
  <si>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</si>
  <si>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</si>
  <si>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</si>
  <si>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</si>
  <si>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</si>
  <si>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</si>
  <si>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</si>
  <si>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</si>
  <si>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</si>
  <si>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</si>
  <si>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</si>
  <si>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</si>
  <si>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</si>
  <si>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</si>
  <si>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</si>
  <si>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</si>
  <si>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</si>
  <si>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</si>
  <si>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</si>
  <si>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</si>
  <si>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</si>
  <si>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</si>
  <si>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</si>
  <si>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</si>
  <si>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</si>
  <si>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</si>
  <si>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</si>
  <si>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</si>
  <si>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</si>
  <si>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</si>
  <si>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</si>
  <si>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</si>
  <si>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</si>
  <si>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</si>
  <si>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</si>
  <si>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</si>
  <si>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</si>
  <si>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</si>
  <si>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</si>
  <si>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</si>
  <si>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</si>
  <si>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</si>
  <si>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</si>
  <si>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</si>
  <si>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</si>
  <si>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</si>
  <si>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</si>
  <si>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</si>
  <si>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</si>
  <si>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</si>
  <si>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</si>
  <si>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</si>
  <si>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</si>
  <si>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</si>
  <si>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</si>
  <si>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</si>
  <si>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</si>
  <si>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</si>
  <si>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</si>
  <si>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</si>
  <si>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</si>
  <si>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</si>
  <si>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</si>
  <si>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</si>
  <si>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</si>
  <si>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</si>
  <si>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</si>
  <si>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</si>
  <si>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</si>
  <si>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</si>
  <si>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</si>
  <si>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</si>
  <si>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</si>
  <si>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</si>
  <si>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</si>
  <si>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</si>
  <si>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</si>
  <si>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</si>
  <si>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</si>
  <si>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</si>
  <si>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</si>
  <si>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</si>
  <si>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</si>
  <si>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</si>
  <si>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</si>
  <si>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</si>
  <si>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</si>
  <si>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</si>
  <si>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</si>
  <si>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</si>
  <si>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</si>
  <si>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</si>
  <si>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</si>
  <si>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</si>
  <si>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</si>
  <si>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</si>
  <si>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</si>
  <si>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</si>
  <si>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</si>
  <si>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</si>
  <si>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</si>
  <si>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</si>
  <si>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</si>
  <si>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</si>
  <si>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</si>
  <si>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</si>
  <si>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</si>
  <si>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</si>
  <si>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</si>
  <si>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</si>
  <si>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</si>
  <si>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</si>
  <si>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</si>
  <si>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</si>
  <si>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</si>
  <si>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</si>
  <si>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</si>
  <si>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</si>
  <si>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</si>
  <si>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</si>
  <si>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</si>
  <si>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</si>
  <si>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</si>
  <si>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</si>
  <si>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</si>
  <si>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</si>
  <si>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</si>
  <si>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</si>
  <si>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</si>
  <si>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</si>
  <si>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</si>
  <si>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</si>
  <si>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</si>
  <si>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</si>
  <si>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</si>
  <si>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</si>
  <si>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</si>
  <si>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</si>
  <si>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</si>
  <si>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</si>
  <si>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</si>
  <si>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</si>
  <si>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</si>
  <si>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</si>
  <si>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</si>
  <si>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</si>
  <si>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</si>
  <si>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</si>
  <si>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</si>
  <si>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</si>
  <si>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</si>
  <si>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</si>
  <si>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</si>
  <si>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</si>
  <si>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</si>
  <si>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</si>
  <si>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</si>
  <si>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</si>
  <si>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</si>
  <si>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</si>
  <si>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</si>
  <si>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</si>
  <si>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</si>
  <si>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</si>
  <si>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</si>
  <si>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</si>
  <si>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</si>
  <si>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</si>
  <si>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</si>
  <si>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</si>
  <si>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</si>
  <si>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</si>
  <si>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</si>
  <si>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</si>
  <si>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</si>
  <si>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</si>
  <si>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</si>
  <si>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</si>
  <si>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</si>
  <si>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</si>
  <si>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</si>
  <si>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</si>
  <si>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</si>
  <si>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</si>
  <si>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</si>
  <si>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</si>
  <si>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</si>
  <si>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</si>
  <si>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</si>
  <si>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</si>
  <si>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</si>
  <si>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</si>
  <si>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</si>
  <si>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</si>
  <si>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</si>
  <si>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</si>
  <si>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</si>
  <si>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</si>
  <si>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</si>
  <si>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</si>
  <si>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</si>
  <si>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</si>
  <si>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</si>
  <si>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</si>
  <si>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</si>
  <si>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</si>
  <si>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</si>
  <si>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</si>
  <si>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</si>
  <si>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</si>
  <si>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</si>
  <si>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</si>
  <si>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</si>
  <si>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</si>
  <si>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</si>
  <si>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</si>
  <si>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20 европалет, с холодильниками ещё 12 палет,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</si>
</sst>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 t="s">
        <v>896</v>
      </c>
      <c r="I5" s="1004"/>
      <c r="J5" s="1004"/>
      <c r="K5" s="1004"/>
      <c r="L5" s="1004"/>
      <c r="M5" s="1004"/>
      <c r="N5" s="72"/>
      <c r="P5" s="27" t="s">
        <v>4</v>
      </c>
      <c r="Q5" s="1006">
        <v>46301</v>
      </c>
      <c r="R5" s="1006"/>
      <c r="T5" s="1007" t="s">
        <v>3</v>
      </c>
      <c r="U5" s="1008"/>
      <c r="V5" s="1009" t="s">
        <v>877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 t="s">
        <v>878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Вторник</v>
      </c>
      <c r="R6" s="1012"/>
      <c r="T6" s="1013" t="s">
        <v>5</v>
      </c>
      <c r="U6" s="1014"/>
      <c r="V6" s="1015" t="s">
        <v>70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 t="str">
        <f>IFERROR(VLOOKUP(DeliveryAddress,Table,3,0),1)</f>
        <v>1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0.58333333333333337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71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72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73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74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75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0" t="s">
        <v>76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hidden="1" customHeight="1" x14ac:dyDescent="0.25">
      <c r="A20" s="665" t="s">
        <v>76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66" t="s">
        <v>77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6" t="s">
        <v>86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hidden="1" customHeight="1" x14ac:dyDescent="0.25">
      <c r="A35" s="665" t="s">
        <v>104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66" t="s">
        <v>86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0" t="s">
        <v>120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hidden="1" customHeight="1" x14ac:dyDescent="0.25">
      <c r="A45" s="665" t="s">
        <v>121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66" t="s">
        <v>122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100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103.79629629629629</v>
      </c>
      <c r="BN47" s="78">
        <f>IFERROR(Y47*I47/H47,"0")</f>
        <v>112.1</v>
      </c>
      <c r="BO47" s="78">
        <f>IFERROR(1/J47*(X47/H47),"0")</f>
        <v>0.14467592592592593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9.2592592592592595</v>
      </c>
      <c r="Y51" s="43">
        <f>IFERROR(Y47/H47,"0")+IFERROR(Y48/H48,"0")+IFERROR(Y49/H49,"0")+IFERROR(Y50/H50,"0")</f>
        <v>10</v>
      </c>
      <c r="Z51" s="43">
        <f>IFERROR(IF(Z47="",0,Z47),"0")+IFERROR(IF(Z48="",0,Z48),"0")+IFERROR(IF(Z49="",0,Z49),"0")+IFERROR(IF(Z50="",0,Z50),"0")</f>
        <v>0.1898</v>
      </c>
      <c r="AA51" s="67"/>
      <c r="AB51" s="67"/>
      <c r="AC51" s="67"/>
    </row>
    <row r="52" spans="1:68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100</v>
      </c>
      <c r="Y52" s="43">
        <f>IFERROR(SUM(Y47:Y50),"0")</f>
        <v>108</v>
      </c>
      <c r="Z52" s="42"/>
      <c r="AA52" s="67"/>
      <c r="AB52" s="67"/>
      <c r="AC52" s="67"/>
    </row>
    <row r="53" spans="1:68" ht="16.5" hidden="1" customHeight="1" x14ac:dyDescent="0.25">
      <c r="A53" s="665" t="s">
        <v>137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66" t="s">
        <v>122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500</v>
      </c>
      <c r="Y62" s="55">
        <f t="shared" si="0"/>
        <v>504</v>
      </c>
      <c r="Z62" s="41">
        <f>IFERROR(IF(Y62=0,"",ROUNDUP(Y62/H62,0)*0.00902),"")</f>
        <v>1.01024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521.11111111111109</v>
      </c>
      <c r="BN62" s="78">
        <f t="shared" si="2"/>
        <v>525.28000000000009</v>
      </c>
      <c r="BO62" s="78">
        <f t="shared" si="3"/>
        <v>0.84175084175084181</v>
      </c>
      <c r="BP62" s="78">
        <f t="shared" si="4"/>
        <v>0.84848484848484851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111.11111111111111</v>
      </c>
      <c r="Y64" s="43">
        <f>IFERROR(Y55/H55,"0")+IFERROR(Y56/H56,"0")+IFERROR(Y57/H57,"0")+IFERROR(Y58/H58,"0")+IFERROR(Y59/H59,"0")+IFERROR(Y60/H60,"0")+IFERROR(Y61/H61,"0")+IFERROR(Y62/H62,"0")+IFERROR(Y63/H63,"0")</f>
        <v>112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1.01024</v>
      </c>
      <c r="AA64" s="67"/>
      <c r="AB64" s="67"/>
      <c r="AC64" s="67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500</v>
      </c>
      <c r="Y65" s="43">
        <f>IFERROR(SUM(Y55:Y63),"0")</f>
        <v>504</v>
      </c>
      <c r="Z65" s="42"/>
      <c r="AA65" s="67"/>
      <c r="AB65" s="67"/>
      <c r="AC65" s="67"/>
    </row>
    <row r="66" spans="1:68" ht="14.25" hidden="1" customHeight="1" x14ac:dyDescent="0.25">
      <c r="A66" s="666" t="s">
        <v>159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200</v>
      </c>
      <c r="Y71" s="55">
        <f>IFERROR(IF(X71="",0,CEILING((X71/$H71),1)*$H71),"")</f>
        <v>202.5</v>
      </c>
      <c r="Z71" s="41">
        <f>IFERROR(IF(Y71=0,"",ROUNDUP(Y71/H71,0)*0.00651),"")</f>
        <v>0.48825000000000002</v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213.33333333333331</v>
      </c>
      <c r="BN71" s="78">
        <f>IFERROR(Y71*I71/H71,"0")</f>
        <v>215.99999999999997</v>
      </c>
      <c r="BO71" s="78">
        <f>IFERROR(1/J71*(X71/H71),"0")</f>
        <v>0.40700040700040702</v>
      </c>
      <c r="BP71" s="78">
        <f>IFERROR(1/J71*(Y71/H71),"0")</f>
        <v>0.41208791208791212</v>
      </c>
    </row>
    <row r="72" spans="1:68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74.074074074074076</v>
      </c>
      <c r="Y72" s="43">
        <f>IFERROR(Y67/H67,"0")+IFERROR(Y68/H68,"0")+IFERROR(Y69/H69,"0")+IFERROR(Y70/H70,"0")+IFERROR(Y71/H71,"0")</f>
        <v>75</v>
      </c>
      <c r="Z72" s="43">
        <f>IFERROR(IF(Z67="",0,Z67),"0")+IFERROR(IF(Z68="",0,Z68),"0")+IFERROR(IF(Z69="",0,Z69),"0")+IFERROR(IF(Z70="",0,Z70),"0")+IFERROR(IF(Z71="",0,Z71),"0")</f>
        <v>0.48825000000000002</v>
      </c>
      <c r="AA72" s="67"/>
      <c r="AB72" s="67"/>
      <c r="AC72" s="67"/>
    </row>
    <row r="73" spans="1:68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200</v>
      </c>
      <c r="Y73" s="43">
        <f>IFERROR(SUM(Y67:Y71),"0")</f>
        <v>202.5</v>
      </c>
      <c r="Z73" s="42"/>
      <c r="AA73" s="67"/>
      <c r="AB73" s="67"/>
      <c r="AC73" s="67"/>
    </row>
    <row r="74" spans="1:68" ht="14.25" hidden="1" customHeight="1" x14ac:dyDescent="0.25">
      <c r="A74" s="666" t="s">
        <v>86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6" t="s">
        <v>178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65" t="s">
        <v>186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66" t="s">
        <v>122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hidden="1" customHeight="1" x14ac:dyDescent="0.25">
      <c r="A87" s="63" t="s">
        <v>187</v>
      </c>
      <c r="B87" s="63" t="s">
        <v>188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ref="Y87:Y92" si="5"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0</v>
      </c>
      <c r="BN87" s="78">
        <f t="shared" ref="BN87:BN92" si="7">IFERROR(Y87*I87/H87,"0")</f>
        <v>0</v>
      </c>
      <c r="BO87" s="78">
        <f t="shared" ref="BO87:BO92" si="8">IFERROR(1/J87*(X87/H87),"0")</f>
        <v>0</v>
      </c>
      <c r="BP87" s="78">
        <f t="shared" ref="BP87:BP92" si="9">IFERROR(1/J87*(Y87/H87),"0")</f>
        <v>0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197</v>
      </c>
      <c r="B92" s="63" t="s">
        <v>198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500</v>
      </c>
      <c r="Y92" s="55">
        <f t="shared" si="5"/>
        <v>504</v>
      </c>
      <c r="Z92" s="41">
        <f>IFERROR(IF(Y92=0,"",ROUNDUP(Y92/H92,0)*0.00902),"")</f>
        <v>1.01024</v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521.11111111111109</v>
      </c>
      <c r="BN92" s="78">
        <f t="shared" si="7"/>
        <v>525.28000000000009</v>
      </c>
      <c r="BO92" s="78">
        <f t="shared" si="8"/>
        <v>0.84175084175084181</v>
      </c>
      <c r="BP92" s="78">
        <f t="shared" si="9"/>
        <v>0.84848484848484851</v>
      </c>
    </row>
    <row r="93" spans="1:68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111.11111111111111</v>
      </c>
      <c r="Y93" s="43">
        <f>IFERROR(Y87/H87,"0")+IFERROR(Y88/H88,"0")+IFERROR(Y89/H89,"0")+IFERROR(Y90/H90,"0")+IFERROR(Y91/H91,"0")+IFERROR(Y92/H92,"0")</f>
        <v>112</v>
      </c>
      <c r="Z93" s="43">
        <f>IFERROR(IF(Z87="",0,Z87),"0")+IFERROR(IF(Z88="",0,Z88),"0")+IFERROR(IF(Z89="",0,Z89),"0")+IFERROR(IF(Z90="",0,Z90),"0")+IFERROR(IF(Z91="",0,Z91),"0")+IFERROR(IF(Z92="",0,Z92),"0")</f>
        <v>1.01024</v>
      </c>
      <c r="AA93" s="67"/>
      <c r="AB93" s="67"/>
      <c r="AC93" s="67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500</v>
      </c>
      <c r="Y94" s="43">
        <f>IFERROR(SUM(Y87:Y92),"0")</f>
        <v>504</v>
      </c>
      <c r="Z94" s="42"/>
      <c r="AA94" s="67"/>
      <c r="AB94" s="67"/>
      <c r="AC94" s="67"/>
    </row>
    <row r="95" spans="1:68" ht="14.25" hidden="1" customHeight="1" x14ac:dyDescent="0.25">
      <c r="A95" s="666" t="s">
        <v>86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200</v>
      </c>
      <c r="Y96" s="55">
        <f>IFERROR(IF(X96="",0,CEILING((X96/$H96),1)*$H96),"")</f>
        <v>202.5</v>
      </c>
      <c r="Z96" s="41">
        <f>IFERROR(IF(Y96=0,"",ROUNDUP(Y96/H96,0)*0.01898),"")</f>
        <v>0.47450000000000003</v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212.19753086419755</v>
      </c>
      <c r="BN96" s="78">
        <f>IFERROR(Y96*I96/H96,"0")</f>
        <v>214.85</v>
      </c>
      <c r="BO96" s="78">
        <f>IFERROR(1/J96*(X96/H96),"0")</f>
        <v>0.38580246913580246</v>
      </c>
      <c r="BP96" s="78">
        <f>IFERROR(1/J96*(Y96/H96),"0")</f>
        <v>0.390625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205</v>
      </c>
      <c r="B98" s="63" t="s">
        <v>206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24.691358024691358</v>
      </c>
      <c r="Y100" s="43">
        <f>IFERROR(Y96/H96,"0")+IFERROR(Y97/H97,"0")+IFERROR(Y98/H98,"0")+IFERROR(Y99/H99,"0")</f>
        <v>25</v>
      </c>
      <c r="Z100" s="43">
        <f>IFERROR(IF(Z96="",0,Z96),"0")+IFERROR(IF(Z97="",0,Z97),"0")+IFERROR(IF(Z98="",0,Z98),"0")+IFERROR(IF(Z99="",0,Z99),"0")</f>
        <v>0.47450000000000003</v>
      </c>
      <c r="AA100" s="67"/>
      <c r="AB100" s="67"/>
      <c r="AC100" s="67"/>
    </row>
    <row r="101" spans="1:68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200</v>
      </c>
      <c r="Y101" s="43">
        <f>IFERROR(SUM(Y96:Y99),"0")</f>
        <v>202.5</v>
      </c>
      <c r="Z101" s="42"/>
      <c r="AA101" s="67"/>
      <c r="AB101" s="67"/>
      <c r="AC101" s="67"/>
    </row>
    <row r="102" spans="1:68" ht="16.5" hidden="1" customHeight="1" x14ac:dyDescent="0.25">
      <c r="A102" s="665" t="s">
        <v>210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66" t="s">
        <v>122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hidden="1" customHeight="1" x14ac:dyDescent="0.25">
      <c r="A104" s="63" t="s">
        <v>211</v>
      </c>
      <c r="B104" s="63" t="s">
        <v>212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222</v>
      </c>
      <c r="B109" s="63" t="s">
        <v>223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500</v>
      </c>
      <c r="Y109" s="55">
        <f t="shared" si="10"/>
        <v>504</v>
      </c>
      <c r="Z109" s="41">
        <f>IFERROR(IF(Y109=0,"",ROUNDUP(Y109/H109,0)*0.00902),"")</f>
        <v>1.01024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521.11111111111109</v>
      </c>
      <c r="BN109" s="78">
        <f t="shared" si="12"/>
        <v>525.28000000000009</v>
      </c>
      <c r="BO109" s="78">
        <f t="shared" si="13"/>
        <v>0.84175084175084181</v>
      </c>
      <c r="BP109" s="78">
        <f t="shared" si="14"/>
        <v>0.84848484848484851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111.11111111111111</v>
      </c>
      <c r="Y113" s="43">
        <f>IFERROR(Y104/H104,"0")+IFERROR(Y105/H105,"0")+IFERROR(Y106/H106,"0")+IFERROR(Y107/H107,"0")+IFERROR(Y108/H108,"0")+IFERROR(Y109/H109,"0")+IFERROR(Y110/H110,"0")+IFERROR(Y111/H111,"0")+IFERROR(Y112/H112,"0")</f>
        <v>112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1.01024</v>
      </c>
      <c r="AA113" s="67"/>
      <c r="AB113" s="67"/>
      <c r="AC113" s="67"/>
    </row>
    <row r="114" spans="1:68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500</v>
      </c>
      <c r="Y114" s="43">
        <f>IFERROR(SUM(Y104:Y112),"0")</f>
        <v>504</v>
      </c>
      <c r="Z114" s="42"/>
      <c r="AA114" s="67"/>
      <c r="AB114" s="67"/>
      <c r="AC114" s="67"/>
    </row>
    <row r="115" spans="1:68" ht="14.25" hidden="1" customHeight="1" x14ac:dyDescent="0.25">
      <c r="A115" s="666" t="s">
        <v>159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6" t="s">
        <v>86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300</v>
      </c>
      <c r="Y122" s="55">
        <f>IFERROR(IF(X122="",0,CEILING((X122/$H122),1)*$H122),"")</f>
        <v>307.8</v>
      </c>
      <c r="Z122" s="41">
        <f>IFERROR(IF(Y122=0,"",ROUNDUP(Y122/H122,0)*0.01898),"")</f>
        <v>0.72123999999999999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318.07407407407402</v>
      </c>
      <c r="BN122" s="78">
        <f>IFERROR(Y122*I122/H122,"0")</f>
        <v>326.34399999999999</v>
      </c>
      <c r="BO122" s="78">
        <f>IFERROR(1/J122*(X122/H122),"0")</f>
        <v>0.57870370370370372</v>
      </c>
      <c r="BP122" s="78">
        <f>IFERROR(1/J122*(Y122/H122),"0")</f>
        <v>0.59375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242</v>
      </c>
      <c r="B124" s="63" t="s">
        <v>243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37.037037037037038</v>
      </c>
      <c r="Y126" s="43">
        <f>IFERROR(Y122/H122,"0")+IFERROR(Y123/H123,"0")+IFERROR(Y124/H124,"0")+IFERROR(Y125/H125,"0")</f>
        <v>38</v>
      </c>
      <c r="Z126" s="43">
        <f>IFERROR(IF(Z122="",0,Z122),"0")+IFERROR(IF(Z123="",0,Z123),"0")+IFERROR(IF(Z124="",0,Z124),"0")+IFERROR(IF(Z125="",0,Z125),"0")</f>
        <v>0.72123999999999999</v>
      </c>
      <c r="AA126" s="67"/>
      <c r="AB126" s="67"/>
      <c r="AC126" s="67"/>
    </row>
    <row r="127" spans="1:68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300</v>
      </c>
      <c r="Y127" s="43">
        <f>IFERROR(SUM(Y122:Y125),"0")</f>
        <v>307.8</v>
      </c>
      <c r="Z127" s="42"/>
      <c r="AA127" s="67"/>
      <c r="AB127" s="67"/>
      <c r="AC127" s="67"/>
    </row>
    <row r="128" spans="1:68" ht="14.25" hidden="1" customHeight="1" x14ac:dyDescent="0.25">
      <c r="A128" s="666" t="s">
        <v>178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5" t="s">
        <v>250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66" t="s">
        <v>122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66" t="s">
        <v>77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66" t="s">
        <v>86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5" t="s">
        <v>263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66" t="s">
        <v>86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6" t="s">
        <v>278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120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66" t="s">
        <v>122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66" t="s">
        <v>159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66" t="s">
        <v>77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300</v>
      </c>
      <c r="Y176" s="55">
        <f t="shared" ref="Y176:Y186" si="21">IFERROR(IF(X176="",0,CEILING((X176/$H176),1)*$H176),"")</f>
        <v>301</v>
      </c>
      <c r="Z176" s="41">
        <f>IFERROR(IF(Y176=0,"",ROUNDUP(Y176/H176,0)*0.00902),"")</f>
        <v>0.77571999999999997</v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316.28571428571428</v>
      </c>
      <c r="BN176" s="78">
        <f t="shared" ref="BN176:BN186" si="23">IFERROR(Y176*I176/H176,"0")</f>
        <v>317.34000000000003</v>
      </c>
      <c r="BO176" s="78">
        <f t="shared" ref="BO176:BO186" si="24">IFERROR(1/J176*(X176/H176),"0")</f>
        <v>0.64935064935064934</v>
      </c>
      <c r="BP176" s="78">
        <f t="shared" ref="BP176:BP186" si="25">IFERROR(1/J176*(Y176/H176),"0")</f>
        <v>0.65151515151515149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307</v>
      </c>
      <c r="B178" s="63" t="s">
        <v>308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300</v>
      </c>
      <c r="Y178" s="55">
        <f t="shared" si="21"/>
        <v>301</v>
      </c>
      <c r="Z178" s="41">
        <f>IFERROR(IF(Y178=0,"",ROUNDUP(Y178/H178,0)*0.00902),"")</f>
        <v>0.77571999999999997</v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316.28571428571428</v>
      </c>
      <c r="BN178" s="78">
        <f t="shared" si="23"/>
        <v>317.34000000000003</v>
      </c>
      <c r="BO178" s="78">
        <f t="shared" si="24"/>
        <v>0.64935064935064934</v>
      </c>
      <c r="BP178" s="78">
        <f t="shared" si="25"/>
        <v>0.65151515151515149</v>
      </c>
    </row>
    <row r="179" spans="1:68" ht="27" customHeight="1" x14ac:dyDescent="0.25">
      <c r="A179" s="63" t="s">
        <v>310</v>
      </c>
      <c r="B179" s="63" t="s">
        <v>311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300</v>
      </c>
      <c r="Y179" s="55">
        <f t="shared" si="21"/>
        <v>301</v>
      </c>
      <c r="Z179" s="41">
        <f>IFERROR(IF(Y179=0,"",ROUNDUP(Y179/H179,0)*0.00902),"")</f>
        <v>0.77571999999999997</v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316.28571428571428</v>
      </c>
      <c r="BN179" s="78">
        <f t="shared" si="23"/>
        <v>317.34000000000003</v>
      </c>
      <c r="BO179" s="78">
        <f t="shared" si="24"/>
        <v>0.64935064935064934</v>
      </c>
      <c r="BP179" s="78">
        <f t="shared" si="25"/>
        <v>0.65151515151515149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257.14285714285711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258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2.3271600000000001</v>
      </c>
      <c r="AA187" s="67"/>
      <c r="AB187" s="67"/>
      <c r="AC187" s="67"/>
    </row>
    <row r="188" spans="1:68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900</v>
      </c>
      <c r="Y188" s="43">
        <f>IFERROR(SUM(Y176:Y186),"0")</f>
        <v>903</v>
      </c>
      <c r="Z188" s="42"/>
      <c r="AA188" s="67"/>
      <c r="AB188" s="67"/>
      <c r="AC188" s="67"/>
    </row>
    <row r="189" spans="1:68" ht="14.25" hidden="1" customHeight="1" x14ac:dyDescent="0.25">
      <c r="A189" s="666" t="s">
        <v>86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66" t="s">
        <v>278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6" t="s">
        <v>342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80" t="s">
        <v>346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hidden="1" customHeight="1" x14ac:dyDescent="0.25">
      <c r="A204" s="665" t="s">
        <v>347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66" t="s">
        <v>122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368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66" t="s">
        <v>159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6" t="s">
        <v>77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hidden="1" customHeight="1" x14ac:dyDescent="0.25">
      <c r="A221" s="63" t="s">
        <v>372</v>
      </c>
      <c r="B221" s="63" t="s">
        <v>373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666" t="s">
        <v>86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6" t="s">
        <v>278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6" t="s">
        <v>439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5" t="s">
        <v>442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hidden="1" customHeight="1" x14ac:dyDescent="0.25">
      <c r="A261" s="666" t="s">
        <v>122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6" t="s">
        <v>159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6" t="s">
        <v>77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300</v>
      </c>
      <c r="Y272" s="55">
        <f t="shared" ref="Y272:Y279" si="43">IFERROR(IF(X272="",0,CEILING((X272/$H272),1)*$H272),"")</f>
        <v>302.40000000000003</v>
      </c>
      <c r="Z272" s="41">
        <f>IFERROR(IF(Y272=0,"",ROUNDUP(Y272/H272,0)*0.00902),"")</f>
        <v>0.50512000000000001</v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310.55555555555554</v>
      </c>
      <c r="BN272" s="78">
        <f t="shared" ref="BN272:BN279" si="45">IFERROR(Y272*I272/H272,"0")</f>
        <v>313.04000000000002</v>
      </c>
      <c r="BO272" s="78">
        <f t="shared" ref="BO272:BO279" si="46">IFERROR(1/J272*(X272/H272),"0")</f>
        <v>0.42087542087542085</v>
      </c>
      <c r="BP272" s="78">
        <f t="shared" ref="BP272:BP279" si="47">IFERROR(1/J272*(Y272/H272),"0")</f>
        <v>0.42424242424242425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200</v>
      </c>
      <c r="Y274" s="55">
        <f t="shared" si="43"/>
        <v>205.20000000000002</v>
      </c>
      <c r="Z274" s="41">
        <f>IFERROR(IF(Y274=0,"",ROUNDUP(Y274/H274,0)*0.00902),"")</f>
        <v>0.34276000000000001</v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207.03703703703701</v>
      </c>
      <c r="BN274" s="78">
        <f t="shared" si="45"/>
        <v>212.42</v>
      </c>
      <c r="BO274" s="78">
        <f t="shared" si="46"/>
        <v>0.28058361391694725</v>
      </c>
      <c r="BP274" s="78">
        <f t="shared" si="47"/>
        <v>0.2878787878787879</v>
      </c>
    </row>
    <row r="275" spans="1:68" ht="27" hidden="1" customHeight="1" x14ac:dyDescent="0.25">
      <c r="A275" s="63" t="s">
        <v>462</v>
      </c>
      <c r="B275" s="63" t="s">
        <v>463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92.592592592592581</v>
      </c>
      <c r="Y280" s="43">
        <f>IFERROR(Y272/H272,"0")+IFERROR(Y273/H273,"0")+IFERROR(Y274/H274,"0")+IFERROR(Y275/H275,"0")+IFERROR(Y276/H276,"0")+IFERROR(Y277/H277,"0")+IFERROR(Y278/H278,"0")+IFERROR(Y279/H279,"0")</f>
        <v>94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0.84787999999999997</v>
      </c>
      <c r="AA280" s="67"/>
      <c r="AB280" s="67"/>
      <c r="AC280" s="67"/>
    </row>
    <row r="281" spans="1:68" x14ac:dyDescent="0.2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500</v>
      </c>
      <c r="Y281" s="43">
        <f>IFERROR(SUM(Y272:Y279),"0")</f>
        <v>507.6</v>
      </c>
      <c r="Z281" s="42"/>
      <c r="AA281" s="67"/>
      <c r="AB281" s="67"/>
      <c r="AC281" s="67"/>
    </row>
    <row r="282" spans="1:68" ht="14.25" hidden="1" customHeight="1" x14ac:dyDescent="0.25">
      <c r="A282" s="666" t="s">
        <v>86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482</v>
      </c>
      <c r="B286" s="63" t="s">
        <v>483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489</v>
      </c>
      <c r="B289" s="63" t="s">
        <v>490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493</v>
      </c>
      <c r="B291" s="63" t="s">
        <v>494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6" t="s">
        <v>178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5" t="s">
        <v>510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hidden="1" customHeight="1" x14ac:dyDescent="0.25">
      <c r="A303" s="666" t="s">
        <v>122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6" t="s">
        <v>159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6" t="s">
        <v>532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6" t="s">
        <v>342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65" t="s">
        <v>542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hidden="1" customHeight="1" x14ac:dyDescent="0.25">
      <c r="A327" s="666" t="s">
        <v>122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5" t="s">
        <v>562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hidden="1" customHeight="1" x14ac:dyDescent="0.25">
      <c r="A337" s="666" t="s">
        <v>86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5" t="s">
        <v>571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hidden="1" customHeight="1" x14ac:dyDescent="0.25">
      <c r="A344" s="666" t="s">
        <v>77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6" t="s">
        <v>86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5" t="s">
        <v>592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hidden="1" customHeight="1" x14ac:dyDescent="0.25">
      <c r="A358" s="666" t="s">
        <v>122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customHeight="1" x14ac:dyDescent="0.25">
      <c r="A359" s="63" t="s">
        <v>593</v>
      </c>
      <c r="B359" s="63" t="s">
        <v>594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200</v>
      </c>
      <c r="Y359" s="55">
        <f>IFERROR(IF(X359="",0,CEILING((X359/$H359),1)*$H359),"")</f>
        <v>202.79999999999998</v>
      </c>
      <c r="Z359" s="41">
        <f>IFERROR(IF(Y359=0,"",ROUNDUP(Y359/H359,0)*0.01898),"")</f>
        <v>0.49348000000000003</v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210.51282051282055</v>
      </c>
      <c r="BN359" s="78">
        <f>IFERROR(Y359*I359/H359,"0")</f>
        <v>213.46</v>
      </c>
      <c r="BO359" s="78">
        <f>IFERROR(1/J359*(X359/H359),"0")</f>
        <v>0.40064102564102566</v>
      </c>
      <c r="BP359" s="78">
        <f>IFERROR(1/J359*(Y359/H359),"0")</f>
        <v>0.40625</v>
      </c>
    </row>
    <row r="360" spans="1:68" ht="27" customHeight="1" x14ac:dyDescent="0.25">
      <c r="A360" s="63" t="s">
        <v>595</v>
      </c>
      <c r="B360" s="63" t="s">
        <v>596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300</v>
      </c>
      <c r="Y360" s="55">
        <f>IFERROR(IF(X360="",0,CEILING((X360/$H360),1)*$H360),"")</f>
        <v>304.2</v>
      </c>
      <c r="Z360" s="41">
        <f>IFERROR(IF(Y360=0,"",ROUNDUP(Y360/H360,0)*0.01898),"")</f>
        <v>0.74021999999999999</v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315.76923076923083</v>
      </c>
      <c r="BN360" s="78">
        <f>IFERROR(Y360*I360/H360,"0")</f>
        <v>320.19</v>
      </c>
      <c r="BO360" s="78">
        <f>IFERROR(1/J360*(X360/H360),"0")</f>
        <v>0.60096153846153844</v>
      </c>
      <c r="BP360" s="78">
        <f>IFERROR(1/J360*(Y360/H360),"0")</f>
        <v>0.609375</v>
      </c>
    </row>
    <row r="361" spans="1:68" ht="27" customHeight="1" x14ac:dyDescent="0.25">
      <c r="A361" s="63" t="s">
        <v>598</v>
      </c>
      <c r="B361" s="63" t="s">
        <v>599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100</v>
      </c>
      <c r="Y361" s="55">
        <f>IFERROR(IF(X361="",0,CEILING((X361/$H361),1)*$H361),"")</f>
        <v>101.39999999999999</v>
      </c>
      <c r="Z361" s="41">
        <f>IFERROR(IF(Y361=0,"",ROUNDUP(Y361/H361,0)*0.01898),"")</f>
        <v>0.24674000000000001</v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105.25641025641028</v>
      </c>
      <c r="BN361" s="78">
        <f>IFERROR(Y361*I361/H361,"0")</f>
        <v>106.73</v>
      </c>
      <c r="BO361" s="78">
        <f>IFERROR(1/J361*(X361/H361),"0")</f>
        <v>0.20032051282051283</v>
      </c>
      <c r="BP361" s="78">
        <f>IFERROR(1/J361*(Y361/H361),"0")</f>
        <v>0.203125</v>
      </c>
    </row>
    <row r="362" spans="1:68" x14ac:dyDescent="0.2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76.92307692307692</v>
      </c>
      <c r="Y362" s="43">
        <f>IFERROR(Y359/H359,"0")+IFERROR(Y360/H360,"0")+IFERROR(Y361/H361,"0")</f>
        <v>78</v>
      </c>
      <c r="Z362" s="43">
        <f>IFERROR(IF(Z359="",0,Z359),"0")+IFERROR(IF(Z360="",0,Z360),"0")+IFERROR(IF(Z361="",0,Z361),"0")</f>
        <v>1.48044</v>
      </c>
      <c r="AA362" s="67"/>
      <c r="AB362" s="67"/>
      <c r="AC362" s="67"/>
    </row>
    <row r="363" spans="1:68" x14ac:dyDescent="0.2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600</v>
      </c>
      <c r="Y363" s="43">
        <f>IFERROR(SUM(Y359:Y361),"0")</f>
        <v>608.4</v>
      </c>
      <c r="Z363" s="42"/>
      <c r="AA363" s="67"/>
      <c r="AB363" s="67"/>
      <c r="AC363" s="67"/>
    </row>
    <row r="364" spans="1:68" ht="16.5" hidden="1" customHeight="1" x14ac:dyDescent="0.25">
      <c r="A364" s="665" t="s">
        <v>601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hidden="1" customHeight="1" x14ac:dyDescent="0.25">
      <c r="A365" s="666" t="s">
        <v>122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6" t="s">
        <v>77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hidden="1" customHeight="1" x14ac:dyDescent="0.25">
      <c r="A376" s="63" t="s">
        <v>621</v>
      </c>
      <c r="B376" s="63" t="s">
        <v>622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hidden="1" x14ac:dyDescent="0.2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6" t="s">
        <v>86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6" t="s">
        <v>178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customHeight="1" x14ac:dyDescent="0.25">
      <c r="A393" s="63" t="s">
        <v>651</v>
      </c>
      <c r="B393" s="63" t="s">
        <v>652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200</v>
      </c>
      <c r="Y393" s="55">
        <f>IFERROR(IF(X393="",0,CEILING((X393/$H393),1)*$H393),"")</f>
        <v>201.60000000000002</v>
      </c>
      <c r="Z393" s="41">
        <f>IFERROR(IF(Y393=0,"",ROUNDUP(Y393/H393,0)*0.01898),"")</f>
        <v>0.45552000000000004</v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211.76190476190476</v>
      </c>
      <c r="BN393" s="78">
        <f>IFERROR(Y393*I393/H393,"0")</f>
        <v>213.45600000000002</v>
      </c>
      <c r="BO393" s="78">
        <f>IFERROR(1/J393*(X393/H393),"0")</f>
        <v>0.37202380952380953</v>
      </c>
      <c r="BP393" s="78">
        <f>IFERROR(1/J393*(Y393/H393),"0")</f>
        <v>0.375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200</v>
      </c>
      <c r="Y394" s="55">
        <f>IFERROR(IF(X394="",0,CEILING((X394/$H394),1)*$H394),"")</f>
        <v>202.79999999999998</v>
      </c>
      <c r="Z394" s="41">
        <f>IFERROR(IF(Y394=0,"",ROUNDUP(Y394/H394,0)*0.01898),"")</f>
        <v>0.49348000000000003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212.66666666666669</v>
      </c>
      <c r="BN394" s="78">
        <f>IFERROR(Y394*I394/H394,"0")</f>
        <v>215.64399999999998</v>
      </c>
      <c r="BO394" s="78">
        <f>IFERROR(1/J394*(X394/H394),"0")</f>
        <v>0.40064102564102566</v>
      </c>
      <c r="BP394" s="78">
        <f>IFERROR(1/J394*(Y394/H394),"0")</f>
        <v>0.40625</v>
      </c>
    </row>
    <row r="395" spans="1:68" ht="27" hidden="1" customHeight="1" x14ac:dyDescent="0.25">
      <c r="A395" s="63" t="s">
        <v>657</v>
      </c>
      <c r="B395" s="63" t="s">
        <v>658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49.450549450549453</v>
      </c>
      <c r="Y396" s="43">
        <f>IFERROR(Y393/H393,"0")+IFERROR(Y394/H394,"0")+IFERROR(Y395/H395,"0")</f>
        <v>50</v>
      </c>
      <c r="Z396" s="43">
        <f>IFERROR(IF(Z393="",0,Z393),"0")+IFERROR(IF(Z394="",0,Z394),"0")+IFERROR(IF(Z395="",0,Z395),"0")</f>
        <v>0.94900000000000007</v>
      </c>
      <c r="AA396" s="67"/>
      <c r="AB396" s="67"/>
      <c r="AC396" s="67"/>
    </row>
    <row r="397" spans="1:68" x14ac:dyDescent="0.2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400</v>
      </c>
      <c r="Y397" s="43">
        <f>IFERROR(SUM(Y393:Y395),"0")</f>
        <v>404.4</v>
      </c>
      <c r="Z397" s="42"/>
      <c r="AA397" s="67"/>
      <c r="AB397" s="67"/>
      <c r="AC397" s="67"/>
    </row>
    <row r="398" spans="1:68" ht="14.25" hidden="1" customHeight="1" x14ac:dyDescent="0.25">
      <c r="A398" s="666" t="s">
        <v>278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6" t="s">
        <v>669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6" t="s">
        <v>678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hidden="1" customHeight="1" x14ac:dyDescent="0.25">
      <c r="A412" s="63" t="s">
        <v>679</v>
      </c>
      <c r="B412" s="63" t="s">
        <v>680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685</v>
      </c>
      <c r="B414" s="63" t="s">
        <v>686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5" t="s">
        <v>687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hidden="1" customHeight="1" x14ac:dyDescent="0.25">
      <c r="A418" s="666" t="s">
        <v>86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65" t="s">
        <v>694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hidden="1" customHeight="1" x14ac:dyDescent="0.25">
      <c r="A424" s="666" t="s">
        <v>86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698</v>
      </c>
      <c r="B426" s="63" t="s">
        <v>699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701</v>
      </c>
      <c r="B427" s="63" t="s">
        <v>702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680" t="s">
        <v>704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hidden="1" customHeight="1" x14ac:dyDescent="0.25">
      <c r="A431" s="665" t="s">
        <v>705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hidden="1" customHeight="1" x14ac:dyDescent="0.25">
      <c r="A432" s="666" t="s">
        <v>122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customHeight="1" x14ac:dyDescent="0.25">
      <c r="A433" s="63" t="s">
        <v>706</v>
      </c>
      <c r="B433" s="63" t="s">
        <v>707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200</v>
      </c>
      <c r="Y433" s="55">
        <f t="shared" ref="Y433:Y440" si="73">IFERROR(IF(X433="",0,CEILING((X433/$H433),1)*$H433),"")</f>
        <v>210</v>
      </c>
      <c r="Z433" s="41">
        <f>IFERROR(IF(Y433=0,"",ROUNDUP(Y433/H433,0)*0.02175),"")</f>
        <v>0.30449999999999999</v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206.26666666666668</v>
      </c>
      <c r="BN433" s="78">
        <f t="shared" ref="BN433:BN440" si="75">IFERROR(Y433*I433/H433,"0")</f>
        <v>216.58</v>
      </c>
      <c r="BO433" s="78">
        <f t="shared" ref="BO433:BO440" si="76">IFERROR(1/J433*(X433/H433),"0")</f>
        <v>0.27777777777777779</v>
      </c>
      <c r="BP433" s="78">
        <f t="shared" ref="BP433:BP440" si="77">IFERROR(1/J433*(Y433/H433),"0")</f>
        <v>0.29166666666666663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1400</v>
      </c>
      <c r="Y434" s="55">
        <f t="shared" si="73"/>
        <v>1410</v>
      </c>
      <c r="Z434" s="41">
        <f>IFERROR(IF(Y434=0,"",ROUNDUP(Y434/H434,0)*0.02175),"")</f>
        <v>2.0444999999999998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1443.8666666666666</v>
      </c>
      <c r="BN434" s="78">
        <f t="shared" si="75"/>
        <v>1454.18</v>
      </c>
      <c r="BO434" s="78">
        <f t="shared" si="76"/>
        <v>1.9444444444444442</v>
      </c>
      <c r="BP434" s="78">
        <f t="shared" si="77"/>
        <v>1.9583333333333333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1000</v>
      </c>
      <c r="Y435" s="55">
        <f t="shared" si="73"/>
        <v>1005</v>
      </c>
      <c r="Z435" s="41">
        <f>IFERROR(IF(Y435=0,"",ROUNDUP(Y435/H435,0)*0.02175),"")</f>
        <v>1.4572499999999999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1031.3333333333333</v>
      </c>
      <c r="BN435" s="78">
        <f t="shared" si="75"/>
        <v>1036.49</v>
      </c>
      <c r="BO435" s="78">
        <f t="shared" si="76"/>
        <v>1.3888888888888888</v>
      </c>
      <c r="BP435" s="78">
        <f t="shared" si="77"/>
        <v>1.3958333333333333</v>
      </c>
    </row>
    <row r="436" spans="1:68" ht="27" customHeight="1" x14ac:dyDescent="0.25">
      <c r="A436" s="63" t="s">
        <v>715</v>
      </c>
      <c r="B436" s="63" t="s">
        <v>716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1400</v>
      </c>
      <c r="Y436" s="55">
        <f t="shared" si="73"/>
        <v>1410</v>
      </c>
      <c r="Z436" s="41">
        <f>IFERROR(IF(Y436=0,"",ROUNDUP(Y436/H436,0)*0.02175),"")</f>
        <v>2.0444999999999998</v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1443.8666666666666</v>
      </c>
      <c r="BN436" s="78">
        <f t="shared" si="75"/>
        <v>1454.18</v>
      </c>
      <c r="BO436" s="78">
        <f t="shared" si="76"/>
        <v>1.9444444444444442</v>
      </c>
      <c r="BP436" s="78">
        <f t="shared" si="77"/>
        <v>1.9583333333333333</v>
      </c>
    </row>
    <row r="437" spans="1:68" ht="27" customHeight="1" x14ac:dyDescent="0.25">
      <c r="A437" s="63" t="s">
        <v>718</v>
      </c>
      <c r="B437" s="63" t="s">
        <v>719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500</v>
      </c>
      <c r="Y437" s="55">
        <f t="shared" si="73"/>
        <v>510</v>
      </c>
      <c r="Z437" s="41">
        <f>IFERROR(IF(Y437=0,"",ROUNDUP(Y437/H437,0)*0.02175),"")</f>
        <v>0.73949999999999994</v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515.66666666666663</v>
      </c>
      <c r="BN437" s="78">
        <f t="shared" si="75"/>
        <v>525.98</v>
      </c>
      <c r="BO437" s="78">
        <f t="shared" si="76"/>
        <v>0.69444444444444442</v>
      </c>
      <c r="BP437" s="78">
        <f t="shared" si="77"/>
        <v>0.70833333333333326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299.99999999999994</v>
      </c>
      <c r="Y441" s="43">
        <f>IFERROR(Y433/H433,"0")+IFERROR(Y434/H434,"0")+IFERROR(Y435/H435,"0")+IFERROR(Y436/H436,"0")+IFERROR(Y437/H437,"0")+IFERROR(Y438/H438,"0")+IFERROR(Y439/H439,"0")+IFERROR(Y440/H440,"0")</f>
        <v>303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6.5902499999999993</v>
      </c>
      <c r="AA441" s="67"/>
      <c r="AB441" s="67"/>
      <c r="AC441" s="67"/>
    </row>
    <row r="442" spans="1:68" x14ac:dyDescent="0.2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4500</v>
      </c>
      <c r="Y442" s="43">
        <f>IFERROR(SUM(Y433:Y440),"0")</f>
        <v>4545</v>
      </c>
      <c r="Z442" s="42"/>
      <c r="AA442" s="67"/>
      <c r="AB442" s="67"/>
      <c r="AC442" s="67"/>
    </row>
    <row r="443" spans="1:68" ht="14.25" hidden="1" customHeight="1" x14ac:dyDescent="0.25">
      <c r="A443" s="666" t="s">
        <v>159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700</v>
      </c>
      <c r="Y444" s="55">
        <f>IFERROR(IF(X444="",0,CEILING((X444/$H444),1)*$H444),"")</f>
        <v>705</v>
      </c>
      <c r="Z444" s="41">
        <f>IFERROR(IF(Y444=0,"",ROUNDUP(Y444/H444,0)*0.02175),"")</f>
        <v>1.0222499999999999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721.93333333333328</v>
      </c>
      <c r="BN444" s="78">
        <f>IFERROR(Y444*I444/H444,"0")</f>
        <v>727.09</v>
      </c>
      <c r="BO444" s="78">
        <f>IFERROR(1/J444*(X444/H444),"0")</f>
        <v>0.9722222222222221</v>
      </c>
      <c r="BP444" s="78">
        <f>IFERROR(1/J444*(Y444/H444),"0")</f>
        <v>0.97916666666666663</v>
      </c>
    </row>
    <row r="445" spans="1:68" ht="27" customHeight="1" x14ac:dyDescent="0.25">
      <c r="A445" s="63" t="s">
        <v>733</v>
      </c>
      <c r="B445" s="63" t="s">
        <v>734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100</v>
      </c>
      <c r="Y445" s="55">
        <f>IFERROR(IF(X445="",0,CEILING((X445/$H445),1)*$H445),"")</f>
        <v>105</v>
      </c>
      <c r="Z445" s="41">
        <f>IFERROR(IF(Y445=0,"",ROUNDUP(Y445/H445,0)*0.02175),"")</f>
        <v>0.15225</v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103.13333333333334</v>
      </c>
      <c r="BN445" s="78">
        <f>IFERROR(Y445*I445/H445,"0")</f>
        <v>108.29</v>
      </c>
      <c r="BO445" s="78">
        <f>IFERROR(1/J445*(X445/H445),"0")</f>
        <v>0.1388888888888889</v>
      </c>
      <c r="BP445" s="78">
        <f>IFERROR(1/J445*(Y445/H445),"0")</f>
        <v>0.14583333333333331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53.333333333333329</v>
      </c>
      <c r="Y447" s="43">
        <f>IFERROR(Y444/H444,"0")+IFERROR(Y445/H445,"0")+IFERROR(Y446/H446,"0")</f>
        <v>54</v>
      </c>
      <c r="Z447" s="43">
        <f>IFERROR(IF(Z444="",0,Z444),"0")+IFERROR(IF(Z445="",0,Z445),"0")+IFERROR(IF(Z446="",0,Z446),"0")</f>
        <v>1.1744999999999999</v>
      </c>
      <c r="AA447" s="67"/>
      <c r="AB447" s="67"/>
      <c r="AC447" s="67"/>
    </row>
    <row r="448" spans="1:68" x14ac:dyDescent="0.2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800</v>
      </c>
      <c r="Y448" s="43">
        <f>IFERROR(SUM(Y444:Y446),"0")</f>
        <v>810</v>
      </c>
      <c r="Z448" s="42"/>
      <c r="AA448" s="67"/>
      <c r="AB448" s="67"/>
      <c r="AC448" s="67"/>
    </row>
    <row r="449" spans="1:68" ht="14.25" hidden="1" customHeight="1" x14ac:dyDescent="0.25">
      <c r="A449" s="666" t="s">
        <v>86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customHeight="1" x14ac:dyDescent="0.25">
      <c r="A450" s="63" t="s">
        <v>739</v>
      </c>
      <c r="B450" s="63" t="s">
        <v>740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100</v>
      </c>
      <c r="Y450" s="55">
        <f>IFERROR(IF(X450="",0,CEILING((X450/$H450),1)*$H450),"")</f>
        <v>108</v>
      </c>
      <c r="Z450" s="41">
        <f>IFERROR(IF(Y450=0,"",ROUNDUP(Y450/H450,0)*0.01898),"")</f>
        <v>0.22776000000000002</v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105.55555555555556</v>
      </c>
      <c r="BN450" s="78">
        <f>IFERROR(Y450*I450/H450,"0")</f>
        <v>114</v>
      </c>
      <c r="BO450" s="78">
        <f>IFERROR(1/J450*(X450/H450),"0")</f>
        <v>0.1736111111111111</v>
      </c>
      <c r="BP450" s="78">
        <f>IFERROR(1/J450*(Y450/H450),"0")</f>
        <v>0.1875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11.111111111111111</v>
      </c>
      <c r="Y453" s="43">
        <f>IFERROR(Y450/H450,"0")+IFERROR(Y451/H451,"0")+IFERROR(Y452/H452,"0")</f>
        <v>12</v>
      </c>
      <c r="Z453" s="43">
        <f>IFERROR(IF(Z450="",0,Z450),"0")+IFERROR(IF(Z451="",0,Z451),"0")+IFERROR(IF(Z452="",0,Z452),"0")</f>
        <v>0.22776000000000002</v>
      </c>
      <c r="AA453" s="67"/>
      <c r="AB453" s="67"/>
      <c r="AC453" s="67"/>
    </row>
    <row r="454" spans="1:68" x14ac:dyDescent="0.2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100</v>
      </c>
      <c r="Y454" s="43">
        <f>IFERROR(SUM(Y450:Y452),"0")</f>
        <v>108</v>
      </c>
      <c r="Z454" s="42"/>
      <c r="AA454" s="67"/>
      <c r="AB454" s="67"/>
      <c r="AC454" s="67"/>
    </row>
    <row r="455" spans="1:68" ht="14.25" hidden="1" customHeight="1" x14ac:dyDescent="0.25">
      <c r="A455" s="666" t="s">
        <v>178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751</v>
      </c>
      <c r="B457" s="63" t="s">
        <v>752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65" t="s">
        <v>754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hidden="1" customHeight="1" x14ac:dyDescent="0.25">
      <c r="A461" s="666" t="s">
        <v>122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6" t="s">
        <v>77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6" t="s">
        <v>86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680" t="s">
        <v>770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hidden="1" customHeight="1" x14ac:dyDescent="0.25">
      <c r="A477" s="665" t="s">
        <v>771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hidden="1" customHeight="1" x14ac:dyDescent="0.25">
      <c r="A478" s="666" t="s">
        <v>77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hidden="1" customHeight="1" x14ac:dyDescent="0.25">
      <c r="A479" s="63" t="s">
        <v>772</v>
      </c>
      <c r="B479" s="63" t="s">
        <v>773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786</v>
      </c>
      <c r="B484" s="63" t="s">
        <v>787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hidden="1" x14ac:dyDescent="0.2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66" t="s">
        <v>86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65" t="s">
        <v>794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hidden="1" customHeight="1" x14ac:dyDescent="0.25">
      <c r="A493" s="666" t="s">
        <v>159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6" t="s">
        <v>77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0" t="s">
        <v>806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hidden="1" customHeight="1" x14ac:dyDescent="0.25">
      <c r="A504" s="665" t="s">
        <v>806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hidden="1" customHeight="1" x14ac:dyDescent="0.25">
      <c r="A505" s="666" t="s">
        <v>122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hidden="1" customHeight="1" x14ac:dyDescent="0.25">
      <c r="A506" s="63" t="s">
        <v>807</v>
      </c>
      <c r="B506" s="63" t="s">
        <v>808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hidden="1" customHeight="1" x14ac:dyDescent="0.25">
      <c r="A507" s="63" t="s">
        <v>809</v>
      </c>
      <c r="B507" s="63" t="s">
        <v>810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hidden="1" customHeight="1" x14ac:dyDescent="0.25">
      <c r="A509" s="63" t="s">
        <v>815</v>
      </c>
      <c r="B509" s="63" t="s">
        <v>816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200</v>
      </c>
      <c r="Y511" s="55">
        <f t="shared" si="83"/>
        <v>200.64000000000001</v>
      </c>
      <c r="Z511" s="41">
        <f t="shared" si="84"/>
        <v>0.45448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213.25757575757575</v>
      </c>
      <c r="BN511" s="78">
        <f t="shared" si="86"/>
        <v>213.94</v>
      </c>
      <c r="BO511" s="78">
        <f t="shared" si="87"/>
        <v>0.36421911421911418</v>
      </c>
      <c r="BP511" s="78">
        <f t="shared" si="88"/>
        <v>0.36538461538461542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37.878787878787875</v>
      </c>
      <c r="Y515" s="43">
        <f>IFERROR(Y506/H506,"0")+IFERROR(Y507/H507,"0")+IFERROR(Y508/H508,"0")+IFERROR(Y509/H509,"0")+IFERROR(Y510/H510,"0")+IFERROR(Y511/H511,"0")+IFERROR(Y512/H512,"0")+IFERROR(Y513/H513,"0")+IFERROR(Y514/H514,"0")</f>
        <v>38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0.45448</v>
      </c>
      <c r="AA515" s="67"/>
      <c r="AB515" s="67"/>
      <c r="AC515" s="67"/>
    </row>
    <row r="516" spans="1:68" x14ac:dyDescent="0.2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200</v>
      </c>
      <c r="Y516" s="43">
        <f>IFERROR(SUM(Y506:Y514),"0")</f>
        <v>200.64000000000001</v>
      </c>
      <c r="Z516" s="42"/>
      <c r="AA516" s="67"/>
      <c r="AB516" s="67"/>
      <c r="AC516" s="67"/>
    </row>
    <row r="517" spans="1:68" ht="14.25" hidden="1" customHeight="1" x14ac:dyDescent="0.25">
      <c r="A517" s="666" t="s">
        <v>159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200</v>
      </c>
      <c r="Y518" s="55">
        <f>IFERROR(IF(X518="",0,CEILING((X518/$H518),1)*$H518),"")</f>
        <v>200.64000000000001</v>
      </c>
      <c r="Z518" s="41">
        <f>IFERROR(IF(Y518=0,"",ROUNDUP(Y518/H518,0)*0.01196),"")</f>
        <v>0.45448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213.25757575757575</v>
      </c>
      <c r="BN518" s="78">
        <f>IFERROR(Y518*I518/H518,"0")</f>
        <v>213.94</v>
      </c>
      <c r="BO518" s="78">
        <f>IFERROR(1/J518*(X518/H518),"0")</f>
        <v>0.36421911421911418</v>
      </c>
      <c r="BP518" s="78">
        <f>IFERROR(1/J518*(Y518/H518),"0")</f>
        <v>0.36538461538461542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37.878787878787875</v>
      </c>
      <c r="Y521" s="43">
        <f>IFERROR(Y518/H518,"0")+IFERROR(Y519/H519,"0")+IFERROR(Y520/H520,"0")</f>
        <v>38</v>
      </c>
      <c r="Z521" s="43">
        <f>IFERROR(IF(Z518="",0,Z518),"0")+IFERROR(IF(Z519="",0,Z519),"0")+IFERROR(IF(Z520="",0,Z520),"0")</f>
        <v>0.45448</v>
      </c>
      <c r="AA521" s="67"/>
      <c r="AB521" s="67"/>
      <c r="AC521" s="67"/>
    </row>
    <row r="522" spans="1:68" x14ac:dyDescent="0.2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200</v>
      </c>
      <c r="Y522" s="43">
        <f>IFERROR(SUM(Y518:Y520),"0")</f>
        <v>200.64000000000001</v>
      </c>
      <c r="Z522" s="42"/>
      <c r="AA522" s="67"/>
      <c r="AB522" s="67"/>
      <c r="AC522" s="67"/>
    </row>
    <row r="523" spans="1:68" ht="14.25" hidden="1" customHeight="1" x14ac:dyDescent="0.25">
      <c r="A523" s="666" t="s">
        <v>77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hidden="1" customHeight="1" x14ac:dyDescent="0.25">
      <c r="A524" s="63" t="s">
        <v>837</v>
      </c>
      <c r="B524" s="63" t="s">
        <v>838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9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0</v>
      </c>
      <c r="BN524" s="78">
        <f t="shared" ref="BN524:BN530" si="91">IFERROR(Y524*I524/H524,"0")</f>
        <v>0</v>
      </c>
      <c r="BO524" s="78">
        <f t="shared" ref="BO524:BO530" si="92">IFERROR(1/J524*(X524/H524),"0")</f>
        <v>0</v>
      </c>
      <c r="BP524" s="78">
        <f t="shared" ref="BP524:BP530" si="93">IFERROR(1/J524*(Y524/H524),"0")</f>
        <v>0</v>
      </c>
    </row>
    <row r="525" spans="1:68" ht="27" hidden="1" customHeight="1" x14ac:dyDescent="0.25">
      <c r="A525" s="63" t="s">
        <v>840</v>
      </c>
      <c r="B525" s="63" t="s">
        <v>841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hidden="1" customHeight="1" x14ac:dyDescent="0.25">
      <c r="A526" s="63" t="s">
        <v>843</v>
      </c>
      <c r="B526" s="63" t="s">
        <v>844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hidden="1" x14ac:dyDescent="0.2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680" t="s">
        <v>853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hidden="1" customHeight="1" x14ac:dyDescent="0.25">
      <c r="A534" s="665" t="s">
        <v>853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hidden="1" customHeight="1" x14ac:dyDescent="0.25">
      <c r="A535" s="666" t="s">
        <v>122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hidden="1" customHeight="1" x14ac:dyDescent="0.25">
      <c r="A536" s="63" t="s">
        <v>854</v>
      </c>
      <c r="B536" s="63" t="s">
        <v>855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6" t="s">
        <v>159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6" t="s">
        <v>77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6" t="s">
        <v>86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customHeight="1" x14ac:dyDescent="0.25">
      <c r="A548" s="63" t="s">
        <v>862</v>
      </c>
      <c r="B548" s="63" t="s">
        <v>863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1100</v>
      </c>
      <c r="Y548" s="55">
        <f>IFERROR(IF(X548="",0,CEILING((X548/$H548),1)*$H548),"")</f>
        <v>1107</v>
      </c>
      <c r="Z548" s="41">
        <f>IFERROR(IF(Y548=0,"",ROUNDUP(Y548/H548,0)*0.01898),"")</f>
        <v>2.3345400000000001</v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1160.3777777777777</v>
      </c>
      <c r="BN548" s="78">
        <f>IFERROR(Y548*I548/H548,"0")</f>
        <v>1167.7619999999999</v>
      </c>
      <c r="BO548" s="78">
        <f>IFERROR(1/J548*(X548/H548),"0")</f>
        <v>1.9097222222222223</v>
      </c>
      <c r="BP548" s="78">
        <f>IFERROR(1/J548*(Y548/H548),"0")</f>
        <v>1.921875</v>
      </c>
    </row>
    <row r="549" spans="1:68" x14ac:dyDescent="0.2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122.22222222222223</v>
      </c>
      <c r="Y549" s="43">
        <f>IFERROR(Y548/H548,"0")</f>
        <v>123</v>
      </c>
      <c r="Z549" s="43">
        <f>IFERROR(IF(Z548="",0,Z548),"0")</f>
        <v>2.3345400000000001</v>
      </c>
      <c r="AA549" s="67"/>
      <c r="AB549" s="67"/>
      <c r="AC549" s="67"/>
    </row>
    <row r="550" spans="1:68" x14ac:dyDescent="0.2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1100</v>
      </c>
      <c r="Y550" s="43">
        <f>IFERROR(SUM(Y548:Y548),"0")</f>
        <v>1107</v>
      </c>
      <c r="Z550" s="42"/>
      <c r="AA550" s="67"/>
      <c r="AB550" s="67"/>
      <c r="AC550" s="67"/>
    </row>
    <row r="551" spans="1:68" ht="14.25" hidden="1" customHeight="1" x14ac:dyDescent="0.25">
      <c r="A551" s="666" t="s">
        <v>178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65" t="s">
        <v>871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hidden="1" customHeight="1" x14ac:dyDescent="0.25">
      <c r="A557" s="666" t="s">
        <v>159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11600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11727.48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12091.66648783315</v>
      </c>
      <c r="Y562" s="43">
        <f>IFERROR(SUM(BN22:BN558),"0")</f>
        <v>12224.526000000002</v>
      </c>
      <c r="Z562" s="42"/>
      <c r="AA562" s="67"/>
      <c r="AB562" s="67"/>
      <c r="AC562" s="67"/>
    </row>
    <row r="563" spans="1:32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19</v>
      </c>
      <c r="Y563" s="44">
        <f>ROUNDUP(SUM(BP22:BP558),0)</f>
        <v>20</v>
      </c>
      <c r="Z563" s="42"/>
      <c r="AA563" s="67"/>
      <c r="AB563" s="67"/>
      <c r="AC563" s="67"/>
    </row>
    <row r="564" spans="1:32" x14ac:dyDescent="0.2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12566.66648783315</v>
      </c>
      <c r="Y564" s="43">
        <f>GrossWeightTotalR+PalletQtyTotalR*25</f>
        <v>12724.526000000002</v>
      </c>
      <c r="Z564" s="42"/>
      <c r="AA564" s="67"/>
      <c r="AB564" s="67"/>
      <c r="AC564" s="67"/>
    </row>
    <row r="565" spans="1:32" x14ac:dyDescent="0.2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1516.9283802617133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1532</v>
      </c>
      <c r="Z565" s="42"/>
      <c r="AA565" s="67"/>
      <c r="AB565" s="67"/>
      <c r="AC565" s="67"/>
    </row>
    <row r="566" spans="1:32" ht="14.25" hidden="1" x14ac:dyDescent="0.2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21.745000000000001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656" t="s">
        <v>120</v>
      </c>
      <c r="E568" s="656" t="s">
        <v>120</v>
      </c>
      <c r="F568" s="656" t="s">
        <v>120</v>
      </c>
      <c r="G568" s="656" t="s">
        <v>120</v>
      </c>
      <c r="H568" s="656" t="s">
        <v>120</v>
      </c>
      <c r="I568" s="656" t="s">
        <v>120</v>
      </c>
      <c r="J568" s="656" t="s">
        <v>120</v>
      </c>
      <c r="K568" s="656" t="s">
        <v>346</v>
      </c>
      <c r="L568" s="656" t="s">
        <v>346</v>
      </c>
      <c r="M568" s="656" t="s">
        <v>346</v>
      </c>
      <c r="N568" s="657"/>
      <c r="O568" s="656" t="s">
        <v>346</v>
      </c>
      <c r="P568" s="656" t="s">
        <v>346</v>
      </c>
      <c r="Q568" s="656" t="s">
        <v>346</v>
      </c>
      <c r="R568" s="656" t="s">
        <v>346</v>
      </c>
      <c r="S568" s="656" t="s">
        <v>346</v>
      </c>
      <c r="T568" s="656" t="s">
        <v>346</v>
      </c>
      <c r="U568" s="656" t="s">
        <v>346</v>
      </c>
      <c r="V568" s="656" t="s">
        <v>346</v>
      </c>
      <c r="W568" s="656" t="s">
        <v>704</v>
      </c>
      <c r="X568" s="656" t="s">
        <v>704</v>
      </c>
      <c r="Y568" s="656" t="s">
        <v>770</v>
      </c>
      <c r="Z568" s="656" t="s">
        <v>770</v>
      </c>
      <c r="AA568" s="85" t="s">
        <v>806</v>
      </c>
      <c r="AB568" s="656" t="s">
        <v>853</v>
      </c>
      <c r="AC568" s="656" t="s">
        <v>853</v>
      </c>
      <c r="AF568" s="1"/>
    </row>
    <row r="569" spans="1:32" ht="14.25" customHeight="1" thickTop="1" x14ac:dyDescent="0.2">
      <c r="A569" s="658" t="s">
        <v>10</v>
      </c>
      <c r="B569" s="656" t="s">
        <v>76</v>
      </c>
      <c r="C569" s="656" t="s">
        <v>104</v>
      </c>
      <c r="D569" s="656" t="s">
        <v>121</v>
      </c>
      <c r="E569" s="656" t="s">
        <v>137</v>
      </c>
      <c r="F569" s="656" t="s">
        <v>186</v>
      </c>
      <c r="G569" s="656" t="s">
        <v>210</v>
      </c>
      <c r="H569" s="656" t="s">
        <v>250</v>
      </c>
      <c r="I569" s="656" t="s">
        <v>263</v>
      </c>
      <c r="J569" s="656" t="s">
        <v>120</v>
      </c>
      <c r="K569" s="656" t="s">
        <v>347</v>
      </c>
      <c r="L569" s="656" t="s">
        <v>368</v>
      </c>
      <c r="M569" s="656" t="s">
        <v>442</v>
      </c>
      <c r="N569" s="1"/>
      <c r="O569" s="656" t="s">
        <v>510</v>
      </c>
      <c r="P569" s="656" t="s">
        <v>542</v>
      </c>
      <c r="Q569" s="656" t="s">
        <v>562</v>
      </c>
      <c r="R569" s="656" t="s">
        <v>571</v>
      </c>
      <c r="S569" s="656" t="s">
        <v>592</v>
      </c>
      <c r="T569" s="656" t="s">
        <v>601</v>
      </c>
      <c r="U569" s="656" t="s">
        <v>687</v>
      </c>
      <c r="V569" s="656" t="s">
        <v>694</v>
      </c>
      <c r="W569" s="656" t="s">
        <v>705</v>
      </c>
      <c r="X569" s="656" t="s">
        <v>754</v>
      </c>
      <c r="Y569" s="656" t="s">
        <v>771</v>
      </c>
      <c r="Z569" s="656" t="s">
        <v>794</v>
      </c>
      <c r="AA569" s="656" t="s">
        <v>806</v>
      </c>
      <c r="AB569" s="656" t="s">
        <v>853</v>
      </c>
      <c r="AC569" s="656" t="s">
        <v>871</v>
      </c>
      <c r="AF569" s="1"/>
    </row>
    <row r="570" spans="1:32" ht="13.5" thickBot="1" x14ac:dyDescent="0.25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108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706.5</v>
      </c>
      <c r="F571" s="52">
        <f>IFERROR(Y87*1,"0")+IFERROR(Y88*1,"0")+IFERROR(Y89*1,"0")+IFERROR(Y90*1,"0")+IFERROR(Y91*1,"0")+IFERROR(Y92*1,"0")+IFERROR(Y96*1,"0")+IFERROR(Y97*1,"0")+IFERROR(Y98*1,"0")+IFERROR(Y99*1,"0")</f>
        <v>706.5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811.8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903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507.6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608.4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404.4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5463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401.28000000000003</v>
      </c>
      <c r="AB571" s="52">
        <f>IFERROR(Y536*1,"0")+IFERROR(Y540*1,"0")+IFERROR(Y544*1,"0")+IFERROR(Y548*1,"0")+IFERROR(Y552*1,"0")+IFERROR(Y553*1,"0")</f>
        <v>1107</v>
      </c>
      <c r="AC571" s="52">
        <f>IFERROR(Y558*1,"0")</f>
        <v>0</v>
      </c>
      <c r="AF571" s="1"/>
    </row>
  </sheetData>
  <sheetProtection algorithmName="SHA-512" hashValue="FRmOWdpCyPt+IWGLp0q7uxnUmnVoHOqMrioNiZ9B7u6nnpTi0CuwBePiNwD3KETP3et6N4IoUyneUowWaZqEkw==" saltValue="BQz59yMgtv+RurdFzZ+RY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400,00"/>
        <filter val="1 516,93"/>
        <filter val="100,00"/>
        <filter val="11 600,00"/>
        <filter val="11,11"/>
        <filter val="111,11"/>
        <filter val="12 091,67"/>
        <filter val="12 566,67"/>
        <filter val="122,22"/>
        <filter val="19"/>
        <filter val="200,00"/>
        <filter val="24,69"/>
        <filter val="257,14"/>
        <filter val="300,00"/>
        <filter val="37,04"/>
        <filter val="37,88"/>
        <filter val="4 500,00"/>
        <filter val="400,00"/>
        <filter val="49,45"/>
        <filter val="500,00"/>
        <filter val="53,33"/>
        <filter val="600,00"/>
        <filter val="700,00"/>
        <filter val="74,07"/>
        <filter val="76,92"/>
        <filter val="800,00"/>
        <filter val="9,26"/>
        <filter val="900,00"/>
        <filter val="92,59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9" spans="2:8" x14ac:dyDescent="0.2">
      <c r="B9" s="53" t="s">
        <v>884</v>
      </c>
      <c r="C9" s="53" t="s">
        <v>879</v>
      </c>
      <c r="D9" s="53" t="s">
        <v>46</v>
      </c>
      <c r="E9" s="53" t="s">
        <v>46</v>
      </c>
    </row>
    <row r="11" spans="2:8" x14ac:dyDescent="0.2">
      <c r="B11" s="53" t="s">
        <v>884</v>
      </c>
      <c r="C11" s="53" t="s">
        <v>882</v>
      </c>
      <c r="D11" s="53" t="s">
        <v>46</v>
      </c>
      <c r="E11" s="53" t="s">
        <v>46</v>
      </c>
    </row>
    <row r="13" spans="2:8" x14ac:dyDescent="0.2">
      <c r="B13" s="53" t="s">
        <v>885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</sheetData>
  <sheetProtection algorithmName="SHA-512" hashValue="up530GI2DPsPhiBlXTxM8xOnndsBPn2f8hb4Q8I+OVx7FGylKyKVWQiH9F5DZ8tecfedItHB8zRt0ULNRLYyvg==" saltValue="BNPIcJm5p39v2zpUYIrI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2026-10-02T13:50:26Z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